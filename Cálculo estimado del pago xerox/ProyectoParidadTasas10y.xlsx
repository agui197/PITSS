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f703398\Download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69" i="1" l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4" i="1"/>
  <c r="K14" i="1"/>
  <c r="I14" i="1"/>
  <c r="K15" i="1" l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F2" i="1"/>
  <c r="H2" i="1" s="1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I173" i="1" l="1"/>
  <c r="I85" i="1"/>
  <c r="I77" i="1"/>
  <c r="I69" i="1"/>
  <c r="I135" i="1"/>
  <c r="I106" i="1"/>
  <c r="I50" i="1"/>
  <c r="I18" i="1"/>
  <c r="I180" i="1"/>
  <c r="I172" i="1"/>
  <c r="I164" i="1"/>
  <c r="I140" i="1"/>
  <c r="I14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62" i="1"/>
  <c r="I122" i="1"/>
  <c r="I191" i="1"/>
  <c r="I183" i="1"/>
  <c r="I175" i="1"/>
  <c r="I167" i="1"/>
  <c r="I159" i="1"/>
  <c r="I151" i="1"/>
  <c r="I143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157" i="1"/>
  <c r="I188" i="1"/>
  <c r="I132" i="1"/>
  <c r="I121" i="1"/>
  <c r="I65" i="1"/>
  <c r="I195" i="1"/>
  <c r="I196" i="1"/>
  <c r="I156" i="1"/>
  <c r="I113" i="1"/>
  <c r="I81" i="1"/>
  <c r="I131" i="1"/>
  <c r="I67" i="1"/>
  <c r="I112" i="1"/>
  <c r="I104" i="1"/>
  <c r="I194" i="1"/>
  <c r="I186" i="1"/>
  <c r="I178" i="1"/>
  <c r="I170" i="1"/>
  <c r="I154" i="1"/>
  <c r="I146" i="1"/>
  <c r="I138" i="1"/>
  <c r="I130" i="1"/>
  <c r="I114" i="1"/>
  <c r="I98" i="1"/>
  <c r="I90" i="1"/>
  <c r="I74" i="1"/>
  <c r="I66" i="1"/>
  <c r="I58" i="1"/>
  <c r="I34" i="1"/>
  <c r="I197" i="1"/>
  <c r="I189" i="1"/>
  <c r="I181" i="1"/>
  <c r="I165" i="1"/>
  <c r="I149" i="1"/>
  <c r="I141" i="1"/>
  <c r="I133" i="1"/>
  <c r="I125" i="1"/>
  <c r="I109" i="1"/>
  <c r="I187" i="1"/>
  <c r="I179" i="1"/>
  <c r="I171" i="1"/>
  <c r="I163" i="1"/>
  <c r="I155" i="1"/>
  <c r="I147" i="1"/>
  <c r="I139" i="1"/>
  <c r="I123" i="1"/>
  <c r="I115" i="1"/>
  <c r="I99" i="1"/>
  <c r="I75" i="1"/>
  <c r="I59" i="1"/>
  <c r="I43" i="1"/>
  <c r="I27" i="1"/>
  <c r="I91" i="1"/>
  <c r="I35" i="1"/>
  <c r="I101" i="1"/>
  <c r="I124" i="1"/>
  <c r="I116" i="1"/>
  <c r="I108" i="1"/>
  <c r="I100" i="1"/>
  <c r="I92" i="1"/>
  <c r="I84" i="1"/>
  <c r="I76" i="1"/>
  <c r="I68" i="1"/>
  <c r="I19" i="1"/>
  <c r="I82" i="1"/>
  <c r="I42" i="1"/>
  <c r="I26" i="1"/>
  <c r="I83" i="1"/>
  <c r="I193" i="1"/>
  <c r="I185" i="1"/>
  <c r="I177" i="1"/>
  <c r="I169" i="1"/>
  <c r="I161" i="1"/>
  <c r="I153" i="1"/>
  <c r="I145" i="1"/>
  <c r="I137" i="1"/>
  <c r="I129" i="1"/>
  <c r="I105" i="1"/>
  <c r="I97" i="1"/>
  <c r="I89" i="1"/>
  <c r="I73" i="1"/>
  <c r="I57" i="1"/>
  <c r="I49" i="1"/>
  <c r="I41" i="1"/>
  <c r="I33" i="1"/>
  <c r="I25" i="1"/>
  <c r="I17" i="1"/>
  <c r="I192" i="1"/>
  <c r="I184" i="1"/>
  <c r="I176" i="1"/>
  <c r="I168" i="1"/>
  <c r="I160" i="1"/>
  <c r="I152" i="1"/>
  <c r="I144" i="1"/>
  <c r="I136" i="1"/>
  <c r="I128" i="1"/>
  <c r="I120" i="1"/>
  <c r="I96" i="1"/>
  <c r="I88" i="1"/>
  <c r="I80" i="1"/>
  <c r="I72" i="1"/>
  <c r="I64" i="1"/>
  <c r="I56" i="1"/>
  <c r="I48" i="1"/>
  <c r="I40" i="1"/>
  <c r="I32" i="1"/>
  <c r="I24" i="1"/>
  <c r="I16" i="1"/>
  <c r="I107" i="1"/>
  <c r="I51" i="1"/>
  <c r="I117" i="1"/>
  <c r="I93" i="1"/>
  <c r="I61" i="1"/>
  <c r="I53" i="1"/>
  <c r="I45" i="1"/>
  <c r="I37" i="1"/>
  <c r="I29" i="1"/>
  <c r="I21" i="1"/>
  <c r="I60" i="1"/>
  <c r="I52" i="1"/>
  <c r="I44" i="1"/>
  <c r="I36" i="1"/>
  <c r="I28" i="1"/>
  <c r="I20" i="1"/>
</calcChain>
</file>

<file path=xl/sharedStrings.xml><?xml version="1.0" encoding="utf-8"?>
<sst xmlns="http://schemas.openxmlformats.org/spreadsheetml/2006/main" count="12" uniqueCount="12">
  <si>
    <t>Paridad</t>
  </si>
  <si>
    <t>Spot</t>
  </si>
  <si>
    <t>Periodo</t>
  </si>
  <si>
    <t>Pesos</t>
  </si>
  <si>
    <t>USD</t>
  </si>
  <si>
    <t>Retorno MXN</t>
  </si>
  <si>
    <t>Retorno USD</t>
  </si>
  <si>
    <t>Cambio % spot</t>
  </si>
  <si>
    <t>Spread tasas (local - ex)</t>
  </si>
  <si>
    <t>US 10-Y</t>
  </si>
  <si>
    <t>MX 10-Y</t>
  </si>
  <si>
    <t>Dif real - paridad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</si>
</sst>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0.0000"/>
    <numFmt numFmtId="165" formatCode="0.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10" fontId="0" fillId="0" borderId="0" xfId="1" applyNumberFormat="1" applyFont="1"/>
    <xf numFmtId="43" fontId="0" fillId="0" borderId="0" xfId="2" applyFont="1"/>
    <xf numFmtId="43" fontId="0" fillId="0" borderId="0" xfId="0" applyNumberFormat="1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1" applyNumberFormat="1" applyFont="1" applyAlignment="1">
      <alignment wrapText="1"/>
    </xf>
  </cellXfs>
  <cellStyles count="3">
    <cellStyle name="Millares" xfId="2" builtinId="3"/>
    <cellStyle name="Normal" xfId="0" builtinId="0"/>
    <cellStyle name="Porcentaje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7"/>
  <sheetViews>
    <sheetView tabSelected="1" workbookViewId="0">
      <pane ySplit="1" topLeftCell="A2" activePane="bottomLeft" state="frozen"/>
      <selection pane="bottomLeft" activeCell="L170" sqref="L170"/>
    </sheetView>
  </sheetViews>
  <sheetFormatPr baseColWidth="10" defaultColWidth="9.140625" defaultRowHeight="15" x14ac:dyDescent="0.25"/>
  <cols>
    <col min="4" max="4" width="14.140625" bestFit="1" customWidth="1"/>
    <col min="6" max="6" width="13.140625" bestFit="1" customWidth="1"/>
    <col min="7" max="7" width="14.140625" bestFit="1" customWidth="1"/>
    <col min="8" max="8" width="12.85546875" customWidth="1"/>
    <col min="10" max="10" width="11" customWidth="1"/>
    <col min="12" max="13" width="11.28515625" customWidth="1"/>
  </cols>
  <sheetData>
    <row r="1" spans="1:12" s="6" customFormat="1" ht="45" x14ac:dyDescent="0.25">
      <c r="A1" s="6" t="s">
        <v>2</v>
      </c>
      <c r="B1" s="6" t="s">
        <v>1</v>
      </c>
      <c r="C1" s="6" t="s">
        <v>10</v>
      </c>
      <c r="D1" s="6" t="s">
        <v>3</v>
      </c>
      <c r="E1" s="6" t="s">
        <v>9</v>
      </c>
      <c r="F1" s="6" t="s">
        <v>4</v>
      </c>
      <c r="G1" s="6" t="s">
        <v>5</v>
      </c>
      <c r="H1" s="6" t="s">
        <v>6</v>
      </c>
      <c r="I1" s="6" t="s">
        <v>0</v>
      </c>
      <c r="J1" s="6" t="s">
        <v>8</v>
      </c>
      <c r="K1" s="6" t="s">
        <v>7</v>
      </c>
      <c r="L1" s="7" t="s">
        <v>11</v>
      </c>
    </row>
    <row r="2" spans="1:12" x14ac:dyDescent="0.25">
      <c r="A2" s="1">
        <v>38018</v>
      </c>
      <c r="B2">
        <v>11.06</v>
      </c>
      <c r="C2" s="2">
        <v>8.5999999999999993E-2</v>
      </c>
      <c r="D2" s="3">
        <v>10000000</v>
      </c>
      <c r="E2" s="2">
        <v>3.9719999999999998E-2</v>
      </c>
      <c r="F2" s="4">
        <f t="shared" ref="F2:F17" si="0">D2/B2</f>
        <v>904159.13200723322</v>
      </c>
      <c r="G2" s="3">
        <f t="shared" ref="G2:G17" si="1">D2*(1+C2)</f>
        <v>10860000</v>
      </c>
      <c r="H2" s="3">
        <f t="shared" ref="H2:H17" si="2">F2*(1+E2)</f>
        <v>940072.33273056045</v>
      </c>
      <c r="I2" s="5"/>
      <c r="J2" s="2"/>
      <c r="K2" s="2"/>
    </row>
    <row r="3" spans="1:12" x14ac:dyDescent="0.25">
      <c r="A3" s="1">
        <v>38047</v>
      </c>
      <c r="B3">
        <v>11.125</v>
      </c>
      <c r="C3" s="2">
        <v>8.5299999999999987E-2</v>
      </c>
      <c r="D3" s="3">
        <v>10000000</v>
      </c>
      <c r="E3" s="2">
        <v>3.8370000000000001E-2</v>
      </c>
      <c r="F3" s="4">
        <f t="shared" si="0"/>
        <v>898876.40449438198</v>
      </c>
      <c r="G3" s="3">
        <f t="shared" si="1"/>
        <v>10853000</v>
      </c>
      <c r="H3" s="3">
        <f t="shared" si="2"/>
        <v>933366.29213483143</v>
      </c>
      <c r="I3" s="5"/>
      <c r="J3" s="2"/>
      <c r="K3" s="2"/>
    </row>
    <row r="4" spans="1:12" x14ac:dyDescent="0.25">
      <c r="A4" s="1">
        <v>38078</v>
      </c>
      <c r="B4">
        <v>11.416499999999999</v>
      </c>
      <c r="C4" s="2">
        <v>9.5150000000000012E-2</v>
      </c>
      <c r="D4" s="3">
        <v>10000000</v>
      </c>
      <c r="E4" s="2">
        <v>4.5100000000000001E-2</v>
      </c>
      <c r="F4" s="4">
        <f t="shared" si="0"/>
        <v>875925.19598826265</v>
      </c>
      <c r="G4" s="3">
        <f t="shared" si="1"/>
        <v>10951500</v>
      </c>
      <c r="H4" s="3">
        <f t="shared" si="2"/>
        <v>915429.42232733325</v>
      </c>
      <c r="I4" s="5"/>
      <c r="J4" s="2"/>
      <c r="K4" s="2"/>
    </row>
    <row r="5" spans="1:12" x14ac:dyDescent="0.25">
      <c r="A5" s="1">
        <v>38108</v>
      </c>
      <c r="B5">
        <v>11.455</v>
      </c>
      <c r="C5" s="2">
        <v>0.1009</v>
      </c>
      <c r="D5" s="3">
        <v>10000000</v>
      </c>
      <c r="E5" s="2">
        <v>4.6649999999999997E-2</v>
      </c>
      <c r="F5" s="4">
        <f t="shared" si="0"/>
        <v>872981.23090353562</v>
      </c>
      <c r="G5" s="3">
        <f t="shared" si="1"/>
        <v>11009000</v>
      </c>
      <c r="H5" s="3">
        <f t="shared" si="2"/>
        <v>913705.80532518565</v>
      </c>
      <c r="I5" s="5"/>
      <c r="J5" s="2"/>
      <c r="K5" s="2"/>
    </row>
    <row r="6" spans="1:12" x14ac:dyDescent="0.25">
      <c r="A6" s="1">
        <v>38139</v>
      </c>
      <c r="B6">
        <v>11.494999999999999</v>
      </c>
      <c r="C6" s="2">
        <v>0.10595</v>
      </c>
      <c r="D6" s="3">
        <v>10000000</v>
      </c>
      <c r="E6" s="2">
        <v>4.5830000000000003E-2</v>
      </c>
      <c r="F6" s="4">
        <f t="shared" si="0"/>
        <v>869943.45367551118</v>
      </c>
      <c r="G6" s="3">
        <f t="shared" si="1"/>
        <v>11059500</v>
      </c>
      <c r="H6" s="3">
        <f t="shared" si="2"/>
        <v>909812.96215745993</v>
      </c>
      <c r="I6" s="5"/>
      <c r="J6" s="2"/>
      <c r="K6" s="2"/>
    </row>
    <row r="7" spans="1:12" x14ac:dyDescent="0.25">
      <c r="A7" s="1">
        <v>38169</v>
      </c>
      <c r="B7">
        <v>11.395</v>
      </c>
      <c r="C7" s="2">
        <v>0.10210000000000001</v>
      </c>
      <c r="D7" s="3">
        <v>10000000</v>
      </c>
      <c r="E7" s="2">
        <v>4.4909999999999999E-2</v>
      </c>
      <c r="F7" s="4">
        <f t="shared" si="0"/>
        <v>877577.88503729715</v>
      </c>
      <c r="G7" s="3">
        <f t="shared" si="1"/>
        <v>11021000</v>
      </c>
      <c r="H7" s="3">
        <f t="shared" si="2"/>
        <v>916989.90785432223</v>
      </c>
      <c r="I7" s="5"/>
      <c r="J7" s="2"/>
      <c r="K7" s="2"/>
    </row>
    <row r="8" spans="1:12" x14ac:dyDescent="0.25">
      <c r="A8" s="1">
        <v>38200</v>
      </c>
      <c r="B8">
        <v>11.391999999999999</v>
      </c>
      <c r="C8" s="2">
        <v>0.1023</v>
      </c>
      <c r="D8" s="3">
        <v>10000000</v>
      </c>
      <c r="E8" s="2">
        <v>4.24E-2</v>
      </c>
      <c r="F8" s="4">
        <f t="shared" si="0"/>
        <v>877808.98876404495</v>
      </c>
      <c r="G8" s="3">
        <f t="shared" si="1"/>
        <v>11023000</v>
      </c>
      <c r="H8" s="3">
        <f t="shared" si="2"/>
        <v>915028.08988764044</v>
      </c>
      <c r="I8" s="5"/>
      <c r="J8" s="2"/>
      <c r="K8" s="2"/>
    </row>
    <row r="9" spans="1:12" x14ac:dyDescent="0.25">
      <c r="A9" s="1">
        <v>38231</v>
      </c>
      <c r="B9">
        <v>11.38</v>
      </c>
      <c r="C9" s="2">
        <v>0.1023</v>
      </c>
      <c r="D9" s="3">
        <v>10000000</v>
      </c>
      <c r="E9" s="2">
        <v>4.1230000000000003E-2</v>
      </c>
      <c r="F9" s="4">
        <f t="shared" si="0"/>
        <v>878734.62214411236</v>
      </c>
      <c r="G9" s="3">
        <f t="shared" si="1"/>
        <v>11023000</v>
      </c>
      <c r="H9" s="3">
        <f t="shared" si="2"/>
        <v>914964.85061511421</v>
      </c>
      <c r="I9" s="5"/>
      <c r="J9" s="2"/>
      <c r="K9" s="2"/>
    </row>
    <row r="10" spans="1:12" x14ac:dyDescent="0.25">
      <c r="A10" s="1">
        <v>38261</v>
      </c>
      <c r="B10">
        <v>11.536199999999999</v>
      </c>
      <c r="C10" s="2">
        <v>9.9900000000000003E-2</v>
      </c>
      <c r="D10" s="3">
        <v>10000000</v>
      </c>
      <c r="E10" s="2">
        <v>4.0289999999999999E-2</v>
      </c>
      <c r="F10" s="4">
        <f t="shared" si="0"/>
        <v>866836.56663372694</v>
      </c>
      <c r="G10" s="3">
        <f t="shared" si="1"/>
        <v>10999000.000000002</v>
      </c>
      <c r="H10" s="3">
        <f t="shared" si="2"/>
        <v>901761.41190339974</v>
      </c>
      <c r="I10" s="5"/>
      <c r="J10" s="2"/>
      <c r="K10" s="2"/>
    </row>
    <row r="11" spans="1:12" x14ac:dyDescent="0.25">
      <c r="A11" s="1">
        <v>38292</v>
      </c>
      <c r="B11">
        <v>11.22</v>
      </c>
      <c r="C11" s="2">
        <v>0.10289999999999999</v>
      </c>
      <c r="D11" s="3">
        <v>10000000</v>
      </c>
      <c r="E11" s="2">
        <v>4.3550000000000005E-2</v>
      </c>
      <c r="F11" s="4">
        <f t="shared" si="0"/>
        <v>891265.59714795009</v>
      </c>
      <c r="G11" s="3">
        <f t="shared" si="1"/>
        <v>11029000</v>
      </c>
      <c r="H11" s="3">
        <f t="shared" si="2"/>
        <v>930080.21390374331</v>
      </c>
      <c r="I11" s="5"/>
      <c r="J11" s="2"/>
      <c r="K11" s="2"/>
    </row>
    <row r="12" spans="1:12" x14ac:dyDescent="0.25">
      <c r="A12" s="1">
        <v>38322</v>
      </c>
      <c r="B12">
        <v>11.135</v>
      </c>
      <c r="C12" s="2">
        <v>9.6999999999999989E-2</v>
      </c>
      <c r="D12" s="3">
        <v>10000000</v>
      </c>
      <c r="E12" s="2">
        <v>4.2220000000000008E-2</v>
      </c>
      <c r="F12" s="4">
        <f t="shared" si="0"/>
        <v>898069.15132465202</v>
      </c>
      <c r="G12" s="3">
        <f t="shared" si="1"/>
        <v>10970000</v>
      </c>
      <c r="H12" s="3">
        <f t="shared" si="2"/>
        <v>935985.63089357875</v>
      </c>
      <c r="I12" s="5"/>
      <c r="J12" s="2"/>
      <c r="K12" s="2"/>
    </row>
    <row r="13" spans="1:12" x14ac:dyDescent="0.25">
      <c r="A13" s="1">
        <v>38353</v>
      </c>
      <c r="B13">
        <v>11.195</v>
      </c>
      <c r="C13" s="2">
        <v>9.5600000000000004E-2</v>
      </c>
      <c r="D13" s="3">
        <v>10000000</v>
      </c>
      <c r="E13" s="2">
        <v>4.1319999999999996E-2</v>
      </c>
      <c r="F13" s="4">
        <f t="shared" si="0"/>
        <v>893255.91782045551</v>
      </c>
      <c r="G13" s="3">
        <f t="shared" si="1"/>
        <v>10956000</v>
      </c>
      <c r="H13" s="3">
        <f t="shared" si="2"/>
        <v>930165.25234479678</v>
      </c>
      <c r="I13" s="5"/>
      <c r="J13" s="2"/>
      <c r="K13" s="2"/>
    </row>
    <row r="14" spans="1:12" x14ac:dyDescent="0.25">
      <c r="A14" s="1">
        <v>38384</v>
      </c>
      <c r="B14">
        <v>11.098000000000001</v>
      </c>
      <c r="C14" s="2">
        <v>0.1003</v>
      </c>
      <c r="D14" s="3">
        <v>10000000</v>
      </c>
      <c r="E14" s="2">
        <v>4.3810000000000002E-2</v>
      </c>
      <c r="F14" s="4">
        <f t="shared" si="0"/>
        <v>901063.25464047573</v>
      </c>
      <c r="G14" s="3">
        <f t="shared" si="1"/>
        <v>11003000</v>
      </c>
      <c r="H14" s="3">
        <f t="shared" si="2"/>
        <v>940538.83582627494</v>
      </c>
      <c r="I14" s="5">
        <f>G2/H2</f>
        <v>11.552302542992345</v>
      </c>
      <c r="J14" s="2">
        <f t="shared" ref="J14:J29" si="3">C2-E2</f>
        <v>4.6279999999999995E-2</v>
      </c>
      <c r="K14" s="2">
        <f>(B14/B2)-1</f>
        <v>3.4358047016274096E-3</v>
      </c>
      <c r="L14" s="5">
        <f>B14-I14</f>
        <v>-0.45430254299234463</v>
      </c>
    </row>
    <row r="15" spans="1:12" x14ac:dyDescent="0.25">
      <c r="A15" s="1">
        <v>38412</v>
      </c>
      <c r="B15">
        <v>11.170199999999999</v>
      </c>
      <c r="C15" s="2">
        <v>0.10539999999999999</v>
      </c>
      <c r="D15" s="3">
        <v>10000000</v>
      </c>
      <c r="E15" s="2">
        <v>4.4880000000000003E-2</v>
      </c>
      <c r="F15" s="4">
        <f t="shared" si="0"/>
        <v>895239.11836851633</v>
      </c>
      <c r="G15" s="3">
        <f t="shared" si="1"/>
        <v>11054000</v>
      </c>
      <c r="H15" s="3">
        <f t="shared" si="2"/>
        <v>935417.45000089542</v>
      </c>
      <c r="I15" s="5">
        <f t="shared" ref="I14:I28" si="4">G3/H3</f>
        <v>11.627803673064514</v>
      </c>
      <c r="J15" s="2">
        <f t="shared" si="3"/>
        <v>4.6929999999999986E-2</v>
      </c>
      <c r="K15" s="2">
        <f t="shared" ref="K14:K29" si="5">(B15/B3)-1</f>
        <v>4.062921348314541E-3</v>
      </c>
      <c r="L15" s="5">
        <f t="shared" ref="L15:L78" si="6">B15-I15</f>
        <v>-0.45760367306451499</v>
      </c>
    </row>
    <row r="16" spans="1:12" x14ac:dyDescent="0.25">
      <c r="A16" s="1">
        <v>38443</v>
      </c>
      <c r="B16">
        <v>11.05</v>
      </c>
      <c r="C16" s="2">
        <v>0.1056</v>
      </c>
      <c r="D16" s="3">
        <v>10000000</v>
      </c>
      <c r="E16" s="2">
        <v>4.2000000000000003E-2</v>
      </c>
      <c r="F16" s="4">
        <f t="shared" si="0"/>
        <v>904977.37556561083</v>
      </c>
      <c r="G16" s="3">
        <f t="shared" si="1"/>
        <v>11056000</v>
      </c>
      <c r="H16" s="3">
        <f t="shared" si="2"/>
        <v>942986.42533936654</v>
      </c>
      <c r="I16" s="5">
        <f t="shared" si="4"/>
        <v>11.963237943737441</v>
      </c>
      <c r="J16" s="2">
        <f t="shared" si="3"/>
        <v>5.0050000000000011E-2</v>
      </c>
      <c r="K16" s="2">
        <f t="shared" si="5"/>
        <v>-3.2102658432969666E-2</v>
      </c>
      <c r="L16" s="5">
        <f t="shared" si="6"/>
        <v>-0.91323794373744072</v>
      </c>
    </row>
    <row r="17" spans="1:12" x14ac:dyDescent="0.25">
      <c r="A17" s="1">
        <v>38473</v>
      </c>
      <c r="B17">
        <v>10.882</v>
      </c>
      <c r="C17" s="2">
        <v>9.6199999999999994E-2</v>
      </c>
      <c r="D17" s="3">
        <v>10000000</v>
      </c>
      <c r="E17" s="2">
        <v>3.9870000000000003E-2</v>
      </c>
      <c r="F17" s="4">
        <f t="shared" si="0"/>
        <v>918948.72266127553</v>
      </c>
      <c r="G17" s="3">
        <f t="shared" si="1"/>
        <v>10962000</v>
      </c>
      <c r="H17" s="3">
        <f t="shared" si="2"/>
        <v>955587.20823378069</v>
      </c>
      <c r="I17" s="5">
        <f t="shared" si="4"/>
        <v>12.048735967133233</v>
      </c>
      <c r="J17" s="2">
        <f t="shared" si="3"/>
        <v>5.4250000000000007E-2</v>
      </c>
      <c r="K17" s="2">
        <f t="shared" si="5"/>
        <v>-5.0021824530772641E-2</v>
      </c>
      <c r="L17" s="5">
        <f t="shared" si="6"/>
        <v>-1.1667359671332331</v>
      </c>
    </row>
    <row r="18" spans="1:12" x14ac:dyDescent="0.25">
      <c r="A18" s="1">
        <v>38504</v>
      </c>
      <c r="B18">
        <v>10.742800000000001</v>
      </c>
      <c r="C18" s="2">
        <v>9.4200000000000006E-2</v>
      </c>
      <c r="D18" s="3">
        <v>10000000</v>
      </c>
      <c r="E18" s="2">
        <v>3.9209999999999995E-2</v>
      </c>
      <c r="F18" s="4">
        <f t="shared" ref="F18:F81" si="7">D18/B18</f>
        <v>930856.01519157016</v>
      </c>
      <c r="G18" s="3">
        <f t="shared" ref="G18:G81" si="8">D18*(1+C18)</f>
        <v>10942000</v>
      </c>
      <c r="H18" s="3">
        <f t="shared" ref="H18:H81" si="9">F18*(1+E18)</f>
        <v>967354.8795472316</v>
      </c>
      <c r="I18" s="5">
        <f t="shared" si="4"/>
        <v>12.155795157912852</v>
      </c>
      <c r="J18" s="2">
        <f t="shared" si="3"/>
        <v>6.012E-2</v>
      </c>
      <c r="K18" s="2">
        <f t="shared" si="5"/>
        <v>-6.5437146585471839E-2</v>
      </c>
      <c r="L18" s="5">
        <f t="shared" si="6"/>
        <v>-1.4129951579128512</v>
      </c>
    </row>
    <row r="19" spans="1:12" x14ac:dyDescent="0.25">
      <c r="A19" s="1">
        <v>38534</v>
      </c>
      <c r="B19">
        <v>10.6038</v>
      </c>
      <c r="C19" s="2">
        <v>9.4499999999999987E-2</v>
      </c>
      <c r="D19" s="3">
        <v>10000000</v>
      </c>
      <c r="E19" s="2">
        <v>4.2819999999999997E-2</v>
      </c>
      <c r="F19" s="4">
        <f t="shared" si="7"/>
        <v>943058.14896546525</v>
      </c>
      <c r="G19" s="3">
        <f t="shared" si="8"/>
        <v>10945000</v>
      </c>
      <c r="H19" s="3">
        <f t="shared" si="9"/>
        <v>983439.89890416653</v>
      </c>
      <c r="I19" s="5">
        <f t="shared" si="4"/>
        <v>12.018670986017932</v>
      </c>
      <c r="J19" s="2">
        <f t="shared" si="3"/>
        <v>5.7190000000000012E-2</v>
      </c>
      <c r="K19" s="2">
        <f t="shared" si="5"/>
        <v>-6.9433962264150884E-2</v>
      </c>
      <c r="L19" s="5">
        <f t="shared" si="6"/>
        <v>-1.4148709860179327</v>
      </c>
    </row>
    <row r="20" spans="1:12" x14ac:dyDescent="0.25">
      <c r="A20" s="1">
        <v>38565</v>
      </c>
      <c r="B20">
        <v>10.757</v>
      </c>
      <c r="C20" s="2">
        <v>8.8300000000000003E-2</v>
      </c>
      <c r="D20" s="3">
        <v>10000000</v>
      </c>
      <c r="E20" s="2">
        <v>4.0140000000000002E-2</v>
      </c>
      <c r="F20" s="4">
        <f t="shared" si="7"/>
        <v>929627.2194849865</v>
      </c>
      <c r="G20" s="3">
        <f t="shared" si="8"/>
        <v>10883000</v>
      </c>
      <c r="H20" s="3">
        <f t="shared" si="9"/>
        <v>966942.45607511397</v>
      </c>
      <c r="I20" s="5">
        <f t="shared" si="4"/>
        <v>12.046624712202609</v>
      </c>
      <c r="J20" s="2">
        <f t="shared" si="3"/>
        <v>5.9900000000000002E-2</v>
      </c>
      <c r="K20" s="2">
        <f t="shared" si="5"/>
        <v>-5.5740870786516794E-2</v>
      </c>
      <c r="L20" s="5">
        <f t="shared" si="6"/>
        <v>-1.2896247122026097</v>
      </c>
    </row>
    <row r="21" spans="1:12" x14ac:dyDescent="0.25">
      <c r="A21" s="1">
        <v>38596</v>
      </c>
      <c r="B21">
        <v>10.759</v>
      </c>
      <c r="C21" s="2">
        <v>8.5800000000000001E-2</v>
      </c>
      <c r="D21" s="3">
        <v>10000000</v>
      </c>
      <c r="E21" s="2">
        <v>4.3319999999999997E-2</v>
      </c>
      <c r="F21" s="4">
        <f t="shared" si="7"/>
        <v>929454.41026117664</v>
      </c>
      <c r="G21" s="3">
        <f t="shared" si="8"/>
        <v>10858000.000000002</v>
      </c>
      <c r="H21" s="3">
        <f t="shared" si="9"/>
        <v>969718.37531369086</v>
      </c>
      <c r="I21" s="5">
        <f t="shared" si="4"/>
        <v>12.047457334114462</v>
      </c>
      <c r="J21" s="2">
        <f t="shared" si="3"/>
        <v>6.1069999999999999E-2</v>
      </c>
      <c r="K21" s="2">
        <f t="shared" si="5"/>
        <v>-5.4569420035149419E-2</v>
      </c>
      <c r="L21" s="5">
        <f t="shared" si="6"/>
        <v>-1.2884573341144616</v>
      </c>
    </row>
    <row r="22" spans="1:12" x14ac:dyDescent="0.25">
      <c r="A22" s="1">
        <v>38626</v>
      </c>
      <c r="B22">
        <v>10.786</v>
      </c>
      <c r="C22" s="2">
        <v>8.929999999999999E-2</v>
      </c>
      <c r="D22" s="3">
        <v>10000000</v>
      </c>
      <c r="E22" s="2">
        <v>4.5570000000000006E-2</v>
      </c>
      <c r="F22" s="4">
        <f t="shared" si="7"/>
        <v>927127.75820508064</v>
      </c>
      <c r="G22" s="3">
        <f t="shared" si="8"/>
        <v>10893000</v>
      </c>
      <c r="H22" s="3">
        <f t="shared" si="9"/>
        <v>969376.9701464863</v>
      </c>
      <c r="I22" s="5">
        <f t="shared" si="4"/>
        <v>12.197239596650936</v>
      </c>
      <c r="J22" s="2">
        <f t="shared" si="3"/>
        <v>5.9610000000000003E-2</v>
      </c>
      <c r="K22" s="2">
        <f t="shared" si="5"/>
        <v>-6.503007922886217E-2</v>
      </c>
      <c r="L22" s="5">
        <f t="shared" si="6"/>
        <v>-1.4112395966509368</v>
      </c>
    </row>
    <row r="23" spans="1:12" x14ac:dyDescent="0.25">
      <c r="A23" s="1">
        <v>38657</v>
      </c>
      <c r="B23">
        <v>10.5572</v>
      </c>
      <c r="C23" s="2">
        <v>8.5600000000000009E-2</v>
      </c>
      <c r="D23" s="3">
        <v>10000000</v>
      </c>
      <c r="E23" s="2">
        <v>4.4900000000000002E-2</v>
      </c>
      <c r="F23" s="4">
        <f t="shared" si="7"/>
        <v>947220.85401432193</v>
      </c>
      <c r="G23" s="3">
        <f t="shared" si="8"/>
        <v>10855999.999999998</v>
      </c>
      <c r="H23" s="3">
        <f t="shared" si="9"/>
        <v>989751.07035956497</v>
      </c>
      <c r="I23" s="5">
        <f t="shared" si="4"/>
        <v>11.858117004455943</v>
      </c>
      <c r="J23" s="2">
        <f t="shared" si="3"/>
        <v>5.9349999999999986E-2</v>
      </c>
      <c r="K23" s="2">
        <f t="shared" si="5"/>
        <v>-5.907308377896614E-2</v>
      </c>
      <c r="L23" s="5">
        <f t="shared" si="6"/>
        <v>-1.3009170044559433</v>
      </c>
    </row>
    <row r="24" spans="1:12" x14ac:dyDescent="0.25">
      <c r="A24" s="1">
        <v>38687</v>
      </c>
      <c r="B24">
        <v>10.628500000000001</v>
      </c>
      <c r="C24" s="2">
        <v>8.2100000000000006E-2</v>
      </c>
      <c r="D24" s="3">
        <v>10000000</v>
      </c>
      <c r="E24" s="2">
        <v>4.3949999999999996E-2</v>
      </c>
      <c r="F24" s="4">
        <f t="shared" si="7"/>
        <v>940866.53808157309</v>
      </c>
      <c r="G24" s="3">
        <f t="shared" si="8"/>
        <v>10821000</v>
      </c>
      <c r="H24" s="3">
        <f t="shared" si="9"/>
        <v>982217.6224302582</v>
      </c>
      <c r="I24" s="5">
        <f t="shared" si="4"/>
        <v>11.720265395022166</v>
      </c>
      <c r="J24" s="2">
        <f t="shared" si="3"/>
        <v>5.4779999999999981E-2</v>
      </c>
      <c r="K24" s="2">
        <f t="shared" si="5"/>
        <v>-4.5487202514593594E-2</v>
      </c>
      <c r="L24" s="5">
        <f t="shared" si="6"/>
        <v>-1.0917653950221649</v>
      </c>
    </row>
    <row r="25" spans="1:12" x14ac:dyDescent="0.25">
      <c r="A25" s="1">
        <v>38718</v>
      </c>
      <c r="B25">
        <v>10.444699999999999</v>
      </c>
      <c r="C25" s="2">
        <v>8.1600000000000006E-2</v>
      </c>
      <c r="D25" s="3">
        <v>10000000</v>
      </c>
      <c r="E25" s="2">
        <v>4.5190000000000001E-2</v>
      </c>
      <c r="F25" s="4">
        <f t="shared" si="7"/>
        <v>957423.38219383999</v>
      </c>
      <c r="G25" s="3">
        <f t="shared" si="8"/>
        <v>10815999.999999998</v>
      </c>
      <c r="H25" s="3">
        <f t="shared" si="9"/>
        <v>1000689.3448351796</v>
      </c>
      <c r="I25" s="5">
        <f t="shared" si="4"/>
        <v>11.778552222179542</v>
      </c>
      <c r="J25" s="2">
        <f t="shared" si="3"/>
        <v>5.4280000000000009E-2</v>
      </c>
      <c r="K25" s="2">
        <f t="shared" si="5"/>
        <v>-6.7020991514068928E-2</v>
      </c>
      <c r="L25" s="5">
        <f t="shared" si="6"/>
        <v>-1.3338522221795426</v>
      </c>
    </row>
    <row r="26" spans="1:12" x14ac:dyDescent="0.25">
      <c r="A26" s="1">
        <v>38749</v>
      </c>
      <c r="B26">
        <v>10.478999999999999</v>
      </c>
      <c r="C26" s="2">
        <v>7.8299999999999995E-2</v>
      </c>
      <c r="D26" s="3">
        <v>10000000</v>
      </c>
      <c r="E26" s="2">
        <v>4.5570000000000006E-2</v>
      </c>
      <c r="F26" s="4">
        <f t="shared" si="7"/>
        <v>954289.53144384013</v>
      </c>
      <c r="G26" s="3">
        <f t="shared" si="8"/>
        <v>10783000</v>
      </c>
      <c r="H26" s="3">
        <f t="shared" si="9"/>
        <v>997776.50539173605</v>
      </c>
      <c r="I26" s="5">
        <f t="shared" si="4"/>
        <v>11.69861315756699</v>
      </c>
      <c r="J26" s="2">
        <f t="shared" si="3"/>
        <v>5.6489999999999999E-2</v>
      </c>
      <c r="K26" s="2">
        <f t="shared" si="5"/>
        <v>-5.5775815462245637E-2</v>
      </c>
      <c r="L26" s="5">
        <f t="shared" si="6"/>
        <v>-1.2196131575669913</v>
      </c>
    </row>
    <row r="27" spans="1:12" x14ac:dyDescent="0.25">
      <c r="A27" s="1">
        <v>38777</v>
      </c>
      <c r="B27">
        <v>10.880699999999999</v>
      </c>
      <c r="C27" s="2">
        <v>8.4700000000000011E-2</v>
      </c>
      <c r="D27" s="3">
        <v>10000000</v>
      </c>
      <c r="E27" s="2">
        <v>4.8529999999999997E-2</v>
      </c>
      <c r="F27" s="4">
        <f t="shared" si="7"/>
        <v>919058.51645574276</v>
      </c>
      <c r="G27" s="3">
        <f t="shared" si="8"/>
        <v>10847000</v>
      </c>
      <c r="H27" s="3">
        <f t="shared" si="9"/>
        <v>963660.4262593399</v>
      </c>
      <c r="I27" s="5">
        <f t="shared" si="4"/>
        <v>11.81718386800398</v>
      </c>
      <c r="J27" s="2">
        <f t="shared" si="3"/>
        <v>6.051999999999999E-2</v>
      </c>
      <c r="K27" s="2">
        <f t="shared" si="5"/>
        <v>-2.5917172476768613E-2</v>
      </c>
      <c r="L27" s="5">
        <f t="shared" si="6"/>
        <v>-0.93648386800398065</v>
      </c>
    </row>
    <row r="28" spans="1:12" x14ac:dyDescent="0.25">
      <c r="A28" s="1">
        <v>38808</v>
      </c>
      <c r="B28">
        <v>11.057</v>
      </c>
      <c r="C28" s="2">
        <v>8.5000000000000006E-2</v>
      </c>
      <c r="D28" s="3">
        <v>10000000</v>
      </c>
      <c r="E28" s="2">
        <v>5.0570000000000004E-2</v>
      </c>
      <c r="F28" s="4">
        <f t="shared" si="7"/>
        <v>904404.44966989232</v>
      </c>
      <c r="G28" s="3">
        <f t="shared" si="8"/>
        <v>10850000</v>
      </c>
      <c r="H28" s="3">
        <f t="shared" si="9"/>
        <v>950140.18268969876</v>
      </c>
      <c r="I28" s="5">
        <f t="shared" si="4"/>
        <v>11.724452975047985</v>
      </c>
      <c r="J28" s="2">
        <f t="shared" si="3"/>
        <v>6.359999999999999E-2</v>
      </c>
      <c r="K28" s="2">
        <f t="shared" si="5"/>
        <v>6.3348416289588094E-4</v>
      </c>
      <c r="L28" s="5">
        <f t="shared" si="6"/>
        <v>-0.66745297504798451</v>
      </c>
    </row>
    <row r="29" spans="1:12" x14ac:dyDescent="0.25">
      <c r="A29" s="1">
        <v>38838</v>
      </c>
      <c r="B29">
        <v>11.331</v>
      </c>
      <c r="C29" s="2">
        <v>9.0999999999999998E-2</v>
      </c>
      <c r="D29" s="3">
        <v>10000000</v>
      </c>
      <c r="E29" s="2">
        <v>5.1230000000000005E-2</v>
      </c>
      <c r="F29" s="4">
        <f t="shared" si="7"/>
        <v>882534.63948459981</v>
      </c>
      <c r="G29" s="3">
        <f t="shared" si="8"/>
        <v>10910000</v>
      </c>
      <c r="H29" s="3">
        <f t="shared" si="9"/>
        <v>927746.88906539592</v>
      </c>
      <c r="I29" s="5">
        <f t="shared" ref="I29:I92" si="10">G17/H17</f>
        <v>11.471480473520726</v>
      </c>
      <c r="J29" s="2">
        <f t="shared" si="3"/>
        <v>5.6329999999999991E-2</v>
      </c>
      <c r="K29" s="2">
        <f t="shared" si="5"/>
        <v>4.1260797647491243E-2</v>
      </c>
      <c r="L29" s="5">
        <f t="shared" si="6"/>
        <v>-0.14048047352072679</v>
      </c>
    </row>
    <row r="30" spans="1:12" x14ac:dyDescent="0.25">
      <c r="A30" s="1">
        <v>38869</v>
      </c>
      <c r="B30">
        <v>11.335000000000001</v>
      </c>
      <c r="C30" s="2">
        <v>9.06E-2</v>
      </c>
      <c r="D30" s="3">
        <v>10000000</v>
      </c>
      <c r="E30" s="2">
        <v>5.1449999999999996E-2</v>
      </c>
      <c r="F30" s="4">
        <f t="shared" si="7"/>
        <v>882223.20247022493</v>
      </c>
      <c r="G30" s="3">
        <f t="shared" si="8"/>
        <v>10906000</v>
      </c>
      <c r="H30" s="3">
        <f t="shared" si="9"/>
        <v>927613.586237318</v>
      </c>
      <c r="I30" s="5">
        <f t="shared" si="10"/>
        <v>11.311257358955361</v>
      </c>
      <c r="J30" s="2">
        <f t="shared" ref="J30:J93" si="11">C18-E18</f>
        <v>5.4990000000000011E-2</v>
      </c>
      <c r="K30" s="2">
        <f t="shared" ref="K30:K93" si="12">(B30/B18)-1</f>
        <v>5.5125293219644877E-2</v>
      </c>
      <c r="L30" s="5">
        <f t="shared" si="6"/>
        <v>2.3742641044639967E-2</v>
      </c>
    </row>
    <row r="31" spans="1:12" x14ac:dyDescent="0.25">
      <c r="A31" s="1">
        <v>38899</v>
      </c>
      <c r="B31">
        <v>10.965</v>
      </c>
      <c r="C31" s="2">
        <v>8.5199999999999998E-2</v>
      </c>
      <c r="D31" s="3">
        <v>10000000</v>
      </c>
      <c r="E31" s="2">
        <v>4.9880000000000008E-2</v>
      </c>
      <c r="F31" s="4">
        <f t="shared" si="7"/>
        <v>911992.70405836753</v>
      </c>
      <c r="G31" s="3">
        <f t="shared" si="8"/>
        <v>10852000</v>
      </c>
      <c r="H31" s="3">
        <f t="shared" si="9"/>
        <v>957482.90013679885</v>
      </c>
      <c r="I31" s="5">
        <f t="shared" si="10"/>
        <v>11.129302372413262</v>
      </c>
      <c r="J31" s="2">
        <f t="shared" si="11"/>
        <v>5.167999999999999E-2</v>
      </c>
      <c r="K31" s="2">
        <f t="shared" si="12"/>
        <v>3.4063260340632562E-2</v>
      </c>
      <c r="L31" s="5">
        <f t="shared" si="6"/>
        <v>-0.16430237241326218</v>
      </c>
    </row>
    <row r="32" spans="1:12" x14ac:dyDescent="0.25">
      <c r="A32" s="1">
        <v>38930</v>
      </c>
      <c r="B32">
        <v>10.9125</v>
      </c>
      <c r="C32" s="2">
        <v>8.2100000000000006E-2</v>
      </c>
      <c r="D32" s="3">
        <v>10000000</v>
      </c>
      <c r="E32" s="2">
        <v>4.7320000000000001E-2</v>
      </c>
      <c r="F32" s="4">
        <f t="shared" si="7"/>
        <v>916380.29782359686</v>
      </c>
      <c r="G32" s="3">
        <f t="shared" si="8"/>
        <v>10821000</v>
      </c>
      <c r="H32" s="3">
        <f t="shared" si="9"/>
        <v>959743.41351660946</v>
      </c>
      <c r="I32" s="5">
        <f t="shared" si="10"/>
        <v>11.255064798969368</v>
      </c>
      <c r="J32" s="2">
        <f t="shared" si="11"/>
        <v>4.8160000000000001E-2</v>
      </c>
      <c r="K32" s="2">
        <f t="shared" si="12"/>
        <v>1.4455703262991504E-2</v>
      </c>
      <c r="L32" s="5">
        <f t="shared" si="6"/>
        <v>-0.34256479896936831</v>
      </c>
    </row>
    <row r="33" spans="1:12" x14ac:dyDescent="0.25">
      <c r="A33" s="1">
        <v>38961</v>
      </c>
      <c r="B33">
        <v>10.9755</v>
      </c>
      <c r="C33" s="2">
        <v>8.2400000000000001E-2</v>
      </c>
      <c r="D33" s="3">
        <v>10000000</v>
      </c>
      <c r="E33" s="2">
        <v>4.6330000000000003E-2</v>
      </c>
      <c r="F33" s="4">
        <f t="shared" si="7"/>
        <v>911120.22231333423</v>
      </c>
      <c r="G33" s="3">
        <f t="shared" si="8"/>
        <v>10824000</v>
      </c>
      <c r="H33" s="3">
        <f t="shared" si="9"/>
        <v>953332.42221311096</v>
      </c>
      <c r="I33" s="5">
        <f t="shared" si="10"/>
        <v>11.197065329908371</v>
      </c>
      <c r="J33" s="2">
        <f t="shared" si="11"/>
        <v>4.2480000000000004E-2</v>
      </c>
      <c r="K33" s="2">
        <f t="shared" si="12"/>
        <v>2.0122687982154552E-2</v>
      </c>
      <c r="L33" s="5">
        <f t="shared" si="6"/>
        <v>-0.22156532990837086</v>
      </c>
    </row>
    <row r="34" spans="1:12" x14ac:dyDescent="0.25">
      <c r="A34" s="1">
        <v>38991</v>
      </c>
      <c r="B34">
        <v>10.7605</v>
      </c>
      <c r="C34" s="2">
        <v>7.9100000000000004E-2</v>
      </c>
      <c r="D34" s="3">
        <v>10000000</v>
      </c>
      <c r="E34" s="2">
        <v>4.6039999999999998E-2</v>
      </c>
      <c r="F34" s="4">
        <f t="shared" si="7"/>
        <v>929324.84549974441</v>
      </c>
      <c r="G34" s="3">
        <f t="shared" si="8"/>
        <v>10791000</v>
      </c>
      <c r="H34" s="3">
        <f t="shared" si="9"/>
        <v>972110.96138655266</v>
      </c>
      <c r="I34" s="5">
        <f t="shared" si="10"/>
        <v>11.237114492573427</v>
      </c>
      <c r="J34" s="2">
        <f t="shared" si="11"/>
        <v>4.3729999999999984E-2</v>
      </c>
      <c r="K34" s="2">
        <f t="shared" si="12"/>
        <v>-2.3641757834228505E-3</v>
      </c>
      <c r="L34" s="5">
        <f t="shared" si="6"/>
        <v>-0.47661449257342703</v>
      </c>
    </row>
    <row r="35" spans="1:12" x14ac:dyDescent="0.25">
      <c r="A35" s="1">
        <v>39022</v>
      </c>
      <c r="B35">
        <v>10.982699999999999</v>
      </c>
      <c r="C35" s="2">
        <v>7.7199999999999991E-2</v>
      </c>
      <c r="D35" s="3">
        <v>10000000</v>
      </c>
      <c r="E35" s="2">
        <v>4.462E-2</v>
      </c>
      <c r="F35" s="4">
        <f t="shared" si="7"/>
        <v>910522.91330911347</v>
      </c>
      <c r="G35" s="3">
        <f t="shared" si="8"/>
        <v>10772000</v>
      </c>
      <c r="H35" s="3">
        <f t="shared" si="9"/>
        <v>951150.44570096617</v>
      </c>
      <c r="I35" s="5">
        <f t="shared" si="10"/>
        <v>10.968414508565411</v>
      </c>
      <c r="J35" s="2">
        <f t="shared" si="11"/>
        <v>4.0700000000000007E-2</v>
      </c>
      <c r="K35" s="2">
        <f t="shared" si="12"/>
        <v>4.0304247338309285E-2</v>
      </c>
      <c r="L35" s="5">
        <f t="shared" si="6"/>
        <v>1.4285491434588238E-2</v>
      </c>
    </row>
    <row r="36" spans="1:12" x14ac:dyDescent="0.25">
      <c r="A36" s="1">
        <v>39052</v>
      </c>
      <c r="B36">
        <v>10.8027</v>
      </c>
      <c r="C36" s="2">
        <v>7.4200000000000002E-2</v>
      </c>
      <c r="D36" s="3">
        <v>10000000</v>
      </c>
      <c r="E36" s="2">
        <v>4.7E-2</v>
      </c>
      <c r="F36" s="4">
        <f t="shared" si="7"/>
        <v>925694.50230035081</v>
      </c>
      <c r="G36" s="3">
        <f t="shared" si="8"/>
        <v>10742000</v>
      </c>
      <c r="H36" s="3">
        <f t="shared" si="9"/>
        <v>969202.14390846726</v>
      </c>
      <c r="I36" s="5">
        <f t="shared" si="10"/>
        <v>11.016906796302505</v>
      </c>
      <c r="J36" s="2">
        <f t="shared" si="11"/>
        <v>3.815000000000001E-2</v>
      </c>
      <c r="K36" s="2">
        <f t="shared" si="12"/>
        <v>1.6389895093380957E-2</v>
      </c>
      <c r="L36" s="5">
        <f t="shared" si="6"/>
        <v>-0.21420679630250561</v>
      </c>
    </row>
    <row r="37" spans="1:12" x14ac:dyDescent="0.25">
      <c r="A37" s="1">
        <v>39083</v>
      </c>
      <c r="B37">
        <v>11.0025</v>
      </c>
      <c r="C37" s="2">
        <v>7.9100000000000004E-2</v>
      </c>
      <c r="D37" s="3">
        <v>10000000</v>
      </c>
      <c r="E37" s="2">
        <v>4.8140000000000002E-2</v>
      </c>
      <c r="F37" s="4">
        <f t="shared" si="7"/>
        <v>908884.34446716658</v>
      </c>
      <c r="G37" s="3">
        <f t="shared" si="8"/>
        <v>10791000</v>
      </c>
      <c r="H37" s="3">
        <f t="shared" si="9"/>
        <v>952638.03680981603</v>
      </c>
      <c r="I37" s="5">
        <f t="shared" si="10"/>
        <v>10.808549182445294</v>
      </c>
      <c r="J37" s="2">
        <f t="shared" si="11"/>
        <v>3.6410000000000005E-2</v>
      </c>
      <c r="K37" s="2">
        <f t="shared" si="12"/>
        <v>5.3405076258772333E-2</v>
      </c>
      <c r="L37" s="5">
        <f t="shared" si="6"/>
        <v>0.19395081755470578</v>
      </c>
    </row>
    <row r="38" spans="1:12" x14ac:dyDescent="0.25">
      <c r="A38" s="1">
        <v>39114</v>
      </c>
      <c r="B38">
        <v>11.1622</v>
      </c>
      <c r="C38" s="2">
        <v>7.9699999999999993E-2</v>
      </c>
      <c r="D38" s="3">
        <v>10000000</v>
      </c>
      <c r="E38" s="2">
        <v>4.5769999999999998E-2</v>
      </c>
      <c r="F38" s="4">
        <f t="shared" si="7"/>
        <v>895880.74035584379</v>
      </c>
      <c r="G38" s="3">
        <f t="shared" si="8"/>
        <v>10796999.999999998</v>
      </c>
      <c r="H38" s="3">
        <f t="shared" si="9"/>
        <v>936885.20184193086</v>
      </c>
      <c r="I38" s="5">
        <f t="shared" si="10"/>
        <v>10.807029371538967</v>
      </c>
      <c r="J38" s="2">
        <f t="shared" si="11"/>
        <v>3.2729999999999988E-2</v>
      </c>
      <c r="K38" s="2">
        <f t="shared" si="12"/>
        <v>6.5197060788243277E-2</v>
      </c>
      <c r="L38" s="5">
        <f t="shared" si="6"/>
        <v>0.35517062846103364</v>
      </c>
    </row>
    <row r="39" spans="1:12" x14ac:dyDescent="0.25">
      <c r="A39" s="1">
        <v>39142</v>
      </c>
      <c r="B39">
        <v>11.042999999999999</v>
      </c>
      <c r="C39" s="2">
        <v>7.5300000000000006E-2</v>
      </c>
      <c r="D39" s="3">
        <v>10000000</v>
      </c>
      <c r="E39" s="2">
        <v>4.6479999999999994E-2</v>
      </c>
      <c r="F39" s="4">
        <f t="shared" si="7"/>
        <v>905551.02780041657</v>
      </c>
      <c r="G39" s="3">
        <f t="shared" si="8"/>
        <v>10753000</v>
      </c>
      <c r="H39" s="3">
        <f t="shared" si="9"/>
        <v>947641.03957258002</v>
      </c>
      <c r="I39" s="5">
        <f t="shared" si="10"/>
        <v>11.25603968412921</v>
      </c>
      <c r="J39" s="2">
        <f t="shared" si="11"/>
        <v>3.6170000000000015E-2</v>
      </c>
      <c r="K39" s="2">
        <f t="shared" si="12"/>
        <v>1.4916319722076743E-2</v>
      </c>
      <c r="L39" s="5">
        <f t="shared" si="6"/>
        <v>-0.21303968412921037</v>
      </c>
    </row>
    <row r="40" spans="1:12" x14ac:dyDescent="0.25">
      <c r="A40" s="1">
        <v>39173</v>
      </c>
      <c r="B40">
        <v>10.9657</v>
      </c>
      <c r="C40" s="2">
        <v>7.690000000000001E-2</v>
      </c>
      <c r="D40" s="3">
        <v>10000000</v>
      </c>
      <c r="E40" s="2">
        <v>4.6280000000000002E-2</v>
      </c>
      <c r="F40" s="4">
        <f t="shared" si="7"/>
        <v>911934.48662648071</v>
      </c>
      <c r="G40" s="3">
        <f t="shared" si="8"/>
        <v>10769000</v>
      </c>
      <c r="H40" s="3">
        <f t="shared" si="9"/>
        <v>954138.81466755434</v>
      </c>
      <c r="I40" s="5">
        <f t="shared" si="10"/>
        <v>11.419367581408189</v>
      </c>
      <c r="J40" s="2">
        <f t="shared" si="11"/>
        <v>3.4430000000000002E-2</v>
      </c>
      <c r="K40" s="2">
        <f t="shared" si="12"/>
        <v>-8.2572126254861766E-3</v>
      </c>
      <c r="L40" s="5">
        <f t="shared" si="6"/>
        <v>-0.45366758140818852</v>
      </c>
    </row>
    <row r="41" spans="1:12" x14ac:dyDescent="0.25">
      <c r="A41" s="1">
        <v>39203</v>
      </c>
      <c r="B41">
        <v>10.7445</v>
      </c>
      <c r="C41" s="2">
        <v>7.5199999999999989E-2</v>
      </c>
      <c r="D41" s="3">
        <v>10000000</v>
      </c>
      <c r="E41" s="2">
        <v>4.8920000000000005E-2</v>
      </c>
      <c r="F41" s="4">
        <f t="shared" si="7"/>
        <v>930708.73470147513</v>
      </c>
      <c r="G41" s="3">
        <f t="shared" si="8"/>
        <v>10752000</v>
      </c>
      <c r="H41" s="3">
        <f t="shared" si="9"/>
        <v>976239.00600307132</v>
      </c>
      <c r="I41" s="5">
        <f t="shared" si="10"/>
        <v>11.759672954538967</v>
      </c>
      <c r="J41" s="2">
        <f t="shared" si="11"/>
        <v>3.9769999999999993E-2</v>
      </c>
      <c r="K41" s="2">
        <f t="shared" si="12"/>
        <v>-5.1760656605771671E-2</v>
      </c>
      <c r="L41" s="5">
        <f t="shared" si="6"/>
        <v>-1.0151729545389667</v>
      </c>
    </row>
    <row r="42" spans="1:12" x14ac:dyDescent="0.25">
      <c r="A42" s="1">
        <v>39234</v>
      </c>
      <c r="B42">
        <v>10.8078</v>
      </c>
      <c r="C42" s="2">
        <v>7.6600000000000001E-2</v>
      </c>
      <c r="D42" s="3">
        <v>10000000</v>
      </c>
      <c r="E42" s="2">
        <v>5.0270000000000002E-2</v>
      </c>
      <c r="F42" s="4">
        <f t="shared" si="7"/>
        <v>925257.6842650678</v>
      </c>
      <c r="G42" s="3">
        <f t="shared" si="8"/>
        <v>10766000</v>
      </c>
      <c r="H42" s="3">
        <f t="shared" si="9"/>
        <v>971770.38805307285</v>
      </c>
      <c r="I42" s="5">
        <f t="shared" si="10"/>
        <v>11.757050739455039</v>
      </c>
      <c r="J42" s="2">
        <f t="shared" si="11"/>
        <v>3.9150000000000004E-2</v>
      </c>
      <c r="K42" s="2">
        <f t="shared" si="12"/>
        <v>-4.6510807234230289E-2</v>
      </c>
      <c r="L42" s="5">
        <f t="shared" si="6"/>
        <v>-0.94925073945503868</v>
      </c>
    </row>
    <row r="43" spans="1:12" x14ac:dyDescent="0.25">
      <c r="A43" s="1">
        <v>39264</v>
      </c>
      <c r="B43">
        <v>10.99</v>
      </c>
      <c r="C43" s="2">
        <v>7.6799999999999993E-2</v>
      </c>
      <c r="D43" s="3">
        <v>10000000</v>
      </c>
      <c r="E43" s="2">
        <v>4.7329999999999997E-2</v>
      </c>
      <c r="F43" s="4">
        <f t="shared" si="7"/>
        <v>909918.10737033666</v>
      </c>
      <c r="G43" s="3">
        <f t="shared" si="8"/>
        <v>10768000</v>
      </c>
      <c r="H43" s="3">
        <f t="shared" si="9"/>
        <v>952984.53139217477</v>
      </c>
      <c r="I43" s="5">
        <f t="shared" si="10"/>
        <v>11.333883872442566</v>
      </c>
      <c r="J43" s="2">
        <f t="shared" si="11"/>
        <v>3.531999999999999E-2</v>
      </c>
      <c r="K43" s="2">
        <f t="shared" si="12"/>
        <v>2.2799817601459882E-3</v>
      </c>
      <c r="L43" s="5">
        <f t="shared" si="6"/>
        <v>-0.34388387244256613</v>
      </c>
    </row>
    <row r="44" spans="1:12" x14ac:dyDescent="0.25">
      <c r="A44" s="1">
        <v>39295</v>
      </c>
      <c r="B44">
        <v>11.032500000000001</v>
      </c>
      <c r="C44" s="2">
        <v>7.7800000000000008E-2</v>
      </c>
      <c r="D44" s="3">
        <v>10000000</v>
      </c>
      <c r="E44" s="2">
        <v>4.5270000000000005E-2</v>
      </c>
      <c r="F44" s="4">
        <f t="shared" si="7"/>
        <v>906412.87106276909</v>
      </c>
      <c r="G44" s="3">
        <f t="shared" si="8"/>
        <v>10778000</v>
      </c>
      <c r="H44" s="3">
        <f t="shared" si="9"/>
        <v>947446.18173578056</v>
      </c>
      <c r="I44" s="5">
        <f t="shared" si="10"/>
        <v>11.274888524997134</v>
      </c>
      <c r="J44" s="2">
        <f t="shared" si="11"/>
        <v>3.4780000000000005E-2</v>
      </c>
      <c r="K44" s="2">
        <f t="shared" si="12"/>
        <v>1.0996563573883344E-2</v>
      </c>
      <c r="L44" s="5">
        <f t="shared" si="6"/>
        <v>-0.24238852499713381</v>
      </c>
    </row>
    <row r="45" spans="1:12" x14ac:dyDescent="0.25">
      <c r="A45" s="1">
        <v>39326</v>
      </c>
      <c r="B45">
        <v>10.922000000000001</v>
      </c>
      <c r="C45" s="2">
        <v>7.8710000000000002E-2</v>
      </c>
      <c r="D45" s="3">
        <v>10000000</v>
      </c>
      <c r="E45" s="2">
        <v>4.5940000000000002E-2</v>
      </c>
      <c r="F45" s="4">
        <f t="shared" si="7"/>
        <v>915583.22651529021</v>
      </c>
      <c r="G45" s="3">
        <f t="shared" si="8"/>
        <v>10787100</v>
      </c>
      <c r="H45" s="3">
        <f t="shared" si="9"/>
        <v>957645.11994140269</v>
      </c>
      <c r="I45" s="5">
        <f t="shared" si="10"/>
        <v>11.353857004960195</v>
      </c>
      <c r="J45" s="2">
        <f t="shared" si="11"/>
        <v>3.6069999999999998E-2</v>
      </c>
      <c r="K45" s="2">
        <f t="shared" si="12"/>
        <v>-4.8744931893762722E-3</v>
      </c>
      <c r="L45" s="5">
        <f t="shared" si="6"/>
        <v>-0.43185700496019486</v>
      </c>
    </row>
    <row r="46" spans="1:12" x14ac:dyDescent="0.25">
      <c r="A46" s="1">
        <v>39356</v>
      </c>
      <c r="B46">
        <v>10.6532</v>
      </c>
      <c r="C46" s="2">
        <v>7.8399999999999997E-2</v>
      </c>
      <c r="D46" s="3">
        <v>10000000</v>
      </c>
      <c r="E46" s="2">
        <v>4.4729999999999999E-2</v>
      </c>
      <c r="F46" s="4">
        <f t="shared" si="7"/>
        <v>938685.08992603165</v>
      </c>
      <c r="G46" s="3">
        <f t="shared" si="8"/>
        <v>10784000</v>
      </c>
      <c r="H46" s="3">
        <f t="shared" si="9"/>
        <v>980672.47399842297</v>
      </c>
      <c r="I46" s="5">
        <f t="shared" si="10"/>
        <v>11.100584633474819</v>
      </c>
      <c r="J46" s="2">
        <f t="shared" si="11"/>
        <v>3.3060000000000006E-2</v>
      </c>
      <c r="K46" s="2">
        <f t="shared" si="12"/>
        <v>-9.9716555922122474E-3</v>
      </c>
      <c r="L46" s="5">
        <f t="shared" si="6"/>
        <v>-0.44738463347481883</v>
      </c>
    </row>
    <row r="47" spans="1:12" x14ac:dyDescent="0.25">
      <c r="A47" s="1">
        <v>39387</v>
      </c>
      <c r="B47">
        <v>10.907</v>
      </c>
      <c r="C47" s="2">
        <v>7.9199999999999993E-2</v>
      </c>
      <c r="D47" s="3">
        <v>10000000</v>
      </c>
      <c r="E47" s="2">
        <v>3.9489999999999997E-2</v>
      </c>
      <c r="F47" s="4">
        <f t="shared" si="7"/>
        <v>916842.39479233522</v>
      </c>
      <c r="G47" s="3">
        <f t="shared" si="8"/>
        <v>10792000</v>
      </c>
      <c r="H47" s="3">
        <f t="shared" si="9"/>
        <v>953048.50096268451</v>
      </c>
      <c r="I47" s="5">
        <f t="shared" si="10"/>
        <v>11.325232563037275</v>
      </c>
      <c r="J47" s="2">
        <f t="shared" si="11"/>
        <v>3.2579999999999991E-2</v>
      </c>
      <c r="K47" s="2">
        <f t="shared" si="12"/>
        <v>-6.892658453749978E-3</v>
      </c>
      <c r="L47" s="5">
        <f t="shared" si="6"/>
        <v>-0.41823256303727518</v>
      </c>
    </row>
    <row r="48" spans="1:12" x14ac:dyDescent="0.25">
      <c r="A48" s="1">
        <v>39417</v>
      </c>
      <c r="B48">
        <v>10.908799999999999</v>
      </c>
      <c r="C48" s="2">
        <v>8.14E-2</v>
      </c>
      <c r="D48" s="3">
        <v>10000000</v>
      </c>
      <c r="E48" s="2">
        <v>4.0350000000000004E-2</v>
      </c>
      <c r="F48" s="4">
        <f t="shared" si="7"/>
        <v>916691.11176298035</v>
      </c>
      <c r="G48" s="3">
        <f t="shared" si="8"/>
        <v>10814000</v>
      </c>
      <c r="H48" s="3">
        <f t="shared" si="9"/>
        <v>953679.59812261665</v>
      </c>
      <c r="I48" s="5">
        <f t="shared" si="10"/>
        <v>11.083343209169055</v>
      </c>
      <c r="J48" s="2">
        <f t="shared" si="11"/>
        <v>2.7200000000000002E-2</v>
      </c>
      <c r="K48" s="2">
        <f t="shared" si="12"/>
        <v>9.8216186694066732E-3</v>
      </c>
      <c r="L48" s="5">
        <f t="shared" si="6"/>
        <v>-0.1745432091690553</v>
      </c>
    </row>
    <row r="49" spans="1:12" x14ac:dyDescent="0.25">
      <c r="A49" s="1">
        <v>39448</v>
      </c>
      <c r="B49">
        <v>10.8262</v>
      </c>
      <c r="C49" s="2">
        <v>7.5899999999999995E-2</v>
      </c>
      <c r="D49" s="3">
        <v>10000000</v>
      </c>
      <c r="E49" s="2">
        <v>3.5970000000000002E-2</v>
      </c>
      <c r="F49" s="4">
        <f t="shared" si="7"/>
        <v>923685.13421145</v>
      </c>
      <c r="G49" s="3">
        <f t="shared" si="8"/>
        <v>10759000</v>
      </c>
      <c r="H49" s="3">
        <f t="shared" si="9"/>
        <v>956910.08848903596</v>
      </c>
      <c r="I49" s="5">
        <f t="shared" si="10"/>
        <v>11.327492272024729</v>
      </c>
      <c r="J49" s="2">
        <f t="shared" si="11"/>
        <v>3.0960000000000001E-2</v>
      </c>
      <c r="K49" s="2">
        <f t="shared" si="12"/>
        <v>-1.6023630992956117E-2</v>
      </c>
      <c r="L49" s="5">
        <f t="shared" si="6"/>
        <v>-0.50129227202472926</v>
      </c>
    </row>
    <row r="50" spans="1:12" x14ac:dyDescent="0.25">
      <c r="A50" s="1">
        <v>39479</v>
      </c>
      <c r="B50">
        <v>10.711499999999999</v>
      </c>
      <c r="C50" s="2">
        <v>7.4700000000000003E-2</v>
      </c>
      <c r="D50" s="3">
        <v>10000000</v>
      </c>
      <c r="E50" s="2">
        <v>3.5189999999999999E-2</v>
      </c>
      <c r="F50" s="4">
        <f t="shared" si="7"/>
        <v>933576.0631097419</v>
      </c>
      <c r="G50" s="3">
        <f t="shared" si="8"/>
        <v>10747000</v>
      </c>
      <c r="H50" s="3">
        <f t="shared" si="9"/>
        <v>966428.60477057379</v>
      </c>
      <c r="I50" s="5">
        <f t="shared" si="10"/>
        <v>11.52435749734645</v>
      </c>
      <c r="J50" s="2">
        <f t="shared" si="11"/>
        <v>3.3929999999999995E-2</v>
      </c>
      <c r="K50" s="2">
        <f t="shared" si="12"/>
        <v>-4.0377344967837958E-2</v>
      </c>
      <c r="L50" s="5">
        <f t="shared" si="6"/>
        <v>-0.8128574973464513</v>
      </c>
    </row>
    <row r="51" spans="1:12" x14ac:dyDescent="0.25">
      <c r="A51" s="1">
        <v>39508</v>
      </c>
      <c r="B51">
        <v>10.635999999999999</v>
      </c>
      <c r="C51" s="2">
        <v>7.4099999999999999E-2</v>
      </c>
      <c r="D51" s="3">
        <v>10000000</v>
      </c>
      <c r="E51" s="2">
        <v>3.4209999999999997E-2</v>
      </c>
      <c r="F51" s="4">
        <f t="shared" si="7"/>
        <v>940203.08386611519</v>
      </c>
      <c r="G51" s="3">
        <f t="shared" si="8"/>
        <v>10741000</v>
      </c>
      <c r="H51" s="3">
        <f t="shared" si="9"/>
        <v>972367.43136517506</v>
      </c>
      <c r="I51" s="5">
        <f t="shared" si="10"/>
        <v>11.347123595290878</v>
      </c>
      <c r="J51" s="2">
        <f t="shared" si="11"/>
        <v>2.8820000000000012E-2</v>
      </c>
      <c r="K51" s="2">
        <f t="shared" si="12"/>
        <v>-3.6855926831476982E-2</v>
      </c>
      <c r="L51" s="5">
        <f t="shared" si="6"/>
        <v>-0.71112359529087854</v>
      </c>
    </row>
    <row r="52" spans="1:12" x14ac:dyDescent="0.25">
      <c r="A52" s="1">
        <v>39539</v>
      </c>
      <c r="B52">
        <v>10.486000000000001</v>
      </c>
      <c r="C52" s="2">
        <v>7.9299999999999995E-2</v>
      </c>
      <c r="D52" s="3">
        <v>10000000</v>
      </c>
      <c r="E52" s="2">
        <v>3.7339999999999998E-2</v>
      </c>
      <c r="F52" s="4">
        <f t="shared" si="7"/>
        <v>953652.48903299635</v>
      </c>
      <c r="G52" s="3">
        <f t="shared" si="8"/>
        <v>10793000</v>
      </c>
      <c r="H52" s="3">
        <f t="shared" si="9"/>
        <v>989261.87297348841</v>
      </c>
      <c r="I52" s="5">
        <f t="shared" si="10"/>
        <v>11.286617664487517</v>
      </c>
      <c r="J52" s="2">
        <f t="shared" si="11"/>
        <v>3.0620000000000008E-2</v>
      </c>
      <c r="K52" s="2">
        <f t="shared" si="12"/>
        <v>-4.3745497323472216E-2</v>
      </c>
      <c r="L52" s="5">
        <f t="shared" si="6"/>
        <v>-0.80061766448751648</v>
      </c>
    </row>
    <row r="53" spans="1:12" x14ac:dyDescent="0.25">
      <c r="A53" s="1">
        <v>39569</v>
      </c>
      <c r="B53">
        <v>10.321999999999999</v>
      </c>
      <c r="C53" s="2">
        <v>8.1600000000000006E-2</v>
      </c>
      <c r="D53" s="3">
        <v>10000000</v>
      </c>
      <c r="E53" s="2">
        <v>4.0670000000000005E-2</v>
      </c>
      <c r="F53" s="4">
        <f t="shared" si="7"/>
        <v>968804.49525285803</v>
      </c>
      <c r="G53" s="3">
        <f t="shared" si="8"/>
        <v>10815999.999999998</v>
      </c>
      <c r="H53" s="3">
        <f t="shared" si="9"/>
        <v>1008205.7740747917</v>
      </c>
      <c r="I53" s="5">
        <f t="shared" si="10"/>
        <v>11.013696373412653</v>
      </c>
      <c r="J53" s="2">
        <f t="shared" si="11"/>
        <v>2.6279999999999984E-2</v>
      </c>
      <c r="K53" s="2">
        <f t="shared" si="12"/>
        <v>-3.9322444041137383E-2</v>
      </c>
      <c r="L53" s="5">
        <f t="shared" si="6"/>
        <v>-0.691696373412654</v>
      </c>
    </row>
    <row r="54" spans="1:12" x14ac:dyDescent="0.25">
      <c r="A54" s="1">
        <v>39600</v>
      </c>
      <c r="B54">
        <v>10.31</v>
      </c>
      <c r="C54" s="2">
        <v>9.2100000000000015E-2</v>
      </c>
      <c r="D54" s="3">
        <v>10000000</v>
      </c>
      <c r="E54" s="2">
        <v>3.9750000000000001E-2</v>
      </c>
      <c r="F54" s="4">
        <f t="shared" si="7"/>
        <v>969932.10475266725</v>
      </c>
      <c r="G54" s="3">
        <f t="shared" si="8"/>
        <v>10921000</v>
      </c>
      <c r="H54" s="3">
        <f t="shared" si="9"/>
        <v>1008486.9059165857</v>
      </c>
      <c r="I54" s="5">
        <f t="shared" si="10"/>
        <v>11.078748778885428</v>
      </c>
      <c r="J54" s="2">
        <f t="shared" si="11"/>
        <v>2.6329999999999999E-2</v>
      </c>
      <c r="K54" s="2">
        <f t="shared" si="12"/>
        <v>-4.6059327522715021E-2</v>
      </c>
      <c r="L54" s="5">
        <f t="shared" si="6"/>
        <v>-0.7687487788854277</v>
      </c>
    </row>
    <row r="55" spans="1:12" x14ac:dyDescent="0.25">
      <c r="A55" s="1">
        <v>39630</v>
      </c>
      <c r="B55">
        <v>10.035</v>
      </c>
      <c r="C55" s="2">
        <v>8.6899999999999991E-2</v>
      </c>
      <c r="D55" s="3">
        <v>10000000</v>
      </c>
      <c r="E55" s="2">
        <v>3.9580000000000004E-2</v>
      </c>
      <c r="F55" s="4">
        <f t="shared" si="7"/>
        <v>996512.20727453905</v>
      </c>
      <c r="G55" s="3">
        <f t="shared" si="8"/>
        <v>10869000</v>
      </c>
      <c r="H55" s="3">
        <f t="shared" si="9"/>
        <v>1035954.1604384653</v>
      </c>
      <c r="I55" s="5">
        <f t="shared" si="10"/>
        <v>11.299239017310684</v>
      </c>
      <c r="J55" s="2">
        <f t="shared" si="11"/>
        <v>2.9469999999999996E-2</v>
      </c>
      <c r="K55" s="2">
        <f t="shared" si="12"/>
        <v>-8.6897179253867196E-2</v>
      </c>
      <c r="L55" s="5">
        <f t="shared" si="6"/>
        <v>-1.2642390173106843</v>
      </c>
    </row>
    <row r="56" spans="1:12" x14ac:dyDescent="0.25">
      <c r="A56" s="1">
        <v>39661</v>
      </c>
      <c r="B56">
        <v>10.285</v>
      </c>
      <c r="C56" s="2">
        <v>8.43E-2</v>
      </c>
      <c r="D56" s="3">
        <v>10000000</v>
      </c>
      <c r="E56" s="2">
        <v>3.8249999999999999E-2</v>
      </c>
      <c r="F56" s="4">
        <f t="shared" si="7"/>
        <v>972289.7423432183</v>
      </c>
      <c r="G56" s="3">
        <f t="shared" si="8"/>
        <v>10843000</v>
      </c>
      <c r="H56" s="3">
        <f t="shared" si="9"/>
        <v>1009479.8249878463</v>
      </c>
      <c r="I56" s="5">
        <f t="shared" si="10"/>
        <v>11.37584404029581</v>
      </c>
      <c r="J56" s="2">
        <f t="shared" si="11"/>
        <v>3.2530000000000003E-2</v>
      </c>
      <c r="K56" s="2">
        <f t="shared" si="12"/>
        <v>-6.7754362111942079E-2</v>
      </c>
      <c r="L56" s="5">
        <f t="shared" si="6"/>
        <v>-1.0908440402958099</v>
      </c>
    </row>
    <row r="57" spans="1:12" x14ac:dyDescent="0.25">
      <c r="A57" s="1">
        <v>39692</v>
      </c>
      <c r="B57">
        <v>10.92</v>
      </c>
      <c r="C57" s="2">
        <v>8.3900000000000002E-2</v>
      </c>
      <c r="D57" s="3">
        <v>10000000</v>
      </c>
      <c r="E57" s="2">
        <v>3.8290000000000005E-2</v>
      </c>
      <c r="F57" s="4">
        <f t="shared" si="7"/>
        <v>915750.91575091577</v>
      </c>
      <c r="G57" s="3">
        <f t="shared" si="8"/>
        <v>10839000</v>
      </c>
      <c r="H57" s="3">
        <f t="shared" si="9"/>
        <v>950815.01831501827</v>
      </c>
      <c r="I57" s="5">
        <f t="shared" si="10"/>
        <v>11.264193567508652</v>
      </c>
      <c r="J57" s="2">
        <f t="shared" si="11"/>
        <v>3.2770000000000001E-2</v>
      </c>
      <c r="K57" s="2">
        <f t="shared" si="12"/>
        <v>-1.8311664530312743E-4</v>
      </c>
      <c r="L57" s="5">
        <f t="shared" si="6"/>
        <v>-0.34419356750865227</v>
      </c>
    </row>
    <row r="58" spans="1:12" x14ac:dyDescent="0.25">
      <c r="A58" s="1">
        <v>39722</v>
      </c>
      <c r="B58">
        <v>12.827</v>
      </c>
      <c r="C58" s="2">
        <v>8.8499999999999995E-2</v>
      </c>
      <c r="D58" s="3">
        <v>10000000</v>
      </c>
      <c r="E58" s="2">
        <v>3.9699999999999999E-2</v>
      </c>
      <c r="F58" s="4">
        <f t="shared" si="7"/>
        <v>779605.51960707887</v>
      </c>
      <c r="G58" s="3">
        <f t="shared" si="8"/>
        <v>10885000</v>
      </c>
      <c r="H58" s="3">
        <f t="shared" si="9"/>
        <v>810555.85873548</v>
      </c>
      <c r="I58" s="5">
        <f t="shared" si="10"/>
        <v>10.996535832224595</v>
      </c>
      <c r="J58" s="2">
        <f t="shared" si="11"/>
        <v>3.3669999999999999E-2</v>
      </c>
      <c r="K58" s="2">
        <f t="shared" si="12"/>
        <v>0.20405136484812081</v>
      </c>
      <c r="L58" s="5">
        <f t="shared" si="6"/>
        <v>1.8304641677754052</v>
      </c>
    </row>
    <row r="59" spans="1:12" x14ac:dyDescent="0.25">
      <c r="A59" s="1">
        <v>39753</v>
      </c>
      <c r="B59">
        <v>13.445399999999999</v>
      </c>
      <c r="C59" s="2">
        <v>9.0999999999999998E-2</v>
      </c>
      <c r="D59" s="3">
        <v>10000000</v>
      </c>
      <c r="E59" s="2">
        <v>2.92E-2</v>
      </c>
      <c r="F59" s="4">
        <f t="shared" si="7"/>
        <v>743748.79140821402</v>
      </c>
      <c r="G59" s="3">
        <f t="shared" si="8"/>
        <v>10910000</v>
      </c>
      <c r="H59" s="3">
        <f t="shared" si="9"/>
        <v>765466.25611733377</v>
      </c>
      <c r="I59" s="5">
        <f t="shared" si="10"/>
        <v>11.32366295010053</v>
      </c>
      <c r="J59" s="2">
        <f t="shared" si="11"/>
        <v>3.9709999999999995E-2</v>
      </c>
      <c r="K59" s="2">
        <f t="shared" si="12"/>
        <v>0.23273127349408629</v>
      </c>
      <c r="L59" s="5">
        <f t="shared" si="6"/>
        <v>2.121737049899469</v>
      </c>
    </row>
    <row r="60" spans="1:12" x14ac:dyDescent="0.25">
      <c r="A60" s="1">
        <v>39783</v>
      </c>
      <c r="B60">
        <v>13.6662</v>
      </c>
      <c r="C60" s="2">
        <v>7.9199999999999993E-2</v>
      </c>
      <c r="D60" s="3">
        <v>10000000</v>
      </c>
      <c r="E60" s="2">
        <v>2.2200000000000001E-2</v>
      </c>
      <c r="F60" s="4">
        <f t="shared" si="7"/>
        <v>731732.30305425066</v>
      </c>
      <c r="G60" s="3">
        <f t="shared" si="8"/>
        <v>10792000</v>
      </c>
      <c r="H60" s="3">
        <f t="shared" si="9"/>
        <v>747976.76018205506</v>
      </c>
      <c r="I60" s="5">
        <f t="shared" si="10"/>
        <v>11.339238064113038</v>
      </c>
      <c r="J60" s="2">
        <f t="shared" si="11"/>
        <v>4.1049999999999996E-2</v>
      </c>
      <c r="K60" s="2">
        <f t="shared" si="12"/>
        <v>0.25276840715752424</v>
      </c>
      <c r="L60" s="5">
        <f t="shared" si="6"/>
        <v>2.3269619358869615</v>
      </c>
    </row>
    <row r="61" spans="1:12" x14ac:dyDescent="0.25">
      <c r="A61" s="1">
        <v>39814</v>
      </c>
      <c r="B61">
        <v>14.342000000000001</v>
      </c>
      <c r="C61" s="2">
        <v>7.7399999999999997E-2</v>
      </c>
      <c r="D61" s="3">
        <v>10000000</v>
      </c>
      <c r="E61" s="2">
        <v>2.8510000000000001E-2</v>
      </c>
      <c r="F61" s="4">
        <f t="shared" si="7"/>
        <v>697252.82387393666</v>
      </c>
      <c r="G61" s="3">
        <f t="shared" si="8"/>
        <v>10774000</v>
      </c>
      <c r="H61" s="3">
        <f t="shared" si="9"/>
        <v>717131.50188258267</v>
      </c>
      <c r="I61" s="5">
        <f t="shared" si="10"/>
        <v>11.243480583414577</v>
      </c>
      <c r="J61" s="2">
        <f t="shared" si="11"/>
        <v>3.9929999999999993E-2</v>
      </c>
      <c r="K61" s="2">
        <f t="shared" si="12"/>
        <v>0.32474921948606172</v>
      </c>
      <c r="L61" s="5">
        <f t="shared" si="6"/>
        <v>3.0985194165854235</v>
      </c>
    </row>
    <row r="62" spans="1:12" x14ac:dyDescent="0.25">
      <c r="A62" s="1">
        <v>39845</v>
      </c>
      <c r="B62">
        <v>15.2475</v>
      </c>
      <c r="C62" s="2">
        <v>8.5500000000000007E-2</v>
      </c>
      <c r="D62" s="3">
        <v>10000000</v>
      </c>
      <c r="E62" s="2">
        <v>3.0210000000000001E-2</v>
      </c>
      <c r="F62" s="4">
        <f t="shared" si="7"/>
        <v>655845.22052795533</v>
      </c>
      <c r="G62" s="3">
        <f t="shared" si="8"/>
        <v>10855000</v>
      </c>
      <c r="H62" s="3">
        <f t="shared" si="9"/>
        <v>675658.30464010488</v>
      </c>
      <c r="I62" s="5">
        <f t="shared" si="10"/>
        <v>11.120324819598334</v>
      </c>
      <c r="J62" s="2">
        <f t="shared" si="11"/>
        <v>3.9510000000000003E-2</v>
      </c>
      <c r="K62" s="2">
        <f t="shared" si="12"/>
        <v>0.42347010222657899</v>
      </c>
      <c r="L62" s="5">
        <f t="shared" si="6"/>
        <v>4.1271751804016663</v>
      </c>
    </row>
    <row r="63" spans="1:12" x14ac:dyDescent="0.25">
      <c r="A63" s="1">
        <v>39873</v>
      </c>
      <c r="B63">
        <v>14.19</v>
      </c>
      <c r="C63" s="2">
        <v>7.7800000000000008E-2</v>
      </c>
      <c r="D63" s="3">
        <v>10000000</v>
      </c>
      <c r="E63" s="2">
        <v>2.6680000000000002E-2</v>
      </c>
      <c r="F63" s="4">
        <f t="shared" si="7"/>
        <v>704721.63495419314</v>
      </c>
      <c r="G63" s="3">
        <f t="shared" si="8"/>
        <v>10778000</v>
      </c>
      <c r="H63" s="3">
        <f t="shared" si="9"/>
        <v>723523.60817477107</v>
      </c>
      <c r="I63" s="5">
        <f t="shared" si="10"/>
        <v>11.046235870857947</v>
      </c>
      <c r="J63" s="2">
        <f t="shared" si="11"/>
        <v>3.9890000000000002E-2</v>
      </c>
      <c r="K63" s="2">
        <f t="shared" si="12"/>
        <v>0.33414817600601743</v>
      </c>
      <c r="L63" s="5">
        <f t="shared" si="6"/>
        <v>3.1437641291420526</v>
      </c>
    </row>
    <row r="64" spans="1:12" x14ac:dyDescent="0.25">
      <c r="A64" s="1">
        <v>39904</v>
      </c>
      <c r="B64">
        <v>13.838800000000001</v>
      </c>
      <c r="C64" s="2">
        <v>7.7199999999999991E-2</v>
      </c>
      <c r="D64" s="3">
        <v>10000000</v>
      </c>
      <c r="E64" s="2">
        <v>3.1190000000000002E-2</v>
      </c>
      <c r="F64" s="4">
        <f t="shared" si="7"/>
        <v>722606.00630112435</v>
      </c>
      <c r="G64" s="3">
        <f t="shared" si="8"/>
        <v>10772000</v>
      </c>
      <c r="H64" s="3">
        <f t="shared" si="9"/>
        <v>745144.08763765648</v>
      </c>
      <c r="I64" s="5">
        <f t="shared" si="10"/>
        <v>10.910154626255617</v>
      </c>
      <c r="J64" s="2">
        <f t="shared" si="11"/>
        <v>4.1959999999999997E-2</v>
      </c>
      <c r="K64" s="2">
        <f t="shared" si="12"/>
        <v>0.31974060652298308</v>
      </c>
      <c r="L64" s="5">
        <f t="shared" si="6"/>
        <v>2.9286453737443843</v>
      </c>
    </row>
    <row r="65" spans="1:12" x14ac:dyDescent="0.25">
      <c r="A65" s="1">
        <v>39934</v>
      </c>
      <c r="B65">
        <v>13.1325</v>
      </c>
      <c r="C65" s="2">
        <v>7.9199999999999993E-2</v>
      </c>
      <c r="D65" s="3">
        <v>10000000</v>
      </c>
      <c r="E65" s="2">
        <v>3.4610000000000002E-2</v>
      </c>
      <c r="F65" s="4">
        <f t="shared" si="7"/>
        <v>761469.63639824861</v>
      </c>
      <c r="G65" s="3">
        <f t="shared" si="8"/>
        <v>10792000</v>
      </c>
      <c r="H65" s="3">
        <f t="shared" si="9"/>
        <v>787824.10051399202</v>
      </c>
      <c r="I65" s="5">
        <f t="shared" si="10"/>
        <v>10.727968712464083</v>
      </c>
      <c r="J65" s="2">
        <f t="shared" si="11"/>
        <v>4.0930000000000001E-2</v>
      </c>
      <c r="K65" s="2">
        <f t="shared" si="12"/>
        <v>0.27228250339081583</v>
      </c>
      <c r="L65" s="5">
        <f t="shared" si="6"/>
        <v>2.4045312875359173</v>
      </c>
    </row>
    <row r="66" spans="1:12" x14ac:dyDescent="0.25">
      <c r="A66" s="1">
        <v>39965</v>
      </c>
      <c r="B66">
        <v>13.186999999999999</v>
      </c>
      <c r="C66" s="2">
        <v>8.14E-2</v>
      </c>
      <c r="D66" s="3">
        <v>10000000</v>
      </c>
      <c r="E66" s="2">
        <v>3.5369999999999999E-2</v>
      </c>
      <c r="F66" s="4">
        <f t="shared" si="7"/>
        <v>758322.5904299689</v>
      </c>
      <c r="G66" s="3">
        <f t="shared" si="8"/>
        <v>10814000</v>
      </c>
      <c r="H66" s="3">
        <f t="shared" si="9"/>
        <v>785144.46045347687</v>
      </c>
      <c r="I66" s="5">
        <f t="shared" si="10"/>
        <v>10.82909449386872</v>
      </c>
      <c r="J66" s="2">
        <f t="shared" si="11"/>
        <v>5.2350000000000015E-2</v>
      </c>
      <c r="K66" s="2">
        <f t="shared" si="12"/>
        <v>0.27904946653734219</v>
      </c>
      <c r="L66" s="5">
        <f t="shared" si="6"/>
        <v>2.3579055061312797</v>
      </c>
    </row>
    <row r="67" spans="1:12" x14ac:dyDescent="0.25">
      <c r="A67" s="1">
        <v>39995</v>
      </c>
      <c r="B67">
        <v>13.173999999999999</v>
      </c>
      <c r="C67" s="2">
        <v>8.1099999999999992E-2</v>
      </c>
      <c r="D67" s="3">
        <v>10000000</v>
      </c>
      <c r="E67" s="2">
        <v>3.4820000000000004E-2</v>
      </c>
      <c r="F67" s="4">
        <f t="shared" si="7"/>
        <v>759070.89722180052</v>
      </c>
      <c r="G67" s="3">
        <f t="shared" si="8"/>
        <v>10811000</v>
      </c>
      <c r="H67" s="3">
        <f t="shared" si="9"/>
        <v>785501.74586306373</v>
      </c>
      <c r="I67" s="5">
        <f t="shared" si="10"/>
        <v>10.49177696762154</v>
      </c>
      <c r="J67" s="2">
        <f t="shared" si="11"/>
        <v>4.7319999999999987E-2</v>
      </c>
      <c r="K67" s="2">
        <f t="shared" si="12"/>
        <v>0.31280518186347783</v>
      </c>
      <c r="L67" s="5">
        <f t="shared" si="6"/>
        <v>2.6822230323784595</v>
      </c>
    </row>
    <row r="68" spans="1:12" x14ac:dyDescent="0.25">
      <c r="A68" s="1">
        <v>40026</v>
      </c>
      <c r="B68">
        <v>13.362299999999999</v>
      </c>
      <c r="C68" s="2">
        <v>8.1799999999999998E-2</v>
      </c>
      <c r="D68" s="3">
        <v>10000000</v>
      </c>
      <c r="E68" s="2">
        <v>3.4009999999999999E-2</v>
      </c>
      <c r="F68" s="4">
        <f t="shared" si="7"/>
        <v>748374.15714360552</v>
      </c>
      <c r="G68" s="3">
        <f t="shared" si="8"/>
        <v>10818000.000000002</v>
      </c>
      <c r="H68" s="3">
        <f t="shared" si="9"/>
        <v>773826.36222805968</v>
      </c>
      <c r="I68" s="5">
        <f t="shared" si="10"/>
        <v>10.741175535757284</v>
      </c>
      <c r="J68" s="2">
        <f t="shared" si="11"/>
        <v>4.6050000000000001E-2</v>
      </c>
      <c r="K68" s="2">
        <f t="shared" si="12"/>
        <v>0.29920272241127854</v>
      </c>
      <c r="L68" s="5">
        <f t="shared" si="6"/>
        <v>2.6211244642427154</v>
      </c>
    </row>
    <row r="69" spans="1:12" x14ac:dyDescent="0.25">
      <c r="A69" s="1">
        <v>40057</v>
      </c>
      <c r="B69">
        <v>13.500999999999999</v>
      </c>
      <c r="C69" s="2">
        <v>7.9119999999999996E-2</v>
      </c>
      <c r="D69" s="3">
        <v>10000000</v>
      </c>
      <c r="E69" s="2">
        <v>3.3050000000000003E-2</v>
      </c>
      <c r="F69" s="4">
        <f t="shared" si="7"/>
        <v>740685.87512036145</v>
      </c>
      <c r="G69" s="3">
        <f t="shared" si="8"/>
        <v>10791200</v>
      </c>
      <c r="H69" s="3">
        <f t="shared" si="9"/>
        <v>765165.54329308937</v>
      </c>
      <c r="I69" s="5">
        <f t="shared" si="10"/>
        <v>11.399693727186047</v>
      </c>
      <c r="J69" s="2">
        <f t="shared" si="11"/>
        <v>4.5609999999999998E-2</v>
      </c>
      <c r="K69" s="2">
        <f t="shared" si="12"/>
        <v>0.2363553113553114</v>
      </c>
      <c r="L69" s="5">
        <f t="shared" si="6"/>
        <v>2.101306272813952</v>
      </c>
    </row>
    <row r="70" spans="1:12" x14ac:dyDescent="0.25">
      <c r="A70" s="1">
        <v>40087</v>
      </c>
      <c r="B70">
        <v>13.22</v>
      </c>
      <c r="C70" s="2">
        <v>8.022E-2</v>
      </c>
      <c r="D70" s="3">
        <v>10000000</v>
      </c>
      <c r="E70" s="2">
        <v>3.388E-2</v>
      </c>
      <c r="F70" s="4">
        <f t="shared" si="7"/>
        <v>756429.65204236005</v>
      </c>
      <c r="G70" s="3">
        <f t="shared" si="8"/>
        <v>10802200</v>
      </c>
      <c r="H70" s="3">
        <f t="shared" si="9"/>
        <v>782057.48865355516</v>
      </c>
      <c r="I70" s="5">
        <f t="shared" si="10"/>
        <v>13.429055977685868</v>
      </c>
      <c r="J70" s="2">
        <f t="shared" si="11"/>
        <v>4.8799999999999996E-2</v>
      </c>
      <c r="K70" s="2">
        <f t="shared" si="12"/>
        <v>3.06384969205582E-2</v>
      </c>
      <c r="L70" s="5">
        <f t="shared" si="6"/>
        <v>-0.20905597768586759</v>
      </c>
    </row>
    <row r="71" spans="1:12" x14ac:dyDescent="0.25">
      <c r="A71" s="1">
        <v>40118</v>
      </c>
      <c r="B71">
        <v>12.936</v>
      </c>
      <c r="C71" s="2">
        <v>7.8550000000000009E-2</v>
      </c>
      <c r="D71" s="3">
        <v>10000000</v>
      </c>
      <c r="E71" s="2">
        <v>3.1980000000000001E-2</v>
      </c>
      <c r="F71" s="4">
        <f t="shared" si="7"/>
        <v>773036.4873222016</v>
      </c>
      <c r="G71" s="3">
        <f t="shared" si="8"/>
        <v>10785499.999999998</v>
      </c>
      <c r="H71" s="3">
        <f t="shared" si="9"/>
        <v>797758.19418676558</v>
      </c>
      <c r="I71" s="5">
        <f t="shared" si="10"/>
        <v>14.252751068791294</v>
      </c>
      <c r="J71" s="2">
        <f t="shared" si="11"/>
        <v>6.1799999999999994E-2</v>
      </c>
      <c r="K71" s="2">
        <f t="shared" si="12"/>
        <v>-3.7886563434334386E-2</v>
      </c>
      <c r="L71" s="5">
        <f t="shared" si="6"/>
        <v>-1.3167510687912944</v>
      </c>
    </row>
    <row r="72" spans="1:12" x14ac:dyDescent="0.25">
      <c r="A72" s="1">
        <v>40148</v>
      </c>
      <c r="B72">
        <v>13.063599999999999</v>
      </c>
      <c r="C72" s="2">
        <v>7.9699999999999993E-2</v>
      </c>
      <c r="D72" s="3">
        <v>10000000</v>
      </c>
      <c r="E72" s="2">
        <v>3.8370000000000001E-2</v>
      </c>
      <c r="F72" s="4">
        <f t="shared" si="7"/>
        <v>765485.77727425832</v>
      </c>
      <c r="G72" s="3">
        <f t="shared" si="8"/>
        <v>10796999.999999998</v>
      </c>
      <c r="H72" s="3">
        <f t="shared" si="9"/>
        <v>794857.46654827159</v>
      </c>
      <c r="I72" s="5">
        <f t="shared" si="10"/>
        <v>14.428255762081783</v>
      </c>
      <c r="J72" s="2">
        <f t="shared" si="11"/>
        <v>5.6999999999999995E-2</v>
      </c>
      <c r="K72" s="2">
        <f t="shared" si="12"/>
        <v>-4.4094188582049165E-2</v>
      </c>
      <c r="L72" s="5">
        <f t="shared" si="6"/>
        <v>-1.3646557620817834</v>
      </c>
    </row>
    <row r="73" spans="1:12" x14ac:dyDescent="0.25">
      <c r="A73" s="1">
        <v>40179</v>
      </c>
      <c r="B73">
        <v>13.099</v>
      </c>
      <c r="C73" s="2">
        <v>7.7600000000000002E-2</v>
      </c>
      <c r="D73" s="3">
        <v>10000000</v>
      </c>
      <c r="E73" s="2">
        <v>3.5880000000000002E-2</v>
      </c>
      <c r="F73" s="4">
        <f t="shared" si="7"/>
        <v>763417.05473700282</v>
      </c>
      <c r="G73" s="3">
        <f t="shared" si="8"/>
        <v>10775999.999999998</v>
      </c>
      <c r="H73" s="3">
        <f t="shared" si="9"/>
        <v>790808.45866096637</v>
      </c>
      <c r="I73" s="5">
        <f t="shared" si="10"/>
        <v>15.023743862480675</v>
      </c>
      <c r="J73" s="2">
        <f t="shared" si="11"/>
        <v>4.8889999999999996E-2</v>
      </c>
      <c r="K73" s="2">
        <f t="shared" si="12"/>
        <v>-8.6668526007530389E-2</v>
      </c>
      <c r="L73" s="5">
        <f t="shared" si="6"/>
        <v>-1.9247438624806747</v>
      </c>
    </row>
    <row r="74" spans="1:12" x14ac:dyDescent="0.25">
      <c r="A74" s="1">
        <v>40210</v>
      </c>
      <c r="B74">
        <v>12.773300000000001</v>
      </c>
      <c r="C74" s="2">
        <v>7.6730000000000007E-2</v>
      </c>
      <c r="D74" s="3">
        <v>10000000</v>
      </c>
      <c r="E74" s="2">
        <v>3.619E-2</v>
      </c>
      <c r="F74" s="4">
        <f t="shared" si="7"/>
        <v>782883.0451018922</v>
      </c>
      <c r="G74" s="3">
        <f t="shared" si="8"/>
        <v>10767300</v>
      </c>
      <c r="H74" s="3">
        <f t="shared" si="9"/>
        <v>811215.58250412962</v>
      </c>
      <c r="I74" s="5">
        <f t="shared" si="10"/>
        <v>16.065813038118442</v>
      </c>
      <c r="J74" s="2">
        <f t="shared" si="11"/>
        <v>5.5290000000000006E-2</v>
      </c>
      <c r="K74" s="2">
        <f t="shared" si="12"/>
        <v>-0.16226922446302672</v>
      </c>
      <c r="L74" s="5">
        <f t="shared" si="6"/>
        <v>-3.2925130381184413</v>
      </c>
    </row>
    <row r="75" spans="1:12" x14ac:dyDescent="0.25">
      <c r="A75" s="1">
        <v>40238</v>
      </c>
      <c r="B75">
        <v>12.377700000000001</v>
      </c>
      <c r="C75" s="2">
        <v>7.5700000000000003E-2</v>
      </c>
      <c r="D75" s="3">
        <v>10000000</v>
      </c>
      <c r="E75" s="2">
        <v>3.8330000000000003E-2</v>
      </c>
      <c r="F75" s="4">
        <f t="shared" si="7"/>
        <v>807904.53799978993</v>
      </c>
      <c r="G75" s="3">
        <f t="shared" si="8"/>
        <v>10757000.000000002</v>
      </c>
      <c r="H75" s="3">
        <f t="shared" si="9"/>
        <v>838871.51894132188</v>
      </c>
      <c r="I75" s="5">
        <f t="shared" si="10"/>
        <v>14.896542252698016</v>
      </c>
      <c r="J75" s="2">
        <f t="shared" si="11"/>
        <v>5.1120000000000006E-2</v>
      </c>
      <c r="K75" s="2">
        <f t="shared" si="12"/>
        <v>-0.12771670190274831</v>
      </c>
      <c r="L75" s="5">
        <f t="shared" si="6"/>
        <v>-2.5188422526980148</v>
      </c>
    </row>
    <row r="76" spans="1:12" x14ac:dyDescent="0.25">
      <c r="A76" s="1">
        <v>40269</v>
      </c>
      <c r="B76">
        <v>12.305</v>
      </c>
      <c r="C76" s="2">
        <v>7.4200000000000002E-2</v>
      </c>
      <c r="D76" s="3">
        <v>10000000</v>
      </c>
      <c r="E76" s="2">
        <v>3.6589999999999998E-2</v>
      </c>
      <c r="F76" s="4">
        <f t="shared" si="7"/>
        <v>812677.77326290123</v>
      </c>
      <c r="G76" s="3">
        <f t="shared" si="8"/>
        <v>10742000</v>
      </c>
      <c r="H76" s="3">
        <f t="shared" si="9"/>
        <v>842413.65298659075</v>
      </c>
      <c r="I76" s="5">
        <f t="shared" si="10"/>
        <v>14.456264471144987</v>
      </c>
      <c r="J76" s="2">
        <f t="shared" si="11"/>
        <v>4.6009999999999988E-2</v>
      </c>
      <c r="K76" s="2">
        <f t="shared" si="12"/>
        <v>-0.1108333092464665</v>
      </c>
      <c r="L76" s="5">
        <f t="shared" si="6"/>
        <v>-2.1512644711449873</v>
      </c>
    </row>
    <row r="77" spans="1:12" x14ac:dyDescent="0.25">
      <c r="A77" s="1">
        <v>40299</v>
      </c>
      <c r="B77">
        <v>12.93</v>
      </c>
      <c r="C77" s="2">
        <v>7.2550000000000003E-2</v>
      </c>
      <c r="D77" s="3">
        <v>10000000</v>
      </c>
      <c r="E77" s="2">
        <v>3.3029999999999997E-2</v>
      </c>
      <c r="F77" s="4">
        <f t="shared" si="7"/>
        <v>773395.20494972938</v>
      </c>
      <c r="G77" s="3">
        <f t="shared" si="8"/>
        <v>10725500.000000002</v>
      </c>
      <c r="H77" s="3">
        <f t="shared" si="9"/>
        <v>798940.44856921886</v>
      </c>
      <c r="I77" s="5">
        <f t="shared" si="10"/>
        <v>13.698489285817844</v>
      </c>
      <c r="J77" s="2">
        <f t="shared" si="11"/>
        <v>4.4589999999999991E-2</v>
      </c>
      <c r="K77" s="2">
        <f t="shared" si="12"/>
        <v>-1.5419760137064586E-2</v>
      </c>
      <c r="L77" s="5">
        <f t="shared" si="6"/>
        <v>-0.7684892858178447</v>
      </c>
    </row>
    <row r="78" spans="1:12" x14ac:dyDescent="0.25">
      <c r="A78" s="1">
        <v>40330</v>
      </c>
      <c r="B78">
        <v>12.942500000000001</v>
      </c>
      <c r="C78" s="2">
        <v>6.8400000000000002E-2</v>
      </c>
      <c r="D78" s="3">
        <v>10000000</v>
      </c>
      <c r="E78" s="2">
        <v>2.9350000000000001E-2</v>
      </c>
      <c r="F78" s="4">
        <f t="shared" si="7"/>
        <v>772648.25188333006</v>
      </c>
      <c r="G78" s="3">
        <f t="shared" si="8"/>
        <v>10684000</v>
      </c>
      <c r="H78" s="3">
        <f t="shared" si="9"/>
        <v>795325.47807610582</v>
      </c>
      <c r="I78" s="5">
        <f t="shared" si="10"/>
        <v>13.773261539353083</v>
      </c>
      <c r="J78" s="2">
        <f t="shared" si="11"/>
        <v>4.6030000000000001E-2</v>
      </c>
      <c r="K78" s="2">
        <f t="shared" si="12"/>
        <v>-1.8540987336012615E-2</v>
      </c>
      <c r="L78" s="5">
        <f t="shared" si="6"/>
        <v>-0.83076153935308206</v>
      </c>
    </row>
    <row r="79" spans="1:12" x14ac:dyDescent="0.25">
      <c r="A79" s="1">
        <v>40360</v>
      </c>
      <c r="B79">
        <v>12.647500000000001</v>
      </c>
      <c r="C79" s="2">
        <v>6.4850000000000005E-2</v>
      </c>
      <c r="D79" s="3">
        <v>10000000</v>
      </c>
      <c r="E79" s="2">
        <v>2.9049999999999999E-2</v>
      </c>
      <c r="F79" s="4">
        <f t="shared" si="7"/>
        <v>790670.09290373581</v>
      </c>
      <c r="G79" s="3">
        <f t="shared" si="8"/>
        <v>10648500</v>
      </c>
      <c r="H79" s="3">
        <f t="shared" si="9"/>
        <v>813639.05910258938</v>
      </c>
      <c r="I79" s="5">
        <f t="shared" si="10"/>
        <v>13.763177557449604</v>
      </c>
      <c r="J79" s="2">
        <f t="shared" si="11"/>
        <v>4.6279999999999988E-2</v>
      </c>
      <c r="K79" s="2">
        <f t="shared" si="12"/>
        <v>-3.9965082738727675E-2</v>
      </c>
      <c r="L79" s="5">
        <f t="shared" ref="L79:L142" si="13">B79-I79</f>
        <v>-1.1156775574496027</v>
      </c>
    </row>
    <row r="80" spans="1:12" x14ac:dyDescent="0.25">
      <c r="A80" s="1">
        <v>40391</v>
      </c>
      <c r="B80">
        <v>13.198499999999999</v>
      </c>
      <c r="C80" s="2">
        <v>6.2100000000000002E-2</v>
      </c>
      <c r="D80" s="3">
        <v>10000000</v>
      </c>
      <c r="E80" s="2">
        <v>2.4700000000000003E-2</v>
      </c>
      <c r="F80" s="4">
        <f t="shared" si="7"/>
        <v>757661.85551388422</v>
      </c>
      <c r="G80" s="3">
        <f t="shared" si="8"/>
        <v>10621000</v>
      </c>
      <c r="H80" s="3">
        <f t="shared" si="9"/>
        <v>776376.10334507714</v>
      </c>
      <c r="I80" s="5">
        <f t="shared" si="10"/>
        <v>13.979880407346156</v>
      </c>
      <c r="J80" s="2">
        <f t="shared" si="11"/>
        <v>4.7789999999999999E-2</v>
      </c>
      <c r="K80" s="2">
        <f t="shared" si="12"/>
        <v>-1.2258368694012312E-2</v>
      </c>
      <c r="L80" s="5">
        <f t="shared" si="13"/>
        <v>-0.78138040734615721</v>
      </c>
    </row>
    <row r="81" spans="1:12" x14ac:dyDescent="0.25">
      <c r="A81" s="1">
        <v>40422</v>
      </c>
      <c r="B81">
        <v>12.607200000000001</v>
      </c>
      <c r="C81" s="2">
        <v>6.08E-2</v>
      </c>
      <c r="D81" s="3">
        <v>10000000</v>
      </c>
      <c r="E81" s="2">
        <v>2.512E-2</v>
      </c>
      <c r="F81" s="4">
        <f t="shared" si="7"/>
        <v>793197.53791484225</v>
      </c>
      <c r="G81" s="3">
        <f t="shared" si="8"/>
        <v>10608000</v>
      </c>
      <c r="H81" s="3">
        <f t="shared" si="9"/>
        <v>813122.66006726306</v>
      </c>
      <c r="I81" s="5">
        <f t="shared" si="10"/>
        <v>14.103091931658682</v>
      </c>
      <c r="J81" s="2">
        <f t="shared" si="11"/>
        <v>4.6069999999999993E-2</v>
      </c>
      <c r="K81" s="2">
        <f t="shared" si="12"/>
        <v>-6.6202503518257849E-2</v>
      </c>
      <c r="L81" s="5">
        <f t="shared" si="13"/>
        <v>-1.4958919316586812</v>
      </c>
    </row>
    <row r="82" spans="1:12" x14ac:dyDescent="0.25">
      <c r="A82" s="1">
        <v>40452</v>
      </c>
      <c r="B82">
        <v>12.3469</v>
      </c>
      <c r="C82" s="2">
        <v>6.0400000000000002E-2</v>
      </c>
      <c r="D82" s="3">
        <v>10000000</v>
      </c>
      <c r="E82" s="2">
        <v>2.6030000000000001E-2</v>
      </c>
      <c r="F82" s="4">
        <f t="shared" ref="F82:F145" si="14">D82/B82</f>
        <v>809919.89892199659</v>
      </c>
      <c r="G82" s="3">
        <f t="shared" ref="G82:G145" si="15">D82*(1+C82)</f>
        <v>10604000</v>
      </c>
      <c r="H82" s="3">
        <f t="shared" ref="H82:H145" si="16">F82*(1+E82)</f>
        <v>831002.11389093613</v>
      </c>
      <c r="I82" s="5">
        <f t="shared" si="10"/>
        <v>13.812539559716797</v>
      </c>
      <c r="J82" s="2">
        <f t="shared" si="11"/>
        <v>4.6339999999999999E-2</v>
      </c>
      <c r="K82" s="2">
        <f t="shared" si="12"/>
        <v>-6.6043872919818503E-2</v>
      </c>
      <c r="L82" s="5">
        <f t="shared" si="13"/>
        <v>-1.4656395597167968</v>
      </c>
    </row>
    <row r="83" spans="1:12" x14ac:dyDescent="0.25">
      <c r="A83" s="1">
        <v>40483</v>
      </c>
      <c r="B83">
        <v>12.4925</v>
      </c>
      <c r="C83" s="2">
        <v>6.7500000000000004E-2</v>
      </c>
      <c r="D83" s="3">
        <v>10000000</v>
      </c>
      <c r="E83" s="2">
        <v>2.7970000000000002E-2</v>
      </c>
      <c r="F83" s="4">
        <f t="shared" si="14"/>
        <v>800480.2881729037</v>
      </c>
      <c r="G83" s="3">
        <f t="shared" si="15"/>
        <v>10674999.999999998</v>
      </c>
      <c r="H83" s="3">
        <f t="shared" si="16"/>
        <v>822869.72183309984</v>
      </c>
      <c r="I83" s="5">
        <f t="shared" si="10"/>
        <v>13.51976084807845</v>
      </c>
      <c r="J83" s="2">
        <f t="shared" si="11"/>
        <v>4.6570000000000007E-2</v>
      </c>
      <c r="K83" s="2">
        <f t="shared" si="12"/>
        <v>-3.4284168212739607E-2</v>
      </c>
      <c r="L83" s="5">
        <f t="shared" si="13"/>
        <v>-1.0272608480784502</v>
      </c>
    </row>
    <row r="84" spans="1:12" x14ac:dyDescent="0.25">
      <c r="A84" s="1">
        <v>40513</v>
      </c>
      <c r="B84">
        <v>12.3575</v>
      </c>
      <c r="C84" s="2">
        <v>6.9400000000000003E-2</v>
      </c>
      <c r="D84" s="3">
        <v>10000000</v>
      </c>
      <c r="E84" s="2">
        <v>3.288E-2</v>
      </c>
      <c r="F84" s="4">
        <f t="shared" si="14"/>
        <v>809225.16690269066</v>
      </c>
      <c r="G84" s="3">
        <f t="shared" si="15"/>
        <v>10693999.999999998</v>
      </c>
      <c r="H84" s="3">
        <f t="shared" si="16"/>
        <v>835832.49039045116</v>
      </c>
      <c r="I84" s="5">
        <f t="shared" si="10"/>
        <v>13.583567437425963</v>
      </c>
      <c r="J84" s="2">
        <f t="shared" si="11"/>
        <v>4.1329999999999992E-2</v>
      </c>
      <c r="K84" s="2">
        <f t="shared" si="12"/>
        <v>-5.4050950733335323E-2</v>
      </c>
      <c r="L84" s="5">
        <f t="shared" si="13"/>
        <v>-1.2260674374259626</v>
      </c>
    </row>
    <row r="85" spans="1:12" x14ac:dyDescent="0.25">
      <c r="A85" s="1">
        <v>40544</v>
      </c>
      <c r="B85">
        <v>12.116199999999999</v>
      </c>
      <c r="C85" s="2">
        <v>7.3599999999999999E-2</v>
      </c>
      <c r="D85" s="3">
        <v>10000000</v>
      </c>
      <c r="E85" s="2">
        <v>3.3739999999999999E-2</v>
      </c>
      <c r="F85" s="4">
        <f t="shared" si="14"/>
        <v>825341.27861870883</v>
      </c>
      <c r="G85" s="3">
        <f t="shared" si="15"/>
        <v>10735999.999999998</v>
      </c>
      <c r="H85" s="3">
        <f t="shared" si="16"/>
        <v>853188.2933593042</v>
      </c>
      <c r="I85" s="5">
        <f t="shared" si="10"/>
        <v>13.626561377765764</v>
      </c>
      <c r="J85" s="2">
        <f t="shared" si="11"/>
        <v>4.172E-2</v>
      </c>
      <c r="K85" s="2">
        <f t="shared" si="12"/>
        <v>-7.5028628139552689E-2</v>
      </c>
      <c r="L85" s="5">
        <f t="shared" si="13"/>
        <v>-1.510361377765765</v>
      </c>
    </row>
    <row r="86" spans="1:12" x14ac:dyDescent="0.25">
      <c r="A86" s="1">
        <v>40575</v>
      </c>
      <c r="B86">
        <v>12.1067</v>
      </c>
      <c r="C86" s="2">
        <v>7.5700000000000003E-2</v>
      </c>
      <c r="D86" s="3">
        <v>10000000</v>
      </c>
      <c r="E86" s="2">
        <v>3.422E-2</v>
      </c>
      <c r="F86" s="4">
        <f t="shared" si="14"/>
        <v>825988.91522875766</v>
      </c>
      <c r="G86" s="3">
        <f t="shared" si="15"/>
        <v>10757000.000000002</v>
      </c>
      <c r="H86" s="3">
        <f t="shared" si="16"/>
        <v>854254.25590788573</v>
      </c>
      <c r="I86" s="5">
        <f t="shared" si="10"/>
        <v>13.273043851996256</v>
      </c>
      <c r="J86" s="2">
        <f t="shared" si="11"/>
        <v>4.0540000000000007E-2</v>
      </c>
      <c r="K86" s="2">
        <f t="shared" si="12"/>
        <v>-5.2186983786492225E-2</v>
      </c>
      <c r="L86" s="5">
        <f t="shared" si="13"/>
        <v>-1.1663438519962561</v>
      </c>
    </row>
    <row r="87" spans="1:12" x14ac:dyDescent="0.25">
      <c r="A87" s="1">
        <v>40603</v>
      </c>
      <c r="B87">
        <v>11.9039</v>
      </c>
      <c r="C87" s="2">
        <v>7.6499999999999999E-2</v>
      </c>
      <c r="D87" s="3">
        <v>10000000</v>
      </c>
      <c r="E87" s="2">
        <v>3.4700000000000002E-2</v>
      </c>
      <c r="F87" s="4">
        <f t="shared" si="14"/>
        <v>840060.8204033972</v>
      </c>
      <c r="G87" s="3">
        <f t="shared" si="15"/>
        <v>10765000</v>
      </c>
      <c r="H87" s="3">
        <f t="shared" si="16"/>
        <v>869210.93087139504</v>
      </c>
      <c r="I87" s="5">
        <f t="shared" si="10"/>
        <v>12.823179422726881</v>
      </c>
      <c r="J87" s="2">
        <f t="shared" si="11"/>
        <v>3.737E-2</v>
      </c>
      <c r="K87" s="2">
        <f t="shared" si="12"/>
        <v>-3.8278517010430058E-2</v>
      </c>
      <c r="L87" s="5">
        <f t="shared" si="13"/>
        <v>-0.91927942272688057</v>
      </c>
    </row>
    <row r="88" spans="1:12" x14ac:dyDescent="0.25">
      <c r="A88" s="1">
        <v>40634</v>
      </c>
      <c r="B88">
        <v>11.497999999999999</v>
      </c>
      <c r="C88" s="2">
        <v>7.2400000000000006E-2</v>
      </c>
      <c r="D88" s="3">
        <v>10000000</v>
      </c>
      <c r="E88" s="2">
        <v>3.2899999999999999E-2</v>
      </c>
      <c r="F88" s="4">
        <f t="shared" si="14"/>
        <v>869716.47242998786</v>
      </c>
      <c r="G88" s="3">
        <f t="shared" si="15"/>
        <v>10724000</v>
      </c>
      <c r="H88" s="3">
        <f t="shared" si="16"/>
        <v>898330.14437293436</v>
      </c>
      <c r="I88" s="5">
        <f t="shared" si="10"/>
        <v>12.751455252317697</v>
      </c>
      <c r="J88" s="2">
        <f t="shared" si="11"/>
        <v>3.7610000000000005E-2</v>
      </c>
      <c r="K88" s="2">
        <f t="shared" si="12"/>
        <v>-6.5583096302316179E-2</v>
      </c>
      <c r="L88" s="5">
        <f t="shared" si="13"/>
        <v>-1.2534552523176981</v>
      </c>
    </row>
    <row r="89" spans="1:12" x14ac:dyDescent="0.25">
      <c r="A89" s="1">
        <v>40664</v>
      </c>
      <c r="B89">
        <v>11.569699999999999</v>
      </c>
      <c r="C89" s="2">
        <v>6.8900000000000003E-2</v>
      </c>
      <c r="D89" s="3">
        <v>10000000</v>
      </c>
      <c r="E89" s="2">
        <v>3.0590000000000003E-2</v>
      </c>
      <c r="F89" s="4">
        <f t="shared" si="14"/>
        <v>864326.64632617962</v>
      </c>
      <c r="G89" s="3">
        <f t="shared" si="15"/>
        <v>10689000</v>
      </c>
      <c r="H89" s="3">
        <f t="shared" si="16"/>
        <v>890766.39843729732</v>
      </c>
      <c r="I89" s="5">
        <f t="shared" si="10"/>
        <v>13.424655140702596</v>
      </c>
      <c r="J89" s="2">
        <f t="shared" si="11"/>
        <v>3.9520000000000007E-2</v>
      </c>
      <c r="K89" s="2">
        <f t="shared" si="12"/>
        <v>-0.10520494972931171</v>
      </c>
      <c r="L89" s="5">
        <f t="shared" si="13"/>
        <v>-1.8549551407025966</v>
      </c>
    </row>
    <row r="90" spans="1:12" x14ac:dyDescent="0.25">
      <c r="A90" s="1">
        <v>40695</v>
      </c>
      <c r="B90">
        <v>11.710599999999999</v>
      </c>
      <c r="C90" s="2">
        <v>6.9599999999999995E-2</v>
      </c>
      <c r="D90" s="3">
        <v>10000000</v>
      </c>
      <c r="E90" s="2">
        <v>3.1600000000000003E-2</v>
      </c>
      <c r="F90" s="4">
        <f t="shared" si="14"/>
        <v>853927.21124451351</v>
      </c>
      <c r="G90" s="3">
        <f t="shared" si="15"/>
        <v>10695999.999999998</v>
      </c>
      <c r="H90" s="3">
        <f t="shared" si="16"/>
        <v>880911.31111984025</v>
      </c>
      <c r="I90" s="5">
        <f t="shared" si="10"/>
        <v>13.433493952494294</v>
      </c>
      <c r="J90" s="2">
        <f t="shared" si="11"/>
        <v>3.9050000000000001E-2</v>
      </c>
      <c r="K90" s="2">
        <f t="shared" si="12"/>
        <v>-9.5182538149507501E-2</v>
      </c>
      <c r="L90" s="5">
        <f t="shared" si="13"/>
        <v>-1.7228939524942941</v>
      </c>
    </row>
    <row r="91" spans="1:12" x14ac:dyDescent="0.25">
      <c r="A91" s="1">
        <v>40725</v>
      </c>
      <c r="B91">
        <v>11.727499999999999</v>
      </c>
      <c r="C91" s="2">
        <v>6.59E-2</v>
      </c>
      <c r="D91" s="3">
        <v>10000000</v>
      </c>
      <c r="E91" s="2">
        <v>2.7919999999999997E-2</v>
      </c>
      <c r="F91" s="4">
        <f t="shared" si="14"/>
        <v>852696.65316563635</v>
      </c>
      <c r="G91" s="3">
        <f t="shared" si="15"/>
        <v>10659000</v>
      </c>
      <c r="H91" s="3">
        <f t="shared" si="16"/>
        <v>876503.94372202083</v>
      </c>
      <c r="I91" s="5">
        <f t="shared" si="10"/>
        <v>13.087498542344882</v>
      </c>
      <c r="J91" s="2">
        <f t="shared" si="11"/>
        <v>3.5800000000000005E-2</v>
      </c>
      <c r="K91" s="2">
        <f t="shared" si="12"/>
        <v>-7.2741648547143822E-2</v>
      </c>
      <c r="L91" s="5">
        <f t="shared" si="13"/>
        <v>-1.3599985423448828</v>
      </c>
    </row>
    <row r="92" spans="1:12" x14ac:dyDescent="0.25">
      <c r="A92" s="1">
        <v>40756</v>
      </c>
      <c r="B92">
        <v>12.337400000000001</v>
      </c>
      <c r="C92" s="2">
        <v>6.08E-2</v>
      </c>
      <c r="D92" s="3">
        <v>10000000</v>
      </c>
      <c r="E92" s="2">
        <v>2.2339999999999999E-2</v>
      </c>
      <c r="F92" s="4">
        <f t="shared" si="14"/>
        <v>810543.55050496862</v>
      </c>
      <c r="G92" s="3">
        <f t="shared" si="15"/>
        <v>10608000</v>
      </c>
      <c r="H92" s="3">
        <f t="shared" si="16"/>
        <v>828651.09342324967</v>
      </c>
      <c r="I92" s="5">
        <f t="shared" si="10"/>
        <v>13.680225285449399</v>
      </c>
      <c r="J92" s="2">
        <f t="shared" si="11"/>
        <v>3.7400000000000003E-2</v>
      </c>
      <c r="K92" s="2">
        <f t="shared" si="12"/>
        <v>-6.5242262378300442E-2</v>
      </c>
      <c r="L92" s="5">
        <f t="shared" si="13"/>
        <v>-1.3428252854493987</v>
      </c>
    </row>
    <row r="93" spans="1:12" x14ac:dyDescent="0.25">
      <c r="A93" s="1">
        <v>40787</v>
      </c>
      <c r="B93">
        <v>13.9</v>
      </c>
      <c r="C93" s="2">
        <v>6.59E-2</v>
      </c>
      <c r="D93" s="3">
        <v>10000000</v>
      </c>
      <c r="E93" s="2">
        <v>1.917E-2</v>
      </c>
      <c r="F93" s="4">
        <f t="shared" si="14"/>
        <v>719424.4604316547</v>
      </c>
      <c r="G93" s="3">
        <f t="shared" si="15"/>
        <v>10659000</v>
      </c>
      <c r="H93" s="3">
        <f t="shared" si="16"/>
        <v>733215.82733812951</v>
      </c>
      <c r="I93" s="5">
        <f t="shared" ref="I93:I156" si="17">G81/H81</f>
        <v>13.046002185110037</v>
      </c>
      <c r="J93" s="2">
        <f t="shared" si="11"/>
        <v>3.5680000000000003E-2</v>
      </c>
      <c r="K93" s="2">
        <f t="shared" si="12"/>
        <v>0.10254457770163072</v>
      </c>
      <c r="L93" s="5">
        <f t="shared" si="13"/>
        <v>0.85399781488996318</v>
      </c>
    </row>
    <row r="94" spans="1:12" x14ac:dyDescent="0.25">
      <c r="A94" s="1">
        <v>40817</v>
      </c>
      <c r="B94">
        <v>13.3604</v>
      </c>
      <c r="C94" s="2">
        <v>6.2E-2</v>
      </c>
      <c r="D94" s="3">
        <v>10000000</v>
      </c>
      <c r="E94" s="2">
        <v>2.1160000000000002E-2</v>
      </c>
      <c r="F94" s="4">
        <f t="shared" si="14"/>
        <v>748480.58441364032</v>
      </c>
      <c r="G94" s="3">
        <f t="shared" si="15"/>
        <v>10620000</v>
      </c>
      <c r="H94" s="3">
        <f t="shared" si="16"/>
        <v>764318.43357983301</v>
      </c>
      <c r="I94" s="5">
        <f t="shared" si="17"/>
        <v>12.760497022504216</v>
      </c>
      <c r="J94" s="2">
        <f t="shared" ref="J94:J157" si="18">C82-E82</f>
        <v>3.4369999999999998E-2</v>
      </c>
      <c r="K94" s="2">
        <f t="shared" ref="K94:K157" si="19">(B94/B82)-1</f>
        <v>8.2085381755744313E-2</v>
      </c>
      <c r="L94" s="5">
        <f t="shared" si="13"/>
        <v>0.59990297749578403</v>
      </c>
    </row>
    <row r="95" spans="1:12" x14ac:dyDescent="0.25">
      <c r="A95" s="1">
        <v>40848</v>
      </c>
      <c r="B95">
        <v>13.643800000000001</v>
      </c>
      <c r="C95" s="2">
        <v>6.2199999999999998E-2</v>
      </c>
      <c r="D95" s="3">
        <v>10000000</v>
      </c>
      <c r="E95" s="2">
        <v>2.0710000000000003E-2</v>
      </c>
      <c r="F95" s="4">
        <f t="shared" si="14"/>
        <v>732933.64018821728</v>
      </c>
      <c r="G95" s="3">
        <f t="shared" si="15"/>
        <v>10622000</v>
      </c>
      <c r="H95" s="3">
        <f t="shared" si="16"/>
        <v>748112.69587651524</v>
      </c>
      <c r="I95" s="5">
        <f t="shared" si="17"/>
        <v>12.972891961827678</v>
      </c>
      <c r="J95" s="2">
        <f t="shared" si="18"/>
        <v>3.9530000000000003E-2</v>
      </c>
      <c r="K95" s="2">
        <f t="shared" si="19"/>
        <v>9.2159295577346478E-2</v>
      </c>
      <c r="L95" s="5">
        <f t="shared" si="13"/>
        <v>0.67090803817232292</v>
      </c>
    </row>
    <row r="96" spans="1:12" x14ac:dyDescent="0.25">
      <c r="A96" s="1">
        <v>40878</v>
      </c>
      <c r="B96">
        <v>13.954700000000001</v>
      </c>
      <c r="C96" s="2">
        <v>6.4699999999999994E-2</v>
      </c>
      <c r="D96" s="3">
        <v>10000000</v>
      </c>
      <c r="E96" s="2">
        <v>1.8759999999999999E-2</v>
      </c>
      <c r="F96" s="4">
        <f t="shared" si="14"/>
        <v>716604.44151432847</v>
      </c>
      <c r="G96" s="3">
        <f t="shared" si="15"/>
        <v>10647000</v>
      </c>
      <c r="H96" s="3">
        <f t="shared" si="16"/>
        <v>730047.94083713717</v>
      </c>
      <c r="I96" s="5">
        <f t="shared" si="17"/>
        <v>12.794429653009059</v>
      </c>
      <c r="J96" s="2">
        <f t="shared" si="18"/>
        <v>3.6520000000000004E-2</v>
      </c>
      <c r="K96" s="2">
        <f t="shared" si="19"/>
        <v>0.12924944365769786</v>
      </c>
      <c r="L96" s="5">
        <f t="shared" si="13"/>
        <v>1.1602703469909414</v>
      </c>
    </row>
    <row r="97" spans="1:12" x14ac:dyDescent="0.25">
      <c r="A97" s="1">
        <v>40909</v>
      </c>
      <c r="B97">
        <v>13.044600000000001</v>
      </c>
      <c r="C97" s="2">
        <v>5.91E-2</v>
      </c>
      <c r="D97" s="3">
        <v>10000000</v>
      </c>
      <c r="E97" s="2">
        <v>1.7950000000000001E-2</v>
      </c>
      <c r="F97" s="4">
        <f t="shared" si="14"/>
        <v>766600.73900311231</v>
      </c>
      <c r="G97" s="3">
        <f t="shared" si="15"/>
        <v>10591000</v>
      </c>
      <c r="H97" s="3">
        <f t="shared" si="16"/>
        <v>780361.22226821806</v>
      </c>
      <c r="I97" s="5">
        <f t="shared" si="17"/>
        <v>12.583388782479149</v>
      </c>
      <c r="J97" s="2">
        <f t="shared" si="18"/>
        <v>3.986E-2</v>
      </c>
      <c r="K97" s="2">
        <f t="shared" si="19"/>
        <v>7.6624684306961122E-2</v>
      </c>
      <c r="L97" s="5">
        <f t="shared" si="13"/>
        <v>0.46121121752085159</v>
      </c>
    </row>
    <row r="98" spans="1:12" x14ac:dyDescent="0.25">
      <c r="A98" s="1">
        <v>40940</v>
      </c>
      <c r="B98">
        <v>12.846</v>
      </c>
      <c r="C98" s="2">
        <v>6.3399999999999998E-2</v>
      </c>
      <c r="D98" s="3">
        <v>10000000</v>
      </c>
      <c r="E98" s="2">
        <v>1.9740000000000001E-2</v>
      </c>
      <c r="F98" s="4">
        <f t="shared" si="14"/>
        <v>778452.43655612646</v>
      </c>
      <c r="G98" s="3">
        <f t="shared" si="15"/>
        <v>10633999.999999998</v>
      </c>
      <c r="H98" s="3">
        <f t="shared" si="16"/>
        <v>793819.0876537445</v>
      </c>
      <c r="I98" s="5">
        <f t="shared" si="17"/>
        <v>12.592269720175594</v>
      </c>
      <c r="J98" s="2">
        <f t="shared" si="18"/>
        <v>4.1480000000000003E-2</v>
      </c>
      <c r="K98" s="2">
        <f t="shared" si="19"/>
        <v>6.1065360502862154E-2</v>
      </c>
      <c r="L98" s="5">
        <f t="shared" si="13"/>
        <v>0.25373027982440632</v>
      </c>
    </row>
    <row r="99" spans="1:12" x14ac:dyDescent="0.25">
      <c r="A99" s="1">
        <v>40969</v>
      </c>
      <c r="B99">
        <v>12.807</v>
      </c>
      <c r="C99" s="2">
        <v>6.3200000000000006E-2</v>
      </c>
      <c r="D99" s="3">
        <v>10000000</v>
      </c>
      <c r="E99" s="2">
        <v>2.214E-2</v>
      </c>
      <c r="F99" s="4">
        <f t="shared" si="14"/>
        <v>780822.98742874991</v>
      </c>
      <c r="G99" s="3">
        <f t="shared" si="15"/>
        <v>10632000</v>
      </c>
      <c r="H99" s="3">
        <f t="shared" si="16"/>
        <v>798110.40837042243</v>
      </c>
      <c r="I99" s="5">
        <f t="shared" si="17"/>
        <v>12.384795931187785</v>
      </c>
      <c r="J99" s="2">
        <f t="shared" si="18"/>
        <v>4.1799999999999997E-2</v>
      </c>
      <c r="K99" s="2">
        <f t="shared" si="19"/>
        <v>7.5865892690630821E-2</v>
      </c>
      <c r="L99" s="5">
        <f t="shared" si="13"/>
        <v>0.42220406881221528</v>
      </c>
    </row>
    <row r="100" spans="1:12" x14ac:dyDescent="0.25">
      <c r="A100" s="1">
        <v>41000</v>
      </c>
      <c r="B100">
        <v>13.015499999999999</v>
      </c>
      <c r="C100" s="2">
        <v>6.2100000000000002E-2</v>
      </c>
      <c r="D100" s="3">
        <v>10000000</v>
      </c>
      <c r="E100" s="2">
        <v>1.9189999999999999E-2</v>
      </c>
      <c r="F100" s="4">
        <f t="shared" si="14"/>
        <v>768314.7017018171</v>
      </c>
      <c r="G100" s="3">
        <f t="shared" si="15"/>
        <v>10621000</v>
      </c>
      <c r="H100" s="3">
        <f t="shared" si="16"/>
        <v>783058.66082747502</v>
      </c>
      <c r="I100" s="5">
        <f t="shared" si="17"/>
        <v>11.937704714880434</v>
      </c>
      <c r="J100" s="2">
        <f t="shared" si="18"/>
        <v>3.9500000000000007E-2</v>
      </c>
      <c r="K100" s="2">
        <f t="shared" si="19"/>
        <v>0.1319794746912506</v>
      </c>
      <c r="L100" s="5">
        <f t="shared" si="13"/>
        <v>1.0777952851195653</v>
      </c>
    </row>
    <row r="101" spans="1:12" x14ac:dyDescent="0.25">
      <c r="A101" s="1">
        <v>41030</v>
      </c>
      <c r="B101">
        <v>14.371600000000001</v>
      </c>
      <c r="C101" s="2">
        <v>6.1200000000000004E-2</v>
      </c>
      <c r="D101" s="3">
        <v>10000000</v>
      </c>
      <c r="E101" s="2">
        <v>1.5629999999999998E-2</v>
      </c>
      <c r="F101" s="4">
        <f t="shared" si="14"/>
        <v>695816.74970079877</v>
      </c>
      <c r="G101" s="3">
        <f t="shared" si="15"/>
        <v>10612000</v>
      </c>
      <c r="H101" s="3">
        <f t="shared" si="16"/>
        <v>706692.3654986223</v>
      </c>
      <c r="I101" s="5">
        <f t="shared" si="17"/>
        <v>11.999779087707044</v>
      </c>
      <c r="J101" s="2">
        <f t="shared" si="18"/>
        <v>3.8309999999999997E-2</v>
      </c>
      <c r="K101" s="2">
        <f t="shared" si="19"/>
        <v>0.24217568303413239</v>
      </c>
      <c r="L101" s="5">
        <f t="shared" si="13"/>
        <v>2.3718209122929572</v>
      </c>
    </row>
    <row r="102" spans="1:12" x14ac:dyDescent="0.25">
      <c r="A102" s="1">
        <v>41061</v>
      </c>
      <c r="B102">
        <v>13.3573</v>
      </c>
      <c r="C102" s="2">
        <v>5.4000000000000006E-2</v>
      </c>
      <c r="D102" s="3">
        <v>10000000</v>
      </c>
      <c r="E102" s="2">
        <v>1.643E-2</v>
      </c>
      <c r="F102" s="4">
        <f t="shared" si="14"/>
        <v>748654.29390670266</v>
      </c>
      <c r="G102" s="3">
        <f t="shared" si="15"/>
        <v>10540000</v>
      </c>
      <c r="H102" s="3">
        <f t="shared" si="16"/>
        <v>760954.68395558977</v>
      </c>
      <c r="I102" s="5">
        <f t="shared" si="17"/>
        <v>12.141971461806898</v>
      </c>
      <c r="J102" s="2">
        <f t="shared" si="18"/>
        <v>3.7999999999999992E-2</v>
      </c>
      <c r="K102" s="2">
        <f t="shared" si="19"/>
        <v>0.14061619387563407</v>
      </c>
      <c r="L102" s="5">
        <f t="shared" si="13"/>
        <v>1.215328538193102</v>
      </c>
    </row>
    <row r="103" spans="1:12" x14ac:dyDescent="0.25">
      <c r="A103" s="1">
        <v>41091</v>
      </c>
      <c r="B103">
        <v>13.327</v>
      </c>
      <c r="C103" s="2">
        <v>5.0900000000000001E-2</v>
      </c>
      <c r="D103" s="3">
        <v>10000000</v>
      </c>
      <c r="E103" s="2">
        <v>1.47E-2</v>
      </c>
      <c r="F103" s="4">
        <f t="shared" si="14"/>
        <v>750356.41929916712</v>
      </c>
      <c r="G103" s="3">
        <f t="shared" si="15"/>
        <v>10509000</v>
      </c>
      <c r="H103" s="3">
        <f t="shared" si="16"/>
        <v>761386.65866286482</v>
      </c>
      <c r="I103" s="5">
        <f t="shared" si="17"/>
        <v>12.160812368666823</v>
      </c>
      <c r="J103" s="2">
        <f t="shared" si="18"/>
        <v>3.798E-2</v>
      </c>
      <c r="K103" s="2">
        <f t="shared" si="19"/>
        <v>0.13638882967384358</v>
      </c>
      <c r="L103" s="5">
        <f t="shared" si="13"/>
        <v>1.1661876313331767</v>
      </c>
    </row>
    <row r="104" spans="1:12" x14ac:dyDescent="0.25">
      <c r="A104" s="1">
        <v>41122</v>
      </c>
      <c r="B104">
        <v>13.192399999999999</v>
      </c>
      <c r="C104" s="2">
        <v>5.4000000000000006E-2</v>
      </c>
      <c r="D104" s="3">
        <v>10000000</v>
      </c>
      <c r="E104" s="2">
        <v>1.5480000000000001E-2</v>
      </c>
      <c r="F104" s="4">
        <f t="shared" si="14"/>
        <v>758012.18883599655</v>
      </c>
      <c r="G104" s="3">
        <f t="shared" si="15"/>
        <v>10540000</v>
      </c>
      <c r="H104" s="3">
        <f t="shared" si="16"/>
        <v>769746.21751917771</v>
      </c>
      <c r="I104" s="5">
        <f t="shared" si="17"/>
        <v>12.801527789189507</v>
      </c>
      <c r="J104" s="2">
        <f t="shared" si="18"/>
        <v>3.8460000000000001E-2</v>
      </c>
      <c r="K104" s="2">
        <f t="shared" si="19"/>
        <v>6.9301473568174732E-2</v>
      </c>
      <c r="L104" s="5">
        <f t="shared" si="13"/>
        <v>0.3908722108104925</v>
      </c>
    </row>
    <row r="105" spans="1:12" x14ac:dyDescent="0.25">
      <c r="A105" s="1">
        <v>41153</v>
      </c>
      <c r="B105">
        <v>12.859400000000001</v>
      </c>
      <c r="C105" s="2">
        <v>5.2999999999999999E-2</v>
      </c>
      <c r="D105" s="3">
        <v>10000000</v>
      </c>
      <c r="E105" s="2">
        <v>1.6330000000000001E-2</v>
      </c>
      <c r="F105" s="4">
        <f t="shared" si="14"/>
        <v>777641.25853461272</v>
      </c>
      <c r="G105" s="3">
        <f t="shared" si="15"/>
        <v>10530000</v>
      </c>
      <c r="H105" s="3">
        <f t="shared" si="16"/>
        <v>790340.14028648287</v>
      </c>
      <c r="I105" s="5">
        <f t="shared" si="17"/>
        <v>14.537329395488486</v>
      </c>
      <c r="J105" s="2">
        <f t="shared" si="18"/>
        <v>4.6730000000000001E-2</v>
      </c>
      <c r="K105" s="2">
        <f t="shared" si="19"/>
        <v>-7.4863309352517948E-2</v>
      </c>
      <c r="L105" s="5">
        <f t="shared" si="13"/>
        <v>-1.6779293954884853</v>
      </c>
    </row>
    <row r="106" spans="1:12" x14ac:dyDescent="0.25">
      <c r="A106" s="1">
        <v>41183</v>
      </c>
      <c r="B106">
        <v>13.099399999999999</v>
      </c>
      <c r="C106" s="2">
        <v>5.4800000000000001E-2</v>
      </c>
      <c r="D106" s="3">
        <v>10000000</v>
      </c>
      <c r="E106" s="2">
        <v>1.694E-2</v>
      </c>
      <c r="F106" s="4">
        <f t="shared" si="14"/>
        <v>763393.74322488054</v>
      </c>
      <c r="G106" s="3">
        <f t="shared" si="15"/>
        <v>10548000</v>
      </c>
      <c r="H106" s="3">
        <f t="shared" si="16"/>
        <v>776325.63323510997</v>
      </c>
      <c r="I106" s="5">
        <f t="shared" si="17"/>
        <v>13.894732265266949</v>
      </c>
      <c r="J106" s="2">
        <f t="shared" si="18"/>
        <v>4.0840000000000001E-2</v>
      </c>
      <c r="K106" s="2">
        <f t="shared" si="19"/>
        <v>-1.9535343253196058E-2</v>
      </c>
      <c r="L106" s="5">
        <f t="shared" si="13"/>
        <v>-0.79533226526694989</v>
      </c>
    </row>
    <row r="107" spans="1:12" x14ac:dyDescent="0.25">
      <c r="A107" s="1">
        <v>41214</v>
      </c>
      <c r="B107">
        <v>12.9503</v>
      </c>
      <c r="C107" s="2">
        <v>5.4400000000000004E-2</v>
      </c>
      <c r="D107" s="3">
        <v>10000000</v>
      </c>
      <c r="E107" s="2">
        <v>1.6160000000000001E-2</v>
      </c>
      <c r="F107" s="4">
        <f t="shared" si="14"/>
        <v>772182.88379419781</v>
      </c>
      <c r="G107" s="3">
        <f t="shared" si="15"/>
        <v>10544000</v>
      </c>
      <c r="H107" s="3">
        <f t="shared" si="16"/>
        <v>784661.35919631203</v>
      </c>
      <c r="I107" s="5">
        <f t="shared" si="17"/>
        <v>14.198395587385253</v>
      </c>
      <c r="J107" s="2">
        <f t="shared" si="18"/>
        <v>4.1489999999999999E-2</v>
      </c>
      <c r="K107" s="2">
        <f t="shared" si="19"/>
        <v>-5.0828947947052838E-2</v>
      </c>
      <c r="L107" s="5">
        <f t="shared" si="13"/>
        <v>-1.2480955873852526</v>
      </c>
    </row>
    <row r="108" spans="1:12" x14ac:dyDescent="0.25">
      <c r="A108" s="1">
        <v>41244</v>
      </c>
      <c r="B108">
        <v>12.8657</v>
      </c>
      <c r="C108" s="2">
        <v>5.2699999999999997E-2</v>
      </c>
      <c r="D108" s="3">
        <v>10000000</v>
      </c>
      <c r="E108" s="2">
        <v>1.7559999999999999E-2</v>
      </c>
      <c r="F108" s="4">
        <f t="shared" si="14"/>
        <v>777260.46775534947</v>
      </c>
      <c r="G108" s="3">
        <f t="shared" si="15"/>
        <v>10527000</v>
      </c>
      <c r="H108" s="3">
        <f t="shared" si="16"/>
        <v>790909.1615691334</v>
      </c>
      <c r="I108" s="5">
        <f t="shared" si="17"/>
        <v>14.583973742589032</v>
      </c>
      <c r="J108" s="2">
        <f t="shared" si="18"/>
        <v>4.5939999999999995E-2</v>
      </c>
      <c r="K108" s="2">
        <f t="shared" si="19"/>
        <v>-7.8038223680910401E-2</v>
      </c>
      <c r="L108" s="5">
        <f t="shared" si="13"/>
        <v>-1.718273742589032</v>
      </c>
    </row>
    <row r="109" spans="1:12" x14ac:dyDescent="0.25">
      <c r="A109" s="1">
        <v>41275</v>
      </c>
      <c r="B109">
        <v>12.7088</v>
      </c>
      <c r="C109" s="2">
        <v>5.0099999999999999E-2</v>
      </c>
      <c r="D109" s="3">
        <v>10000000</v>
      </c>
      <c r="E109" s="2">
        <v>1.985E-2</v>
      </c>
      <c r="F109" s="4">
        <f t="shared" si="14"/>
        <v>786856.35150446929</v>
      </c>
      <c r="G109" s="3">
        <f t="shared" si="15"/>
        <v>10501000</v>
      </c>
      <c r="H109" s="3">
        <f t="shared" si="16"/>
        <v>802475.45008183294</v>
      </c>
      <c r="I109" s="5">
        <f t="shared" si="17"/>
        <v>13.571919897833885</v>
      </c>
      <c r="J109" s="2">
        <f t="shared" si="18"/>
        <v>4.1149999999999999E-2</v>
      </c>
      <c r="K109" s="2">
        <f t="shared" si="19"/>
        <v>-2.5742452815724626E-2</v>
      </c>
      <c r="L109" s="5">
        <f t="shared" si="13"/>
        <v>-0.86311989783388476</v>
      </c>
    </row>
    <row r="110" spans="1:12" x14ac:dyDescent="0.25">
      <c r="A110" s="1">
        <v>41306</v>
      </c>
      <c r="B110">
        <v>12.7791</v>
      </c>
      <c r="C110" s="2">
        <v>4.9500000000000002E-2</v>
      </c>
      <c r="D110" s="3">
        <v>10000000</v>
      </c>
      <c r="E110" s="2">
        <v>1.881E-2</v>
      </c>
      <c r="F110" s="4">
        <f t="shared" si="14"/>
        <v>782527.72104451805</v>
      </c>
      <c r="G110" s="3">
        <f t="shared" si="15"/>
        <v>10495000.000000002</v>
      </c>
      <c r="H110" s="3">
        <f t="shared" si="16"/>
        <v>797247.06747736549</v>
      </c>
      <c r="I110" s="5">
        <f t="shared" si="17"/>
        <v>13.395999372389035</v>
      </c>
      <c r="J110" s="2">
        <f t="shared" si="18"/>
        <v>4.3659999999999997E-2</v>
      </c>
      <c r="K110" s="2">
        <f t="shared" si="19"/>
        <v>-5.2078468005605227E-3</v>
      </c>
      <c r="L110" s="5">
        <f t="shared" si="13"/>
        <v>-0.61689937238903525</v>
      </c>
    </row>
    <row r="111" spans="1:12" x14ac:dyDescent="0.25">
      <c r="A111" s="1">
        <v>41334</v>
      </c>
      <c r="B111">
        <v>12.316000000000001</v>
      </c>
      <c r="C111" s="2">
        <v>4.8600000000000004E-2</v>
      </c>
      <c r="D111" s="3">
        <v>10000000</v>
      </c>
      <c r="E111" s="2">
        <v>1.8520000000000002E-2</v>
      </c>
      <c r="F111" s="4">
        <f t="shared" si="14"/>
        <v>811951.93244559912</v>
      </c>
      <c r="G111" s="3">
        <f t="shared" si="15"/>
        <v>10486000</v>
      </c>
      <c r="H111" s="3">
        <f t="shared" si="16"/>
        <v>826989.28223449166</v>
      </c>
      <c r="I111" s="5">
        <f t="shared" si="17"/>
        <v>13.321465161328193</v>
      </c>
      <c r="J111" s="2">
        <f t="shared" si="18"/>
        <v>4.1060000000000006E-2</v>
      </c>
      <c r="K111" s="2">
        <f t="shared" si="19"/>
        <v>-3.8338408682751624E-2</v>
      </c>
      <c r="L111" s="5">
        <f t="shared" si="13"/>
        <v>-1.0054651613281926</v>
      </c>
    </row>
    <row r="112" spans="1:12" x14ac:dyDescent="0.25">
      <c r="A112" s="1">
        <v>41365</v>
      </c>
      <c r="B112">
        <v>12.134</v>
      </c>
      <c r="C112" s="2">
        <v>4.4500000000000005E-2</v>
      </c>
      <c r="D112" s="3">
        <v>10000000</v>
      </c>
      <c r="E112" s="2">
        <v>1.6730000000000002E-2</v>
      </c>
      <c r="F112" s="4">
        <f t="shared" si="14"/>
        <v>824130.54227789678</v>
      </c>
      <c r="G112" s="3">
        <f t="shared" si="15"/>
        <v>10445000</v>
      </c>
      <c r="H112" s="3">
        <f t="shared" si="16"/>
        <v>837918.24625020591</v>
      </c>
      <c r="I112" s="5">
        <f t="shared" si="17"/>
        <v>13.56347938068466</v>
      </c>
      <c r="J112" s="2">
        <f t="shared" si="18"/>
        <v>4.2910000000000004E-2</v>
      </c>
      <c r="K112" s="2">
        <f t="shared" si="19"/>
        <v>-6.772694095501508E-2</v>
      </c>
      <c r="L112" s="5">
        <f t="shared" si="13"/>
        <v>-1.4294793806846595</v>
      </c>
    </row>
    <row r="113" spans="1:12" x14ac:dyDescent="0.25">
      <c r="A113" s="1">
        <v>41395</v>
      </c>
      <c r="B113">
        <v>12.8089</v>
      </c>
      <c r="C113" s="2">
        <v>5.3699999999999998E-2</v>
      </c>
      <c r="D113" s="3">
        <v>10000000</v>
      </c>
      <c r="E113" s="2">
        <v>2.1320000000000002E-2</v>
      </c>
      <c r="F113" s="4">
        <f t="shared" si="14"/>
        <v>780707.16454964911</v>
      </c>
      <c r="G113" s="3">
        <f t="shared" si="15"/>
        <v>10537000</v>
      </c>
      <c r="H113" s="3">
        <f t="shared" si="16"/>
        <v>797351.84129784768</v>
      </c>
      <c r="I113" s="5">
        <f t="shared" si="17"/>
        <v>15.0164350403198</v>
      </c>
      <c r="J113" s="2">
        <f t="shared" si="18"/>
        <v>4.5570000000000006E-2</v>
      </c>
      <c r="K113" s="2">
        <f t="shared" si="19"/>
        <v>-0.1087352834757439</v>
      </c>
      <c r="L113" s="5">
        <f t="shared" si="13"/>
        <v>-2.2075350403198009</v>
      </c>
    </row>
    <row r="114" spans="1:12" x14ac:dyDescent="0.25">
      <c r="A114" s="1">
        <v>41426</v>
      </c>
      <c r="B114">
        <v>12.946</v>
      </c>
      <c r="C114" s="2">
        <v>5.7500000000000002E-2</v>
      </c>
      <c r="D114" s="3">
        <v>10000000</v>
      </c>
      <c r="E114" s="2">
        <v>2.487E-2</v>
      </c>
      <c r="F114" s="4">
        <f t="shared" si="14"/>
        <v>772439.36350996443</v>
      </c>
      <c r="G114" s="3">
        <f t="shared" si="15"/>
        <v>10575000.000000002</v>
      </c>
      <c r="H114" s="3">
        <f t="shared" si="16"/>
        <v>791649.93048045726</v>
      </c>
      <c r="I114" s="5">
        <f t="shared" si="17"/>
        <v>13.8510219100184</v>
      </c>
      <c r="J114" s="2">
        <f t="shared" si="18"/>
        <v>3.7570000000000006E-2</v>
      </c>
      <c r="K114" s="2">
        <f t="shared" si="19"/>
        <v>-3.0792151108382737E-2</v>
      </c>
      <c r="L114" s="5">
        <f t="shared" si="13"/>
        <v>-0.90502191001839982</v>
      </c>
    </row>
    <row r="115" spans="1:12" x14ac:dyDescent="0.25">
      <c r="A115" s="1">
        <v>41456</v>
      </c>
      <c r="B115">
        <v>12.7325</v>
      </c>
      <c r="C115" s="2">
        <v>5.91E-2</v>
      </c>
      <c r="D115" s="3">
        <v>10000000</v>
      </c>
      <c r="E115" s="2">
        <v>2.588E-2</v>
      </c>
      <c r="F115" s="4">
        <f t="shared" si="14"/>
        <v>785391.71411741606</v>
      </c>
      <c r="G115" s="3">
        <f t="shared" si="15"/>
        <v>10591000</v>
      </c>
      <c r="H115" s="3">
        <f t="shared" si="16"/>
        <v>805717.65167877474</v>
      </c>
      <c r="I115" s="5">
        <f t="shared" si="17"/>
        <v>13.802448309845275</v>
      </c>
      <c r="J115" s="2">
        <f t="shared" si="18"/>
        <v>3.6200000000000003E-2</v>
      </c>
      <c r="K115" s="2">
        <f t="shared" si="19"/>
        <v>-4.460868912733551E-2</v>
      </c>
      <c r="L115" s="5">
        <f t="shared" si="13"/>
        <v>-1.0699483098452749</v>
      </c>
    </row>
    <row r="116" spans="1:12" x14ac:dyDescent="0.25">
      <c r="A116" s="1">
        <v>41487</v>
      </c>
      <c r="B116">
        <v>13.3803</v>
      </c>
      <c r="C116" s="2">
        <v>6.2600000000000003E-2</v>
      </c>
      <c r="D116" s="3">
        <v>10000000</v>
      </c>
      <c r="E116" s="2">
        <v>2.7890000000000002E-2</v>
      </c>
      <c r="F116" s="4">
        <f t="shared" si="14"/>
        <v>747367.39833934966</v>
      </c>
      <c r="G116" s="3">
        <f t="shared" si="15"/>
        <v>10626000</v>
      </c>
      <c r="H116" s="3">
        <f t="shared" si="16"/>
        <v>768211.47507903411</v>
      </c>
      <c r="I116" s="5">
        <f t="shared" si="17"/>
        <v>13.692824674045772</v>
      </c>
      <c r="J116" s="2">
        <f t="shared" si="18"/>
        <v>3.8520000000000006E-2</v>
      </c>
      <c r="K116" s="2">
        <f t="shared" si="19"/>
        <v>1.4243049028228372E-2</v>
      </c>
      <c r="L116" s="5">
        <f t="shared" si="13"/>
        <v>-0.31252467404577189</v>
      </c>
    </row>
    <row r="117" spans="1:12" x14ac:dyDescent="0.25">
      <c r="A117" s="1">
        <v>41518</v>
      </c>
      <c r="B117">
        <v>13.0915</v>
      </c>
      <c r="C117" s="2">
        <v>6.0700000000000004E-2</v>
      </c>
      <c r="D117" s="3">
        <v>10000000</v>
      </c>
      <c r="E117" s="2">
        <v>2.6150000000000003E-2</v>
      </c>
      <c r="F117" s="4">
        <f t="shared" si="14"/>
        <v>763854.40934957797</v>
      </c>
      <c r="G117" s="3">
        <f t="shared" si="15"/>
        <v>10607000</v>
      </c>
      <c r="H117" s="3">
        <f t="shared" si="16"/>
        <v>783829.20215406932</v>
      </c>
      <c r="I117" s="5">
        <f t="shared" si="17"/>
        <v>13.323377446301892</v>
      </c>
      <c r="J117" s="2">
        <f t="shared" si="18"/>
        <v>3.6669999999999994E-2</v>
      </c>
      <c r="K117" s="2">
        <f t="shared" si="19"/>
        <v>1.8049053610588395E-2</v>
      </c>
      <c r="L117" s="5">
        <f t="shared" si="13"/>
        <v>-0.23187744630189222</v>
      </c>
    </row>
    <row r="118" spans="1:12" x14ac:dyDescent="0.25">
      <c r="A118" s="1">
        <v>41548</v>
      </c>
      <c r="B118">
        <v>13.0198</v>
      </c>
      <c r="C118" s="2">
        <v>6.0100000000000001E-2</v>
      </c>
      <c r="D118" s="3">
        <v>10000000</v>
      </c>
      <c r="E118" s="2">
        <v>2.5520000000000001E-2</v>
      </c>
      <c r="F118" s="4">
        <f t="shared" si="14"/>
        <v>768060.95331725525</v>
      </c>
      <c r="G118" s="3">
        <f t="shared" si="15"/>
        <v>10601000</v>
      </c>
      <c r="H118" s="3">
        <f t="shared" si="16"/>
        <v>787661.86884591158</v>
      </c>
      <c r="I118" s="5">
        <f t="shared" si="17"/>
        <v>13.587081951737566</v>
      </c>
      <c r="J118" s="2">
        <f t="shared" si="18"/>
        <v>3.7860000000000005E-2</v>
      </c>
      <c r="K118" s="2">
        <f t="shared" si="19"/>
        <v>-6.0766141960699738E-3</v>
      </c>
      <c r="L118" s="5">
        <f t="shared" si="13"/>
        <v>-0.56728195173756646</v>
      </c>
    </row>
    <row r="119" spans="1:12" x14ac:dyDescent="0.25">
      <c r="A119" s="1">
        <v>41579</v>
      </c>
      <c r="B119">
        <v>13.102499999999999</v>
      </c>
      <c r="C119" s="2">
        <v>6.0899999999999996E-2</v>
      </c>
      <c r="D119" s="3">
        <v>10000000</v>
      </c>
      <c r="E119" s="2">
        <v>2.7459999999999998E-2</v>
      </c>
      <c r="F119" s="4">
        <f t="shared" si="14"/>
        <v>763213.12726578896</v>
      </c>
      <c r="G119" s="3">
        <f t="shared" si="15"/>
        <v>10609000</v>
      </c>
      <c r="H119" s="3">
        <f t="shared" si="16"/>
        <v>784170.95974050753</v>
      </c>
      <c r="I119" s="5">
        <f t="shared" si="17"/>
        <v>13.437643993071958</v>
      </c>
      <c r="J119" s="2">
        <f t="shared" si="18"/>
        <v>3.8240000000000003E-2</v>
      </c>
      <c r="K119" s="2">
        <f t="shared" si="19"/>
        <v>1.1752623491347647E-2</v>
      </c>
      <c r="L119" s="5">
        <f t="shared" si="13"/>
        <v>-0.3351439930719593</v>
      </c>
    </row>
    <row r="120" spans="1:12" x14ac:dyDescent="0.25">
      <c r="A120" s="1">
        <v>41609</v>
      </c>
      <c r="B120">
        <v>13.0365</v>
      </c>
      <c r="C120" s="2">
        <v>6.4199999999999993E-2</v>
      </c>
      <c r="D120" s="3">
        <v>10000000</v>
      </c>
      <c r="E120" s="2">
        <v>3.0259999999999999E-2</v>
      </c>
      <c r="F120" s="4">
        <f t="shared" si="14"/>
        <v>767077.0528899628</v>
      </c>
      <c r="G120" s="3">
        <f t="shared" si="15"/>
        <v>10642000</v>
      </c>
      <c r="H120" s="3">
        <f t="shared" si="16"/>
        <v>790288.80451041309</v>
      </c>
      <c r="I120" s="5">
        <f t="shared" si="17"/>
        <v>13.309998810880931</v>
      </c>
      <c r="J120" s="2">
        <f t="shared" si="18"/>
        <v>3.5139999999999998E-2</v>
      </c>
      <c r="K120" s="2">
        <f t="shared" si="19"/>
        <v>1.3275608789261373E-2</v>
      </c>
      <c r="L120" s="5">
        <f t="shared" si="13"/>
        <v>-0.27349881088093042</v>
      </c>
    </row>
    <row r="121" spans="1:12" x14ac:dyDescent="0.25">
      <c r="A121" s="1">
        <v>41640</v>
      </c>
      <c r="B121">
        <v>13.356199999999999</v>
      </c>
      <c r="C121" s="2">
        <v>6.6299999999999998E-2</v>
      </c>
      <c r="D121" s="3">
        <v>10000000</v>
      </c>
      <c r="E121" s="2">
        <v>2.6440000000000002E-2</v>
      </c>
      <c r="F121" s="4">
        <f t="shared" si="14"/>
        <v>748715.95214207633</v>
      </c>
      <c r="G121" s="3">
        <f t="shared" si="15"/>
        <v>10663000</v>
      </c>
      <c r="H121" s="3">
        <f t="shared" si="16"/>
        <v>768512.00191671285</v>
      </c>
      <c r="I121" s="5">
        <f t="shared" si="17"/>
        <v>13.085758572339071</v>
      </c>
      <c r="J121" s="2">
        <f t="shared" si="18"/>
        <v>3.0249999999999999E-2</v>
      </c>
      <c r="K121" s="2">
        <f t="shared" si="19"/>
        <v>5.0941080196399202E-2</v>
      </c>
      <c r="L121" s="5">
        <f t="shared" si="13"/>
        <v>0.27044142766092882</v>
      </c>
    </row>
    <row r="122" spans="1:12" x14ac:dyDescent="0.25">
      <c r="A122" s="1">
        <v>41671</v>
      </c>
      <c r="B122">
        <v>13.244999999999999</v>
      </c>
      <c r="C122" s="2">
        <v>6.2600000000000003E-2</v>
      </c>
      <c r="D122" s="3">
        <v>10000000</v>
      </c>
      <c r="E122" s="2">
        <v>2.649E-2</v>
      </c>
      <c r="F122" s="4">
        <f t="shared" si="14"/>
        <v>755001.88750471885</v>
      </c>
      <c r="G122" s="3">
        <f t="shared" si="15"/>
        <v>10626000</v>
      </c>
      <c r="H122" s="3">
        <f t="shared" si="16"/>
        <v>775001.88750471873</v>
      </c>
      <c r="I122" s="5">
        <f t="shared" si="17"/>
        <v>13.164049675601929</v>
      </c>
      <c r="J122" s="2">
        <f t="shared" si="18"/>
        <v>3.0690000000000002E-2</v>
      </c>
      <c r="K122" s="2">
        <f t="shared" si="19"/>
        <v>3.6457966523464114E-2</v>
      </c>
      <c r="L122" s="5">
        <f t="shared" si="13"/>
        <v>8.0950324398070705E-2</v>
      </c>
    </row>
    <row r="123" spans="1:12" x14ac:dyDescent="0.25">
      <c r="A123" s="1">
        <v>41699</v>
      </c>
      <c r="B123">
        <v>13.0578</v>
      </c>
      <c r="C123" s="2">
        <v>6.1699999999999998E-2</v>
      </c>
      <c r="D123" s="3">
        <v>10000000</v>
      </c>
      <c r="E123" s="2">
        <v>2.7189999999999999E-2</v>
      </c>
      <c r="F123" s="4">
        <f t="shared" si="14"/>
        <v>765825.78994930233</v>
      </c>
      <c r="G123" s="3">
        <f t="shared" si="15"/>
        <v>10617000</v>
      </c>
      <c r="H123" s="3">
        <f t="shared" si="16"/>
        <v>786648.59317802393</v>
      </c>
      <c r="I123" s="5">
        <f t="shared" si="17"/>
        <v>12.679729018575975</v>
      </c>
      <c r="J123" s="2">
        <f t="shared" si="18"/>
        <v>3.0080000000000003E-2</v>
      </c>
      <c r="K123" s="2">
        <f t="shared" si="19"/>
        <v>6.0230594348814614E-2</v>
      </c>
      <c r="L123" s="5">
        <f t="shared" si="13"/>
        <v>0.37807098142402573</v>
      </c>
    </row>
    <row r="124" spans="1:12" x14ac:dyDescent="0.25">
      <c r="A124" s="1">
        <v>41730</v>
      </c>
      <c r="B124">
        <v>13.0792</v>
      </c>
      <c r="C124" s="2">
        <v>6.1399999999999996E-2</v>
      </c>
      <c r="D124" s="3">
        <v>10000000</v>
      </c>
      <c r="E124" s="2">
        <v>2.6459999999999997E-2</v>
      </c>
      <c r="F124" s="4">
        <f t="shared" si="14"/>
        <v>764572.75674353167</v>
      </c>
      <c r="G124" s="3">
        <f t="shared" si="15"/>
        <v>10613999.999999998</v>
      </c>
      <c r="H124" s="3">
        <f t="shared" si="16"/>
        <v>784803.35188696545</v>
      </c>
      <c r="I124" s="5">
        <f t="shared" si="17"/>
        <v>12.465416580606457</v>
      </c>
      <c r="J124" s="2">
        <f t="shared" si="18"/>
        <v>2.7770000000000003E-2</v>
      </c>
      <c r="K124" s="2">
        <f t="shared" si="19"/>
        <v>7.7896818856106886E-2</v>
      </c>
      <c r="L124" s="5">
        <f t="shared" si="13"/>
        <v>0.61378341939354364</v>
      </c>
    </row>
    <row r="125" spans="1:12" x14ac:dyDescent="0.25">
      <c r="A125" s="1">
        <v>41760</v>
      </c>
      <c r="B125">
        <v>12.858700000000001</v>
      </c>
      <c r="C125" s="2">
        <v>5.8200000000000002E-2</v>
      </c>
      <c r="D125" s="3">
        <v>10000000</v>
      </c>
      <c r="E125" s="2">
        <v>2.4750000000000001E-2</v>
      </c>
      <c r="F125" s="4">
        <f t="shared" si="14"/>
        <v>777683.59165389964</v>
      </c>
      <c r="G125" s="3">
        <f t="shared" si="15"/>
        <v>10582000</v>
      </c>
      <c r="H125" s="3">
        <f t="shared" si="16"/>
        <v>796931.26054733375</v>
      </c>
      <c r="I125" s="5">
        <f t="shared" si="17"/>
        <v>13.214994252535933</v>
      </c>
      <c r="J125" s="2">
        <f t="shared" si="18"/>
        <v>3.2379999999999992E-2</v>
      </c>
      <c r="K125" s="2">
        <f t="shared" si="19"/>
        <v>3.8879216794573956E-3</v>
      </c>
      <c r="L125" s="5">
        <f t="shared" si="13"/>
        <v>-0.35629425253593183</v>
      </c>
    </row>
    <row r="126" spans="1:12" x14ac:dyDescent="0.25">
      <c r="A126" s="1">
        <v>41791</v>
      </c>
      <c r="B126">
        <v>12.9682</v>
      </c>
      <c r="C126" s="2">
        <v>5.6600000000000004E-2</v>
      </c>
      <c r="D126" s="3">
        <v>10000000</v>
      </c>
      <c r="E126" s="2">
        <v>2.5319999999999999E-2</v>
      </c>
      <c r="F126" s="4">
        <f t="shared" si="14"/>
        <v>771117.04014435317</v>
      </c>
      <c r="G126" s="3">
        <f t="shared" si="15"/>
        <v>10566000</v>
      </c>
      <c r="H126" s="3">
        <f t="shared" si="16"/>
        <v>790641.72360080818</v>
      </c>
      <c r="I126" s="5">
        <f t="shared" si="17"/>
        <v>13.358177134660984</v>
      </c>
      <c r="J126" s="2">
        <f t="shared" si="18"/>
        <v>3.2630000000000006E-2</v>
      </c>
      <c r="K126" s="2">
        <f t="shared" si="19"/>
        <v>1.7148153869921412E-3</v>
      </c>
      <c r="L126" s="5">
        <f t="shared" si="13"/>
        <v>-0.3899771346609846</v>
      </c>
    </row>
    <row r="127" spans="1:12" x14ac:dyDescent="0.25">
      <c r="A127" s="1">
        <v>41821</v>
      </c>
      <c r="B127">
        <v>13.217700000000001</v>
      </c>
      <c r="C127" s="2">
        <v>5.7800000000000004E-2</v>
      </c>
      <c r="D127" s="3">
        <v>10000000</v>
      </c>
      <c r="E127" s="2">
        <v>2.5619999999999997E-2</v>
      </c>
      <c r="F127" s="4">
        <f t="shared" si="14"/>
        <v>756561.27768068574</v>
      </c>
      <c r="G127" s="3">
        <f t="shared" si="15"/>
        <v>10578000</v>
      </c>
      <c r="H127" s="3">
        <f t="shared" si="16"/>
        <v>775944.37761486485</v>
      </c>
      <c r="I127" s="5">
        <f t="shared" si="17"/>
        <v>13.144803242094593</v>
      </c>
      <c r="J127" s="2">
        <f t="shared" si="18"/>
        <v>3.322E-2</v>
      </c>
      <c r="K127" s="2">
        <f t="shared" si="19"/>
        <v>3.8107205968977098E-2</v>
      </c>
      <c r="L127" s="5">
        <f t="shared" si="13"/>
        <v>7.2896757905407839E-2</v>
      </c>
    </row>
    <row r="128" spans="1:12" x14ac:dyDescent="0.25">
      <c r="A128" s="1">
        <v>41852</v>
      </c>
      <c r="B128">
        <v>13.0878</v>
      </c>
      <c r="C128" s="2">
        <v>5.6900000000000006E-2</v>
      </c>
      <c r="D128" s="3">
        <v>10000000</v>
      </c>
      <c r="E128" s="2">
        <v>2.3450000000000002E-2</v>
      </c>
      <c r="F128" s="4">
        <f t="shared" si="14"/>
        <v>764070.35559834354</v>
      </c>
      <c r="G128" s="3">
        <f t="shared" si="15"/>
        <v>10569000</v>
      </c>
      <c r="H128" s="3">
        <f t="shared" si="16"/>
        <v>781987.80543712468</v>
      </c>
      <c r="I128" s="5">
        <f t="shared" si="17"/>
        <v>13.832128710270554</v>
      </c>
      <c r="J128" s="2">
        <f t="shared" si="18"/>
        <v>3.4710000000000005E-2</v>
      </c>
      <c r="K128" s="2">
        <f t="shared" si="19"/>
        <v>-2.1860496401425955E-2</v>
      </c>
      <c r="L128" s="5">
        <f t="shared" si="13"/>
        <v>-0.74432871027055469</v>
      </c>
    </row>
    <row r="129" spans="1:12" x14ac:dyDescent="0.25">
      <c r="A129" s="1">
        <v>41883</v>
      </c>
      <c r="B129">
        <v>13.4277</v>
      </c>
      <c r="C129" s="2">
        <v>6.0700000000000004E-2</v>
      </c>
      <c r="D129" s="3">
        <v>10000000</v>
      </c>
      <c r="E129" s="2">
        <v>2.495E-2</v>
      </c>
      <c r="F129" s="4">
        <f t="shared" si="14"/>
        <v>744729.17923397163</v>
      </c>
      <c r="G129" s="3">
        <f t="shared" si="15"/>
        <v>10607000</v>
      </c>
      <c r="H129" s="3">
        <f t="shared" si="16"/>
        <v>763310.17225585924</v>
      </c>
      <c r="I129" s="5">
        <f t="shared" si="17"/>
        <v>13.532284802416802</v>
      </c>
      <c r="J129" s="2">
        <f t="shared" si="18"/>
        <v>3.4549999999999997E-2</v>
      </c>
      <c r="K129" s="2">
        <f t="shared" si="19"/>
        <v>2.568078524233286E-2</v>
      </c>
      <c r="L129" s="5">
        <f t="shared" si="13"/>
        <v>-0.10458480241680235</v>
      </c>
    </row>
    <row r="130" spans="1:12" x14ac:dyDescent="0.25">
      <c r="A130" s="1">
        <v>41913</v>
      </c>
      <c r="B130">
        <v>13.4772</v>
      </c>
      <c r="C130" s="2">
        <v>5.8700000000000002E-2</v>
      </c>
      <c r="D130" s="3">
        <v>10000000</v>
      </c>
      <c r="E130" s="2">
        <v>2.3349999999999999E-2</v>
      </c>
      <c r="F130" s="4">
        <f t="shared" si="14"/>
        <v>741993.88597037958</v>
      </c>
      <c r="G130" s="3">
        <f t="shared" si="15"/>
        <v>10587000</v>
      </c>
      <c r="H130" s="3">
        <f t="shared" si="16"/>
        <v>759319.44320778793</v>
      </c>
      <c r="I130" s="5">
        <f t="shared" si="17"/>
        <v>13.458820871362821</v>
      </c>
      <c r="J130" s="2">
        <f t="shared" si="18"/>
        <v>3.458E-2</v>
      </c>
      <c r="K130" s="2">
        <f t="shared" si="19"/>
        <v>3.5131108004731182E-2</v>
      </c>
      <c r="L130" s="5">
        <f t="shared" si="13"/>
        <v>1.837912863717861E-2</v>
      </c>
    </row>
    <row r="131" spans="1:12" x14ac:dyDescent="0.25">
      <c r="A131" s="1">
        <v>41944</v>
      </c>
      <c r="B131">
        <v>13.9367</v>
      </c>
      <c r="C131" s="2">
        <v>5.74E-2</v>
      </c>
      <c r="D131" s="3">
        <v>10000000</v>
      </c>
      <c r="E131" s="2">
        <v>2.1729999999999999E-2</v>
      </c>
      <c r="F131" s="4">
        <f t="shared" si="14"/>
        <v>717529.97481469787</v>
      </c>
      <c r="G131" s="3">
        <f t="shared" si="15"/>
        <v>10573999.999999998</v>
      </c>
      <c r="H131" s="3">
        <f t="shared" si="16"/>
        <v>733121.90116742125</v>
      </c>
      <c r="I131" s="5">
        <f t="shared" si="17"/>
        <v>13.52893762287583</v>
      </c>
      <c r="J131" s="2">
        <f t="shared" si="18"/>
        <v>3.3439999999999998E-2</v>
      </c>
      <c r="K131" s="2">
        <f t="shared" si="19"/>
        <v>6.3667239076512283E-2</v>
      </c>
      <c r="L131" s="5">
        <f t="shared" si="13"/>
        <v>0.40776237712417007</v>
      </c>
    </row>
    <row r="132" spans="1:12" x14ac:dyDescent="0.25">
      <c r="A132" s="1">
        <v>41974</v>
      </c>
      <c r="B132">
        <v>14.749000000000001</v>
      </c>
      <c r="C132" s="2">
        <v>5.7999999999999996E-2</v>
      </c>
      <c r="D132" s="3">
        <v>10000000</v>
      </c>
      <c r="E132" s="2">
        <v>2.1700000000000001E-2</v>
      </c>
      <c r="F132" s="4">
        <f t="shared" si="14"/>
        <v>678012.0686148213</v>
      </c>
      <c r="G132" s="3">
        <f t="shared" si="15"/>
        <v>10580000</v>
      </c>
      <c r="H132" s="3">
        <f t="shared" si="16"/>
        <v>692724.93050376291</v>
      </c>
      <c r="I132" s="5">
        <f t="shared" si="17"/>
        <v>13.465963251994642</v>
      </c>
      <c r="J132" s="2">
        <f t="shared" si="18"/>
        <v>3.3939999999999998E-2</v>
      </c>
      <c r="K132" s="2">
        <f t="shared" si="19"/>
        <v>0.13136194530740619</v>
      </c>
      <c r="L132" s="5">
        <f t="shared" si="13"/>
        <v>1.2830367480053582</v>
      </c>
    </row>
    <row r="133" spans="1:12" x14ac:dyDescent="0.25">
      <c r="A133" s="1">
        <v>42005</v>
      </c>
      <c r="B133">
        <v>14.989000000000001</v>
      </c>
      <c r="C133" s="2">
        <v>5.2199999999999996E-2</v>
      </c>
      <c r="D133" s="3">
        <v>10000000</v>
      </c>
      <c r="E133" s="2">
        <v>1.6390000000000002E-2</v>
      </c>
      <c r="F133" s="4">
        <f t="shared" si="14"/>
        <v>667155.91433718055</v>
      </c>
      <c r="G133" s="3">
        <f t="shared" si="15"/>
        <v>10522000</v>
      </c>
      <c r="H133" s="3">
        <f t="shared" si="16"/>
        <v>678090.59977316693</v>
      </c>
      <c r="I133" s="5">
        <f t="shared" si="17"/>
        <v>13.87486463894626</v>
      </c>
      <c r="J133" s="2">
        <f t="shared" si="18"/>
        <v>3.9859999999999993E-2</v>
      </c>
      <c r="K133" s="2">
        <f t="shared" si="19"/>
        <v>0.12225034066575824</v>
      </c>
      <c r="L133" s="5">
        <f t="shared" si="13"/>
        <v>1.1141353610537408</v>
      </c>
    </row>
    <row r="134" spans="1:12" x14ac:dyDescent="0.25">
      <c r="A134" s="1">
        <v>42036</v>
      </c>
      <c r="B134">
        <v>14.950699999999999</v>
      </c>
      <c r="C134" s="2">
        <v>5.62E-2</v>
      </c>
      <c r="D134" s="3">
        <v>10000000</v>
      </c>
      <c r="E134" s="2">
        <v>1.9959999999999999E-2</v>
      </c>
      <c r="F134" s="4">
        <f t="shared" si="14"/>
        <v>668865.00297644932</v>
      </c>
      <c r="G134" s="3">
        <f t="shared" si="15"/>
        <v>10562000</v>
      </c>
      <c r="H134" s="3">
        <f t="shared" si="16"/>
        <v>682215.54843585927</v>
      </c>
      <c r="I134" s="5">
        <f t="shared" si="17"/>
        <v>13.71093434909254</v>
      </c>
      <c r="J134" s="2">
        <f t="shared" si="18"/>
        <v>3.6110000000000003E-2</v>
      </c>
      <c r="K134" s="2">
        <f t="shared" si="19"/>
        <v>0.12878067195167997</v>
      </c>
      <c r="L134" s="5">
        <f t="shared" si="13"/>
        <v>1.2397656509074597</v>
      </c>
    </row>
    <row r="135" spans="1:12" x14ac:dyDescent="0.25">
      <c r="A135" s="1">
        <v>42064</v>
      </c>
      <c r="B135">
        <v>15.261799999999999</v>
      </c>
      <c r="C135" s="2">
        <v>5.8799999999999998E-2</v>
      </c>
      <c r="D135" s="3">
        <v>10000000</v>
      </c>
      <c r="E135" s="2">
        <v>1.9269999999999999E-2</v>
      </c>
      <c r="F135" s="4">
        <f t="shared" si="14"/>
        <v>655230.70673184027</v>
      </c>
      <c r="G135" s="3">
        <f t="shared" si="15"/>
        <v>10588000</v>
      </c>
      <c r="H135" s="3">
        <f t="shared" si="16"/>
        <v>667857.00245056278</v>
      </c>
      <c r="I135" s="5">
        <f t="shared" si="17"/>
        <v>13.496496519631226</v>
      </c>
      <c r="J135" s="2">
        <f t="shared" si="18"/>
        <v>3.4509999999999999E-2</v>
      </c>
      <c r="K135" s="2">
        <f t="shared" si="19"/>
        <v>0.16878800410482619</v>
      </c>
      <c r="L135" s="5">
        <f t="shared" si="13"/>
        <v>1.7653034803687735</v>
      </c>
    </row>
    <row r="136" spans="1:12" x14ac:dyDescent="0.25">
      <c r="A136" s="1">
        <v>42095</v>
      </c>
      <c r="B136">
        <v>15.348800000000001</v>
      </c>
      <c r="C136" s="2">
        <v>5.8899999999999994E-2</v>
      </c>
      <c r="D136" s="3">
        <v>10000000</v>
      </c>
      <c r="E136" s="2">
        <v>2.035E-2</v>
      </c>
      <c r="F136" s="4">
        <f t="shared" si="14"/>
        <v>651516.73094965075</v>
      </c>
      <c r="G136" s="3">
        <f t="shared" si="15"/>
        <v>10589000</v>
      </c>
      <c r="H136" s="3">
        <f t="shared" si="16"/>
        <v>664775.09642447624</v>
      </c>
      <c r="I136" s="5">
        <f t="shared" si="17"/>
        <v>13.524407068955439</v>
      </c>
      <c r="J136" s="2">
        <f t="shared" si="18"/>
        <v>3.4939999999999999E-2</v>
      </c>
      <c r="K136" s="2">
        <f t="shared" si="19"/>
        <v>0.17352743287051209</v>
      </c>
      <c r="L136" s="5">
        <f t="shared" si="13"/>
        <v>1.8243929310445619</v>
      </c>
    </row>
    <row r="137" spans="1:12" x14ac:dyDescent="0.25">
      <c r="A137" s="1">
        <v>42125</v>
      </c>
      <c r="B137">
        <v>15.3775</v>
      </c>
      <c r="C137" s="2">
        <v>5.9500000000000004E-2</v>
      </c>
      <c r="D137" s="3">
        <v>10000000</v>
      </c>
      <c r="E137" s="2">
        <v>2.1230000000000002E-2</v>
      </c>
      <c r="F137" s="4">
        <f t="shared" si="14"/>
        <v>650300.76410339784</v>
      </c>
      <c r="G137" s="3">
        <f t="shared" si="15"/>
        <v>10595000.000000002</v>
      </c>
      <c r="H137" s="3">
        <f t="shared" si="16"/>
        <v>664106.64932531305</v>
      </c>
      <c r="I137" s="5">
        <f t="shared" si="17"/>
        <v>13.278435071968772</v>
      </c>
      <c r="J137" s="2">
        <f t="shared" si="18"/>
        <v>3.3450000000000001E-2</v>
      </c>
      <c r="K137" s="2">
        <f t="shared" si="19"/>
        <v>0.19588294306578424</v>
      </c>
      <c r="L137" s="5">
        <f t="shared" si="13"/>
        <v>2.0990649280312272</v>
      </c>
    </row>
    <row r="138" spans="1:12" x14ac:dyDescent="0.25">
      <c r="A138" s="1">
        <v>42156</v>
      </c>
      <c r="B138">
        <v>15.738899999999999</v>
      </c>
      <c r="C138" s="2">
        <v>6.0299999999999999E-2</v>
      </c>
      <c r="D138" s="3">
        <v>10000000</v>
      </c>
      <c r="E138" s="2">
        <v>2.349E-2</v>
      </c>
      <c r="F138" s="4">
        <f t="shared" si="14"/>
        <v>635368.41837739618</v>
      </c>
      <c r="G138" s="3">
        <f t="shared" si="15"/>
        <v>10603000</v>
      </c>
      <c r="H138" s="3">
        <f t="shared" si="16"/>
        <v>650293.22252508125</v>
      </c>
      <c r="I138" s="5">
        <f t="shared" si="17"/>
        <v>13.363827995162485</v>
      </c>
      <c r="J138" s="2">
        <f t="shared" si="18"/>
        <v>3.1280000000000002E-2</v>
      </c>
      <c r="K138" s="2">
        <f t="shared" si="19"/>
        <v>0.21365339831279595</v>
      </c>
      <c r="L138" s="5">
        <f t="shared" si="13"/>
        <v>2.3750720048375147</v>
      </c>
    </row>
    <row r="139" spans="1:12" x14ac:dyDescent="0.25">
      <c r="A139" s="1">
        <v>42186</v>
      </c>
      <c r="B139">
        <v>16.110600000000002</v>
      </c>
      <c r="C139" s="2">
        <v>6.0299999999999999E-2</v>
      </c>
      <c r="D139" s="3">
        <v>10000000</v>
      </c>
      <c r="E139" s="2">
        <v>2.1869999999999997E-2</v>
      </c>
      <c r="F139" s="4">
        <f t="shared" si="14"/>
        <v>620709.34664134169</v>
      </c>
      <c r="G139" s="3">
        <f t="shared" si="15"/>
        <v>10603000</v>
      </c>
      <c r="H139" s="3">
        <f t="shared" si="16"/>
        <v>634284.26005238784</v>
      </c>
      <c r="I139" s="5">
        <f t="shared" si="17"/>
        <v>13.632420448119188</v>
      </c>
      <c r="J139" s="2">
        <f t="shared" si="18"/>
        <v>3.2180000000000007E-2</v>
      </c>
      <c r="K139" s="2">
        <f t="shared" si="19"/>
        <v>0.21886561202024568</v>
      </c>
      <c r="L139" s="5">
        <f t="shared" si="13"/>
        <v>2.4781795518808138</v>
      </c>
    </row>
    <row r="140" spans="1:12" x14ac:dyDescent="0.25">
      <c r="A140" s="1">
        <v>42217</v>
      </c>
      <c r="B140">
        <v>16.752199999999998</v>
      </c>
      <c r="C140" s="2">
        <v>6.0400000000000002E-2</v>
      </c>
      <c r="D140" s="3">
        <v>10000000</v>
      </c>
      <c r="E140" s="2">
        <v>2.214E-2</v>
      </c>
      <c r="F140" s="4">
        <f t="shared" si="14"/>
        <v>596936.52177027497</v>
      </c>
      <c r="G140" s="3">
        <f t="shared" si="15"/>
        <v>10604000</v>
      </c>
      <c r="H140" s="3">
        <f t="shared" si="16"/>
        <v>610152.69636226888</v>
      </c>
      <c r="I140" s="5">
        <f t="shared" si="17"/>
        <v>13.515556031071375</v>
      </c>
      <c r="J140" s="2">
        <f t="shared" si="18"/>
        <v>3.3450000000000008E-2</v>
      </c>
      <c r="K140" s="2">
        <f t="shared" si="19"/>
        <v>0.27998594110545683</v>
      </c>
      <c r="L140" s="5">
        <f t="shared" si="13"/>
        <v>3.2366439689286235</v>
      </c>
    </row>
    <row r="141" spans="1:12" x14ac:dyDescent="0.25">
      <c r="A141" s="1">
        <v>42248</v>
      </c>
      <c r="B141">
        <v>16.9193</v>
      </c>
      <c r="C141" s="2">
        <v>6.0400000000000002E-2</v>
      </c>
      <c r="D141" s="3">
        <v>10000000</v>
      </c>
      <c r="E141" s="2">
        <v>2.035E-2</v>
      </c>
      <c r="F141" s="4">
        <f t="shared" si="14"/>
        <v>591041.00051420566</v>
      </c>
      <c r="G141" s="3">
        <f t="shared" si="15"/>
        <v>10604000</v>
      </c>
      <c r="H141" s="3">
        <f t="shared" si="16"/>
        <v>603068.68487466977</v>
      </c>
      <c r="I141" s="5">
        <f t="shared" si="17"/>
        <v>13.896054822186446</v>
      </c>
      <c r="J141" s="2">
        <f t="shared" si="18"/>
        <v>3.5750000000000004E-2</v>
      </c>
      <c r="K141" s="2">
        <f t="shared" si="19"/>
        <v>0.26002964022133357</v>
      </c>
      <c r="L141" s="5">
        <f t="shared" si="13"/>
        <v>3.0232451778135534</v>
      </c>
    </row>
    <row r="142" spans="1:12" x14ac:dyDescent="0.25">
      <c r="A142" s="1">
        <v>42278</v>
      </c>
      <c r="B142">
        <v>16.5</v>
      </c>
      <c r="C142" s="2">
        <v>5.9900000000000002E-2</v>
      </c>
      <c r="D142" s="3">
        <v>10000000</v>
      </c>
      <c r="E142" s="2">
        <v>2.146E-2</v>
      </c>
      <c r="F142" s="4">
        <f t="shared" si="14"/>
        <v>606060.60606060608</v>
      </c>
      <c r="G142" s="3">
        <f t="shared" si="15"/>
        <v>10599000</v>
      </c>
      <c r="H142" s="3">
        <f t="shared" si="16"/>
        <v>619066.66666666674</v>
      </c>
      <c r="I142" s="5">
        <f t="shared" si="17"/>
        <v>13.942748463380076</v>
      </c>
      <c r="J142" s="2">
        <f t="shared" si="18"/>
        <v>3.5350000000000006E-2</v>
      </c>
      <c r="K142" s="2">
        <f t="shared" si="19"/>
        <v>0.22428991185112634</v>
      </c>
      <c r="L142" s="5">
        <f t="shared" si="13"/>
        <v>2.5572515366199244</v>
      </c>
    </row>
    <row r="143" spans="1:12" x14ac:dyDescent="0.25">
      <c r="A143" s="1">
        <v>42309</v>
      </c>
      <c r="B143">
        <v>16.5745</v>
      </c>
      <c r="C143" s="2">
        <v>6.2E-2</v>
      </c>
      <c r="D143" s="3">
        <v>10000000</v>
      </c>
      <c r="E143" s="2">
        <v>2.2080000000000002E-2</v>
      </c>
      <c r="F143" s="4">
        <f t="shared" si="14"/>
        <v>603336.45057166123</v>
      </c>
      <c r="G143" s="3">
        <f t="shared" si="15"/>
        <v>10620000</v>
      </c>
      <c r="H143" s="3">
        <f t="shared" si="16"/>
        <v>616658.11940028355</v>
      </c>
      <c r="I143" s="5">
        <f t="shared" si="17"/>
        <v>14.423249371164591</v>
      </c>
      <c r="J143" s="2">
        <f t="shared" si="18"/>
        <v>3.567E-2</v>
      </c>
      <c r="K143" s="2">
        <f t="shared" si="19"/>
        <v>0.18927005675662101</v>
      </c>
      <c r="L143" s="5">
        <f t="shared" ref="L143:L197" si="20">B143-I143</f>
        <v>2.1512506288354096</v>
      </c>
    </row>
    <row r="144" spans="1:12" x14ac:dyDescent="0.25">
      <c r="A144" s="1">
        <v>42339</v>
      </c>
      <c r="B144">
        <v>17.18</v>
      </c>
      <c r="C144" s="2">
        <v>6.25E-2</v>
      </c>
      <c r="D144" s="3">
        <v>10000000</v>
      </c>
      <c r="E144" s="2">
        <v>2.2690000000000002E-2</v>
      </c>
      <c r="F144" s="4">
        <f t="shared" si="14"/>
        <v>582072.17694994179</v>
      </c>
      <c r="G144" s="3">
        <f t="shared" si="15"/>
        <v>10625000</v>
      </c>
      <c r="H144" s="3">
        <f t="shared" si="16"/>
        <v>595279.39464493596</v>
      </c>
      <c r="I144" s="5">
        <f t="shared" si="17"/>
        <v>15.273017519819909</v>
      </c>
      <c r="J144" s="2">
        <f t="shared" si="18"/>
        <v>3.6299999999999999E-2</v>
      </c>
      <c r="K144" s="2">
        <f t="shared" si="19"/>
        <v>0.16482473388026309</v>
      </c>
      <c r="L144" s="5">
        <f t="shared" si="20"/>
        <v>1.9069824801800905</v>
      </c>
    </row>
    <row r="145" spans="1:12" x14ac:dyDescent="0.25">
      <c r="A145" s="1">
        <v>42370</v>
      </c>
      <c r="B145">
        <v>18.11</v>
      </c>
      <c r="C145" s="2">
        <v>6.0199999999999997E-2</v>
      </c>
      <c r="D145" s="3">
        <v>10000000</v>
      </c>
      <c r="E145" s="2">
        <v>1.9230000000000001E-2</v>
      </c>
      <c r="F145" s="4">
        <f t="shared" si="14"/>
        <v>552181.11540585314</v>
      </c>
      <c r="G145" s="3">
        <f t="shared" si="15"/>
        <v>10602000</v>
      </c>
      <c r="H145" s="3">
        <f t="shared" si="16"/>
        <v>562799.55825510772</v>
      </c>
      <c r="I145" s="5">
        <f t="shared" si="17"/>
        <v>15.517100522437255</v>
      </c>
      <c r="J145" s="2">
        <f t="shared" si="18"/>
        <v>3.5809999999999995E-2</v>
      </c>
      <c r="K145" s="2">
        <f t="shared" si="19"/>
        <v>0.20821936086463388</v>
      </c>
      <c r="L145" s="5">
        <f t="shared" si="20"/>
        <v>2.5928994775627441</v>
      </c>
    </row>
    <row r="146" spans="1:12" x14ac:dyDescent="0.25">
      <c r="A146" s="1">
        <v>42401</v>
      </c>
      <c r="B146">
        <v>18.135000000000002</v>
      </c>
      <c r="C146" s="2">
        <v>6.0899999999999996E-2</v>
      </c>
      <c r="D146" s="3">
        <v>10000000</v>
      </c>
      <c r="E146" s="2">
        <v>1.738E-2</v>
      </c>
      <c r="F146" s="4">
        <f t="shared" ref="F146:F185" si="21">D146/B146</f>
        <v>551419.9062586159</v>
      </c>
      <c r="G146" s="3">
        <f t="shared" ref="G146:G185" si="22">D146*(1+C146)</f>
        <v>10609000</v>
      </c>
      <c r="H146" s="3">
        <f t="shared" ref="H146:H185" si="23">F146*(1+E146)</f>
        <v>561003.5842293906</v>
      </c>
      <c r="I146" s="5">
        <f t="shared" si="17"/>
        <v>15.481910408251302</v>
      </c>
      <c r="J146" s="2">
        <f t="shared" si="18"/>
        <v>3.6240000000000001E-2</v>
      </c>
      <c r="K146" s="2">
        <f t="shared" si="19"/>
        <v>0.21298668289779088</v>
      </c>
      <c r="L146" s="5">
        <f t="shared" si="20"/>
        <v>2.6530895917486994</v>
      </c>
    </row>
    <row r="147" spans="1:12" x14ac:dyDescent="0.25">
      <c r="A147" s="1">
        <v>42430</v>
      </c>
      <c r="B147">
        <v>17.2806</v>
      </c>
      <c r="C147" s="2">
        <v>5.9400000000000001E-2</v>
      </c>
      <c r="D147" s="3">
        <v>10000000</v>
      </c>
      <c r="E147" s="2">
        <v>1.77E-2</v>
      </c>
      <c r="F147" s="4">
        <f t="shared" si="21"/>
        <v>578683.61052278278</v>
      </c>
      <c r="G147" s="3">
        <f t="shared" si="22"/>
        <v>10593999.999999998</v>
      </c>
      <c r="H147" s="3">
        <f t="shared" si="23"/>
        <v>588926.31042903604</v>
      </c>
      <c r="I147" s="5">
        <f t="shared" si="17"/>
        <v>15.853693172564681</v>
      </c>
      <c r="J147" s="2">
        <f t="shared" si="18"/>
        <v>3.9529999999999996E-2</v>
      </c>
      <c r="K147" s="2">
        <f t="shared" si="19"/>
        <v>0.13227797507502403</v>
      </c>
      <c r="L147" s="5">
        <f t="shared" si="20"/>
        <v>1.4269068274353192</v>
      </c>
    </row>
    <row r="148" spans="1:12" x14ac:dyDescent="0.25">
      <c r="A148" s="1">
        <v>42461</v>
      </c>
      <c r="B148">
        <v>17.175000000000001</v>
      </c>
      <c r="C148" s="2">
        <v>5.8299999999999998E-2</v>
      </c>
      <c r="D148" s="3">
        <v>10000000</v>
      </c>
      <c r="E148" s="2">
        <v>1.8349999999999998E-2</v>
      </c>
      <c r="F148" s="4">
        <f t="shared" si="21"/>
        <v>582241.63027656474</v>
      </c>
      <c r="G148" s="3">
        <f t="shared" si="22"/>
        <v>10583000</v>
      </c>
      <c r="H148" s="3">
        <f t="shared" si="23"/>
        <v>592925.76419213973</v>
      </c>
      <c r="I148" s="5">
        <f t="shared" si="17"/>
        <v>15.928695369236046</v>
      </c>
      <c r="J148" s="2">
        <f t="shared" si="18"/>
        <v>3.8549999999999994E-2</v>
      </c>
      <c r="K148" s="2">
        <f t="shared" si="19"/>
        <v>0.11897998540602517</v>
      </c>
      <c r="L148" s="5">
        <f t="shared" si="20"/>
        <v>1.2463046307639551</v>
      </c>
    </row>
    <row r="149" spans="1:12" x14ac:dyDescent="0.25">
      <c r="A149" s="1">
        <v>42491</v>
      </c>
      <c r="B149">
        <v>18.468399999999999</v>
      </c>
      <c r="C149" s="2">
        <v>6.1200000000000004E-2</v>
      </c>
      <c r="D149" s="3">
        <v>10000000</v>
      </c>
      <c r="E149" s="2">
        <v>1.8509999999999999E-2</v>
      </c>
      <c r="F149" s="4">
        <f t="shared" si="21"/>
        <v>541465.42201814998</v>
      </c>
      <c r="G149" s="3">
        <f t="shared" si="22"/>
        <v>10612000</v>
      </c>
      <c r="H149" s="3">
        <f t="shared" si="23"/>
        <v>551487.94697970594</v>
      </c>
      <c r="I149" s="5">
        <f t="shared" si="17"/>
        <v>15.953762864389022</v>
      </c>
      <c r="J149" s="2">
        <f t="shared" si="18"/>
        <v>3.8269999999999998E-2</v>
      </c>
      <c r="K149" s="2">
        <f t="shared" si="19"/>
        <v>0.20100146317671919</v>
      </c>
      <c r="L149" s="5">
        <f t="shared" si="20"/>
        <v>2.5146371356109771</v>
      </c>
    </row>
    <row r="150" spans="1:12" x14ac:dyDescent="0.25">
      <c r="A150" s="1">
        <v>42522</v>
      </c>
      <c r="B150">
        <v>18.28</v>
      </c>
      <c r="C150" s="2">
        <v>5.8700000000000002E-2</v>
      </c>
      <c r="D150" s="3">
        <v>10000000</v>
      </c>
      <c r="E150" s="2">
        <v>1.4750000000000001E-2</v>
      </c>
      <c r="F150" s="4">
        <f t="shared" si="21"/>
        <v>547045.95185995626</v>
      </c>
      <c r="G150" s="3">
        <f t="shared" si="22"/>
        <v>10587000</v>
      </c>
      <c r="H150" s="3">
        <f t="shared" si="23"/>
        <v>555114.87964989059</v>
      </c>
      <c r="I150" s="5">
        <f t="shared" si="17"/>
        <v>16.304952339544108</v>
      </c>
      <c r="J150" s="2">
        <f t="shared" si="18"/>
        <v>3.6809999999999996E-2</v>
      </c>
      <c r="K150" s="2">
        <f t="shared" si="19"/>
        <v>0.16145346879388023</v>
      </c>
      <c r="L150" s="5">
        <f t="shared" si="20"/>
        <v>1.9750476604558926</v>
      </c>
    </row>
    <row r="151" spans="1:12" x14ac:dyDescent="0.25">
      <c r="A151" s="1">
        <v>42552</v>
      </c>
      <c r="B151">
        <v>18.752500000000001</v>
      </c>
      <c r="C151" s="2">
        <v>5.9200000000000003E-2</v>
      </c>
      <c r="D151" s="3">
        <v>10000000</v>
      </c>
      <c r="E151" s="2">
        <v>1.4499999999999999E-2</v>
      </c>
      <c r="F151" s="4">
        <f t="shared" si="21"/>
        <v>533262.2317024396</v>
      </c>
      <c r="G151" s="3">
        <f t="shared" si="22"/>
        <v>10592000</v>
      </c>
      <c r="H151" s="3">
        <f t="shared" si="23"/>
        <v>540994.53406212491</v>
      </c>
      <c r="I151" s="5">
        <f t="shared" si="17"/>
        <v>16.716479767485101</v>
      </c>
      <c r="J151" s="2">
        <f t="shared" si="18"/>
        <v>3.8430000000000006E-2</v>
      </c>
      <c r="K151" s="2">
        <f t="shared" si="19"/>
        <v>0.16398520228917612</v>
      </c>
      <c r="L151" s="5">
        <f t="shared" si="20"/>
        <v>2.0360202325149004</v>
      </c>
    </row>
    <row r="152" spans="1:12" x14ac:dyDescent="0.25">
      <c r="A152" s="1">
        <v>42583</v>
      </c>
      <c r="B152">
        <v>18.7851</v>
      </c>
      <c r="C152" s="2">
        <v>5.8099999999999999E-2</v>
      </c>
      <c r="D152" s="3">
        <v>10000000</v>
      </c>
      <c r="E152" s="2">
        <v>1.5780000000000002E-2</v>
      </c>
      <c r="F152" s="4">
        <f t="shared" si="21"/>
        <v>532336.79884589382</v>
      </c>
      <c r="G152" s="3">
        <f t="shared" si="22"/>
        <v>10581000</v>
      </c>
      <c r="H152" s="3">
        <f t="shared" si="23"/>
        <v>540737.07353168202</v>
      </c>
      <c r="I152" s="5">
        <f t="shared" si="17"/>
        <v>17.379256148864147</v>
      </c>
      <c r="J152" s="2">
        <f t="shared" si="18"/>
        <v>3.8260000000000002E-2</v>
      </c>
      <c r="K152" s="2">
        <f t="shared" si="19"/>
        <v>0.12135122551067923</v>
      </c>
      <c r="L152" s="5">
        <f t="shared" si="20"/>
        <v>1.4058438511358524</v>
      </c>
    </row>
    <row r="153" spans="1:12" x14ac:dyDescent="0.25">
      <c r="A153" s="1">
        <v>42614</v>
      </c>
      <c r="B153">
        <v>19.385000000000002</v>
      </c>
      <c r="C153" s="2">
        <v>6.0299999999999999E-2</v>
      </c>
      <c r="D153" s="3">
        <v>10000000</v>
      </c>
      <c r="E153" s="2">
        <v>1.5980000000000001E-2</v>
      </c>
      <c r="F153" s="4">
        <f t="shared" si="21"/>
        <v>515862.78050038684</v>
      </c>
      <c r="G153" s="3">
        <f t="shared" si="22"/>
        <v>10603000</v>
      </c>
      <c r="H153" s="3">
        <f t="shared" si="23"/>
        <v>524106.2677327831</v>
      </c>
      <c r="I153" s="5">
        <f t="shared" si="17"/>
        <v>17.583403459597196</v>
      </c>
      <c r="J153" s="2">
        <f t="shared" si="18"/>
        <v>4.0050000000000002E-2</v>
      </c>
      <c r="K153" s="2">
        <f t="shared" si="19"/>
        <v>0.14573297949678787</v>
      </c>
      <c r="L153" s="5">
        <f t="shared" si="20"/>
        <v>1.8015965404028051</v>
      </c>
    </row>
    <row r="154" spans="1:12" x14ac:dyDescent="0.25">
      <c r="A154" s="1">
        <v>42644</v>
      </c>
      <c r="B154">
        <v>18.864000000000001</v>
      </c>
      <c r="C154" s="2">
        <v>6.25E-2</v>
      </c>
      <c r="D154" s="3">
        <v>10000000</v>
      </c>
      <c r="E154" s="2">
        <v>1.8249999999999999E-2</v>
      </c>
      <c r="F154" s="4">
        <f t="shared" si="21"/>
        <v>530110.26293469034</v>
      </c>
      <c r="G154" s="3">
        <f t="shared" si="22"/>
        <v>10625000</v>
      </c>
      <c r="H154" s="3">
        <f t="shared" si="23"/>
        <v>539784.77523324848</v>
      </c>
      <c r="I154" s="5">
        <f t="shared" si="17"/>
        <v>17.120934740469522</v>
      </c>
      <c r="J154" s="2">
        <f t="shared" si="18"/>
        <v>3.8440000000000002E-2</v>
      </c>
      <c r="K154" s="2">
        <f t="shared" si="19"/>
        <v>0.14327272727272722</v>
      </c>
      <c r="L154" s="5">
        <f t="shared" si="20"/>
        <v>1.7430652595304785</v>
      </c>
    </row>
    <row r="155" spans="1:12" x14ac:dyDescent="0.25">
      <c r="A155" s="1">
        <v>42675</v>
      </c>
      <c r="B155">
        <v>20.571999999999999</v>
      </c>
      <c r="C155" s="2">
        <v>7.2359999999999994E-2</v>
      </c>
      <c r="D155" s="3">
        <v>10000000</v>
      </c>
      <c r="E155" s="2">
        <v>2.3900000000000001E-2</v>
      </c>
      <c r="F155" s="4">
        <f t="shared" si="21"/>
        <v>486097.60839976667</v>
      </c>
      <c r="G155" s="3">
        <f t="shared" si="22"/>
        <v>10723600</v>
      </c>
      <c r="H155" s="3">
        <f t="shared" si="23"/>
        <v>497715.34124052111</v>
      </c>
      <c r="I155" s="5">
        <f t="shared" si="17"/>
        <v>17.221860324045085</v>
      </c>
      <c r="J155" s="2">
        <f t="shared" si="18"/>
        <v>3.9919999999999997E-2</v>
      </c>
      <c r="K155" s="2">
        <f t="shared" si="19"/>
        <v>0.24118374611602156</v>
      </c>
      <c r="L155" s="5">
        <f t="shared" si="20"/>
        <v>3.3501396759549138</v>
      </c>
    </row>
    <row r="156" spans="1:12" x14ac:dyDescent="0.25">
      <c r="A156" s="1">
        <v>42705</v>
      </c>
      <c r="B156">
        <v>20.727499999999999</v>
      </c>
      <c r="C156" s="2">
        <v>7.4099999999999999E-2</v>
      </c>
      <c r="D156" s="3">
        <v>10000000</v>
      </c>
      <c r="E156" s="2">
        <v>2.4460000000000003E-2</v>
      </c>
      <c r="F156" s="4">
        <f t="shared" si="21"/>
        <v>482450.85031962371</v>
      </c>
      <c r="G156" s="3">
        <f t="shared" si="22"/>
        <v>10741000</v>
      </c>
      <c r="H156" s="3">
        <f t="shared" si="23"/>
        <v>494251.5981184417</v>
      </c>
      <c r="I156" s="5">
        <f t="shared" si="17"/>
        <v>17.848761599311619</v>
      </c>
      <c r="J156" s="2">
        <f t="shared" si="18"/>
        <v>3.9809999999999998E-2</v>
      </c>
      <c r="K156" s="2">
        <f t="shared" si="19"/>
        <v>0.2064901047729919</v>
      </c>
      <c r="L156" s="5">
        <f t="shared" si="20"/>
        <v>2.8787384006883805</v>
      </c>
    </row>
    <row r="157" spans="1:12" x14ac:dyDescent="0.25">
      <c r="A157" s="1">
        <v>42736</v>
      </c>
      <c r="B157">
        <v>20.834</v>
      </c>
      <c r="C157" s="2">
        <v>7.3800000000000004E-2</v>
      </c>
      <c r="D157" s="3">
        <v>10000000</v>
      </c>
      <c r="E157" s="2">
        <v>2.4660000000000001E-2</v>
      </c>
      <c r="F157" s="4">
        <f t="shared" si="21"/>
        <v>479984.64049150428</v>
      </c>
      <c r="G157" s="3">
        <f t="shared" si="22"/>
        <v>10738000</v>
      </c>
      <c r="H157" s="3">
        <f t="shared" si="23"/>
        <v>491821.06172602472</v>
      </c>
      <c r="I157" s="5">
        <f t="shared" ref="I157:I220" si="24">G145/H145</f>
        <v>18.837967877711606</v>
      </c>
      <c r="J157" s="2">
        <f t="shared" si="18"/>
        <v>4.0969999999999993E-2</v>
      </c>
      <c r="K157" s="2">
        <f t="shared" si="19"/>
        <v>0.1504141358365545</v>
      </c>
      <c r="L157" s="5">
        <f t="shared" si="20"/>
        <v>1.9960321222883941</v>
      </c>
    </row>
    <row r="158" spans="1:12" x14ac:dyDescent="0.25">
      <c r="A158" s="1">
        <v>42767</v>
      </c>
      <c r="B158">
        <v>20.107500000000002</v>
      </c>
      <c r="C158" s="2">
        <v>7.3700000000000002E-2</v>
      </c>
      <c r="D158" s="3">
        <v>10000000</v>
      </c>
      <c r="E158" s="2">
        <v>2.3969999999999998E-2</v>
      </c>
      <c r="F158" s="4">
        <f t="shared" si="21"/>
        <v>497326.86808404821</v>
      </c>
      <c r="G158" s="3">
        <f t="shared" si="22"/>
        <v>10737000.000000002</v>
      </c>
      <c r="H158" s="3">
        <f t="shared" si="23"/>
        <v>509247.79311202286</v>
      </c>
      <c r="I158" s="5">
        <f t="shared" si="24"/>
        <v>18.910752619473552</v>
      </c>
      <c r="J158" s="2">
        <f t="shared" ref="J158:J185" si="25">C146-E146</f>
        <v>4.3519999999999996E-2</v>
      </c>
      <c r="K158" s="2">
        <f t="shared" ref="K158:K185" si="26">(B158/B146)-1</f>
        <v>0.10876757650951197</v>
      </c>
      <c r="L158" s="5">
        <f t="shared" si="20"/>
        <v>1.1967473805264497</v>
      </c>
    </row>
    <row r="159" spans="1:12" x14ac:dyDescent="0.25">
      <c r="A159" s="1">
        <v>42795</v>
      </c>
      <c r="B159">
        <v>18.725000000000001</v>
      </c>
      <c r="C159" s="2">
        <v>7.0059999999999997E-2</v>
      </c>
      <c r="D159" s="3">
        <v>10000000</v>
      </c>
      <c r="E159" s="2">
        <v>2.3889999999999998E-2</v>
      </c>
      <c r="F159" s="4">
        <f t="shared" si="21"/>
        <v>534045.39385847794</v>
      </c>
      <c r="G159" s="3">
        <f t="shared" si="22"/>
        <v>10700600</v>
      </c>
      <c r="H159" s="3">
        <f t="shared" si="23"/>
        <v>546803.73831775691</v>
      </c>
      <c r="I159" s="5">
        <f t="shared" si="24"/>
        <v>17.988668212636334</v>
      </c>
      <c r="J159" s="2">
        <f t="shared" si="25"/>
        <v>4.1700000000000001E-2</v>
      </c>
      <c r="K159" s="2">
        <f t="shared" si="26"/>
        <v>8.3585060703910807E-2</v>
      </c>
      <c r="L159" s="5">
        <f t="shared" si="20"/>
        <v>0.73633178736366744</v>
      </c>
    </row>
    <row r="160" spans="1:12" x14ac:dyDescent="0.25">
      <c r="A160" s="1">
        <v>42826</v>
      </c>
      <c r="B160">
        <v>18.82</v>
      </c>
      <c r="C160" s="2">
        <v>7.1199999999999999E-2</v>
      </c>
      <c r="D160" s="3">
        <v>10000000</v>
      </c>
      <c r="E160" s="2">
        <v>2.2890000000000001E-2</v>
      </c>
      <c r="F160" s="4">
        <f t="shared" si="21"/>
        <v>531349.6280552604</v>
      </c>
      <c r="G160" s="3">
        <f t="shared" si="22"/>
        <v>10712000</v>
      </c>
      <c r="H160" s="3">
        <f t="shared" si="23"/>
        <v>543512.22104144539</v>
      </c>
      <c r="I160" s="5">
        <f t="shared" si="24"/>
        <v>17.84877743408455</v>
      </c>
      <c r="J160" s="2">
        <f t="shared" si="25"/>
        <v>3.9949999999999999E-2</v>
      </c>
      <c r="K160" s="2">
        <f t="shared" si="26"/>
        <v>9.577874818049481E-2</v>
      </c>
      <c r="L160" s="5">
        <f t="shared" si="20"/>
        <v>0.97122256591545053</v>
      </c>
    </row>
    <row r="161" spans="1:12" x14ac:dyDescent="0.25">
      <c r="A161" s="1">
        <v>42856</v>
      </c>
      <c r="B161">
        <v>18.621200000000002</v>
      </c>
      <c r="C161" s="2">
        <v>7.3139999999999997E-2</v>
      </c>
      <c r="D161" s="3">
        <v>10000000</v>
      </c>
      <c r="E161" s="2">
        <v>2.206E-2</v>
      </c>
      <c r="F161" s="4">
        <f t="shared" si="21"/>
        <v>537022.31864756299</v>
      </c>
      <c r="G161" s="3">
        <f t="shared" si="22"/>
        <v>10731400</v>
      </c>
      <c r="H161" s="3">
        <f t="shared" si="23"/>
        <v>548869.03099692822</v>
      </c>
      <c r="I161" s="5">
        <f t="shared" si="24"/>
        <v>19.242487633896573</v>
      </c>
      <c r="J161" s="2">
        <f t="shared" si="25"/>
        <v>4.2690000000000006E-2</v>
      </c>
      <c r="K161" s="2">
        <f t="shared" si="26"/>
        <v>8.2735916484375505E-3</v>
      </c>
      <c r="L161" s="5">
        <f t="shared" si="20"/>
        <v>-0.62128763389657138</v>
      </c>
    </row>
    <row r="162" spans="1:12" x14ac:dyDescent="0.25">
      <c r="A162" s="1">
        <v>42887</v>
      </c>
      <c r="B162">
        <v>18.127800000000001</v>
      </c>
      <c r="C162" s="2">
        <v>6.7500000000000004E-2</v>
      </c>
      <c r="D162" s="3">
        <v>10000000</v>
      </c>
      <c r="E162" s="2">
        <v>2.3039999999999998E-2</v>
      </c>
      <c r="F162" s="4">
        <f t="shared" si="21"/>
        <v>551638.91922902944</v>
      </c>
      <c r="G162" s="3">
        <f t="shared" si="22"/>
        <v>10674999.999999998</v>
      </c>
      <c r="H162" s="3">
        <f t="shared" si="23"/>
        <v>564348.67992806621</v>
      </c>
      <c r="I162" s="5">
        <f t="shared" si="24"/>
        <v>19.071728011825574</v>
      </c>
      <c r="J162" s="2">
        <f t="shared" si="25"/>
        <v>4.3950000000000003E-2</v>
      </c>
      <c r="K162" s="2">
        <f t="shared" si="26"/>
        <v>-8.3260393873085814E-3</v>
      </c>
      <c r="L162" s="5">
        <f t="shared" si="20"/>
        <v>-0.94392801182557307</v>
      </c>
    </row>
    <row r="163" spans="1:12" x14ac:dyDescent="0.25">
      <c r="A163" s="1">
        <v>42917</v>
      </c>
      <c r="B163">
        <v>17.801300000000001</v>
      </c>
      <c r="C163" s="2">
        <v>6.8199999999999997E-2</v>
      </c>
      <c r="D163" s="3">
        <v>10000000</v>
      </c>
      <c r="E163" s="2">
        <v>2.2959999999999998E-2</v>
      </c>
      <c r="F163" s="4">
        <f t="shared" si="21"/>
        <v>561756.72563239757</v>
      </c>
      <c r="G163" s="3">
        <f t="shared" si="22"/>
        <v>10682000</v>
      </c>
      <c r="H163" s="3">
        <f t="shared" si="23"/>
        <v>574654.66005291743</v>
      </c>
      <c r="I163" s="5">
        <f t="shared" si="24"/>
        <v>19.578756037456881</v>
      </c>
      <c r="J163" s="2">
        <f t="shared" si="25"/>
        <v>4.4700000000000004E-2</v>
      </c>
      <c r="K163" s="2">
        <f t="shared" si="26"/>
        <v>-5.0723903479536037E-2</v>
      </c>
      <c r="L163" s="5">
        <f t="shared" si="20"/>
        <v>-1.7774560374568793</v>
      </c>
    </row>
    <row r="164" spans="1:12" x14ac:dyDescent="0.25">
      <c r="A164" s="1">
        <v>42948</v>
      </c>
      <c r="B164">
        <v>17.887</v>
      </c>
      <c r="C164" s="2">
        <v>6.7919999999999994E-2</v>
      </c>
      <c r="D164" s="3">
        <v>10000000</v>
      </c>
      <c r="E164" s="2">
        <v>2.12E-2</v>
      </c>
      <c r="F164" s="4">
        <f t="shared" si="21"/>
        <v>559065.24291384802</v>
      </c>
      <c r="G164" s="3">
        <f t="shared" si="22"/>
        <v>10679200</v>
      </c>
      <c r="H164" s="3">
        <f t="shared" si="23"/>
        <v>570917.42606362165</v>
      </c>
      <c r="I164" s="5">
        <f t="shared" si="24"/>
        <v>19.567735444682903</v>
      </c>
      <c r="J164" s="2">
        <f t="shared" si="25"/>
        <v>4.2319999999999997E-2</v>
      </c>
      <c r="K164" s="2">
        <f t="shared" si="26"/>
        <v>-4.7809167904349748E-2</v>
      </c>
      <c r="L164" s="5">
        <f t="shared" si="20"/>
        <v>-1.6807354446829024</v>
      </c>
    </row>
    <row r="165" spans="1:12" x14ac:dyDescent="0.25">
      <c r="A165" s="1">
        <v>42979</v>
      </c>
      <c r="B165">
        <v>18.254999999999999</v>
      </c>
      <c r="C165" s="2">
        <v>6.7799999999999999E-2</v>
      </c>
      <c r="D165" s="3">
        <v>10000000</v>
      </c>
      <c r="E165" s="2">
        <v>2.3390000000000001E-2</v>
      </c>
      <c r="F165" s="4">
        <f t="shared" si="21"/>
        <v>547795.12462339085</v>
      </c>
      <c r="G165" s="3">
        <f t="shared" si="22"/>
        <v>10678000</v>
      </c>
      <c r="H165" s="3">
        <f t="shared" si="23"/>
        <v>560608.05258833198</v>
      </c>
      <c r="I165" s="5">
        <f t="shared" si="24"/>
        <v>20.230630032087245</v>
      </c>
      <c r="J165" s="2">
        <f t="shared" si="25"/>
        <v>4.4319999999999998E-2</v>
      </c>
      <c r="K165" s="2">
        <f t="shared" si="26"/>
        <v>-5.8292494196543809E-2</v>
      </c>
      <c r="L165" s="5">
        <f t="shared" si="20"/>
        <v>-1.9756300320872455</v>
      </c>
    </row>
    <row r="166" spans="1:12" x14ac:dyDescent="0.25">
      <c r="A166" s="1">
        <v>43009</v>
      </c>
      <c r="B166">
        <v>19.149000000000001</v>
      </c>
      <c r="C166" s="2">
        <v>7.22E-2</v>
      </c>
      <c r="D166" s="3">
        <v>10000000</v>
      </c>
      <c r="E166" s="2">
        <v>2.3769999999999999E-2</v>
      </c>
      <c r="F166" s="4">
        <f t="shared" si="21"/>
        <v>522220.48148728389</v>
      </c>
      <c r="G166" s="3">
        <f t="shared" si="22"/>
        <v>10722000</v>
      </c>
      <c r="H166" s="3">
        <f t="shared" si="23"/>
        <v>534633.66233223665</v>
      </c>
      <c r="I166" s="5">
        <f t="shared" si="24"/>
        <v>19.683771176037322</v>
      </c>
      <c r="J166" s="2">
        <f t="shared" si="25"/>
        <v>4.4249999999999998E-2</v>
      </c>
      <c r="K166" s="2">
        <f t="shared" si="26"/>
        <v>1.5108142493638788E-2</v>
      </c>
      <c r="L166" s="5">
        <f t="shared" si="20"/>
        <v>-0.53477117603732083</v>
      </c>
    </row>
    <row r="167" spans="1:12" x14ac:dyDescent="0.25">
      <c r="A167" s="1">
        <v>43040</v>
      </c>
      <c r="B167">
        <v>18.631</v>
      </c>
      <c r="C167" s="2">
        <v>7.2599999999999998E-2</v>
      </c>
      <c r="D167" s="3">
        <v>10000000</v>
      </c>
      <c r="E167" s="2">
        <v>2.4150000000000001E-2</v>
      </c>
      <c r="F167" s="4">
        <f t="shared" si="21"/>
        <v>536739.84219848644</v>
      </c>
      <c r="G167" s="3">
        <f t="shared" si="22"/>
        <v>10726000</v>
      </c>
      <c r="H167" s="3">
        <f t="shared" si="23"/>
        <v>549702.10938757984</v>
      </c>
      <c r="I167" s="5">
        <f t="shared" si="24"/>
        <v>21.545648911026468</v>
      </c>
      <c r="J167" s="2">
        <f t="shared" si="25"/>
        <v>4.8459999999999989E-2</v>
      </c>
      <c r="K167" s="2">
        <f t="shared" si="26"/>
        <v>-9.435154579039462E-2</v>
      </c>
      <c r="L167" s="5">
        <f t="shared" si="20"/>
        <v>-2.9146489110264682</v>
      </c>
    </row>
    <row r="168" spans="1:12" x14ac:dyDescent="0.25">
      <c r="A168" s="1">
        <v>43070</v>
      </c>
      <c r="B168">
        <v>19.652999999999999</v>
      </c>
      <c r="C168" s="2">
        <v>7.6999999999999999E-2</v>
      </c>
      <c r="D168" s="3">
        <v>10000000</v>
      </c>
      <c r="E168" s="2">
        <v>2.4049999999999998E-2</v>
      </c>
      <c r="F168" s="4">
        <f t="shared" si="21"/>
        <v>508828.16872742079</v>
      </c>
      <c r="G168" s="3">
        <f t="shared" si="22"/>
        <v>10770000</v>
      </c>
      <c r="H168" s="3">
        <f t="shared" si="23"/>
        <v>521065.48618531524</v>
      </c>
      <c r="I168" s="5">
        <f t="shared" si="24"/>
        <v>21.731846777814653</v>
      </c>
      <c r="J168" s="2">
        <f t="shared" si="25"/>
        <v>4.9639999999999997E-2</v>
      </c>
      <c r="K168" s="2">
        <f t="shared" si="26"/>
        <v>-5.1839343866843635E-2</v>
      </c>
      <c r="L168" s="5">
        <f t="shared" si="20"/>
        <v>-2.078846777814654</v>
      </c>
    </row>
    <row r="169" spans="1:12" x14ac:dyDescent="0.25">
      <c r="A169" s="1">
        <v>43101</v>
      </c>
      <c r="B169">
        <v>18.600000000000001</v>
      </c>
      <c r="C169" s="2">
        <v>7.5899999999999995E-2</v>
      </c>
      <c r="D169" s="3">
        <v>10000000</v>
      </c>
      <c r="E169" s="2">
        <v>2.7120000000000002E-2</v>
      </c>
      <c r="F169" s="4">
        <f t="shared" si="21"/>
        <v>537634.40860215051</v>
      </c>
      <c r="G169" s="3">
        <f t="shared" si="22"/>
        <v>10759000</v>
      </c>
      <c r="H169" s="3">
        <f t="shared" si="23"/>
        <v>552215.05376344081</v>
      </c>
      <c r="I169" s="5">
        <f t="shared" si="24"/>
        <v>21.833143872113677</v>
      </c>
      <c r="J169" s="2">
        <f t="shared" si="25"/>
        <v>4.9140000000000003E-2</v>
      </c>
      <c r="K169" s="2">
        <f t="shared" si="26"/>
        <v>-0.10722856868580199</v>
      </c>
      <c r="L169" s="5">
        <f>B169-I169</f>
        <v>-3.2331438721136756</v>
      </c>
    </row>
    <row r="170" spans="1:12" x14ac:dyDescent="0.25">
      <c r="A170" s="1">
        <v>43132</v>
      </c>
      <c r="B170">
        <v>18.840299999999999</v>
      </c>
      <c r="C170" s="2">
        <v>7.6200000000000004E-2</v>
      </c>
      <c r="D170" s="3">
        <v>10000000</v>
      </c>
      <c r="E170" s="2">
        <v>2.8639999999999999E-2</v>
      </c>
      <c r="F170" s="4">
        <f t="shared" si="21"/>
        <v>530777.11076787522</v>
      </c>
      <c r="G170" s="3">
        <f t="shared" si="22"/>
        <v>10762000</v>
      </c>
      <c r="H170" s="3">
        <f t="shared" si="23"/>
        <v>545978.56722026714</v>
      </c>
      <c r="I170" s="5">
        <f t="shared" si="24"/>
        <v>21.084038350732936</v>
      </c>
      <c r="J170" s="2">
        <f t="shared" si="25"/>
        <v>4.9730000000000003E-2</v>
      </c>
      <c r="K170" s="2">
        <f t="shared" si="26"/>
        <v>-6.3021260723610695E-2</v>
      </c>
      <c r="L170" s="5">
        <f t="shared" si="20"/>
        <v>-2.2437383507329365</v>
      </c>
    </row>
    <row r="171" spans="1:12" x14ac:dyDescent="0.25">
      <c r="A171" s="1">
        <v>43160</v>
      </c>
      <c r="B171">
        <v>18.16</v>
      </c>
      <c r="C171" s="2">
        <v>7.2900000000000006E-2</v>
      </c>
      <c r="D171" s="3">
        <v>10000000</v>
      </c>
      <c r="E171" s="2">
        <v>2.741E-2</v>
      </c>
      <c r="F171" s="4">
        <f t="shared" si="21"/>
        <v>550660.79295154184</v>
      </c>
      <c r="G171" s="3">
        <f t="shared" si="22"/>
        <v>10729000</v>
      </c>
      <c r="H171" s="3">
        <f t="shared" si="23"/>
        <v>565754.40528634354</v>
      </c>
      <c r="I171" s="5">
        <f t="shared" si="24"/>
        <v>19.569361454843786</v>
      </c>
      <c r="J171" s="2">
        <f t="shared" si="25"/>
        <v>4.6170000000000003E-2</v>
      </c>
      <c r="K171" s="2">
        <f t="shared" si="26"/>
        <v>-3.0173564753004034E-2</v>
      </c>
      <c r="L171" s="5">
        <f t="shared" si="20"/>
        <v>-1.4093614548437863</v>
      </c>
    </row>
    <row r="172" spans="1:12" x14ac:dyDescent="0.25">
      <c r="A172" s="1">
        <v>43191</v>
      </c>
      <c r="B172">
        <v>18.7135</v>
      </c>
      <c r="C172" s="2">
        <v>7.46E-2</v>
      </c>
      <c r="D172" s="3">
        <v>10000000</v>
      </c>
      <c r="E172" s="2">
        <v>2.955E-2</v>
      </c>
      <c r="F172" s="4">
        <f t="shared" si="21"/>
        <v>534373.58057017659</v>
      </c>
      <c r="G172" s="3">
        <f t="shared" si="22"/>
        <v>10746000</v>
      </c>
      <c r="H172" s="3">
        <f t="shared" si="23"/>
        <v>550164.31987602531</v>
      </c>
      <c r="I172" s="5">
        <f t="shared" si="24"/>
        <v>19.708848458778554</v>
      </c>
      <c r="J172" s="2">
        <f t="shared" si="25"/>
        <v>4.8309999999999999E-2</v>
      </c>
      <c r="K172" s="2">
        <f t="shared" si="26"/>
        <v>-5.658873538788578E-3</v>
      </c>
      <c r="L172" s="5">
        <f t="shared" si="20"/>
        <v>-0.9953484587785546</v>
      </c>
    </row>
    <row r="173" spans="1:12" x14ac:dyDescent="0.25">
      <c r="A173" s="1">
        <v>43221</v>
      </c>
      <c r="B173">
        <v>19.913499999999999</v>
      </c>
      <c r="C173" s="2">
        <v>7.7800000000000008E-2</v>
      </c>
      <c r="D173" s="3">
        <v>10000000</v>
      </c>
      <c r="E173" s="2">
        <v>2.86E-2</v>
      </c>
      <c r="F173" s="4">
        <f t="shared" si="21"/>
        <v>502171.89343912422</v>
      </c>
      <c r="G173" s="3">
        <f t="shared" si="22"/>
        <v>10778000</v>
      </c>
      <c r="H173" s="3">
        <f t="shared" si="23"/>
        <v>516534.00959148316</v>
      </c>
      <c r="I173" s="5">
        <f t="shared" si="24"/>
        <v>19.551840956499618</v>
      </c>
      <c r="J173" s="2">
        <f t="shared" si="25"/>
        <v>5.108E-2</v>
      </c>
      <c r="K173" s="2">
        <f t="shared" si="26"/>
        <v>6.9399394238824463E-2</v>
      </c>
      <c r="L173" s="5">
        <f t="shared" si="20"/>
        <v>0.36165904350038147</v>
      </c>
    </row>
    <row r="174" spans="1:12" x14ac:dyDescent="0.25">
      <c r="A174" s="1">
        <v>43252</v>
      </c>
      <c r="B174">
        <v>19.9175</v>
      </c>
      <c r="C174" s="2">
        <v>7.5800000000000006E-2</v>
      </c>
      <c r="D174" s="3">
        <v>10000000</v>
      </c>
      <c r="E174" s="2">
        <v>2.86E-2</v>
      </c>
      <c r="F174" s="4">
        <f t="shared" si="21"/>
        <v>502071.04305259191</v>
      </c>
      <c r="G174" s="3">
        <f t="shared" si="22"/>
        <v>10758000</v>
      </c>
      <c r="H174" s="3">
        <f t="shared" si="23"/>
        <v>516430.274883896</v>
      </c>
      <c r="I174" s="5">
        <f t="shared" si="24"/>
        <v>18.915610826556147</v>
      </c>
      <c r="J174" s="2">
        <f t="shared" si="25"/>
        <v>4.4460000000000006E-2</v>
      </c>
      <c r="K174" s="2">
        <f t="shared" si="26"/>
        <v>9.8726817374419351E-2</v>
      </c>
      <c r="L174" s="5">
        <f t="shared" si="20"/>
        <v>1.0018891734438533</v>
      </c>
    </row>
    <row r="175" spans="1:12" x14ac:dyDescent="0.25">
      <c r="A175" s="1">
        <v>43282</v>
      </c>
      <c r="B175">
        <v>18.648</v>
      </c>
      <c r="C175" s="2">
        <v>7.7399999999999997E-2</v>
      </c>
      <c r="D175" s="3">
        <v>10000000</v>
      </c>
      <c r="E175" s="2">
        <v>2.962E-2</v>
      </c>
      <c r="F175" s="4">
        <f t="shared" si="21"/>
        <v>536250.53625053621</v>
      </c>
      <c r="G175" s="3">
        <f t="shared" si="22"/>
        <v>10774000</v>
      </c>
      <c r="H175" s="3">
        <f t="shared" si="23"/>
        <v>552134.27713427704</v>
      </c>
      <c r="I175" s="5">
        <f t="shared" si="24"/>
        <v>18.588555427387192</v>
      </c>
      <c r="J175" s="2">
        <f t="shared" si="25"/>
        <v>4.5240000000000002E-2</v>
      </c>
      <c r="K175" s="2">
        <f t="shared" si="26"/>
        <v>4.7563941959295031E-2</v>
      </c>
      <c r="L175" s="5">
        <f t="shared" si="20"/>
        <v>5.9444572612807889E-2</v>
      </c>
    </row>
    <row r="176" spans="1:12" x14ac:dyDescent="0.25">
      <c r="A176" s="1">
        <v>43313</v>
      </c>
      <c r="B176">
        <v>19.085000000000001</v>
      </c>
      <c r="C176" s="2">
        <v>7.9100000000000004E-2</v>
      </c>
      <c r="D176" s="3">
        <v>10000000</v>
      </c>
      <c r="E176" s="2">
        <v>2.86E-2</v>
      </c>
      <c r="F176" s="4">
        <f t="shared" si="21"/>
        <v>523971.70552790147</v>
      </c>
      <c r="G176" s="3">
        <f t="shared" si="22"/>
        <v>10791000</v>
      </c>
      <c r="H176" s="3">
        <f t="shared" si="23"/>
        <v>538957.29630599939</v>
      </c>
      <c r="I176" s="5">
        <f t="shared" si="24"/>
        <v>18.705332001566784</v>
      </c>
      <c r="J176" s="2">
        <f t="shared" si="25"/>
        <v>4.6719999999999998E-2</v>
      </c>
      <c r="K176" s="2">
        <f t="shared" si="26"/>
        <v>6.6976016101079061E-2</v>
      </c>
      <c r="L176" s="5">
        <f t="shared" si="20"/>
        <v>0.37966799843321652</v>
      </c>
    </row>
    <row r="177" spans="1:12" x14ac:dyDescent="0.25">
      <c r="A177" s="1">
        <v>43344</v>
      </c>
      <c r="B177">
        <v>18.718399999999999</v>
      </c>
      <c r="C177" s="2">
        <v>7.9100000000000004E-2</v>
      </c>
      <c r="D177" s="3">
        <v>10000000</v>
      </c>
      <c r="E177" s="2">
        <v>3.065E-2</v>
      </c>
      <c r="F177" s="4">
        <f t="shared" si="21"/>
        <v>534233.69518762291</v>
      </c>
      <c r="G177" s="3">
        <f t="shared" si="22"/>
        <v>10791000</v>
      </c>
      <c r="H177" s="3">
        <f t="shared" si="23"/>
        <v>550607.95794512355</v>
      </c>
      <c r="I177" s="5">
        <f t="shared" si="24"/>
        <v>19.047175563568139</v>
      </c>
      <c r="J177" s="2">
        <f t="shared" si="25"/>
        <v>4.4409999999999998E-2</v>
      </c>
      <c r="K177" s="2">
        <f t="shared" si="26"/>
        <v>2.5384826075047995E-2</v>
      </c>
      <c r="L177" s="5">
        <f t="shared" si="20"/>
        <v>-0.32877556356813997</v>
      </c>
    </row>
    <row r="178" spans="1:12" x14ac:dyDescent="0.25">
      <c r="A178" s="1">
        <v>43374</v>
      </c>
      <c r="B178">
        <v>20.339700000000001</v>
      </c>
      <c r="C178" s="2">
        <v>8.8499999999999995E-2</v>
      </c>
      <c r="D178" s="3">
        <v>10000000</v>
      </c>
      <c r="E178" s="2">
        <v>3.1489999999999997E-2</v>
      </c>
      <c r="F178" s="4">
        <f t="shared" si="21"/>
        <v>491649.3360275717</v>
      </c>
      <c r="G178" s="3">
        <f t="shared" si="22"/>
        <v>10885000</v>
      </c>
      <c r="H178" s="3">
        <f t="shared" si="23"/>
        <v>507131.37361907994</v>
      </c>
      <c r="I178" s="5">
        <f t="shared" si="24"/>
        <v>20.054853922267696</v>
      </c>
      <c r="J178" s="2">
        <f t="shared" si="25"/>
        <v>4.8430000000000001E-2</v>
      </c>
      <c r="K178" s="2">
        <f t="shared" si="26"/>
        <v>6.218079273069077E-2</v>
      </c>
      <c r="L178" s="5">
        <f t="shared" si="20"/>
        <v>0.28484607773230408</v>
      </c>
    </row>
    <row r="179" spans="1:12" x14ac:dyDescent="0.25">
      <c r="A179" s="1">
        <v>43405</v>
      </c>
      <c r="B179">
        <v>20.405200000000001</v>
      </c>
      <c r="C179" s="2">
        <v>9.2399999999999996E-2</v>
      </c>
      <c r="D179" s="3">
        <v>10000000</v>
      </c>
      <c r="E179" s="2">
        <v>2.9929999999999998E-2</v>
      </c>
      <c r="F179" s="4">
        <f t="shared" si="21"/>
        <v>490071.15833218984</v>
      </c>
      <c r="G179" s="3">
        <f t="shared" si="22"/>
        <v>10924000</v>
      </c>
      <c r="H179" s="3">
        <f t="shared" si="23"/>
        <v>504738.98810107226</v>
      </c>
      <c r="I179" s="5">
        <f t="shared" si="24"/>
        <v>19.512386466826147</v>
      </c>
      <c r="J179" s="2">
        <f t="shared" si="25"/>
        <v>4.8449999999999993E-2</v>
      </c>
      <c r="K179" s="2">
        <f t="shared" si="26"/>
        <v>9.5228382802855505E-2</v>
      </c>
      <c r="L179" s="5">
        <f t="shared" si="20"/>
        <v>0.89281353317385381</v>
      </c>
    </row>
    <row r="180" spans="1:12" x14ac:dyDescent="0.25">
      <c r="A180" s="1">
        <v>43435</v>
      </c>
      <c r="B180">
        <v>19.6478</v>
      </c>
      <c r="C180" s="2">
        <v>8.6199999999999999E-2</v>
      </c>
      <c r="D180" s="3">
        <v>10000000</v>
      </c>
      <c r="E180" s="2">
        <v>2.6859999999999998E-2</v>
      </c>
      <c r="F180" s="4">
        <f t="shared" si="21"/>
        <v>508962.83553374931</v>
      </c>
      <c r="G180" s="3">
        <f t="shared" si="22"/>
        <v>10862000</v>
      </c>
      <c r="H180" s="3">
        <f t="shared" si="23"/>
        <v>522633.57729618589</v>
      </c>
      <c r="I180" s="5">
        <f t="shared" si="24"/>
        <v>20.669187051413505</v>
      </c>
      <c r="J180" s="2">
        <f t="shared" si="25"/>
        <v>5.2949999999999997E-2</v>
      </c>
      <c r="K180" s="2">
        <f t="shared" si="26"/>
        <v>-2.645906477382054E-4</v>
      </c>
      <c r="L180" s="5">
        <f t="shared" si="20"/>
        <v>-1.0213870514135053</v>
      </c>
    </row>
    <row r="181" spans="1:12" x14ac:dyDescent="0.25">
      <c r="A181" s="1">
        <v>43466</v>
      </c>
      <c r="B181">
        <v>19.106300000000001</v>
      </c>
      <c r="C181" s="2">
        <v>8.4700000000000011E-2</v>
      </c>
      <c r="D181" s="3">
        <v>10000000</v>
      </c>
      <c r="E181" s="2">
        <v>2.6329999999999999E-2</v>
      </c>
      <c r="F181" s="4">
        <f t="shared" si="21"/>
        <v>523387.57373222441</v>
      </c>
      <c r="G181" s="3">
        <f t="shared" si="22"/>
        <v>10847000</v>
      </c>
      <c r="H181" s="3">
        <f t="shared" si="23"/>
        <v>537168.36854859383</v>
      </c>
      <c r="I181" s="5">
        <f t="shared" si="24"/>
        <v>19.483351507126724</v>
      </c>
      <c r="J181" s="2">
        <f t="shared" si="25"/>
        <v>4.877999999999999E-2</v>
      </c>
      <c r="K181" s="2">
        <f t="shared" si="26"/>
        <v>2.7220430107526949E-2</v>
      </c>
      <c r="L181" s="5">
        <f t="shared" si="20"/>
        <v>-0.37705150712672264</v>
      </c>
    </row>
    <row r="182" spans="1:12" x14ac:dyDescent="0.25">
      <c r="A182" s="1">
        <v>43497</v>
      </c>
      <c r="B182">
        <v>19.282499999999999</v>
      </c>
      <c r="C182" s="2">
        <v>8.1979999999999997E-2</v>
      </c>
      <c r="D182" s="3">
        <v>10000000</v>
      </c>
      <c r="E182" s="2">
        <v>2.717E-2</v>
      </c>
      <c r="F182" s="4">
        <f t="shared" si="21"/>
        <v>518604.9526772981</v>
      </c>
      <c r="G182" s="3">
        <f t="shared" si="22"/>
        <v>10819800</v>
      </c>
      <c r="H182" s="3">
        <f t="shared" si="23"/>
        <v>532695.44924154028</v>
      </c>
      <c r="I182" s="5">
        <f t="shared" si="24"/>
        <v>19.711396465235651</v>
      </c>
      <c r="J182" s="2">
        <f t="shared" si="25"/>
        <v>4.7560000000000005E-2</v>
      </c>
      <c r="K182" s="2">
        <f t="shared" si="26"/>
        <v>2.347096383815539E-2</v>
      </c>
      <c r="L182" s="5">
        <f t="shared" si="20"/>
        <v>-0.42889646523565261</v>
      </c>
    </row>
    <row r="183" spans="1:12" x14ac:dyDescent="0.25">
      <c r="A183" s="1">
        <v>43525</v>
      </c>
      <c r="B183">
        <v>19.428999999999998</v>
      </c>
      <c r="C183" s="2">
        <v>8.0100000000000005E-2</v>
      </c>
      <c r="D183" s="3">
        <v>10000000</v>
      </c>
      <c r="E183" s="2">
        <v>2.4070000000000001E-2</v>
      </c>
      <c r="F183" s="4">
        <f t="shared" si="21"/>
        <v>514694.52879715891</v>
      </c>
      <c r="G183" s="3">
        <f t="shared" si="22"/>
        <v>10801000</v>
      </c>
      <c r="H183" s="3">
        <f t="shared" si="23"/>
        <v>527083.22610530653</v>
      </c>
      <c r="I183" s="5">
        <f t="shared" si="24"/>
        <v>18.964059139000014</v>
      </c>
      <c r="J183" s="2">
        <f t="shared" si="25"/>
        <v>4.5490000000000003E-2</v>
      </c>
      <c r="K183" s="2">
        <f t="shared" si="26"/>
        <v>6.9878854625550657E-2</v>
      </c>
      <c r="L183" s="5">
        <f t="shared" si="20"/>
        <v>0.46494086099998455</v>
      </c>
    </row>
    <row r="184" spans="1:12" x14ac:dyDescent="0.25">
      <c r="A184" s="1">
        <v>43556</v>
      </c>
      <c r="B184">
        <v>18.947700000000001</v>
      </c>
      <c r="C184" s="2">
        <v>8.0799999999999997E-2</v>
      </c>
      <c r="D184" s="3">
        <v>10000000</v>
      </c>
      <c r="E184" s="2">
        <v>2.504E-2</v>
      </c>
      <c r="F184" s="4">
        <f t="shared" si="21"/>
        <v>527768.5418282958</v>
      </c>
      <c r="G184" s="3">
        <f t="shared" si="22"/>
        <v>10808000</v>
      </c>
      <c r="H184" s="3">
        <f t="shared" si="23"/>
        <v>540983.86611567636</v>
      </c>
      <c r="I184" s="5">
        <f t="shared" si="24"/>
        <v>19.532346267786899</v>
      </c>
      <c r="J184" s="2">
        <f t="shared" si="25"/>
        <v>4.505E-2</v>
      </c>
      <c r="K184" s="2">
        <f t="shared" si="26"/>
        <v>1.251502925695358E-2</v>
      </c>
      <c r="L184" s="5">
        <f t="shared" si="20"/>
        <v>-0.58464626778689777</v>
      </c>
    </row>
    <row r="185" spans="1:12" x14ac:dyDescent="0.25">
      <c r="A185" s="1">
        <v>43586</v>
      </c>
      <c r="B185">
        <v>19.6172</v>
      </c>
      <c r="C185" s="2">
        <v>8.0600000000000005E-2</v>
      </c>
      <c r="D185" s="3">
        <v>10000000</v>
      </c>
      <c r="E185" s="2">
        <v>2.1330000000000002E-2</v>
      </c>
      <c r="F185" s="4">
        <f t="shared" si="21"/>
        <v>509756.7440817242</v>
      </c>
      <c r="G185" s="3">
        <f t="shared" si="22"/>
        <v>10806000</v>
      </c>
      <c r="H185" s="3">
        <f t="shared" si="23"/>
        <v>520629.85543298739</v>
      </c>
      <c r="I185" s="5">
        <f t="shared" si="24"/>
        <v>20.866002624927084</v>
      </c>
      <c r="J185" s="2">
        <f t="shared" si="25"/>
        <v>4.9200000000000008E-2</v>
      </c>
      <c r="K185" s="2">
        <f t="shared" si="26"/>
        <v>-1.4879353202601142E-2</v>
      </c>
      <c r="L185" s="5">
        <f t="shared" si="20"/>
        <v>-1.2488026249270838</v>
      </c>
    </row>
    <row r="186" spans="1:12" x14ac:dyDescent="0.25">
      <c r="A186" s="1">
        <v>43617</v>
      </c>
      <c r="I186" s="5">
        <f t="shared" si="24"/>
        <v>20.831466556484546</v>
      </c>
      <c r="J186" s="2"/>
      <c r="K186" s="2"/>
      <c r="L186" s="5"/>
    </row>
    <row r="187" spans="1:12" x14ac:dyDescent="0.25">
      <c r="A187" s="1">
        <v>43647</v>
      </c>
      <c r="I187" s="5">
        <f t="shared" si="24"/>
        <v>19.513369204172417</v>
      </c>
      <c r="J187" s="2"/>
      <c r="K187" s="2"/>
      <c r="L187" s="5"/>
    </row>
    <row r="188" spans="1:12" x14ac:dyDescent="0.25">
      <c r="A188" s="1">
        <v>43678</v>
      </c>
      <c r="I188" s="5">
        <f t="shared" si="24"/>
        <v>20.021994458487267</v>
      </c>
      <c r="J188" s="2"/>
      <c r="K188" s="2"/>
      <c r="L188" s="5"/>
    </row>
    <row r="189" spans="1:12" x14ac:dyDescent="0.25">
      <c r="A189" s="1">
        <v>43709</v>
      </c>
      <c r="I189" s="5">
        <f t="shared" si="24"/>
        <v>19.598336428467469</v>
      </c>
      <c r="J189" s="2"/>
      <c r="K189" s="2"/>
      <c r="L189" s="5"/>
    </row>
    <row r="190" spans="1:12" x14ac:dyDescent="0.25">
      <c r="A190" s="1">
        <v>43739</v>
      </c>
      <c r="I190" s="5">
        <f t="shared" si="24"/>
        <v>21.463866300206497</v>
      </c>
      <c r="J190" s="2"/>
      <c r="K190" s="2"/>
      <c r="L190" s="5"/>
    </row>
    <row r="191" spans="1:12" x14ac:dyDescent="0.25">
      <c r="A191" s="1">
        <v>43770</v>
      </c>
      <c r="I191" s="5">
        <f t="shared" si="24"/>
        <v>21.642869398891186</v>
      </c>
      <c r="J191" s="2"/>
      <c r="K191" s="2"/>
      <c r="L191" s="5"/>
    </row>
    <row r="192" spans="1:12" x14ac:dyDescent="0.25">
      <c r="A192" s="1">
        <v>43800</v>
      </c>
      <c r="I192" s="5">
        <f t="shared" si="24"/>
        <v>20.783203513624056</v>
      </c>
      <c r="J192" s="2"/>
      <c r="K192" s="2"/>
      <c r="L192" s="5"/>
    </row>
    <row r="193" spans="1:12" x14ac:dyDescent="0.25">
      <c r="A193" s="1">
        <v>43831</v>
      </c>
      <c r="I193" s="5">
        <f t="shared" si="24"/>
        <v>20.192923923104658</v>
      </c>
      <c r="J193" s="2"/>
      <c r="K193" s="2"/>
      <c r="L193" s="5"/>
    </row>
    <row r="194" spans="1:12" x14ac:dyDescent="0.25">
      <c r="A194" s="1">
        <v>43862</v>
      </c>
      <c r="I194" s="5">
        <f t="shared" si="24"/>
        <v>20.311418119688074</v>
      </c>
      <c r="J194" s="2"/>
      <c r="K194" s="2"/>
      <c r="L194" s="5"/>
    </row>
    <row r="195" spans="1:12" x14ac:dyDescent="0.25">
      <c r="A195" s="1">
        <v>43891</v>
      </c>
      <c r="I195" s="5">
        <f t="shared" si="24"/>
        <v>20.492019979102992</v>
      </c>
      <c r="J195" s="2"/>
      <c r="K195" s="2"/>
      <c r="L195" s="5"/>
    </row>
    <row r="196" spans="1:12" x14ac:dyDescent="0.25">
      <c r="A196" s="1">
        <v>43922</v>
      </c>
      <c r="I196" s="5">
        <f t="shared" si="24"/>
        <v>19.978414656988996</v>
      </c>
      <c r="J196" s="2"/>
      <c r="K196" s="2"/>
      <c r="L196" s="5"/>
    </row>
    <row r="197" spans="1:12" x14ac:dyDescent="0.25">
      <c r="A197" s="1">
        <v>43952</v>
      </c>
      <c r="I197" s="5">
        <f t="shared" si="24"/>
        <v>20.755628758579498</v>
      </c>
      <c r="J197" s="2"/>
      <c r="K197" s="2"/>
      <c r="L197" s="5"/>
    </row>
  </sheetData>
  <sortState ref="A2:H235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Raul Gallardo Hernandez</dc:creator>
  <cp:lastModifiedBy>GALLARDO HERNANDEZ, JOSE RAUL</cp:lastModifiedBy>
  <dcterms:created xsi:type="dcterms:W3CDTF">2019-06-10T02:36:03Z</dcterms:created>
  <dcterms:modified xsi:type="dcterms:W3CDTF">2019-06-18T23:39:13Z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47479bce-2236-4644-8e4b-45260fbd7888</vt:lpwstr>
  </property>
</Properties>
</file>