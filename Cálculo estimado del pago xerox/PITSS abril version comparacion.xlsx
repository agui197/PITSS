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aguilar\Documents\PITSS\Cálculo estimado del pago xerox\"/>
    </mc:Choice>
  </mc:AlternateContent>
  <xr:revisionPtr revIDLastSave="0" documentId="13_ncr:1_{2AF4A44F-000B-4075-89C7-A2D11582910F}" xr6:coauthVersionLast="36" xr6:coauthVersionMax="43" xr10:uidLastSave="{00000000-0000-0000-0000-000000000000}"/>
  <bookViews>
    <workbookView xWindow="-20520" yWindow="6435" windowWidth="20640" windowHeight="11160" activeTab="2" xr2:uid="{00000000-000D-0000-FFFF-FFFF00000000}"/>
  </bookViews>
  <sheets>
    <sheet name="GASTO" sheetId="1" r:id="rId1"/>
    <sheet name="Hoja1" sheetId="4" r:id="rId2"/>
    <sheet name="DETALLE" sheetId="2" r:id="rId3"/>
    <sheet name="RESUMEN" sheetId="3" r:id="rId4"/>
  </sheets>
  <externalReferences>
    <externalReference r:id="rId5"/>
  </externalReferences>
  <definedNames>
    <definedName name="_xlnm._FilterDatabase" localSheetId="2" hidden="1">DETALLE!$A$1:$AR$841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O3" i="2" l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O519" i="2"/>
  <c r="AO520" i="2"/>
  <c r="AO521" i="2"/>
  <c r="AO522" i="2"/>
  <c r="AO523" i="2"/>
  <c r="AO524" i="2"/>
  <c r="AO525" i="2"/>
  <c r="AO526" i="2"/>
  <c r="AO527" i="2"/>
  <c r="AO528" i="2"/>
  <c r="AO529" i="2"/>
  <c r="AO530" i="2"/>
  <c r="AO531" i="2"/>
  <c r="AO532" i="2"/>
  <c r="AO533" i="2"/>
  <c r="AO534" i="2"/>
  <c r="AO535" i="2"/>
  <c r="AO536" i="2"/>
  <c r="AO537" i="2"/>
  <c r="AO538" i="2"/>
  <c r="AO539" i="2"/>
  <c r="AO540" i="2"/>
  <c r="AO541" i="2"/>
  <c r="AO542" i="2"/>
  <c r="AO543" i="2"/>
  <c r="AO544" i="2"/>
  <c r="AO545" i="2"/>
  <c r="AO546" i="2"/>
  <c r="AO547" i="2"/>
  <c r="AO548" i="2"/>
  <c r="AO549" i="2"/>
  <c r="AO550" i="2"/>
  <c r="AO551" i="2"/>
  <c r="AO552" i="2"/>
  <c r="AO553" i="2"/>
  <c r="AO554" i="2"/>
  <c r="AO555" i="2"/>
  <c r="AO556" i="2"/>
  <c r="AO557" i="2"/>
  <c r="AO558" i="2"/>
  <c r="AO559" i="2"/>
  <c r="AO560" i="2"/>
  <c r="AO561" i="2"/>
  <c r="AO562" i="2"/>
  <c r="AO563" i="2"/>
  <c r="AO564" i="2"/>
  <c r="AO565" i="2"/>
  <c r="AO566" i="2"/>
  <c r="AO567" i="2"/>
  <c r="AO568" i="2"/>
  <c r="AO569" i="2"/>
  <c r="AO570" i="2"/>
  <c r="AO571" i="2"/>
  <c r="AO572" i="2"/>
  <c r="AO573" i="2"/>
  <c r="AO574" i="2"/>
  <c r="AO575" i="2"/>
  <c r="AO576" i="2"/>
  <c r="AO577" i="2"/>
  <c r="AO578" i="2"/>
  <c r="AO579" i="2"/>
  <c r="AO580" i="2"/>
  <c r="AO581" i="2"/>
  <c r="AO582" i="2"/>
  <c r="AO583" i="2"/>
  <c r="AO584" i="2"/>
  <c r="AO585" i="2"/>
  <c r="AO586" i="2"/>
  <c r="AO587" i="2"/>
  <c r="AO588" i="2"/>
  <c r="AO589" i="2"/>
  <c r="AO590" i="2"/>
  <c r="AO591" i="2"/>
  <c r="AO592" i="2"/>
  <c r="AO593" i="2"/>
  <c r="AO594" i="2"/>
  <c r="AO595" i="2"/>
  <c r="AO596" i="2"/>
  <c r="AO597" i="2"/>
  <c r="AO598" i="2"/>
  <c r="AO599" i="2"/>
  <c r="AO600" i="2"/>
  <c r="AO601" i="2"/>
  <c r="AO602" i="2"/>
  <c r="AO603" i="2"/>
  <c r="AO604" i="2"/>
  <c r="AO605" i="2"/>
  <c r="AO606" i="2"/>
  <c r="AO607" i="2"/>
  <c r="AO608" i="2"/>
  <c r="AO609" i="2"/>
  <c r="AO610" i="2"/>
  <c r="AO611" i="2"/>
  <c r="AO612" i="2"/>
  <c r="AO613" i="2"/>
  <c r="AO614" i="2"/>
  <c r="AO615" i="2"/>
  <c r="AO616" i="2"/>
  <c r="AO617" i="2"/>
  <c r="AO618" i="2"/>
  <c r="AO619" i="2"/>
  <c r="AO620" i="2"/>
  <c r="AO621" i="2"/>
  <c r="AO622" i="2"/>
  <c r="AO623" i="2"/>
  <c r="AO624" i="2"/>
  <c r="AO625" i="2"/>
  <c r="AO626" i="2"/>
  <c r="AO627" i="2"/>
  <c r="AO628" i="2"/>
  <c r="AO629" i="2"/>
  <c r="AO630" i="2"/>
  <c r="AO631" i="2"/>
  <c r="AO632" i="2"/>
  <c r="AO633" i="2"/>
  <c r="AO634" i="2"/>
  <c r="AO635" i="2"/>
  <c r="AO636" i="2"/>
  <c r="AO637" i="2"/>
  <c r="AO638" i="2"/>
  <c r="AO639" i="2"/>
  <c r="AO640" i="2"/>
  <c r="AO641" i="2"/>
  <c r="AO642" i="2"/>
  <c r="AO643" i="2"/>
  <c r="AO644" i="2"/>
  <c r="AO645" i="2"/>
  <c r="AO646" i="2"/>
  <c r="AO647" i="2"/>
  <c r="AO648" i="2"/>
  <c r="AO649" i="2"/>
  <c r="AO650" i="2"/>
  <c r="AO651" i="2"/>
  <c r="AO652" i="2"/>
  <c r="AO653" i="2"/>
  <c r="AO654" i="2"/>
  <c r="AO655" i="2"/>
  <c r="AO656" i="2"/>
  <c r="AO657" i="2"/>
  <c r="AO658" i="2"/>
  <c r="AO659" i="2"/>
  <c r="AO660" i="2"/>
  <c r="AO661" i="2"/>
  <c r="AO662" i="2"/>
  <c r="AO663" i="2"/>
  <c r="AO664" i="2"/>
  <c r="AO665" i="2"/>
  <c r="AO666" i="2"/>
  <c r="AO667" i="2"/>
  <c r="AO668" i="2"/>
  <c r="AO669" i="2"/>
  <c r="AO670" i="2"/>
  <c r="AO671" i="2"/>
  <c r="AO672" i="2"/>
  <c r="AO673" i="2"/>
  <c r="AO674" i="2"/>
  <c r="AO675" i="2"/>
  <c r="AO676" i="2"/>
  <c r="AO677" i="2"/>
  <c r="AO678" i="2"/>
  <c r="AO679" i="2"/>
  <c r="AO680" i="2"/>
  <c r="AO681" i="2"/>
  <c r="AO682" i="2"/>
  <c r="AO683" i="2"/>
  <c r="AO684" i="2"/>
  <c r="AO685" i="2"/>
  <c r="AO686" i="2"/>
  <c r="AO687" i="2"/>
  <c r="AO688" i="2"/>
  <c r="AO689" i="2"/>
  <c r="AO690" i="2"/>
  <c r="AO691" i="2"/>
  <c r="AO692" i="2"/>
  <c r="AO693" i="2"/>
  <c r="AO694" i="2"/>
  <c r="AO695" i="2"/>
  <c r="AO696" i="2"/>
  <c r="AO697" i="2"/>
  <c r="AO698" i="2"/>
  <c r="AO699" i="2"/>
  <c r="AO700" i="2"/>
  <c r="AO701" i="2"/>
  <c r="AO702" i="2"/>
  <c r="AO703" i="2"/>
  <c r="AO704" i="2"/>
  <c r="AO705" i="2"/>
  <c r="AO706" i="2"/>
  <c r="AO707" i="2"/>
  <c r="AO708" i="2"/>
  <c r="AO709" i="2"/>
  <c r="AO710" i="2"/>
  <c r="AO711" i="2"/>
  <c r="AO712" i="2"/>
  <c r="AO713" i="2"/>
  <c r="AO714" i="2"/>
  <c r="AO715" i="2"/>
  <c r="AO716" i="2"/>
  <c r="AO717" i="2"/>
  <c r="AO718" i="2"/>
  <c r="AO719" i="2"/>
  <c r="AO720" i="2"/>
  <c r="AO721" i="2"/>
  <c r="AO722" i="2"/>
  <c r="AO723" i="2"/>
  <c r="AO724" i="2"/>
  <c r="AO725" i="2"/>
  <c r="AO726" i="2"/>
  <c r="AO727" i="2"/>
  <c r="AO728" i="2"/>
  <c r="AO729" i="2"/>
  <c r="AO730" i="2"/>
  <c r="AO731" i="2"/>
  <c r="AO732" i="2"/>
  <c r="AO733" i="2"/>
  <c r="AO734" i="2"/>
  <c r="AO735" i="2"/>
  <c r="AO736" i="2"/>
  <c r="AO737" i="2"/>
  <c r="AO738" i="2"/>
  <c r="AO739" i="2"/>
  <c r="AO740" i="2"/>
  <c r="AO741" i="2"/>
  <c r="AO742" i="2"/>
  <c r="AO743" i="2"/>
  <c r="AO744" i="2"/>
  <c r="AO745" i="2"/>
  <c r="AO746" i="2"/>
  <c r="AO747" i="2"/>
  <c r="AO748" i="2"/>
  <c r="AO749" i="2"/>
  <c r="AO750" i="2"/>
  <c r="AO751" i="2"/>
  <c r="AO752" i="2"/>
  <c r="AO753" i="2"/>
  <c r="AO754" i="2"/>
  <c r="AO755" i="2"/>
  <c r="AO756" i="2"/>
  <c r="AO757" i="2"/>
  <c r="AO758" i="2"/>
  <c r="AO759" i="2"/>
  <c r="AO760" i="2"/>
  <c r="AO761" i="2"/>
  <c r="AO762" i="2"/>
  <c r="AO763" i="2"/>
  <c r="AO764" i="2"/>
  <c r="AO765" i="2"/>
  <c r="AO766" i="2"/>
  <c r="AO767" i="2"/>
  <c r="AO768" i="2"/>
  <c r="AO769" i="2"/>
  <c r="AO770" i="2"/>
  <c r="AO771" i="2"/>
  <c r="AO772" i="2"/>
  <c r="AO773" i="2"/>
  <c r="AO774" i="2"/>
  <c r="AO775" i="2"/>
  <c r="AO776" i="2"/>
  <c r="AO777" i="2"/>
  <c r="AO778" i="2"/>
  <c r="AO779" i="2"/>
  <c r="AO780" i="2"/>
  <c r="AO781" i="2"/>
  <c r="AO782" i="2"/>
  <c r="AO783" i="2"/>
  <c r="AO784" i="2"/>
  <c r="AO785" i="2"/>
  <c r="AO786" i="2"/>
  <c r="AO787" i="2"/>
  <c r="AO788" i="2"/>
  <c r="AO789" i="2"/>
  <c r="AO790" i="2"/>
  <c r="AO791" i="2"/>
  <c r="AO792" i="2"/>
  <c r="AO793" i="2"/>
  <c r="AO794" i="2"/>
  <c r="AO795" i="2"/>
  <c r="AO796" i="2"/>
  <c r="AO797" i="2"/>
  <c r="AO798" i="2"/>
  <c r="AO799" i="2"/>
  <c r="AO800" i="2"/>
  <c r="AO801" i="2"/>
  <c r="AO802" i="2"/>
  <c r="AO803" i="2"/>
  <c r="AO804" i="2"/>
  <c r="AO805" i="2"/>
  <c r="AO806" i="2"/>
  <c r="AO807" i="2"/>
  <c r="AO808" i="2"/>
  <c r="AO809" i="2"/>
  <c r="AO810" i="2"/>
  <c r="AO811" i="2"/>
  <c r="AO812" i="2"/>
  <c r="AO813" i="2"/>
  <c r="AO814" i="2"/>
  <c r="AO815" i="2"/>
  <c r="AO816" i="2"/>
  <c r="AO817" i="2"/>
  <c r="AO818" i="2"/>
  <c r="AO819" i="2"/>
  <c r="AO820" i="2"/>
  <c r="AO821" i="2"/>
  <c r="AO822" i="2"/>
  <c r="AO823" i="2"/>
  <c r="AO824" i="2"/>
  <c r="AO825" i="2"/>
  <c r="AO826" i="2"/>
  <c r="AO827" i="2"/>
  <c r="AO828" i="2"/>
  <c r="AO829" i="2"/>
  <c r="AO830" i="2"/>
  <c r="AO831" i="2"/>
  <c r="AO832" i="2"/>
  <c r="AO833" i="2"/>
  <c r="AO834" i="2"/>
  <c r="AO835" i="2"/>
  <c r="AO836" i="2"/>
  <c r="AO837" i="2"/>
  <c r="AO838" i="2"/>
  <c r="AO839" i="2"/>
  <c r="AO840" i="2"/>
  <c r="AO841" i="2"/>
  <c r="AO2" i="2"/>
  <c r="AL3" i="2" l="1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2" i="2"/>
  <c r="E7" i="3" l="1"/>
  <c r="C9" i="3"/>
  <c r="C7" i="3"/>
  <c r="AK353" i="2"/>
  <c r="AK234" i="2"/>
  <c r="AM234" i="2" s="1"/>
  <c r="AK407" i="2"/>
  <c r="AK789" i="2"/>
  <c r="AK818" i="2"/>
  <c r="AK621" i="2"/>
  <c r="AK354" i="2"/>
  <c r="AK819" i="2"/>
  <c r="AM819" i="2" s="1"/>
  <c r="AK659" i="2"/>
  <c r="AK318" i="2"/>
  <c r="AK235" i="2"/>
  <c r="AK589" i="2"/>
  <c r="AK706" i="2"/>
  <c r="AK499" i="2"/>
  <c r="AK744" i="2"/>
  <c r="AK61" i="2"/>
  <c r="AK236" i="2"/>
  <c r="AK660" i="2"/>
  <c r="AK62" i="2"/>
  <c r="AK745" i="2"/>
  <c r="AK572" i="2"/>
  <c r="AK148" i="2"/>
  <c r="AK63" i="2"/>
  <c r="AM63" i="2" s="1"/>
  <c r="AK661" i="2"/>
  <c r="AK101" i="2"/>
  <c r="AK237" i="2"/>
  <c r="AK573" i="2"/>
  <c r="AK452" i="2"/>
  <c r="AK149" i="2"/>
  <c r="AK790" i="2"/>
  <c r="AK26" i="2"/>
  <c r="AK707" i="2"/>
  <c r="AK192" i="2"/>
  <c r="AK355" i="2"/>
  <c r="AK150" i="2"/>
  <c r="AK193" i="2"/>
  <c r="AK820" i="2"/>
  <c r="AK27" i="2"/>
  <c r="AK408" i="2"/>
  <c r="AK356" i="2"/>
  <c r="AK357" i="2"/>
  <c r="AK453" i="2"/>
  <c r="AK622" i="2"/>
  <c r="AK584" i="2"/>
  <c r="AK102" i="2"/>
  <c r="AK574" i="2"/>
  <c r="AK454" i="2"/>
  <c r="AK791" i="2"/>
  <c r="AK590" i="2"/>
  <c r="AM590" i="2" s="1"/>
  <c r="AK151" i="2"/>
  <c r="AK409" i="2"/>
  <c r="AK455" i="2"/>
  <c r="AK194" i="2"/>
  <c r="AK3" i="2"/>
  <c r="AM3" i="2" s="1"/>
  <c r="AK195" i="2"/>
  <c r="AK196" i="2"/>
  <c r="AK746" i="2"/>
  <c r="AM746" i="2" s="1"/>
  <c r="AK623" i="2"/>
  <c r="AK358" i="2"/>
  <c r="AK662" i="2"/>
  <c r="AK9" i="2"/>
  <c r="AK359" i="2"/>
  <c r="AK410" i="2"/>
  <c r="AK319" i="2"/>
  <c r="AK411" i="2"/>
  <c r="AK238" i="2"/>
  <c r="AK239" i="2"/>
  <c r="AK152" i="2"/>
  <c r="AK747" i="2"/>
  <c r="AM747" i="2" s="1"/>
  <c r="AK748" i="2"/>
  <c r="AM748" i="2" s="1"/>
  <c r="AK529" i="2"/>
  <c r="AM529" i="2" s="1"/>
  <c r="AK153" i="2"/>
  <c r="AK240" i="2"/>
  <c r="AK708" i="2"/>
  <c r="AM708" i="2" s="1"/>
  <c r="AK530" i="2"/>
  <c r="AK64" i="2"/>
  <c r="AK197" i="2"/>
  <c r="AK456" i="2"/>
  <c r="AK360" i="2"/>
  <c r="AK709" i="2"/>
  <c r="AK749" i="2"/>
  <c r="AK28" i="2"/>
  <c r="AM28" i="2" s="1"/>
  <c r="AK154" i="2"/>
  <c r="AK198" i="2"/>
  <c r="AK821" i="2"/>
  <c r="AK531" i="2"/>
  <c r="AK361" i="2"/>
  <c r="AK29" i="2"/>
  <c r="AM29" i="2" s="1"/>
  <c r="AK65" i="2"/>
  <c r="AK750" i="2"/>
  <c r="AK663" i="2"/>
  <c r="AK457" i="2"/>
  <c r="AM457" i="2" s="1"/>
  <c r="AK5" i="2"/>
  <c r="AK6" i="2"/>
  <c r="AK412" i="2"/>
  <c r="AK199" i="2"/>
  <c r="AK458" i="2"/>
  <c r="AM458" i="2" s="1"/>
  <c r="AK320" i="2"/>
  <c r="AK664" i="2"/>
  <c r="AK575" i="2"/>
  <c r="AK665" i="2"/>
  <c r="AK500" i="2"/>
  <c r="AK459" i="2"/>
  <c r="AK241" i="2"/>
  <c r="AK591" i="2"/>
  <c r="AM591" i="2" s="1"/>
  <c r="AK576" i="2"/>
  <c r="AK274" i="2"/>
  <c r="AK362" i="2"/>
  <c r="AK275" i="2"/>
  <c r="AM275" i="2" s="1"/>
  <c r="AK413" i="2"/>
  <c r="AK155" i="2"/>
  <c r="AK414" i="2"/>
  <c r="AK666" i="2"/>
  <c r="AK822" i="2"/>
  <c r="AK667" i="2"/>
  <c r="AK624" i="2"/>
  <c r="AK200" i="2"/>
  <c r="AK751" i="2"/>
  <c r="AM751" i="2" s="1"/>
  <c r="AK460" i="2"/>
  <c r="AK461" i="2"/>
  <c r="AK710" i="2"/>
  <c r="AK201" i="2"/>
  <c r="AK415" i="2"/>
  <c r="AK462" i="2"/>
  <c r="AK242" i="2"/>
  <c r="AK156" i="2"/>
  <c r="AK668" i="2"/>
  <c r="AK625" i="2"/>
  <c r="AK752" i="2"/>
  <c r="AM752" i="2" s="1"/>
  <c r="AK363" i="2"/>
  <c r="AK532" i="2"/>
  <c r="AK321" i="2"/>
  <c r="AK243" i="2"/>
  <c r="AK416" i="2"/>
  <c r="AK103" i="2"/>
  <c r="AK10" i="2"/>
  <c r="AK364" i="2"/>
  <c r="AK417" i="2"/>
  <c r="AK157" i="2"/>
  <c r="AK365" i="2"/>
  <c r="AK711" i="2"/>
  <c r="AK669" i="2"/>
  <c r="AK753" i="2"/>
  <c r="AM753" i="2" s="1"/>
  <c r="AK463" i="2"/>
  <c r="AK7" i="2"/>
  <c r="AM7" i="2" s="1"/>
  <c r="AK592" i="2"/>
  <c r="AK104" i="2"/>
  <c r="AK823" i="2"/>
  <c r="AM823" i="2" s="1"/>
  <c r="AK105" i="2"/>
  <c r="AK533" i="2"/>
  <c r="AK501" i="2"/>
  <c r="AM501" i="2" s="1"/>
  <c r="AK158" i="2"/>
  <c r="AK276" i="2"/>
  <c r="AK792" i="2"/>
  <c r="AK202" i="2"/>
  <c r="AK106" i="2"/>
  <c r="AK534" i="2"/>
  <c r="AK366" i="2"/>
  <c r="AK277" i="2"/>
  <c r="AK793" i="2"/>
  <c r="AK11" i="2"/>
  <c r="AK593" i="2"/>
  <c r="AK322" i="2"/>
  <c r="AK367" i="2"/>
  <c r="AK535" i="2"/>
  <c r="AK244" i="2"/>
  <c r="AK670" i="2"/>
  <c r="AK159" i="2"/>
  <c r="AK794" i="2"/>
  <c r="AK66" i="2"/>
  <c r="AK754" i="2"/>
  <c r="AM754" i="2" s="1"/>
  <c r="AK671" i="2"/>
  <c r="AK368" i="2"/>
  <c r="AK824" i="2"/>
  <c r="AM824" i="2" s="1"/>
  <c r="AK536" i="2"/>
  <c r="AK537" i="2"/>
  <c r="AK672" i="2"/>
  <c r="AK464" i="2"/>
  <c r="AK2" i="2"/>
  <c r="AM2" i="2" s="1"/>
  <c r="AK594" i="2"/>
  <c r="AM594" i="2" s="1"/>
  <c r="AK673" i="2"/>
  <c r="AK626" i="2"/>
  <c r="AK538" i="2"/>
  <c r="AK245" i="2"/>
  <c r="AM245" i="2" s="1"/>
  <c r="AK674" i="2"/>
  <c r="AK107" i="2"/>
  <c r="AK278" i="2"/>
  <c r="AK369" i="2"/>
  <c r="AK30" i="2"/>
  <c r="AK418" i="2"/>
  <c r="AK539" i="2"/>
  <c r="AK627" i="2"/>
  <c r="AK825" i="2"/>
  <c r="AK755" i="2"/>
  <c r="AM755" i="2" s="1"/>
  <c r="AK108" i="2"/>
  <c r="AM108" i="2" s="1"/>
  <c r="AK203" i="2"/>
  <c r="AK204" i="2"/>
  <c r="AK419" i="2"/>
  <c r="AK279" i="2"/>
  <c r="AK370" i="2"/>
  <c r="AK577" i="2"/>
  <c r="AK371" i="2"/>
  <c r="AK246" i="2"/>
  <c r="AM246" i="2" s="1"/>
  <c r="AK540" i="2"/>
  <c r="AK160" i="2"/>
  <c r="AK247" i="2"/>
  <c r="AK109" i="2"/>
  <c r="AK161" i="2"/>
  <c r="AK595" i="2"/>
  <c r="AM595" i="2" s="1"/>
  <c r="AK420" i="2"/>
  <c r="AM420" i="2" s="1"/>
  <c r="AK628" i="2"/>
  <c r="AK465" i="2"/>
  <c r="AK795" i="2"/>
  <c r="AK280" i="2"/>
  <c r="AK712" i="2"/>
  <c r="AM712" i="2" s="1"/>
  <c r="AK323" i="2"/>
  <c r="AK205" i="2"/>
  <c r="AK756" i="2"/>
  <c r="AM756" i="2" s="1"/>
  <c r="AK675" i="2"/>
  <c r="AK372" i="2"/>
  <c r="AK713" i="2"/>
  <c r="AK162" i="2"/>
  <c r="AK466" i="2"/>
  <c r="AK676" i="2"/>
  <c r="AK373" i="2"/>
  <c r="AK281" i="2"/>
  <c r="AK757" i="2"/>
  <c r="AK585" i="2"/>
  <c r="AK677" i="2"/>
  <c r="AM677" i="2" s="1"/>
  <c r="AK67" i="2"/>
  <c r="AK541" i="2"/>
  <c r="AK796" i="2"/>
  <c r="AM796" i="2" s="1"/>
  <c r="AK324" i="2"/>
  <c r="AK467" i="2"/>
  <c r="AK248" i="2"/>
  <c r="AK163" i="2"/>
  <c r="AM163" i="2" s="1"/>
  <c r="AK596" i="2"/>
  <c r="AK542" i="2"/>
  <c r="AK758" i="2"/>
  <c r="AM758" i="2" s="1"/>
  <c r="AK31" i="2"/>
  <c r="AK374" i="2"/>
  <c r="AK597" i="2"/>
  <c r="AK68" i="2"/>
  <c r="AK375" i="2"/>
  <c r="AK678" i="2"/>
  <c r="AK206" i="2"/>
  <c r="AK249" i="2"/>
  <c r="AK468" i="2"/>
  <c r="AM468" i="2" s="1"/>
  <c r="AK629" i="2"/>
  <c r="AK578" i="2"/>
  <c r="AK325" i="2"/>
  <c r="AK12" i="2"/>
  <c r="AK164" i="2"/>
  <c r="AK714" i="2"/>
  <c r="AK679" i="2"/>
  <c r="AK32" i="2"/>
  <c r="AM32" i="2" s="1"/>
  <c r="AK759" i="2"/>
  <c r="AM759" i="2" s="1"/>
  <c r="AK469" i="2"/>
  <c r="AK250" i="2"/>
  <c r="AK598" i="2"/>
  <c r="AM598" i="2" s="1"/>
  <c r="AK110" i="2"/>
  <c r="AK586" i="2"/>
  <c r="AM586" i="2" s="1"/>
  <c r="AK470" i="2"/>
  <c r="AK760" i="2"/>
  <c r="AM760" i="2" s="1"/>
  <c r="AK680" i="2"/>
  <c r="AK543" i="2"/>
  <c r="AK599" i="2"/>
  <c r="AK502" i="2"/>
  <c r="AM502" i="2" s="1"/>
  <c r="AK421" i="2"/>
  <c r="AK165" i="2"/>
  <c r="AK69" i="2"/>
  <c r="AK600" i="2"/>
  <c r="AK282" i="2"/>
  <c r="AK579" i="2"/>
  <c r="AK601" i="2"/>
  <c r="AK326" i="2"/>
  <c r="AK471" i="2"/>
  <c r="AK283" i="2"/>
  <c r="AK715" i="2"/>
  <c r="AK70" i="2"/>
  <c r="AK376" i="2"/>
  <c r="AK797" i="2"/>
  <c r="AK33" i="2"/>
  <c r="AM33" i="2" s="1"/>
  <c r="AK602" i="2"/>
  <c r="AK472" i="2"/>
  <c r="AK377" i="2"/>
  <c r="AK284" i="2"/>
  <c r="AM284" i="2" s="1"/>
  <c r="AK207" i="2"/>
  <c r="AK473" i="2"/>
  <c r="AK327" i="2"/>
  <c r="AK761" i="2"/>
  <c r="AK762" i="2"/>
  <c r="AM762" i="2" s="1"/>
  <c r="AK630" i="2"/>
  <c r="AK798" i="2"/>
  <c r="AK474" i="2"/>
  <c r="AK111" i="2"/>
  <c r="AK475" i="2"/>
  <c r="AK328" i="2"/>
  <c r="AK422" i="2"/>
  <c r="AM422" i="2" s="1"/>
  <c r="AK208" i="2"/>
  <c r="AK763" i="2"/>
  <c r="AK476" i="2"/>
  <c r="AK716" i="2"/>
  <c r="AK34" i="2"/>
  <c r="AK285" i="2"/>
  <c r="AK112" i="2"/>
  <c r="AK681" i="2"/>
  <c r="AK603" i="2"/>
  <c r="AK423" i="2"/>
  <c r="AM423" i="2" s="1"/>
  <c r="AK166" i="2"/>
  <c r="AK329" i="2"/>
  <c r="AK503" i="2"/>
  <c r="AK330" i="2"/>
  <c r="AM330" i="2" s="1"/>
  <c r="AK826" i="2"/>
  <c r="AM826" i="2" s="1"/>
  <c r="AK424" i="2"/>
  <c r="AK286" i="2"/>
  <c r="AK425" i="2"/>
  <c r="AK378" i="2"/>
  <c r="AK682" i="2"/>
  <c r="AK71" i="2"/>
  <c r="AK604" i="2"/>
  <c r="AK72" i="2"/>
  <c r="AK287" i="2"/>
  <c r="AK631" i="2"/>
  <c r="AK113" i="2"/>
  <c r="AK251" i="2"/>
  <c r="AK252" i="2"/>
  <c r="AM252" i="2" s="1"/>
  <c r="AK13" i="2"/>
  <c r="AK288" i="2"/>
  <c r="AK683" i="2"/>
  <c r="AK764" i="2"/>
  <c r="AM764" i="2" s="1"/>
  <c r="AK379" i="2"/>
  <c r="AK504" i="2"/>
  <c r="AK209" i="2"/>
  <c r="AK14" i="2"/>
  <c r="AK73" i="2"/>
  <c r="AK114" i="2"/>
  <c r="AK74" i="2"/>
  <c r="AK717" i="2"/>
  <c r="AK799" i="2"/>
  <c r="AK684" i="2"/>
  <c r="AK426" i="2"/>
  <c r="AK505" i="2"/>
  <c r="AK210" i="2"/>
  <c r="AK427" i="2"/>
  <c r="AK428" i="2"/>
  <c r="AK35" i="2"/>
  <c r="AK685" i="2"/>
  <c r="AK477" i="2"/>
  <c r="AK718" i="2"/>
  <c r="AK478" i="2"/>
  <c r="AK632" i="2"/>
  <c r="AK506" i="2"/>
  <c r="AK633" i="2"/>
  <c r="AK765" i="2"/>
  <c r="AM765" i="2" s="1"/>
  <c r="AK380" i="2"/>
  <c r="AK36" i="2"/>
  <c r="AK289" i="2"/>
  <c r="AK766" i="2"/>
  <c r="AK686" i="2"/>
  <c r="AK381" i="2"/>
  <c r="AK331" i="2"/>
  <c r="AK290" i="2"/>
  <c r="AK507" i="2"/>
  <c r="AK508" i="2"/>
  <c r="AK115" i="2"/>
  <c r="AK382" i="2"/>
  <c r="AK800" i="2"/>
  <c r="AK605" i="2"/>
  <c r="AK479" i="2"/>
  <c r="AM479" i="2" s="1"/>
  <c r="AK827" i="2"/>
  <c r="AK383" i="2"/>
  <c r="AK291" i="2"/>
  <c r="AK116" i="2"/>
  <c r="AK429" i="2"/>
  <c r="AM429" i="2" s="1"/>
  <c r="AK719" i="2"/>
  <c r="AK544" i="2"/>
  <c r="AK767" i="2"/>
  <c r="AK292" i="2"/>
  <c r="AK211" i="2"/>
  <c r="AK293" i="2"/>
  <c r="AK15" i="2"/>
  <c r="AK253" i="2"/>
  <c r="AK167" i="2"/>
  <c r="AK768" i="2"/>
  <c r="AK606" i="2"/>
  <c r="AK254" i="2"/>
  <c r="AK384" i="2"/>
  <c r="AM384" i="2" s="1"/>
  <c r="AK37" i="2"/>
  <c r="AK430" i="2"/>
  <c r="AK75" i="2"/>
  <c r="AK801" i="2"/>
  <c r="AK76" i="2"/>
  <c r="AK545" i="2"/>
  <c r="AK255" i="2"/>
  <c r="AK607" i="2"/>
  <c r="AK256" i="2"/>
  <c r="AK332" i="2"/>
  <c r="AK168" i="2"/>
  <c r="AK212" i="2"/>
  <c r="AK546" i="2"/>
  <c r="AK480" i="2"/>
  <c r="AK385" i="2"/>
  <c r="AK294" i="2"/>
  <c r="AK431" i="2"/>
  <c r="AK828" i="2"/>
  <c r="AK547" i="2"/>
  <c r="AK634" i="2"/>
  <c r="AK386" i="2"/>
  <c r="AK587" i="2"/>
  <c r="AK387" i="2"/>
  <c r="AK77" i="2"/>
  <c r="AK548" i="2"/>
  <c r="AK257" i="2"/>
  <c r="AK117" i="2"/>
  <c r="AK169" i="2"/>
  <c r="AK213" i="2"/>
  <c r="AK170" i="2"/>
  <c r="AK432" i="2"/>
  <c r="AK802" i="2"/>
  <c r="AK481" i="2"/>
  <c r="AK258" i="2"/>
  <c r="AK687" i="2"/>
  <c r="AK295" i="2"/>
  <c r="AK720" i="2"/>
  <c r="AM720" i="2" s="1"/>
  <c r="AK259" i="2"/>
  <c r="AK608" i="2"/>
  <c r="AK721" i="2"/>
  <c r="AK803" i="2"/>
  <c r="AK769" i="2"/>
  <c r="AK509" i="2"/>
  <c r="AK333" i="2"/>
  <c r="AK510" i="2"/>
  <c r="AK171" i="2"/>
  <c r="AK8" i="2"/>
  <c r="AM8" i="2" s="1"/>
  <c r="AK804" i="2"/>
  <c r="AK214" i="2"/>
  <c r="AK118" i="2"/>
  <c r="AK296" i="2"/>
  <c r="AK722" i="2"/>
  <c r="AK38" i="2"/>
  <c r="AK433" i="2"/>
  <c r="AK482" i="2"/>
  <c r="AK119" i="2"/>
  <c r="AK334" i="2"/>
  <c r="AK215" i="2"/>
  <c r="AK297" i="2"/>
  <c r="AK260" i="2"/>
  <c r="AK78" i="2"/>
  <c r="AK434" i="2"/>
  <c r="AK688" i="2"/>
  <c r="AK580" i="2"/>
  <c r="AK120" i="2"/>
  <c r="AK121" i="2"/>
  <c r="AK805" i="2"/>
  <c r="AK79" i="2"/>
  <c r="AK689" i="2"/>
  <c r="AK723" i="2"/>
  <c r="AM723" i="2" s="1"/>
  <c r="AK609" i="2"/>
  <c r="AK635" i="2"/>
  <c r="AK636" i="2"/>
  <c r="AK511" i="2"/>
  <c r="AK172" i="2"/>
  <c r="AK610" i="2"/>
  <c r="AK483" i="2"/>
  <c r="AK770" i="2"/>
  <c r="AK173" i="2"/>
  <c r="AK122" i="2"/>
  <c r="AK388" i="2"/>
  <c r="AK80" i="2"/>
  <c r="AK806" i="2"/>
  <c r="AK807" i="2"/>
  <c r="AK637" i="2"/>
  <c r="AK123" i="2"/>
  <c r="AK638" i="2"/>
  <c r="AK639" i="2"/>
  <c r="AK16" i="2"/>
  <c r="AK484" i="2"/>
  <c r="AK771" i="2"/>
  <c r="AK485" i="2"/>
  <c r="AK549" i="2"/>
  <c r="AK389" i="2"/>
  <c r="AK829" i="2"/>
  <c r="AM829" i="2" s="1"/>
  <c r="AK550" i="2"/>
  <c r="AK39" i="2"/>
  <c r="AK486" i="2"/>
  <c r="AK830" i="2"/>
  <c r="AK81" i="2"/>
  <c r="AK772" i="2"/>
  <c r="AK124" i="2"/>
  <c r="AK690" i="2"/>
  <c r="AK40" i="2"/>
  <c r="AK17" i="2"/>
  <c r="AK640" i="2"/>
  <c r="AK724" i="2"/>
  <c r="AK261" i="2"/>
  <c r="AK487" i="2"/>
  <c r="AM487" i="2" s="1"/>
  <c r="AK298" i="2"/>
  <c r="AK435" i="2"/>
  <c r="AK125" i="2"/>
  <c r="AK41" i="2"/>
  <c r="AK174" i="2"/>
  <c r="AK299" i="2"/>
  <c r="AK641" i="2"/>
  <c r="AK551" i="2"/>
  <c r="AK42" i="2"/>
  <c r="AK216" i="2"/>
  <c r="AK436" i="2"/>
  <c r="AK175" i="2"/>
  <c r="AK335" i="2"/>
  <c r="AK82" i="2"/>
  <c r="AM82" i="2" s="1"/>
  <c r="AK642" i="2"/>
  <c r="AK512" i="2"/>
  <c r="AK437" i="2"/>
  <c r="AK43" i="2"/>
  <c r="AM43" i="2" s="1"/>
  <c r="AK83" i="2"/>
  <c r="AK300" i="2"/>
  <c r="AK176" i="2"/>
  <c r="AK177" i="2"/>
  <c r="AK552" i="2"/>
  <c r="AK513" i="2"/>
  <c r="AK178" i="2"/>
  <c r="AK179" i="2"/>
  <c r="AK18" i="2"/>
  <c r="AK773" i="2"/>
  <c r="AK808" i="2"/>
  <c r="AM808" i="2" s="1"/>
  <c r="AK19" i="2"/>
  <c r="AK126" i="2"/>
  <c r="AK217" i="2"/>
  <c r="AK831" i="2"/>
  <c r="AK438" i="2"/>
  <c r="AK725" i="2"/>
  <c r="AM725" i="2" s="1"/>
  <c r="AK832" i="2"/>
  <c r="AK127" i="2"/>
  <c r="AK180" i="2"/>
  <c r="AK336" i="2"/>
  <c r="AK84" i="2"/>
  <c r="AK20" i="2"/>
  <c r="AK181" i="2"/>
  <c r="AK774" i="2"/>
  <c r="AK390" i="2"/>
  <c r="AK643" i="2"/>
  <c r="AK726" i="2"/>
  <c r="AK691" i="2"/>
  <c r="AK218" i="2"/>
  <c r="AK775" i="2"/>
  <c r="AK488" i="2"/>
  <c r="AM488" i="2" s="1"/>
  <c r="AK128" i="2"/>
  <c r="AM128" i="2" s="1"/>
  <c r="AK129" i="2"/>
  <c r="AK44" i="2"/>
  <c r="AK553" i="2"/>
  <c r="AK644" i="2"/>
  <c r="AK85" i="2"/>
  <c r="AK337" i="2"/>
  <c r="AM337" i="2" s="1"/>
  <c r="AK182" i="2"/>
  <c r="AK809" i="2"/>
  <c r="AK338" i="2"/>
  <c r="AK439" i="2"/>
  <c r="AK611" i="2"/>
  <c r="AK339" i="2"/>
  <c r="AM339" i="2" s="1"/>
  <c r="AK612" i="2"/>
  <c r="AK727" i="2"/>
  <c r="AM727" i="2" s="1"/>
  <c r="AK301" i="2"/>
  <c r="AK554" i="2"/>
  <c r="AK788" i="2"/>
  <c r="AK514" i="2"/>
  <c r="AK130" i="2"/>
  <c r="AK302" i="2"/>
  <c r="AK340" i="2"/>
  <c r="AM340" i="2" s="1"/>
  <c r="AK219" i="2"/>
  <c r="AK776" i="2"/>
  <c r="AK391" i="2"/>
  <c r="AK183" i="2"/>
  <c r="AK555" i="2"/>
  <c r="AK777" i="2"/>
  <c r="AK131" i="2"/>
  <c r="AK728" i="2"/>
  <c r="AK392" i="2"/>
  <c r="AK262" i="2"/>
  <c r="AK833" i="2"/>
  <c r="AK729" i="2"/>
  <c r="AK341" i="2"/>
  <c r="AK263" i="2"/>
  <c r="AK556" i="2"/>
  <c r="AK86" i="2"/>
  <c r="AK613" i="2"/>
  <c r="AK557" i="2"/>
  <c r="AK87" i="2"/>
  <c r="AK440" i="2"/>
  <c r="AM440" i="2" s="1"/>
  <c r="AK834" i="2"/>
  <c r="AK220" i="2"/>
  <c r="AK45" i="2"/>
  <c r="AK303" i="2"/>
  <c r="AK645" i="2"/>
  <c r="AK810" i="2"/>
  <c r="AK304" i="2"/>
  <c r="AK489" i="2"/>
  <c r="AK21" i="2"/>
  <c r="AK778" i="2"/>
  <c r="AK835" i="2"/>
  <c r="AK46" i="2"/>
  <c r="AK558" i="2"/>
  <c r="AK559" i="2"/>
  <c r="AK692" i="2"/>
  <c r="AK441" i="2"/>
  <c r="AK614" i="2"/>
  <c r="AK515" i="2"/>
  <c r="AK393" i="2"/>
  <c r="AK779" i="2"/>
  <c r="AK730" i="2"/>
  <c r="AK394" i="2"/>
  <c r="AK646" i="2"/>
  <c r="AK221" i="2"/>
  <c r="AK731" i="2"/>
  <c r="AM731" i="2" s="1"/>
  <c r="AK516" i="2"/>
  <c r="AK132" i="2"/>
  <c r="AK615" i="2"/>
  <c r="AK693" i="2"/>
  <c r="AK517" i="2"/>
  <c r="AK222" i="2"/>
  <c r="AK732" i="2"/>
  <c r="AM732" i="2" s="1"/>
  <c r="AK836" i="2"/>
  <c r="AK395" i="2"/>
  <c r="AK560" i="2"/>
  <c r="AK733" i="2"/>
  <c r="AM733" i="2" s="1"/>
  <c r="AK264" i="2"/>
  <c r="AK647" i="2"/>
  <c r="AK133" i="2"/>
  <c r="AK490" i="2"/>
  <c r="AK780" i="2"/>
  <c r="AK648" i="2"/>
  <c r="AK47" i="2"/>
  <c r="AK442" i="2"/>
  <c r="AK694" i="2"/>
  <c r="AK88" i="2"/>
  <c r="AK616" i="2"/>
  <c r="AK48" i="2"/>
  <c r="AK649" i="2"/>
  <c r="AK305" i="2"/>
  <c r="AK89" i="2"/>
  <c r="AK650" i="2"/>
  <c r="AK443" i="2"/>
  <c r="AK781" i="2"/>
  <c r="AK134" i="2"/>
  <c r="AK49" i="2"/>
  <c r="AK50" i="2"/>
  <c r="AK518" i="2"/>
  <c r="AK491" i="2"/>
  <c r="AK223" i="2"/>
  <c r="AK734" i="2"/>
  <c r="AM734" i="2" s="1"/>
  <c r="AK444" i="2"/>
  <c r="AK519" i="2"/>
  <c r="AK396" i="2"/>
  <c r="AK695" i="2"/>
  <c r="AK782" i="2"/>
  <c r="AM782" i="2" s="1"/>
  <c r="AK135" i="2"/>
  <c r="AK811" i="2"/>
  <c r="AK812" i="2"/>
  <c r="AK783" i="2"/>
  <c r="AK306" i="2"/>
  <c r="AK784" i="2"/>
  <c r="AK224" i="2"/>
  <c r="AK735" i="2"/>
  <c r="AM735" i="2" s="1"/>
  <c r="AK696" i="2"/>
  <c r="AK561" i="2"/>
  <c r="AK697" i="2"/>
  <c r="AK184" i="2"/>
  <c r="AK265" i="2"/>
  <c r="AK445" i="2"/>
  <c r="AK90" i="2"/>
  <c r="AK813" i="2"/>
  <c r="AM813" i="2" s="1"/>
  <c r="AK588" i="2"/>
  <c r="AK651" i="2"/>
  <c r="AK136" i="2"/>
  <c r="AK266" i="2"/>
  <c r="AK617" i="2"/>
  <c r="AK446" i="2"/>
  <c r="AK185" i="2"/>
  <c r="AK520" i="2"/>
  <c r="AK521" i="2"/>
  <c r="AK837" i="2"/>
  <c r="AK307" i="2"/>
  <c r="AK736" i="2"/>
  <c r="AM736" i="2" s="1"/>
  <c r="AK492" i="2"/>
  <c r="AK308" i="2"/>
  <c r="AK267" i="2"/>
  <c r="AM267" i="2" s="1"/>
  <c r="AK698" i="2"/>
  <c r="AK137" i="2"/>
  <c r="AK51" i="2"/>
  <c r="AK699" i="2"/>
  <c r="AK397" i="2"/>
  <c r="AK309" i="2"/>
  <c r="AK652" i="2"/>
  <c r="AK700" i="2"/>
  <c r="AK562" i="2"/>
  <c r="AK310" i="2"/>
  <c r="AM310" i="2" s="1"/>
  <c r="AK225" i="2"/>
  <c r="AK91" i="2"/>
  <c r="AK737" i="2"/>
  <c r="AK398" i="2"/>
  <c r="AK92" i="2"/>
  <c r="AK268" i="2"/>
  <c r="AK701" i="2"/>
  <c r="AK399" i="2"/>
  <c r="AK838" i="2"/>
  <c r="AK563" i="2"/>
  <c r="AK342" i="2"/>
  <c r="AK93" i="2"/>
  <c r="AM93" i="2" s="1"/>
  <c r="AK493" i="2"/>
  <c r="AK447" i="2"/>
  <c r="AK22" i="2"/>
  <c r="AK311" i="2"/>
  <c r="AK738" i="2"/>
  <c r="AM738" i="2" s="1"/>
  <c r="AK522" i="2"/>
  <c r="AK138" i="2"/>
  <c r="AM138" i="2" s="1"/>
  <c r="AK139" i="2"/>
  <c r="AK140" i="2"/>
  <c r="AK141" i="2"/>
  <c r="AK564" i="2"/>
  <c r="AK312" i="2"/>
  <c r="AK186" i="2"/>
  <c r="AK565" i="2"/>
  <c r="AK269" i="2"/>
  <c r="AK839" i="2"/>
  <c r="AM839" i="2" s="1"/>
  <c r="AK702" i="2"/>
  <c r="AK653" i="2"/>
  <c r="AK226" i="2"/>
  <c r="AK94" i="2"/>
  <c r="AK739" i="2"/>
  <c r="AK581" i="2"/>
  <c r="AK343" i="2"/>
  <c r="AK52" i="2"/>
  <c r="AK654" i="2"/>
  <c r="AK53" i="2"/>
  <c r="AK523" i="2"/>
  <c r="AK54" i="2"/>
  <c r="AK344" i="2"/>
  <c r="AK345" i="2"/>
  <c r="AK187" i="2"/>
  <c r="AK95" i="2"/>
  <c r="AM95" i="2" s="1"/>
  <c r="AK448" i="2"/>
  <c r="AK188" i="2"/>
  <c r="AK227" i="2"/>
  <c r="AK494" i="2"/>
  <c r="AK55" i="2"/>
  <c r="AK4" i="2"/>
  <c r="AM4" i="2" s="1"/>
  <c r="AK840" i="2"/>
  <c r="AK346" i="2"/>
  <c r="AK228" i="2"/>
  <c r="AK841" i="2"/>
  <c r="AK347" i="2"/>
  <c r="AK229" i="2"/>
  <c r="AK96" i="2"/>
  <c r="AM96" i="2" s="1"/>
  <c r="AK313" i="2"/>
  <c r="AK814" i="2"/>
  <c r="AK348" i="2"/>
  <c r="AK740" i="2"/>
  <c r="AK56" i="2"/>
  <c r="AM56" i="2" s="1"/>
  <c r="AK349" i="2"/>
  <c r="AK142" i="2"/>
  <c r="AK23" i="2"/>
  <c r="AK24" i="2"/>
  <c r="AK25" i="2"/>
  <c r="AK57" i="2"/>
  <c r="AM57" i="2" s="1"/>
  <c r="AK58" i="2"/>
  <c r="AM58" i="2" s="1"/>
  <c r="AK59" i="2"/>
  <c r="AK60" i="2"/>
  <c r="AK97" i="2"/>
  <c r="AM97" i="2" s="1"/>
  <c r="AK98" i="2"/>
  <c r="AK99" i="2"/>
  <c r="AK100" i="2"/>
  <c r="AK143" i="2"/>
  <c r="AK144" i="2"/>
  <c r="AK145" i="2"/>
  <c r="AK146" i="2"/>
  <c r="AK189" i="2"/>
  <c r="AK190" i="2"/>
  <c r="AK147" i="2"/>
  <c r="AM147" i="2" s="1"/>
  <c r="AK191" i="2"/>
  <c r="AK230" i="2"/>
  <c r="AK231" i="2"/>
  <c r="AK232" i="2"/>
  <c r="AK233" i="2"/>
  <c r="AK270" i="2"/>
  <c r="AK271" i="2"/>
  <c r="AK272" i="2"/>
  <c r="AK273" i="2"/>
  <c r="AK314" i="2"/>
  <c r="AK315" i="2"/>
  <c r="AK350" i="2"/>
  <c r="AK316" i="2"/>
  <c r="AK317" i="2"/>
  <c r="AK351" i="2"/>
  <c r="AK400" i="2"/>
  <c r="AK401" i="2"/>
  <c r="AK402" i="2"/>
  <c r="AK352" i="2"/>
  <c r="AK403" i="2"/>
  <c r="AK404" i="2"/>
  <c r="AK405" i="2"/>
  <c r="AK406" i="2"/>
  <c r="AK449" i="2"/>
  <c r="AK450" i="2"/>
  <c r="AK451" i="2"/>
  <c r="AK495" i="2"/>
  <c r="AK496" i="2"/>
  <c r="AK497" i="2"/>
  <c r="AK524" i="2"/>
  <c r="AK525" i="2"/>
  <c r="AK526" i="2"/>
  <c r="AK527" i="2"/>
  <c r="AK528" i="2"/>
  <c r="AK566" i="2"/>
  <c r="AK567" i="2"/>
  <c r="AK568" i="2"/>
  <c r="AK569" i="2"/>
  <c r="AK570" i="2"/>
  <c r="AK571" i="2"/>
  <c r="AK582" i="2"/>
  <c r="AK583" i="2"/>
  <c r="AK618" i="2"/>
  <c r="AK619" i="2"/>
  <c r="AK655" i="2"/>
  <c r="AM655" i="2" s="1"/>
  <c r="AK656" i="2"/>
  <c r="AK657" i="2"/>
  <c r="AK620" i="2"/>
  <c r="AK658" i="2"/>
  <c r="AK703" i="2"/>
  <c r="AK704" i="2"/>
  <c r="AK705" i="2"/>
  <c r="AK741" i="2"/>
  <c r="AM741" i="2" s="1"/>
  <c r="AK742" i="2"/>
  <c r="AM742" i="2" s="1"/>
  <c r="AK743" i="2"/>
  <c r="AK785" i="2"/>
  <c r="AM785" i="2" s="1"/>
  <c r="AK786" i="2"/>
  <c r="AM786" i="2" s="1"/>
  <c r="AK787" i="2"/>
  <c r="AK815" i="2"/>
  <c r="AK816" i="2"/>
  <c r="AK817" i="2"/>
  <c r="AK498" i="2"/>
  <c r="C5" i="3"/>
  <c r="AM316" i="2" l="1"/>
  <c r="AM814" i="2"/>
  <c r="AM98" i="2"/>
  <c r="AM740" i="2"/>
  <c r="AM140" i="2"/>
  <c r="AM838" i="2"/>
  <c r="AM92" i="2"/>
  <c r="AM837" i="2"/>
  <c r="AM784" i="2"/>
  <c r="AM811" i="2"/>
  <c r="AM615" i="2"/>
  <c r="AM779" i="2"/>
  <c r="AM788" i="2"/>
  <c r="AM85" i="2"/>
  <c r="AM129" i="2"/>
  <c r="AM390" i="2"/>
  <c r="AM84" i="2"/>
  <c r="AM773" i="2"/>
  <c r="AM772" i="2"/>
  <c r="AM78" i="2"/>
  <c r="AM334" i="2"/>
  <c r="AM803" i="2"/>
  <c r="AM768" i="2"/>
  <c r="AM506" i="2"/>
  <c r="AM763" i="2"/>
  <c r="AM629" i="2"/>
  <c r="AM825" i="2"/>
  <c r="AM794" i="2"/>
  <c r="AM65" i="2"/>
  <c r="AM821" i="2"/>
  <c r="AM749" i="2"/>
  <c r="AM820" i="2"/>
  <c r="AM818" i="2"/>
  <c r="AM582" i="2"/>
  <c r="AM146" i="2"/>
  <c r="AM815" i="2"/>
  <c r="AM743" i="2"/>
  <c r="AM787" i="2"/>
  <c r="AM346" i="2"/>
  <c r="AM94" i="2"/>
  <c r="AM617" i="2"/>
  <c r="AM134" i="2"/>
  <c r="AM89" i="2"/>
  <c r="AM616" i="2"/>
  <c r="AM47" i="2"/>
  <c r="AM835" i="2"/>
  <c r="AM833" i="2"/>
  <c r="AM809" i="2"/>
  <c r="AM774" i="2"/>
  <c r="AM83" i="2"/>
  <c r="AM81" i="2"/>
  <c r="AM807" i="2"/>
  <c r="AM804" i="2"/>
  <c r="AM721" i="2"/>
  <c r="AM802" i="2"/>
  <c r="AM801" i="2"/>
  <c r="AM719" i="2"/>
  <c r="AM800" i="2"/>
  <c r="AM799" i="2"/>
  <c r="AM375" i="2"/>
  <c r="AM627" i="2"/>
  <c r="AM793" i="2"/>
  <c r="AM10" i="2"/>
  <c r="AM64" i="2"/>
  <c r="AM791" i="2"/>
  <c r="AM789" i="2"/>
  <c r="AM817" i="2"/>
  <c r="AM781" i="2"/>
  <c r="AM726" i="2"/>
  <c r="AM438" i="2"/>
  <c r="AM177" i="2"/>
  <c r="AM830" i="2"/>
  <c r="AM771" i="2"/>
  <c r="AM805" i="2"/>
  <c r="AM827" i="2"/>
  <c r="AM766" i="2"/>
  <c r="AM717" i="2"/>
  <c r="AM325" i="2"/>
  <c r="AM322" i="2"/>
  <c r="AM532" i="2"/>
  <c r="AM664" i="2"/>
  <c r="AM62" i="2"/>
  <c r="AM354" i="2"/>
  <c r="AM840" i="2"/>
  <c r="AM783" i="2"/>
  <c r="AM778" i="2"/>
  <c r="AM810" i="2"/>
  <c r="AM777" i="2"/>
  <c r="AM776" i="2"/>
  <c r="AM130" i="2"/>
  <c r="AM806" i="2"/>
  <c r="AM173" i="2"/>
  <c r="AM816" i="2"/>
  <c r="AM99" i="2"/>
  <c r="AM563" i="2"/>
  <c r="AM812" i="2"/>
  <c r="AM780" i="2"/>
  <c r="AM836" i="2"/>
  <c r="AM730" i="2"/>
  <c r="AM834" i="2"/>
  <c r="AM439" i="2"/>
  <c r="AM44" i="2"/>
  <c r="AM775" i="2"/>
  <c r="AM127" i="2"/>
  <c r="AM831" i="2"/>
  <c r="AM176" i="2"/>
  <c r="AM770" i="2"/>
  <c r="AM769" i="2"/>
  <c r="AM828" i="2"/>
  <c r="AM545" i="2"/>
  <c r="AM767" i="2"/>
  <c r="AM74" i="2"/>
  <c r="AM166" i="2"/>
  <c r="AM328" i="2"/>
  <c r="AM798" i="2"/>
  <c r="AM797" i="2"/>
  <c r="AM165" i="2"/>
  <c r="AM626" i="2"/>
  <c r="AM792" i="2"/>
  <c r="AM822" i="2"/>
  <c r="AM151" i="2"/>
  <c r="AM790" i="2"/>
  <c r="AM148" i="2"/>
  <c r="AM308" i="2"/>
  <c r="AM490" i="2"/>
  <c r="AM218" i="2"/>
  <c r="AM832" i="2"/>
  <c r="AM549" i="2"/>
  <c r="AM510" i="2"/>
  <c r="AM481" i="2"/>
  <c r="AM291" i="2"/>
  <c r="AM381" i="2"/>
  <c r="AM288" i="2"/>
  <c r="AM471" i="2"/>
  <c r="AM713" i="2"/>
  <c r="AM795" i="2"/>
  <c r="AM204" i="2"/>
  <c r="AM673" i="2"/>
  <c r="AM535" i="2"/>
  <c r="AM200" i="2"/>
  <c r="AM101" i="2"/>
  <c r="AM236" i="2"/>
  <c r="AM493" i="2"/>
  <c r="AM561" i="2"/>
  <c r="AM86" i="2"/>
  <c r="AM306" i="2"/>
  <c r="AM45" i="2"/>
  <c r="AM554" i="2"/>
  <c r="AM642" i="2"/>
  <c r="AM436" i="2"/>
  <c r="AM610" i="2"/>
  <c r="AM294" i="2"/>
  <c r="AM167" i="2"/>
  <c r="AM211" i="2"/>
  <c r="AM208" i="2"/>
  <c r="AM600" i="2"/>
  <c r="AM31" i="2"/>
  <c r="AM585" i="2"/>
  <c r="AM676" i="2"/>
  <c r="AM465" i="2"/>
  <c r="AM671" i="2"/>
  <c r="AM159" i="2"/>
  <c r="AM463" i="2"/>
  <c r="AM624" i="2"/>
  <c r="AM414" i="2"/>
  <c r="AM662" i="2"/>
  <c r="AM356" i="2"/>
  <c r="AM745" i="2"/>
  <c r="AM589" i="2"/>
  <c r="AM525" i="2"/>
  <c r="AM495" i="2"/>
  <c r="AM144" i="2"/>
  <c r="AM654" i="2"/>
  <c r="AM739" i="2"/>
  <c r="AM441" i="2"/>
  <c r="AM142" i="2"/>
  <c r="AM229" i="2"/>
  <c r="AM311" i="2"/>
  <c r="AM227" i="2"/>
  <c r="AM187" i="2"/>
  <c r="AM269" i="2"/>
  <c r="AM22" i="2"/>
  <c r="AM737" i="2"/>
  <c r="AM698" i="2"/>
  <c r="AM266" i="2"/>
  <c r="AM516" i="2"/>
  <c r="AM394" i="2"/>
  <c r="AM19" i="2"/>
  <c r="AM299" i="2"/>
  <c r="AM478" i="2"/>
  <c r="AM474" i="2"/>
  <c r="AM761" i="2"/>
  <c r="AM679" i="2"/>
  <c r="AM541" i="2"/>
  <c r="AM757" i="2"/>
  <c r="AM539" i="2"/>
  <c r="AM103" i="2"/>
  <c r="AM274" i="2"/>
  <c r="AM412" i="2"/>
  <c r="AM361" i="2"/>
  <c r="AM239" i="2"/>
  <c r="AM195" i="2"/>
  <c r="AM744" i="2"/>
  <c r="AM568" i="2"/>
  <c r="AM450" i="2"/>
  <c r="AM233" i="2"/>
  <c r="AM571" i="2"/>
  <c r="AM403" i="2"/>
  <c r="AM59" i="2"/>
  <c r="AM24" i="2"/>
  <c r="AM185" i="2"/>
  <c r="AM224" i="2"/>
  <c r="AM50" i="2"/>
  <c r="AM443" i="2"/>
  <c r="AM693" i="2"/>
  <c r="AM514" i="2"/>
  <c r="AM640" i="2"/>
  <c r="AM486" i="2"/>
  <c r="AM484" i="2"/>
  <c r="AM215" i="2"/>
  <c r="AM606" i="2"/>
  <c r="AM428" i="2"/>
  <c r="AM251" i="2"/>
  <c r="AM476" i="2"/>
  <c r="AM283" i="2"/>
  <c r="AM543" i="2"/>
  <c r="AM597" i="2"/>
  <c r="AM467" i="2"/>
  <c r="AM280" i="2"/>
  <c r="AM371" i="2"/>
  <c r="AM419" i="2"/>
  <c r="AM107" i="2"/>
  <c r="AM244" i="2"/>
  <c r="AM593" i="2"/>
  <c r="AM416" i="2"/>
  <c r="AM500" i="2"/>
  <c r="AM6" i="2"/>
  <c r="AM750" i="2"/>
  <c r="AM456" i="2"/>
  <c r="AM27" i="2"/>
  <c r="AM704" i="2"/>
  <c r="AM618" i="2"/>
  <c r="AM406" i="2"/>
  <c r="AM352" i="2"/>
  <c r="AM351" i="2"/>
  <c r="AM315" i="2"/>
  <c r="AM271" i="2"/>
  <c r="AM498" i="2"/>
  <c r="AM703" i="2"/>
  <c r="AM656" i="2"/>
  <c r="AM583" i="2"/>
  <c r="AM569" i="2"/>
  <c r="AM528" i="2"/>
  <c r="AM524" i="2"/>
  <c r="AM451" i="2"/>
  <c r="AM405" i="2"/>
  <c r="AM402" i="2"/>
  <c r="AM317" i="2"/>
  <c r="AM314" i="2"/>
  <c r="AM270" i="2"/>
  <c r="AM230" i="2"/>
  <c r="AM189" i="2"/>
  <c r="AM143" i="2"/>
  <c r="AM348" i="2"/>
  <c r="AM494" i="2"/>
  <c r="AM54" i="2"/>
  <c r="AM52" i="2"/>
  <c r="AM312" i="2"/>
  <c r="AM139" i="2"/>
  <c r="AM399" i="2"/>
  <c r="AM398" i="2"/>
  <c r="AM309" i="2"/>
  <c r="AM137" i="2"/>
  <c r="AM492" i="2"/>
  <c r="AM521" i="2"/>
  <c r="AM588" i="2"/>
  <c r="AM265" i="2"/>
  <c r="AM696" i="2"/>
  <c r="AM135" i="2"/>
  <c r="AM519" i="2"/>
  <c r="AM491" i="2"/>
  <c r="AM133" i="2"/>
  <c r="AM560" i="2"/>
  <c r="AM222" i="2"/>
  <c r="AM132" i="2"/>
  <c r="AM646" i="2"/>
  <c r="AM393" i="2"/>
  <c r="AM692" i="2"/>
  <c r="AM304" i="2"/>
  <c r="AM87" i="2"/>
  <c r="AM556" i="2"/>
  <c r="AM131" i="2"/>
  <c r="AM391" i="2"/>
  <c r="AM302" i="2"/>
  <c r="AM644" i="2"/>
  <c r="AM691" i="2"/>
  <c r="AM336" i="2"/>
  <c r="AM126" i="2"/>
  <c r="AM18" i="2"/>
  <c r="AM552" i="2"/>
  <c r="AM641" i="2"/>
  <c r="AM125" i="2"/>
  <c r="AM261" i="2"/>
  <c r="AM40" i="2"/>
  <c r="AM550" i="2"/>
  <c r="AM485" i="2"/>
  <c r="AM639" i="2"/>
  <c r="AM122" i="2"/>
  <c r="AM635" i="2"/>
  <c r="AM79" i="2"/>
  <c r="AM580" i="2"/>
  <c r="AM260" i="2"/>
  <c r="AM119" i="2"/>
  <c r="AM722" i="2"/>
  <c r="AM333" i="2"/>
  <c r="AM295" i="2"/>
  <c r="AM169" i="2"/>
  <c r="AM77" i="2"/>
  <c r="AM634" i="2"/>
  <c r="AM212" i="2"/>
  <c r="AM607" i="2"/>
  <c r="AM383" i="2"/>
  <c r="AM507" i="2"/>
  <c r="AM686" i="2"/>
  <c r="AM380" i="2"/>
  <c r="AM632" i="2"/>
  <c r="AM685" i="2"/>
  <c r="AM210" i="2"/>
  <c r="AM73" i="2"/>
  <c r="AM379" i="2"/>
  <c r="AM13" i="2"/>
  <c r="AM631" i="2"/>
  <c r="AM71" i="2"/>
  <c r="AM286" i="2"/>
  <c r="AM503" i="2"/>
  <c r="AM603" i="2"/>
  <c r="AM34" i="2"/>
  <c r="AM111" i="2"/>
  <c r="AM207" i="2"/>
  <c r="AM602" i="2"/>
  <c r="AM70" i="2"/>
  <c r="AM326" i="2"/>
  <c r="AM12" i="2"/>
  <c r="AM372" i="2"/>
  <c r="AM323" i="2"/>
  <c r="AM161" i="2"/>
  <c r="AM540" i="2"/>
  <c r="AM370" i="2"/>
  <c r="AM203" i="2"/>
  <c r="AM369" i="2"/>
  <c r="AM537" i="2"/>
  <c r="AM367" i="2"/>
  <c r="AM106" i="2"/>
  <c r="AM158" i="2"/>
  <c r="AM365" i="2"/>
  <c r="AM321" i="2"/>
  <c r="AM625" i="2"/>
  <c r="AM462" i="2"/>
  <c r="AM461" i="2"/>
  <c r="AM362" i="2"/>
  <c r="AM241" i="2"/>
  <c r="AM575" i="2"/>
  <c r="AM199" i="2"/>
  <c r="AM198" i="2"/>
  <c r="AM709" i="2"/>
  <c r="AM153" i="2"/>
  <c r="AM152" i="2"/>
  <c r="AM319" i="2"/>
  <c r="AM196" i="2"/>
  <c r="AM455" i="2"/>
  <c r="AM584" i="2"/>
  <c r="AM193" i="2"/>
  <c r="AM707" i="2"/>
  <c r="AM452" i="2"/>
  <c r="AM661" i="2"/>
  <c r="AM61" i="2"/>
  <c r="AM657" i="2"/>
  <c r="AM566" i="2"/>
  <c r="AM658" i="2"/>
  <c r="AM527" i="2"/>
  <c r="AM497" i="2"/>
  <c r="AM404" i="2"/>
  <c r="AM401" i="2"/>
  <c r="AM273" i="2"/>
  <c r="AM191" i="2"/>
  <c r="AM100" i="2"/>
  <c r="AM60" i="2"/>
  <c r="AM25" i="2"/>
  <c r="AM349" i="2"/>
  <c r="AM347" i="2"/>
  <c r="AM523" i="2"/>
  <c r="AM343" i="2"/>
  <c r="AM226" i="2"/>
  <c r="AM564" i="2"/>
  <c r="AM342" i="2"/>
  <c r="AM701" i="2"/>
  <c r="AM562" i="2"/>
  <c r="AM397" i="2"/>
  <c r="AM520" i="2"/>
  <c r="AM184" i="2"/>
  <c r="AM444" i="2"/>
  <c r="AM518" i="2"/>
  <c r="AM305" i="2"/>
  <c r="AM88" i="2"/>
  <c r="AM648" i="2"/>
  <c r="AM647" i="2"/>
  <c r="AM395" i="2"/>
  <c r="AM517" i="2"/>
  <c r="AM515" i="2"/>
  <c r="AM559" i="2"/>
  <c r="AM220" i="2"/>
  <c r="AM557" i="2"/>
  <c r="AM263" i="2"/>
  <c r="AM262" i="2"/>
  <c r="AM301" i="2"/>
  <c r="AM611" i="2"/>
  <c r="AM182" i="2"/>
  <c r="AM553" i="2"/>
  <c r="AM181" i="2"/>
  <c r="AM180" i="2"/>
  <c r="AM179" i="2"/>
  <c r="AM216" i="2"/>
  <c r="AM435" i="2"/>
  <c r="AM724" i="2"/>
  <c r="AM690" i="2"/>
  <c r="AM638" i="2"/>
  <c r="AM172" i="2"/>
  <c r="AM609" i="2"/>
  <c r="AM688" i="2"/>
  <c r="AM297" i="2"/>
  <c r="AM482" i="2"/>
  <c r="AM296" i="2"/>
  <c r="AM509" i="2"/>
  <c r="AM608" i="2"/>
  <c r="AM687" i="2"/>
  <c r="AM432" i="2"/>
  <c r="AM117" i="2"/>
  <c r="AM387" i="2"/>
  <c r="AM547" i="2"/>
  <c r="AM385" i="2"/>
  <c r="AM168" i="2"/>
  <c r="AM255" i="2"/>
  <c r="AM75" i="2"/>
  <c r="AM254" i="2"/>
  <c r="AM253" i="2"/>
  <c r="AM292" i="2"/>
  <c r="AM382" i="2"/>
  <c r="AM290" i="2"/>
  <c r="AM35" i="2"/>
  <c r="AM505" i="2"/>
  <c r="AM14" i="2"/>
  <c r="AM287" i="2"/>
  <c r="AM682" i="2"/>
  <c r="AM424" i="2"/>
  <c r="AM329" i="2"/>
  <c r="AM681" i="2"/>
  <c r="AM716" i="2"/>
  <c r="AM715" i="2"/>
  <c r="AM601" i="2"/>
  <c r="AM69" i="2"/>
  <c r="AM599" i="2"/>
  <c r="AM470" i="2"/>
  <c r="AM250" i="2"/>
  <c r="AM249" i="2"/>
  <c r="AM68" i="2"/>
  <c r="AM248" i="2"/>
  <c r="AM466" i="2"/>
  <c r="AM675" i="2"/>
  <c r="AM628" i="2"/>
  <c r="AM109" i="2"/>
  <c r="AM279" i="2"/>
  <c r="AM278" i="2"/>
  <c r="AM538" i="2"/>
  <c r="AM536" i="2"/>
  <c r="AM670" i="2"/>
  <c r="AM277" i="2"/>
  <c r="AM202" i="2"/>
  <c r="AM104" i="2"/>
  <c r="AM157" i="2"/>
  <c r="AM668" i="2"/>
  <c r="AM415" i="2"/>
  <c r="AM460" i="2"/>
  <c r="AM667" i="2"/>
  <c r="AM155" i="2"/>
  <c r="AM459" i="2"/>
  <c r="AM663" i="2"/>
  <c r="AM154" i="2"/>
  <c r="AM360" i="2"/>
  <c r="AM530" i="2"/>
  <c r="AM410" i="2"/>
  <c r="AM358" i="2"/>
  <c r="AM409" i="2"/>
  <c r="AM454" i="2"/>
  <c r="AM622" i="2"/>
  <c r="AM408" i="2"/>
  <c r="AM150" i="2"/>
  <c r="AM26" i="2"/>
  <c r="AM573" i="2"/>
  <c r="AM235" i="2"/>
  <c r="AM407" i="2"/>
  <c r="AM705" i="2"/>
  <c r="AM620" i="2"/>
  <c r="AM619" i="2"/>
  <c r="AM567" i="2"/>
  <c r="AM526" i="2"/>
  <c r="AM496" i="2"/>
  <c r="AM449" i="2"/>
  <c r="AM400" i="2"/>
  <c r="AM350" i="2"/>
  <c r="AM272" i="2"/>
  <c r="AM232" i="2"/>
  <c r="AM145" i="2"/>
  <c r="AM313" i="2"/>
  <c r="AM841" i="2"/>
  <c r="AM188" i="2"/>
  <c r="AM345" i="2"/>
  <c r="AM53" i="2"/>
  <c r="AM581" i="2"/>
  <c r="AM653" i="2"/>
  <c r="AM565" i="2"/>
  <c r="AM141" i="2"/>
  <c r="AM522" i="2"/>
  <c r="AM447" i="2"/>
  <c r="AM268" i="2"/>
  <c r="AM91" i="2"/>
  <c r="AM700" i="2"/>
  <c r="AM699" i="2"/>
  <c r="AM307" i="2"/>
  <c r="AM136" i="2"/>
  <c r="AM90" i="2"/>
  <c r="AM697" i="2"/>
  <c r="AM695" i="2"/>
  <c r="AM649" i="2"/>
  <c r="AM694" i="2"/>
  <c r="AM264" i="2"/>
  <c r="AM614" i="2"/>
  <c r="AM558" i="2"/>
  <c r="AM21" i="2"/>
  <c r="AM645" i="2"/>
  <c r="AM613" i="2"/>
  <c r="AM341" i="2"/>
  <c r="AM392" i="2"/>
  <c r="AM555" i="2"/>
  <c r="AM219" i="2"/>
  <c r="AM643" i="2"/>
  <c r="AM20" i="2"/>
  <c r="AM178" i="2"/>
  <c r="AM437" i="2"/>
  <c r="AM335" i="2"/>
  <c r="AM42" i="2"/>
  <c r="AM174" i="2"/>
  <c r="AM298" i="2"/>
  <c r="AM124" i="2"/>
  <c r="AM389" i="2"/>
  <c r="AM123" i="2"/>
  <c r="AM80" i="2"/>
  <c r="AM511" i="2"/>
  <c r="AM121" i="2"/>
  <c r="AM434" i="2"/>
  <c r="AM433" i="2"/>
  <c r="AM118" i="2"/>
  <c r="AM171" i="2"/>
  <c r="AM259" i="2"/>
  <c r="AM258" i="2"/>
  <c r="AM170" i="2"/>
  <c r="AM257" i="2"/>
  <c r="AM587" i="2"/>
  <c r="AM480" i="2"/>
  <c r="AM332" i="2"/>
  <c r="AM430" i="2"/>
  <c r="AM15" i="2"/>
  <c r="AM116" i="2"/>
  <c r="AM115" i="2"/>
  <c r="AM331" i="2"/>
  <c r="AM289" i="2"/>
  <c r="AM633" i="2"/>
  <c r="AM718" i="2"/>
  <c r="AM426" i="2"/>
  <c r="AM209" i="2"/>
  <c r="AM683" i="2"/>
  <c r="AM72" i="2"/>
  <c r="AM378" i="2"/>
  <c r="AM112" i="2"/>
  <c r="AM327" i="2"/>
  <c r="AM377" i="2"/>
  <c r="AM579" i="2"/>
  <c r="AM469" i="2"/>
  <c r="AM714" i="2"/>
  <c r="AM578" i="2"/>
  <c r="AM206" i="2"/>
  <c r="AM542" i="2"/>
  <c r="AM67" i="2"/>
  <c r="AM281" i="2"/>
  <c r="AM162" i="2"/>
  <c r="AM247" i="2"/>
  <c r="AM418" i="2"/>
  <c r="AM464" i="2"/>
  <c r="AM66" i="2"/>
  <c r="AM366" i="2"/>
  <c r="AM533" i="2"/>
  <c r="AM592" i="2"/>
  <c r="AM669" i="2"/>
  <c r="AM417" i="2"/>
  <c r="AM363" i="2"/>
  <c r="AM156" i="2"/>
  <c r="AM201" i="2"/>
  <c r="AM413" i="2"/>
  <c r="AM576" i="2"/>
  <c r="AM320" i="2"/>
  <c r="AM531" i="2"/>
  <c r="AM238" i="2"/>
  <c r="AM359" i="2"/>
  <c r="AM623" i="2"/>
  <c r="AM574" i="2"/>
  <c r="AM453" i="2"/>
  <c r="AM355" i="2"/>
  <c r="AM237" i="2"/>
  <c r="AM660" i="2"/>
  <c r="AM499" i="2"/>
  <c r="AM318" i="2"/>
  <c r="AM621" i="2"/>
  <c r="AM570" i="2"/>
  <c r="AM231" i="2"/>
  <c r="AM190" i="2"/>
  <c r="AM23" i="2"/>
  <c r="AM228" i="2"/>
  <c r="AM55" i="2"/>
  <c r="AM448" i="2"/>
  <c r="AM344" i="2"/>
  <c r="AM702" i="2"/>
  <c r="AM186" i="2"/>
  <c r="AM225" i="2"/>
  <c r="AM652" i="2"/>
  <c r="AM51" i="2"/>
  <c r="AM446" i="2"/>
  <c r="AM651" i="2"/>
  <c r="AM445" i="2"/>
  <c r="AM396" i="2"/>
  <c r="AM223" i="2"/>
  <c r="AM49" i="2"/>
  <c r="AM650" i="2"/>
  <c r="AM48" i="2"/>
  <c r="AM442" i="2"/>
  <c r="AM221" i="2"/>
  <c r="AM46" i="2"/>
  <c r="AM489" i="2"/>
  <c r="AM303" i="2"/>
  <c r="AM729" i="2"/>
  <c r="AM728" i="2"/>
  <c r="AM183" i="2"/>
  <c r="AM612" i="2"/>
  <c r="AM338" i="2"/>
  <c r="AM217" i="2"/>
  <c r="AM513" i="2"/>
  <c r="AM300" i="2"/>
  <c r="AM512" i="2"/>
  <c r="AM175" i="2"/>
  <c r="AM551" i="2"/>
  <c r="AM41" i="2"/>
  <c r="AM17" i="2"/>
  <c r="AM39" i="2"/>
  <c r="AM16" i="2"/>
  <c r="AM637" i="2"/>
  <c r="AM388" i="2"/>
  <c r="AM483" i="2"/>
  <c r="AM636" i="2"/>
  <c r="AM689" i="2"/>
  <c r="AM120" i="2"/>
  <c r="AM38" i="2"/>
  <c r="AM214" i="2"/>
  <c r="AM213" i="2"/>
  <c r="AM548" i="2"/>
  <c r="AM386" i="2"/>
  <c r="AM431" i="2"/>
  <c r="AM546" i="2"/>
  <c r="AM256" i="2"/>
  <c r="AM76" i="2"/>
  <c r="AM37" i="2"/>
  <c r="AM293" i="2"/>
  <c r="AM544" i="2"/>
  <c r="AM605" i="2"/>
  <c r="AM508" i="2"/>
  <c r="AM36" i="2"/>
  <c r="AM477" i="2"/>
  <c r="AM427" i="2"/>
  <c r="AM684" i="2"/>
  <c r="AM114" i="2"/>
  <c r="AM504" i="2"/>
  <c r="AM113" i="2"/>
  <c r="AM604" i="2"/>
  <c r="AM425" i="2"/>
  <c r="AM285" i="2"/>
  <c r="AM475" i="2"/>
  <c r="AM630" i="2"/>
  <c r="AM473" i="2"/>
  <c r="AM472" i="2"/>
  <c r="AM376" i="2"/>
  <c r="AM282" i="2"/>
  <c r="AM421" i="2"/>
  <c r="AM680" i="2"/>
  <c r="AM110" i="2"/>
  <c r="AM164" i="2"/>
  <c r="AM678" i="2"/>
  <c r="AM374" i="2"/>
  <c r="AM596" i="2"/>
  <c r="AM324" i="2"/>
  <c r="AM373" i="2"/>
  <c r="AM205" i="2"/>
  <c r="AM160" i="2"/>
  <c r="AM577" i="2"/>
  <c r="AM30" i="2"/>
  <c r="AM674" i="2"/>
  <c r="AM672" i="2"/>
  <c r="AM368" i="2"/>
  <c r="AM11" i="2"/>
  <c r="AM534" i="2"/>
  <c r="AM276" i="2"/>
  <c r="AM105" i="2"/>
  <c r="AM711" i="2"/>
  <c r="AM364" i="2"/>
  <c r="AM243" i="2"/>
  <c r="AM242" i="2"/>
  <c r="AM710" i="2"/>
  <c r="AM666" i="2"/>
  <c r="AM665" i="2"/>
  <c r="AM5" i="2"/>
  <c r="AM197" i="2"/>
  <c r="AM240" i="2"/>
  <c r="AM411" i="2"/>
  <c r="AM9" i="2"/>
  <c r="AM194" i="2"/>
  <c r="AM102" i="2"/>
  <c r="AM357" i="2"/>
  <c r="AM192" i="2"/>
  <c r="AM149" i="2"/>
  <c r="AM572" i="2"/>
  <c r="AM706" i="2"/>
  <c r="AM659" i="2"/>
  <c r="AM35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Miranda, Alejandro</author>
  </authors>
  <commentList>
    <comment ref="F2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Partes excepcionadas</t>
        </r>
      </text>
    </comment>
    <comment ref="G2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partes excepcionadas</t>
        </r>
      </text>
    </comment>
    <comment ref="H2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aclaraciones gasto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Xerox Corporation</author>
    <author>Miranda, Alejandro</author>
  </authors>
  <commentList>
    <comment ref="N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Facturar por separado</t>
        </r>
      </text>
    </comment>
    <comment ref="C2" authorId="1" shapeId="0" xr:uid="{00000000-0006-0000-0200-000002000000}">
      <text>
        <r>
          <rPr>
            <b/>
            <sz val="9"/>
            <color rgb="FF000000"/>
            <rFont val="Tahoma"/>
            <family val="2"/>
          </rPr>
          <t>Colima es fijo por $25,000 +437 equipos PISA</t>
        </r>
      </text>
    </comment>
    <comment ref="K2" authorId="1" shapeId="0" xr:uid="{00000000-0006-0000-0200-000003000000}">
      <text>
        <r>
          <rPr>
            <b/>
            <sz val="9"/>
            <color rgb="FF000000"/>
            <rFont val="Tahoma"/>
            <family val="2"/>
          </rPr>
          <t>Aclaraciones TR-TD</t>
        </r>
      </text>
    </comment>
  </commentList>
</comments>
</file>

<file path=xl/sharedStrings.xml><?xml version="1.0" encoding="utf-8"?>
<sst xmlns="http://schemas.openxmlformats.org/spreadsheetml/2006/main" count="16296" uniqueCount="3215">
  <si>
    <t>ASP Correcto</t>
  </si>
  <si>
    <t>Objetivo 
  (usd)</t>
  </si>
  <si>
    <t>Real
 (usd)</t>
  </si>
  <si>
    <t>PITSS</t>
  </si>
  <si>
    <t>MES</t>
  </si>
  <si>
    <t>SERV</t>
  </si>
  <si>
    <t>INCIDENT_N</t>
  </si>
  <si>
    <t>REQUEST_TY</t>
  </si>
  <si>
    <t>MODELO</t>
  </si>
  <si>
    <t>F_INICIO</t>
  </si>
  <si>
    <t>SERIE</t>
  </si>
  <si>
    <t>EMPLEADO</t>
  </si>
  <si>
    <t>ASP</t>
  </si>
  <si>
    <t>INDASP</t>
  </si>
  <si>
    <t>CUENTA</t>
  </si>
  <si>
    <t>DOMICILIO</t>
  </si>
  <si>
    <t>LOC</t>
  </si>
  <si>
    <t>RESIDENTE/FIJO</t>
  </si>
  <si>
    <t>REGION</t>
  </si>
  <si>
    <t>Dias/Llam</t>
  </si>
  <si>
    <t>Rango</t>
  </si>
  <si>
    <t>Business Team</t>
  </si>
  <si>
    <t>Producto</t>
  </si>
  <si>
    <t>Loc TR</t>
  </si>
  <si>
    <t>Rango dias entre servicios</t>
  </si>
  <si>
    <t>Fiabilidad</t>
  </si>
  <si>
    <t>Pago por servicio final</t>
  </si>
  <si>
    <t>Ind servicios</t>
  </si>
  <si>
    <t>TR Real</t>
  </si>
  <si>
    <t>TR_OBJ</t>
  </si>
  <si>
    <t>Veces obj</t>
  </si>
  <si>
    <t>% penalización TR</t>
  </si>
  <si>
    <t>Monto penalización TR</t>
  </si>
  <si>
    <t>Fecha fin Serv</t>
  </si>
  <si>
    <t>Fecha documentación</t>
  </si>
  <si>
    <t>Dias documentación</t>
  </si>
  <si>
    <t>Rango documentación</t>
  </si>
  <si>
    <t>% penalización TD</t>
  </si>
  <si>
    <t>TD_Malus</t>
  </si>
  <si>
    <t>CST_Malus</t>
  </si>
  <si>
    <t>ABR-19</t>
  </si>
  <si>
    <t>2016677</t>
  </si>
  <si>
    <t>SR MANTENIMIENTO CORRECTIVO</t>
  </si>
  <si>
    <t>6656</t>
  </si>
  <si>
    <t>28/03/2019 18:30</t>
  </si>
  <si>
    <t>0E1B967531</t>
  </si>
  <si>
    <t>500080</t>
  </si>
  <si>
    <t>INSTITUTO TECNOLOGICO Y DE ESTUDIOS SUPERIORES DE</t>
  </si>
  <si>
    <t>HEROICO COLEGIO MILITAR No 4700</t>
  </si>
  <si>
    <t>Chihuahua-CHIH</t>
  </si>
  <si>
    <t>INTERIOR</t>
  </si>
  <si>
    <t>&gt;60</t>
  </si>
  <si>
    <t>Color Laser Printers</t>
  </si>
  <si>
    <t>A4</t>
  </si>
  <si>
    <t>Ciudad principal</t>
  </si>
  <si>
    <t>1-&gt;60</t>
  </si>
  <si>
    <t>0-1 día</t>
  </si>
  <si>
    <t>2016967</t>
  </si>
  <si>
    <t>0800</t>
  </si>
  <si>
    <t>29/03/2019 10:24</t>
  </si>
  <si>
    <t>0WXP008416</t>
  </si>
  <si>
    <t>500083</t>
  </si>
  <si>
    <t>CREATIVIDAD PROMOCIONAL DE MONTERREY SA DE CV</t>
  </si>
  <si>
    <t>MM DE LLANO 736 OTE</t>
  </si>
  <si>
    <t>MONTERREY-NL</t>
  </si>
  <si>
    <t>Entre 7 y 15</t>
  </si>
  <si>
    <t>Xerox Color Press</t>
  </si>
  <si>
    <t>High Production</t>
  </si>
  <si>
    <t>4-Entre 7 y 15</t>
  </si>
  <si>
    <t>2017177</t>
  </si>
  <si>
    <t>3658</t>
  </si>
  <si>
    <t>29/03/2019 14:35</t>
  </si>
  <si>
    <t>0C4X008527</t>
  </si>
  <si>
    <t>800146</t>
  </si>
  <si>
    <t>RADIOMOVIL DIPSA SA DE CV</t>
  </si>
  <si>
    <t>AV PASEO DEL MORAL 129</t>
  </si>
  <si>
    <t>LEON-GTO</t>
  </si>
  <si>
    <t>A4 Mono MFPs</t>
  </si>
  <si>
    <t>2016353</t>
  </si>
  <si>
    <t>5552</t>
  </si>
  <si>
    <t>28/03/2019 10:05</t>
  </si>
  <si>
    <t>0KPA026832</t>
  </si>
  <si>
    <t>500018</t>
  </si>
  <si>
    <t>DELPHI AUTOMOTIVE SYSTEMS S DE RL DE CV</t>
  </si>
  <si>
    <t>AV MARTIRES DE SONORA 1006</t>
  </si>
  <si>
    <t>DURANGO-DGO</t>
  </si>
  <si>
    <t>Entre 31 y 60</t>
  </si>
  <si>
    <t>Entry Mono Printers</t>
  </si>
  <si>
    <t>1-Entre 31 y 60</t>
  </si>
  <si>
    <t>2017059</t>
  </si>
  <si>
    <t>4002</t>
  </si>
  <si>
    <t>29/03/2019 12:22</t>
  </si>
  <si>
    <t>09HB331395</t>
  </si>
  <si>
    <t>000195</t>
  </si>
  <si>
    <t>CAB LOGISTICS SA DE CV</t>
  </si>
  <si>
    <t>AV DE LA BARRANCA LOTE No 26  A S/N</t>
  </si>
  <si>
    <t>Cuautitlan Izcalli-E</t>
  </si>
  <si>
    <t>METRO</t>
  </si>
  <si>
    <t>2017089</t>
  </si>
  <si>
    <t>3616</t>
  </si>
  <si>
    <t>29/03/2019 13:05</t>
  </si>
  <si>
    <t>0A2T370449</t>
  </si>
  <si>
    <t>700098</t>
  </si>
  <si>
    <t>ENSE&amp;ANZA E INVESTIGACION SUPERIOR AC</t>
  </si>
  <si>
    <t>AV TOMAS FERNANDEZ No 8945</t>
  </si>
  <si>
    <t>Ciudad Juarez-CHIH</t>
  </si>
  <si>
    <t>2017103</t>
  </si>
  <si>
    <t>29/03/2019 13:15</t>
  </si>
  <si>
    <t>0C4X011949</t>
  </si>
  <si>
    <t>800187</t>
  </si>
  <si>
    <t>AV EPIGMENIO GONZALEZ No 500</t>
  </si>
  <si>
    <t>Queretaro-QRO</t>
  </si>
  <si>
    <t>2017095</t>
  </si>
  <si>
    <t>29/03/2019 13:06</t>
  </si>
  <si>
    <t>09HB331795</t>
  </si>
  <si>
    <t>500066</t>
  </si>
  <si>
    <t>PRODUCTOS HOSPITALARIOS SA DE CV</t>
  </si>
  <si>
    <t>AV LINCOLN No 6237</t>
  </si>
  <si>
    <t>Monterrey-NL</t>
  </si>
  <si>
    <t>Entre 16 y 30</t>
  </si>
  <si>
    <t>1-Entre 16 y 30</t>
  </si>
  <si>
    <t>2017171</t>
  </si>
  <si>
    <t>5866</t>
  </si>
  <si>
    <t>29/03/2019 14:29</t>
  </si>
  <si>
    <t>0EX9297565</t>
  </si>
  <si>
    <t>500157</t>
  </si>
  <si>
    <t>OFFICE DEPOT DE MEXICO SA DE CV</t>
  </si>
  <si>
    <t>AV PASEO TRIUNFO LA REP 6321</t>
  </si>
  <si>
    <t>CIUDAD JUAREZ-CHIH</t>
  </si>
  <si>
    <t>Departmental Digital</t>
  </si>
  <si>
    <t>A3</t>
  </si>
  <si>
    <t>2-Entre 7 y 15</t>
  </si>
  <si>
    <t>2016633</t>
  </si>
  <si>
    <t>28/03/2019 16:54</t>
  </si>
  <si>
    <t>09HB332015</t>
  </si>
  <si>
    <t>000196</t>
  </si>
  <si>
    <t>ADMINISTRADORA ESPECIALIZADA DE SERVICIOS CAB SA D</t>
  </si>
  <si>
    <t>RIO BAMBA No 639</t>
  </si>
  <si>
    <t>Gustavo A Madero-CIU</t>
  </si>
  <si>
    <t>2013445</t>
  </si>
  <si>
    <t>8045</t>
  </si>
  <si>
    <t>22/03/2019 12:34</t>
  </si>
  <si>
    <t>0Y4X838103</t>
  </si>
  <si>
    <t>100038</t>
  </si>
  <si>
    <t>UNIVERSIDAD AUTONOMA DEL ESTADO DE MEXICO</t>
  </si>
  <si>
    <t>IGNACIO LOPEZ RAYON No 510</t>
  </si>
  <si>
    <t>Toluca De Lerdo-ESTA</t>
  </si>
  <si>
    <t>&lt;=3</t>
  </si>
  <si>
    <t>Office Digital</t>
  </si>
  <si>
    <t>2-&lt;=3</t>
  </si>
  <si>
    <t>2017097</t>
  </si>
  <si>
    <t>29/03/2019 13:10</t>
  </si>
  <si>
    <t>09HB320531</t>
  </si>
  <si>
    <t>500019</t>
  </si>
  <si>
    <t>TELEFONOS DE MEXICO SA B DE CV</t>
  </si>
  <si>
    <t>ABASOLO 545 PONIENTE</t>
  </si>
  <si>
    <t>TORREON-COAH</t>
  </si>
  <si>
    <t>Otras</t>
  </si>
  <si>
    <t>2017207</t>
  </si>
  <si>
    <t>29/03/2019 16:47</t>
  </si>
  <si>
    <t>0Y4X848009</t>
  </si>
  <si>
    <t>LABORATORIOS PISA SA DE CV</t>
  </si>
  <si>
    <t>AV PASEO DE LA REFORMA No 180 PISO 23</t>
  </si>
  <si>
    <t>Cuauhtemoc-CIUDAD DE</t>
  </si>
  <si>
    <t>2-Entre 16 y 30</t>
  </si>
  <si>
    <t>2017371</t>
  </si>
  <si>
    <t>30/03/2019 10:43</t>
  </si>
  <si>
    <t>Y4X821724</t>
  </si>
  <si>
    <t>500093</t>
  </si>
  <si>
    <t>DOCUDIGITAL BAJIO SA DE CV</t>
  </si>
  <si>
    <t>CARRETERA LIBRAMIENTO MEXICO 2KM 28.5 S/N</t>
  </si>
  <si>
    <t>Nuevo Laredo-TAM</t>
  </si>
  <si>
    <t>2017125</t>
  </si>
  <si>
    <t>29/03/2019 13:16</t>
  </si>
  <si>
    <t>0EX9297293</t>
  </si>
  <si>
    <t>500035</t>
  </si>
  <si>
    <t>HAROLD R PAPE MANZANA 31 NO 1910</t>
  </si>
  <si>
    <t>Monclova-COAH</t>
  </si>
  <si>
    <t>2-Entre 31 y 60</t>
  </si>
  <si>
    <t>2016053</t>
  </si>
  <si>
    <t>0070</t>
  </si>
  <si>
    <t>27/03/2019 16:57</t>
  </si>
  <si>
    <t>0E2B646622</t>
  </si>
  <si>
    <t>800185</t>
  </si>
  <si>
    <t>MIGUEL DE LA MADRID 9</t>
  </si>
  <si>
    <t>MANZANILLO-COL</t>
  </si>
  <si>
    <t>Entry Production Color Low/Mid</t>
  </si>
  <si>
    <t>Entry Production</t>
  </si>
  <si>
    <t>3-Entre 31 y 60</t>
  </si>
  <si>
    <t>2017861</t>
  </si>
  <si>
    <t>01/04/2019 08:19</t>
  </si>
  <si>
    <t>09HB333670</t>
  </si>
  <si>
    <t>500028</t>
  </si>
  <si>
    <t>CONSTRUCCIONES Y CANALIZACIONES SA DE CV</t>
  </si>
  <si>
    <t>AGUSTIN MELGAR 845 ENTRE ARTEAGA Y CARLOS SALAZAR</t>
  </si>
  <si>
    <t>2016393</t>
  </si>
  <si>
    <t>28/03/2019 11:01</t>
  </si>
  <si>
    <t>0E2B666269</t>
  </si>
  <si>
    <t>OPERADORA OMX SA DE CV</t>
  </si>
  <si>
    <t>AV 5 DE FEBRERO 9200</t>
  </si>
  <si>
    <t>QUERETARO-QRO</t>
  </si>
  <si>
    <t>3-Entre 7 y 15</t>
  </si>
  <si>
    <t>2-3 días</t>
  </si>
  <si>
    <t>2017227</t>
  </si>
  <si>
    <t>5865</t>
  </si>
  <si>
    <t>29/03/2019 17:47</t>
  </si>
  <si>
    <t>0EX9309804</t>
  </si>
  <si>
    <t>800186</t>
  </si>
  <si>
    <t>AXA SEGUROS SA DE CV</t>
  </si>
  <si>
    <t>AV 5 DE FEBRERO 1351</t>
  </si>
  <si>
    <t>2016551</t>
  </si>
  <si>
    <t>28/03/2019 13:39</t>
  </si>
  <si>
    <t>0A2T386303</t>
  </si>
  <si>
    <t>800197</t>
  </si>
  <si>
    <t>PENSIONES BBVA BANCOMER SA DE CV GRUPO FINANCIERO</t>
  </si>
  <si>
    <t>AVENIDO VENUSTIANO CARRANZA No 1190</t>
  </si>
  <si>
    <t>San Luis Potosi-SLP</t>
  </si>
  <si>
    <t>2017013</t>
  </si>
  <si>
    <t>8056</t>
  </si>
  <si>
    <t>29/03/2019 11:46</t>
  </si>
  <si>
    <t>8TB609321</t>
  </si>
  <si>
    <t>800188</t>
  </si>
  <si>
    <t>TOYOTETSU DE MEXICO SA DE CV</t>
  </si>
  <si>
    <t>CARRETERA 45D KM 12.5 INT 4</t>
  </si>
  <si>
    <t>Guanajuato-GTO</t>
  </si>
  <si>
    <t>A3 Office Color Laser MFPs</t>
  </si>
  <si>
    <t>2-&gt;60</t>
  </si>
  <si>
    <t>2015747</t>
  </si>
  <si>
    <t>3611</t>
  </si>
  <si>
    <t>27/03/2019 09:52</t>
  </si>
  <si>
    <t>0A4T558524</t>
  </si>
  <si>
    <t>PROL EZEQUIEL MONTES 1 ESQ B QUINTA</t>
  </si>
  <si>
    <t>2017999</t>
  </si>
  <si>
    <t>3636</t>
  </si>
  <si>
    <t>01/04/2019 10:28</t>
  </si>
  <si>
    <t>0BB1252119</t>
  </si>
  <si>
    <t>500156</t>
  </si>
  <si>
    <t>SUBENSAMBLES INTERNACIONALES S DE RL DE CV</t>
  </si>
  <si>
    <t>PROL HERMANOS ESCOBAR No 7151-E</t>
  </si>
  <si>
    <t>2007823</t>
  </si>
  <si>
    <t>4495</t>
  </si>
  <si>
    <t>12/03/2019 11:06</t>
  </si>
  <si>
    <t>0BPB110617</t>
  </si>
  <si>
    <t>800192</t>
  </si>
  <si>
    <t>COMPUTER FORMS SA DE CV</t>
  </si>
  <si>
    <t>KM 9 CARRETERA A EL CASTILLO</t>
  </si>
  <si>
    <t>Jalisco-JAL</t>
  </si>
  <si>
    <t>CF Mono</t>
  </si>
  <si>
    <t>2015847</t>
  </si>
  <si>
    <t>3336</t>
  </si>
  <si>
    <t>27/03/2019 11:46</t>
  </si>
  <si>
    <t>5BT731735</t>
  </si>
  <si>
    <t>GRUPO IDEARTE SA DE CV</t>
  </si>
  <si>
    <t>AV PASEO DE LA REFORMA No 5</t>
  </si>
  <si>
    <t>2018035</t>
  </si>
  <si>
    <t>5757</t>
  </si>
  <si>
    <t>01/04/2019 10:48</t>
  </si>
  <si>
    <t>0XEH805610</t>
  </si>
  <si>
    <t>SIGNIFY ELECTROMAGNETICS MEXICO SA DE CV</t>
  </si>
  <si>
    <t>EL CID 7830</t>
  </si>
  <si>
    <t>2016975</t>
  </si>
  <si>
    <t>0770</t>
  </si>
  <si>
    <t>29/03/2019 10:32</t>
  </si>
  <si>
    <t>0CX0060974</t>
  </si>
  <si>
    <t>500159</t>
  </si>
  <si>
    <t>COPY MARTZ PROFESIONAL SA DE CV</t>
  </si>
  <si>
    <t>AV UNIVERSIDAD 2761</t>
  </si>
  <si>
    <t>CHIHUAHUA-CHIH</t>
  </si>
  <si>
    <t>Entry Production Color Mid</t>
  </si>
  <si>
    <t>3-Entre 16 y 30</t>
  </si>
  <si>
    <t>2017879</t>
  </si>
  <si>
    <t>0560</t>
  </si>
  <si>
    <t>01/04/2019 08:45</t>
  </si>
  <si>
    <t>0XPN546792</t>
  </si>
  <si>
    <t>2017885</t>
  </si>
  <si>
    <t>4395</t>
  </si>
  <si>
    <t>01/04/2019 08:49</t>
  </si>
  <si>
    <t>0BG2947475</t>
  </si>
  <si>
    <t>BLV INDEPENDENCIA SN</t>
  </si>
  <si>
    <t>Light Production Digital Business</t>
  </si>
  <si>
    <t>2018135</t>
  </si>
  <si>
    <t>6705</t>
  </si>
  <si>
    <t>01/04/2019 12:07</t>
  </si>
  <si>
    <t>0A1H021199</t>
  </si>
  <si>
    <t>500089</t>
  </si>
  <si>
    <t>RIO BRAVO ELECTRICOS S DE RL DE CV</t>
  </si>
  <si>
    <t>HERMANOS ESCOBAR 5756</t>
  </si>
  <si>
    <t>WF Mono Systems and Legacy Color</t>
  </si>
  <si>
    <t>WF</t>
  </si>
  <si>
    <t>2018065</t>
  </si>
  <si>
    <t>5955</t>
  </si>
  <si>
    <t>01/04/2019 11:08</t>
  </si>
  <si>
    <t>0X76092798</t>
  </si>
  <si>
    <t>800183</t>
  </si>
  <si>
    <t>DHL EXPRESS MEXICO SA DE CV</t>
  </si>
  <si>
    <t>AV LAZARO CARDENAS 2229</t>
  </si>
  <si>
    <t>GUADALAJARA-JAL</t>
  </si>
  <si>
    <t>2017975</t>
  </si>
  <si>
    <t>0251</t>
  </si>
  <si>
    <t>01/04/2019 10:14</t>
  </si>
  <si>
    <t>0VGW632064</t>
  </si>
  <si>
    <t>500161</t>
  </si>
  <si>
    <t>PERIFERICO ORTIZ MENA LOCAL 8 SN</t>
  </si>
  <si>
    <t>A3 Professional Color Laser MFPs</t>
  </si>
  <si>
    <t>2017835</t>
  </si>
  <si>
    <t>5945</t>
  </si>
  <si>
    <t>01/04/2019 07:56</t>
  </si>
  <si>
    <t>0X76707945</t>
  </si>
  <si>
    <t>DELPHI DIESEL SYSTEMS S DE RL DE CV</t>
  </si>
  <si>
    <t>ALAMEDAS No 750</t>
  </si>
  <si>
    <t>Torreon-COAH</t>
  </si>
  <si>
    <t>Entre 3 y 6</t>
  </si>
  <si>
    <t>2-Entre 3 y 6</t>
  </si>
  <si>
    <t>2018149</t>
  </si>
  <si>
    <t>7835</t>
  </si>
  <si>
    <t>01/04/2019 12:19</t>
  </si>
  <si>
    <t>0MX1216569</t>
  </si>
  <si>
    <t>500158</t>
  </si>
  <si>
    <t>FLEXTRONICS MANUFACTURING JUAREZ S DE RL DE CV</t>
  </si>
  <si>
    <t>BLVD INDEPENDENCIA 4240</t>
  </si>
  <si>
    <t>2016871</t>
  </si>
  <si>
    <t>SR INSTALACION DE EQUIPO</t>
  </si>
  <si>
    <t>29/03/2019 09:25</t>
  </si>
  <si>
    <t>9HB914002</t>
  </si>
  <si>
    <t>OPCIONES DE SERVICIO EN MEXICO</t>
  </si>
  <si>
    <t>ALEJANDRO DUMAS 1326</t>
  </si>
  <si>
    <t xml:space="preserve">  </t>
  </si>
  <si>
    <t>2017189</t>
  </si>
  <si>
    <t>7025</t>
  </si>
  <si>
    <t>29/03/2019 15:17</t>
  </si>
  <si>
    <t>7CX042294</t>
  </si>
  <si>
    <t>800027</t>
  </si>
  <si>
    <t>JOSE DE JESUS FLORES PEREZ</t>
  </si>
  <si>
    <t>GUILLERMO PRIETO No 65</t>
  </si>
  <si>
    <t>2018271</t>
  </si>
  <si>
    <t>3657</t>
  </si>
  <si>
    <t>01/04/2019 14:33</t>
  </si>
  <si>
    <t>0C7X246843</t>
  </si>
  <si>
    <t>500071</t>
  </si>
  <si>
    <t>SEXTA Y SOLERNAU No 1300 LOCAL 12</t>
  </si>
  <si>
    <t>Matamoros-TAM</t>
  </si>
  <si>
    <t>1-&lt;=3</t>
  </si>
  <si>
    <t>2016655</t>
  </si>
  <si>
    <t>4120</t>
  </si>
  <si>
    <t>28/03/2019 17:28</t>
  </si>
  <si>
    <t>0GXV896042</t>
  </si>
  <si>
    <t>100037</t>
  </si>
  <si>
    <t>IVOS DE MEXICO SA DE CV</t>
  </si>
  <si>
    <t>AV AGRIPIN GARCIA ESTRADA 1308</t>
  </si>
  <si>
    <t>TOLUCA DE LERDO-MEX</t>
  </si>
  <si>
    <t>2016843</t>
  </si>
  <si>
    <t>29/03/2019 08:31</t>
  </si>
  <si>
    <t>0EX9293386</t>
  </si>
  <si>
    <t>PASEO IRAPUATO 1101</t>
  </si>
  <si>
    <t>IRAPUATO-GTO</t>
  </si>
  <si>
    <t>2016981</t>
  </si>
  <si>
    <t>7222</t>
  </si>
  <si>
    <t>29/03/2019 10:46</t>
  </si>
  <si>
    <t>0LX5688824</t>
  </si>
  <si>
    <t>2017165</t>
  </si>
  <si>
    <t>29/03/2019 14:25</t>
  </si>
  <si>
    <t>0BG2947153</t>
  </si>
  <si>
    <t>3-Entre 3 y 6</t>
  </si>
  <si>
    <t>2016951</t>
  </si>
  <si>
    <t>29/03/2019 10:20</t>
  </si>
  <si>
    <t>0BG2949312</t>
  </si>
  <si>
    <t>BLV ISIDRO FABELA SUR 600</t>
  </si>
  <si>
    <t>TOLUCA-MEX</t>
  </si>
  <si>
    <t>2016665</t>
  </si>
  <si>
    <t>28/03/2019 17:42</t>
  </si>
  <si>
    <t>0EX9293515</t>
  </si>
  <si>
    <t>AV PATRIA 1612 MZ 1 LT 30 Y 30A</t>
  </si>
  <si>
    <t>ZAPOPAN-JAL</t>
  </si>
  <si>
    <t>2018187</t>
  </si>
  <si>
    <t>5869</t>
  </si>
  <si>
    <t>01/04/2019 12:59</t>
  </si>
  <si>
    <t>0EX7387236</t>
  </si>
  <si>
    <t>500155</t>
  </si>
  <si>
    <t>HONEYWELL AUTOMOTIVE DE MEXICO S DE RL DE CV</t>
  </si>
  <si>
    <t>CALLE DE LOS CEDROS 1681</t>
  </si>
  <si>
    <t>2018257</t>
  </si>
  <si>
    <t>3346</t>
  </si>
  <si>
    <t>01/04/2019 14:19</t>
  </si>
  <si>
    <t>03BT802413</t>
  </si>
  <si>
    <t>AV DE LAS INDUSTRIAS No 5907</t>
  </si>
  <si>
    <t>2016403</t>
  </si>
  <si>
    <t>28/03/2019 11:11</t>
  </si>
  <si>
    <t>0BG2946750</t>
  </si>
  <si>
    <t>AV  ADOLFO LOPEZ MATEOS NUM 2058</t>
  </si>
  <si>
    <t>3-&lt;=3</t>
  </si>
  <si>
    <t>2018233</t>
  </si>
  <si>
    <t>8075</t>
  </si>
  <si>
    <t>01/04/2019 13:38</t>
  </si>
  <si>
    <t>03AG880377</t>
  </si>
  <si>
    <t>BLVD ADOLFO LOPEZ MATEOS 2540</t>
  </si>
  <si>
    <t>2017961</t>
  </si>
  <si>
    <t>01/04/2019 10:01</t>
  </si>
  <si>
    <t>09HB332981</t>
  </si>
  <si>
    <t>GALAZ YAMAZAKI RUIZ URQUIZA SC</t>
  </si>
  <si>
    <t>AV JUAREZ No 1102 PISO 40</t>
  </si>
  <si>
    <t>2017943</t>
  </si>
  <si>
    <t>8572</t>
  </si>
  <si>
    <t>01/04/2019 09:45</t>
  </si>
  <si>
    <t>0XFN041542</t>
  </si>
  <si>
    <t>500163</t>
  </si>
  <si>
    <t>APTIV CONTRACT SERVICES NORESTE S DE RL DE CV</t>
  </si>
  <si>
    <t>TRANSFORMACION LT 3B MZ N SECCION II</t>
  </si>
  <si>
    <t>Ciudad Victoria-TAM</t>
  </si>
  <si>
    <t>Color Solid Ink Printers</t>
  </si>
  <si>
    <t>2018297</t>
  </si>
  <si>
    <t>01/04/2019 15:19</t>
  </si>
  <si>
    <t>0Y4X847064</t>
  </si>
  <si>
    <t>800196</t>
  </si>
  <si>
    <t>CARR SAN ISIDRO MAZATEPEC No 7000</t>
  </si>
  <si>
    <t>Tlajomulco De Zu&amp;Iga</t>
  </si>
  <si>
    <t>2017941</t>
  </si>
  <si>
    <t>01/04/2019 09:41</t>
  </si>
  <si>
    <t>0XFN041395</t>
  </si>
  <si>
    <t>2018363</t>
  </si>
  <si>
    <t>7855</t>
  </si>
  <si>
    <t>01/04/2019 17:28</t>
  </si>
  <si>
    <t>0MX4465075</t>
  </si>
  <si>
    <t>BLV MANUEL J CLOUTHIER SN</t>
  </si>
  <si>
    <t>2018285</t>
  </si>
  <si>
    <t>1844</t>
  </si>
  <si>
    <t>01/04/2019 14:58</t>
  </si>
  <si>
    <t>0UHA002004</t>
  </si>
  <si>
    <t>DOCUDIGITAL DE OCCIDENTE SA DE CV</t>
  </si>
  <si>
    <t>AVENIDA PERIFERICO NORTE No 940</t>
  </si>
  <si>
    <t>Zapopan-JAL</t>
  </si>
  <si>
    <t>High End Cut Sheet</t>
  </si>
  <si>
    <t>4-Entre 31 y 60</t>
  </si>
  <si>
    <t>2017569</t>
  </si>
  <si>
    <t>31/03/2019 16:28</t>
  </si>
  <si>
    <t>0E2B646560</t>
  </si>
  <si>
    <t>BLVD TAMAULIPAS NORTE No 2388</t>
  </si>
  <si>
    <t>2018335</t>
  </si>
  <si>
    <t>3335</t>
  </si>
  <si>
    <t>01/04/2019 16:39</t>
  </si>
  <si>
    <t>5BT705040</t>
  </si>
  <si>
    <t>500036</t>
  </si>
  <si>
    <t>DIGITAL NET SOLUTIONS GAV SA DE CV</t>
  </si>
  <si>
    <t>INSURGENTES No 2500 L613</t>
  </si>
  <si>
    <t>2014561</t>
  </si>
  <si>
    <t>25/03/2019 11:20</t>
  </si>
  <si>
    <t>0EX9299901</t>
  </si>
  <si>
    <t>AV HIDALGO No 5309</t>
  </si>
  <si>
    <t>Tampico-TAM</t>
  </si>
  <si>
    <t>2018389</t>
  </si>
  <si>
    <t>8680</t>
  </si>
  <si>
    <t>01/04/2019 18:48</t>
  </si>
  <si>
    <t>0B2R088357</t>
  </si>
  <si>
    <t>IMPRESOS DIGITALES BALTAZAR S DE RL DE CV</t>
  </si>
  <si>
    <t>GABINO BARREDA No 267 B</t>
  </si>
  <si>
    <t>Colima-COL</t>
  </si>
  <si>
    <t>2018675</t>
  </si>
  <si>
    <t>02/04/2019 08:55</t>
  </si>
  <si>
    <t>0EX9664460</t>
  </si>
  <si>
    <t>LEONA VICARIO No 629</t>
  </si>
  <si>
    <t>Metepec-MEX</t>
  </si>
  <si>
    <t>2015131</t>
  </si>
  <si>
    <t>26/03/2019 10:13</t>
  </si>
  <si>
    <t>0BG2946876</t>
  </si>
  <si>
    <t>800147</t>
  </si>
  <si>
    <t>BLV JUAN ALONSO DE TORRES 1315-3</t>
  </si>
  <si>
    <t>2016607</t>
  </si>
  <si>
    <t>28/03/2019 15:37</t>
  </si>
  <si>
    <t>03AG880144</t>
  </si>
  <si>
    <t>AV GOMEZ MORIN No 924 LOTE 7</t>
  </si>
  <si>
    <t>San Pedro Garza Garc</t>
  </si>
  <si>
    <t>2016867</t>
  </si>
  <si>
    <t>1251</t>
  </si>
  <si>
    <t>29/03/2019 09:15</t>
  </si>
  <si>
    <t>0VGW624391</t>
  </si>
  <si>
    <t>CALLE 15 NUM 105</t>
  </si>
  <si>
    <t>2017031</t>
  </si>
  <si>
    <t>29/03/2019 11:59</t>
  </si>
  <si>
    <t>0EX9293200</t>
  </si>
  <si>
    <t>AV SALVADOR NAVA MARTINEZ 3115</t>
  </si>
  <si>
    <t>SAN LUIS POTOSI-SLP</t>
  </si>
  <si>
    <t>2018731</t>
  </si>
  <si>
    <t>02/04/2019 09:53</t>
  </si>
  <si>
    <t>0C4X013235</t>
  </si>
  <si>
    <t>DIGITAL VAAR SA DE CV</t>
  </si>
  <si>
    <t>CAMINO A HUINALA 135 Y 135 B</t>
  </si>
  <si>
    <t>Apodaca-NL</t>
  </si>
  <si>
    <t>2018611</t>
  </si>
  <si>
    <t>02/04/2019 07:05</t>
  </si>
  <si>
    <t>0C4X012642</t>
  </si>
  <si>
    <t>AV NORTE ORIENTE 200 LOC 290</t>
  </si>
  <si>
    <t>CELAYA-GTO</t>
  </si>
  <si>
    <t>2012997</t>
  </si>
  <si>
    <t>21/03/2019 13:39</t>
  </si>
  <si>
    <t>6-10 días</t>
  </si>
  <si>
    <t>2018391</t>
  </si>
  <si>
    <t>01/04/2019 19:45</t>
  </si>
  <si>
    <t>03AG879712</t>
  </si>
  <si>
    <t>2018373</t>
  </si>
  <si>
    <t>01/04/2019 17:42</t>
  </si>
  <si>
    <t>0BG2948894</t>
  </si>
  <si>
    <t>2018851</t>
  </si>
  <si>
    <t>5774</t>
  </si>
  <si>
    <t>02/04/2019 11:55</t>
  </si>
  <si>
    <t>0XEL562732</t>
  </si>
  <si>
    <t>800074</t>
  </si>
  <si>
    <t>AV LAS PALMAS 1559 LOC SA-01</t>
  </si>
  <si>
    <t>LAZARO CARDENAS-MICH</t>
  </si>
  <si>
    <t>2018773</t>
  </si>
  <si>
    <t>5326</t>
  </si>
  <si>
    <t>02/04/2019 10:57</t>
  </si>
  <si>
    <t>0AE9560627</t>
  </si>
  <si>
    <t>FEDERAL MOGUL LIGHTING S DE RL DE CV</t>
  </si>
  <si>
    <t>AV EJE VIAL JUAN GABRIEL No 2245</t>
  </si>
  <si>
    <t>2017229</t>
  </si>
  <si>
    <t>29/03/2019 17:49</t>
  </si>
  <si>
    <t>0C4X006454</t>
  </si>
  <si>
    <t>800072</t>
  </si>
  <si>
    <t>AV TONALTECAS NORTE No 375</t>
  </si>
  <si>
    <t>Tonala-JAL</t>
  </si>
  <si>
    <t>2018861</t>
  </si>
  <si>
    <t>02/04/2019 12:02</t>
  </si>
  <si>
    <t>0Y2B003355</t>
  </si>
  <si>
    <t>2018867</t>
  </si>
  <si>
    <t>02/04/2019 12:10</t>
  </si>
  <si>
    <t>0E2B646602</t>
  </si>
  <si>
    <t>ROMULO GARZA 410</t>
  </si>
  <si>
    <t>SAN NICOLAS DE LOS G</t>
  </si>
  <si>
    <t>2009423</t>
  </si>
  <si>
    <t>1026</t>
  </si>
  <si>
    <t>14/03/2019 15:35</t>
  </si>
  <si>
    <t>AAQ100656</t>
  </si>
  <si>
    <t>GENESYS INFORMATICA SA DE CV</t>
  </si>
  <si>
    <t>ANGEL MARTINEZ VILLAREAL No 433</t>
  </si>
  <si>
    <t>2014509</t>
  </si>
  <si>
    <t>25/03/2019 10:41</t>
  </si>
  <si>
    <t>0BG2949298</t>
  </si>
  <si>
    <t>2018837</t>
  </si>
  <si>
    <t>8055</t>
  </si>
  <si>
    <t>02/04/2019 11:37</t>
  </si>
  <si>
    <t>0Y4X845171</t>
  </si>
  <si>
    <t>500027</t>
  </si>
  <si>
    <t>JANSSEN DE MEXICO S DE RL DE CV</t>
  </si>
  <si>
    <t>CIRCUITO INTERIOR NORTE No 1820</t>
  </si>
  <si>
    <t>2018047</t>
  </si>
  <si>
    <t>01/04/2019 10:50</t>
  </si>
  <si>
    <t>0EX9664447</t>
  </si>
  <si>
    <t>AV VALLE DE SAN ISIDRO 530</t>
  </si>
  <si>
    <t>2018369</t>
  </si>
  <si>
    <t>01/04/2019 17:34</t>
  </si>
  <si>
    <t>0XPN393392</t>
  </si>
  <si>
    <t>3-&gt;60</t>
  </si>
  <si>
    <t>2018643</t>
  </si>
  <si>
    <t>02/04/2019 08:08</t>
  </si>
  <si>
    <t>0E2B646616</t>
  </si>
  <si>
    <t>AV ADOLFO LOPEZ MATEOS 1299</t>
  </si>
  <si>
    <t>TLAJOMULCO DE ZU&amp;IGA</t>
  </si>
  <si>
    <t>2018769</t>
  </si>
  <si>
    <t>02/04/2019 10:54</t>
  </si>
  <si>
    <t>0EX9664210</t>
  </si>
  <si>
    <t>BLVD BOSQUES DE SANTA ANITA No 1260</t>
  </si>
  <si>
    <t>2018269</t>
  </si>
  <si>
    <t>5868</t>
  </si>
  <si>
    <t>01/04/2019 14:34</t>
  </si>
  <si>
    <t>0EX9286123</t>
  </si>
  <si>
    <t>AZERTY DE MEXICO SA DE CV</t>
  </si>
  <si>
    <t>GRAL MARIANO ARISTA 54 B 21</t>
  </si>
  <si>
    <t>MIGUEL HIDALGO-CIUDA</t>
  </si>
  <si>
    <t>2018967</t>
  </si>
  <si>
    <t>02/04/2019 15:01</t>
  </si>
  <si>
    <t>9HB331815</t>
  </si>
  <si>
    <t>F DOMENE Y SOCIOS SA DE CV</t>
  </si>
  <si>
    <t>PUERTO DE PALOS S/N</t>
  </si>
  <si>
    <t>1-Entre 3 y 6</t>
  </si>
  <si>
    <t>2018761</t>
  </si>
  <si>
    <t>5867</t>
  </si>
  <si>
    <t>02/04/2019 10:42</t>
  </si>
  <si>
    <t>0EX7416648</t>
  </si>
  <si>
    <t>AV PARQUE INDUSTRIAL JUAREZ 3328</t>
  </si>
  <si>
    <t>2018853</t>
  </si>
  <si>
    <t>4005</t>
  </si>
  <si>
    <t>02/04/2019 11:57</t>
  </si>
  <si>
    <t>09HB335110</t>
  </si>
  <si>
    <t>AV HERMANOS ESCOBAR No 7151 C</t>
  </si>
  <si>
    <t>2018979</t>
  </si>
  <si>
    <t>02/04/2019 15:30</t>
  </si>
  <si>
    <t>03AG880318</t>
  </si>
  <si>
    <t>EUGENIO GARZA SADA 3525</t>
  </si>
  <si>
    <t>2018685</t>
  </si>
  <si>
    <t>02/04/2019 09:07</t>
  </si>
  <si>
    <t>0Y4X848740</t>
  </si>
  <si>
    <t>AV MIGUEL ANGEL DE QUEVEDO NO 555</t>
  </si>
  <si>
    <t>Coyoacan-CIUDAD DE M</t>
  </si>
  <si>
    <t>2016023</t>
  </si>
  <si>
    <t>27/03/2019 16:03</t>
  </si>
  <si>
    <t>0EX9293999</t>
  </si>
  <si>
    <t>CALLE 5 DE MAYO No 208-A</t>
  </si>
  <si>
    <t>Leon-GTO</t>
  </si>
  <si>
    <t>2018933</t>
  </si>
  <si>
    <t>02/04/2019 13:42</t>
  </si>
  <si>
    <t>0C4X008113</t>
  </si>
  <si>
    <t>AV REVOLUCION 1563</t>
  </si>
  <si>
    <t>2016859</t>
  </si>
  <si>
    <t>SR ASISTENCIA A CLIENTES</t>
  </si>
  <si>
    <t>29/03/2019 09:04</t>
  </si>
  <si>
    <t>0B2R088255</t>
  </si>
  <si>
    <t>OMAR GIBRAN GONZALEZ TOPETE</t>
  </si>
  <si>
    <t>BOULEVARD MIGUEL DE LA MADRID  KM 12.5</t>
  </si>
  <si>
    <t>2019001</t>
  </si>
  <si>
    <t>02/04/2019 15:42</t>
  </si>
  <si>
    <t>0E2B658304</t>
  </si>
  <si>
    <t>2018883</t>
  </si>
  <si>
    <t>02/04/2019 12:54</t>
  </si>
  <si>
    <t>0BG2941140</t>
  </si>
  <si>
    <t>2018097</t>
  </si>
  <si>
    <t>01/04/2019 11:26</t>
  </si>
  <si>
    <t>0Y4X830352</t>
  </si>
  <si>
    <t>BLVD FRANCISCO PRIMO DE VERDAD No 3317</t>
  </si>
  <si>
    <t>Durango-DGO</t>
  </si>
  <si>
    <t>2016247</t>
  </si>
  <si>
    <t>28/03/2019 07:54</t>
  </si>
  <si>
    <t>09HB326116</t>
  </si>
  <si>
    <t>500094</t>
  </si>
  <si>
    <t>AT&amp;T COMUNICACIONES DIGITALES S DE RL DE CV</t>
  </si>
  <si>
    <t>AV EJERCITO MEXICANO 801 LOC B 9</t>
  </si>
  <si>
    <t>2018183</t>
  </si>
  <si>
    <t>01/04/2019 12:50</t>
  </si>
  <si>
    <t>0A4T036168</t>
  </si>
  <si>
    <t>2018991</t>
  </si>
  <si>
    <t>02/04/2019 15:34</t>
  </si>
  <si>
    <t>0BG2947925</t>
  </si>
  <si>
    <t>BLV A L MATEOS SN ESQ CHIMALPOPOC</t>
  </si>
  <si>
    <t>2018947</t>
  </si>
  <si>
    <t>02/04/2019 12:59</t>
  </si>
  <si>
    <t>0B2R091016</t>
  </si>
  <si>
    <t>2015673</t>
  </si>
  <si>
    <t>27/03/2019 08:36</t>
  </si>
  <si>
    <t>0LBP345977</t>
  </si>
  <si>
    <t>ARROW ELETRONICS INC</t>
  </si>
  <si>
    <t>CARRETERA A NOGALES No 5297</t>
  </si>
  <si>
    <t>2019047</t>
  </si>
  <si>
    <t>02/04/2019 18:14</t>
  </si>
  <si>
    <t>0Y4X848684</t>
  </si>
  <si>
    <t>AV TLATILCO No 239</t>
  </si>
  <si>
    <t>Azcapotzalco-CIUDAD</t>
  </si>
  <si>
    <t>2019309</t>
  </si>
  <si>
    <t>03/04/2019 10:01</t>
  </si>
  <si>
    <t>2016575</t>
  </si>
  <si>
    <t>28/03/2019 14:12</t>
  </si>
  <si>
    <t>0A2T369923</t>
  </si>
  <si>
    <t>BLVD PETROCEL KM 1.3 CAMPUS TAMPICO AULAS 2 PISO 3</t>
  </si>
  <si>
    <t>ALTAMIRA-TAM</t>
  </si>
  <si>
    <t>2018007</t>
  </si>
  <si>
    <t>01/04/2019 10:32</t>
  </si>
  <si>
    <t>0X76707584</t>
  </si>
  <si>
    <t>2018855</t>
  </si>
  <si>
    <t>02/04/2019 12:00</t>
  </si>
  <si>
    <t>500167</t>
  </si>
  <si>
    <t>2019333</t>
  </si>
  <si>
    <t>03/04/2019 10:32</t>
  </si>
  <si>
    <t>0C4X008250</t>
  </si>
  <si>
    <t>800200</t>
  </si>
  <si>
    <t>AV GENERAL RAMON CORONA No 2514</t>
  </si>
  <si>
    <t>2017933</t>
  </si>
  <si>
    <t>3610</t>
  </si>
  <si>
    <t>01/04/2019 09:38</t>
  </si>
  <si>
    <t>0A4T021913</t>
  </si>
  <si>
    <t>AV FUENTES DEL SUR 7151</t>
  </si>
  <si>
    <t>2018203</t>
  </si>
  <si>
    <t>01/04/2019 13:15</t>
  </si>
  <si>
    <t>0A4T558109</t>
  </si>
  <si>
    <t>BLV ADOLFO LOPEZ MATEOS 2009-B</t>
  </si>
  <si>
    <t>2018863</t>
  </si>
  <si>
    <t>02/04/2019 12:04</t>
  </si>
  <si>
    <t>0MX1185934</t>
  </si>
  <si>
    <t>2019323</t>
  </si>
  <si>
    <t>7512</t>
  </si>
  <si>
    <t>03/04/2019 10:21</t>
  </si>
  <si>
    <t>0RXD136704</t>
  </si>
  <si>
    <t>EXEL DEL NORTE SA PI DE CV</t>
  </si>
  <si>
    <t>LAZARO CARDENAS 1810 PISO 7 Y 8</t>
  </si>
  <si>
    <t>2018897</t>
  </si>
  <si>
    <t>02/04/2019 13:10</t>
  </si>
  <si>
    <t>0XEL569871</t>
  </si>
  <si>
    <t>AV VALLARTA 5400</t>
  </si>
  <si>
    <t>2019261</t>
  </si>
  <si>
    <t>03/04/2019 08:47</t>
  </si>
  <si>
    <t>2019381</t>
  </si>
  <si>
    <t>03/04/2019 11:17</t>
  </si>
  <si>
    <t>0BB1564141</t>
  </si>
  <si>
    <t>AV MANUEL AVILA CAMACHO 1019</t>
  </si>
  <si>
    <t>2019517</t>
  </si>
  <si>
    <t>03/04/2019 14:10</t>
  </si>
  <si>
    <t>0EX9283991</t>
  </si>
  <si>
    <t>500056</t>
  </si>
  <si>
    <t>BLV MIGUEL HIDALGO 155</t>
  </si>
  <si>
    <t>Reynosa-TAM</t>
  </si>
  <si>
    <t>2018881</t>
  </si>
  <si>
    <t>02/04/2019 12:53</t>
  </si>
  <si>
    <t>0XPN553133</t>
  </si>
  <si>
    <t>BLV ADOLFO LOPEZ MATEOS 1025</t>
  </si>
  <si>
    <t>2018199</t>
  </si>
  <si>
    <t>01/04/2019 13:13</t>
  </si>
  <si>
    <t>0EX9293168</t>
  </si>
  <si>
    <t>2018345</t>
  </si>
  <si>
    <t>01/04/2019 17:08</t>
  </si>
  <si>
    <t>0XPN396574</t>
  </si>
  <si>
    <t>AV MAIZ 1300</t>
  </si>
  <si>
    <t>2018365</t>
  </si>
  <si>
    <t>5748</t>
  </si>
  <si>
    <t>01/04/2019 17:25</t>
  </si>
  <si>
    <t>0XEH798026</t>
  </si>
  <si>
    <t>CRISTOBAL COLON 11364</t>
  </si>
  <si>
    <t>2019509</t>
  </si>
  <si>
    <t>03/04/2019 13:54</t>
  </si>
  <si>
    <t>2019491</t>
  </si>
  <si>
    <t>3326</t>
  </si>
  <si>
    <t>03/04/2019 13:22</t>
  </si>
  <si>
    <t>0LA6296487</t>
  </si>
  <si>
    <t>ALDAMA SUR No 102</t>
  </si>
  <si>
    <t>2019485</t>
  </si>
  <si>
    <t>03/04/2019 13:02</t>
  </si>
  <si>
    <t>09HB331691</t>
  </si>
  <si>
    <t>FRANCISCO MIRANDA Y REPUBLICA DE CUBA No 8</t>
  </si>
  <si>
    <t>Hidalgo Del Parral-C</t>
  </si>
  <si>
    <t>2018749</t>
  </si>
  <si>
    <t>02/04/2019 10:16</t>
  </si>
  <si>
    <t>0X76703795</t>
  </si>
  <si>
    <t>AV TECNOLOGICO Y JUAN KEPLER 6915</t>
  </si>
  <si>
    <t>2019535</t>
  </si>
  <si>
    <t>03/04/2019 14:27</t>
  </si>
  <si>
    <t>0E2B658511</t>
  </si>
  <si>
    <t>AV CONSTITUYENTES 152 PTE</t>
  </si>
  <si>
    <t>2012347</t>
  </si>
  <si>
    <t>4310</t>
  </si>
  <si>
    <t>20/03/2019 16:49</t>
  </si>
  <si>
    <t>0BG0971716</t>
  </si>
  <si>
    <t>PROVEEDORA DE SERVICIOS GRAFICOS DEL NORTE SA DE C</t>
  </si>
  <si>
    <t>ISSAC GARZA No 1363</t>
  </si>
  <si>
    <t>2019487</t>
  </si>
  <si>
    <t>03/04/2019 13:13</t>
  </si>
  <si>
    <t>0EX9296094</t>
  </si>
  <si>
    <t>AV. FAJA DE ORO NO. 1100</t>
  </si>
  <si>
    <t>Salamanca-GTO</t>
  </si>
  <si>
    <t>2016449</t>
  </si>
  <si>
    <t>SR SOFTWARE</t>
  </si>
  <si>
    <t>7142</t>
  </si>
  <si>
    <t>28/03/2019 12:01</t>
  </si>
  <si>
    <t>0PW4111396</t>
  </si>
  <si>
    <t>AV HEROICO COLEGIO MILITAR 114</t>
  </si>
  <si>
    <t>PIEDRAS NEGRAS-COAH</t>
  </si>
  <si>
    <t>2019547</t>
  </si>
  <si>
    <t>03/04/2019 14:37</t>
  </si>
  <si>
    <t>0XPN546686</t>
  </si>
  <si>
    <t>AV ABRAHAM LINCOLN 5000 PTE</t>
  </si>
  <si>
    <t>2019541</t>
  </si>
  <si>
    <t>03/04/2019 14:33</t>
  </si>
  <si>
    <t>0BG2951632</t>
  </si>
  <si>
    <t>AV LICOLN No 500 PTE</t>
  </si>
  <si>
    <t>2017957</t>
  </si>
  <si>
    <t>4603</t>
  </si>
  <si>
    <t>0XLT280678</t>
  </si>
  <si>
    <t>2018985</t>
  </si>
  <si>
    <t>02/04/2019 15:33</t>
  </si>
  <si>
    <t>0Y4X843007</t>
  </si>
  <si>
    <t>PROCTER &amp; GAMBLE MANUFACTURING MEXICO S DE RL DE C</t>
  </si>
  <si>
    <t>CARRETERA FEDERAL IRAPUATO-ABASOLO KM 10.6</t>
  </si>
  <si>
    <t>2019399</t>
  </si>
  <si>
    <t>03/04/2019 11:37</t>
  </si>
  <si>
    <t>0Y4X843005</t>
  </si>
  <si>
    <t>2018859</t>
  </si>
  <si>
    <t>0MX1186333</t>
  </si>
  <si>
    <t>2018981</t>
  </si>
  <si>
    <t>4000</t>
  </si>
  <si>
    <t>02/04/2019 15:32</t>
  </si>
  <si>
    <t>06HB015881</t>
  </si>
  <si>
    <t>2019307</t>
  </si>
  <si>
    <t>03/04/2019 09:53</t>
  </si>
  <si>
    <t>0Y4X848630</t>
  </si>
  <si>
    <t>ACUEDUCTO No 92</t>
  </si>
  <si>
    <t>TLALPAN-CIUDAD DE ME</t>
  </si>
  <si>
    <t>2019519</t>
  </si>
  <si>
    <t>03/04/2019 14:15</t>
  </si>
  <si>
    <t>Y4X830295</t>
  </si>
  <si>
    <t>2019443</t>
  </si>
  <si>
    <t>03/04/2019 12:16</t>
  </si>
  <si>
    <t>0X76707246</t>
  </si>
  <si>
    <t>AV HERMANOS ESCOBAR No 5756</t>
  </si>
  <si>
    <t>2018645</t>
  </si>
  <si>
    <t>4626</t>
  </si>
  <si>
    <t>02/04/2019 08:07</t>
  </si>
  <si>
    <t>0D6X468206</t>
  </si>
  <si>
    <t>FLEXTRONICS MANUFACTURING MEX SA DE CV</t>
  </si>
  <si>
    <t>CARRETERA BASE AEREA No 5850-23</t>
  </si>
  <si>
    <t>2019611</t>
  </si>
  <si>
    <t>03/04/2019 16:57</t>
  </si>
  <si>
    <t>0MX4465117</t>
  </si>
  <si>
    <t>2018771</t>
  </si>
  <si>
    <t>3635</t>
  </si>
  <si>
    <t>02/04/2019 10:55</t>
  </si>
  <si>
    <t>0LBT206071</t>
  </si>
  <si>
    <t>2017579</t>
  </si>
  <si>
    <t>31/03/2019 18:15</t>
  </si>
  <si>
    <t>0BG2945208</t>
  </si>
  <si>
    <t>AV REVOLUCION 2703, LOC SA-01</t>
  </si>
  <si>
    <t>2019605</t>
  </si>
  <si>
    <t>03/04/2019 16:55</t>
  </si>
  <si>
    <t>2015329</t>
  </si>
  <si>
    <t>SR RETIRO DE EQUIPO DEFINITIVO</t>
  </si>
  <si>
    <t>26/03/2019 13:18</t>
  </si>
  <si>
    <t>0EX7381699</t>
  </si>
  <si>
    <t>RAFAEL PEREZ SERNA Y HENRY DUNANT</t>
  </si>
  <si>
    <t>2015327</t>
  </si>
  <si>
    <t>26/03/2019 13:17</t>
  </si>
  <si>
    <t>0Y4X859271</t>
  </si>
  <si>
    <t>2016849</t>
  </si>
  <si>
    <t>29/03/2019 08:43</t>
  </si>
  <si>
    <t>2019631</t>
  </si>
  <si>
    <t>03/04/2019 17:26</t>
  </si>
  <si>
    <t>2019645</t>
  </si>
  <si>
    <t>03/04/2019 18:11</t>
  </si>
  <si>
    <t>0EX9665131</t>
  </si>
  <si>
    <t>800110</t>
  </si>
  <si>
    <t>ENRIQUE RAMIREZ No 445</t>
  </si>
  <si>
    <t>Morelia-MICH</t>
  </si>
  <si>
    <t>2019577</t>
  </si>
  <si>
    <t>03/04/2019 15:53</t>
  </si>
  <si>
    <t>09HB325676</t>
  </si>
  <si>
    <t>BLVD ADOLFO LOPEZ MATEOS No 1013</t>
  </si>
  <si>
    <t>Celaya-GTO</t>
  </si>
  <si>
    <t>2019295</t>
  </si>
  <si>
    <t>03/04/2019 09:32</t>
  </si>
  <si>
    <t>07CX043832</t>
  </si>
  <si>
    <t>AV. ADOLFO LOPEZ MATEOS NORTE 2405</t>
  </si>
  <si>
    <t>Guadalajara-JAL</t>
  </si>
  <si>
    <t>2019603</t>
  </si>
  <si>
    <t>03/04/2019 16:56</t>
  </si>
  <si>
    <t>0E2B653886</t>
  </si>
  <si>
    <t>AV UNIVERSIDAD 401 NTE</t>
  </si>
  <si>
    <t>2019563</t>
  </si>
  <si>
    <t>03/04/2019 14:58</t>
  </si>
  <si>
    <t>09HB331671</t>
  </si>
  <si>
    <t>2019881</t>
  </si>
  <si>
    <t>04/04/2019 09:31</t>
  </si>
  <si>
    <t>0EX9664780</t>
  </si>
  <si>
    <t>2019659</t>
  </si>
  <si>
    <t>6655</t>
  </si>
  <si>
    <t>03/04/2019 20:58</t>
  </si>
  <si>
    <t>0E1B980062</t>
  </si>
  <si>
    <t>MAGNETI MARELLI TOLUCA MEXICO S DE RL DE CV</t>
  </si>
  <si>
    <t>AV DE LA INDUSTRIA AUTOMOTRIZ No 7 MZ-4 LT-3</t>
  </si>
  <si>
    <t>Mexico-MEX</t>
  </si>
  <si>
    <t>A4 Color Laser MFPs</t>
  </si>
  <si>
    <t>2018817</t>
  </si>
  <si>
    <t>02/04/2019 11:30</t>
  </si>
  <si>
    <t>0A2T380265</t>
  </si>
  <si>
    <t>GBT TRAVEL SERVICES MEXICO S DE RL DE CV</t>
  </si>
  <si>
    <t>AV. MARIANO OTERO NO 2510-2</t>
  </si>
  <si>
    <t>2019013</t>
  </si>
  <si>
    <t>02/04/2019 16:13</t>
  </si>
  <si>
    <t>03AG880355</t>
  </si>
  <si>
    <t>AV MEXICO 3370</t>
  </si>
  <si>
    <t>2017883</t>
  </si>
  <si>
    <t>01/04/2019 08:48</t>
  </si>
  <si>
    <t>0A1H020735</t>
  </si>
  <si>
    <t>2018273</t>
  </si>
  <si>
    <t>9HB329578</t>
  </si>
  <si>
    <t>PAPERBOARD PRODUCTS DE MEXICO SA DE CV</t>
  </si>
  <si>
    <t>AV CAMPANARIO 99 C-36</t>
  </si>
  <si>
    <t>2013303</t>
  </si>
  <si>
    <t>22/03/2019 09:45</t>
  </si>
  <si>
    <t>0BG2948893</t>
  </si>
  <si>
    <t>MORELOS No 406 ORIENTE</t>
  </si>
  <si>
    <t>2019883</t>
  </si>
  <si>
    <t>04/04/2019 09:38</t>
  </si>
  <si>
    <t>0EX9293159</t>
  </si>
  <si>
    <t>2019895</t>
  </si>
  <si>
    <t>04/04/2019 09:48</t>
  </si>
  <si>
    <t>2019451</t>
  </si>
  <si>
    <t>03/04/2019 12:44</t>
  </si>
  <si>
    <t>03BT801964</t>
  </si>
  <si>
    <t>AV  ZARAGOZA 396</t>
  </si>
  <si>
    <t>2019915</t>
  </si>
  <si>
    <t>04/04/2019 10:24</t>
  </si>
  <si>
    <t>0EX9293145</t>
  </si>
  <si>
    <t>2018377</t>
  </si>
  <si>
    <t>01/04/2019 17:53</t>
  </si>
  <si>
    <t>0PW4979941</t>
  </si>
  <si>
    <t>AUTOPISTA QUERETARO CELAYA KM 16 SN</t>
  </si>
  <si>
    <t>2019901</t>
  </si>
  <si>
    <t>3331</t>
  </si>
  <si>
    <t>04/04/2019 10:07</t>
  </si>
  <si>
    <t>09BR381870</t>
  </si>
  <si>
    <t>2019979</t>
  </si>
  <si>
    <t>04/04/2019 11:22</t>
  </si>
  <si>
    <t>0EX9299931</t>
  </si>
  <si>
    <t>ABASTECEDORA LUMEN SA DE CV</t>
  </si>
  <si>
    <t>SANTIAGO TAPIA No 954</t>
  </si>
  <si>
    <t>2019251</t>
  </si>
  <si>
    <t>03/04/2019 08:43</t>
  </si>
  <si>
    <t>0EX7399926</t>
  </si>
  <si>
    <t>2019285</t>
  </si>
  <si>
    <t>03/04/2019 09:23</t>
  </si>
  <si>
    <t>0A4T554401</t>
  </si>
  <si>
    <t>2019339</t>
  </si>
  <si>
    <t>03/04/2019 10:41</t>
  </si>
  <si>
    <t>09HB321394</t>
  </si>
  <si>
    <t>BELISARIO DOMINGUEZ Y A OBREGON</t>
  </si>
  <si>
    <t>NUEVO CASAS GRANDES-</t>
  </si>
  <si>
    <t>2019455</t>
  </si>
  <si>
    <t>03/04/2019 12:45</t>
  </si>
  <si>
    <t>03BT801967</t>
  </si>
  <si>
    <t>16 DE SEPTIEMBREáNo 476</t>
  </si>
  <si>
    <t>2019467</t>
  </si>
  <si>
    <t>4624</t>
  </si>
  <si>
    <t>03/04/2019 12:57</t>
  </si>
  <si>
    <t>0D6X461128</t>
  </si>
  <si>
    <t>2020065</t>
  </si>
  <si>
    <t>9301</t>
  </si>
  <si>
    <t>04/04/2019 12:46</t>
  </si>
  <si>
    <t>0XNE133934</t>
  </si>
  <si>
    <t>A3 Color Solid Ink MFPs</t>
  </si>
  <si>
    <t>2017945</t>
  </si>
  <si>
    <t>5335</t>
  </si>
  <si>
    <t>01/04/2019 09:49</t>
  </si>
  <si>
    <t>0AE7146573</t>
  </si>
  <si>
    <t>2017167</t>
  </si>
  <si>
    <t>29/03/2019 14:28</t>
  </si>
  <si>
    <t>0BG2940184</t>
  </si>
  <si>
    <t>MANUEL J CLOUTHIER 888</t>
  </si>
  <si>
    <t>2019885</t>
  </si>
  <si>
    <t>04/04/2019 09:42</t>
  </si>
  <si>
    <t>0BG0972049</t>
  </si>
  <si>
    <t>BLVD ADOLFO LOPEZ MATEOS No 2540</t>
  </si>
  <si>
    <t>2019471</t>
  </si>
  <si>
    <t>03/04/2019 13:03</t>
  </si>
  <si>
    <t>0Y4X843700</t>
  </si>
  <si>
    <t>APTIV CONTRACT SERVICES S DE RL DE CV</t>
  </si>
  <si>
    <t>2016427</t>
  </si>
  <si>
    <t>4598</t>
  </si>
  <si>
    <t>28/03/2019 11:29</t>
  </si>
  <si>
    <t>0FBG479583</t>
  </si>
  <si>
    <t>AV INDUSTRIALES DEL PONIENTE 1050</t>
  </si>
  <si>
    <t>SANTA CATARINA-NL</t>
  </si>
  <si>
    <t>2020165</t>
  </si>
  <si>
    <t>04/04/2019 15:24</t>
  </si>
  <si>
    <t>0C4X002927</t>
  </si>
  <si>
    <t>AV GLANDORFF 3306</t>
  </si>
  <si>
    <t>2020087</t>
  </si>
  <si>
    <t>8065</t>
  </si>
  <si>
    <t>04/04/2019 13:17</t>
  </si>
  <si>
    <t>3AG878735</t>
  </si>
  <si>
    <t>DOLORES DE GUEVARA No 980</t>
  </si>
  <si>
    <t>2019239</t>
  </si>
  <si>
    <t>0551</t>
  </si>
  <si>
    <t>03/04/2019 08:36</t>
  </si>
  <si>
    <t>0XPN396972</t>
  </si>
  <si>
    <t>AMERICAS 655</t>
  </si>
  <si>
    <t>2020019</t>
  </si>
  <si>
    <t>04/04/2019 12:16</t>
  </si>
  <si>
    <t>0BG0968959</t>
  </si>
  <si>
    <t>2020135</t>
  </si>
  <si>
    <t>04/04/2019 14:32</t>
  </si>
  <si>
    <t>0E2B659015</t>
  </si>
  <si>
    <t>AV LOPEZ MATEOS SUR No 7000</t>
  </si>
  <si>
    <t>2020147</t>
  </si>
  <si>
    <t>04/04/2019 14:40</t>
  </si>
  <si>
    <t>0EX9662181</t>
  </si>
  <si>
    <t>2018281</t>
  </si>
  <si>
    <t>01/04/2019 14:54</t>
  </si>
  <si>
    <t>0BG2947159</t>
  </si>
  <si>
    <t>AV EUGENIO GARZA SADA 3752 SUR</t>
  </si>
  <si>
    <t>2019533</t>
  </si>
  <si>
    <t>03/04/2019 14:22</t>
  </si>
  <si>
    <t>0EX9293385</t>
  </si>
  <si>
    <t>CONSTITUYENTES PTE 152</t>
  </si>
  <si>
    <t>2020017</t>
  </si>
  <si>
    <t>04/04/2019 12:14</t>
  </si>
  <si>
    <t>2003187</t>
  </si>
  <si>
    <t>03/03/2019 23:01</t>
  </si>
  <si>
    <t>9HB334888</t>
  </si>
  <si>
    <t>LAND IT SA DE CV</t>
  </si>
  <si>
    <t>AV NICOLAS SAN JUAN S/N</t>
  </si>
  <si>
    <t>2020163</t>
  </si>
  <si>
    <t>04/04/2019 15:20</t>
  </si>
  <si>
    <t>0A2T024295</t>
  </si>
  <si>
    <t>2019481</t>
  </si>
  <si>
    <t>03/04/2019 13:06</t>
  </si>
  <si>
    <t>0A4T558105</t>
  </si>
  <si>
    <t>2020073</t>
  </si>
  <si>
    <t>04/04/2019 11:55</t>
  </si>
  <si>
    <t>03BT802213</t>
  </si>
  <si>
    <t>IMPULSORA MEXICANA DE TELECOMUNICACIONES SA DE CV</t>
  </si>
  <si>
    <t>TENIENTE JOSE ESPINOZA FUENTES S/N</t>
  </si>
  <si>
    <t>MORELIA-MICH</t>
  </si>
  <si>
    <t>2018983</t>
  </si>
  <si>
    <t>0BG0962083</t>
  </si>
  <si>
    <t>2019273</t>
  </si>
  <si>
    <t>03/04/2019 09:17</t>
  </si>
  <si>
    <t>0EX7407508</t>
  </si>
  <si>
    <t>2018655</t>
  </si>
  <si>
    <t>02/04/2019 08:32</t>
  </si>
  <si>
    <t>0BG2951477</t>
  </si>
  <si>
    <t>AV VASCONCELOS 160</t>
  </si>
  <si>
    <t>SAN PEDRO GARZA GARC</t>
  </si>
  <si>
    <t>2019031</t>
  </si>
  <si>
    <t>02/04/2019 17:05</t>
  </si>
  <si>
    <t>09HB916056</t>
  </si>
  <si>
    <t>Av De la Industria Automotrizá No 18 Nave 3</t>
  </si>
  <si>
    <t>1-Entre 7 y 15</t>
  </si>
  <si>
    <t>2020103</t>
  </si>
  <si>
    <t>6514</t>
  </si>
  <si>
    <t>04/04/2019 13:39</t>
  </si>
  <si>
    <t>5AV820023</t>
  </si>
  <si>
    <t>BLVD ADOLFO LOPEZ MATEOS No 805 PONIENTE</t>
  </si>
  <si>
    <t>2013409</t>
  </si>
  <si>
    <t>22/03/2019 11:31</t>
  </si>
  <si>
    <t>0LX5697800</t>
  </si>
  <si>
    <t>FEDERAL MOGUL DE MATAMOROS S DE RL DE CV</t>
  </si>
  <si>
    <t>AV SANTIAGO TRONCOSO 281</t>
  </si>
  <si>
    <t>2012945</t>
  </si>
  <si>
    <t>3330</t>
  </si>
  <si>
    <t>21/03/2019 13:09</t>
  </si>
  <si>
    <t>09BR546326</t>
  </si>
  <si>
    <t>CARRETERA A MONTERREY AV FOMENTO INDUSTRIAL SN</t>
  </si>
  <si>
    <t>2012779</t>
  </si>
  <si>
    <t>21/03/2019 10:43</t>
  </si>
  <si>
    <t>0EX9310036</t>
  </si>
  <si>
    <t>APTIV CONTRACT SERVICES NUEVO LAREDO S DE RL DE CV</t>
  </si>
  <si>
    <t>ITURBIDE No 6970</t>
  </si>
  <si>
    <t>2020133</t>
  </si>
  <si>
    <t>4602</t>
  </si>
  <si>
    <t>04/04/2019 14:28</t>
  </si>
  <si>
    <t>0XL1421896</t>
  </si>
  <si>
    <t>NABILE EDITH RODRIGUEZ GARCIA</t>
  </si>
  <si>
    <t>CERRA DE FRAGA No 10404-12 INTERPHONE No 112</t>
  </si>
  <si>
    <t>2019057</t>
  </si>
  <si>
    <t>02/04/2019 18:15</t>
  </si>
  <si>
    <t>0C4X011869</t>
  </si>
  <si>
    <t>BLVD TEOFILO BORUNDA 8681</t>
  </si>
  <si>
    <t>2019615</t>
  </si>
  <si>
    <t>03/04/2019 16:59</t>
  </si>
  <si>
    <t>9HB381838</t>
  </si>
  <si>
    <t>INGERSOLL-RAND MANUFACTURA S DE RL DE CV</t>
  </si>
  <si>
    <t>AVENIDA NAFTA NO 750</t>
  </si>
  <si>
    <t>APODACA-NL</t>
  </si>
  <si>
    <t>2018999</t>
  </si>
  <si>
    <t>02/04/2019 15:41</t>
  </si>
  <si>
    <t>0C7X246782</t>
  </si>
  <si>
    <t>PASEO BOLIVAR No 1000</t>
  </si>
  <si>
    <t>2020071</t>
  </si>
  <si>
    <t>04/04/2019 12:56</t>
  </si>
  <si>
    <t>AAQ100563</t>
  </si>
  <si>
    <t>PUBLICO EN GENERAL</t>
  </si>
  <si>
    <t>JAVIER MINA No 14 INT No 4</t>
  </si>
  <si>
    <t>Michoacan-MICH</t>
  </si>
  <si>
    <t>2020183</t>
  </si>
  <si>
    <t>4311</t>
  </si>
  <si>
    <t>04/04/2019 16:08</t>
  </si>
  <si>
    <t>0BG1000997</t>
  </si>
  <si>
    <t>AV EUGENIO GARZA SADA 2501 SUR</t>
  </si>
  <si>
    <t>2019225</t>
  </si>
  <si>
    <t>03/04/2019 08:13</t>
  </si>
  <si>
    <t>0PW4152292</t>
  </si>
  <si>
    <t>2020201</t>
  </si>
  <si>
    <t>04/04/2019 17:02</t>
  </si>
  <si>
    <t>0A1H022391</t>
  </si>
  <si>
    <t>AV SALVADOR NAVA MARTINEZ No 3115</t>
  </si>
  <si>
    <t>2020455</t>
  </si>
  <si>
    <t>05/04/2019 08:45</t>
  </si>
  <si>
    <t>2019059</t>
  </si>
  <si>
    <t>02/04/2019 18:38</t>
  </si>
  <si>
    <t>2020665</t>
  </si>
  <si>
    <t>05/04/2019 11:38</t>
  </si>
  <si>
    <t>0X76375747</t>
  </si>
  <si>
    <t>AV LAS FABRICAS No 5838</t>
  </si>
  <si>
    <t>2020481</t>
  </si>
  <si>
    <t>05/04/2019 09:49</t>
  </si>
  <si>
    <t>09HB328020</t>
  </si>
  <si>
    <t>2020651</t>
  </si>
  <si>
    <t>0700</t>
  </si>
  <si>
    <t>05/04/2019 11:30</t>
  </si>
  <si>
    <t>0MAV779133</t>
  </si>
  <si>
    <t>2020623</t>
  </si>
  <si>
    <t>05/04/2019 10:53</t>
  </si>
  <si>
    <t>0LA6296587</t>
  </si>
  <si>
    <t>ALTAMIRANO 155 OTE Y VICTORIA</t>
  </si>
  <si>
    <t>ALLENDE-NL</t>
  </si>
  <si>
    <t>2020167</t>
  </si>
  <si>
    <t>0570</t>
  </si>
  <si>
    <t>04/04/2019 15:30</t>
  </si>
  <si>
    <t>0XPN550545</t>
  </si>
  <si>
    <t>2020479</t>
  </si>
  <si>
    <t>7221</t>
  </si>
  <si>
    <t>05/04/2019 09:50</t>
  </si>
  <si>
    <t>0LX7660915</t>
  </si>
  <si>
    <t>BLVD PETROCEL KM 1.3</t>
  </si>
  <si>
    <t>2019951</t>
  </si>
  <si>
    <t>3350</t>
  </si>
  <si>
    <t>04/04/2019 10:51</t>
  </si>
  <si>
    <t>0VMA558262</t>
  </si>
  <si>
    <t>100039</t>
  </si>
  <si>
    <t>FCA MEXICO SA DE CV</t>
  </si>
  <si>
    <t>INDUSTRIA QUIMICA S/N</t>
  </si>
  <si>
    <t>2019921</t>
  </si>
  <si>
    <t>04/04/2019 10:17</t>
  </si>
  <si>
    <t>AAQ100582</t>
  </si>
  <si>
    <t>ESPECIALIDADES FINAS DE ZAMORA SA DE CV</t>
  </si>
  <si>
    <t>AMADO NERVO OTE 101</t>
  </si>
  <si>
    <t>ZAMORA DE HIDALGO-MI</t>
  </si>
  <si>
    <t>2020009</t>
  </si>
  <si>
    <t>04/04/2019 11:58</t>
  </si>
  <si>
    <t>0BG2946917</t>
  </si>
  <si>
    <t>AUTO CLUB 194-D</t>
  </si>
  <si>
    <t>GOMEZ PALACIO-DGO</t>
  </si>
  <si>
    <t>2015379</t>
  </si>
  <si>
    <t>1263</t>
  </si>
  <si>
    <t>26/03/2019 13:41</t>
  </si>
  <si>
    <t>0DRB131260</t>
  </si>
  <si>
    <t>2020741</t>
  </si>
  <si>
    <t>05/04/2019 13:01</t>
  </si>
  <si>
    <t>0XLT861010</t>
  </si>
  <si>
    <t>2020739</t>
  </si>
  <si>
    <t>05/04/2019 12:55</t>
  </si>
  <si>
    <t>03AG880494</t>
  </si>
  <si>
    <t>2019575</t>
  </si>
  <si>
    <t>03/04/2019 15:47</t>
  </si>
  <si>
    <t>0BG0964513</t>
  </si>
  <si>
    <t>BLVD AEROPUERTO MIGUEL ALEMAN No 55</t>
  </si>
  <si>
    <t>2020731</t>
  </si>
  <si>
    <t>05/04/2019 12:40</t>
  </si>
  <si>
    <t>09HB333007</t>
  </si>
  <si>
    <t>2020015</t>
  </si>
  <si>
    <t>SR RETIRO CAMBIO DE LUGAR</t>
  </si>
  <si>
    <t>04/04/2019 12:10</t>
  </si>
  <si>
    <t>09HB333000</t>
  </si>
  <si>
    <t>2020139</t>
  </si>
  <si>
    <t>04/04/2019 14:37</t>
  </si>
  <si>
    <t>0E2B658529</t>
  </si>
  <si>
    <t>2020589</t>
  </si>
  <si>
    <t>1277</t>
  </si>
  <si>
    <t>05/04/2019 10:58</t>
  </si>
  <si>
    <t>0ER2127933</t>
  </si>
  <si>
    <t>CENTRO COMERCIAL REAL CENTER AV SANTA MARGARITA No</t>
  </si>
  <si>
    <t>2008499</t>
  </si>
  <si>
    <t>13/03/2019 09:49</t>
  </si>
  <si>
    <t>0BPB110653</t>
  </si>
  <si>
    <t>2020831</t>
  </si>
  <si>
    <t>05/04/2019 14:43</t>
  </si>
  <si>
    <t>0X76704205</t>
  </si>
  <si>
    <t>2020691</t>
  </si>
  <si>
    <t>05/04/2019 12:18</t>
  </si>
  <si>
    <t>0A1H021961</t>
  </si>
  <si>
    <t>CARRETERA NACIONAL NO 500 LOCAL N-119</t>
  </si>
  <si>
    <t>2019565</t>
  </si>
  <si>
    <t>03/04/2019 15:08</t>
  </si>
  <si>
    <t>0BG2951668</t>
  </si>
  <si>
    <t>PROL SEGURIDAD SOCIAL SN</t>
  </si>
  <si>
    <t>2020697</t>
  </si>
  <si>
    <t>05/04/2019 12:21</t>
  </si>
  <si>
    <t>0E2B654062</t>
  </si>
  <si>
    <t>2020737</t>
  </si>
  <si>
    <t>05/04/2019 12:52</t>
  </si>
  <si>
    <t>2020801</t>
  </si>
  <si>
    <t>05/04/2019 14:04</t>
  </si>
  <si>
    <t>2019529</t>
  </si>
  <si>
    <t>03/04/2019 14:19</t>
  </si>
  <si>
    <t>08TB608554</t>
  </si>
  <si>
    <t>TRANE SA DE CV</t>
  </si>
  <si>
    <t>AV GONZALITOS 2202 NTE</t>
  </si>
  <si>
    <t>2020973</t>
  </si>
  <si>
    <t>06/04/2019 10:19</t>
  </si>
  <si>
    <t>0E2B650746</t>
  </si>
  <si>
    <t>Toluca De Lerdo-MEX</t>
  </si>
  <si>
    <t>2018647</t>
  </si>
  <si>
    <t>02/04/2019 08:11</t>
  </si>
  <si>
    <t>0A1H020656</t>
  </si>
  <si>
    <t>2020853</t>
  </si>
  <si>
    <t>05/04/2019 16:05</t>
  </si>
  <si>
    <t>0E2B647375</t>
  </si>
  <si>
    <t>AV PASEO DE LOS LEONES 1388 L 2-3</t>
  </si>
  <si>
    <t>2020847</t>
  </si>
  <si>
    <t>05/04/2019 15:54</t>
  </si>
  <si>
    <t>2020889</t>
  </si>
  <si>
    <t>7511</t>
  </si>
  <si>
    <t>05/04/2019 17:08</t>
  </si>
  <si>
    <t>0RXD143457</t>
  </si>
  <si>
    <t>DELPHI SISTEMAS DE ENERGIA S DE RL DE CV</t>
  </si>
  <si>
    <t>AV DE LAS INDUSTRIAS 4907</t>
  </si>
  <si>
    <t>2021439</t>
  </si>
  <si>
    <t>08/04/2019 09:02</t>
  </si>
  <si>
    <t>09HB331742</t>
  </si>
  <si>
    <t>BENITO JUAREZ Y SEGURO SOCIAL S/N</t>
  </si>
  <si>
    <t>Hermosillo-SON</t>
  </si>
  <si>
    <t>2020667</t>
  </si>
  <si>
    <t>05/04/2019 11:37</t>
  </si>
  <si>
    <t>2012769</t>
  </si>
  <si>
    <t>21/03/2019 10:31</t>
  </si>
  <si>
    <t>09BR546320</t>
  </si>
  <si>
    <t>&gt;10 días</t>
  </si>
  <si>
    <t>2021391</t>
  </si>
  <si>
    <t>08/04/2019 07:46</t>
  </si>
  <si>
    <t>03AG877879</t>
  </si>
  <si>
    <t>2020887</t>
  </si>
  <si>
    <t>05/04/2019 16:58</t>
  </si>
  <si>
    <t>0C4X008292</t>
  </si>
  <si>
    <t>AV VALLARTA 3960-B</t>
  </si>
  <si>
    <t>2019835</t>
  </si>
  <si>
    <t>04/04/2019 08:22</t>
  </si>
  <si>
    <t>0A2T200458</t>
  </si>
  <si>
    <t>CARR MIGUEL ALEMAN KM 24</t>
  </si>
  <si>
    <t>2020963</t>
  </si>
  <si>
    <t>06/04/2019 09:27</t>
  </si>
  <si>
    <t>2020803</t>
  </si>
  <si>
    <t>05/04/2019 14:14</t>
  </si>
  <si>
    <t>2021393</t>
  </si>
  <si>
    <t>08/04/2019 07:47</t>
  </si>
  <si>
    <t>0E2B106653</t>
  </si>
  <si>
    <t>2021173</t>
  </si>
  <si>
    <t>07/04/2019 14:48</t>
  </si>
  <si>
    <t>0XPN393110</t>
  </si>
  <si>
    <t>PERIFERICO LUIS ECHEVERRIA ALVAREZ 1474</t>
  </si>
  <si>
    <t>SALTILLO-COAH</t>
  </si>
  <si>
    <t>2021445</t>
  </si>
  <si>
    <t>08/04/2019 09:09</t>
  </si>
  <si>
    <t>09HB320873</t>
  </si>
  <si>
    <t>AV SANTANA No 127</t>
  </si>
  <si>
    <t>Mexico-ESTADO DE MEX</t>
  </si>
  <si>
    <t>2020969</t>
  </si>
  <si>
    <t>06/04/2019 10:16</t>
  </si>
  <si>
    <t>0BG2943221</t>
  </si>
  <si>
    <t>2020975</t>
  </si>
  <si>
    <t>06/04/2019 11:54</t>
  </si>
  <si>
    <t>2021577</t>
  </si>
  <si>
    <t>08/04/2019 10:37</t>
  </si>
  <si>
    <t>0Y4X843429</t>
  </si>
  <si>
    <t>DURANGO No 2751</t>
  </si>
  <si>
    <t>2021413</t>
  </si>
  <si>
    <t>08/04/2019 07:51</t>
  </si>
  <si>
    <t>0EX9297593</t>
  </si>
  <si>
    <t>2021597</t>
  </si>
  <si>
    <t>08/04/2019 11:05</t>
  </si>
  <si>
    <t>09HB321202</t>
  </si>
  <si>
    <t>AV ABASOLO 3653 OTE</t>
  </si>
  <si>
    <t>2021541</t>
  </si>
  <si>
    <t>08/04/2019 10:30</t>
  </si>
  <si>
    <t>0X76706478</t>
  </si>
  <si>
    <t>AV FUENTES DEL SUR No 7070</t>
  </si>
  <si>
    <t>2020669</t>
  </si>
  <si>
    <t>SR INSTALACION ANALISTA</t>
  </si>
  <si>
    <t>05/04/2019 11:55</t>
  </si>
  <si>
    <t>2021663</t>
  </si>
  <si>
    <t>4018</t>
  </si>
  <si>
    <t>08/04/2019 11:57</t>
  </si>
  <si>
    <t>4HX547305</t>
  </si>
  <si>
    <t>ISALI SA DE CV</t>
  </si>
  <si>
    <t>LEON GUZMAN No 1308</t>
  </si>
  <si>
    <t>2021733</t>
  </si>
  <si>
    <t>08/04/2019 12:58</t>
  </si>
  <si>
    <t>03AG879962</t>
  </si>
  <si>
    <t>HIPERPLAZA No 3300</t>
  </si>
  <si>
    <t>2021613</t>
  </si>
  <si>
    <t>08/04/2019 11:17</t>
  </si>
  <si>
    <t>0BG0966730</t>
  </si>
  <si>
    <t>BLVD CAMELIA NO.2658</t>
  </si>
  <si>
    <t>2021615</t>
  </si>
  <si>
    <t>08/04/2019 11:16</t>
  </si>
  <si>
    <t>0E1B972284</t>
  </si>
  <si>
    <t>2019827</t>
  </si>
  <si>
    <t>04/04/2019 08:15</t>
  </si>
  <si>
    <t>4-&lt;=3</t>
  </si>
  <si>
    <t>2021415</t>
  </si>
  <si>
    <t>08/04/2019 08:27</t>
  </si>
  <si>
    <t>0XPN546541</t>
  </si>
  <si>
    <t>2021767</t>
  </si>
  <si>
    <t>08/04/2019 13:20</t>
  </si>
  <si>
    <t>0C4X008398</t>
  </si>
  <si>
    <t>CARR CHAPALA-JOCOTEPEC  PLAZA CENTRO LAGUNA  206 L</t>
  </si>
  <si>
    <t>Ajijic-JAL</t>
  </si>
  <si>
    <t>2018623</t>
  </si>
  <si>
    <t>02/04/2019 07:52</t>
  </si>
  <si>
    <t>0BG2947512</t>
  </si>
  <si>
    <t>2021837</t>
  </si>
  <si>
    <t>6506</t>
  </si>
  <si>
    <t>08/04/2019 14:30</t>
  </si>
  <si>
    <t>0YTB131550</t>
  </si>
  <si>
    <t>2014731</t>
  </si>
  <si>
    <t>6702</t>
  </si>
  <si>
    <t>25/03/2019 13:24</t>
  </si>
  <si>
    <t>0AB9779149</t>
  </si>
  <si>
    <t>2021817</t>
  </si>
  <si>
    <t>08/04/2019 14:06</t>
  </si>
  <si>
    <t>09HB325731</t>
  </si>
  <si>
    <t>AV DE SAN FRANCISCO No 2691</t>
  </si>
  <si>
    <t>2020791</t>
  </si>
  <si>
    <t>05/04/2019 13:52</t>
  </si>
  <si>
    <t>0E2B663505</t>
  </si>
  <si>
    <t>2021421</t>
  </si>
  <si>
    <t>08/04/2019 08:37</t>
  </si>
  <si>
    <t>0BG2947123</t>
  </si>
  <si>
    <t>AV BENITO JUAREZ 1965</t>
  </si>
  <si>
    <t>2021683</t>
  </si>
  <si>
    <t>08/04/2019 12:15</t>
  </si>
  <si>
    <t>0Y2B003356</t>
  </si>
  <si>
    <t>2021665</t>
  </si>
  <si>
    <t>08/04/2019 11:59</t>
  </si>
  <si>
    <t>0B2R090061</t>
  </si>
  <si>
    <t>SOLTAR IMPRESORES SA DE CV</t>
  </si>
  <si>
    <t>CARLOS SALAZAR No 729</t>
  </si>
  <si>
    <t>2021573</t>
  </si>
  <si>
    <t>08/04/2019 10:51</t>
  </si>
  <si>
    <t>2020003</t>
  </si>
  <si>
    <t>04/04/2019 11:49</t>
  </si>
  <si>
    <t>0E2B665653</t>
  </si>
  <si>
    <t>2021867</t>
  </si>
  <si>
    <t>08/04/2019 15:17</t>
  </si>
  <si>
    <t>0PW4112031</t>
  </si>
  <si>
    <t>2021923</t>
  </si>
  <si>
    <t>0506</t>
  </si>
  <si>
    <t>08/04/2019 16:38</t>
  </si>
  <si>
    <t>09RA664553</t>
  </si>
  <si>
    <t>2021857</t>
  </si>
  <si>
    <t>7803</t>
  </si>
  <si>
    <t>08/04/2019 15:08</t>
  </si>
  <si>
    <t>AT0215867</t>
  </si>
  <si>
    <t>SMC CORPORATION MEXICO SA DE CV</t>
  </si>
  <si>
    <t>CARR SILAO-TREJO KM 2.5 S/N</t>
  </si>
  <si>
    <t>SILAO-GTO</t>
  </si>
  <si>
    <t>2021871</t>
  </si>
  <si>
    <t>08/04/2019 15:26</t>
  </si>
  <si>
    <t>0D6X465327</t>
  </si>
  <si>
    <t>BLVD MILLENIUM No 211</t>
  </si>
  <si>
    <t>2021909</t>
  </si>
  <si>
    <t>08/04/2019 16:08</t>
  </si>
  <si>
    <t>0D6X451648</t>
  </si>
  <si>
    <t>2021961</t>
  </si>
  <si>
    <t>08/04/2019 17:48</t>
  </si>
  <si>
    <t>0BG2951472</t>
  </si>
  <si>
    <t>2019657</t>
  </si>
  <si>
    <t>03/04/2019 20:45</t>
  </si>
  <si>
    <t>0A4T558379</t>
  </si>
  <si>
    <t>2021989</t>
  </si>
  <si>
    <t>08/04/2019 20:04</t>
  </si>
  <si>
    <t>0E1B088097</t>
  </si>
  <si>
    <t>2021959</t>
  </si>
  <si>
    <t>08/04/2019 17:45</t>
  </si>
  <si>
    <t>0BG2940374</t>
  </si>
  <si>
    <t>2021953</t>
  </si>
  <si>
    <t>08/04/2019 17:21</t>
  </si>
  <si>
    <t>0C4X003945</t>
  </si>
  <si>
    <t>BLVD  FRANCISCO VILLA REAL TORRES No 2050 SUB ANCL</t>
  </si>
  <si>
    <t>2019873</t>
  </si>
  <si>
    <t>04/04/2019 09:26</t>
  </si>
  <si>
    <t>0BG0973687</t>
  </si>
  <si>
    <t>AV JOSE ELEUTERIO GONZALEZ No 315 INT 7C</t>
  </si>
  <si>
    <t>2021667</t>
  </si>
  <si>
    <t>08/04/2019 12:07</t>
  </si>
  <si>
    <t>0EX9664778</t>
  </si>
  <si>
    <t>AV DE LOS ALAMOS No 80</t>
  </si>
  <si>
    <t>Linares-NL</t>
  </si>
  <si>
    <t>2019889</t>
  </si>
  <si>
    <t>04/04/2019 09:45</t>
  </si>
  <si>
    <t>0E2B664326</t>
  </si>
  <si>
    <t>2021883</t>
  </si>
  <si>
    <t>08/04/2019 15:37</t>
  </si>
  <si>
    <t>0XPN399168</t>
  </si>
  <si>
    <t>PROL ZARAGOZA 62 A</t>
  </si>
  <si>
    <t>2022231</t>
  </si>
  <si>
    <t>09/04/2019 09:12</t>
  </si>
  <si>
    <t>2021981</t>
  </si>
  <si>
    <t>08/04/2019 19:46</t>
  </si>
  <si>
    <t>0EX9299999</t>
  </si>
  <si>
    <t>AV CONSTITUYENTES ORIENTE 20</t>
  </si>
  <si>
    <t>2022235</t>
  </si>
  <si>
    <t>09/04/2019 09:14</t>
  </si>
  <si>
    <t>0EX7407574</t>
  </si>
  <si>
    <t>2021931</t>
  </si>
  <si>
    <t>08/04/2019 16:45</t>
  </si>
  <si>
    <t>0BG2948912</t>
  </si>
  <si>
    <t>AV HIDALGO 5309</t>
  </si>
  <si>
    <t>TAMPICO-TAM</t>
  </si>
  <si>
    <t>2018955</t>
  </si>
  <si>
    <t>02/04/2019 14:40</t>
  </si>
  <si>
    <t>0BB1250884</t>
  </si>
  <si>
    <t>AV MELCHOR OCAMPO 17</t>
  </si>
  <si>
    <t>2018309</t>
  </si>
  <si>
    <t>01/04/2019 15:53</t>
  </si>
  <si>
    <t>0C4X008122</t>
  </si>
  <si>
    <t>2022333</t>
  </si>
  <si>
    <t>09/04/2019 10:47</t>
  </si>
  <si>
    <t>2021521</t>
  </si>
  <si>
    <t>08/04/2019 10:19</t>
  </si>
  <si>
    <t>0A1H020685</t>
  </si>
  <si>
    <t>TORRES LANDA 103 A</t>
  </si>
  <si>
    <t>2022281</t>
  </si>
  <si>
    <t>8030</t>
  </si>
  <si>
    <t>09/04/2019 10:11</t>
  </si>
  <si>
    <t>2TX059855</t>
  </si>
  <si>
    <t>Carretera Miguel Alemßn KM 21</t>
  </si>
  <si>
    <t>2021983</t>
  </si>
  <si>
    <t>08/04/2019 19:50</t>
  </si>
  <si>
    <t>0E2B654127</t>
  </si>
  <si>
    <t>AV VENUSTIANO CARRANZA 733</t>
  </si>
  <si>
    <t>2022357</t>
  </si>
  <si>
    <t>09/04/2019 11:24</t>
  </si>
  <si>
    <t>0A1H020675</t>
  </si>
  <si>
    <t>2021537</t>
  </si>
  <si>
    <t>08/04/2019 10:26</t>
  </si>
  <si>
    <t>0BG2949291</t>
  </si>
  <si>
    <t>2021877</t>
  </si>
  <si>
    <t>08/04/2019 15:30</t>
  </si>
  <si>
    <t>0XLT282436</t>
  </si>
  <si>
    <t>2020745</t>
  </si>
  <si>
    <t>05/04/2019 13:04</t>
  </si>
  <si>
    <t>0D6X458430</t>
  </si>
  <si>
    <t>2021831</t>
  </si>
  <si>
    <t>3325</t>
  </si>
  <si>
    <t>08/04/2019 14:27</t>
  </si>
  <si>
    <t>0LA8194471</t>
  </si>
  <si>
    <t>2021875</t>
  </si>
  <si>
    <t>08/04/2019 15:28</t>
  </si>
  <si>
    <t>0EX7382605</t>
  </si>
  <si>
    <t>2022319</t>
  </si>
  <si>
    <t>09/04/2019 10:30</t>
  </si>
  <si>
    <t>4-Entre 16 y 30</t>
  </si>
  <si>
    <t>2022429</t>
  </si>
  <si>
    <t>09/04/2019 12:59</t>
  </si>
  <si>
    <t>0XPN399496</t>
  </si>
  <si>
    <t>MORELOS 406 OTE</t>
  </si>
  <si>
    <t>2021423</t>
  </si>
  <si>
    <t>7845</t>
  </si>
  <si>
    <t>08/04/2019 08:33</t>
  </si>
  <si>
    <t>0MX4777373</t>
  </si>
  <si>
    <t>TECNOLOGIA DE ILUMINACION AUTOMOTRIZ SA DE CV</t>
  </si>
  <si>
    <t>AV DEL CHARRO No 1750 NTE</t>
  </si>
  <si>
    <t>2022521</t>
  </si>
  <si>
    <t>09/04/2019 14:37</t>
  </si>
  <si>
    <t>2022337</t>
  </si>
  <si>
    <t>09/04/2019 10:53</t>
  </si>
  <si>
    <t>2022461</t>
  </si>
  <si>
    <t>09/04/2019 13:11</t>
  </si>
  <si>
    <t>2022241</t>
  </si>
  <si>
    <t>0075</t>
  </si>
  <si>
    <t>09/04/2019 09:21</t>
  </si>
  <si>
    <t>0XU8464707</t>
  </si>
  <si>
    <t>2010007</t>
  </si>
  <si>
    <t>15/03/2019 17:09</t>
  </si>
  <si>
    <t>0VGW686533</t>
  </si>
  <si>
    <t>AV AMERICAS 15</t>
  </si>
  <si>
    <t>2019861</t>
  </si>
  <si>
    <t>04/04/2019 09:10</t>
  </si>
  <si>
    <t>0A4T557615</t>
  </si>
  <si>
    <t>2020079</t>
  </si>
  <si>
    <t>04/04/2019 13:06</t>
  </si>
  <si>
    <t>0C4X008558</t>
  </si>
  <si>
    <t>BLVD ANTONIO ROCHA CORDERO 700 INT D 3-4</t>
  </si>
  <si>
    <t>2022425</t>
  </si>
  <si>
    <t>09/04/2019 12:53</t>
  </si>
  <si>
    <t>0XPN548183</t>
  </si>
  <si>
    <t>AV MIRADOR 3300</t>
  </si>
  <si>
    <t>2022623</t>
  </si>
  <si>
    <t>09/04/2019 16:49</t>
  </si>
  <si>
    <t>0Y4X829447</t>
  </si>
  <si>
    <t>APTIV CONTRACT SERVICES TAMAULIPAS S DE RL DE CV</t>
  </si>
  <si>
    <t>SENDERO NACIONAL KM 3.5</t>
  </si>
  <si>
    <t>2022631</t>
  </si>
  <si>
    <t>09/04/2019 17:08</t>
  </si>
  <si>
    <t>2022635</t>
  </si>
  <si>
    <t>09/04/2019 17:21</t>
  </si>
  <si>
    <t>0C4X003297</t>
  </si>
  <si>
    <t>FERNANDO DE BORJA EDIFICIO Q CENTER No 913 A-PB</t>
  </si>
  <si>
    <t>2017903</t>
  </si>
  <si>
    <t>01/04/2019 09:05</t>
  </si>
  <si>
    <t>0BG0966721</t>
  </si>
  <si>
    <t>2022641</t>
  </si>
  <si>
    <t>09/04/2019 17:43</t>
  </si>
  <si>
    <t>0A4T562089</t>
  </si>
  <si>
    <t>2022815</t>
  </si>
  <si>
    <t>10/04/2019 08:32</t>
  </si>
  <si>
    <t>0MX4465095</t>
  </si>
  <si>
    <t>CARR MIGUEL ALEMAN OTE 4605</t>
  </si>
  <si>
    <t>GUADALUPE-NL</t>
  </si>
  <si>
    <t>2018371</t>
  </si>
  <si>
    <t>01/04/2019 17:39</t>
  </si>
  <si>
    <t>0BG2949273</t>
  </si>
  <si>
    <t>2021617</t>
  </si>
  <si>
    <t>08/04/2019 11:19</t>
  </si>
  <si>
    <t>0E2B651413</t>
  </si>
  <si>
    <t>AV CAMELINAS 2650</t>
  </si>
  <si>
    <t>2022441</t>
  </si>
  <si>
    <t>09/04/2019 13:08</t>
  </si>
  <si>
    <t>2019891</t>
  </si>
  <si>
    <t>5BT731387</t>
  </si>
  <si>
    <t>ASOC DE COLONOS DEL CONJUNTO URBANO LOS ROBLES AC</t>
  </si>
  <si>
    <t>AV INDEPENDENCIA 1000</t>
  </si>
  <si>
    <t>LERMA-MEX</t>
  </si>
  <si>
    <t>2022655</t>
  </si>
  <si>
    <t>09/04/2019 18:28</t>
  </si>
  <si>
    <t>0C4X003017</t>
  </si>
  <si>
    <t>TERCERA NTE 311</t>
  </si>
  <si>
    <t>CIUDAD DELICIAS-CHIH</t>
  </si>
  <si>
    <t>2022637</t>
  </si>
  <si>
    <t>09/04/2019 17:29</t>
  </si>
  <si>
    <t>9HB327127</t>
  </si>
  <si>
    <t>2021517</t>
  </si>
  <si>
    <t>08/04/2019 10:12</t>
  </si>
  <si>
    <t>0BG2941143</t>
  </si>
  <si>
    <t>BLV 15 DE SEP 4243</t>
  </si>
  <si>
    <t>NUEVO LAREDO-TAM</t>
  </si>
  <si>
    <t>2023039</t>
  </si>
  <si>
    <t>10/04/2019 12:43</t>
  </si>
  <si>
    <t>0EX7380352</t>
  </si>
  <si>
    <t>2022463</t>
  </si>
  <si>
    <t>09/04/2019 13:36</t>
  </si>
  <si>
    <t>2021987</t>
  </si>
  <si>
    <t>08/04/2019 19:58</t>
  </si>
  <si>
    <t>0XEL555336</t>
  </si>
  <si>
    <t>AV VENUSTIANO CARRANZA No 733</t>
  </si>
  <si>
    <t>2022519</t>
  </si>
  <si>
    <t>09/04/2019 14:35</t>
  </si>
  <si>
    <t>09HB320584</t>
  </si>
  <si>
    <t>AV. RIO CHUVISCAR SUR 1000</t>
  </si>
  <si>
    <t>2022431</t>
  </si>
  <si>
    <t>SR MANTENIMIENTO PREVENTIVO</t>
  </si>
  <si>
    <t>09/04/2019 13:01</t>
  </si>
  <si>
    <t>0VMA675216</t>
  </si>
  <si>
    <t>500053</t>
  </si>
  <si>
    <t>BLVD MIGUEL RAMOS ARIZPE 124 SUR</t>
  </si>
  <si>
    <t>Ramos Arizpe-COAH</t>
  </si>
  <si>
    <t>2022427</t>
  </si>
  <si>
    <t>09/04/2019 13:00</t>
  </si>
  <si>
    <t>0VMA675200</t>
  </si>
  <si>
    <t>2021417</t>
  </si>
  <si>
    <t>08/04/2019 08:29</t>
  </si>
  <si>
    <t>0BG2951638</t>
  </si>
  <si>
    <t>AV LOPEZ MATEOS SUR 1299</t>
  </si>
  <si>
    <t>2022965</t>
  </si>
  <si>
    <t>10/04/2019 11:08</t>
  </si>
  <si>
    <t>03AG877768</t>
  </si>
  <si>
    <t>PROLONGACION EZEQUIEL MONTES No 1</t>
  </si>
  <si>
    <t>2022875</t>
  </si>
  <si>
    <t>10/04/2019 09:47</t>
  </si>
  <si>
    <t>0EX7407186</t>
  </si>
  <si>
    <t>AV VALLE DEL CEDRO 1681</t>
  </si>
  <si>
    <t>2022335</t>
  </si>
  <si>
    <t>09/04/2019 10:52</t>
  </si>
  <si>
    <t>2022827</t>
  </si>
  <si>
    <t>10/04/2019 08:53</t>
  </si>
  <si>
    <t>0MX4505031</t>
  </si>
  <si>
    <t>CIRCUITO MEXICO No 125</t>
  </si>
  <si>
    <t>2023087</t>
  </si>
  <si>
    <t>10/04/2019 13:30</t>
  </si>
  <si>
    <t>0A2T200293</t>
  </si>
  <si>
    <t>CARR TEQUISQUIAPAN KM 3</t>
  </si>
  <si>
    <t>SAN JUAN DEL RIO-QRO</t>
  </si>
  <si>
    <t>2022939</t>
  </si>
  <si>
    <t>10/04/2019 10:54</t>
  </si>
  <si>
    <t>0E2B666229</t>
  </si>
  <si>
    <t>AV DE LAS TORRES No 2498</t>
  </si>
  <si>
    <t>2022981</t>
  </si>
  <si>
    <t>3226</t>
  </si>
  <si>
    <t>10/04/2019 11:31</t>
  </si>
  <si>
    <t>K8B485905</t>
  </si>
  <si>
    <t>RAMAG INDUSTRIAL SA DE CV</t>
  </si>
  <si>
    <t>AV HIDALGO No 108 INT D</t>
  </si>
  <si>
    <t>2023007</t>
  </si>
  <si>
    <t>10/04/2019 12:12</t>
  </si>
  <si>
    <t>0MX4766757</t>
  </si>
  <si>
    <t>2019593</t>
  </si>
  <si>
    <t>5230</t>
  </si>
  <si>
    <t>03/04/2019 16:18</t>
  </si>
  <si>
    <t>0LNX631348</t>
  </si>
  <si>
    <t>2021995</t>
  </si>
  <si>
    <t>08/04/2019 20:55</t>
  </si>
  <si>
    <t>0EX9662403</t>
  </si>
  <si>
    <t>2022805</t>
  </si>
  <si>
    <t>10/04/2019 08:22</t>
  </si>
  <si>
    <t>0BG2947152</t>
  </si>
  <si>
    <t>PATRIA 1937</t>
  </si>
  <si>
    <t>2021403</t>
  </si>
  <si>
    <t>08/04/2019 08:01</t>
  </si>
  <si>
    <t>2023107</t>
  </si>
  <si>
    <t>10/04/2019 13:51</t>
  </si>
  <si>
    <t>9HB326753</t>
  </si>
  <si>
    <t>EL GALLITO DE CONTROL RAMIREZ SA DE CV</t>
  </si>
  <si>
    <t>JUAREZ Y CUARTA NUM 63</t>
  </si>
  <si>
    <t>MATAMOROS-TAM</t>
  </si>
  <si>
    <t>2018849</t>
  </si>
  <si>
    <t>02/04/2019 11:54</t>
  </si>
  <si>
    <t>0UHA001710</t>
  </si>
  <si>
    <t>FOCOMSA SA DE CV</t>
  </si>
  <si>
    <t>AV VICENTE GUERRERO NTE 3240</t>
  </si>
  <si>
    <t>2022473</t>
  </si>
  <si>
    <t>09/04/2019 13:53</t>
  </si>
  <si>
    <t>02TX061945</t>
  </si>
  <si>
    <t>2021911</t>
  </si>
  <si>
    <t>08/04/2019 16:15</t>
  </si>
  <si>
    <t>0BG2951480</t>
  </si>
  <si>
    <t>2018719</t>
  </si>
  <si>
    <t>02/04/2019 09:40</t>
  </si>
  <si>
    <t>0D6X458381</t>
  </si>
  <si>
    <t>2022581</t>
  </si>
  <si>
    <t>09/04/2019 16:00</t>
  </si>
  <si>
    <t>0XLT278481</t>
  </si>
  <si>
    <t>2023441</t>
  </si>
  <si>
    <t>11/04/2019 09:17</t>
  </si>
  <si>
    <t>2023015</t>
  </si>
  <si>
    <t>10/04/2019 12:20</t>
  </si>
  <si>
    <t>0X76372692</t>
  </si>
  <si>
    <t>BIO PAPPEL SCRIBE SA DE CV</t>
  </si>
  <si>
    <t>AV CENTRAL DR RAFAEL AYALA ECHEVERRIA KM 0.2</t>
  </si>
  <si>
    <t>San Juan Del Rio-QRO</t>
  </si>
  <si>
    <t>2022807</t>
  </si>
  <si>
    <t>10/04/2019 08:24</t>
  </si>
  <si>
    <t>0BG2939652</t>
  </si>
  <si>
    <t>2023215</t>
  </si>
  <si>
    <t>10/04/2019 16:39</t>
  </si>
  <si>
    <t>0A4T558166</t>
  </si>
  <si>
    <t>2023011</t>
  </si>
  <si>
    <t>10/04/2019 12:16</t>
  </si>
  <si>
    <t>0C7X273362</t>
  </si>
  <si>
    <t>2022615</t>
  </si>
  <si>
    <t>09/04/2019 16:26</t>
  </si>
  <si>
    <t>0Y4X826231</t>
  </si>
  <si>
    <t>2023397</t>
  </si>
  <si>
    <t>11/04/2019 08:25</t>
  </si>
  <si>
    <t>0E2B656940</t>
  </si>
  <si>
    <t>BLV ALFREDO DEL MAZO 805</t>
  </si>
  <si>
    <t>2020203</t>
  </si>
  <si>
    <t>04/04/2019 17:10</t>
  </si>
  <si>
    <t>2021591</t>
  </si>
  <si>
    <t>08/04/2019 11:03</t>
  </si>
  <si>
    <t>0D6X464217</t>
  </si>
  <si>
    <t>DART SA DE CV</t>
  </si>
  <si>
    <t>RODOLFO PADRON No 9</t>
  </si>
  <si>
    <t>2023465</t>
  </si>
  <si>
    <t>11/04/2019 09:58</t>
  </si>
  <si>
    <t>09HB333616</t>
  </si>
  <si>
    <t>ALTOS HORNOS 2966</t>
  </si>
  <si>
    <t>2023313</t>
  </si>
  <si>
    <t>10/04/2019 20:54</t>
  </si>
  <si>
    <t>0E2B106687</t>
  </si>
  <si>
    <t>AV VENUSTIANO CARRANZA 2301</t>
  </si>
  <si>
    <t>2022795</t>
  </si>
  <si>
    <t>10/04/2019 07:40</t>
  </si>
  <si>
    <t>0VMA675199</t>
  </si>
  <si>
    <t>2023391</t>
  </si>
  <si>
    <t>11/04/2019 08:12</t>
  </si>
  <si>
    <t>0A1H020683</t>
  </si>
  <si>
    <t>2022797</t>
  </si>
  <si>
    <t>0VMA558280</t>
  </si>
  <si>
    <t>2023515</t>
  </si>
  <si>
    <t>11/04/2019 10:51</t>
  </si>
  <si>
    <t>0C4X011210</t>
  </si>
  <si>
    <t>AV RUBEN DARIO No 750</t>
  </si>
  <si>
    <t>2022803</t>
  </si>
  <si>
    <t>10/04/2019 08:08</t>
  </si>
  <si>
    <t>0BG2946786</t>
  </si>
  <si>
    <t>2022811</t>
  </si>
  <si>
    <t>10/04/2019 08:27</t>
  </si>
  <si>
    <t>2022841</t>
  </si>
  <si>
    <t>10/04/2019 09:15</t>
  </si>
  <si>
    <t>0BG2949219</t>
  </si>
  <si>
    <t>FELIPE SEVILLA DEL RIO 115</t>
  </si>
  <si>
    <t>COLIMA-COL</t>
  </si>
  <si>
    <t>2021749</t>
  </si>
  <si>
    <t>08/04/2019 13:04</t>
  </si>
  <si>
    <t>0C4X006407</t>
  </si>
  <si>
    <t>2023461</t>
  </si>
  <si>
    <t>11/04/2019 10:02</t>
  </si>
  <si>
    <t>0X76705839</t>
  </si>
  <si>
    <t>2023311</t>
  </si>
  <si>
    <t>10/04/2019 20:52</t>
  </si>
  <si>
    <t>0EX9293483</t>
  </si>
  <si>
    <t>2022509</t>
  </si>
  <si>
    <t>09/04/2019 14:28</t>
  </si>
  <si>
    <t>09HB328227</t>
  </si>
  <si>
    <t>2023105</t>
  </si>
  <si>
    <t>09HB320532</t>
  </si>
  <si>
    <t>HIDALGO 213 NORTE ESQ MAINERO</t>
  </si>
  <si>
    <t>CIUDAD MANTE-TAM</t>
  </si>
  <si>
    <t>2021915</t>
  </si>
  <si>
    <t>7225</t>
  </si>
  <si>
    <t>08/04/2019 16:34</t>
  </si>
  <si>
    <t>0LX5822381</t>
  </si>
  <si>
    <t>VIALIDAD TABALAOPA 8507</t>
  </si>
  <si>
    <t>2021539</t>
  </si>
  <si>
    <t>08/04/2019 10:28</t>
  </si>
  <si>
    <t>0D6X462113</t>
  </si>
  <si>
    <t>2023503</t>
  </si>
  <si>
    <t>11/04/2019 10:40</t>
  </si>
  <si>
    <t>0D6X457987</t>
  </si>
  <si>
    <t>2023521</t>
  </si>
  <si>
    <t>11/04/2019 10:57</t>
  </si>
  <si>
    <t>2023281</t>
  </si>
  <si>
    <t>10/04/2019 17:36</t>
  </si>
  <si>
    <t>2023439</t>
  </si>
  <si>
    <t>11/04/2019 09:07</t>
  </si>
  <si>
    <t>03BT801958</t>
  </si>
  <si>
    <t>2023457</t>
  </si>
  <si>
    <t>11/04/2019 09:33</t>
  </si>
  <si>
    <t>09HB318209</t>
  </si>
  <si>
    <t>JUSTO SIERRA 340 OTE</t>
  </si>
  <si>
    <t>2022219</t>
  </si>
  <si>
    <t>5337</t>
  </si>
  <si>
    <t>09/04/2019 08:27</t>
  </si>
  <si>
    <t>0AE9566556</t>
  </si>
  <si>
    <t>2022221</t>
  </si>
  <si>
    <t>09/04/2019 08:31</t>
  </si>
  <si>
    <t>0A4T562600</t>
  </si>
  <si>
    <t>FLEXTRONICS INTEGRATED SERVICES MEX S DE RL DE CV</t>
  </si>
  <si>
    <t>CARRETERA BASE AEREA No 5850 INT 4</t>
  </si>
  <si>
    <t>2023497</t>
  </si>
  <si>
    <t>11/04/2019 10:33</t>
  </si>
  <si>
    <t>0A2T382394</t>
  </si>
  <si>
    <t>AV VICTOR HUGO No 11517</t>
  </si>
  <si>
    <t>2023573</t>
  </si>
  <si>
    <t>11/04/2019 11:52</t>
  </si>
  <si>
    <t>0RXD142390</t>
  </si>
  <si>
    <t>2022443</t>
  </si>
  <si>
    <t>09/04/2019 13:07</t>
  </si>
  <si>
    <t>03AG873545</t>
  </si>
  <si>
    <t>2023563</t>
  </si>
  <si>
    <t>11/04/2019 11:44</t>
  </si>
  <si>
    <t>0BB1252025</t>
  </si>
  <si>
    <t>2023571</t>
  </si>
  <si>
    <t>11/04/2019 11:50</t>
  </si>
  <si>
    <t>0PW4792201</t>
  </si>
  <si>
    <t>AV ANTONIO J BERMUDEZ No 1230</t>
  </si>
  <si>
    <t>2022585</t>
  </si>
  <si>
    <t>0A2T370560</t>
  </si>
  <si>
    <t>AV HEROICO COLEGIO MILITAR No 4700</t>
  </si>
  <si>
    <t>2022481</t>
  </si>
  <si>
    <t>09/04/2019 14:00</t>
  </si>
  <si>
    <t>2022539</t>
  </si>
  <si>
    <t>09/04/2019 15:13</t>
  </si>
  <si>
    <t>0Y4X842988</t>
  </si>
  <si>
    <t>2023567</t>
  </si>
  <si>
    <t>11/04/2019 11:45</t>
  </si>
  <si>
    <t>09HB331385</t>
  </si>
  <si>
    <t>000207</t>
  </si>
  <si>
    <t>2022475</t>
  </si>
  <si>
    <t>0BG0966723</t>
  </si>
  <si>
    <t>AV. AMERICAS No. 655</t>
  </si>
  <si>
    <t>2022477</t>
  </si>
  <si>
    <t>09/04/2019 13:57</t>
  </si>
  <si>
    <t>2019929</t>
  </si>
  <si>
    <t>04/04/2019 10:32</t>
  </si>
  <si>
    <t>0A2T199940</t>
  </si>
  <si>
    <t>Blvd Aeropuerto Miguel Aleman No 164 Bodega 1</t>
  </si>
  <si>
    <t>2023723</t>
  </si>
  <si>
    <t>11/04/2019 15:04</t>
  </si>
  <si>
    <t>05BT705082</t>
  </si>
  <si>
    <t>CIA SHERWIN WILLIAMS SA DE CV</t>
  </si>
  <si>
    <t>AV CHAPULTEPEC No 1931</t>
  </si>
  <si>
    <t>2020971</t>
  </si>
  <si>
    <t>06/04/2019 10:18</t>
  </si>
  <si>
    <t>2021967</t>
  </si>
  <si>
    <t>08/04/2019 18:02</t>
  </si>
  <si>
    <t>0Y2B003354</t>
  </si>
  <si>
    <t>2022943</t>
  </si>
  <si>
    <t>10/04/2019 10:57</t>
  </si>
  <si>
    <t>0E2B658299</t>
  </si>
  <si>
    <t>2023681</t>
  </si>
  <si>
    <t>11/04/2019 13:51</t>
  </si>
  <si>
    <t>0X76373107</t>
  </si>
  <si>
    <t>DOMICILIO CONOCIDO</t>
  </si>
  <si>
    <t>2023655</t>
  </si>
  <si>
    <t>11/04/2019 13:22</t>
  </si>
  <si>
    <t>0Y4X821406</t>
  </si>
  <si>
    <t>AV PRINCIPAL No 1420</t>
  </si>
  <si>
    <t>2014441</t>
  </si>
  <si>
    <t>25/03/2019 10:01</t>
  </si>
  <si>
    <t>09HB916006</t>
  </si>
  <si>
    <t>2023749</t>
  </si>
  <si>
    <t>8070</t>
  </si>
  <si>
    <t>11/04/2019 15:24</t>
  </si>
  <si>
    <t>06TB445692</t>
  </si>
  <si>
    <t>EFMA Y ASOCIADOS SC</t>
  </si>
  <si>
    <t>AV ESPA&amp;A No 1809</t>
  </si>
  <si>
    <t>2023787</t>
  </si>
  <si>
    <t>11/04/2019 16:27</t>
  </si>
  <si>
    <t>0X76707969</t>
  </si>
  <si>
    <t>SANOFI AVENTIS DE MEXICO SA DE CV</t>
  </si>
  <si>
    <t>ACUEDUCTO DEL ALTO LERMA No 2</t>
  </si>
  <si>
    <t>TOLUCA-ESTADO DE MEX</t>
  </si>
  <si>
    <t>2023691</t>
  </si>
  <si>
    <t>3615</t>
  </si>
  <si>
    <t>11/04/2019 14:05</t>
  </si>
  <si>
    <t>0A2T367031</t>
  </si>
  <si>
    <t>2024037</t>
  </si>
  <si>
    <t>12/04/2019 08:49</t>
  </si>
  <si>
    <t>0XEL566166</t>
  </si>
  <si>
    <t>BLV HIDALGO Y FUENTE DE DIANA SN</t>
  </si>
  <si>
    <t>REYNOSA-TAM</t>
  </si>
  <si>
    <t>2023195</t>
  </si>
  <si>
    <t>10/04/2019 15:41</t>
  </si>
  <si>
    <t>0LA6297372</t>
  </si>
  <si>
    <t>RITA PEREZ DE MORENO 507</t>
  </si>
  <si>
    <t>2023771</t>
  </si>
  <si>
    <t>11/04/2019 16:17</t>
  </si>
  <si>
    <t>2022891</t>
  </si>
  <si>
    <t>10/04/2019 10:11</t>
  </si>
  <si>
    <t>0XLT280340</t>
  </si>
  <si>
    <t>FRESNEL Y FARENHEIT 8525</t>
  </si>
  <si>
    <t>2023783</t>
  </si>
  <si>
    <t>11/04/2019 16:28</t>
  </si>
  <si>
    <t>0Y4X832131</t>
  </si>
  <si>
    <t>M3 CODICE INTEGRAL SA DE CV</t>
  </si>
  <si>
    <t>AV ADOLF HORN No 6800</t>
  </si>
  <si>
    <t>2020977</t>
  </si>
  <si>
    <t>06/04/2019 12:09</t>
  </si>
  <si>
    <t>9HB333175</t>
  </si>
  <si>
    <t>HORTICULTURA Y AGUACATES SELECTOS SPR DE LR DE CV</t>
  </si>
  <si>
    <t>16 DE SEPTIEMBRE 239-B</t>
  </si>
  <si>
    <t>LOS REYES DE SALGADO</t>
  </si>
  <si>
    <t>2022593</t>
  </si>
  <si>
    <t>09/04/2019 16:08</t>
  </si>
  <si>
    <t>0C7X239180</t>
  </si>
  <si>
    <t>2021503</t>
  </si>
  <si>
    <t>08/04/2019 09:59</t>
  </si>
  <si>
    <t>2021631</t>
  </si>
  <si>
    <t>8301</t>
  </si>
  <si>
    <t>08/04/2019 11:37</t>
  </si>
  <si>
    <t>001161065</t>
  </si>
  <si>
    <t>TENIENTE JOSE ESPINOZA FUENTES S/N ENTRE AV DECIMA</t>
  </si>
  <si>
    <t>2024073</t>
  </si>
  <si>
    <t>12/04/2019 09:33</t>
  </si>
  <si>
    <t>0BB1252169</t>
  </si>
  <si>
    <t>2024099</t>
  </si>
  <si>
    <t>12/04/2019 09:53</t>
  </si>
  <si>
    <t>09HB320557</t>
  </si>
  <si>
    <t>AV DE LAS INDUSTRIAS 5907</t>
  </si>
  <si>
    <t>2024163</t>
  </si>
  <si>
    <t>12/04/2019 11:32</t>
  </si>
  <si>
    <t>06HB015876</t>
  </si>
  <si>
    <t>2023653</t>
  </si>
  <si>
    <t>11/04/2019 13:17</t>
  </si>
  <si>
    <t>0BG2948884</t>
  </si>
  <si>
    <t>DIAGONAL REFORMA No 2407</t>
  </si>
  <si>
    <t>2022363</t>
  </si>
  <si>
    <t>09/04/2019 11:26</t>
  </si>
  <si>
    <t>0E2B654119</t>
  </si>
  <si>
    <t>AV FRANCISCO I MADERO 403 SUR</t>
  </si>
  <si>
    <t>CIUDAD MADERO-TAM</t>
  </si>
  <si>
    <t>2019539</t>
  </si>
  <si>
    <t>03/04/2019 14:32</t>
  </si>
  <si>
    <t>0C7X246832</t>
  </si>
  <si>
    <t>ADOLFO LOPEZ MATEOS MZ 3 LT 1 LOCAL 1</t>
  </si>
  <si>
    <t>2023745</t>
  </si>
  <si>
    <t>11/04/2019 15:22</t>
  </si>
  <si>
    <t>2023741</t>
  </si>
  <si>
    <t>4625</t>
  </si>
  <si>
    <t>11/04/2019 15:19</t>
  </si>
  <si>
    <t>0D6X468370</t>
  </si>
  <si>
    <t>CIRCUITO MEXICO No 145</t>
  </si>
  <si>
    <t>2024093</t>
  </si>
  <si>
    <t>12/04/2019 09:49</t>
  </si>
  <si>
    <t>2023565</t>
  </si>
  <si>
    <t>11/04/2019 11:46</t>
  </si>
  <si>
    <t>0XLT269172</t>
  </si>
  <si>
    <t>2024181</t>
  </si>
  <si>
    <t>12/04/2019 12:09</t>
  </si>
  <si>
    <t>0A1H020874</t>
  </si>
  <si>
    <t>FRESNO 1161</t>
  </si>
  <si>
    <t>2021589</t>
  </si>
  <si>
    <t>08/04/2019 10:59</t>
  </si>
  <si>
    <t>0EX9282798</t>
  </si>
  <si>
    <t>2023405</t>
  </si>
  <si>
    <t>11/04/2019 08:42</t>
  </si>
  <si>
    <t>06HB006625</t>
  </si>
  <si>
    <t>JOSE PEDRO ESPINOZA ELIZONDO</t>
  </si>
  <si>
    <t>FLAMINGO No 110</t>
  </si>
  <si>
    <t>San Nicolas De Los G</t>
  </si>
  <si>
    <t>2023401</t>
  </si>
  <si>
    <t>11/04/2019 08:32</t>
  </si>
  <si>
    <t>0BG2951663</t>
  </si>
  <si>
    <t>2023141</t>
  </si>
  <si>
    <t>10/04/2019 14:40</t>
  </si>
  <si>
    <t>0E2B654128</t>
  </si>
  <si>
    <t>AV AMERICAS No 655</t>
  </si>
  <si>
    <t>2023033</t>
  </si>
  <si>
    <t>8046</t>
  </si>
  <si>
    <t>10/04/2019 12:37</t>
  </si>
  <si>
    <t>08TB572617</t>
  </si>
  <si>
    <t>2022887</t>
  </si>
  <si>
    <t>10/04/2019 10:03</t>
  </si>
  <si>
    <t>0MX4742856</t>
  </si>
  <si>
    <t>8102 AV MIGUEL DE LA MADRID</t>
  </si>
  <si>
    <t>Juarez-CHIH</t>
  </si>
  <si>
    <t>2022817</t>
  </si>
  <si>
    <t>10/04/2019 08:38</t>
  </si>
  <si>
    <t>09HB918111</t>
  </si>
  <si>
    <t>AV CENTRAL No 380</t>
  </si>
  <si>
    <t>2022523</t>
  </si>
  <si>
    <t>0C4X006153</t>
  </si>
  <si>
    <t>AV TECNOLOGICO No.  1770  INT.  4  PLAZA  GALERIAS</t>
  </si>
  <si>
    <t>2024199</t>
  </si>
  <si>
    <t>12/04/2019 12:28</t>
  </si>
  <si>
    <t>2023983</t>
  </si>
  <si>
    <t>12/04/2019 07:49</t>
  </si>
  <si>
    <t>2023985</t>
  </si>
  <si>
    <t>12/04/2019 07:51</t>
  </si>
  <si>
    <t>2024159</t>
  </si>
  <si>
    <t>12/04/2019 11:23</t>
  </si>
  <si>
    <t>09HB320824</t>
  </si>
  <si>
    <t>TOPO CHICO 151</t>
  </si>
  <si>
    <t>2024177</t>
  </si>
  <si>
    <t>12/04/2019 12:07</t>
  </si>
  <si>
    <t>03BT802581</t>
  </si>
  <si>
    <t>BLVD HIDALGO ESQUINA PADRE MIER 2do PISO</t>
  </si>
  <si>
    <t>2024179</t>
  </si>
  <si>
    <t>12/04/2019 12:04</t>
  </si>
  <si>
    <t>0C4X003927</t>
  </si>
  <si>
    <t>HERMANOS ESCOBAR 3515</t>
  </si>
  <si>
    <t>2024171</t>
  </si>
  <si>
    <t>12/04/2019 11:56</t>
  </si>
  <si>
    <t>0X76370965</t>
  </si>
  <si>
    <t>AV DE LAS INDUSTRIAS S/N</t>
  </si>
  <si>
    <t>2024299</t>
  </si>
  <si>
    <t>12/04/2019 16:25</t>
  </si>
  <si>
    <t>2023791</t>
  </si>
  <si>
    <t>11/04/2019 16:32</t>
  </si>
  <si>
    <t>0XPN399404</t>
  </si>
  <si>
    <t>2024043</t>
  </si>
  <si>
    <t>12/04/2019 08:59</t>
  </si>
  <si>
    <t>002411031</t>
  </si>
  <si>
    <t>PROL EZEQUIEL MONTES 1</t>
  </si>
  <si>
    <t>2023817</t>
  </si>
  <si>
    <t>11/04/2019 16:47</t>
  </si>
  <si>
    <t>0A1H022401</t>
  </si>
  <si>
    <t>BLVD ENCUESTRE MZA 1 LTE 1 LOCAL 14</t>
  </si>
  <si>
    <t>2024241</t>
  </si>
  <si>
    <t>12/04/2019 13:58</t>
  </si>
  <si>
    <t>0A1H020707</t>
  </si>
  <si>
    <t>2024293</t>
  </si>
  <si>
    <t>12/04/2019 15:57</t>
  </si>
  <si>
    <t>0Y4X848752</t>
  </si>
  <si>
    <t>CALLE 7 No 1308</t>
  </si>
  <si>
    <t>2015829</t>
  </si>
  <si>
    <t>27/03/2019 11:40</t>
  </si>
  <si>
    <t>2022325</t>
  </si>
  <si>
    <t>09/04/2019 10:40</t>
  </si>
  <si>
    <t>2024281</t>
  </si>
  <si>
    <t>12/04/2019 14:57</t>
  </si>
  <si>
    <t>0BG0972350</t>
  </si>
  <si>
    <t>2022975</t>
  </si>
  <si>
    <t>10/04/2019 11:29</t>
  </si>
  <si>
    <t>0C7X246842</t>
  </si>
  <si>
    <t>LERDO DE TEJADA No 2007 PB</t>
  </si>
  <si>
    <t>2024375</t>
  </si>
  <si>
    <t>13/04/2019 16:34</t>
  </si>
  <si>
    <t>0BG2950141</t>
  </si>
  <si>
    <t>2022999</t>
  </si>
  <si>
    <t>10/04/2019 12:05</t>
  </si>
  <si>
    <t>0EX9297705</t>
  </si>
  <si>
    <t>2024377</t>
  </si>
  <si>
    <t>13/04/2019 16:37</t>
  </si>
  <si>
    <t>2024331</t>
  </si>
  <si>
    <t>12/04/2019 19:38</t>
  </si>
  <si>
    <t>2024807</t>
  </si>
  <si>
    <t>15/04/2019 08:37</t>
  </si>
  <si>
    <t>0BG2947147</t>
  </si>
  <si>
    <t>2024791</t>
  </si>
  <si>
    <t>15/04/2019 08:07</t>
  </si>
  <si>
    <t>0BG2947509</t>
  </si>
  <si>
    <t>2024297</t>
  </si>
  <si>
    <t>12/04/2019 14:44</t>
  </si>
  <si>
    <t>0X76707644</t>
  </si>
  <si>
    <t>2021419</t>
  </si>
  <si>
    <t>08/04/2019 08:32</t>
  </si>
  <si>
    <t>0E2B646574</t>
  </si>
  <si>
    <t>2018971</t>
  </si>
  <si>
    <t>02/04/2019 15:02</t>
  </si>
  <si>
    <t>0EX7397457</t>
  </si>
  <si>
    <t>2023705</t>
  </si>
  <si>
    <t>7546</t>
  </si>
  <si>
    <t>11/04/2019 14:29</t>
  </si>
  <si>
    <t>0XKP536906</t>
  </si>
  <si>
    <t>2024871</t>
  </si>
  <si>
    <t>15/04/2019 09:39</t>
  </si>
  <si>
    <t>09HB916191</t>
  </si>
  <si>
    <t>NI&amp;OS HEROES No 1107 ESQUINA CALLE 13 PISO 2</t>
  </si>
  <si>
    <t>2024157</t>
  </si>
  <si>
    <t>12/04/2019 11:05</t>
  </si>
  <si>
    <t>2024869</t>
  </si>
  <si>
    <t>15/04/2019 09:36</t>
  </si>
  <si>
    <t>2024989</t>
  </si>
  <si>
    <t>15/04/2019 11:32</t>
  </si>
  <si>
    <t>0A1H022210</t>
  </si>
  <si>
    <t>2015699</t>
  </si>
  <si>
    <t>27/03/2019 09:18</t>
  </si>
  <si>
    <t>0BG2947932</t>
  </si>
  <si>
    <t>EZEQUIEL MONTES 8</t>
  </si>
  <si>
    <t>2024307</t>
  </si>
  <si>
    <t>12/04/2019 16:56</t>
  </si>
  <si>
    <t>0Y4X831638</t>
  </si>
  <si>
    <t>PREDIO SANTO TOMAS SN</t>
  </si>
  <si>
    <t>2021709</t>
  </si>
  <si>
    <t>08/04/2019 12:33</t>
  </si>
  <si>
    <t>4-5 días</t>
  </si>
  <si>
    <t>2025047</t>
  </si>
  <si>
    <t>15/04/2019 12:29</t>
  </si>
  <si>
    <t>0E2B654080</t>
  </si>
  <si>
    <t>ANILLO VIAL II JUNIPERO SERRA NO. 21260 PAD.5 CENT</t>
  </si>
  <si>
    <t>2024983</t>
  </si>
  <si>
    <t>15/04/2019 11:26</t>
  </si>
  <si>
    <t>2023089</t>
  </si>
  <si>
    <t>10/04/2019 13:32</t>
  </si>
  <si>
    <t>08TB572633</t>
  </si>
  <si>
    <t>2023763</t>
  </si>
  <si>
    <t>11/04/2019 15:53</t>
  </si>
  <si>
    <t>2024951</t>
  </si>
  <si>
    <t>15/04/2019 10:30</t>
  </si>
  <si>
    <t>0BG0973607</t>
  </si>
  <si>
    <t>2022551</t>
  </si>
  <si>
    <t>09/04/2019 15:18</t>
  </si>
  <si>
    <t>2023829</t>
  </si>
  <si>
    <t>11/04/2019 17:15</t>
  </si>
  <si>
    <t>0A1H022378</t>
  </si>
  <si>
    <t>2016181</t>
  </si>
  <si>
    <t>28/03/2019 06:26</t>
  </si>
  <si>
    <t>0BG2951627</t>
  </si>
  <si>
    <t>AV REFORMA 4243</t>
  </si>
  <si>
    <t>2024053</t>
  </si>
  <si>
    <t>12/04/2019 09:12</t>
  </si>
  <si>
    <t>2024585</t>
  </si>
  <si>
    <t>14/04/2019 17:55</t>
  </si>
  <si>
    <t>2025147</t>
  </si>
  <si>
    <t>15/04/2019 14:21</t>
  </si>
  <si>
    <t>0D6X463381</t>
  </si>
  <si>
    <t>2024587</t>
  </si>
  <si>
    <t>14/04/2019 17:57</t>
  </si>
  <si>
    <t>0EX9293387</t>
  </si>
  <si>
    <t>2023785</t>
  </si>
  <si>
    <t>11/04/2019 16:29</t>
  </si>
  <si>
    <t>0BG2956818</t>
  </si>
  <si>
    <t>2024109</t>
  </si>
  <si>
    <t>12/04/2019 10:10</t>
  </si>
  <si>
    <t>2024931</t>
  </si>
  <si>
    <t>15/04/2019 10:22</t>
  </si>
  <si>
    <t>2025011</t>
  </si>
  <si>
    <t>15/04/2019 11:48</t>
  </si>
  <si>
    <t>2024825</t>
  </si>
  <si>
    <t>15/04/2019 09:01</t>
  </si>
  <si>
    <t>09HB331352</t>
  </si>
  <si>
    <t>2025085</t>
  </si>
  <si>
    <t>15/04/2019 12:58</t>
  </si>
  <si>
    <t>09HB328042</t>
  </si>
  <si>
    <t>KIMBERLY CLARK DE MEXICO SA B DE CV</t>
  </si>
  <si>
    <t>BLVD GUADALUPE No 403</t>
  </si>
  <si>
    <t>2024891</t>
  </si>
  <si>
    <t>15/04/2019 10:00</t>
  </si>
  <si>
    <t>2025199</t>
  </si>
  <si>
    <t>15/04/2019 15:01</t>
  </si>
  <si>
    <t>0C7X246884</t>
  </si>
  <si>
    <t>2021985</t>
  </si>
  <si>
    <t>08/04/2019 19:56</t>
  </si>
  <si>
    <t>0BG2949279</t>
  </si>
  <si>
    <t>2021865</t>
  </si>
  <si>
    <t>08/04/2019 15:15</t>
  </si>
  <si>
    <t>0A1H020640</t>
  </si>
  <si>
    <t>2025203</t>
  </si>
  <si>
    <t>15/04/2019 15:02</t>
  </si>
  <si>
    <t>2025207</t>
  </si>
  <si>
    <t>15/04/2019 15:04</t>
  </si>
  <si>
    <t>0C7X246857</t>
  </si>
  <si>
    <t>2025139</t>
  </si>
  <si>
    <t>15/04/2019 14:10</t>
  </si>
  <si>
    <t>0A1H022530</t>
  </si>
  <si>
    <t>2025213</t>
  </si>
  <si>
    <t>15/04/2019 15:11</t>
  </si>
  <si>
    <t>2025091</t>
  </si>
  <si>
    <t>15/04/2019 13:05</t>
  </si>
  <si>
    <t>07CX042311</t>
  </si>
  <si>
    <t>2025167</t>
  </si>
  <si>
    <t>6203</t>
  </si>
  <si>
    <t>15/04/2019 14:40</t>
  </si>
  <si>
    <t>0AGD461521</t>
  </si>
  <si>
    <t>BLV FELIPE PESCADOR 1902 ESQ PEDRO</t>
  </si>
  <si>
    <t>2019469</t>
  </si>
  <si>
    <t>03/04/2019 13:01</t>
  </si>
  <si>
    <t>0Y4X827535</t>
  </si>
  <si>
    <t>2023399</t>
  </si>
  <si>
    <t>11/04/2019 08:29</t>
  </si>
  <si>
    <t>0BG2948808</t>
  </si>
  <si>
    <t>2025233</t>
  </si>
  <si>
    <t>15/04/2019 15:30</t>
  </si>
  <si>
    <t>0D6X459986</t>
  </si>
  <si>
    <t>CENTRO ITURBIDE No 6970</t>
  </si>
  <si>
    <t>2015479</t>
  </si>
  <si>
    <t>26/03/2019 16:46</t>
  </si>
  <si>
    <t>0A2T370631</t>
  </si>
  <si>
    <t>CARRETERA SAN LUIS POTOSI OJUELOS No 1510</t>
  </si>
  <si>
    <t>2025225</t>
  </si>
  <si>
    <t>15/04/2019 15:21</t>
  </si>
  <si>
    <t>0XPN397750</t>
  </si>
  <si>
    <t>LIBRAMIENTO JOSE MANUEL ZAVALA 165</t>
  </si>
  <si>
    <t>SAN MIGUEL DE ALLEND</t>
  </si>
  <si>
    <t>2023463</t>
  </si>
  <si>
    <t>11/04/2019 10:03</t>
  </si>
  <si>
    <t>0X76703918</t>
  </si>
  <si>
    <t>CONDUENT DE MEXICO SA DE CV</t>
  </si>
  <si>
    <t>AV DE LAS TORRES No 2170</t>
  </si>
  <si>
    <t>2025131</t>
  </si>
  <si>
    <t>15/04/2019 14:03</t>
  </si>
  <si>
    <t>0Y4X842970</t>
  </si>
  <si>
    <t>2025323</t>
  </si>
  <si>
    <t>15/04/2019 19:12</t>
  </si>
  <si>
    <t>0EX9664404</t>
  </si>
  <si>
    <t>2024275</t>
  </si>
  <si>
    <t>03AG879544</t>
  </si>
  <si>
    <t>MARIANO OTERO No 1614</t>
  </si>
  <si>
    <t>2025065</t>
  </si>
  <si>
    <t>15/04/2019 12:40</t>
  </si>
  <si>
    <t>0AE9551066</t>
  </si>
  <si>
    <t>2025313</t>
  </si>
  <si>
    <t>15/04/2019 18:08</t>
  </si>
  <si>
    <t>001021065</t>
  </si>
  <si>
    <t>AVENIDA PARQUE VIA 198</t>
  </si>
  <si>
    <t>CUAUHTEMOC-CIUDAD DE</t>
  </si>
  <si>
    <t>2025605</t>
  </si>
  <si>
    <t>16/04/2019 11:36</t>
  </si>
  <si>
    <t>0X76371424</t>
  </si>
  <si>
    <t>PRICEWATERHOUSECOOPERS SC</t>
  </si>
  <si>
    <t>AV PROLONGACION AMERICAS NO 1905 PISO 8</t>
  </si>
  <si>
    <t>2025459</t>
  </si>
  <si>
    <t>16/04/2019 09:15</t>
  </si>
  <si>
    <t>0A4T554111</t>
  </si>
  <si>
    <t>2025629</t>
  </si>
  <si>
    <t>16/04/2019 11:55</t>
  </si>
  <si>
    <t>0C4X003106</t>
  </si>
  <si>
    <t>AV EJERCITO NACIONAL 2926-A2</t>
  </si>
  <si>
    <t>2012931</t>
  </si>
  <si>
    <t>21/03/2019 12:57</t>
  </si>
  <si>
    <t>08TB592525</t>
  </si>
  <si>
    <t>2025463</t>
  </si>
  <si>
    <t>16/04/2019 09:18</t>
  </si>
  <si>
    <t>0EX9293121</t>
  </si>
  <si>
    <t>AV DE LAS TORRES 2498</t>
  </si>
  <si>
    <t>2025237</t>
  </si>
  <si>
    <t>15/04/2019 15:35</t>
  </si>
  <si>
    <t>0D6X459991</t>
  </si>
  <si>
    <t>2025661</t>
  </si>
  <si>
    <t>16/04/2019 12:43</t>
  </si>
  <si>
    <t>09HB331492</t>
  </si>
  <si>
    <t>EPSILON No 101</t>
  </si>
  <si>
    <t>2024837</t>
  </si>
  <si>
    <t>15/04/2019 09:06</t>
  </si>
  <si>
    <t>0C4X011365</t>
  </si>
  <si>
    <t>AV RIO NILO 1000</t>
  </si>
  <si>
    <t>2021739</t>
  </si>
  <si>
    <t>08/04/2019 13:00</t>
  </si>
  <si>
    <t>0E2B666074</t>
  </si>
  <si>
    <t>2025297</t>
  </si>
  <si>
    <t>15/04/2019 17:02</t>
  </si>
  <si>
    <t>2025317</t>
  </si>
  <si>
    <t>15/04/2019 18:33</t>
  </si>
  <si>
    <t>0EX9665373</t>
  </si>
  <si>
    <t>2024867</t>
  </si>
  <si>
    <t>2025567</t>
  </si>
  <si>
    <t>16/04/2019 10:55</t>
  </si>
  <si>
    <t>500168</t>
  </si>
  <si>
    <t>2016037</t>
  </si>
  <si>
    <t>SR VISITA DE CORTESIA</t>
  </si>
  <si>
    <t>7010</t>
  </si>
  <si>
    <t>27/03/2019 16:42</t>
  </si>
  <si>
    <t>7TX135776</t>
  </si>
  <si>
    <t>COBERZA S DE RL DE CV</t>
  </si>
  <si>
    <t>CARR. ZAMORA MORELIA No 45</t>
  </si>
  <si>
    <t>2025209</t>
  </si>
  <si>
    <t>15/04/2019 15:06</t>
  </si>
  <si>
    <t>0C7X246698</t>
  </si>
  <si>
    <t>2025261</t>
  </si>
  <si>
    <t>15/04/2019 16:21</t>
  </si>
  <si>
    <t>0E2B666252</t>
  </si>
  <si>
    <t>2025669</t>
  </si>
  <si>
    <t>16/04/2019 13:08</t>
  </si>
  <si>
    <t>0Y4X848737</t>
  </si>
  <si>
    <t>2025201</t>
  </si>
  <si>
    <t>0C7X246888</t>
  </si>
  <si>
    <t>2024799</t>
  </si>
  <si>
    <t>15/04/2019 08:21</t>
  </si>
  <si>
    <t>0A1H020600</t>
  </si>
  <si>
    <t>2025647</t>
  </si>
  <si>
    <t>16/04/2019 12:27</t>
  </si>
  <si>
    <t>0X76703255</t>
  </si>
  <si>
    <t>BBVA BANCOMER SA</t>
  </si>
  <si>
    <t>AV VALLARTA No 1440 PISO 4</t>
  </si>
  <si>
    <t>2024809</t>
  </si>
  <si>
    <t>15/04/2019 08:42</t>
  </si>
  <si>
    <t>0XPN397749</t>
  </si>
  <si>
    <t>2024279</t>
  </si>
  <si>
    <t>12/04/2019 14:53</t>
  </si>
  <si>
    <t>0EX9293419</t>
  </si>
  <si>
    <t>AV GOMEZ MORIN 924</t>
  </si>
  <si>
    <t>2023471</t>
  </si>
  <si>
    <t>11/04/2019 10:14</t>
  </si>
  <si>
    <t>2024065</t>
  </si>
  <si>
    <t>12/04/2019 09:22</t>
  </si>
  <si>
    <t>0XLT861820</t>
  </si>
  <si>
    <t>2024311</t>
  </si>
  <si>
    <t>12/04/2019 17:03</t>
  </si>
  <si>
    <t>2023781</t>
  </si>
  <si>
    <t>11/04/2019 16:24</t>
  </si>
  <si>
    <t>0Y4X826690</t>
  </si>
  <si>
    <t>2025677</t>
  </si>
  <si>
    <t>16/04/2019 13:19</t>
  </si>
  <si>
    <t>0BG2947505</t>
  </si>
  <si>
    <t>2025729</t>
  </si>
  <si>
    <t>16/04/2019 15:30</t>
  </si>
  <si>
    <t>0Y4X861067</t>
  </si>
  <si>
    <t>AV NI&amp;OS HEROES No 1555 INT 103 Y 105</t>
  </si>
  <si>
    <t>2026023</t>
  </si>
  <si>
    <t>17/04/2019 08:18</t>
  </si>
  <si>
    <t>0EX9303605</t>
  </si>
  <si>
    <t>2025807</t>
  </si>
  <si>
    <t>16/04/2019 23:31</t>
  </si>
  <si>
    <t>2025753</t>
  </si>
  <si>
    <t>8570</t>
  </si>
  <si>
    <t>16/04/2019 16:27</t>
  </si>
  <si>
    <t>0XFN116939</t>
  </si>
  <si>
    <t>2026145</t>
  </si>
  <si>
    <t>17/04/2019 10:10</t>
  </si>
  <si>
    <t>03BT802611</t>
  </si>
  <si>
    <t>ABASOLO 337</t>
  </si>
  <si>
    <t>TECOMAN-COL</t>
  </si>
  <si>
    <t>2020827</t>
  </si>
  <si>
    <t>05/04/2019 14:39</t>
  </si>
  <si>
    <t>0AGC431093</t>
  </si>
  <si>
    <t>CARR TAMPICO-MANTE 6902</t>
  </si>
  <si>
    <t>2026135</t>
  </si>
  <si>
    <t>17/04/2019 10:07</t>
  </si>
  <si>
    <t>0Y4X848866</t>
  </si>
  <si>
    <t>2026225</t>
  </si>
  <si>
    <t>17/04/2019 11:01</t>
  </si>
  <si>
    <t>09HB321648</t>
  </si>
  <si>
    <t>NEVADO DE TOLUCA 201</t>
  </si>
  <si>
    <t>2024969</t>
  </si>
  <si>
    <t>15/04/2019 10:53</t>
  </si>
  <si>
    <t>0X76093349</t>
  </si>
  <si>
    <t>2024323</t>
  </si>
  <si>
    <t>12/04/2019 18:09</t>
  </si>
  <si>
    <t>0E2B646633</t>
  </si>
  <si>
    <t>2020873</t>
  </si>
  <si>
    <t>05/04/2019 16:42</t>
  </si>
  <si>
    <t>0MX1219085</t>
  </si>
  <si>
    <t>2026173</t>
  </si>
  <si>
    <t>17/04/2019 10:29</t>
  </si>
  <si>
    <t>0A2T200060</t>
  </si>
  <si>
    <t>AEROPUERTO INTER MIGUEL HIDALGO</t>
  </si>
  <si>
    <t>EL QUINCE-JAL</t>
  </si>
  <si>
    <t>2024579</t>
  </si>
  <si>
    <t>14/04/2019 16:43</t>
  </si>
  <si>
    <t>0BG2948799</t>
  </si>
  <si>
    <t>AV CIRCUNVALACION No 2700 LOC SA01</t>
  </si>
  <si>
    <t>2026223</t>
  </si>
  <si>
    <t>17/04/2019 11:00</t>
  </si>
  <si>
    <t>0BB1265406</t>
  </si>
  <si>
    <t>AV ENRIQUE COLUNGA 1184 LOC SA1</t>
  </si>
  <si>
    <t>Irapuato-GTO</t>
  </si>
  <si>
    <t>2026255</t>
  </si>
  <si>
    <t>17/04/2019 12:04</t>
  </si>
  <si>
    <t>0Y4X848849</t>
  </si>
  <si>
    <t>2023131</t>
  </si>
  <si>
    <t>10/04/2019 14:24</t>
  </si>
  <si>
    <t>2026201</t>
  </si>
  <si>
    <t>17/04/2019 10:42</t>
  </si>
  <si>
    <t>0X76705877</t>
  </si>
  <si>
    <t>2026187</t>
  </si>
  <si>
    <t>17/04/2019 10:34</t>
  </si>
  <si>
    <t>0A4T037736</t>
  </si>
  <si>
    <t>ALMACEN FISCALIZADO No 1</t>
  </si>
  <si>
    <t>2025461</t>
  </si>
  <si>
    <t>0EX9665193</t>
  </si>
  <si>
    <t>2025781</t>
  </si>
  <si>
    <t>16/04/2019 17:17</t>
  </si>
  <si>
    <t>09HB331355</t>
  </si>
  <si>
    <t>2025255</t>
  </si>
  <si>
    <t>15/04/2019 15:56</t>
  </si>
  <si>
    <t>0BG0966745</t>
  </si>
  <si>
    <t>2026321</t>
  </si>
  <si>
    <t>17/04/2019 13:23</t>
  </si>
  <si>
    <t>2025249</t>
  </si>
  <si>
    <t>15/04/2019 15:50</t>
  </si>
  <si>
    <t>0PW4980265</t>
  </si>
  <si>
    <t>2026323</t>
  </si>
  <si>
    <t>17/04/2019 13:29</t>
  </si>
  <si>
    <t>0E2B656917</t>
  </si>
  <si>
    <t>2026317</t>
  </si>
  <si>
    <t>17/04/2019 13:20</t>
  </si>
  <si>
    <t>0X76092842</t>
  </si>
  <si>
    <t>2026245</t>
  </si>
  <si>
    <t>17/04/2019 11:31</t>
  </si>
  <si>
    <t>09HB325909</t>
  </si>
  <si>
    <t>CARR MIGUEL ALEMAN KM 14.2 LOC  13 14 15 Y 16</t>
  </si>
  <si>
    <t>2026129</t>
  </si>
  <si>
    <t>17/04/2019 09:57</t>
  </si>
  <si>
    <t>2023025</t>
  </si>
  <si>
    <t>10/04/2019 12:29</t>
  </si>
  <si>
    <t>0MX4777397</t>
  </si>
  <si>
    <t>AV HERMANOS ESCOBAR No 6965 ESQ RAFAEL PEREZ SERNA</t>
  </si>
  <si>
    <t>2024789</t>
  </si>
  <si>
    <t>15/04/2019 08:01</t>
  </si>
  <si>
    <t>2026369</t>
  </si>
  <si>
    <t>17/04/2019 14:21</t>
  </si>
  <si>
    <t>0AE9573935</t>
  </si>
  <si>
    <t>2024963</t>
  </si>
  <si>
    <t>15/04/2019 10:47</t>
  </si>
  <si>
    <t>09HB333253</t>
  </si>
  <si>
    <t>AV TECNOLOGICO No 100 - 901</t>
  </si>
  <si>
    <t>2025811</t>
  </si>
  <si>
    <t>SR INSTALACION CAMBIO DE LUGAR</t>
  </si>
  <si>
    <t>17/04/2019 00:31</t>
  </si>
  <si>
    <t>2026417</t>
  </si>
  <si>
    <t>17/04/2019 16:27</t>
  </si>
  <si>
    <t>09HB331348</t>
  </si>
  <si>
    <t>DISTRIBUIDORA INTERNACIONAL DE MEDICAMENTOS Y EQUI</t>
  </si>
  <si>
    <t>CALLE OLIVOS No 27 NAVE 1A CORTINA 20</t>
  </si>
  <si>
    <t>TLALNEPANTLA DE BAZ-</t>
  </si>
  <si>
    <t>2025717</t>
  </si>
  <si>
    <t>16/04/2019 14:56</t>
  </si>
  <si>
    <t>0D6X469486</t>
  </si>
  <si>
    <t>2026401</t>
  </si>
  <si>
    <t>17/04/2019 15:00</t>
  </si>
  <si>
    <t>2025651</t>
  </si>
  <si>
    <t>16/04/2019 12:28</t>
  </si>
  <si>
    <t>0EX9283410</t>
  </si>
  <si>
    <t>2025745</t>
  </si>
  <si>
    <t>16/04/2019 16:16</t>
  </si>
  <si>
    <t>2026641</t>
  </si>
  <si>
    <t>18/04/2019 09:58</t>
  </si>
  <si>
    <t>06TB449258</t>
  </si>
  <si>
    <t>2025087</t>
  </si>
  <si>
    <t>15/04/2019 12:59</t>
  </si>
  <si>
    <t>03AG880297</t>
  </si>
  <si>
    <t>2026631</t>
  </si>
  <si>
    <t>18/04/2019 09:45</t>
  </si>
  <si>
    <t>0Y4X838625</t>
  </si>
  <si>
    <t>2026393</t>
  </si>
  <si>
    <t>17/04/2019 15:01</t>
  </si>
  <si>
    <t>0BG2945237</t>
  </si>
  <si>
    <t>2026395</t>
  </si>
  <si>
    <t>17/04/2019 15:04</t>
  </si>
  <si>
    <t>2026399</t>
  </si>
  <si>
    <t>17/04/2019 15:06</t>
  </si>
  <si>
    <t>2026755</t>
  </si>
  <si>
    <t>18/04/2019 13:59</t>
  </si>
  <si>
    <t>2024333</t>
  </si>
  <si>
    <t>12/04/2019 20:11</t>
  </si>
  <si>
    <t>2026697</t>
  </si>
  <si>
    <t>18/04/2019 11:54</t>
  </si>
  <si>
    <t>0A1H020591</t>
  </si>
  <si>
    <t>CALZ DE LA HUERTA 2799</t>
  </si>
  <si>
    <t>2025555</t>
  </si>
  <si>
    <t>16/04/2019 10:43</t>
  </si>
  <si>
    <t>06HB014103</t>
  </si>
  <si>
    <t>AV HACIENDA PE&amp;UELAS No 6769 PLAZA CUMBRES LOCAL G</t>
  </si>
  <si>
    <t>2026775</t>
  </si>
  <si>
    <t>18/04/2019 15:01</t>
  </si>
  <si>
    <t>0BG2947926</t>
  </si>
  <si>
    <t>2026665</t>
  </si>
  <si>
    <t>18/04/2019 10:39</t>
  </si>
  <si>
    <t>2026977</t>
  </si>
  <si>
    <t>19/04/2019 10:45</t>
  </si>
  <si>
    <t>2026229</t>
  </si>
  <si>
    <t>17/04/2019 11:04</t>
  </si>
  <si>
    <t>0BG2940928</t>
  </si>
  <si>
    <t>AV CIRCUNVALACION OBLATOS 2700</t>
  </si>
  <si>
    <t>2026983</t>
  </si>
  <si>
    <t>19/04/2019 15:28</t>
  </si>
  <si>
    <t>0XPN395024</t>
  </si>
  <si>
    <t>2026999</t>
  </si>
  <si>
    <t>19/04/2019 17:48</t>
  </si>
  <si>
    <t>2026307</t>
  </si>
  <si>
    <t>17/04/2019 12:58</t>
  </si>
  <si>
    <t>0A2T386442</t>
  </si>
  <si>
    <t>AV LAZARO CARDENAS No 2780</t>
  </si>
  <si>
    <t>2027005</t>
  </si>
  <si>
    <t>19/04/2019 20:32</t>
  </si>
  <si>
    <t>2026291</t>
  </si>
  <si>
    <t>17/04/2019 12:38</t>
  </si>
  <si>
    <t>0E2B106647</t>
  </si>
  <si>
    <t>2026989</t>
  </si>
  <si>
    <t>19/04/2019 16:01</t>
  </si>
  <si>
    <t>2027369</t>
  </si>
  <si>
    <t>21/04/2019 14:38</t>
  </si>
  <si>
    <t>0BG2947627</t>
  </si>
  <si>
    <t>BULEVAR AEROPUERTO No 190 (ANTES 202) LOCALES DEL</t>
  </si>
  <si>
    <t>2027003</t>
  </si>
  <si>
    <t>19/04/2019 19:33</t>
  </si>
  <si>
    <t>0X76703816</t>
  </si>
  <si>
    <t>2024797</t>
  </si>
  <si>
    <t>15/04/2019 08:18</t>
  </si>
  <si>
    <t>2027705</t>
  </si>
  <si>
    <t>22/04/2019 09:51</t>
  </si>
  <si>
    <t>0E2B649503</t>
  </si>
  <si>
    <t>NEREO RODRIGUEZ BARRAGAN 1350</t>
  </si>
  <si>
    <t>2027711</t>
  </si>
  <si>
    <t>22/04/2019 09:58</t>
  </si>
  <si>
    <t>0MX4777324</t>
  </si>
  <si>
    <t>2026963</t>
  </si>
  <si>
    <t>19/04/2019 10:03</t>
  </si>
  <si>
    <t>2027673</t>
  </si>
  <si>
    <t>22/04/2019 09:28</t>
  </si>
  <si>
    <t>0AGD461848</t>
  </si>
  <si>
    <t>2027671</t>
  </si>
  <si>
    <t>22/04/2019 09:19</t>
  </si>
  <si>
    <t>2027815</t>
  </si>
  <si>
    <t>22/04/2019 11:27</t>
  </si>
  <si>
    <t>0X76371386</t>
  </si>
  <si>
    <t>AV RUFINO TAMAYO NO 100</t>
  </si>
  <si>
    <t>2026205</t>
  </si>
  <si>
    <t>17/04/2019 10:37</t>
  </si>
  <si>
    <t>0C4X002910</t>
  </si>
  <si>
    <t>AV 20 DE NOVIEMBRE OTE 1011</t>
  </si>
  <si>
    <t>2027683</t>
  </si>
  <si>
    <t>22/04/2019 09:34</t>
  </si>
  <si>
    <t>0XEH805292</t>
  </si>
  <si>
    <t>2027723</t>
  </si>
  <si>
    <t>22/04/2019 10:14</t>
  </si>
  <si>
    <t>0EX9293026</t>
  </si>
  <si>
    <t>BLV AEROPUERTO MIGUEL ALEMAN 55</t>
  </si>
  <si>
    <t>2023305</t>
  </si>
  <si>
    <t>10/04/2019 19:30</t>
  </si>
  <si>
    <t>0C4X008011</t>
  </si>
  <si>
    <t>CAMINO A JESUS DEL MONTE S/N KM 2</t>
  </si>
  <si>
    <t>2024565</t>
  </si>
  <si>
    <t>14/04/2019 09:58</t>
  </si>
  <si>
    <t>0XPN548352</t>
  </si>
  <si>
    <t>AV GENERAL MARCELINO GARCIA BARRAGAN 2077</t>
  </si>
  <si>
    <t>TLAQUEPAQUE-JAL</t>
  </si>
  <si>
    <t>2027891</t>
  </si>
  <si>
    <t>22/04/2019 12:43</t>
  </si>
  <si>
    <t>2023435</t>
  </si>
  <si>
    <t>11/04/2019 09:04</t>
  </si>
  <si>
    <t>0BG0966729</t>
  </si>
  <si>
    <t>AV MEREO RODRIGUEZ BARRAGAN S/N</t>
  </si>
  <si>
    <t>2025471</t>
  </si>
  <si>
    <t>16/04/2019 09:29</t>
  </si>
  <si>
    <t>0A4T558879</t>
  </si>
  <si>
    <t>2025541</t>
  </si>
  <si>
    <t>16/04/2019 10:27</t>
  </si>
  <si>
    <t>0UHA002009</t>
  </si>
  <si>
    <t>GRUPO ART GRAPH SA DE CV</t>
  </si>
  <si>
    <t>INDUSTRIA VINICOLA 304</t>
  </si>
  <si>
    <t>4-&gt;60</t>
  </si>
  <si>
    <t>2027657</t>
  </si>
  <si>
    <t>22/04/2019 08:58</t>
  </si>
  <si>
    <t>03AG877899</t>
  </si>
  <si>
    <t>2025437</t>
  </si>
  <si>
    <t>0502</t>
  </si>
  <si>
    <t>16/04/2019 08:28</t>
  </si>
  <si>
    <t>3RB705952</t>
  </si>
  <si>
    <t>ROSTICERIA LOS CUATES</t>
  </si>
  <si>
    <t>QUINTA DE LOS ENCINOS No 105</t>
  </si>
  <si>
    <t>General Escobedo-NL</t>
  </si>
  <si>
    <t>2021661</t>
  </si>
  <si>
    <t>08/04/2019 11:56</t>
  </si>
  <si>
    <t>2021655</t>
  </si>
  <si>
    <t>08/04/2019 11:52</t>
  </si>
  <si>
    <t>0E2B659680</t>
  </si>
  <si>
    <t>XILOGRAFIA A COLOR S DE RL DE CV</t>
  </si>
  <si>
    <t>16 DE SEPTIEMBRE No 8 INT 8</t>
  </si>
  <si>
    <t>Quintana Roo-QROO</t>
  </si>
  <si>
    <t>2028065</t>
  </si>
  <si>
    <t>22/04/2019 17:07</t>
  </si>
  <si>
    <t>2027921</t>
  </si>
  <si>
    <t>22/04/2019 13:13</t>
  </si>
  <si>
    <t>2025813</t>
  </si>
  <si>
    <t>17/04/2019 00:34</t>
  </si>
  <si>
    <t>2027927</t>
  </si>
  <si>
    <t>22/04/2019 13:20</t>
  </si>
  <si>
    <t>2027923</t>
  </si>
  <si>
    <t>22/04/2019 13:17</t>
  </si>
  <si>
    <t>2026237</t>
  </si>
  <si>
    <t>17/04/2019 11:09</t>
  </si>
  <si>
    <t>0BG2949227</t>
  </si>
  <si>
    <t>VIALIDAD METEPEC ESQ. CON CALLE GPE VICTORIA. LOCA</t>
  </si>
  <si>
    <t>2004303</t>
  </si>
  <si>
    <t>05/03/2019 15:48</t>
  </si>
  <si>
    <t>0AGD461524</t>
  </si>
  <si>
    <t>2028039</t>
  </si>
  <si>
    <t>22/04/2019 16:01</t>
  </si>
  <si>
    <t>09HB331860</t>
  </si>
  <si>
    <t>2028075</t>
  </si>
  <si>
    <t>6513</t>
  </si>
  <si>
    <t>22/04/2019 17:19</t>
  </si>
  <si>
    <t>5AV814873</t>
  </si>
  <si>
    <t>FORMAS EFICIENTES SA DE CV</t>
  </si>
  <si>
    <t>PLAZA HIDALGO NO 304</t>
  </si>
  <si>
    <t>2028025</t>
  </si>
  <si>
    <t>22/04/2019 15:44</t>
  </si>
  <si>
    <t>2028093</t>
  </si>
  <si>
    <t>22/04/2019 19:55</t>
  </si>
  <si>
    <t>2026171</t>
  </si>
  <si>
    <t>17/04/2019 10:26</t>
  </si>
  <si>
    <t>0C7X273155</t>
  </si>
  <si>
    <t>AV PASEO CENTRAL No 2A</t>
  </si>
  <si>
    <t>2028023</t>
  </si>
  <si>
    <t>2028223</t>
  </si>
  <si>
    <t>23/04/2019 08:38</t>
  </si>
  <si>
    <t>2028313</t>
  </si>
  <si>
    <t>23/04/2019 10:11</t>
  </si>
  <si>
    <t>0X76373202</t>
  </si>
  <si>
    <t>2028003</t>
  </si>
  <si>
    <t>0601</t>
  </si>
  <si>
    <t>22/04/2019 14:57</t>
  </si>
  <si>
    <t>5XB478288</t>
  </si>
  <si>
    <t>YAK TORREL SA DE CV</t>
  </si>
  <si>
    <t>LA GUAITA No 2882</t>
  </si>
  <si>
    <t>2028293</t>
  </si>
  <si>
    <t>23/04/2019 09:46</t>
  </si>
  <si>
    <t>2028295</t>
  </si>
  <si>
    <t>23/04/2019 09:53</t>
  </si>
  <si>
    <t>0BB1564112</t>
  </si>
  <si>
    <t>2027949</t>
  </si>
  <si>
    <t>22/04/2019 13:49</t>
  </si>
  <si>
    <t>0BG2950042</t>
  </si>
  <si>
    <t>2028217</t>
  </si>
  <si>
    <t>23/04/2019 08:23</t>
  </si>
  <si>
    <t>0XPN548251</t>
  </si>
  <si>
    <t>2028219</t>
  </si>
  <si>
    <t>23/04/2019 08:29</t>
  </si>
  <si>
    <t>0EX9293351</t>
  </si>
  <si>
    <t>AV JOSE ELEUTERIO GONZALEZ 315</t>
  </si>
  <si>
    <t>2025809</t>
  </si>
  <si>
    <t>16/04/2019 23:50</t>
  </si>
  <si>
    <t>0BG0972374</t>
  </si>
  <si>
    <t>2027857</t>
  </si>
  <si>
    <t>22/04/2019 12:02</t>
  </si>
  <si>
    <t>07CX043423</t>
  </si>
  <si>
    <t>CARR MONTERREY - REYNOSA No 210 B, PLANTA ALTA</t>
  </si>
  <si>
    <t>2028059</t>
  </si>
  <si>
    <t>8600</t>
  </si>
  <si>
    <t>22/04/2019 16:51</t>
  </si>
  <si>
    <t>0B2E530304</t>
  </si>
  <si>
    <t>FUERZA GRAFICA DEL NORTE SA DE CV</t>
  </si>
  <si>
    <t>AYUTLA OTE 1012</t>
  </si>
  <si>
    <t>2027993</t>
  </si>
  <si>
    <t>22/04/2019 14:52</t>
  </si>
  <si>
    <t>0C7X239181</t>
  </si>
  <si>
    <t>2024317</t>
  </si>
  <si>
    <t>12/04/2019 18:01</t>
  </si>
  <si>
    <t>2025165</t>
  </si>
  <si>
    <t>15/04/2019 14:38</t>
  </si>
  <si>
    <t>0BG2951498</t>
  </si>
  <si>
    <t>2028417</t>
  </si>
  <si>
    <t>23/04/2019 11:42</t>
  </si>
  <si>
    <t>2027883</t>
  </si>
  <si>
    <t>22/04/2019 12:29</t>
  </si>
  <si>
    <t>2026723</t>
  </si>
  <si>
    <t>18/04/2019 13:03</t>
  </si>
  <si>
    <t>0XPN396544</t>
  </si>
  <si>
    <t>2027371</t>
  </si>
  <si>
    <t>21/04/2019 14:43</t>
  </si>
  <si>
    <t>0BG2947906</t>
  </si>
  <si>
    <t>2027623</t>
  </si>
  <si>
    <t>22/04/2019 08:18</t>
  </si>
  <si>
    <t>2028351</t>
  </si>
  <si>
    <t>23/04/2019 10:36</t>
  </si>
  <si>
    <t>0A2T143867</t>
  </si>
  <si>
    <t>500060</t>
  </si>
  <si>
    <t>AV ANTONIO J BERMUDEZ No 960</t>
  </si>
  <si>
    <t>2025755</t>
  </si>
  <si>
    <t>16/04/2019 16:29</t>
  </si>
  <si>
    <t>0X76706506</t>
  </si>
  <si>
    <t>2028507</t>
  </si>
  <si>
    <t>23/04/2019 14:17</t>
  </si>
  <si>
    <t>2028517</t>
  </si>
  <si>
    <t>23/04/2019 14:43</t>
  </si>
  <si>
    <t>09HB317209</t>
  </si>
  <si>
    <t>AV NOGALAR SUR Y CRISANTEMO</t>
  </si>
  <si>
    <t>2027629</t>
  </si>
  <si>
    <t>22/04/2019 08:23</t>
  </si>
  <si>
    <t>0X76707836</t>
  </si>
  <si>
    <t>ALAMBRADOS Y CIRCUITOS ELECTRICOS S DE RL DE CV</t>
  </si>
  <si>
    <t>BOULEVARD FRANCISCO PRIMO DE VERDAD No 3317</t>
  </si>
  <si>
    <t>2027663</t>
  </si>
  <si>
    <t>22/04/2019 09:12</t>
  </si>
  <si>
    <t>2028413</t>
  </si>
  <si>
    <t>23/04/2019 11:37</t>
  </si>
  <si>
    <t>0A1H021675</t>
  </si>
  <si>
    <t>2027373</t>
  </si>
  <si>
    <t>21/04/2019 14:45</t>
  </si>
  <si>
    <t>2028525</t>
  </si>
  <si>
    <t>23/04/2019 15:06</t>
  </si>
  <si>
    <t>2026191</t>
  </si>
  <si>
    <t>17/04/2019 10:35</t>
  </si>
  <si>
    <t>2028323</t>
  </si>
  <si>
    <t>23/04/2019 10:28</t>
  </si>
  <si>
    <t>0EX9293087</t>
  </si>
  <si>
    <t>2028327</t>
  </si>
  <si>
    <t>23/04/2019 10:30</t>
  </si>
  <si>
    <t>2028439</t>
  </si>
  <si>
    <t>23/04/2019 12:02</t>
  </si>
  <si>
    <t>0C4X008138</t>
  </si>
  <si>
    <t>AV CAMELINAS 725</t>
  </si>
  <si>
    <t>2028523</t>
  </si>
  <si>
    <t>23/04/2019 15:01</t>
  </si>
  <si>
    <t>2026239</t>
  </si>
  <si>
    <t>17/04/2019 11:12</t>
  </si>
  <si>
    <t>0E2B656929</t>
  </si>
  <si>
    <t>AV METEPEC LOCAL A-8</t>
  </si>
  <si>
    <t>METEPEC-MEX</t>
  </si>
  <si>
    <t>2028051</t>
  </si>
  <si>
    <t>22/04/2019 16:43</t>
  </si>
  <si>
    <t>09HB331956</t>
  </si>
  <si>
    <t>CARRETERA SAN ISIDRO MAZATEPEC No 7000</t>
  </si>
  <si>
    <t>2024303</t>
  </si>
  <si>
    <t>12/04/2019 16:46</t>
  </si>
  <si>
    <t>2025675</t>
  </si>
  <si>
    <t>0C7X246885</t>
  </si>
  <si>
    <t>2028571</t>
  </si>
  <si>
    <t>23/04/2019 16:48</t>
  </si>
  <si>
    <t>0D6X452141</t>
  </si>
  <si>
    <t>2027827</t>
  </si>
  <si>
    <t>22/04/2019 11:34</t>
  </si>
  <si>
    <t>0C7X238362</t>
  </si>
  <si>
    <t>2028823</t>
  </si>
  <si>
    <t>24/04/2019 08:31</t>
  </si>
  <si>
    <t>2028561</t>
  </si>
  <si>
    <t>23/04/2019 16:23</t>
  </si>
  <si>
    <t>2028453</t>
  </si>
  <si>
    <t>23/04/2019 12:47</t>
  </si>
  <si>
    <t>09HB320526</t>
  </si>
  <si>
    <t>S DIAZ MIRON Y COLON</t>
  </si>
  <si>
    <t>2028881</t>
  </si>
  <si>
    <t>6700</t>
  </si>
  <si>
    <t>24/04/2019 09:32</t>
  </si>
  <si>
    <t>0AB9779577</t>
  </si>
  <si>
    <t>2025145</t>
  </si>
  <si>
    <t>15/04/2019 14:17</t>
  </si>
  <si>
    <t>0BG2941133</t>
  </si>
  <si>
    <t>2028551</t>
  </si>
  <si>
    <t>8090</t>
  </si>
  <si>
    <t>23/04/2019 16:00</t>
  </si>
  <si>
    <t>03AG877337</t>
  </si>
  <si>
    <t>2028563</t>
  </si>
  <si>
    <t>23/04/2019 16:26</t>
  </si>
  <si>
    <t>2028917</t>
  </si>
  <si>
    <t>24/04/2019 10:44</t>
  </si>
  <si>
    <t>0X76708202</t>
  </si>
  <si>
    <t>2028605</t>
  </si>
  <si>
    <t>23/04/2019 20:04</t>
  </si>
  <si>
    <t>0XPN547501</t>
  </si>
  <si>
    <t>AV MEREO RGZ BARRAGAN NUM 1350</t>
  </si>
  <si>
    <t>2028609</t>
  </si>
  <si>
    <t>23/04/2019 20:38</t>
  </si>
  <si>
    <t>0A1H021665</t>
  </si>
  <si>
    <t>PASEO CENTRAL 131</t>
  </si>
  <si>
    <t>2028913</t>
  </si>
  <si>
    <t>24/04/2019 10:43</t>
  </si>
  <si>
    <t>2028803</t>
  </si>
  <si>
    <t>24/04/2019 08:05</t>
  </si>
  <si>
    <t>0AGD460903</t>
  </si>
  <si>
    <t>EQUIPOS NO LOCALIZADOS</t>
  </si>
  <si>
    <t>BOSQUE DE DURAZNOS 61</t>
  </si>
  <si>
    <t>2028603</t>
  </si>
  <si>
    <t>23/04/2019 20:02</t>
  </si>
  <si>
    <t>0BG2947468</t>
  </si>
  <si>
    <t>2028835</t>
  </si>
  <si>
    <t>SR EVALUACION DEL EQUIPO</t>
  </si>
  <si>
    <t>6512</t>
  </si>
  <si>
    <t>24/04/2019 08:58</t>
  </si>
  <si>
    <t>5AV814267</t>
  </si>
  <si>
    <t>ROSALBA GARDU&amp;O S</t>
  </si>
  <si>
    <t>HEROICO COLEGIO MILITAR No 717</t>
  </si>
  <si>
    <t>2025231</t>
  </si>
  <si>
    <t>15/04/2019 15:32</t>
  </si>
  <si>
    <t>06HB007261</t>
  </si>
  <si>
    <t>2029089</t>
  </si>
  <si>
    <t>24/04/2019 14:43</t>
  </si>
  <si>
    <t>0C7X246854</t>
  </si>
  <si>
    <t>BLVD CAMPESTRE No 2502</t>
  </si>
  <si>
    <t>2028855</t>
  </si>
  <si>
    <t>24/04/2019 09:11</t>
  </si>
  <si>
    <t>2028353</t>
  </si>
  <si>
    <t>5329</t>
  </si>
  <si>
    <t>23/04/2019 10:41</t>
  </si>
  <si>
    <t>0AE9566035</t>
  </si>
  <si>
    <t>2028985</t>
  </si>
  <si>
    <t>24/04/2019 11:45</t>
  </si>
  <si>
    <t>09HB915866</t>
  </si>
  <si>
    <t>Av De los Insurgentes  2604 Loc B5</t>
  </si>
  <si>
    <t>2028957</t>
  </si>
  <si>
    <t>SR SERVICIO ANALISTA</t>
  </si>
  <si>
    <t>24/04/2019 11:27</t>
  </si>
  <si>
    <t>0X76703902</t>
  </si>
  <si>
    <t>2028033</t>
  </si>
  <si>
    <t>22/04/2019 15:57</t>
  </si>
  <si>
    <t>0Y4X846822</t>
  </si>
  <si>
    <t>2027909</t>
  </si>
  <si>
    <t>22/04/2019 13:05</t>
  </si>
  <si>
    <t>0C4X006409</t>
  </si>
  <si>
    <t>2027665</t>
  </si>
  <si>
    <t>22/04/2019 09:13</t>
  </si>
  <si>
    <t>0XPN548347</t>
  </si>
  <si>
    <t>2028579</t>
  </si>
  <si>
    <t>23/04/2019 17:21</t>
  </si>
  <si>
    <t>0XPN546684</t>
  </si>
  <si>
    <t>PASEO LAZARO CARDENAS 1655</t>
  </si>
  <si>
    <t>URUAPAN-MICH</t>
  </si>
  <si>
    <t>2028841</t>
  </si>
  <si>
    <t>24/04/2019 09:03</t>
  </si>
  <si>
    <t>03AG880350</t>
  </si>
  <si>
    <t>2028929</t>
  </si>
  <si>
    <t>24/04/2019 11:11</t>
  </si>
  <si>
    <t>2028853</t>
  </si>
  <si>
    <t>24/04/2019 09:10</t>
  </si>
  <si>
    <t>2028925</t>
  </si>
  <si>
    <t>24/04/2019 10:54</t>
  </si>
  <si>
    <t>0EX9283118</t>
  </si>
  <si>
    <t>2029023</t>
  </si>
  <si>
    <t>24/04/2019 12:48</t>
  </si>
  <si>
    <t>03AG876220</t>
  </si>
  <si>
    <t>2028895</t>
  </si>
  <si>
    <t>24/04/2019 10:06</t>
  </si>
  <si>
    <t>2029045</t>
  </si>
  <si>
    <t>24/04/2019 13:25</t>
  </si>
  <si>
    <t>0C4X008636</t>
  </si>
  <si>
    <t>EPIGMENIO GONZALEZ 2</t>
  </si>
  <si>
    <t>2025271</t>
  </si>
  <si>
    <t>15/04/2019 16:23</t>
  </si>
  <si>
    <t>0Y4X820694</t>
  </si>
  <si>
    <t>AV DE LAS INDUSTRIAS No 4907</t>
  </si>
  <si>
    <t>2023021</t>
  </si>
  <si>
    <t>10/04/2019 12:22</t>
  </si>
  <si>
    <t>0LX5825590</t>
  </si>
  <si>
    <t>2028321</t>
  </si>
  <si>
    <t>4326</t>
  </si>
  <si>
    <t>23/04/2019 10:23</t>
  </si>
  <si>
    <t>0BG1001361</t>
  </si>
  <si>
    <t>2018023</t>
  </si>
  <si>
    <t>01/04/2019 10:40</t>
  </si>
  <si>
    <t>0BG2940370</t>
  </si>
  <si>
    <t>AV EJERCITO NAL NUM 2926 ESQ JACARANDAS</t>
  </si>
  <si>
    <t>2025571</t>
  </si>
  <si>
    <t>16/04/2019 10:57</t>
  </si>
  <si>
    <t>0A1H021115</t>
  </si>
  <si>
    <t>2028831</t>
  </si>
  <si>
    <t>24/04/2019 08:49</t>
  </si>
  <si>
    <t>0AGD461919</t>
  </si>
  <si>
    <t>PEDRO MORENO 1401</t>
  </si>
  <si>
    <t>2028273</t>
  </si>
  <si>
    <t>23/04/2019 09:24</t>
  </si>
  <si>
    <t>2028865</t>
  </si>
  <si>
    <t>24/04/2019 09:29</t>
  </si>
  <si>
    <t>0XLT993509</t>
  </si>
  <si>
    <t>2027941</t>
  </si>
  <si>
    <t>22/04/2019 13:38</t>
  </si>
  <si>
    <t>0Y4X842481</t>
  </si>
  <si>
    <t>KBR MONTERREY SA DE CV</t>
  </si>
  <si>
    <t>LIC. GUSTAVO DIAZ ORDAZ No 130 PISO 17, 18, 19 Y 2</t>
  </si>
  <si>
    <t>2022985</t>
  </si>
  <si>
    <t>10/04/2019 11:44</t>
  </si>
  <si>
    <t>0BG1000839</t>
  </si>
  <si>
    <t>2029139</t>
  </si>
  <si>
    <t>24/04/2019 17:13</t>
  </si>
  <si>
    <t>0X76704334</t>
  </si>
  <si>
    <t>2028317</t>
  </si>
  <si>
    <t>23/04/2019 10:15</t>
  </si>
  <si>
    <t>0A2T024863</t>
  </si>
  <si>
    <t>COMERCIALIZADORA DE PRODUCTOS PC S DE RL DE CV</t>
  </si>
  <si>
    <t>BLVD TOLUCA METEPEC No 719 NORTE</t>
  </si>
  <si>
    <t>Metepec-ESTADO DE ME</t>
  </si>
  <si>
    <t>2029125</t>
  </si>
  <si>
    <t>24/04/2019 15:59</t>
  </si>
  <si>
    <t>0XLT861338</t>
  </si>
  <si>
    <t>2029431</t>
  </si>
  <si>
    <t>25/04/2019 07:22</t>
  </si>
  <si>
    <t>09HB331430</t>
  </si>
  <si>
    <t>VENEZUELA No 821</t>
  </si>
  <si>
    <t>2029523</t>
  </si>
  <si>
    <t>25/04/2019 09:26</t>
  </si>
  <si>
    <t>2028473</t>
  </si>
  <si>
    <t>23/04/2019 13:24</t>
  </si>
  <si>
    <t>09HB325846</t>
  </si>
  <si>
    <t>ESQUINA CALLE ABASOLO Y CARRETERA NACIONAL MEXICO-</t>
  </si>
  <si>
    <t>Ciudad Valles-SLP</t>
  </si>
  <si>
    <t>2027595</t>
  </si>
  <si>
    <t>22/04/2019 07:41</t>
  </si>
  <si>
    <t>0E2B663679</t>
  </si>
  <si>
    <t>2029601</t>
  </si>
  <si>
    <t>25/04/2019 10:35</t>
  </si>
  <si>
    <t>0XLT861011</t>
  </si>
  <si>
    <t>2027849</t>
  </si>
  <si>
    <t>6606</t>
  </si>
  <si>
    <t>22/04/2019 11:58</t>
  </si>
  <si>
    <t>0XL3583788</t>
  </si>
  <si>
    <t>2028861</t>
  </si>
  <si>
    <t>24/04/2019 09:24</t>
  </si>
  <si>
    <t>0A2T382396</t>
  </si>
  <si>
    <t>2029561</t>
  </si>
  <si>
    <t>25/04/2019 09:55</t>
  </si>
  <si>
    <t>0EX9287045</t>
  </si>
  <si>
    <t>2027619</t>
  </si>
  <si>
    <t>22/04/2019 08:12</t>
  </si>
  <si>
    <t>0BG2939661</t>
  </si>
  <si>
    <t>2029615</t>
  </si>
  <si>
    <t>25/04/2019 10:48</t>
  </si>
  <si>
    <t>0BG2956972</t>
  </si>
  <si>
    <t>AV MEXICO JAPON No 225</t>
  </si>
  <si>
    <t>2028797</t>
  </si>
  <si>
    <t>24/04/2019 07:49</t>
  </si>
  <si>
    <t>5BT705116</t>
  </si>
  <si>
    <t>UNITED AIRLINES INC</t>
  </si>
  <si>
    <t>PROLONGACION CORREGIDORA No 306 LTE 11</t>
  </si>
  <si>
    <t>2029729</t>
  </si>
  <si>
    <t>25/04/2019 13:08</t>
  </si>
  <si>
    <t>0XPN399178</t>
  </si>
  <si>
    <t>2026371</t>
  </si>
  <si>
    <t>17/04/2019 14:25</t>
  </si>
  <si>
    <t>0LX5825534</t>
  </si>
  <si>
    <t>2019037</t>
  </si>
  <si>
    <t>6227</t>
  </si>
  <si>
    <t>02/04/2019 17:41</t>
  </si>
  <si>
    <t>P7A327292</t>
  </si>
  <si>
    <t>OPERACIONES MADAPAL SA DE CV</t>
  </si>
  <si>
    <t>SIERRA DE SANTA CATANA No 104</t>
  </si>
  <si>
    <t>2028415</t>
  </si>
  <si>
    <t>23/04/2019 11:36</t>
  </si>
  <si>
    <t>09HB331499</t>
  </si>
  <si>
    <t>BLVD MARIANO ESCOBEDO No 4222</t>
  </si>
  <si>
    <t>2029027</t>
  </si>
  <si>
    <t>24/04/2019 12:52</t>
  </si>
  <si>
    <t>0EX9297582</t>
  </si>
  <si>
    <t>2029469</t>
  </si>
  <si>
    <t>25/04/2019 08:12</t>
  </si>
  <si>
    <t>0A1H022379</t>
  </si>
  <si>
    <t>NORTE MIRADOR E INDIANA CC HIPERPLAZA No 3300</t>
  </si>
  <si>
    <t>2025561</t>
  </si>
  <si>
    <t>16/04/2019 10:47</t>
  </si>
  <si>
    <t>0RXD138972</t>
  </si>
  <si>
    <t>2029475</t>
  </si>
  <si>
    <t>25/04/2019 08:24</t>
  </si>
  <si>
    <t>2029563</t>
  </si>
  <si>
    <t>25/04/2019 10:00</t>
  </si>
  <si>
    <t>03AG879434</t>
  </si>
  <si>
    <t>2029645</t>
  </si>
  <si>
    <t>25/04/2019 11:15</t>
  </si>
  <si>
    <t>09HB331482</t>
  </si>
  <si>
    <t>ABASOLO No 92</t>
  </si>
  <si>
    <t>Tala-JAL</t>
  </si>
  <si>
    <t>2029759</t>
  </si>
  <si>
    <t>25/04/2019 13:41</t>
  </si>
  <si>
    <t>0D6X469471</t>
  </si>
  <si>
    <t>2029589</t>
  </si>
  <si>
    <t>25/04/2019 10:30</t>
  </si>
  <si>
    <t>0Y2B003348</t>
  </si>
  <si>
    <t>2020617</t>
  </si>
  <si>
    <t>8880</t>
  </si>
  <si>
    <t>05/04/2019 11:09</t>
  </si>
  <si>
    <t>0T4B035507</t>
  </si>
  <si>
    <t>2026405</t>
  </si>
  <si>
    <t>17/04/2019 15:26</t>
  </si>
  <si>
    <t>0LBP256981</t>
  </si>
  <si>
    <t>AV CONSTITUYENTES 123 Y 125</t>
  </si>
  <si>
    <t>2029735</t>
  </si>
  <si>
    <t>25/04/2019 13:14</t>
  </si>
  <si>
    <t>0X76372785</t>
  </si>
  <si>
    <t>AV DE LAS FABRICAS No 5939</t>
  </si>
  <si>
    <t>2028837</t>
  </si>
  <si>
    <t>2029809</t>
  </si>
  <si>
    <t>25/04/2019 14:45</t>
  </si>
  <si>
    <t>0X76706451</t>
  </si>
  <si>
    <t>2029831</t>
  </si>
  <si>
    <t>25/04/2019 15:20</t>
  </si>
  <si>
    <t>0MX4777366</t>
  </si>
  <si>
    <t>2029033</t>
  </si>
  <si>
    <t>24/04/2019 13:06</t>
  </si>
  <si>
    <t>0BG2947161</t>
  </si>
  <si>
    <t>MISSISIPI 152 LOC 206</t>
  </si>
  <si>
    <t>2028433</t>
  </si>
  <si>
    <t>23/04/2019 12:13</t>
  </si>
  <si>
    <t>0C7X246862</t>
  </si>
  <si>
    <t>2028215</t>
  </si>
  <si>
    <t>23/04/2019 08:20</t>
  </si>
  <si>
    <t>0C7X225095</t>
  </si>
  <si>
    <t>2029859</t>
  </si>
  <si>
    <t>25/04/2019 16:03</t>
  </si>
  <si>
    <t>0E2B664332</t>
  </si>
  <si>
    <t>2029855</t>
  </si>
  <si>
    <t>25/04/2019 15:57</t>
  </si>
  <si>
    <t>2029863</t>
  </si>
  <si>
    <t>25/04/2019 16:06</t>
  </si>
  <si>
    <t>0A1H022151</t>
  </si>
  <si>
    <t>2028565</t>
  </si>
  <si>
    <t>23/04/2019 16:31</t>
  </si>
  <si>
    <t>2027755</t>
  </si>
  <si>
    <t>22/04/2019 10:37</t>
  </si>
  <si>
    <t>0BG2947501</t>
  </si>
  <si>
    <t>2029881</t>
  </si>
  <si>
    <t>25/04/2019 16:53</t>
  </si>
  <si>
    <t>09HB321576</t>
  </si>
  <si>
    <t>5 DE MAYO 315 OTE Y GALEANA</t>
  </si>
  <si>
    <t>2029857</t>
  </si>
  <si>
    <t>25/04/2019 16:01</t>
  </si>
  <si>
    <t>2029861</t>
  </si>
  <si>
    <t>25/04/2019 16:07</t>
  </si>
  <si>
    <t>2029755</t>
  </si>
  <si>
    <t>3601</t>
  </si>
  <si>
    <t>25/04/2019 13:37</t>
  </si>
  <si>
    <t>0MHB903219</t>
  </si>
  <si>
    <t>2030049</t>
  </si>
  <si>
    <t>26/04/2019 09:23</t>
  </si>
  <si>
    <t>09HB321623</t>
  </si>
  <si>
    <t>NAHUA 333</t>
  </si>
  <si>
    <t>2030043</t>
  </si>
  <si>
    <t>26/04/2019 09:22</t>
  </si>
  <si>
    <t>2020457</t>
  </si>
  <si>
    <t>05/04/2019 08:27</t>
  </si>
  <si>
    <t>0E1B980213</t>
  </si>
  <si>
    <t>GALERIA PRODUCTORA DE COSMETICOS S. DE R.L. DE C.V</t>
  </si>
  <si>
    <t>AV FERROCARRIL NORTE No 100</t>
  </si>
  <si>
    <t>2029997</t>
  </si>
  <si>
    <t>26/04/2019 08:39</t>
  </si>
  <si>
    <t>2029999</t>
  </si>
  <si>
    <t>26/04/2019 08:41</t>
  </si>
  <si>
    <t>0XLT280687</t>
  </si>
  <si>
    <t>2030001</t>
  </si>
  <si>
    <t>26/04/2019 08:43</t>
  </si>
  <si>
    <t>2030163</t>
  </si>
  <si>
    <t>26/04/2019 11:36</t>
  </si>
  <si>
    <t>0XLT279452</t>
  </si>
  <si>
    <t>2028607</t>
  </si>
  <si>
    <t>23/04/2019 20:12</t>
  </si>
  <si>
    <t>0XEL566484</t>
  </si>
  <si>
    <t>2027875</t>
  </si>
  <si>
    <t>22/04/2019 12:25</t>
  </si>
  <si>
    <t>0BB1564131</t>
  </si>
  <si>
    <t>BLVD URIANGATO 240</t>
  </si>
  <si>
    <t>URIANGATO-GTO</t>
  </si>
  <si>
    <t>2029633</t>
  </si>
  <si>
    <t>25/04/2019 11:03</t>
  </si>
  <si>
    <t>0X76703031</t>
  </si>
  <si>
    <t>2029987</t>
  </si>
  <si>
    <t>26/04/2019 08:06</t>
  </si>
  <si>
    <t>2028419</t>
  </si>
  <si>
    <t>23/04/2019 11:52</t>
  </si>
  <si>
    <t>2029605</t>
  </si>
  <si>
    <t>25/04/2019 10:41</t>
  </si>
  <si>
    <t>09HB328413</t>
  </si>
  <si>
    <t>PRONUA SA DE CV</t>
  </si>
  <si>
    <t>BLV JOSE GUADALUPE ZUNO 52-A</t>
  </si>
  <si>
    <t>2030003</t>
  </si>
  <si>
    <t>0RXD109069</t>
  </si>
  <si>
    <t>2030115</t>
  </si>
  <si>
    <t>26/04/2019 10:25</t>
  </si>
  <si>
    <t>0Y4X848952</t>
  </si>
  <si>
    <t>2030117</t>
  </si>
  <si>
    <t>26/04/2019 10:28</t>
  </si>
  <si>
    <t>09HB331857</t>
  </si>
  <si>
    <t>2030017</t>
  </si>
  <si>
    <t>26/04/2019 09:01</t>
  </si>
  <si>
    <t>0D6X469662</t>
  </si>
  <si>
    <t>2030019</t>
  </si>
  <si>
    <t>26/04/2019 09:03</t>
  </si>
  <si>
    <t>2030021</t>
  </si>
  <si>
    <t>0BG2956722</t>
  </si>
  <si>
    <t>2030177</t>
  </si>
  <si>
    <t>26/04/2019 11:58</t>
  </si>
  <si>
    <t>0BG2946393</t>
  </si>
  <si>
    <t>2030057</t>
  </si>
  <si>
    <t>26/04/2019 09:39</t>
  </si>
  <si>
    <t>2030175</t>
  </si>
  <si>
    <t>26/04/2019 11:55</t>
  </si>
  <si>
    <t>2030063</t>
  </si>
  <si>
    <t>26/04/2019 09:43</t>
  </si>
  <si>
    <t>0KPA018636</t>
  </si>
  <si>
    <t>2028899</t>
  </si>
  <si>
    <t>24/04/2019 10:10</t>
  </si>
  <si>
    <t>2029685</t>
  </si>
  <si>
    <t>25/04/2019 12:00</t>
  </si>
  <si>
    <t>2030133</t>
  </si>
  <si>
    <t>26/04/2019 11:01</t>
  </si>
  <si>
    <t>0E2B665884</t>
  </si>
  <si>
    <t>2030153</t>
  </si>
  <si>
    <t>26/04/2019 11:34</t>
  </si>
  <si>
    <t>2030151</t>
  </si>
  <si>
    <t>26/04/2019 11:27</t>
  </si>
  <si>
    <t>09HB330752</t>
  </si>
  <si>
    <t>AV ALBERT EISTEN No 201</t>
  </si>
  <si>
    <t>2029117</t>
  </si>
  <si>
    <t>24/04/2019 15:37</t>
  </si>
  <si>
    <t>0BG1001037</t>
  </si>
  <si>
    <t>2028857</t>
  </si>
  <si>
    <t>24/04/2019 09:16</t>
  </si>
  <si>
    <t>2029617</t>
  </si>
  <si>
    <t>25/04/2019 10:47</t>
  </si>
  <si>
    <t>0A2T199725</t>
  </si>
  <si>
    <t>2029689</t>
  </si>
  <si>
    <t>25/04/2019 12:03</t>
  </si>
  <si>
    <t>09HB330686</t>
  </si>
  <si>
    <t>2030135</t>
  </si>
  <si>
    <t>26/04/2019 11:05</t>
  </si>
  <si>
    <t>2029041</t>
  </si>
  <si>
    <t>0X76707825</t>
  </si>
  <si>
    <t>2029445</t>
  </si>
  <si>
    <t>25/04/2019 07:43</t>
  </si>
  <si>
    <t>0PW4792159</t>
  </si>
  <si>
    <t>2030247</t>
  </si>
  <si>
    <t>26/04/2019 13:54</t>
  </si>
  <si>
    <t>03AG879576</t>
  </si>
  <si>
    <t>2028275</t>
  </si>
  <si>
    <t>23/04/2019 09:28</t>
  </si>
  <si>
    <t>2030313</t>
  </si>
  <si>
    <t>26/04/2019 16:02</t>
  </si>
  <si>
    <t>0PW4000006</t>
  </si>
  <si>
    <t>BLV TAMAULIPAS 2388</t>
  </si>
  <si>
    <t>CIUDAD VICTORIA-TAM</t>
  </si>
  <si>
    <t>2029081</t>
  </si>
  <si>
    <t>24/04/2019 14:16</t>
  </si>
  <si>
    <t>2026063</t>
  </si>
  <si>
    <t>7603</t>
  </si>
  <si>
    <t>17/04/2019 09:08</t>
  </si>
  <si>
    <t>0ER2127879</t>
  </si>
  <si>
    <t>2030357</t>
  </si>
  <si>
    <t>26/04/2019 18:22</t>
  </si>
  <si>
    <t>2030355</t>
  </si>
  <si>
    <t>5325</t>
  </si>
  <si>
    <t>26/04/2019 18:17</t>
  </si>
  <si>
    <t>0AE7176589</t>
  </si>
  <si>
    <t>AV MONTA&amp;A MONARCA No 1340</t>
  </si>
  <si>
    <t>2030293</t>
  </si>
  <si>
    <t>26/04/2019 15:26</t>
  </si>
  <si>
    <t>2030337</t>
  </si>
  <si>
    <t>26/04/2019 17:10</t>
  </si>
  <si>
    <t>2029085</t>
  </si>
  <si>
    <t>24/04/2019 14:29</t>
  </si>
  <si>
    <t>0BG2951481</t>
  </si>
  <si>
    <t>2031199</t>
  </si>
  <si>
    <t>29/04/2019 10:18</t>
  </si>
  <si>
    <t>0C7X236617</t>
  </si>
  <si>
    <t>2031189</t>
  </si>
  <si>
    <t>29/04/2019 10:11</t>
  </si>
  <si>
    <t>K8B481298</t>
  </si>
  <si>
    <t>AV MEXICO SN ESQ CALLE ANTONIO</t>
  </si>
  <si>
    <t>Guadalupe-NL</t>
  </si>
  <si>
    <t>2031119</t>
  </si>
  <si>
    <t>29/04/2019 09:25</t>
  </si>
  <si>
    <t>2030317</t>
  </si>
  <si>
    <t>26/04/2019 16:16</t>
  </si>
  <si>
    <t>0A4T557980</t>
  </si>
  <si>
    <t>MARIANO OTERO 1614</t>
  </si>
  <si>
    <t>2030321</t>
  </si>
  <si>
    <t>26/04/2019 16:21</t>
  </si>
  <si>
    <t>0A4T558519</t>
  </si>
  <si>
    <t>2031135</t>
  </si>
  <si>
    <t>29/04/2019 09:32</t>
  </si>
  <si>
    <t>2030277</t>
  </si>
  <si>
    <t>26/04/2019 14:47</t>
  </si>
  <si>
    <t>2031141</t>
  </si>
  <si>
    <t>29/04/2019 09:35</t>
  </si>
  <si>
    <t>2031315</t>
  </si>
  <si>
    <t>29/04/2019 12:20</t>
  </si>
  <si>
    <t>2031127</t>
  </si>
  <si>
    <t>29/04/2019 09:29</t>
  </si>
  <si>
    <t>0E2B665657</t>
  </si>
  <si>
    <t>2031407</t>
  </si>
  <si>
    <t>29/04/2019 14:31</t>
  </si>
  <si>
    <t>0EX7384680</t>
  </si>
  <si>
    <t>2031183</t>
  </si>
  <si>
    <t>29/04/2019 10:06</t>
  </si>
  <si>
    <t>09HB331823</t>
  </si>
  <si>
    <t>BODYLOGIC INTERNACIONAL SA DE CV</t>
  </si>
  <si>
    <t>PADRE MIER No 374 LOCAL 11 Y 12</t>
  </si>
  <si>
    <t>2030311</t>
  </si>
  <si>
    <t>26/04/2019 16:01</t>
  </si>
  <si>
    <t>2031145</t>
  </si>
  <si>
    <t>29/04/2019 09:42</t>
  </si>
  <si>
    <t>0XLT280681</t>
  </si>
  <si>
    <t>2030199</t>
  </si>
  <si>
    <t>26/04/2019 12:39</t>
  </si>
  <si>
    <t>0AE9563383</t>
  </si>
  <si>
    <t>2031231</t>
  </si>
  <si>
    <t>29/04/2019 11:01</t>
  </si>
  <si>
    <t>0D6X462987</t>
  </si>
  <si>
    <t>2030031</t>
  </si>
  <si>
    <t>26/04/2019 09:13</t>
  </si>
  <si>
    <t>2029971</t>
  </si>
  <si>
    <t>26/04/2019 07:03</t>
  </si>
  <si>
    <t>0C4X011100</t>
  </si>
  <si>
    <t>AV REVOLUCION 81</t>
  </si>
  <si>
    <t>2031149</t>
  </si>
  <si>
    <t>29/04/2019 09:45</t>
  </si>
  <si>
    <t>0KPA018838</t>
  </si>
  <si>
    <t>2031275</t>
  </si>
  <si>
    <t>29/04/2019 11:59</t>
  </si>
  <si>
    <t>0EX9293331</t>
  </si>
  <si>
    <t>2031339</t>
  </si>
  <si>
    <t>29/04/2019 12:39</t>
  </si>
  <si>
    <t>2031125</t>
  </si>
  <si>
    <t>29/04/2019 09:28</t>
  </si>
  <si>
    <t>2031249</t>
  </si>
  <si>
    <t>29/04/2019 11:12</t>
  </si>
  <si>
    <t>0MX4465124</t>
  </si>
  <si>
    <t>AV INDEPENDENCIA 351</t>
  </si>
  <si>
    <t>2029879</t>
  </si>
  <si>
    <t>25/04/2019 16:47</t>
  </si>
  <si>
    <t>0XPN398415</t>
  </si>
  <si>
    <t>2031535</t>
  </si>
  <si>
    <t>29/04/2019 17:37</t>
  </si>
  <si>
    <t>2031385</t>
  </si>
  <si>
    <t>29/04/2019 14:04</t>
  </si>
  <si>
    <t>03BT802246</t>
  </si>
  <si>
    <t>INTERCAM BANCO S.A., INSTITUCION DE BANCA MULTIPLE</t>
  </si>
  <si>
    <t>CALZADA DEL VALLE No 205</t>
  </si>
  <si>
    <t>2031543</t>
  </si>
  <si>
    <t>29/04/2019 18:06</t>
  </si>
  <si>
    <t>0C4X003904</t>
  </si>
  <si>
    <t>AV CERRO GORDO No 130 PISO 1</t>
  </si>
  <si>
    <t>2031487</t>
  </si>
  <si>
    <t>29/04/2019 16:13</t>
  </si>
  <si>
    <t>0XLT280680</t>
  </si>
  <si>
    <t>2028035</t>
  </si>
  <si>
    <t>22/04/2019 15:58</t>
  </si>
  <si>
    <t>2029895</t>
  </si>
  <si>
    <t>25/04/2019 17:41</t>
  </si>
  <si>
    <t>0A4T021931</t>
  </si>
  <si>
    <t>2029799</t>
  </si>
  <si>
    <t>25/04/2019 14:29</t>
  </si>
  <si>
    <t>0T4B003700</t>
  </si>
  <si>
    <t>2031427</t>
  </si>
  <si>
    <t>29/04/2019 14:53</t>
  </si>
  <si>
    <t>2030085</t>
  </si>
  <si>
    <t>26/04/2019 10:03</t>
  </si>
  <si>
    <t>800113</t>
  </si>
  <si>
    <t>2026313</t>
  </si>
  <si>
    <t>17/04/2019 13:18</t>
  </si>
  <si>
    <t>0X76092639</t>
  </si>
  <si>
    <t>CARR GUADALAJARA -CHAPALA KM 17.5</t>
  </si>
  <si>
    <t>2031603</t>
  </si>
  <si>
    <t>30/04/2019 08:17</t>
  </si>
  <si>
    <t>0A1H021381</t>
  </si>
  <si>
    <t>2031623</t>
  </si>
  <si>
    <t>30/04/2019 08:54</t>
  </si>
  <si>
    <t>5AV803529</t>
  </si>
  <si>
    <t>PONIENTE 134 NUM 580 B</t>
  </si>
  <si>
    <t>AZCAPOTZALCO-CIUDAD</t>
  </si>
  <si>
    <t>2030181</t>
  </si>
  <si>
    <t>26/04/2019 12:05</t>
  </si>
  <si>
    <t>0D6X463460</t>
  </si>
  <si>
    <t>2031611</t>
  </si>
  <si>
    <t>30/04/2019 08:34</t>
  </si>
  <si>
    <t>03AG873888</t>
  </si>
  <si>
    <t>2031719</t>
  </si>
  <si>
    <t>30/04/2019 10:28</t>
  </si>
  <si>
    <t>2031613</t>
  </si>
  <si>
    <t>30/04/2019 08:38</t>
  </si>
  <si>
    <t>2031515</t>
  </si>
  <si>
    <t>29/04/2019 16:53</t>
  </si>
  <si>
    <t>2031545</t>
  </si>
  <si>
    <t>29/04/2019 18:13</t>
  </si>
  <si>
    <t>0LA6296642</t>
  </si>
  <si>
    <t>CHIHUAHUA S/N ENTRE TLAXCALA Y DURANGO</t>
  </si>
  <si>
    <t>2031475</t>
  </si>
  <si>
    <t>29/04/2019 15:51</t>
  </si>
  <si>
    <t>9HB914354</t>
  </si>
  <si>
    <t>IMPULSORA INDUSTRIAL MONTERREY SA</t>
  </si>
  <si>
    <t>AV DE LA INDUSTRIA No 14800 - A</t>
  </si>
  <si>
    <t>2031281</t>
  </si>
  <si>
    <t>29/04/2019 11:58</t>
  </si>
  <si>
    <t>2028319</t>
  </si>
  <si>
    <t>23/04/2019 10:18</t>
  </si>
  <si>
    <t>0Y4X826347</t>
  </si>
  <si>
    <t>AV FOMENTO INDUSTRIAL DEL PARQUE NUMERO INTERIOR S</t>
  </si>
  <si>
    <t>2031631</t>
  </si>
  <si>
    <t>30/04/2019 09:08</t>
  </si>
  <si>
    <t>2031703</t>
  </si>
  <si>
    <t>30/04/2019 10:33</t>
  </si>
  <si>
    <t>0AE9573921</t>
  </si>
  <si>
    <t>2031665</t>
  </si>
  <si>
    <t>30/04/2019 09:40</t>
  </si>
  <si>
    <t>2030763</t>
  </si>
  <si>
    <t>28/04/2019 15:10</t>
  </si>
  <si>
    <t>0BG2951501</t>
  </si>
  <si>
    <t>2031777</t>
  </si>
  <si>
    <t>30/04/2019 12:10</t>
  </si>
  <si>
    <t>0E2B656382</t>
  </si>
  <si>
    <t>AV ADOLFO LOPEZ MATEOS 2058</t>
  </si>
  <si>
    <t>2031387</t>
  </si>
  <si>
    <t>29/04/2019 14:05</t>
  </si>
  <si>
    <t>Servicios</t>
  </si>
  <si>
    <t>Cálculo pago Servicios</t>
  </si>
  <si>
    <t>Obj</t>
  </si>
  <si>
    <t>Real</t>
  </si>
  <si>
    <t>Resultado Gasto de Partes</t>
  </si>
  <si>
    <t>Bonus/Malus
Gasto de Partes</t>
  </si>
  <si>
    <t>Tiempo de Respuesta</t>
  </si>
  <si>
    <t>Tiempo de Solución</t>
  </si>
  <si>
    <t>Tiempo de Documentación</t>
  </si>
  <si>
    <t>Otros</t>
  </si>
  <si>
    <t>Pago Final</t>
  </si>
  <si>
    <t>Residentes XGS Y FSMA</t>
  </si>
  <si>
    <t>Personal de cuentas GDO</t>
  </si>
  <si>
    <t>Etiquetas de fila</t>
  </si>
  <si>
    <t>Total general</t>
  </si>
  <si>
    <t>Colima</t>
  </si>
  <si>
    <t>437 equipos pisa</t>
  </si>
  <si>
    <t>Pago x servicio - penalización TR</t>
  </si>
  <si>
    <t>Suma de Pago x servicio - penalización TR</t>
  </si>
  <si>
    <t>calculo R</t>
  </si>
  <si>
    <t>son iguales</t>
  </si>
  <si>
    <t>correcto R</t>
  </si>
  <si>
    <t>calculo r 19mil datos</t>
  </si>
  <si>
    <t>error de captura serie</t>
  </si>
  <si>
    <t>error tipo</t>
  </si>
  <si>
    <t>grupo empresarial</t>
  </si>
  <si>
    <t>fecha finalizacion</t>
  </si>
  <si>
    <t>termino en otro mes</t>
  </si>
  <si>
    <t>clasificaciones diferentes que supuestamente no generan pago</t>
  </si>
  <si>
    <t>XEROX</t>
  </si>
  <si>
    <t>GEN</t>
  </si>
  <si>
    <t>grupo empresaial diferente</t>
  </si>
  <si>
    <t>error no aparece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</si>
</sst>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"/>
    <numFmt numFmtId="165" formatCode="_-* #,##0.0_-;\-* #,##0.0_-;_-* &quot;-&quot;??_-;_-@_-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Calibri Light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 Light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7" fontId="2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/>
    <xf numFmtId="164" fontId="4" fillId="0" borderId="0" xfId="0" applyNumberFormat="1" applyFont="1" applyFill="1" applyBorder="1"/>
    <xf numFmtId="164" fontId="2" fillId="2" borderId="0" xfId="2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9" fontId="7" fillId="2" borderId="1" xfId="3" applyFont="1" applyFill="1" applyBorder="1" applyAlignment="1">
      <alignment wrapText="1"/>
    </xf>
    <xf numFmtId="164" fontId="7" fillId="2" borderId="1" xfId="0" applyNumberFormat="1" applyFont="1" applyFill="1" applyBorder="1" applyAlignment="1">
      <alignment wrapText="1"/>
    </xf>
    <xf numFmtId="165" fontId="7" fillId="2" borderId="1" xfId="1" applyNumberFormat="1" applyFont="1" applyFill="1" applyBorder="1" applyAlignment="1">
      <alignment wrapText="1"/>
    </xf>
    <xf numFmtId="17" fontId="8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14" fontId="8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/>
    <xf numFmtId="0" fontId="8" fillId="0" borderId="0" xfId="0" applyFont="1" applyFill="1" applyBorder="1"/>
    <xf numFmtId="0" fontId="8" fillId="2" borderId="0" xfId="0" applyFont="1" applyFill="1" applyBorder="1"/>
    <xf numFmtId="0" fontId="9" fillId="2" borderId="0" xfId="0" applyFont="1" applyFill="1" applyBorder="1"/>
    <xf numFmtId="0" fontId="10" fillId="2" borderId="0" xfId="0" applyFont="1" applyFill="1" applyBorder="1"/>
    <xf numFmtId="9" fontId="10" fillId="2" borderId="0" xfId="3" applyFont="1" applyFill="1" applyBorder="1"/>
    <xf numFmtId="164" fontId="10" fillId="2" borderId="0" xfId="0" applyNumberFormat="1" applyFont="1" applyFill="1" applyBorder="1"/>
    <xf numFmtId="43" fontId="10" fillId="2" borderId="0" xfId="1" applyFont="1" applyFill="1" applyBorder="1"/>
    <xf numFmtId="165" fontId="10" fillId="2" borderId="0" xfId="1" applyNumberFormat="1" applyFont="1" applyFill="1" applyBorder="1"/>
    <xf numFmtId="166" fontId="10" fillId="2" borderId="0" xfId="0" applyNumberFormat="1" applyFont="1" applyFill="1" applyBorder="1"/>
    <xf numFmtId="6" fontId="10" fillId="2" borderId="0" xfId="0" applyNumberFormat="1" applyFont="1" applyFill="1" applyBorder="1"/>
    <xf numFmtId="15" fontId="10" fillId="2" borderId="0" xfId="1" applyNumberFormat="1" applyFont="1" applyFill="1" applyBorder="1"/>
    <xf numFmtId="6" fontId="10" fillId="2" borderId="0" xfId="2" applyNumberFormat="1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6" fontId="8" fillId="0" borderId="0" xfId="2" applyNumberFormat="1" applyFont="1" applyFill="1" applyBorder="1" applyAlignment="1">
      <alignment horizontal="center"/>
    </xf>
    <xf numFmtId="9" fontId="8" fillId="0" borderId="0" xfId="3" applyNumberFormat="1" applyFont="1" applyFill="1" applyBorder="1" applyAlignment="1">
      <alignment horizontal="center"/>
    </xf>
    <xf numFmtId="6" fontId="4" fillId="0" borderId="0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right"/>
    </xf>
    <xf numFmtId="44" fontId="0" fillId="0" borderId="0" xfId="2" applyFont="1"/>
    <xf numFmtId="164" fontId="7" fillId="2" borderId="0" xfId="0" applyNumberFormat="1" applyFont="1" applyFill="1" applyBorder="1" applyAlignment="1">
      <alignment wrapText="1"/>
    </xf>
    <xf numFmtId="8" fontId="0" fillId="0" borderId="0" xfId="0" applyNumberFormat="1"/>
    <xf numFmtId="44" fontId="11" fillId="0" borderId="0" xfId="0" applyNumberFormat="1" applyFont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left"/>
    </xf>
    <xf numFmtId="14" fontId="0" fillId="0" borderId="0" xfId="0" applyNumberForma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2">
    <dxf>
      <font>
        <color rgb="FF9C0006"/>
      </font>
      <fill>
        <patternFill>
          <bgColor rgb="FFFFC7CE"/>
        </patternFill>
      </fill>
    </dxf>
    <dxf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paracion%20resultados%20vs%20MI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prueba con 16mil datos"/>
      <sheetName val="Prueba con 19mil datos"/>
    </sheetNames>
    <sheetDataSet>
      <sheetData sheetId="0"/>
      <sheetData sheetId="1"/>
      <sheetData sheetId="2">
        <row r="1">
          <cell r="A1" t="str">
            <v>N° de serie</v>
          </cell>
          <cell r="B1" t="str">
            <v>Year</v>
          </cell>
          <cell r="C1" t="str">
            <v>Quarter</v>
          </cell>
          <cell r="D1" t="str">
            <v>Month</v>
          </cell>
          <cell r="E1" t="str">
            <v>Day</v>
          </cell>
          <cell r="F1" t="str">
            <v>Categoría</v>
          </cell>
          <cell r="G1" t="str">
            <v>T. respuesta</v>
          </cell>
          <cell r="H1" t="str">
            <v>Business Team</v>
          </cell>
          <cell r="I1" t="str">
            <v>Pago Base CDMX y área metropolitana</v>
          </cell>
          <cell r="J1" t="str">
            <v>Pago Base Interior</v>
          </cell>
          <cell r="K1" t="str">
            <v>menos de 3 días</v>
          </cell>
          <cell r="L1" t="str">
            <v>entre 3 y 6 días</v>
          </cell>
          <cell r="M1" t="str">
            <v>entre 7 y 15 días</v>
          </cell>
          <cell r="N1" t="str">
            <v>entre 16 y 30 días</v>
          </cell>
          <cell r="O1" t="str">
            <v>entre 31 y 59 días</v>
          </cell>
          <cell r="P1" t="str">
            <v>60 días o más</v>
          </cell>
          <cell r="Q1" t="str">
            <v>REGION</v>
          </cell>
          <cell r="R1" t="str">
            <v>TR Ciudades principales</v>
          </cell>
          <cell r="S1" t="str">
            <v>TR Otras ciudades</v>
          </cell>
          <cell r="T1" t="str">
            <v>Loc TR</v>
          </cell>
          <cell r="U1" t="str">
            <v>familia matriz global</v>
          </cell>
          <cell r="V1" t="str">
            <v>Cliente</v>
          </cell>
          <cell r="W1" t="str">
            <v>Ruta</v>
          </cell>
          <cell r="X1" t="str">
            <v>Year.1</v>
          </cell>
          <cell r="Y1" t="str">
            <v>Quarter.1</v>
          </cell>
          <cell r="Z1" t="str">
            <v>Month.1</v>
          </cell>
          <cell r="AA1" t="str">
            <v>Day.1</v>
          </cell>
          <cell r="AB1" t="str">
            <v>time</v>
          </cell>
          <cell r="AC1" t="str">
            <v>viabilidad</v>
          </cell>
          <cell r="AD1" t="str">
            <v>veces_obj</v>
          </cell>
          <cell r="AE1" t="str">
            <v>pagofinal</v>
          </cell>
        </row>
        <row r="2">
          <cell r="A2" t="str">
            <v>9HB334888</v>
          </cell>
          <cell r="B2">
            <v>2019</v>
          </cell>
          <cell r="C2" t="str">
            <v>Qtr 1</v>
          </cell>
          <cell r="D2" t="str">
            <v>March</v>
          </cell>
          <cell r="E2">
            <v>4</v>
          </cell>
          <cell r="F2" t="str">
            <v>INSTALACION NUEVA</v>
          </cell>
          <cell r="G2">
            <v>0</v>
          </cell>
          <cell r="I2" t="str">
            <v>NA</v>
          </cell>
          <cell r="J2" t="str">
            <v>NA</v>
          </cell>
          <cell r="K2" t="str">
            <v>NA</v>
          </cell>
          <cell r="L2" t="str">
            <v>NA</v>
          </cell>
          <cell r="M2" t="str">
            <v>NA</v>
          </cell>
          <cell r="N2" t="str">
            <v>NA</v>
          </cell>
          <cell r="O2" t="str">
            <v>NA</v>
          </cell>
          <cell r="P2" t="str">
            <v>NA</v>
          </cell>
          <cell r="R2" t="str">
            <v>NA</v>
          </cell>
          <cell r="S2" t="str">
            <v>NA</v>
          </cell>
          <cell r="U2" t="str">
            <v>A4 Mono MFPs</v>
          </cell>
          <cell r="V2" t="str">
            <v>XEROX MEXICANA SA DE CV / XEROX MEXICANA</v>
          </cell>
          <cell r="W2" t="str">
            <v>ESTADO DE MEXICO</v>
          </cell>
          <cell r="X2">
            <v>2019</v>
          </cell>
          <cell r="Y2" t="str">
            <v>Qtr 2</v>
          </cell>
          <cell r="Z2" t="str">
            <v>April</v>
          </cell>
          <cell r="AA2">
            <v>4</v>
          </cell>
          <cell r="AB2">
            <v>0</v>
          </cell>
          <cell r="AC2">
            <v>1.1000000000000001</v>
          </cell>
          <cell r="AD2">
            <v>0</v>
          </cell>
          <cell r="AE2">
            <v>715</v>
          </cell>
        </row>
        <row r="3">
          <cell r="A3" t="str">
            <v>0AGD461524</v>
          </cell>
          <cell r="B3">
            <v>2019</v>
          </cell>
          <cell r="C3" t="str">
            <v>Qtr 1</v>
          </cell>
          <cell r="D3" t="str">
            <v>March</v>
          </cell>
          <cell r="E3">
            <v>5</v>
          </cell>
          <cell r="F3" t="str">
            <v>CORRECTIVO</v>
          </cell>
          <cell r="G3">
            <v>2.8666670000000001</v>
          </cell>
          <cell r="I3" t="str">
            <v>NA</v>
          </cell>
          <cell r="J3" t="str">
            <v>NA</v>
          </cell>
          <cell r="K3" t="str">
            <v>NA</v>
          </cell>
          <cell r="L3" t="str">
            <v>NA</v>
          </cell>
          <cell r="M3" t="str">
            <v>NA</v>
          </cell>
          <cell r="N3" t="str">
            <v>NA</v>
          </cell>
          <cell r="O3" t="str">
            <v>NA</v>
          </cell>
          <cell r="P3" t="str">
            <v>NA</v>
          </cell>
          <cell r="R3" t="str">
            <v>NA</v>
          </cell>
          <cell r="S3" t="str">
            <v>NA</v>
          </cell>
          <cell r="U3" t="str">
            <v>A4 Color Laser MFPs</v>
          </cell>
          <cell r="V3" t="str">
            <v>XEROX MEXICANA SA DE CV / XEROX MEXICANA</v>
          </cell>
          <cell r="W3" t="str">
            <v>NUEVO LEON</v>
          </cell>
          <cell r="X3">
            <v>2019</v>
          </cell>
          <cell r="Y3" t="str">
            <v>Qtr 2</v>
          </cell>
          <cell r="Z3" t="str">
            <v>April</v>
          </cell>
          <cell r="AA3">
            <v>22</v>
          </cell>
          <cell r="AB3">
            <v>12</v>
          </cell>
          <cell r="AC3">
            <v>1.1000000000000001</v>
          </cell>
          <cell r="AD3">
            <v>0</v>
          </cell>
          <cell r="AE3">
            <v>0</v>
          </cell>
        </row>
        <row r="4">
          <cell r="A4" t="str">
            <v>0BG2951668</v>
          </cell>
          <cell r="B4">
            <v>2019</v>
          </cell>
          <cell r="C4" t="str">
            <v>Qtr 1</v>
          </cell>
          <cell r="D4" t="str">
            <v>March</v>
          </cell>
          <cell r="E4">
            <v>11</v>
          </cell>
          <cell r="F4" t="str">
            <v>MANTENIMIENTO PREVENTIVO</v>
          </cell>
          <cell r="G4">
            <v>0</v>
          </cell>
          <cell r="H4" t="str">
            <v>Light Production Digital Business</v>
          </cell>
          <cell r="I4">
            <v>803</v>
          </cell>
          <cell r="J4">
            <v>1573</v>
          </cell>
          <cell r="K4">
            <v>0.2</v>
          </cell>
          <cell r="L4">
            <v>0.6</v>
          </cell>
          <cell r="M4">
            <v>0.8</v>
          </cell>
          <cell r="N4">
            <v>1.05</v>
          </cell>
          <cell r="O4">
            <v>1.1000000000000001</v>
          </cell>
          <cell r="P4">
            <v>1.1499999999999999</v>
          </cell>
          <cell r="Q4" t="str">
            <v>INTERIOR</v>
          </cell>
          <cell r="R4">
            <v>4</v>
          </cell>
          <cell r="S4">
            <v>6</v>
          </cell>
          <cell r="T4" t="str">
            <v>Ciudad principal</v>
          </cell>
          <cell r="U4" t="str">
            <v>High End Cut Sheet</v>
          </cell>
          <cell r="V4" t="str">
            <v>XEROX MEXICANA SA DE CV / XEROX MEXICANA</v>
          </cell>
          <cell r="W4" t="str">
            <v>NUEVO LEON</v>
          </cell>
          <cell r="X4">
            <v>2019</v>
          </cell>
          <cell r="Y4" t="str">
            <v>Qtr 2</v>
          </cell>
          <cell r="Z4" t="str">
            <v>April</v>
          </cell>
          <cell r="AA4">
            <v>11</v>
          </cell>
          <cell r="AB4">
            <v>14</v>
          </cell>
          <cell r="AC4">
            <v>0</v>
          </cell>
          <cell r="AD4">
            <v>0</v>
          </cell>
          <cell r="AE4">
            <v>1573</v>
          </cell>
        </row>
        <row r="5">
          <cell r="A5" t="str">
            <v>0BPB110617</v>
          </cell>
          <cell r="B5">
            <v>2019</v>
          </cell>
          <cell r="C5" t="str">
            <v>Qtr 1</v>
          </cell>
          <cell r="D5" t="str">
            <v>March</v>
          </cell>
          <cell r="E5">
            <v>13</v>
          </cell>
          <cell r="F5" t="str">
            <v>CORRECTIVO</v>
          </cell>
          <cell r="G5">
            <v>2.2166670000000002</v>
          </cell>
          <cell r="I5" t="str">
            <v>NA</v>
          </cell>
          <cell r="J5" t="str">
            <v>NA</v>
          </cell>
          <cell r="K5" t="str">
            <v>NA</v>
          </cell>
          <cell r="L5" t="str">
            <v>NA</v>
          </cell>
          <cell r="M5" t="str">
            <v>NA</v>
          </cell>
          <cell r="N5" t="str">
            <v>NA</v>
          </cell>
          <cell r="O5" t="str">
            <v>NA</v>
          </cell>
          <cell r="P5" t="str">
            <v>NA</v>
          </cell>
          <cell r="R5" t="str">
            <v>NA</v>
          </cell>
          <cell r="S5" t="str">
            <v>NA</v>
          </cell>
          <cell r="U5" t="str">
            <v>High End Cut Sheet</v>
          </cell>
          <cell r="V5" t="str">
            <v>XEROX MEXICANA SA DE CV / XEROX MEXICANA</v>
          </cell>
          <cell r="W5" t="str">
            <v>JALISCO</v>
          </cell>
          <cell r="X5">
            <v>2019</v>
          </cell>
          <cell r="Y5" t="str">
            <v>Qtr 2</v>
          </cell>
          <cell r="Z5" t="str">
            <v>April</v>
          </cell>
          <cell r="AA5">
            <v>1</v>
          </cell>
          <cell r="AB5">
            <v>13</v>
          </cell>
          <cell r="AC5">
            <v>1.1000000000000001</v>
          </cell>
          <cell r="AD5">
            <v>0</v>
          </cell>
          <cell r="AE5">
            <v>107.25</v>
          </cell>
        </row>
        <row r="6">
          <cell r="A6" t="str">
            <v>0BPB110653</v>
          </cell>
          <cell r="B6">
            <v>2019</v>
          </cell>
          <cell r="C6" t="str">
            <v>Qtr 1</v>
          </cell>
          <cell r="D6" t="str">
            <v>March</v>
          </cell>
          <cell r="E6">
            <v>13</v>
          </cell>
          <cell r="F6" t="str">
            <v>CORRECTIVO</v>
          </cell>
          <cell r="G6">
            <v>4.233333</v>
          </cell>
          <cell r="I6" t="str">
            <v>NA</v>
          </cell>
          <cell r="J6" t="str">
            <v>NA</v>
          </cell>
          <cell r="K6" t="str">
            <v>NA</v>
          </cell>
          <cell r="L6" t="str">
            <v>NA</v>
          </cell>
          <cell r="M6" t="str">
            <v>NA</v>
          </cell>
          <cell r="N6" t="str">
            <v>NA</v>
          </cell>
          <cell r="O6" t="str">
            <v>NA</v>
          </cell>
          <cell r="P6" t="str">
            <v>NA</v>
          </cell>
          <cell r="R6" t="str">
            <v>NA</v>
          </cell>
          <cell r="S6" t="str">
            <v>NA</v>
          </cell>
          <cell r="U6" t="str">
            <v>High End Cut Sheet</v>
          </cell>
          <cell r="V6" t="str">
            <v>XEROX MEXICANA SA DE CV / XEROX MEXICANA</v>
          </cell>
          <cell r="W6" t="str">
            <v>JALISCO</v>
          </cell>
          <cell r="X6">
            <v>2019</v>
          </cell>
          <cell r="Y6" t="str">
            <v>Qtr 2</v>
          </cell>
          <cell r="Z6" t="str">
            <v>April</v>
          </cell>
          <cell r="AA6">
            <v>3</v>
          </cell>
          <cell r="AB6">
            <v>35</v>
          </cell>
          <cell r="AC6">
            <v>1.1000000000000001</v>
          </cell>
          <cell r="AD6">
            <v>0</v>
          </cell>
          <cell r="AE6">
            <v>321.75</v>
          </cell>
        </row>
        <row r="7">
          <cell r="A7" t="str">
            <v>0VGW686533</v>
          </cell>
          <cell r="B7">
            <v>2019</v>
          </cell>
          <cell r="C7" t="str">
            <v>Qtr 1</v>
          </cell>
          <cell r="D7" t="str">
            <v>March</v>
          </cell>
          <cell r="E7">
            <v>15</v>
          </cell>
          <cell r="F7" t="str">
            <v>CORRECTIVO</v>
          </cell>
          <cell r="G7">
            <v>0.25</v>
          </cell>
          <cell r="H7" t="str">
            <v>A3 Professional Color Laser MFPs</v>
          </cell>
          <cell r="I7">
            <v>655</v>
          </cell>
          <cell r="J7">
            <v>1365</v>
          </cell>
          <cell r="K7">
            <v>0</v>
          </cell>
          <cell r="L7">
            <v>0</v>
          </cell>
          <cell r="M7">
            <v>0.6</v>
          </cell>
          <cell r="N7">
            <v>0.8</v>
          </cell>
          <cell r="O7">
            <v>1.05</v>
          </cell>
          <cell r="P7">
            <v>1.1000000000000001</v>
          </cell>
          <cell r="Q7" t="str">
            <v>INTERIOR</v>
          </cell>
          <cell r="R7">
            <v>5</v>
          </cell>
          <cell r="S7">
            <v>9</v>
          </cell>
          <cell r="T7" t="str">
            <v>Ciudad principal</v>
          </cell>
          <cell r="U7" t="str">
            <v>Entry Production Color Low/Mid</v>
          </cell>
          <cell r="V7" t="str">
            <v>XEROX MEXICANA SA DE CV / XEROX MEXICANA</v>
          </cell>
          <cell r="W7" t="str">
            <v>CHIHUAHUA</v>
          </cell>
          <cell r="X7">
            <v>2019</v>
          </cell>
          <cell r="Y7" t="str">
            <v>Qtr 2</v>
          </cell>
          <cell r="Z7" t="str">
            <v>April</v>
          </cell>
          <cell r="AA7">
            <v>9</v>
          </cell>
          <cell r="AB7">
            <v>29</v>
          </cell>
          <cell r="AC7">
            <v>0.8</v>
          </cell>
          <cell r="AD7">
            <v>0.05</v>
          </cell>
          <cell r="AE7">
            <v>1092</v>
          </cell>
        </row>
        <row r="8">
          <cell r="A8" t="str">
            <v>0BG0971716</v>
          </cell>
          <cell r="B8">
            <v>2019</v>
          </cell>
          <cell r="C8" t="str">
            <v>Qtr 1</v>
          </cell>
          <cell r="D8" t="str">
            <v>March</v>
          </cell>
          <cell r="E8">
            <v>20</v>
          </cell>
          <cell r="F8" t="str">
            <v>CORRECTIVO</v>
          </cell>
          <cell r="G8">
            <v>1.183333</v>
          </cell>
          <cell r="H8" t="str">
            <v>Light Production Digital Business</v>
          </cell>
          <cell r="I8">
            <v>803</v>
          </cell>
          <cell r="J8">
            <v>1573</v>
          </cell>
          <cell r="K8">
            <v>0.2</v>
          </cell>
          <cell r="L8">
            <v>0.6</v>
          </cell>
          <cell r="M8">
            <v>0.8</v>
          </cell>
          <cell r="N8">
            <v>1.05</v>
          </cell>
          <cell r="O8">
            <v>1.1000000000000001</v>
          </cell>
          <cell r="P8">
            <v>1.1499999999999999</v>
          </cell>
          <cell r="Q8" t="str">
            <v>INTERIOR</v>
          </cell>
          <cell r="R8">
            <v>4</v>
          </cell>
          <cell r="S8">
            <v>6</v>
          </cell>
          <cell r="T8" t="str">
            <v>Ciudad principal</v>
          </cell>
          <cell r="U8" t="str">
            <v>High End Cut Sheet</v>
          </cell>
          <cell r="V8" t="str">
            <v>XEROX MEXICANA SA DE CV / XEROX MEXICANA</v>
          </cell>
          <cell r="W8" t="str">
            <v>NUEVO LEON</v>
          </cell>
          <cell r="X8">
            <v>2019</v>
          </cell>
          <cell r="Y8" t="str">
            <v>Qtr 2</v>
          </cell>
          <cell r="Z8" t="str">
            <v>April</v>
          </cell>
          <cell r="AA8">
            <v>3</v>
          </cell>
          <cell r="AB8">
            <v>49</v>
          </cell>
          <cell r="AC8">
            <v>1.1000000000000001</v>
          </cell>
          <cell r="AD8">
            <v>0.29583324999999999</v>
          </cell>
          <cell r="AE8">
            <v>1730.3</v>
          </cell>
        </row>
        <row r="9">
          <cell r="A9" t="str">
            <v>0EX9310036</v>
          </cell>
          <cell r="B9">
            <v>2019</v>
          </cell>
          <cell r="C9" t="str">
            <v>Qtr 1</v>
          </cell>
          <cell r="D9" t="str">
            <v>March</v>
          </cell>
          <cell r="E9">
            <v>21</v>
          </cell>
          <cell r="F9" t="str">
            <v>CORRECTIVO</v>
          </cell>
          <cell r="G9">
            <v>1.6666669999999999</v>
          </cell>
          <cell r="H9" t="str">
            <v>Departmental Digital</v>
          </cell>
          <cell r="I9">
            <v>655</v>
          </cell>
          <cell r="J9">
            <v>1365</v>
          </cell>
          <cell r="K9">
            <v>0</v>
          </cell>
          <cell r="L9">
            <v>0</v>
          </cell>
          <cell r="M9">
            <v>0.6</v>
          </cell>
          <cell r="N9">
            <v>0.8</v>
          </cell>
          <cell r="O9">
            <v>1.05</v>
          </cell>
          <cell r="P9">
            <v>1.1000000000000001</v>
          </cell>
          <cell r="Q9" t="str">
            <v>INTERIOR</v>
          </cell>
          <cell r="R9">
            <v>5</v>
          </cell>
          <cell r="S9">
            <v>9</v>
          </cell>
          <cell r="T9" t="str">
            <v>Ciudad principal</v>
          </cell>
          <cell r="U9" t="str">
            <v>Departmental Digital</v>
          </cell>
          <cell r="V9" t="str">
            <v>XEROX MEXICANA SA DE CV / XEROX MEXICANA</v>
          </cell>
          <cell r="W9" t="str">
            <v>TAMAULIPAS</v>
          </cell>
          <cell r="X9">
            <v>2019</v>
          </cell>
          <cell r="Y9" t="str">
            <v>Qtr 2</v>
          </cell>
          <cell r="Z9" t="str">
            <v>April</v>
          </cell>
          <cell r="AA9">
            <v>5</v>
          </cell>
          <cell r="AB9">
            <v>48</v>
          </cell>
          <cell r="AC9">
            <v>1.05</v>
          </cell>
          <cell r="AD9">
            <v>0.3333334</v>
          </cell>
          <cell r="AE9">
            <v>1433.25</v>
          </cell>
        </row>
        <row r="10">
          <cell r="A10" t="str">
            <v>0RXD138712</v>
          </cell>
          <cell r="B10">
            <v>2019</v>
          </cell>
          <cell r="C10" t="str">
            <v>Qtr 1</v>
          </cell>
          <cell r="D10" t="str">
            <v>March</v>
          </cell>
          <cell r="E10">
            <v>21</v>
          </cell>
          <cell r="F10" t="str">
            <v>CORRECTIVO</v>
          </cell>
          <cell r="G10">
            <v>0.31666670000000002</v>
          </cell>
          <cell r="I10" t="str">
            <v>NA</v>
          </cell>
          <cell r="J10" t="str">
            <v>NA</v>
          </cell>
          <cell r="K10" t="str">
            <v>NA</v>
          </cell>
          <cell r="L10" t="str">
            <v>NA</v>
          </cell>
          <cell r="M10" t="str">
            <v>NA</v>
          </cell>
          <cell r="N10" t="str">
            <v>NA</v>
          </cell>
          <cell r="O10" t="str">
            <v>NA</v>
          </cell>
          <cell r="P10" t="str">
            <v>NA</v>
          </cell>
          <cell r="R10" t="str">
            <v>NA</v>
          </cell>
          <cell r="S10" t="str">
            <v>NA</v>
          </cell>
          <cell r="U10" t="str">
            <v>Departmental Digital</v>
          </cell>
          <cell r="V10" t="str">
            <v>XEROX MEXICANA SA DE CV / XEROX MEXICANA</v>
          </cell>
          <cell r="W10" t="str">
            <v>COAHUILA</v>
          </cell>
          <cell r="X10">
            <v>2019</v>
          </cell>
          <cell r="Y10" t="str">
            <v>Qtr 2</v>
          </cell>
          <cell r="Z10" t="str">
            <v>April</v>
          </cell>
          <cell r="AA10">
            <v>5</v>
          </cell>
          <cell r="AB10">
            <v>58</v>
          </cell>
          <cell r="AC10">
            <v>1.1000000000000001</v>
          </cell>
          <cell r="AD10">
            <v>0</v>
          </cell>
          <cell r="AE10">
            <v>962</v>
          </cell>
        </row>
        <row r="11">
          <cell r="A11" t="str">
            <v>0BG2948893</v>
          </cell>
          <cell r="B11">
            <v>2019</v>
          </cell>
          <cell r="C11" t="str">
            <v>Qtr 1</v>
          </cell>
          <cell r="D11" t="str">
            <v>March</v>
          </cell>
          <cell r="E11">
            <v>22</v>
          </cell>
          <cell r="F11" t="str">
            <v>CORRECTIVO</v>
          </cell>
          <cell r="G11">
            <v>2.65</v>
          </cell>
          <cell r="H11" t="str">
            <v>Light Production Digital Business</v>
          </cell>
          <cell r="I11">
            <v>803</v>
          </cell>
          <cell r="J11">
            <v>1573</v>
          </cell>
          <cell r="K11">
            <v>0.2</v>
          </cell>
          <cell r="L11">
            <v>0.6</v>
          </cell>
          <cell r="M11">
            <v>0.8</v>
          </cell>
          <cell r="N11">
            <v>1.05</v>
          </cell>
          <cell r="O11">
            <v>1.1000000000000001</v>
          </cell>
          <cell r="P11">
            <v>1.1499999999999999</v>
          </cell>
          <cell r="Q11" t="str">
            <v>INTERIOR</v>
          </cell>
          <cell r="R11">
            <v>4</v>
          </cell>
          <cell r="S11">
            <v>6</v>
          </cell>
          <cell r="T11" t="str">
            <v>Ciudad principal</v>
          </cell>
          <cell r="U11" t="str">
            <v>High End Cut Sheet</v>
          </cell>
          <cell r="V11" t="str">
            <v>XEROX MEXICANA SA DE CV / XEROX MEXICANA</v>
          </cell>
          <cell r="W11" t="str">
            <v>NUEVO LEON</v>
          </cell>
          <cell r="X11">
            <v>2019</v>
          </cell>
          <cell r="Y11" t="str">
            <v>Qtr 2</v>
          </cell>
          <cell r="Z11" t="str">
            <v>April</v>
          </cell>
          <cell r="AA11">
            <v>4</v>
          </cell>
          <cell r="AB11">
            <v>15</v>
          </cell>
          <cell r="AC11">
            <v>0.8</v>
          </cell>
          <cell r="AD11">
            <v>0.66249999999999998</v>
          </cell>
          <cell r="AE11">
            <v>1258.4000000000001</v>
          </cell>
        </row>
        <row r="12">
          <cell r="A12" t="str">
            <v>0LX5697800</v>
          </cell>
          <cell r="B12">
            <v>2019</v>
          </cell>
          <cell r="C12" t="str">
            <v>Qtr 1</v>
          </cell>
          <cell r="D12" t="str">
            <v>March</v>
          </cell>
          <cell r="E12">
            <v>22</v>
          </cell>
          <cell r="F12" t="str">
            <v>CORRECTIVO</v>
          </cell>
          <cell r="G12">
            <v>1.066667</v>
          </cell>
          <cell r="H12" t="str">
            <v>A3 Office Color Laser MFPs</v>
          </cell>
          <cell r="I12">
            <v>655</v>
          </cell>
          <cell r="J12">
            <v>1365</v>
          </cell>
          <cell r="K12">
            <v>0</v>
          </cell>
          <cell r="L12">
            <v>0</v>
          </cell>
          <cell r="M12">
            <v>0.6</v>
          </cell>
          <cell r="N12">
            <v>0.8</v>
          </cell>
          <cell r="O12">
            <v>1.05</v>
          </cell>
          <cell r="P12">
            <v>1.1000000000000001</v>
          </cell>
          <cell r="Q12" t="str">
            <v>INTERIOR</v>
          </cell>
          <cell r="R12">
            <v>5</v>
          </cell>
          <cell r="S12">
            <v>9</v>
          </cell>
          <cell r="T12" t="str">
            <v>Ciudad principal</v>
          </cell>
          <cell r="U12" t="str">
            <v>A3 Office Color Laser MFPs</v>
          </cell>
          <cell r="V12" t="str">
            <v>XEROX MEXICANA SA DE CV / XEROX MEXICANA</v>
          </cell>
          <cell r="W12" t="str">
            <v>CHIHUAHUA</v>
          </cell>
          <cell r="X12">
            <v>2019</v>
          </cell>
          <cell r="Y12" t="str">
            <v>Qtr 2</v>
          </cell>
          <cell r="Z12" t="str">
            <v>April</v>
          </cell>
          <cell r="AA12">
            <v>4</v>
          </cell>
          <cell r="AB12">
            <v>17</v>
          </cell>
          <cell r="AC12">
            <v>0.8</v>
          </cell>
          <cell r="AD12">
            <v>0.21333340000000001</v>
          </cell>
          <cell r="AE12">
            <v>1092</v>
          </cell>
        </row>
        <row r="13">
          <cell r="A13" t="str">
            <v>0AB9779149</v>
          </cell>
          <cell r="B13">
            <v>2019</v>
          </cell>
          <cell r="C13" t="str">
            <v>Qtr 1</v>
          </cell>
          <cell r="D13" t="str">
            <v>March</v>
          </cell>
          <cell r="E13">
            <v>25</v>
          </cell>
          <cell r="F13" t="str">
            <v>CORRECTIVO</v>
          </cell>
          <cell r="G13">
            <v>0</v>
          </cell>
          <cell r="H13" t="str">
            <v>Color Laser Printers</v>
          </cell>
          <cell r="I13">
            <v>468</v>
          </cell>
          <cell r="J13">
            <v>715</v>
          </cell>
          <cell r="K13">
            <v>0</v>
          </cell>
          <cell r="L13">
            <v>0</v>
          </cell>
          <cell r="M13">
            <v>0</v>
          </cell>
          <cell r="N13">
            <v>0.6</v>
          </cell>
          <cell r="O13">
            <v>0.8</v>
          </cell>
          <cell r="P13">
            <v>1.05</v>
          </cell>
          <cell r="Q13" t="str">
            <v>INTERIOR</v>
          </cell>
          <cell r="R13">
            <v>5</v>
          </cell>
          <cell r="S13">
            <v>9</v>
          </cell>
          <cell r="T13" t="str">
            <v>Ciudad principal</v>
          </cell>
          <cell r="U13" t="str">
            <v>Departmental Digital</v>
          </cell>
          <cell r="V13" t="str">
            <v>XEROX MEXICANA SA DE CV / XEROX MEXICANA</v>
          </cell>
          <cell r="W13" t="str">
            <v>QUERETARO</v>
          </cell>
          <cell r="X13">
            <v>2019</v>
          </cell>
          <cell r="Y13" t="str">
            <v>Qtr 2</v>
          </cell>
          <cell r="Z13" t="str">
            <v>April</v>
          </cell>
          <cell r="AA13">
            <v>8</v>
          </cell>
          <cell r="AB13">
            <v>194</v>
          </cell>
          <cell r="AC13">
            <v>1.05</v>
          </cell>
          <cell r="AD13">
            <v>0</v>
          </cell>
          <cell r="AE13">
            <v>750.75</v>
          </cell>
        </row>
        <row r="14">
          <cell r="A14" t="str">
            <v>0BG2949298</v>
          </cell>
          <cell r="B14">
            <v>2019</v>
          </cell>
          <cell r="C14" t="str">
            <v>Qtr 1</v>
          </cell>
          <cell r="D14" t="str">
            <v>March</v>
          </cell>
          <cell r="E14">
            <v>25</v>
          </cell>
          <cell r="F14" t="str">
            <v>CORRECTIVO</v>
          </cell>
          <cell r="G14">
            <v>2.733333</v>
          </cell>
          <cell r="H14" t="str">
            <v>Light Production Digital Business</v>
          </cell>
          <cell r="I14">
            <v>803</v>
          </cell>
          <cell r="J14">
            <v>1573</v>
          </cell>
          <cell r="K14">
            <v>0.2</v>
          </cell>
          <cell r="L14">
            <v>0.6</v>
          </cell>
          <cell r="M14">
            <v>0.8</v>
          </cell>
          <cell r="N14">
            <v>1.05</v>
          </cell>
          <cell r="O14">
            <v>1.1000000000000001</v>
          </cell>
          <cell r="P14">
            <v>1.1499999999999999</v>
          </cell>
          <cell r="Q14" t="str">
            <v>INTERIOR</v>
          </cell>
          <cell r="R14">
            <v>4</v>
          </cell>
          <cell r="S14">
            <v>6</v>
          </cell>
          <cell r="T14" t="str">
            <v>Ciudad principal</v>
          </cell>
          <cell r="U14" t="str">
            <v>High End Cut Sheet</v>
          </cell>
          <cell r="V14" t="str">
            <v>XEROX MEXICANA SA DE CV / XEROX MEXICANA</v>
          </cell>
          <cell r="W14" t="str">
            <v>ESTADO DE MEXICO</v>
          </cell>
          <cell r="X14">
            <v>2019</v>
          </cell>
          <cell r="Y14" t="str">
            <v>Qtr 2</v>
          </cell>
          <cell r="Z14" t="str">
            <v>April</v>
          </cell>
          <cell r="AA14">
            <v>2</v>
          </cell>
          <cell r="AB14">
            <v>14</v>
          </cell>
          <cell r="AC14">
            <v>0.8</v>
          </cell>
          <cell r="AD14">
            <v>0.68333325</v>
          </cell>
          <cell r="AE14">
            <v>1258.4000000000001</v>
          </cell>
        </row>
        <row r="15">
          <cell r="A15" t="str">
            <v>0EX9299901</v>
          </cell>
          <cell r="B15">
            <v>2019</v>
          </cell>
          <cell r="C15" t="str">
            <v>Qtr 1</v>
          </cell>
          <cell r="D15" t="str">
            <v>March</v>
          </cell>
          <cell r="E15">
            <v>25</v>
          </cell>
          <cell r="F15" t="str">
            <v>CORRECTIVO</v>
          </cell>
          <cell r="G15">
            <v>2.7833329999999998</v>
          </cell>
          <cell r="H15" t="str">
            <v>Departmental Digital</v>
          </cell>
          <cell r="I15">
            <v>655</v>
          </cell>
          <cell r="J15">
            <v>1365</v>
          </cell>
          <cell r="K15">
            <v>0</v>
          </cell>
          <cell r="L15">
            <v>0</v>
          </cell>
          <cell r="M15">
            <v>0.6</v>
          </cell>
          <cell r="N15">
            <v>0.8</v>
          </cell>
          <cell r="O15">
            <v>1.05</v>
          </cell>
          <cell r="P15">
            <v>1.1000000000000001</v>
          </cell>
          <cell r="Q15" t="str">
            <v>INTERIOR</v>
          </cell>
          <cell r="R15">
            <v>5</v>
          </cell>
          <cell r="S15">
            <v>9</v>
          </cell>
          <cell r="T15" t="str">
            <v>Ciudad principal</v>
          </cell>
          <cell r="U15" t="str">
            <v>Departmental Digital</v>
          </cell>
          <cell r="V15" t="str">
            <v>XEROX MEXICANA SA DE CV / XEROX MEXICANA</v>
          </cell>
          <cell r="W15" t="str">
            <v>TAMAULIPAS</v>
          </cell>
          <cell r="X15">
            <v>2019</v>
          </cell>
          <cell r="Y15" t="str">
            <v>Qtr 2</v>
          </cell>
          <cell r="Z15" t="str">
            <v>April</v>
          </cell>
          <cell r="AA15">
            <v>2</v>
          </cell>
          <cell r="AB15">
            <v>348</v>
          </cell>
          <cell r="AC15">
            <v>1.1000000000000001</v>
          </cell>
          <cell r="AD15">
            <v>0.55666660000000001</v>
          </cell>
          <cell r="AE15">
            <v>1501.5</v>
          </cell>
        </row>
        <row r="16">
          <cell r="A16" t="str">
            <v>0KPA018838</v>
          </cell>
          <cell r="B16">
            <v>2019</v>
          </cell>
          <cell r="C16" t="str">
            <v>Qtr 1</v>
          </cell>
          <cell r="D16" t="str">
            <v>March</v>
          </cell>
          <cell r="E16">
            <v>25</v>
          </cell>
          <cell r="F16" t="str">
            <v>MANTENIMIENTO PREVENTIVO</v>
          </cell>
          <cell r="G16">
            <v>0</v>
          </cell>
          <cell r="H16" t="str">
            <v>Entry Mono Printers</v>
          </cell>
          <cell r="I16">
            <v>468</v>
          </cell>
          <cell r="J16">
            <v>715</v>
          </cell>
          <cell r="K16">
            <v>0</v>
          </cell>
          <cell r="L16">
            <v>0</v>
          </cell>
          <cell r="M16">
            <v>0</v>
          </cell>
          <cell r="N16">
            <v>0.6</v>
          </cell>
          <cell r="O16">
            <v>0.8</v>
          </cell>
          <cell r="P16">
            <v>1.05</v>
          </cell>
          <cell r="Q16" t="str">
            <v>INTERIOR</v>
          </cell>
          <cell r="R16">
            <v>5</v>
          </cell>
          <cell r="S16">
            <v>9</v>
          </cell>
          <cell r="T16" t="str">
            <v>Ciudad principal</v>
          </cell>
          <cell r="U16" t="str">
            <v>Departmental Digital</v>
          </cell>
          <cell r="V16" t="str">
            <v>XEROX MEXICANA SA DE CV / XEROX MEXICANA</v>
          </cell>
          <cell r="W16" t="str">
            <v>CHIHUAHUA</v>
          </cell>
          <cell r="X16">
            <v>2019</v>
          </cell>
          <cell r="Y16" t="str">
            <v>Qtr 2</v>
          </cell>
          <cell r="Z16" t="str">
            <v>April</v>
          </cell>
          <cell r="AA16">
            <v>1</v>
          </cell>
          <cell r="AB16">
            <v>12</v>
          </cell>
          <cell r="AC16">
            <v>0</v>
          </cell>
          <cell r="AD16">
            <v>0</v>
          </cell>
          <cell r="AE16">
            <v>715</v>
          </cell>
        </row>
        <row r="17">
          <cell r="A17" t="str">
            <v>0BG2946876</v>
          </cell>
          <cell r="B17">
            <v>2019</v>
          </cell>
          <cell r="C17" t="str">
            <v>Qtr 1</v>
          </cell>
          <cell r="D17" t="str">
            <v>March</v>
          </cell>
          <cell r="E17">
            <v>26</v>
          </cell>
          <cell r="F17" t="str">
            <v>CORRECTIVO</v>
          </cell>
          <cell r="G17">
            <v>3.95</v>
          </cell>
          <cell r="H17" t="str">
            <v>Light Production Digital Business</v>
          </cell>
          <cell r="I17">
            <v>803</v>
          </cell>
          <cell r="J17">
            <v>1573</v>
          </cell>
          <cell r="K17">
            <v>0.2</v>
          </cell>
          <cell r="L17">
            <v>0.6</v>
          </cell>
          <cell r="M17">
            <v>0.8</v>
          </cell>
          <cell r="N17">
            <v>1.05</v>
          </cell>
          <cell r="O17">
            <v>1.1000000000000001</v>
          </cell>
          <cell r="P17">
            <v>1.1499999999999999</v>
          </cell>
          <cell r="Q17" t="str">
            <v>INTERIOR</v>
          </cell>
          <cell r="R17">
            <v>4</v>
          </cell>
          <cell r="S17">
            <v>6</v>
          </cell>
          <cell r="T17" t="str">
            <v>Ciudad principal</v>
          </cell>
          <cell r="U17" t="str">
            <v>High End Cut Sheet</v>
          </cell>
          <cell r="V17" t="str">
            <v>XEROX MEXICANA SA DE CV / XEROX MEXICANA</v>
          </cell>
          <cell r="W17" t="str">
            <v>GUANAJUATO</v>
          </cell>
          <cell r="X17">
            <v>2019</v>
          </cell>
          <cell r="Y17" t="str">
            <v>Qtr 2</v>
          </cell>
          <cell r="Z17" t="str">
            <v>April</v>
          </cell>
          <cell r="AA17">
            <v>2</v>
          </cell>
          <cell r="AB17">
            <v>7</v>
          </cell>
          <cell r="AC17">
            <v>0.8</v>
          </cell>
          <cell r="AD17">
            <v>0.98750000000000004</v>
          </cell>
          <cell r="AE17">
            <v>1258.4000000000001</v>
          </cell>
        </row>
        <row r="18">
          <cell r="A18" t="str">
            <v>0DRB131260</v>
          </cell>
          <cell r="B18">
            <v>2019</v>
          </cell>
          <cell r="C18" t="str">
            <v>Qtr 1</v>
          </cell>
          <cell r="D18" t="str">
            <v>March</v>
          </cell>
          <cell r="E18">
            <v>26</v>
          </cell>
          <cell r="F18" t="str">
            <v>CORRECTIVO</v>
          </cell>
          <cell r="G18">
            <v>1.816667</v>
          </cell>
          <cell r="H18" t="str">
            <v>Entry Production Color Low/Mid</v>
          </cell>
          <cell r="I18">
            <v>803</v>
          </cell>
          <cell r="J18">
            <v>1573</v>
          </cell>
          <cell r="K18">
            <v>0.2</v>
          </cell>
          <cell r="L18">
            <v>0.6</v>
          </cell>
          <cell r="M18">
            <v>0.8</v>
          </cell>
          <cell r="N18">
            <v>1.05</v>
          </cell>
          <cell r="O18">
            <v>1.1000000000000001</v>
          </cell>
          <cell r="P18">
            <v>1.1499999999999999</v>
          </cell>
          <cell r="Q18" t="str">
            <v>INTERIOR</v>
          </cell>
          <cell r="R18">
            <v>4</v>
          </cell>
          <cell r="S18">
            <v>6</v>
          </cell>
          <cell r="T18" t="str">
            <v>Ciudad principal</v>
          </cell>
          <cell r="U18" t="str">
            <v>Entry Production Color Low/Mid</v>
          </cell>
          <cell r="V18" t="str">
            <v>XEROX MEXICANA SA DE CV / XEROX MEXICANA</v>
          </cell>
          <cell r="W18" t="str">
            <v>JALISCO</v>
          </cell>
          <cell r="X18">
            <v>2019</v>
          </cell>
          <cell r="Y18" t="str">
            <v>Qtr 2</v>
          </cell>
          <cell r="Z18" t="str">
            <v>April</v>
          </cell>
          <cell r="AA18">
            <v>5</v>
          </cell>
          <cell r="AB18">
            <v>64</v>
          </cell>
          <cell r="AC18">
            <v>1.1499999999999999</v>
          </cell>
          <cell r="AD18">
            <v>0.45416675000000001</v>
          </cell>
          <cell r="AE18">
            <v>1808.95</v>
          </cell>
        </row>
        <row r="19">
          <cell r="A19" t="str">
            <v>0XKK418248</v>
          </cell>
          <cell r="B19">
            <v>2019</v>
          </cell>
          <cell r="C19" t="str">
            <v>Qtr 1</v>
          </cell>
          <cell r="D19" t="str">
            <v>March</v>
          </cell>
          <cell r="E19">
            <v>26</v>
          </cell>
          <cell r="F19" t="str">
            <v>CORRECTIVO</v>
          </cell>
          <cell r="G19">
            <v>0.35</v>
          </cell>
          <cell r="I19" t="str">
            <v>NA</v>
          </cell>
          <cell r="J19" t="str">
            <v>NA</v>
          </cell>
          <cell r="K19" t="str">
            <v>NA</v>
          </cell>
          <cell r="L19" t="str">
            <v>NA</v>
          </cell>
          <cell r="M19" t="str">
            <v>NA</v>
          </cell>
          <cell r="N19" t="str">
            <v>NA</v>
          </cell>
          <cell r="O19" t="str">
            <v>NA</v>
          </cell>
          <cell r="P19" t="str">
            <v>NA</v>
          </cell>
          <cell r="R19" t="str">
            <v>NA</v>
          </cell>
          <cell r="S19" t="str">
            <v>NA</v>
          </cell>
          <cell r="U19" t="str">
            <v>A3 Office Color Laser MFPs</v>
          </cell>
          <cell r="V19" t="str">
            <v>XEROX MEXICANA SA DE CV / XEROX MEXICANA</v>
          </cell>
          <cell r="W19" t="str">
            <v>COAHUILA</v>
          </cell>
          <cell r="X19">
            <v>2019</v>
          </cell>
          <cell r="Y19" t="str">
            <v>Qtr 2</v>
          </cell>
          <cell r="Z19" t="str">
            <v>April</v>
          </cell>
          <cell r="AA19">
            <v>1</v>
          </cell>
          <cell r="AB19">
            <v>41</v>
          </cell>
          <cell r="AC19">
            <v>1.1000000000000001</v>
          </cell>
          <cell r="AD19">
            <v>0</v>
          </cell>
          <cell r="AE19">
            <v>1433.25</v>
          </cell>
        </row>
        <row r="20">
          <cell r="A20" t="str">
            <v>0BG2947932</v>
          </cell>
          <cell r="B20">
            <v>2019</v>
          </cell>
          <cell r="C20" t="str">
            <v>Qtr 1</v>
          </cell>
          <cell r="D20" t="str">
            <v>March</v>
          </cell>
          <cell r="E20">
            <v>27</v>
          </cell>
          <cell r="F20" t="str">
            <v>CORRECTIVO</v>
          </cell>
          <cell r="G20">
            <v>1.433333</v>
          </cell>
          <cell r="H20" t="str">
            <v>Light Production Digital Business</v>
          </cell>
          <cell r="I20">
            <v>803</v>
          </cell>
          <cell r="J20">
            <v>1573</v>
          </cell>
          <cell r="K20">
            <v>0.2</v>
          </cell>
          <cell r="L20">
            <v>0.6</v>
          </cell>
          <cell r="M20">
            <v>0.8</v>
          </cell>
          <cell r="N20">
            <v>1.05</v>
          </cell>
          <cell r="O20">
            <v>1.1000000000000001</v>
          </cell>
          <cell r="P20">
            <v>1.1499999999999999</v>
          </cell>
          <cell r="Q20" t="str">
            <v>INTERIOR</v>
          </cell>
          <cell r="R20">
            <v>4</v>
          </cell>
          <cell r="S20">
            <v>6</v>
          </cell>
          <cell r="T20" t="str">
            <v>Ciudad principal</v>
          </cell>
          <cell r="U20" t="str">
            <v>High End Cut Sheet</v>
          </cell>
          <cell r="V20" t="str">
            <v>XEROX MEXICANA SA DE CV / XEROX MEXICANA</v>
          </cell>
          <cell r="W20" t="str">
            <v>QUERETARO</v>
          </cell>
          <cell r="X20">
            <v>2019</v>
          </cell>
          <cell r="Y20" t="str">
            <v>Qtr 2</v>
          </cell>
          <cell r="Z20" t="str">
            <v>April</v>
          </cell>
          <cell r="AA20">
            <v>15</v>
          </cell>
          <cell r="AB20">
            <v>41</v>
          </cell>
          <cell r="AC20">
            <v>1.1000000000000001</v>
          </cell>
          <cell r="AD20">
            <v>0.35833324999999999</v>
          </cell>
          <cell r="AE20">
            <v>1730.3</v>
          </cell>
        </row>
        <row r="21">
          <cell r="A21" t="str">
            <v>0EX9293999</v>
          </cell>
          <cell r="B21">
            <v>2019</v>
          </cell>
          <cell r="C21" t="str">
            <v>Qtr 1</v>
          </cell>
          <cell r="D21" t="str">
            <v>March</v>
          </cell>
          <cell r="E21">
            <v>27</v>
          </cell>
          <cell r="F21" t="str">
            <v>CORRECTIVO</v>
          </cell>
          <cell r="G21">
            <v>1.066667</v>
          </cell>
          <cell r="H21" t="str">
            <v>Departmental Digital</v>
          </cell>
          <cell r="I21">
            <v>655</v>
          </cell>
          <cell r="J21">
            <v>1365</v>
          </cell>
          <cell r="K21">
            <v>0</v>
          </cell>
          <cell r="L21">
            <v>0</v>
          </cell>
          <cell r="M21">
            <v>0.6</v>
          </cell>
          <cell r="N21">
            <v>0.8</v>
          </cell>
          <cell r="O21">
            <v>1.05</v>
          </cell>
          <cell r="P21">
            <v>1.1000000000000001</v>
          </cell>
          <cell r="Q21" t="str">
            <v>INTERIOR</v>
          </cell>
          <cell r="R21">
            <v>5</v>
          </cell>
          <cell r="S21">
            <v>9</v>
          </cell>
          <cell r="T21" t="str">
            <v>Ciudad principal</v>
          </cell>
          <cell r="U21" t="str">
            <v>Departmental Digital</v>
          </cell>
          <cell r="V21" t="str">
            <v>XEROX MEXICANA SA DE CV / XEROX MEXICANA</v>
          </cell>
          <cell r="W21" t="str">
            <v>GUANAJUATO</v>
          </cell>
          <cell r="X21">
            <v>2019</v>
          </cell>
          <cell r="Y21" t="str">
            <v>Qtr 2</v>
          </cell>
          <cell r="Z21" t="str">
            <v>April</v>
          </cell>
          <cell r="AA21">
            <v>2</v>
          </cell>
          <cell r="AB21">
            <v>15</v>
          </cell>
          <cell r="AC21">
            <v>0.6</v>
          </cell>
          <cell r="AD21">
            <v>0.21333340000000001</v>
          </cell>
          <cell r="AE21">
            <v>819</v>
          </cell>
        </row>
        <row r="22">
          <cell r="A22" t="str">
            <v>0LBP345977</v>
          </cell>
          <cell r="B22">
            <v>2019</v>
          </cell>
          <cell r="C22" t="str">
            <v>Qtr 1</v>
          </cell>
          <cell r="D22" t="str">
            <v>March</v>
          </cell>
          <cell r="E22">
            <v>27</v>
          </cell>
          <cell r="F22" t="str">
            <v>CORRECTIVO</v>
          </cell>
          <cell r="G22">
            <v>4</v>
          </cell>
          <cell r="I22" t="str">
            <v>NA</v>
          </cell>
          <cell r="J22" t="str">
            <v>NA</v>
          </cell>
          <cell r="K22" t="str">
            <v>NA</v>
          </cell>
          <cell r="L22" t="str">
            <v>NA</v>
          </cell>
          <cell r="M22" t="str">
            <v>NA</v>
          </cell>
          <cell r="N22" t="str">
            <v>NA</v>
          </cell>
          <cell r="O22" t="str">
            <v>NA</v>
          </cell>
          <cell r="P22" t="str">
            <v>NA</v>
          </cell>
          <cell r="R22" t="str">
            <v>NA</v>
          </cell>
          <cell r="S22" t="str">
            <v>NA</v>
          </cell>
          <cell r="U22" t="str">
            <v>A4 Mono MFPs</v>
          </cell>
          <cell r="V22" t="str">
            <v>XEROX MEXICANA SA DE CV / XEROX MEXICANA</v>
          </cell>
          <cell r="W22" t="str">
            <v>JALISCO</v>
          </cell>
          <cell r="X22">
            <v>2019</v>
          </cell>
          <cell r="Y22" t="str">
            <v>Qtr 2</v>
          </cell>
          <cell r="Z22" t="str">
            <v>April</v>
          </cell>
          <cell r="AA22">
            <v>3</v>
          </cell>
          <cell r="AB22">
            <v>0</v>
          </cell>
          <cell r="AC22">
            <v>1.1000000000000001</v>
          </cell>
          <cell r="AD22">
            <v>0</v>
          </cell>
          <cell r="AE22">
            <v>750.75</v>
          </cell>
        </row>
        <row r="23">
          <cell r="A23" t="str">
            <v>7TX135776</v>
          </cell>
          <cell r="B23">
            <v>2019</v>
          </cell>
          <cell r="C23" t="str">
            <v>Qtr 1</v>
          </cell>
          <cell r="D23" t="str">
            <v>March</v>
          </cell>
          <cell r="E23">
            <v>27</v>
          </cell>
          <cell r="F23" t="str">
            <v>MANTENIMIENTO PREVENTIVO</v>
          </cell>
          <cell r="G23">
            <v>0</v>
          </cell>
          <cell r="H23" t="str">
            <v>A3 Office Color Laser MFPs</v>
          </cell>
          <cell r="I23">
            <v>655</v>
          </cell>
          <cell r="J23">
            <v>1365</v>
          </cell>
          <cell r="K23">
            <v>0</v>
          </cell>
          <cell r="L23">
            <v>0</v>
          </cell>
          <cell r="M23">
            <v>0.6</v>
          </cell>
          <cell r="N23">
            <v>0.8</v>
          </cell>
          <cell r="O23">
            <v>1.05</v>
          </cell>
          <cell r="P23">
            <v>1.1000000000000001</v>
          </cell>
          <cell r="Q23" t="str">
            <v>INTERIOR</v>
          </cell>
          <cell r="R23">
            <v>5</v>
          </cell>
          <cell r="S23">
            <v>9</v>
          </cell>
          <cell r="T23" t="str">
            <v>Ciudad principal</v>
          </cell>
          <cell r="U23" t="str">
            <v>A3 Office Color Laser MFPs</v>
          </cell>
          <cell r="V23" t="str">
            <v>XEROX MEXICANA SA DE CV / XEROX MEXICANA</v>
          </cell>
          <cell r="W23" t="str">
            <v>MICHOACAN</v>
          </cell>
          <cell r="X23">
            <v>2019</v>
          </cell>
          <cell r="Y23" t="str">
            <v>Qtr 2</v>
          </cell>
          <cell r="Z23" t="str">
            <v>April</v>
          </cell>
          <cell r="AA23">
            <v>16</v>
          </cell>
          <cell r="AB23">
            <v>76</v>
          </cell>
          <cell r="AC23">
            <v>0</v>
          </cell>
          <cell r="AD23">
            <v>0</v>
          </cell>
          <cell r="AE23">
            <v>1365</v>
          </cell>
        </row>
        <row r="24">
          <cell r="A24" t="str">
            <v>03AG880144</v>
          </cell>
          <cell r="B24">
            <v>2019</v>
          </cell>
          <cell r="C24" t="str">
            <v>Qtr 1</v>
          </cell>
          <cell r="D24" t="str">
            <v>March</v>
          </cell>
          <cell r="E24">
            <v>28</v>
          </cell>
          <cell r="F24" t="str">
            <v>CORRECTIVO</v>
          </cell>
          <cell r="G24">
            <v>0.25</v>
          </cell>
          <cell r="H24" t="str">
            <v>Departmental Digital</v>
          </cell>
          <cell r="I24">
            <v>655</v>
          </cell>
          <cell r="J24">
            <v>1365</v>
          </cell>
          <cell r="K24">
            <v>0</v>
          </cell>
          <cell r="L24">
            <v>0</v>
          </cell>
          <cell r="M24">
            <v>0.6</v>
          </cell>
          <cell r="N24">
            <v>0.8</v>
          </cell>
          <cell r="O24">
            <v>1.05</v>
          </cell>
          <cell r="P24">
            <v>1.1000000000000001</v>
          </cell>
          <cell r="Q24" t="str">
            <v>INTERIOR</v>
          </cell>
          <cell r="R24">
            <v>5</v>
          </cell>
          <cell r="S24">
            <v>9</v>
          </cell>
          <cell r="T24" t="str">
            <v>Ciudad principal</v>
          </cell>
          <cell r="U24" t="str">
            <v>Light Production Digital Business</v>
          </cell>
          <cell r="V24" t="str">
            <v>XEROX MEXICANA SA DE CV / XEROX MEXICANA</v>
          </cell>
          <cell r="W24" t="str">
            <v>NUEVO LEON</v>
          </cell>
          <cell r="X24">
            <v>2019</v>
          </cell>
          <cell r="Y24" t="str">
            <v>Qtr 2</v>
          </cell>
          <cell r="Z24" t="str">
            <v>April</v>
          </cell>
          <cell r="AA24">
            <v>2</v>
          </cell>
          <cell r="AB24">
            <v>7</v>
          </cell>
          <cell r="AC24">
            <v>0.6</v>
          </cell>
          <cell r="AD24">
            <v>0.05</v>
          </cell>
          <cell r="AE24">
            <v>819</v>
          </cell>
        </row>
        <row r="25">
          <cell r="A25" t="str">
            <v>03BT801962</v>
          </cell>
          <cell r="B25">
            <v>2019</v>
          </cell>
          <cell r="C25" t="str">
            <v>Qtr 1</v>
          </cell>
          <cell r="D25" t="str">
            <v>March</v>
          </cell>
          <cell r="E25">
            <v>28</v>
          </cell>
          <cell r="F25" t="str">
            <v>INSTALACION NUEVA</v>
          </cell>
          <cell r="G25">
            <v>0</v>
          </cell>
          <cell r="H25" t="str">
            <v>A4 Mono MFPs</v>
          </cell>
          <cell r="I25">
            <v>468</v>
          </cell>
          <cell r="J25">
            <v>715</v>
          </cell>
          <cell r="K25">
            <v>0</v>
          </cell>
          <cell r="L25">
            <v>0</v>
          </cell>
          <cell r="M25">
            <v>0</v>
          </cell>
          <cell r="N25">
            <v>0.6</v>
          </cell>
          <cell r="O25">
            <v>0.8</v>
          </cell>
          <cell r="P25">
            <v>1.05</v>
          </cell>
          <cell r="Q25" t="str">
            <v>INTERIOR</v>
          </cell>
          <cell r="R25">
            <v>5</v>
          </cell>
          <cell r="S25">
            <v>9</v>
          </cell>
          <cell r="T25" t="str">
            <v>Ciudad principal</v>
          </cell>
          <cell r="U25" t="str">
            <v>A4 Mono MFPs</v>
          </cell>
          <cell r="V25" t="str">
            <v>XEROX MEXICANA SA DE CV / XEROX MEXICANA</v>
          </cell>
          <cell r="W25" t="str">
            <v>SAN LUIS POTOSI</v>
          </cell>
          <cell r="X25">
            <v>2019</v>
          </cell>
          <cell r="Y25" t="str">
            <v>Qtr 2</v>
          </cell>
          <cell r="Z25" t="str">
            <v>April</v>
          </cell>
          <cell r="AA25">
            <v>1</v>
          </cell>
          <cell r="AB25">
            <v>34</v>
          </cell>
          <cell r="AC25">
            <v>0</v>
          </cell>
          <cell r="AD25">
            <v>0</v>
          </cell>
          <cell r="AE25">
            <v>715</v>
          </cell>
        </row>
        <row r="26">
          <cell r="A26" t="str">
            <v>0A2T369923</v>
          </cell>
          <cell r="B26">
            <v>2019</v>
          </cell>
          <cell r="C26" t="str">
            <v>Qtr 1</v>
          </cell>
          <cell r="D26" t="str">
            <v>March</v>
          </cell>
          <cell r="E26">
            <v>28</v>
          </cell>
          <cell r="F26" t="str">
            <v>CORRECTIVO</v>
          </cell>
          <cell r="G26">
            <v>0</v>
          </cell>
          <cell r="H26" t="str">
            <v>A4 Mono MFPs</v>
          </cell>
          <cell r="I26">
            <v>468</v>
          </cell>
          <cell r="J26">
            <v>715</v>
          </cell>
          <cell r="K26">
            <v>0</v>
          </cell>
          <cell r="L26">
            <v>0</v>
          </cell>
          <cell r="M26">
            <v>0</v>
          </cell>
          <cell r="N26">
            <v>0.6</v>
          </cell>
          <cell r="O26">
            <v>0.8</v>
          </cell>
          <cell r="P26">
            <v>1.05</v>
          </cell>
          <cell r="Q26" t="str">
            <v>INTERIOR</v>
          </cell>
          <cell r="R26">
            <v>5</v>
          </cell>
          <cell r="S26">
            <v>9</v>
          </cell>
          <cell r="T26" t="str">
            <v>Otras</v>
          </cell>
          <cell r="U26" t="str">
            <v>A4 Mono MFPs</v>
          </cell>
          <cell r="V26" t="str">
            <v>XEROX MEXICANA SA DE CV / XEROX MEXICANA</v>
          </cell>
          <cell r="W26" t="str">
            <v>TAMAULIPAS</v>
          </cell>
          <cell r="X26">
            <v>2019</v>
          </cell>
          <cell r="Y26" t="str">
            <v>Qtr 2</v>
          </cell>
          <cell r="Z26" t="str">
            <v>April</v>
          </cell>
          <cell r="AA26">
            <v>4</v>
          </cell>
          <cell r="AB26">
            <v>66</v>
          </cell>
          <cell r="AC26">
            <v>1.05</v>
          </cell>
          <cell r="AD26">
            <v>0</v>
          </cell>
          <cell r="AE26">
            <v>750.75</v>
          </cell>
        </row>
        <row r="27">
          <cell r="A27" t="str">
            <v>0BG2946750</v>
          </cell>
          <cell r="B27">
            <v>2019</v>
          </cell>
          <cell r="C27" t="str">
            <v>Qtr 1</v>
          </cell>
          <cell r="D27" t="str">
            <v>March</v>
          </cell>
          <cell r="E27">
            <v>28</v>
          </cell>
          <cell r="F27" t="str">
            <v>CORRECTIVO</v>
          </cell>
          <cell r="G27">
            <v>1.816667</v>
          </cell>
          <cell r="H27" t="str">
            <v>Light Production Digital Business</v>
          </cell>
          <cell r="I27">
            <v>803</v>
          </cell>
          <cell r="J27">
            <v>1573</v>
          </cell>
          <cell r="K27">
            <v>0.2</v>
          </cell>
          <cell r="L27">
            <v>0.6</v>
          </cell>
          <cell r="M27">
            <v>0.8</v>
          </cell>
          <cell r="N27">
            <v>1.05</v>
          </cell>
          <cell r="O27">
            <v>1.1000000000000001</v>
          </cell>
          <cell r="P27">
            <v>1.1499999999999999</v>
          </cell>
          <cell r="Q27" t="str">
            <v>INTERIOR</v>
          </cell>
          <cell r="R27">
            <v>4</v>
          </cell>
          <cell r="S27">
            <v>6</v>
          </cell>
          <cell r="T27" t="str">
            <v>Ciudad principal</v>
          </cell>
          <cell r="U27" t="str">
            <v>High End Cut Sheet</v>
          </cell>
          <cell r="V27" t="str">
            <v>XEROX MEXICANA SA DE CV / XEROX MEXICANA</v>
          </cell>
          <cell r="W27" t="str">
            <v>CHIHUAHUA</v>
          </cell>
          <cell r="X27">
            <v>2019</v>
          </cell>
          <cell r="Y27" t="str">
            <v>Qtr 2</v>
          </cell>
          <cell r="Z27" t="str">
            <v>April</v>
          </cell>
          <cell r="AA27">
            <v>1</v>
          </cell>
          <cell r="AB27">
            <v>3</v>
          </cell>
          <cell r="AC27">
            <v>0.6</v>
          </cell>
          <cell r="AD27">
            <v>0.45416675000000001</v>
          </cell>
          <cell r="AE27">
            <v>943.8</v>
          </cell>
        </row>
        <row r="28">
          <cell r="A28" t="str">
            <v>0BG2951627</v>
          </cell>
          <cell r="B28">
            <v>2019</v>
          </cell>
          <cell r="C28" t="str">
            <v>Qtr 1</v>
          </cell>
          <cell r="D28" t="str">
            <v>March</v>
          </cell>
          <cell r="E28">
            <v>28</v>
          </cell>
          <cell r="F28" t="str">
            <v>CORRECTIVO</v>
          </cell>
          <cell r="G28">
            <v>6.6666669999999997E-2</v>
          </cell>
          <cell r="H28" t="str">
            <v>Light Production Digital Business</v>
          </cell>
          <cell r="I28">
            <v>803</v>
          </cell>
          <cell r="J28">
            <v>1573</v>
          </cell>
          <cell r="K28">
            <v>0.2</v>
          </cell>
          <cell r="L28">
            <v>0.6</v>
          </cell>
          <cell r="M28">
            <v>0.8</v>
          </cell>
          <cell r="N28">
            <v>1.05</v>
          </cell>
          <cell r="O28">
            <v>1.1000000000000001</v>
          </cell>
          <cell r="P28">
            <v>1.1499999999999999</v>
          </cell>
          <cell r="Q28" t="str">
            <v>INTERIOR</v>
          </cell>
          <cell r="R28">
            <v>4</v>
          </cell>
          <cell r="S28">
            <v>6</v>
          </cell>
          <cell r="T28" t="str">
            <v>Ciudad principal</v>
          </cell>
          <cell r="U28" t="str">
            <v>High End Cut Sheet</v>
          </cell>
          <cell r="V28" t="str">
            <v>XEROX MEXICANA SA DE CV / XEROX MEXICANA</v>
          </cell>
          <cell r="W28" t="str">
            <v>TAMAULIPAS</v>
          </cell>
          <cell r="X28">
            <v>2019</v>
          </cell>
          <cell r="Y28" t="str">
            <v>Qtr 2</v>
          </cell>
          <cell r="Z28" t="str">
            <v>April</v>
          </cell>
          <cell r="AA28">
            <v>15</v>
          </cell>
          <cell r="AB28">
            <v>10</v>
          </cell>
          <cell r="AC28">
            <v>0.8</v>
          </cell>
          <cell r="AD28">
            <v>1.6666667499999999E-2</v>
          </cell>
          <cell r="AE28">
            <v>1258.4000000000001</v>
          </cell>
        </row>
        <row r="29">
          <cell r="A29" t="str">
            <v>0EX9293515</v>
          </cell>
          <cell r="B29">
            <v>2019</v>
          </cell>
          <cell r="C29" t="str">
            <v>Qtr 1</v>
          </cell>
          <cell r="D29" t="str">
            <v>March</v>
          </cell>
          <cell r="E29">
            <v>28</v>
          </cell>
          <cell r="F29" t="str">
            <v>CORRECTIVO</v>
          </cell>
          <cell r="G29">
            <v>3.3333340000000003E-2</v>
          </cell>
          <cell r="H29" t="str">
            <v>Departmental Digital</v>
          </cell>
          <cell r="I29">
            <v>655</v>
          </cell>
          <cell r="J29">
            <v>1365</v>
          </cell>
          <cell r="K29">
            <v>0</v>
          </cell>
          <cell r="L29">
            <v>0</v>
          </cell>
          <cell r="M29">
            <v>0.6</v>
          </cell>
          <cell r="N29">
            <v>0.8</v>
          </cell>
          <cell r="O29">
            <v>1.05</v>
          </cell>
          <cell r="P29">
            <v>1.1000000000000001</v>
          </cell>
          <cell r="Q29" t="str">
            <v>INTERIOR</v>
          </cell>
          <cell r="R29">
            <v>5</v>
          </cell>
          <cell r="S29">
            <v>9</v>
          </cell>
          <cell r="T29" t="str">
            <v>Ciudad principal</v>
          </cell>
          <cell r="U29" t="str">
            <v>Departmental Digital</v>
          </cell>
          <cell r="V29" t="str">
            <v>XEROX MEXICANA SA DE CV / XEROX MEXICANA</v>
          </cell>
          <cell r="W29" t="str">
            <v>JALISCO</v>
          </cell>
          <cell r="X29">
            <v>2019</v>
          </cell>
          <cell r="Y29" t="str">
            <v>Qtr 2</v>
          </cell>
          <cell r="Z29" t="str">
            <v>April</v>
          </cell>
          <cell r="AA29">
            <v>1</v>
          </cell>
          <cell r="AB29">
            <v>8</v>
          </cell>
          <cell r="AC29">
            <v>0.6</v>
          </cell>
          <cell r="AD29">
            <v>6.6666679999999997E-3</v>
          </cell>
          <cell r="AE29">
            <v>819</v>
          </cell>
        </row>
        <row r="30">
          <cell r="A30" t="str">
            <v>0FBG479583</v>
          </cell>
          <cell r="B30">
            <v>2019</v>
          </cell>
          <cell r="C30" t="str">
            <v>Qtr 1</v>
          </cell>
          <cell r="D30" t="str">
            <v>March</v>
          </cell>
          <cell r="E30">
            <v>28</v>
          </cell>
          <cell r="F30" t="str">
            <v>CORRECTIVO</v>
          </cell>
          <cell r="G30">
            <v>1.3833329999999999</v>
          </cell>
          <cell r="H30" t="str">
            <v>Light Production Digital Business</v>
          </cell>
          <cell r="I30">
            <v>803</v>
          </cell>
          <cell r="J30">
            <v>1573</v>
          </cell>
          <cell r="K30">
            <v>0.2</v>
          </cell>
          <cell r="L30">
            <v>0.6</v>
          </cell>
          <cell r="M30">
            <v>0.8</v>
          </cell>
          <cell r="N30">
            <v>1.05</v>
          </cell>
          <cell r="O30">
            <v>1.1000000000000001</v>
          </cell>
          <cell r="P30">
            <v>1.1499999999999999</v>
          </cell>
          <cell r="Q30" t="str">
            <v>INTERIOR</v>
          </cell>
          <cell r="R30">
            <v>4</v>
          </cell>
          <cell r="S30">
            <v>6</v>
          </cell>
          <cell r="T30" t="str">
            <v>Otras</v>
          </cell>
          <cell r="U30" t="str">
            <v>High End Cut Sheet</v>
          </cell>
          <cell r="V30" t="str">
            <v>XEROX MEXICANA SA DE CV / XEROX MEXICANA</v>
          </cell>
          <cell r="W30" t="str">
            <v>NUEVO LEON</v>
          </cell>
          <cell r="X30">
            <v>2019</v>
          </cell>
          <cell r="Y30" t="str">
            <v>Qtr 2</v>
          </cell>
          <cell r="Z30" t="str">
            <v>April</v>
          </cell>
          <cell r="AA30">
            <v>4</v>
          </cell>
          <cell r="AB30">
            <v>7</v>
          </cell>
          <cell r="AC30">
            <v>0.8</v>
          </cell>
          <cell r="AD30">
            <v>0.2305555</v>
          </cell>
          <cell r="AE30">
            <v>1258.4000000000001</v>
          </cell>
        </row>
        <row r="31">
          <cell r="A31" t="str">
            <v>0PW4111396</v>
          </cell>
          <cell r="B31">
            <v>2019</v>
          </cell>
          <cell r="C31" t="str">
            <v>Qtr 1</v>
          </cell>
          <cell r="D31" t="str">
            <v>March</v>
          </cell>
          <cell r="E31">
            <v>28</v>
          </cell>
          <cell r="F31" t="str">
            <v>MANTENIMIENTO PREVENTIVO</v>
          </cell>
          <cell r="G31">
            <v>0</v>
          </cell>
          <cell r="H31" t="str">
            <v>WF Mono Systems and Legacy Color</v>
          </cell>
          <cell r="I31">
            <v>803</v>
          </cell>
          <cell r="J31">
            <v>1573</v>
          </cell>
          <cell r="K31">
            <v>0.2</v>
          </cell>
          <cell r="L31">
            <v>0.6</v>
          </cell>
          <cell r="M31">
            <v>0.8</v>
          </cell>
          <cell r="N31">
            <v>1.05</v>
          </cell>
          <cell r="O31">
            <v>1.1000000000000001</v>
          </cell>
          <cell r="P31">
            <v>1.1499999999999999</v>
          </cell>
          <cell r="Q31" t="str">
            <v>INTERIOR</v>
          </cell>
          <cell r="R31">
            <v>4</v>
          </cell>
          <cell r="S31">
            <v>6</v>
          </cell>
          <cell r="T31" t="str">
            <v>Ciudad principal</v>
          </cell>
          <cell r="U31" t="str">
            <v>WF Mono Systems and Legacy Color</v>
          </cell>
          <cell r="V31" t="str">
            <v>XEROX MEXICANA SA DE CV / XEROX MEXICANA</v>
          </cell>
          <cell r="W31" t="str">
            <v>COAHUILA</v>
          </cell>
          <cell r="X31">
            <v>2019</v>
          </cell>
          <cell r="Y31" t="str">
            <v>Qtr 2</v>
          </cell>
          <cell r="Z31" t="str">
            <v>April</v>
          </cell>
          <cell r="AA31">
            <v>3</v>
          </cell>
          <cell r="AB31">
            <v>156</v>
          </cell>
          <cell r="AC31">
            <v>0</v>
          </cell>
          <cell r="AD31">
            <v>0</v>
          </cell>
          <cell r="AE31">
            <v>1573</v>
          </cell>
        </row>
        <row r="32">
          <cell r="A32" t="str">
            <v>0BG2940184</v>
          </cell>
          <cell r="B32">
            <v>2019</v>
          </cell>
          <cell r="C32" t="str">
            <v>Qtr 1</v>
          </cell>
          <cell r="D32" t="str">
            <v>March</v>
          </cell>
          <cell r="E32">
            <v>29</v>
          </cell>
          <cell r="F32" t="str">
            <v>CORRECTIVO</v>
          </cell>
          <cell r="G32">
            <v>0.5</v>
          </cell>
          <cell r="H32" t="str">
            <v>Light Production Digital Business</v>
          </cell>
          <cell r="I32">
            <v>803</v>
          </cell>
          <cell r="J32">
            <v>1573</v>
          </cell>
          <cell r="K32">
            <v>0.2</v>
          </cell>
          <cell r="L32">
            <v>0.6</v>
          </cell>
          <cell r="M32">
            <v>0.8</v>
          </cell>
          <cell r="N32">
            <v>1.05</v>
          </cell>
          <cell r="O32">
            <v>1.1000000000000001</v>
          </cell>
          <cell r="P32">
            <v>1.1499999999999999</v>
          </cell>
          <cell r="Q32" t="str">
            <v>INTERIOR</v>
          </cell>
          <cell r="R32">
            <v>4</v>
          </cell>
          <cell r="S32">
            <v>6</v>
          </cell>
          <cell r="T32" t="str">
            <v>Ciudad principal</v>
          </cell>
          <cell r="U32" t="str">
            <v>High End Cut Sheet</v>
          </cell>
          <cell r="V32" t="str">
            <v>XEROX MEXICANA SA DE CV / XEROX MEXICANA</v>
          </cell>
          <cell r="W32" t="str">
            <v>JALISCO</v>
          </cell>
          <cell r="X32">
            <v>2019</v>
          </cell>
          <cell r="Y32" t="str">
            <v>Qtr 2</v>
          </cell>
          <cell r="Z32" t="str">
            <v>April</v>
          </cell>
          <cell r="AA32">
            <v>4</v>
          </cell>
          <cell r="AB32">
            <v>1</v>
          </cell>
          <cell r="AC32">
            <v>0.2</v>
          </cell>
          <cell r="AD32">
            <v>0.125</v>
          </cell>
          <cell r="AE32">
            <v>314.60000000000002</v>
          </cell>
        </row>
        <row r="33">
          <cell r="A33" t="str">
            <v>0BG2949312</v>
          </cell>
          <cell r="B33">
            <v>2019</v>
          </cell>
          <cell r="C33" t="str">
            <v>Qtr 1</v>
          </cell>
          <cell r="D33" t="str">
            <v>March</v>
          </cell>
          <cell r="E33">
            <v>29</v>
          </cell>
          <cell r="F33" t="str">
            <v>CORRECTIVO</v>
          </cell>
          <cell r="G33">
            <v>1.316667</v>
          </cell>
          <cell r="H33" t="str">
            <v>Light Production Digital Business</v>
          </cell>
          <cell r="I33">
            <v>803</v>
          </cell>
          <cell r="J33">
            <v>1573</v>
          </cell>
          <cell r="K33">
            <v>0.2</v>
          </cell>
          <cell r="L33">
            <v>0.6</v>
          </cell>
          <cell r="M33">
            <v>0.8</v>
          </cell>
          <cell r="N33">
            <v>1.05</v>
          </cell>
          <cell r="O33">
            <v>1.1000000000000001</v>
          </cell>
          <cell r="P33">
            <v>1.1499999999999999</v>
          </cell>
          <cell r="Q33" t="str">
            <v>INTERIOR</v>
          </cell>
          <cell r="R33">
            <v>4</v>
          </cell>
          <cell r="S33">
            <v>6</v>
          </cell>
          <cell r="T33" t="str">
            <v>Ciudad principal</v>
          </cell>
          <cell r="U33" t="str">
            <v>High End Cut Sheet</v>
          </cell>
          <cell r="V33" t="str">
            <v>XEROX MEXICANA SA DE CV / XEROX MEXICANA</v>
          </cell>
          <cell r="W33" t="str">
            <v>ESTADO DE MEXICO</v>
          </cell>
          <cell r="X33">
            <v>2019</v>
          </cell>
          <cell r="Y33" t="str">
            <v>Qtr 2</v>
          </cell>
          <cell r="Z33" t="str">
            <v>April</v>
          </cell>
          <cell r="AA33">
            <v>1</v>
          </cell>
          <cell r="AB33">
            <v>36</v>
          </cell>
          <cell r="AC33">
            <v>1.1000000000000001</v>
          </cell>
          <cell r="AD33">
            <v>0.32916675000000001</v>
          </cell>
          <cell r="AE33">
            <v>1730.3</v>
          </cell>
        </row>
        <row r="34">
          <cell r="A34" t="str">
            <v>0CX0060974</v>
          </cell>
          <cell r="B34">
            <v>2019</v>
          </cell>
          <cell r="C34" t="str">
            <v>Qtr 1</v>
          </cell>
          <cell r="D34" t="str">
            <v>March</v>
          </cell>
          <cell r="E34">
            <v>29</v>
          </cell>
          <cell r="F34" t="str">
            <v>CORRECTIVO</v>
          </cell>
          <cell r="G34">
            <v>0.23333329999999999</v>
          </cell>
          <cell r="H34" t="str">
            <v>Entry Production Color Mid</v>
          </cell>
          <cell r="I34">
            <v>803</v>
          </cell>
          <cell r="J34">
            <v>1573</v>
          </cell>
          <cell r="K34">
            <v>0.2</v>
          </cell>
          <cell r="L34">
            <v>0.6</v>
          </cell>
          <cell r="M34">
            <v>0.8</v>
          </cell>
          <cell r="N34">
            <v>1.05</v>
          </cell>
          <cell r="O34">
            <v>1.1000000000000001</v>
          </cell>
          <cell r="P34">
            <v>1.1499999999999999</v>
          </cell>
          <cell r="Q34" t="str">
            <v>INTERIOR</v>
          </cell>
          <cell r="R34">
            <v>4</v>
          </cell>
          <cell r="S34">
            <v>6</v>
          </cell>
          <cell r="T34" t="str">
            <v>Ciudad principal</v>
          </cell>
          <cell r="U34" t="str">
            <v>Entry Production Color High</v>
          </cell>
          <cell r="V34" t="str">
            <v>XEROX MEXICANA SA DE CV / XEROX MEXICANA</v>
          </cell>
          <cell r="W34" t="str">
            <v>CHIHUAHUA</v>
          </cell>
          <cell r="X34">
            <v>2019</v>
          </cell>
          <cell r="Y34" t="str">
            <v>Qtr 2</v>
          </cell>
          <cell r="Z34" t="str">
            <v>April</v>
          </cell>
          <cell r="AA34">
            <v>1</v>
          </cell>
          <cell r="AB34">
            <v>28</v>
          </cell>
          <cell r="AC34">
            <v>1.05</v>
          </cell>
          <cell r="AD34">
            <v>5.8333324999999998E-2</v>
          </cell>
          <cell r="AE34">
            <v>1651.65</v>
          </cell>
        </row>
        <row r="35">
          <cell r="A35" t="str">
            <v>0EX9293200</v>
          </cell>
          <cell r="B35">
            <v>2019</v>
          </cell>
          <cell r="C35" t="str">
            <v>Qtr 1</v>
          </cell>
          <cell r="D35" t="str">
            <v>March</v>
          </cell>
          <cell r="E35">
            <v>29</v>
          </cell>
          <cell r="F35" t="str">
            <v>CORRECTIVO</v>
          </cell>
          <cell r="G35">
            <v>1.6333329999999999</v>
          </cell>
          <cell r="H35" t="str">
            <v>Departmental Digital</v>
          </cell>
          <cell r="I35">
            <v>655</v>
          </cell>
          <cell r="J35">
            <v>1365</v>
          </cell>
          <cell r="K35">
            <v>0</v>
          </cell>
          <cell r="L35">
            <v>0</v>
          </cell>
          <cell r="M35">
            <v>0.6</v>
          </cell>
          <cell r="N35">
            <v>0.8</v>
          </cell>
          <cell r="O35">
            <v>1.05</v>
          </cell>
          <cell r="P35">
            <v>1.1000000000000001</v>
          </cell>
          <cell r="Q35" t="str">
            <v>INTERIOR</v>
          </cell>
          <cell r="R35">
            <v>5</v>
          </cell>
          <cell r="S35">
            <v>9</v>
          </cell>
          <cell r="T35" t="str">
            <v>Ciudad principal</v>
          </cell>
          <cell r="U35" t="str">
            <v>Departmental Digital</v>
          </cell>
          <cell r="V35" t="str">
            <v>XEROX MEXICANA SA DE CV / XEROX MEXICANA</v>
          </cell>
          <cell r="W35" t="str">
            <v>SAN LUIS POTOSI</v>
          </cell>
          <cell r="X35">
            <v>2019</v>
          </cell>
          <cell r="Y35" t="str">
            <v>Qtr 2</v>
          </cell>
          <cell r="Z35" t="str">
            <v>April</v>
          </cell>
          <cell r="AA35">
            <v>2</v>
          </cell>
          <cell r="AB35">
            <v>45</v>
          </cell>
          <cell r="AC35">
            <v>1.05</v>
          </cell>
          <cell r="AD35">
            <v>0.32666659999999997</v>
          </cell>
          <cell r="AE35">
            <v>1433.25</v>
          </cell>
        </row>
        <row r="36">
          <cell r="A36" t="str">
            <v>0EX9297293</v>
          </cell>
          <cell r="B36">
            <v>2019</v>
          </cell>
          <cell r="C36" t="str">
            <v>Qtr 1</v>
          </cell>
          <cell r="D36" t="str">
            <v>March</v>
          </cell>
          <cell r="E36">
            <v>29</v>
          </cell>
          <cell r="F36" t="str">
            <v>CORRECTIVO</v>
          </cell>
          <cell r="G36">
            <v>2.0833330000000001</v>
          </cell>
          <cell r="H36" t="str">
            <v>Departmental Digital</v>
          </cell>
          <cell r="I36">
            <v>655</v>
          </cell>
          <cell r="J36">
            <v>1365</v>
          </cell>
          <cell r="K36">
            <v>0</v>
          </cell>
          <cell r="L36">
            <v>0</v>
          </cell>
          <cell r="M36">
            <v>0.6</v>
          </cell>
          <cell r="N36">
            <v>0.8</v>
          </cell>
          <cell r="O36">
            <v>1.05</v>
          </cell>
          <cell r="P36">
            <v>1.1000000000000001</v>
          </cell>
          <cell r="Q36" t="str">
            <v>INTERIOR</v>
          </cell>
          <cell r="R36">
            <v>5</v>
          </cell>
          <cell r="S36">
            <v>9</v>
          </cell>
          <cell r="T36" t="str">
            <v>Ciudad principal</v>
          </cell>
          <cell r="U36" t="str">
            <v>Departmental Digital</v>
          </cell>
          <cell r="V36" t="str">
            <v>XEROX MEXICANA SA DE CV / XEROX MEXICANA</v>
          </cell>
          <cell r="W36" t="str">
            <v>COAHUILA</v>
          </cell>
          <cell r="X36">
            <v>2019</v>
          </cell>
          <cell r="Y36" t="str">
            <v>Qtr 2</v>
          </cell>
          <cell r="Z36" t="str">
            <v>April</v>
          </cell>
          <cell r="AA36">
            <v>1</v>
          </cell>
          <cell r="AB36">
            <v>35</v>
          </cell>
          <cell r="AC36">
            <v>1.05</v>
          </cell>
          <cell r="AD36">
            <v>0.4166666</v>
          </cell>
          <cell r="AE36">
            <v>1433.25</v>
          </cell>
        </row>
        <row r="37">
          <cell r="A37" t="str">
            <v>0VGW624391</v>
          </cell>
          <cell r="B37">
            <v>2019</v>
          </cell>
          <cell r="C37" t="str">
            <v>Qtr 1</v>
          </cell>
          <cell r="D37" t="str">
            <v>March</v>
          </cell>
          <cell r="E37">
            <v>29</v>
          </cell>
          <cell r="F37" t="str">
            <v>CORRECTIVO</v>
          </cell>
          <cell r="G37">
            <v>1.65</v>
          </cell>
          <cell r="H37" t="str">
            <v>Entry Production Color Low/Mid</v>
          </cell>
          <cell r="I37">
            <v>803</v>
          </cell>
          <cell r="J37">
            <v>1573</v>
          </cell>
          <cell r="K37">
            <v>0.2</v>
          </cell>
          <cell r="L37">
            <v>0.6</v>
          </cell>
          <cell r="M37">
            <v>0.8</v>
          </cell>
          <cell r="N37">
            <v>1.05</v>
          </cell>
          <cell r="O37">
            <v>1.1000000000000001</v>
          </cell>
          <cell r="P37">
            <v>1.1499999999999999</v>
          </cell>
          <cell r="Q37" t="str">
            <v>INTERIOR</v>
          </cell>
          <cell r="R37">
            <v>4</v>
          </cell>
          <cell r="S37">
            <v>6</v>
          </cell>
          <cell r="T37" t="str">
            <v>Ciudad principal</v>
          </cell>
          <cell r="U37" t="str">
            <v>Entry Production Color Low/Mid</v>
          </cell>
          <cell r="V37" t="str">
            <v>XEROX MEXICANA SA DE CV / XEROX MEXICANA</v>
          </cell>
          <cell r="W37" t="str">
            <v>CHIHUAHUA</v>
          </cell>
          <cell r="X37">
            <v>2019</v>
          </cell>
          <cell r="Y37" t="str">
            <v>Qtr 2</v>
          </cell>
          <cell r="Z37" t="str">
            <v>April</v>
          </cell>
          <cell r="AA37">
            <v>2</v>
          </cell>
          <cell r="AB37">
            <v>15</v>
          </cell>
          <cell r="AC37">
            <v>0.8</v>
          </cell>
          <cell r="AD37">
            <v>0.41249999999999998</v>
          </cell>
          <cell r="AE37">
            <v>1258.4000000000001</v>
          </cell>
        </row>
        <row r="38">
          <cell r="A38" t="str">
            <v>09HB321575</v>
          </cell>
          <cell r="B38">
            <v>2019</v>
          </cell>
          <cell r="C38" t="str">
            <v>Qtr 1</v>
          </cell>
          <cell r="D38" t="str">
            <v>March</v>
          </cell>
          <cell r="E38">
            <v>31</v>
          </cell>
          <cell r="F38" t="str">
            <v>MANTENIMIENTO PREVENTIVO</v>
          </cell>
          <cell r="G38">
            <v>0.1666667</v>
          </cell>
          <cell r="H38" t="str">
            <v>A4 Mono MFPs</v>
          </cell>
          <cell r="I38">
            <v>468</v>
          </cell>
          <cell r="J38">
            <v>715</v>
          </cell>
          <cell r="K38">
            <v>0</v>
          </cell>
          <cell r="L38">
            <v>0</v>
          </cell>
          <cell r="M38">
            <v>0</v>
          </cell>
          <cell r="N38">
            <v>0.6</v>
          </cell>
          <cell r="O38">
            <v>0.8</v>
          </cell>
          <cell r="P38">
            <v>1.05</v>
          </cell>
          <cell r="Q38" t="str">
            <v>INTERIOR</v>
          </cell>
          <cell r="R38">
            <v>5</v>
          </cell>
          <cell r="S38">
            <v>9</v>
          </cell>
          <cell r="T38" t="str">
            <v>Ciudad principal</v>
          </cell>
          <cell r="U38" t="str">
            <v>A4 Mono MFPs</v>
          </cell>
          <cell r="V38" t="str">
            <v>XEROX MEXICANA SA DE CV / XEROX MEXICANA</v>
          </cell>
          <cell r="W38" t="str">
            <v>CHIHUAHUA</v>
          </cell>
          <cell r="X38">
            <v>2019</v>
          </cell>
          <cell r="Y38" t="str">
            <v>Qtr 2</v>
          </cell>
          <cell r="Z38" t="str">
            <v>April</v>
          </cell>
          <cell r="AA38">
            <v>1</v>
          </cell>
          <cell r="AB38">
            <v>24</v>
          </cell>
          <cell r="AC38">
            <v>0</v>
          </cell>
          <cell r="AD38">
            <v>0</v>
          </cell>
          <cell r="AE38">
            <v>715</v>
          </cell>
        </row>
        <row r="39">
          <cell r="A39" t="str">
            <v>0BG2945208</v>
          </cell>
          <cell r="B39">
            <v>2019</v>
          </cell>
          <cell r="C39" t="str">
            <v>Qtr 1</v>
          </cell>
          <cell r="D39" t="str">
            <v>March</v>
          </cell>
          <cell r="E39">
            <v>31</v>
          </cell>
          <cell r="F39" t="str">
            <v>CORRECTIVO</v>
          </cell>
          <cell r="G39">
            <v>0.4</v>
          </cell>
          <cell r="H39" t="str">
            <v>Light Production Digital Business</v>
          </cell>
          <cell r="I39">
            <v>803</v>
          </cell>
          <cell r="J39">
            <v>1573</v>
          </cell>
          <cell r="K39">
            <v>0.2</v>
          </cell>
          <cell r="L39">
            <v>0.6</v>
          </cell>
          <cell r="M39">
            <v>0.8</v>
          </cell>
          <cell r="N39">
            <v>1.05</v>
          </cell>
          <cell r="O39">
            <v>1.1000000000000001</v>
          </cell>
          <cell r="P39">
            <v>1.1499999999999999</v>
          </cell>
          <cell r="Q39" t="str">
            <v>INTERIOR</v>
          </cell>
          <cell r="R39">
            <v>4</v>
          </cell>
          <cell r="S39">
            <v>6</v>
          </cell>
          <cell r="T39" t="str">
            <v>Ciudad principal</v>
          </cell>
          <cell r="U39" t="str">
            <v>High End Cut Sheet</v>
          </cell>
          <cell r="V39" t="str">
            <v>XEROX MEXICANA SA DE CV / XEROX MEXICANA</v>
          </cell>
          <cell r="W39" t="str">
            <v>NUEVO LEON</v>
          </cell>
          <cell r="X39">
            <v>2019</v>
          </cell>
          <cell r="Y39" t="str">
            <v>Qtr 2</v>
          </cell>
          <cell r="Z39" t="str">
            <v>April</v>
          </cell>
          <cell r="AA39">
            <v>4</v>
          </cell>
          <cell r="AB39">
            <v>5</v>
          </cell>
          <cell r="AC39">
            <v>0.6</v>
          </cell>
          <cell r="AD39">
            <v>0.1</v>
          </cell>
          <cell r="AE39">
            <v>943.8</v>
          </cell>
        </row>
        <row r="40">
          <cell r="A40" t="str">
            <v>0BG2946786</v>
          </cell>
          <cell r="B40">
            <v>2019</v>
          </cell>
          <cell r="C40" t="str">
            <v>Qtr 1</v>
          </cell>
          <cell r="D40" t="str">
            <v>March</v>
          </cell>
          <cell r="E40">
            <v>31</v>
          </cell>
          <cell r="F40" t="str">
            <v>MANTENIMIENTO PREVENTIVO</v>
          </cell>
          <cell r="G40">
            <v>0</v>
          </cell>
          <cell r="H40" t="str">
            <v>Light Production Digital Business</v>
          </cell>
          <cell r="I40">
            <v>803</v>
          </cell>
          <cell r="J40">
            <v>1573</v>
          </cell>
          <cell r="K40">
            <v>0.2</v>
          </cell>
          <cell r="L40">
            <v>0.6</v>
          </cell>
          <cell r="M40">
            <v>0.8</v>
          </cell>
          <cell r="N40">
            <v>1.05</v>
          </cell>
          <cell r="O40">
            <v>1.1000000000000001</v>
          </cell>
          <cell r="P40">
            <v>1.1499999999999999</v>
          </cell>
          <cell r="Q40" t="str">
            <v>INTERIOR</v>
          </cell>
          <cell r="R40">
            <v>4</v>
          </cell>
          <cell r="S40">
            <v>6</v>
          </cell>
          <cell r="T40" t="str">
            <v>Ciudad principal</v>
          </cell>
          <cell r="U40" t="str">
            <v>High End Cut Sheet</v>
          </cell>
          <cell r="V40" t="str">
            <v>XEROX MEXICANA SA DE CV / XEROX MEXICANA</v>
          </cell>
          <cell r="W40" t="str">
            <v>NUEVO LEON</v>
          </cell>
          <cell r="X40">
            <v>2019</v>
          </cell>
          <cell r="Y40" t="str">
            <v>Qtr 2</v>
          </cell>
          <cell r="Z40" t="str">
            <v>April</v>
          </cell>
          <cell r="AA40">
            <v>1</v>
          </cell>
          <cell r="AB40">
            <v>3</v>
          </cell>
          <cell r="AC40">
            <v>0</v>
          </cell>
          <cell r="AD40">
            <v>0</v>
          </cell>
          <cell r="AE40">
            <v>1573</v>
          </cell>
        </row>
        <row r="41">
          <cell r="A41" t="str">
            <v>0C4X011068</v>
          </cell>
          <cell r="B41">
            <v>2019</v>
          </cell>
          <cell r="C41" t="str">
            <v>Qtr 1</v>
          </cell>
          <cell r="D41" t="str">
            <v>March</v>
          </cell>
          <cell r="E41">
            <v>31</v>
          </cell>
          <cell r="F41" t="str">
            <v>MANTENIMIENTO PREVENTIVO</v>
          </cell>
          <cell r="G41">
            <v>0</v>
          </cell>
          <cell r="H41" t="str">
            <v>A4 Mono MFPs</v>
          </cell>
          <cell r="I41">
            <v>468</v>
          </cell>
          <cell r="J41">
            <v>715</v>
          </cell>
          <cell r="K41">
            <v>0</v>
          </cell>
          <cell r="L41">
            <v>0</v>
          </cell>
          <cell r="M41">
            <v>0</v>
          </cell>
          <cell r="N41">
            <v>0.6</v>
          </cell>
          <cell r="O41">
            <v>0.8</v>
          </cell>
          <cell r="P41">
            <v>1.05</v>
          </cell>
          <cell r="Q41" t="str">
            <v>INTERIOR</v>
          </cell>
          <cell r="R41">
            <v>5</v>
          </cell>
          <cell r="S41">
            <v>9</v>
          </cell>
          <cell r="T41" t="str">
            <v>Ciudad principal</v>
          </cell>
          <cell r="U41" t="str">
            <v>A4 Mono MFPs</v>
          </cell>
          <cell r="V41" t="str">
            <v>XEROX MEXICANA SA DE CV / XEROX MEXICANA</v>
          </cell>
          <cell r="W41" t="str">
            <v>TAMAULIPAS</v>
          </cell>
          <cell r="X41">
            <v>2019</v>
          </cell>
          <cell r="Y41" t="str">
            <v>Qtr 2</v>
          </cell>
          <cell r="Z41" t="str">
            <v>April</v>
          </cell>
          <cell r="AA41">
            <v>1</v>
          </cell>
          <cell r="AB41">
            <v>17</v>
          </cell>
          <cell r="AC41">
            <v>0</v>
          </cell>
          <cell r="AD41">
            <v>0</v>
          </cell>
          <cell r="AE41">
            <v>715</v>
          </cell>
        </row>
        <row r="42">
          <cell r="A42" t="str">
            <v>0E2B646560</v>
          </cell>
          <cell r="B42">
            <v>2019</v>
          </cell>
          <cell r="C42" t="str">
            <v>Qtr 1</v>
          </cell>
          <cell r="D42" t="str">
            <v>March</v>
          </cell>
          <cell r="E42">
            <v>31</v>
          </cell>
          <cell r="F42" t="str">
            <v>CORRECTIVO</v>
          </cell>
          <cell r="G42">
            <v>1.3</v>
          </cell>
          <cell r="H42" t="str">
            <v>Entry Production Color Low/Mid</v>
          </cell>
          <cell r="I42">
            <v>803</v>
          </cell>
          <cell r="J42">
            <v>1573</v>
          </cell>
          <cell r="K42">
            <v>0.2</v>
          </cell>
          <cell r="L42">
            <v>0.6</v>
          </cell>
          <cell r="M42">
            <v>0.8</v>
          </cell>
          <cell r="N42">
            <v>1.05</v>
          </cell>
          <cell r="O42">
            <v>1.1000000000000001</v>
          </cell>
          <cell r="P42">
            <v>1.1499999999999999</v>
          </cell>
          <cell r="Q42" t="str">
            <v>INTERIOR</v>
          </cell>
          <cell r="R42">
            <v>4</v>
          </cell>
          <cell r="S42">
            <v>6</v>
          </cell>
          <cell r="T42" t="str">
            <v>Ciudad principal</v>
          </cell>
          <cell r="U42" t="str">
            <v>Entry Production Color Low/Mid</v>
          </cell>
          <cell r="V42" t="str">
            <v>XEROX MEXICANA SA DE CV / XEROX MEXICANA</v>
          </cell>
          <cell r="W42" t="str">
            <v>TAMAULIPAS</v>
          </cell>
          <cell r="X42">
            <v>2019</v>
          </cell>
          <cell r="Y42" t="str">
            <v>Qtr 2</v>
          </cell>
          <cell r="Z42" t="str">
            <v>April</v>
          </cell>
          <cell r="AA42">
            <v>2</v>
          </cell>
          <cell r="AB42">
            <v>46</v>
          </cell>
          <cell r="AC42">
            <v>1.1000000000000001</v>
          </cell>
          <cell r="AD42">
            <v>0.32500000000000001</v>
          </cell>
          <cell r="AE42">
            <v>1730.3</v>
          </cell>
        </row>
        <row r="43">
          <cell r="A43" t="str">
            <v>0EX9309804</v>
          </cell>
          <cell r="B43">
            <v>2019</v>
          </cell>
          <cell r="C43" t="str">
            <v>Qtr 1</v>
          </cell>
          <cell r="D43" t="str">
            <v>March</v>
          </cell>
          <cell r="E43">
            <v>31</v>
          </cell>
          <cell r="F43" t="str">
            <v>CORRECTIVO</v>
          </cell>
          <cell r="G43">
            <v>0.51666670000000003</v>
          </cell>
          <cell r="H43" t="str">
            <v>Departmental Digital</v>
          </cell>
          <cell r="I43">
            <v>655</v>
          </cell>
          <cell r="J43">
            <v>1365</v>
          </cell>
          <cell r="K43">
            <v>0</v>
          </cell>
          <cell r="L43">
            <v>0</v>
          </cell>
          <cell r="M43">
            <v>0.6</v>
          </cell>
          <cell r="N43">
            <v>0.8</v>
          </cell>
          <cell r="O43">
            <v>1.05</v>
          </cell>
          <cell r="P43">
            <v>1.1000000000000001</v>
          </cell>
          <cell r="Q43" t="str">
            <v>INTERIOR</v>
          </cell>
          <cell r="R43">
            <v>5</v>
          </cell>
          <cell r="S43">
            <v>9</v>
          </cell>
          <cell r="T43" t="str">
            <v>Ciudad principal</v>
          </cell>
          <cell r="U43" t="str">
            <v>Departmental Digital</v>
          </cell>
          <cell r="V43" t="str">
            <v>XEROX MEXICANA SA DE CV / XEROX MEXICANA</v>
          </cell>
          <cell r="W43" t="str">
            <v>QUERETARO</v>
          </cell>
          <cell r="X43">
            <v>2019</v>
          </cell>
          <cell r="Y43" t="str">
            <v>Qtr 2</v>
          </cell>
          <cell r="Z43" t="str">
            <v>April</v>
          </cell>
          <cell r="AA43">
            <v>1</v>
          </cell>
          <cell r="AB43">
            <v>5</v>
          </cell>
          <cell r="AC43">
            <v>0</v>
          </cell>
          <cell r="AD43">
            <v>0.10333334</v>
          </cell>
          <cell r="AE43">
            <v>0</v>
          </cell>
        </row>
        <row r="44">
          <cell r="A44" t="str">
            <v>0XLV886888</v>
          </cell>
          <cell r="B44">
            <v>2019</v>
          </cell>
          <cell r="C44" t="str">
            <v>Qtr 1</v>
          </cell>
          <cell r="D44" t="str">
            <v>March</v>
          </cell>
          <cell r="E44">
            <v>31</v>
          </cell>
          <cell r="F44" t="str">
            <v>MANTENIMIENTO PREVENTIVO</v>
          </cell>
          <cell r="G44">
            <v>0</v>
          </cell>
          <cell r="H44" t="str">
            <v>Entry Mono Printers</v>
          </cell>
          <cell r="I44">
            <v>468</v>
          </cell>
          <cell r="J44">
            <v>715</v>
          </cell>
          <cell r="K44">
            <v>0</v>
          </cell>
          <cell r="L44">
            <v>0</v>
          </cell>
          <cell r="M44">
            <v>0</v>
          </cell>
          <cell r="N44">
            <v>0.6</v>
          </cell>
          <cell r="O44">
            <v>0.8</v>
          </cell>
          <cell r="P44">
            <v>1.05</v>
          </cell>
          <cell r="Q44" t="str">
            <v>INTERIOR</v>
          </cell>
          <cell r="R44">
            <v>5</v>
          </cell>
          <cell r="S44">
            <v>9</v>
          </cell>
          <cell r="T44" t="str">
            <v>Ciudad principal</v>
          </cell>
          <cell r="U44" t="str">
            <v>A4 Mono MFPs</v>
          </cell>
          <cell r="V44" t="str">
            <v>XEROX MEXICANA SA DE CV / XEROX MEXICANA</v>
          </cell>
          <cell r="W44" t="str">
            <v>CHIHUAHUA</v>
          </cell>
          <cell r="X44">
            <v>2019</v>
          </cell>
          <cell r="Y44" t="str">
            <v>Qtr 2</v>
          </cell>
          <cell r="Z44" t="str">
            <v>April</v>
          </cell>
          <cell r="AA44">
            <v>1</v>
          </cell>
          <cell r="AB44">
            <v>30</v>
          </cell>
          <cell r="AC44">
            <v>0</v>
          </cell>
          <cell r="AD44">
            <v>0</v>
          </cell>
          <cell r="AE44">
            <v>715</v>
          </cell>
        </row>
        <row r="45">
          <cell r="A45" t="str">
            <v>K3A706937</v>
          </cell>
          <cell r="B45">
            <v>2019</v>
          </cell>
          <cell r="C45" t="str">
            <v>Qtr 1</v>
          </cell>
          <cell r="D45" t="str">
            <v>March</v>
          </cell>
          <cell r="E45">
            <v>31</v>
          </cell>
          <cell r="F45" t="str">
            <v>MANTENIMIENTO PREVENTIVO</v>
          </cell>
          <cell r="G45">
            <v>0</v>
          </cell>
          <cell r="H45" t="str">
            <v>Entry Mono Printers</v>
          </cell>
          <cell r="I45">
            <v>468</v>
          </cell>
          <cell r="J45">
            <v>715</v>
          </cell>
          <cell r="K45">
            <v>0</v>
          </cell>
          <cell r="L45">
            <v>0</v>
          </cell>
          <cell r="M45">
            <v>0</v>
          </cell>
          <cell r="N45">
            <v>0.6</v>
          </cell>
          <cell r="O45">
            <v>0.8</v>
          </cell>
          <cell r="P45">
            <v>1.05</v>
          </cell>
          <cell r="Q45" t="str">
            <v>INTERIOR</v>
          </cell>
          <cell r="R45">
            <v>5</v>
          </cell>
          <cell r="S45">
            <v>9</v>
          </cell>
          <cell r="T45" t="str">
            <v>Ciudad principal</v>
          </cell>
          <cell r="U45" t="str">
            <v>A4 Mono MFPs</v>
          </cell>
          <cell r="V45" t="str">
            <v>XEROX MEXICANA SA DE CV / XEROX MEXICANA</v>
          </cell>
          <cell r="W45" t="str">
            <v>COAHUILA</v>
          </cell>
          <cell r="X45">
            <v>2019</v>
          </cell>
          <cell r="Y45" t="str">
            <v>Qtr 2</v>
          </cell>
          <cell r="Z45" t="str">
            <v>April</v>
          </cell>
          <cell r="AA45">
            <v>1</v>
          </cell>
          <cell r="AB45">
            <v>109</v>
          </cell>
          <cell r="AC45">
            <v>0</v>
          </cell>
          <cell r="AD45">
            <v>0</v>
          </cell>
          <cell r="AE45">
            <v>715</v>
          </cell>
        </row>
        <row r="46">
          <cell r="A46" t="str">
            <v>03AG879712</v>
          </cell>
          <cell r="B46">
            <v>2019</v>
          </cell>
          <cell r="C46" t="str">
            <v>Qtr 2</v>
          </cell>
          <cell r="D46" t="str">
            <v>April</v>
          </cell>
          <cell r="E46">
            <v>1</v>
          </cell>
          <cell r="F46" t="str">
            <v>MANTENIMIENTO PREVENTIVO</v>
          </cell>
          <cell r="G46">
            <v>0</v>
          </cell>
          <cell r="H46" t="str">
            <v>Departmental Digital</v>
          </cell>
          <cell r="I46">
            <v>655</v>
          </cell>
          <cell r="J46">
            <v>1365</v>
          </cell>
          <cell r="K46">
            <v>0</v>
          </cell>
          <cell r="L46">
            <v>0</v>
          </cell>
          <cell r="M46">
            <v>0.6</v>
          </cell>
          <cell r="N46">
            <v>0.8</v>
          </cell>
          <cell r="O46">
            <v>1.05</v>
          </cell>
          <cell r="P46">
            <v>1.1000000000000001</v>
          </cell>
          <cell r="Q46" t="str">
            <v>INTERIOR</v>
          </cell>
          <cell r="R46">
            <v>5</v>
          </cell>
          <cell r="S46">
            <v>9</v>
          </cell>
          <cell r="T46" t="str">
            <v>Ciudad principal</v>
          </cell>
          <cell r="U46" t="str">
            <v>Light Production Digital Business</v>
          </cell>
          <cell r="V46" t="str">
            <v>XEROX MEXICANA SA DE CV / XEROX MEXICANA</v>
          </cell>
          <cell r="W46" t="str">
            <v>JALISCO</v>
          </cell>
          <cell r="X46">
            <v>2019</v>
          </cell>
          <cell r="Y46" t="str">
            <v>Qtr 2</v>
          </cell>
          <cell r="Z46" t="str">
            <v>April</v>
          </cell>
          <cell r="AA46">
            <v>1</v>
          </cell>
          <cell r="AB46">
            <v>54</v>
          </cell>
          <cell r="AC46">
            <v>0</v>
          </cell>
          <cell r="AD46">
            <v>0</v>
          </cell>
          <cell r="AE46">
            <v>1365</v>
          </cell>
        </row>
        <row r="47">
          <cell r="A47" t="str">
            <v>03AG880377</v>
          </cell>
          <cell r="B47">
            <v>2019</v>
          </cell>
          <cell r="C47" t="str">
            <v>Qtr 2</v>
          </cell>
          <cell r="D47" t="str">
            <v>April</v>
          </cell>
          <cell r="E47">
            <v>1</v>
          </cell>
          <cell r="F47" t="str">
            <v>CORRECTIVO</v>
          </cell>
          <cell r="G47">
            <v>1</v>
          </cell>
          <cell r="H47" t="str">
            <v>Departmental Digital</v>
          </cell>
          <cell r="I47">
            <v>655</v>
          </cell>
          <cell r="J47">
            <v>1365</v>
          </cell>
          <cell r="K47">
            <v>0</v>
          </cell>
          <cell r="L47">
            <v>0</v>
          </cell>
          <cell r="M47">
            <v>0.6</v>
          </cell>
          <cell r="N47">
            <v>0.8</v>
          </cell>
          <cell r="O47">
            <v>1.05</v>
          </cell>
          <cell r="P47">
            <v>1.1000000000000001</v>
          </cell>
          <cell r="Q47" t="str">
            <v>INTERIOR</v>
          </cell>
          <cell r="R47">
            <v>5</v>
          </cell>
          <cell r="S47">
            <v>9</v>
          </cell>
          <cell r="T47" t="str">
            <v>Ciudad principal</v>
          </cell>
          <cell r="U47" t="str">
            <v>Light Production Digital Business</v>
          </cell>
          <cell r="V47" t="str">
            <v>XEROX MEXICANA SA DE CV / XEROX MEXICANA</v>
          </cell>
          <cell r="W47" t="str">
            <v>GUANAJUATO</v>
          </cell>
          <cell r="X47">
            <v>2019</v>
          </cell>
          <cell r="Y47" t="str">
            <v>Qtr 2</v>
          </cell>
          <cell r="Z47" t="str">
            <v>April</v>
          </cell>
          <cell r="AA47">
            <v>1</v>
          </cell>
          <cell r="AB47">
            <v>11</v>
          </cell>
          <cell r="AC47">
            <v>0.6</v>
          </cell>
          <cell r="AD47">
            <v>0.2</v>
          </cell>
          <cell r="AE47">
            <v>819</v>
          </cell>
        </row>
        <row r="48">
          <cell r="A48" t="str">
            <v>03BT802413</v>
          </cell>
          <cell r="B48">
            <v>2019</v>
          </cell>
          <cell r="C48" t="str">
            <v>Qtr 2</v>
          </cell>
          <cell r="D48" t="str">
            <v>April</v>
          </cell>
          <cell r="E48">
            <v>1</v>
          </cell>
          <cell r="F48" t="str">
            <v>CORRECTIVO</v>
          </cell>
          <cell r="G48">
            <v>1.3666670000000001</v>
          </cell>
          <cell r="H48" t="str">
            <v>A4 Mono MFPs</v>
          </cell>
          <cell r="I48">
            <v>468</v>
          </cell>
          <cell r="J48">
            <v>715</v>
          </cell>
          <cell r="K48">
            <v>0</v>
          </cell>
          <cell r="L48">
            <v>0</v>
          </cell>
          <cell r="M48">
            <v>0</v>
          </cell>
          <cell r="N48">
            <v>0.6</v>
          </cell>
          <cell r="O48">
            <v>0.8</v>
          </cell>
          <cell r="P48">
            <v>1.05</v>
          </cell>
          <cell r="Q48" t="str">
            <v>INTERIOR</v>
          </cell>
          <cell r="R48">
            <v>5</v>
          </cell>
          <cell r="S48">
            <v>9</v>
          </cell>
          <cell r="T48" t="str">
            <v>Ciudad principal</v>
          </cell>
          <cell r="U48" t="str">
            <v>A4 Mono MFPs</v>
          </cell>
          <cell r="V48" t="str">
            <v>XEROX MEXICANA SA DE CV / XEROX MEXICANA</v>
          </cell>
          <cell r="W48" t="str">
            <v>CHIHUAHUA</v>
          </cell>
          <cell r="X48">
            <v>2019</v>
          </cell>
          <cell r="Y48" t="str">
            <v>Qtr 2</v>
          </cell>
          <cell r="Z48" t="str">
            <v>April</v>
          </cell>
          <cell r="AA48">
            <v>1</v>
          </cell>
          <cell r="AB48">
            <v>210</v>
          </cell>
          <cell r="AC48">
            <v>1.05</v>
          </cell>
          <cell r="AD48">
            <v>0.2733334</v>
          </cell>
          <cell r="AE48">
            <v>750.75</v>
          </cell>
        </row>
        <row r="49">
          <cell r="A49" t="str">
            <v>09HB333670</v>
          </cell>
          <cell r="B49">
            <v>2019</v>
          </cell>
          <cell r="C49" t="str">
            <v>Qtr 2</v>
          </cell>
          <cell r="D49" t="str">
            <v>April</v>
          </cell>
          <cell r="E49">
            <v>1</v>
          </cell>
          <cell r="F49" t="str">
            <v>CORRECTIVO</v>
          </cell>
          <cell r="G49">
            <v>0.93333330000000003</v>
          </cell>
          <cell r="H49" t="str">
            <v>A4 Mono MFPs</v>
          </cell>
          <cell r="I49">
            <v>468</v>
          </cell>
          <cell r="J49">
            <v>715</v>
          </cell>
          <cell r="K49">
            <v>0</v>
          </cell>
          <cell r="L49">
            <v>0</v>
          </cell>
          <cell r="M49">
            <v>0</v>
          </cell>
          <cell r="N49">
            <v>0.6</v>
          </cell>
          <cell r="O49">
            <v>0.8</v>
          </cell>
          <cell r="P49">
            <v>1.05</v>
          </cell>
          <cell r="Q49" t="str">
            <v>INTERIOR</v>
          </cell>
          <cell r="R49">
            <v>5</v>
          </cell>
          <cell r="S49">
            <v>9</v>
          </cell>
          <cell r="T49" t="str">
            <v>Ciudad principal</v>
          </cell>
          <cell r="U49" t="str">
            <v>A4 Mono MFPs</v>
          </cell>
          <cell r="V49" t="str">
            <v>XEROX MEXICANA SA DE CV / XEROX MEXICANA</v>
          </cell>
          <cell r="W49" t="str">
            <v>NUEVO LEON</v>
          </cell>
          <cell r="X49">
            <v>2019</v>
          </cell>
          <cell r="Y49" t="str">
            <v>Qtr 2</v>
          </cell>
          <cell r="Z49" t="str">
            <v>April</v>
          </cell>
          <cell r="AA49">
            <v>1</v>
          </cell>
          <cell r="AB49">
            <v>17</v>
          </cell>
          <cell r="AC49">
            <v>0.6</v>
          </cell>
          <cell r="AD49">
            <v>0.18666666000000001</v>
          </cell>
          <cell r="AE49">
            <v>429</v>
          </cell>
        </row>
        <row r="50">
          <cell r="A50" t="str">
            <v>0A1H020735</v>
          </cell>
          <cell r="B50">
            <v>2019</v>
          </cell>
          <cell r="C50" t="str">
            <v>Qtr 2</v>
          </cell>
          <cell r="D50" t="str">
            <v>April</v>
          </cell>
          <cell r="E50">
            <v>1</v>
          </cell>
          <cell r="F50" t="str">
            <v>CORRECTIVO</v>
          </cell>
          <cell r="G50">
            <v>0</v>
          </cell>
          <cell r="H50" t="str">
            <v>WF Mono Systems and Legacy Color</v>
          </cell>
          <cell r="I50">
            <v>803</v>
          </cell>
          <cell r="J50">
            <v>1573</v>
          </cell>
          <cell r="K50">
            <v>0.2</v>
          </cell>
          <cell r="L50">
            <v>0.6</v>
          </cell>
          <cell r="M50">
            <v>0.8</v>
          </cell>
          <cell r="N50">
            <v>1.05</v>
          </cell>
          <cell r="O50">
            <v>1.1000000000000001</v>
          </cell>
          <cell r="P50">
            <v>1.1499999999999999</v>
          </cell>
          <cell r="Q50" t="str">
            <v>INTERIOR</v>
          </cell>
          <cell r="R50">
            <v>4</v>
          </cell>
          <cell r="S50">
            <v>6</v>
          </cell>
          <cell r="T50" t="str">
            <v>Ciudad principal</v>
          </cell>
          <cell r="U50" t="str">
            <v>WF Mono Systems and Legacy Color</v>
          </cell>
          <cell r="V50" t="str">
            <v>XEROX MEXICANA SA DE CV / XEROX MEXICANA</v>
          </cell>
          <cell r="W50" t="str">
            <v>CHIHUAHUA</v>
          </cell>
          <cell r="X50">
            <v>2019</v>
          </cell>
          <cell r="Y50" t="str">
            <v>Qtr 2</v>
          </cell>
          <cell r="Z50" t="str">
            <v>April</v>
          </cell>
          <cell r="AA50">
            <v>4</v>
          </cell>
          <cell r="AB50">
            <v>47</v>
          </cell>
          <cell r="AC50">
            <v>1.1000000000000001</v>
          </cell>
          <cell r="AD50">
            <v>0</v>
          </cell>
          <cell r="AE50">
            <v>1730.3</v>
          </cell>
        </row>
        <row r="51">
          <cell r="A51" t="str">
            <v>0A4T021913</v>
          </cell>
          <cell r="B51">
            <v>2019</v>
          </cell>
          <cell r="C51" t="str">
            <v>Qtr 2</v>
          </cell>
          <cell r="D51" t="str">
            <v>April</v>
          </cell>
          <cell r="E51">
            <v>1</v>
          </cell>
          <cell r="F51" t="str">
            <v>CORRECTIVO</v>
          </cell>
          <cell r="G51">
            <v>1.2833330000000001</v>
          </cell>
          <cell r="I51" t="str">
            <v>NA</v>
          </cell>
          <cell r="J51" t="str">
            <v>NA</v>
          </cell>
          <cell r="K51" t="str">
            <v>NA</v>
          </cell>
          <cell r="L51" t="str">
            <v>NA</v>
          </cell>
          <cell r="M51" t="str">
            <v>NA</v>
          </cell>
          <cell r="N51" t="str">
            <v>NA</v>
          </cell>
          <cell r="O51" t="str">
            <v>NA</v>
          </cell>
          <cell r="P51" t="str">
            <v>NA</v>
          </cell>
          <cell r="R51" t="str">
            <v>NA</v>
          </cell>
          <cell r="S51" t="str">
            <v>NA</v>
          </cell>
          <cell r="U51" t="str">
            <v>A4 Mono MFPs</v>
          </cell>
          <cell r="V51" t="str">
            <v>XEROX MEXICANA SA DE CV / XEROX MEXICANA</v>
          </cell>
          <cell r="W51" t="str">
            <v>CHIHUAHUA</v>
          </cell>
          <cell r="X51">
            <v>2019</v>
          </cell>
          <cell r="Y51" t="str">
            <v>Qtr 2</v>
          </cell>
          <cell r="Z51" t="str">
            <v>April</v>
          </cell>
          <cell r="AA51">
            <v>3</v>
          </cell>
          <cell r="AB51">
            <v>0</v>
          </cell>
          <cell r="AC51">
            <v>1.1000000000000001</v>
          </cell>
          <cell r="AD51">
            <v>0</v>
          </cell>
          <cell r="AE51">
            <v>750.75</v>
          </cell>
        </row>
        <row r="52">
          <cell r="A52" t="str">
            <v>0A4T558109</v>
          </cell>
          <cell r="B52">
            <v>2019</v>
          </cell>
          <cell r="C52" t="str">
            <v>Qtr 2</v>
          </cell>
          <cell r="D52" t="str">
            <v>April</v>
          </cell>
          <cell r="E52">
            <v>1</v>
          </cell>
          <cell r="F52" t="str">
            <v>CORRECTIVO</v>
          </cell>
          <cell r="G52">
            <v>1.6666669999999999</v>
          </cell>
          <cell r="H52" t="str">
            <v>Entry Mono Printers</v>
          </cell>
          <cell r="I52">
            <v>468</v>
          </cell>
          <cell r="J52">
            <v>715</v>
          </cell>
          <cell r="K52">
            <v>0</v>
          </cell>
          <cell r="L52">
            <v>0</v>
          </cell>
          <cell r="M52">
            <v>0</v>
          </cell>
          <cell r="N52">
            <v>0.6</v>
          </cell>
          <cell r="O52">
            <v>0.8</v>
          </cell>
          <cell r="P52">
            <v>1.05</v>
          </cell>
          <cell r="Q52" t="str">
            <v>INTERIOR</v>
          </cell>
          <cell r="R52">
            <v>5</v>
          </cell>
          <cell r="S52">
            <v>9</v>
          </cell>
          <cell r="T52" t="str">
            <v>Ciudad principal</v>
          </cell>
          <cell r="U52" t="str">
            <v>A4 Mono MFPs</v>
          </cell>
          <cell r="V52" t="str">
            <v>XEROX MEXICANA SA DE CV / XEROX MEXICANA</v>
          </cell>
          <cell r="W52" t="str">
            <v>GUANAJUATO</v>
          </cell>
          <cell r="X52">
            <v>2019</v>
          </cell>
          <cell r="Y52" t="str">
            <v>Qtr 2</v>
          </cell>
          <cell r="Z52" t="str">
            <v>April</v>
          </cell>
          <cell r="AA52">
            <v>3</v>
          </cell>
          <cell r="AB52">
            <v>383</v>
          </cell>
          <cell r="AC52">
            <v>1.05</v>
          </cell>
          <cell r="AD52">
            <v>0.3333334</v>
          </cell>
          <cell r="AE52">
            <v>750.75</v>
          </cell>
        </row>
        <row r="53">
          <cell r="A53" t="str">
            <v>0AE7146573</v>
          </cell>
          <cell r="B53">
            <v>2019</v>
          </cell>
          <cell r="C53" t="str">
            <v>Qtr 2</v>
          </cell>
          <cell r="D53" t="str">
            <v>April</v>
          </cell>
          <cell r="E53">
            <v>1</v>
          </cell>
          <cell r="F53" t="str">
            <v>CORRECTIVO</v>
          </cell>
          <cell r="G53">
            <v>3.95</v>
          </cell>
          <cell r="H53" t="str">
            <v>Office Digital</v>
          </cell>
          <cell r="I53">
            <v>655</v>
          </cell>
          <cell r="J53">
            <v>1365</v>
          </cell>
          <cell r="K53">
            <v>0</v>
          </cell>
          <cell r="L53">
            <v>0</v>
          </cell>
          <cell r="M53">
            <v>0.6</v>
          </cell>
          <cell r="N53">
            <v>0.8</v>
          </cell>
          <cell r="O53">
            <v>1.05</v>
          </cell>
          <cell r="P53">
            <v>1.1000000000000001</v>
          </cell>
          <cell r="Q53" t="str">
            <v>INTERIOR</v>
          </cell>
          <cell r="R53">
            <v>5</v>
          </cell>
          <cell r="S53">
            <v>9</v>
          </cell>
          <cell r="T53" t="str">
            <v>Ciudad principal</v>
          </cell>
          <cell r="U53" t="str">
            <v>Departmental Digital</v>
          </cell>
          <cell r="V53" t="str">
            <v>XEROX MEXICANA SA DE CV / XEROX MEXICANA</v>
          </cell>
          <cell r="W53" t="str">
            <v>TAMAULIPAS</v>
          </cell>
          <cell r="X53">
            <v>2019</v>
          </cell>
          <cell r="Y53" t="str">
            <v>Qtr 2</v>
          </cell>
          <cell r="Z53" t="str">
            <v>April</v>
          </cell>
          <cell r="AA53">
            <v>5</v>
          </cell>
          <cell r="AB53">
            <v>313</v>
          </cell>
          <cell r="AC53">
            <v>1.1000000000000001</v>
          </cell>
          <cell r="AD53">
            <v>0.79</v>
          </cell>
          <cell r="AE53">
            <v>1501.5</v>
          </cell>
        </row>
        <row r="54">
          <cell r="A54" t="str">
            <v>0BB1252119</v>
          </cell>
          <cell r="B54">
            <v>2019</v>
          </cell>
          <cell r="C54" t="str">
            <v>Qtr 2</v>
          </cell>
          <cell r="D54" t="str">
            <v>April</v>
          </cell>
          <cell r="E54">
            <v>1</v>
          </cell>
          <cell r="F54" t="str">
            <v>CORRECTIVO</v>
          </cell>
          <cell r="G54">
            <v>0.28333330000000001</v>
          </cell>
          <cell r="H54" t="str">
            <v>A4 Mono MFPs</v>
          </cell>
          <cell r="I54">
            <v>468</v>
          </cell>
          <cell r="J54">
            <v>715</v>
          </cell>
          <cell r="K54">
            <v>0</v>
          </cell>
          <cell r="L54">
            <v>0</v>
          </cell>
          <cell r="M54">
            <v>0</v>
          </cell>
          <cell r="N54">
            <v>0.6</v>
          </cell>
          <cell r="O54">
            <v>0.8</v>
          </cell>
          <cell r="P54">
            <v>1.05</v>
          </cell>
          <cell r="Q54" t="str">
            <v>INTERIOR</v>
          </cell>
          <cell r="R54">
            <v>5</v>
          </cell>
          <cell r="S54">
            <v>9</v>
          </cell>
          <cell r="T54" t="str">
            <v>Ciudad principal</v>
          </cell>
          <cell r="U54" t="str">
            <v>A4 Mono MFPs</v>
          </cell>
          <cell r="V54" t="str">
            <v>XEROX MEXICANA SA DE CV / XEROX MEXICANA</v>
          </cell>
          <cell r="W54" t="str">
            <v>CHIHUAHUA</v>
          </cell>
          <cell r="X54">
            <v>2019</v>
          </cell>
          <cell r="Y54" t="str">
            <v>Qtr 2</v>
          </cell>
          <cell r="Z54" t="str">
            <v>April</v>
          </cell>
          <cell r="AA54">
            <v>1</v>
          </cell>
          <cell r="AB54">
            <v>32</v>
          </cell>
          <cell r="AC54">
            <v>0.8</v>
          </cell>
          <cell r="AD54">
            <v>5.6666660000000001E-2</v>
          </cell>
          <cell r="AE54">
            <v>572</v>
          </cell>
        </row>
        <row r="55">
          <cell r="A55" t="str">
            <v>0BG0966721</v>
          </cell>
          <cell r="B55">
            <v>2019</v>
          </cell>
          <cell r="C55" t="str">
            <v>Qtr 2</v>
          </cell>
          <cell r="D55" t="str">
            <v>April</v>
          </cell>
          <cell r="E55">
            <v>1</v>
          </cell>
          <cell r="F55" t="str">
            <v>CORRECTIVO</v>
          </cell>
          <cell r="G55">
            <v>0.93333330000000003</v>
          </cell>
          <cell r="H55" t="str">
            <v>Light Production Digital Business</v>
          </cell>
          <cell r="I55">
            <v>803</v>
          </cell>
          <cell r="J55">
            <v>1573</v>
          </cell>
          <cell r="K55">
            <v>0.2</v>
          </cell>
          <cell r="L55">
            <v>0.6</v>
          </cell>
          <cell r="M55">
            <v>0.8</v>
          </cell>
          <cell r="N55">
            <v>1.05</v>
          </cell>
          <cell r="O55">
            <v>1.1000000000000001</v>
          </cell>
          <cell r="P55">
            <v>1.1499999999999999</v>
          </cell>
          <cell r="Q55" t="str">
            <v>INTERIOR</v>
          </cell>
          <cell r="R55">
            <v>4</v>
          </cell>
          <cell r="S55">
            <v>6</v>
          </cell>
          <cell r="T55" t="str">
            <v>Ciudad principal</v>
          </cell>
          <cell r="U55" t="str">
            <v>High End Cut Sheet</v>
          </cell>
          <cell r="V55" t="str">
            <v>XEROX MEXICANA SA DE CV / XEROX MEXICANA</v>
          </cell>
          <cell r="W55" t="str">
            <v>GUANAJUATO</v>
          </cell>
          <cell r="X55">
            <v>2019</v>
          </cell>
          <cell r="Y55" t="str">
            <v>Qtr 2</v>
          </cell>
          <cell r="Z55" t="str">
            <v>April</v>
          </cell>
          <cell r="AA55">
            <v>9</v>
          </cell>
          <cell r="AB55">
            <v>4</v>
          </cell>
          <cell r="AC55">
            <v>0.6</v>
          </cell>
          <cell r="AD55">
            <v>0.23333332500000001</v>
          </cell>
          <cell r="AE55">
            <v>943.8</v>
          </cell>
        </row>
        <row r="56">
          <cell r="A56" t="str">
            <v>0BG2940370</v>
          </cell>
          <cell r="B56">
            <v>2019</v>
          </cell>
          <cell r="C56" t="str">
            <v>Qtr 2</v>
          </cell>
          <cell r="D56" t="str">
            <v>April</v>
          </cell>
          <cell r="E56">
            <v>1</v>
          </cell>
          <cell r="F56" t="str">
            <v>CORRECTIVO</v>
          </cell>
          <cell r="G56">
            <v>1.433333</v>
          </cell>
          <cell r="H56" t="str">
            <v>Light Production Digital Business</v>
          </cell>
          <cell r="I56">
            <v>803</v>
          </cell>
          <cell r="J56">
            <v>1573</v>
          </cell>
          <cell r="K56">
            <v>0.2</v>
          </cell>
          <cell r="L56">
            <v>0.6</v>
          </cell>
          <cell r="M56">
            <v>0.8</v>
          </cell>
          <cell r="N56">
            <v>1.05</v>
          </cell>
          <cell r="O56">
            <v>1.1000000000000001</v>
          </cell>
          <cell r="P56">
            <v>1.1499999999999999</v>
          </cell>
          <cell r="Q56" t="str">
            <v>INTERIOR</v>
          </cell>
          <cell r="R56">
            <v>4</v>
          </cell>
          <cell r="S56">
            <v>6</v>
          </cell>
          <cell r="T56" t="str">
            <v>Ciudad principal</v>
          </cell>
          <cell r="U56" t="str">
            <v>High End Cut Sheet</v>
          </cell>
          <cell r="V56" t="str">
            <v>XEROX MEXICANA SA DE CV / XEROX MEXICANA</v>
          </cell>
          <cell r="W56" t="str">
            <v>CHIHUAHUA</v>
          </cell>
          <cell r="X56">
            <v>2019</v>
          </cell>
          <cell r="Y56" t="str">
            <v>Qtr 2</v>
          </cell>
          <cell r="Z56" t="str">
            <v>April</v>
          </cell>
          <cell r="AA56">
            <v>12</v>
          </cell>
          <cell r="AB56">
            <v>12</v>
          </cell>
          <cell r="AC56">
            <v>0.8</v>
          </cell>
          <cell r="AD56">
            <v>0.35833324999999999</v>
          </cell>
          <cell r="AE56">
            <v>1258.4000000000001</v>
          </cell>
        </row>
        <row r="57">
          <cell r="A57" t="str">
            <v>0BG2947159</v>
          </cell>
          <cell r="B57">
            <v>2019</v>
          </cell>
          <cell r="C57" t="str">
            <v>Qtr 2</v>
          </cell>
          <cell r="D57" t="str">
            <v>April</v>
          </cell>
          <cell r="E57">
            <v>1</v>
          </cell>
          <cell r="F57" t="str">
            <v>CORRECTIVO</v>
          </cell>
          <cell r="G57">
            <v>1.9166669999999999</v>
          </cell>
          <cell r="H57" t="str">
            <v>Light Production Digital Business</v>
          </cell>
          <cell r="I57">
            <v>803</v>
          </cell>
          <cell r="J57">
            <v>1573</v>
          </cell>
          <cell r="K57">
            <v>0.2</v>
          </cell>
          <cell r="L57">
            <v>0.6</v>
          </cell>
          <cell r="M57">
            <v>0.8</v>
          </cell>
          <cell r="N57">
            <v>1.05</v>
          </cell>
          <cell r="O57">
            <v>1.1000000000000001</v>
          </cell>
          <cell r="P57">
            <v>1.1499999999999999</v>
          </cell>
          <cell r="Q57" t="str">
            <v>INTERIOR</v>
          </cell>
          <cell r="R57">
            <v>4</v>
          </cell>
          <cell r="S57">
            <v>6</v>
          </cell>
          <cell r="T57" t="str">
            <v>Ciudad principal</v>
          </cell>
          <cell r="U57" t="str">
            <v>High End Cut Sheet</v>
          </cell>
          <cell r="V57" t="str">
            <v>XEROX MEXICANA SA DE CV / XEROX MEXICANA</v>
          </cell>
          <cell r="W57" t="str">
            <v>NUEVO LEON</v>
          </cell>
          <cell r="X57">
            <v>2019</v>
          </cell>
          <cell r="Y57" t="str">
            <v>Qtr 2</v>
          </cell>
          <cell r="Z57" t="str">
            <v>April</v>
          </cell>
          <cell r="AA57">
            <v>4</v>
          </cell>
          <cell r="AB57">
            <v>12</v>
          </cell>
          <cell r="AC57">
            <v>0.8</v>
          </cell>
          <cell r="AD57">
            <v>0.47916674999999997</v>
          </cell>
          <cell r="AE57">
            <v>1258.4000000000001</v>
          </cell>
        </row>
        <row r="58">
          <cell r="A58" t="str">
            <v>0BG2947475</v>
          </cell>
          <cell r="B58">
            <v>2019</v>
          </cell>
          <cell r="C58" t="str">
            <v>Qtr 2</v>
          </cell>
          <cell r="D58" t="str">
            <v>April</v>
          </cell>
          <cell r="E58">
            <v>1</v>
          </cell>
          <cell r="F58" t="str">
            <v>CORRECTIVO</v>
          </cell>
          <cell r="G58">
            <v>0.58333330000000005</v>
          </cell>
          <cell r="H58" t="str">
            <v>Light Production Digital Business</v>
          </cell>
          <cell r="I58">
            <v>803</v>
          </cell>
          <cell r="J58">
            <v>1573</v>
          </cell>
          <cell r="K58">
            <v>0.2</v>
          </cell>
          <cell r="L58">
            <v>0.6</v>
          </cell>
          <cell r="M58">
            <v>0.8</v>
          </cell>
          <cell r="N58">
            <v>1.05</v>
          </cell>
          <cell r="O58">
            <v>1.1000000000000001</v>
          </cell>
          <cell r="P58">
            <v>1.1499999999999999</v>
          </cell>
          <cell r="Q58" t="str">
            <v>INTERIOR</v>
          </cell>
          <cell r="R58">
            <v>4</v>
          </cell>
          <cell r="S58">
            <v>6</v>
          </cell>
          <cell r="T58" t="str">
            <v>Otras</v>
          </cell>
          <cell r="U58" t="str">
            <v>High End Cut Sheet</v>
          </cell>
          <cell r="V58" t="str">
            <v>XEROX MEXICANA SA DE CV / XEROX MEXICANA</v>
          </cell>
          <cell r="W58" t="str">
            <v>COAHUILA</v>
          </cell>
          <cell r="X58">
            <v>2019</v>
          </cell>
          <cell r="Y58" t="str">
            <v>Qtr 2</v>
          </cell>
          <cell r="Z58" t="str">
            <v>April</v>
          </cell>
          <cell r="AA58">
            <v>1</v>
          </cell>
          <cell r="AB58">
            <v>56</v>
          </cell>
          <cell r="AC58">
            <v>1.1000000000000001</v>
          </cell>
          <cell r="AD58">
            <v>9.7222216666666694E-2</v>
          </cell>
          <cell r="AE58">
            <v>1730.3</v>
          </cell>
        </row>
        <row r="59">
          <cell r="A59" t="str">
            <v>0BG2951676</v>
          </cell>
          <cell r="B59">
            <v>2019</v>
          </cell>
          <cell r="C59" t="str">
            <v>Qtr 2</v>
          </cell>
          <cell r="D59" t="str">
            <v>April</v>
          </cell>
          <cell r="E59">
            <v>1</v>
          </cell>
          <cell r="F59" t="str">
            <v>MANTENIMIENTO PREVENTIVO</v>
          </cell>
          <cell r="G59">
            <v>0</v>
          </cell>
          <cell r="H59" t="str">
            <v>Light Production Digital Business</v>
          </cell>
          <cell r="I59">
            <v>803</v>
          </cell>
          <cell r="J59">
            <v>1573</v>
          </cell>
          <cell r="K59">
            <v>0.2</v>
          </cell>
          <cell r="L59">
            <v>0.6</v>
          </cell>
          <cell r="M59">
            <v>0.8</v>
          </cell>
          <cell r="N59">
            <v>1.05</v>
          </cell>
          <cell r="O59">
            <v>1.1000000000000001</v>
          </cell>
          <cell r="P59">
            <v>1.1499999999999999</v>
          </cell>
          <cell r="Q59" t="str">
            <v>INTERIOR</v>
          </cell>
          <cell r="R59">
            <v>4</v>
          </cell>
          <cell r="S59">
            <v>6</v>
          </cell>
          <cell r="T59" t="str">
            <v>Ciudad principal</v>
          </cell>
          <cell r="U59" t="str">
            <v>High End Cut Sheet</v>
          </cell>
          <cell r="V59" t="str">
            <v>XEROX MEXICANA SA DE CV / XEROX MEXICANA</v>
          </cell>
          <cell r="W59" t="str">
            <v>TAMAULIPAS</v>
          </cell>
          <cell r="X59">
            <v>2019</v>
          </cell>
          <cell r="Y59" t="str">
            <v>Qtr 2</v>
          </cell>
          <cell r="Z59" t="str">
            <v>April</v>
          </cell>
          <cell r="AA59">
            <v>1</v>
          </cell>
          <cell r="AB59">
            <v>4</v>
          </cell>
          <cell r="AC59">
            <v>0</v>
          </cell>
          <cell r="AD59">
            <v>0</v>
          </cell>
          <cell r="AE59">
            <v>1573</v>
          </cell>
        </row>
        <row r="60">
          <cell r="A60" t="str">
            <v>0C4X011834</v>
          </cell>
          <cell r="B60">
            <v>2019</v>
          </cell>
          <cell r="C60" t="str">
            <v>Qtr 2</v>
          </cell>
          <cell r="D60" t="str">
            <v>April</v>
          </cell>
          <cell r="E60">
            <v>1</v>
          </cell>
          <cell r="F60" t="str">
            <v>MANTENIMIENTO PREVENTIVO</v>
          </cell>
          <cell r="G60">
            <v>0</v>
          </cell>
          <cell r="H60" t="str">
            <v>A4 Mono MFPs</v>
          </cell>
          <cell r="I60">
            <v>468</v>
          </cell>
          <cell r="J60">
            <v>715</v>
          </cell>
          <cell r="K60">
            <v>0</v>
          </cell>
          <cell r="L60">
            <v>0</v>
          </cell>
          <cell r="M60">
            <v>0</v>
          </cell>
          <cell r="N60">
            <v>0.6</v>
          </cell>
          <cell r="O60">
            <v>0.8</v>
          </cell>
          <cell r="P60">
            <v>1.05</v>
          </cell>
          <cell r="Q60" t="str">
            <v>INTERIOR</v>
          </cell>
          <cell r="R60">
            <v>5</v>
          </cell>
          <cell r="S60">
            <v>9</v>
          </cell>
          <cell r="T60" t="str">
            <v>Otras</v>
          </cell>
          <cell r="U60" t="str">
            <v>A4 Mono MFPs</v>
          </cell>
          <cell r="V60" t="str">
            <v>XEROX MEXICANA SA DE CV / XEROX MEXICANA</v>
          </cell>
          <cell r="W60" t="str">
            <v>NUEVO LEON</v>
          </cell>
          <cell r="X60">
            <v>2019</v>
          </cell>
          <cell r="Y60" t="str">
            <v>Qtr 2</v>
          </cell>
          <cell r="Z60" t="str">
            <v>April</v>
          </cell>
          <cell r="AA60">
            <v>1</v>
          </cell>
          <cell r="AB60">
            <v>26</v>
          </cell>
          <cell r="AC60">
            <v>0</v>
          </cell>
          <cell r="AD60">
            <v>0</v>
          </cell>
          <cell r="AE60">
            <v>715</v>
          </cell>
        </row>
        <row r="61">
          <cell r="A61" t="str">
            <v>0C7X246843</v>
          </cell>
          <cell r="B61">
            <v>2019</v>
          </cell>
          <cell r="C61" t="str">
            <v>Qtr 2</v>
          </cell>
          <cell r="D61" t="str">
            <v>April</v>
          </cell>
          <cell r="E61">
            <v>1</v>
          </cell>
          <cell r="F61" t="str">
            <v>CORRECTIVO</v>
          </cell>
          <cell r="G61">
            <v>0</v>
          </cell>
          <cell r="H61" t="str">
            <v>A4 Mono MFPs</v>
          </cell>
          <cell r="I61">
            <v>468</v>
          </cell>
          <cell r="J61">
            <v>715</v>
          </cell>
          <cell r="K61">
            <v>0</v>
          </cell>
          <cell r="L61">
            <v>0</v>
          </cell>
          <cell r="M61">
            <v>0</v>
          </cell>
          <cell r="N61">
            <v>0.6</v>
          </cell>
          <cell r="O61">
            <v>0.8</v>
          </cell>
          <cell r="P61">
            <v>1.05</v>
          </cell>
          <cell r="Q61" t="str">
            <v>INTERIOR</v>
          </cell>
          <cell r="R61">
            <v>5</v>
          </cell>
          <cell r="S61">
            <v>9</v>
          </cell>
          <cell r="T61" t="str">
            <v>Ciudad principal</v>
          </cell>
          <cell r="U61" t="str">
            <v>A4 Mono MFPs</v>
          </cell>
          <cell r="V61" t="str">
            <v>XEROX MEXICANA SA DE CV / XEROX MEXICANA</v>
          </cell>
          <cell r="W61" t="str">
            <v>TAMAULIPAS</v>
          </cell>
          <cell r="X61">
            <v>2019</v>
          </cell>
          <cell r="Y61" t="str">
            <v>Qtr 2</v>
          </cell>
          <cell r="Z61" t="str">
            <v>April</v>
          </cell>
          <cell r="AA61">
            <v>1</v>
          </cell>
          <cell r="AB61">
            <v>3</v>
          </cell>
          <cell r="AC61">
            <v>0</v>
          </cell>
          <cell r="AD61">
            <v>0</v>
          </cell>
          <cell r="AE61">
            <v>0</v>
          </cell>
        </row>
        <row r="62">
          <cell r="A62" t="str">
            <v>0E2B646633</v>
          </cell>
          <cell r="B62">
            <v>2019</v>
          </cell>
          <cell r="C62" t="str">
            <v>Qtr 2</v>
          </cell>
          <cell r="D62" t="str">
            <v>April</v>
          </cell>
          <cell r="E62">
            <v>1</v>
          </cell>
          <cell r="F62" t="str">
            <v>MANTENIMIENTO PREVENTIVO</v>
          </cell>
          <cell r="G62">
            <v>0</v>
          </cell>
          <cell r="H62" t="str">
            <v>Entry Production Color Low/Mid</v>
          </cell>
          <cell r="I62">
            <v>803</v>
          </cell>
          <cell r="J62">
            <v>1573</v>
          </cell>
          <cell r="K62">
            <v>0.2</v>
          </cell>
          <cell r="L62">
            <v>0.6</v>
          </cell>
          <cell r="M62">
            <v>0.8</v>
          </cell>
          <cell r="N62">
            <v>1.05</v>
          </cell>
          <cell r="O62">
            <v>1.1000000000000001</v>
          </cell>
          <cell r="P62">
            <v>1.1499999999999999</v>
          </cell>
          <cell r="Q62" t="str">
            <v>INTERIOR</v>
          </cell>
          <cell r="R62">
            <v>4</v>
          </cell>
          <cell r="S62">
            <v>6</v>
          </cell>
          <cell r="T62" t="str">
            <v>Ciudad principal</v>
          </cell>
          <cell r="U62" t="str">
            <v>Entry Production Color Low/Mid</v>
          </cell>
          <cell r="V62" t="str">
            <v>XEROX MEXICANA SA DE CV / XEROX MEXICANA</v>
          </cell>
          <cell r="W62" t="str">
            <v>TAMAULIPAS</v>
          </cell>
          <cell r="X62">
            <v>2019</v>
          </cell>
          <cell r="Y62" t="str">
            <v>Qtr 2</v>
          </cell>
          <cell r="Z62" t="str">
            <v>April</v>
          </cell>
          <cell r="AA62">
            <v>2</v>
          </cell>
          <cell r="AB62">
            <v>25</v>
          </cell>
          <cell r="AC62">
            <v>0</v>
          </cell>
          <cell r="AD62">
            <v>0</v>
          </cell>
          <cell r="AE62">
            <v>1573</v>
          </cell>
        </row>
        <row r="63">
          <cell r="A63" t="str">
            <v>0E2B656860</v>
          </cell>
          <cell r="B63">
            <v>2019</v>
          </cell>
          <cell r="C63" t="str">
            <v>Qtr 2</v>
          </cell>
          <cell r="D63" t="str">
            <v>April</v>
          </cell>
          <cell r="E63">
            <v>1</v>
          </cell>
          <cell r="F63" t="str">
            <v>MANTENIMIENTO PREVENTIVO</v>
          </cell>
          <cell r="G63">
            <v>0</v>
          </cell>
          <cell r="H63" t="str">
            <v>Entry Production Color Low/Mid</v>
          </cell>
          <cell r="I63">
            <v>803</v>
          </cell>
          <cell r="J63">
            <v>1573</v>
          </cell>
          <cell r="K63">
            <v>0.2</v>
          </cell>
          <cell r="L63">
            <v>0.6</v>
          </cell>
          <cell r="M63">
            <v>0.8</v>
          </cell>
          <cell r="N63">
            <v>1.05</v>
          </cell>
          <cell r="O63">
            <v>1.1000000000000001</v>
          </cell>
          <cell r="P63">
            <v>1.1499999999999999</v>
          </cell>
          <cell r="Q63" t="str">
            <v>INTERIOR</v>
          </cell>
          <cell r="R63">
            <v>4</v>
          </cell>
          <cell r="S63">
            <v>6</v>
          </cell>
          <cell r="T63" t="str">
            <v>Ciudad principal</v>
          </cell>
          <cell r="U63" t="str">
            <v>Entry Production Color Low/Mid</v>
          </cell>
          <cell r="V63" t="str">
            <v>XEROX MEXICANA SA DE CV / XEROX MEXICANA</v>
          </cell>
          <cell r="W63" t="str">
            <v>CHIHUAHUA</v>
          </cell>
          <cell r="X63">
            <v>2019</v>
          </cell>
          <cell r="Y63" t="str">
            <v>Qtr 2</v>
          </cell>
          <cell r="Z63" t="str">
            <v>April</v>
          </cell>
          <cell r="AA63">
            <v>1</v>
          </cell>
          <cell r="AB63">
            <v>48</v>
          </cell>
          <cell r="AC63">
            <v>0</v>
          </cell>
          <cell r="AD63">
            <v>0</v>
          </cell>
          <cell r="AE63">
            <v>1573</v>
          </cell>
        </row>
        <row r="64">
          <cell r="A64" t="str">
            <v>0EX7387236</v>
          </cell>
          <cell r="B64">
            <v>2019</v>
          </cell>
          <cell r="C64" t="str">
            <v>Qtr 2</v>
          </cell>
          <cell r="D64" t="str">
            <v>April</v>
          </cell>
          <cell r="E64">
            <v>1</v>
          </cell>
          <cell r="F64" t="str">
            <v>CORRECTIVO</v>
          </cell>
          <cell r="G64">
            <v>2.1833330000000002</v>
          </cell>
          <cell r="H64" t="str">
            <v>Departmental Digital</v>
          </cell>
          <cell r="I64">
            <v>655</v>
          </cell>
          <cell r="J64">
            <v>1365</v>
          </cell>
          <cell r="K64">
            <v>0</v>
          </cell>
          <cell r="L64">
            <v>0</v>
          </cell>
          <cell r="M64">
            <v>0.6</v>
          </cell>
          <cell r="N64">
            <v>0.8</v>
          </cell>
          <cell r="O64">
            <v>1.05</v>
          </cell>
          <cell r="P64">
            <v>1.1000000000000001</v>
          </cell>
          <cell r="Q64" t="str">
            <v>INTERIOR</v>
          </cell>
          <cell r="R64">
            <v>5</v>
          </cell>
          <cell r="S64">
            <v>9</v>
          </cell>
          <cell r="T64" t="str">
            <v>Ciudad principal</v>
          </cell>
          <cell r="U64" t="str">
            <v>Departmental Digital</v>
          </cell>
          <cell r="V64" t="str">
            <v>XEROX MEXICANA SA DE CV / XEROX MEXICANA</v>
          </cell>
          <cell r="W64" t="str">
            <v>CHIHUAHUA</v>
          </cell>
          <cell r="X64">
            <v>2019</v>
          </cell>
          <cell r="Y64" t="str">
            <v>Qtr 2</v>
          </cell>
          <cell r="Z64" t="str">
            <v>April</v>
          </cell>
          <cell r="AA64">
            <v>1</v>
          </cell>
          <cell r="AB64">
            <v>10</v>
          </cell>
          <cell r="AC64">
            <v>0.6</v>
          </cell>
          <cell r="AD64">
            <v>0.43666660000000002</v>
          </cell>
          <cell r="AE64">
            <v>819</v>
          </cell>
        </row>
        <row r="65">
          <cell r="A65" t="str">
            <v>0EX7407523</v>
          </cell>
          <cell r="B65">
            <v>2019</v>
          </cell>
          <cell r="C65" t="str">
            <v>Qtr 2</v>
          </cell>
          <cell r="D65" t="str">
            <v>April</v>
          </cell>
          <cell r="E65">
            <v>1</v>
          </cell>
          <cell r="F65" t="str">
            <v>MANTENIMIENTO PREVENTIVO</v>
          </cell>
          <cell r="G65">
            <v>0</v>
          </cell>
          <cell r="H65" t="str">
            <v>Office Digital</v>
          </cell>
          <cell r="I65">
            <v>655</v>
          </cell>
          <cell r="J65">
            <v>1365</v>
          </cell>
          <cell r="K65">
            <v>0</v>
          </cell>
          <cell r="L65">
            <v>0</v>
          </cell>
          <cell r="M65">
            <v>0.6</v>
          </cell>
          <cell r="N65">
            <v>0.8</v>
          </cell>
          <cell r="O65">
            <v>1.05</v>
          </cell>
          <cell r="P65">
            <v>1.1000000000000001</v>
          </cell>
          <cell r="Q65" t="str">
            <v>INTERIOR</v>
          </cell>
          <cell r="R65">
            <v>5</v>
          </cell>
          <cell r="S65">
            <v>9</v>
          </cell>
          <cell r="T65" t="str">
            <v>Ciudad principal</v>
          </cell>
          <cell r="U65" t="str">
            <v>Departmental Digital</v>
          </cell>
          <cell r="V65" t="str">
            <v>XEROX MEXICANA SA DE CV / XEROX MEXICANA</v>
          </cell>
          <cell r="W65" t="str">
            <v>CHIHUAHUA</v>
          </cell>
          <cell r="X65">
            <v>2019</v>
          </cell>
          <cell r="Y65" t="str">
            <v>Qtr 2</v>
          </cell>
          <cell r="Z65" t="str">
            <v>April</v>
          </cell>
          <cell r="AA65">
            <v>2</v>
          </cell>
          <cell r="AB65">
            <v>25</v>
          </cell>
          <cell r="AC65">
            <v>0</v>
          </cell>
          <cell r="AD65">
            <v>0</v>
          </cell>
          <cell r="AE65">
            <v>1365</v>
          </cell>
        </row>
        <row r="66">
          <cell r="A66" t="str">
            <v>0EX9286123</v>
          </cell>
          <cell r="B66">
            <v>2019</v>
          </cell>
          <cell r="C66" t="str">
            <v>Qtr 2</v>
          </cell>
          <cell r="D66" t="str">
            <v>April</v>
          </cell>
          <cell r="E66">
            <v>1</v>
          </cell>
          <cell r="F66" t="str">
            <v>CORRECTIVO</v>
          </cell>
          <cell r="G66">
            <v>0.3</v>
          </cell>
          <cell r="H66" t="str">
            <v>Departmental Digital</v>
          </cell>
          <cell r="I66">
            <v>655</v>
          </cell>
          <cell r="J66">
            <v>1365</v>
          </cell>
          <cell r="K66">
            <v>0</v>
          </cell>
          <cell r="L66">
            <v>0</v>
          </cell>
          <cell r="M66">
            <v>0.6</v>
          </cell>
          <cell r="N66">
            <v>0.8</v>
          </cell>
          <cell r="O66">
            <v>1.05</v>
          </cell>
          <cell r="P66">
            <v>1.1000000000000001</v>
          </cell>
          <cell r="Q66" t="str">
            <v>INTERIOR</v>
          </cell>
          <cell r="R66">
            <v>5</v>
          </cell>
          <cell r="S66">
            <v>9</v>
          </cell>
          <cell r="T66" t="str">
            <v>Ciudad principal</v>
          </cell>
          <cell r="U66" t="str">
            <v>Departmental Digital</v>
          </cell>
          <cell r="V66" t="str">
            <v>XEROX MEXICANA SA DE CV / XEROX MEXICANA</v>
          </cell>
          <cell r="W66" t="str">
            <v>DURANGO</v>
          </cell>
          <cell r="X66">
            <v>2019</v>
          </cell>
          <cell r="Y66" t="str">
            <v>Qtr 2</v>
          </cell>
          <cell r="Z66" t="str">
            <v>April</v>
          </cell>
          <cell r="AA66">
            <v>2</v>
          </cell>
          <cell r="AB66">
            <v>12</v>
          </cell>
          <cell r="AC66">
            <v>0.6</v>
          </cell>
          <cell r="AD66">
            <v>0.06</v>
          </cell>
          <cell r="AE66">
            <v>819</v>
          </cell>
        </row>
        <row r="67">
          <cell r="A67" t="str">
            <v>0EX9293168</v>
          </cell>
          <cell r="B67">
            <v>2019</v>
          </cell>
          <cell r="C67" t="str">
            <v>Qtr 2</v>
          </cell>
          <cell r="D67" t="str">
            <v>April</v>
          </cell>
          <cell r="E67">
            <v>1</v>
          </cell>
          <cell r="F67" t="str">
            <v>CORRECTIVO</v>
          </cell>
          <cell r="G67">
            <v>2.233333</v>
          </cell>
          <cell r="H67" t="str">
            <v>Departmental Digital</v>
          </cell>
          <cell r="I67">
            <v>655</v>
          </cell>
          <cell r="J67">
            <v>1365</v>
          </cell>
          <cell r="K67">
            <v>0</v>
          </cell>
          <cell r="L67">
            <v>0</v>
          </cell>
          <cell r="M67">
            <v>0.6</v>
          </cell>
          <cell r="N67">
            <v>0.8</v>
          </cell>
          <cell r="O67">
            <v>1.05</v>
          </cell>
          <cell r="P67">
            <v>1.1000000000000001</v>
          </cell>
          <cell r="Q67" t="str">
            <v>INTERIOR</v>
          </cell>
          <cell r="R67">
            <v>5</v>
          </cell>
          <cell r="S67">
            <v>9</v>
          </cell>
          <cell r="T67" t="str">
            <v>Ciudad principal</v>
          </cell>
          <cell r="U67" t="str">
            <v>Departmental Digital</v>
          </cell>
          <cell r="V67" t="str">
            <v>XEROX MEXICANA SA DE CV / XEROX MEXICANA</v>
          </cell>
          <cell r="W67" t="str">
            <v>GUANAJUATO</v>
          </cell>
          <cell r="X67">
            <v>2019</v>
          </cell>
          <cell r="Y67" t="str">
            <v>Qtr 2</v>
          </cell>
          <cell r="Z67" t="str">
            <v>April</v>
          </cell>
          <cell r="AA67">
            <v>3</v>
          </cell>
          <cell r="AB67">
            <v>25</v>
          </cell>
          <cell r="AC67">
            <v>0.8</v>
          </cell>
          <cell r="AD67">
            <v>0.44666660000000002</v>
          </cell>
          <cell r="AE67">
            <v>1092</v>
          </cell>
        </row>
        <row r="68">
          <cell r="A68" t="str">
            <v>0EX9293515</v>
          </cell>
          <cell r="B68">
            <v>2019</v>
          </cell>
          <cell r="C68" t="str">
            <v>Qtr 2</v>
          </cell>
          <cell r="D68" t="str">
            <v>April</v>
          </cell>
          <cell r="E68">
            <v>1</v>
          </cell>
          <cell r="F68" t="str">
            <v>MANTENIMIENTO PREVENTIVO</v>
          </cell>
          <cell r="G68">
            <v>0</v>
          </cell>
          <cell r="H68" t="str">
            <v>Departmental Digital</v>
          </cell>
          <cell r="I68">
            <v>655</v>
          </cell>
          <cell r="J68">
            <v>1365</v>
          </cell>
          <cell r="K68">
            <v>0</v>
          </cell>
          <cell r="L68">
            <v>0</v>
          </cell>
          <cell r="M68">
            <v>0.6</v>
          </cell>
          <cell r="N68">
            <v>0.8</v>
          </cell>
          <cell r="O68">
            <v>1.05</v>
          </cell>
          <cell r="P68">
            <v>1.1000000000000001</v>
          </cell>
          <cell r="Q68" t="str">
            <v>INTERIOR</v>
          </cell>
          <cell r="R68">
            <v>5</v>
          </cell>
          <cell r="S68">
            <v>9</v>
          </cell>
          <cell r="T68" t="str">
            <v>Ciudad principal</v>
          </cell>
          <cell r="U68" t="str">
            <v>Departmental Digital</v>
          </cell>
          <cell r="V68" t="str">
            <v>XEROX MEXICANA SA DE CV / XEROX MEXICANA</v>
          </cell>
          <cell r="W68" t="str">
            <v>JALISCO</v>
          </cell>
          <cell r="X68">
            <v>2019</v>
          </cell>
          <cell r="Y68" t="str">
            <v>Qtr 2</v>
          </cell>
          <cell r="Z68" t="str">
            <v>April</v>
          </cell>
          <cell r="AA68">
            <v>1</v>
          </cell>
          <cell r="AB68">
            <v>4</v>
          </cell>
          <cell r="AC68">
            <v>0</v>
          </cell>
          <cell r="AD68">
            <v>0</v>
          </cell>
          <cell r="AE68">
            <v>1365</v>
          </cell>
        </row>
        <row r="69">
          <cell r="A69" t="str">
            <v>0EX9664447</v>
          </cell>
          <cell r="B69">
            <v>2019</v>
          </cell>
          <cell r="C69" t="str">
            <v>Qtr 2</v>
          </cell>
          <cell r="D69" t="str">
            <v>April</v>
          </cell>
          <cell r="E69">
            <v>1</v>
          </cell>
          <cell r="F69" t="str">
            <v>CORRECTIVO</v>
          </cell>
          <cell r="G69">
            <v>0.45</v>
          </cell>
          <cell r="H69" t="str">
            <v>Departmental Digital</v>
          </cell>
          <cell r="I69">
            <v>655</v>
          </cell>
          <cell r="J69">
            <v>1365</v>
          </cell>
          <cell r="K69">
            <v>0</v>
          </cell>
          <cell r="L69">
            <v>0</v>
          </cell>
          <cell r="M69">
            <v>0.6</v>
          </cell>
          <cell r="N69">
            <v>0.8</v>
          </cell>
          <cell r="O69">
            <v>1.05</v>
          </cell>
          <cell r="P69">
            <v>1.1000000000000001</v>
          </cell>
          <cell r="Q69" t="str">
            <v>INTERIOR</v>
          </cell>
          <cell r="R69">
            <v>5</v>
          </cell>
          <cell r="S69">
            <v>9</v>
          </cell>
          <cell r="T69" t="str">
            <v>Ciudad principal</v>
          </cell>
          <cell r="U69" t="str">
            <v>Departmental Digital</v>
          </cell>
          <cell r="V69" t="str">
            <v>XEROX MEXICANA SA DE CV / XEROX MEXICANA</v>
          </cell>
          <cell r="W69" t="str">
            <v>JALISCO</v>
          </cell>
          <cell r="X69">
            <v>2019</v>
          </cell>
          <cell r="Y69" t="str">
            <v>Qtr 2</v>
          </cell>
          <cell r="Z69" t="str">
            <v>April</v>
          </cell>
          <cell r="AA69">
            <v>1</v>
          </cell>
          <cell r="AB69">
            <v>10</v>
          </cell>
          <cell r="AC69">
            <v>0.6</v>
          </cell>
          <cell r="AD69">
            <v>0.09</v>
          </cell>
          <cell r="AE69">
            <v>819</v>
          </cell>
        </row>
        <row r="70">
          <cell r="A70" t="str">
            <v>0MX1216569</v>
          </cell>
          <cell r="B70">
            <v>2019</v>
          </cell>
          <cell r="C70" t="str">
            <v>Qtr 2</v>
          </cell>
          <cell r="D70" t="str">
            <v>April</v>
          </cell>
          <cell r="E70">
            <v>1</v>
          </cell>
          <cell r="F70" t="str">
            <v>CORRECTIVO</v>
          </cell>
          <cell r="G70">
            <v>1.6333329999999999</v>
          </cell>
          <cell r="H70" t="str">
            <v>A3 Office Color Laser MFPs</v>
          </cell>
          <cell r="I70">
            <v>655</v>
          </cell>
          <cell r="J70">
            <v>1365</v>
          </cell>
          <cell r="K70">
            <v>0</v>
          </cell>
          <cell r="L70">
            <v>0</v>
          </cell>
          <cell r="M70">
            <v>0.6</v>
          </cell>
          <cell r="N70">
            <v>0.8</v>
          </cell>
          <cell r="O70">
            <v>1.05</v>
          </cell>
          <cell r="P70">
            <v>1.1000000000000001</v>
          </cell>
          <cell r="Q70" t="str">
            <v>INTERIOR</v>
          </cell>
          <cell r="R70">
            <v>5</v>
          </cell>
          <cell r="S70">
            <v>9</v>
          </cell>
          <cell r="T70" t="str">
            <v>Ciudad principal</v>
          </cell>
          <cell r="U70" t="str">
            <v>A3 Office Color Laser MFPs</v>
          </cell>
          <cell r="V70" t="str">
            <v>XEROX MEXICANA SA DE CV / XEROX MEXICANA</v>
          </cell>
          <cell r="W70" t="str">
            <v>CHIHUAHUA</v>
          </cell>
          <cell r="X70">
            <v>2019</v>
          </cell>
          <cell r="Y70" t="str">
            <v>Qtr 2</v>
          </cell>
          <cell r="Z70" t="str">
            <v>April</v>
          </cell>
          <cell r="AA70">
            <v>1</v>
          </cell>
          <cell r="AB70">
            <v>255</v>
          </cell>
          <cell r="AC70">
            <v>1.1000000000000001</v>
          </cell>
          <cell r="AD70">
            <v>0.32666659999999997</v>
          </cell>
          <cell r="AE70">
            <v>1501.5</v>
          </cell>
        </row>
        <row r="71">
          <cell r="A71" t="str">
            <v>0MX4465075</v>
          </cell>
          <cell r="B71">
            <v>2019</v>
          </cell>
          <cell r="C71" t="str">
            <v>Qtr 2</v>
          </cell>
          <cell r="D71" t="str">
            <v>April</v>
          </cell>
          <cell r="E71">
            <v>1</v>
          </cell>
          <cell r="F71" t="str">
            <v>CORRECTIVO</v>
          </cell>
          <cell r="G71">
            <v>0.3</v>
          </cell>
          <cell r="I71" t="str">
            <v>NA</v>
          </cell>
          <cell r="J71" t="str">
            <v>NA</v>
          </cell>
          <cell r="K71" t="str">
            <v>NA</v>
          </cell>
          <cell r="L71" t="str">
            <v>NA</v>
          </cell>
          <cell r="M71" t="str">
            <v>NA</v>
          </cell>
          <cell r="N71" t="str">
            <v>NA</v>
          </cell>
          <cell r="O71" t="str">
            <v>NA</v>
          </cell>
          <cell r="P71" t="str">
            <v>NA</v>
          </cell>
          <cell r="R71" t="str">
            <v>NA</v>
          </cell>
          <cell r="S71" t="str">
            <v>NA</v>
          </cell>
          <cell r="U71" t="str">
            <v>A3 Office Color Laser MFPs</v>
          </cell>
          <cell r="V71" t="str">
            <v>XEROX MEXICANA SA DE CV / XEROX MEXICANA</v>
          </cell>
          <cell r="W71" t="str">
            <v>GUANAJUATO</v>
          </cell>
          <cell r="X71">
            <v>2019</v>
          </cell>
          <cell r="Y71" t="str">
            <v>Qtr 2</v>
          </cell>
          <cell r="Z71" t="str">
            <v>April</v>
          </cell>
          <cell r="AA71">
            <v>2</v>
          </cell>
          <cell r="AB71">
            <v>0</v>
          </cell>
          <cell r="AC71">
            <v>1.1000000000000001</v>
          </cell>
          <cell r="AD71">
            <v>0</v>
          </cell>
          <cell r="AE71">
            <v>1501.5</v>
          </cell>
        </row>
        <row r="72">
          <cell r="A72" t="str">
            <v>0PW4152292</v>
          </cell>
          <cell r="B72">
            <v>2019</v>
          </cell>
          <cell r="C72" t="str">
            <v>Qtr 2</v>
          </cell>
          <cell r="D72" t="str">
            <v>April</v>
          </cell>
          <cell r="E72">
            <v>1</v>
          </cell>
          <cell r="F72" t="str">
            <v>MANTENIMIENTO PREVENTIVO</v>
          </cell>
          <cell r="G72">
            <v>0</v>
          </cell>
          <cell r="H72" t="str">
            <v>WF Mono Systems and Legacy Color</v>
          </cell>
          <cell r="I72">
            <v>803</v>
          </cell>
          <cell r="J72">
            <v>1573</v>
          </cell>
          <cell r="K72">
            <v>0.2</v>
          </cell>
          <cell r="L72">
            <v>0.6</v>
          </cell>
          <cell r="M72">
            <v>0.8</v>
          </cell>
          <cell r="N72">
            <v>1.05</v>
          </cell>
          <cell r="O72">
            <v>1.1000000000000001</v>
          </cell>
          <cell r="P72">
            <v>1.1499999999999999</v>
          </cell>
          <cell r="Q72" t="str">
            <v>INTERIOR</v>
          </cell>
          <cell r="R72">
            <v>4</v>
          </cell>
          <cell r="S72">
            <v>6</v>
          </cell>
          <cell r="T72" t="str">
            <v>Ciudad principal</v>
          </cell>
          <cell r="U72" t="str">
            <v>WF Mono Systems and Legacy Color</v>
          </cell>
          <cell r="V72" t="str">
            <v>XEROX MEXICANA SA DE CV / XEROX MEXICANA</v>
          </cell>
          <cell r="W72" t="str">
            <v>JALISCO</v>
          </cell>
          <cell r="X72">
            <v>2019</v>
          </cell>
          <cell r="Y72" t="str">
            <v>Qtr 2</v>
          </cell>
          <cell r="Z72" t="str">
            <v>April</v>
          </cell>
          <cell r="AA72">
            <v>1</v>
          </cell>
          <cell r="AB72">
            <v>5</v>
          </cell>
          <cell r="AC72">
            <v>0</v>
          </cell>
          <cell r="AD72">
            <v>0</v>
          </cell>
          <cell r="AE72">
            <v>1573</v>
          </cell>
        </row>
        <row r="73">
          <cell r="A73" t="str">
            <v>0RXD109069</v>
          </cell>
          <cell r="B73">
            <v>2019</v>
          </cell>
          <cell r="C73" t="str">
            <v>Qtr 2</v>
          </cell>
          <cell r="D73" t="str">
            <v>April</v>
          </cell>
          <cell r="E73">
            <v>1</v>
          </cell>
          <cell r="F73" t="str">
            <v>MANTENIMIENTO PREVENTIVO</v>
          </cell>
          <cell r="G73">
            <v>0</v>
          </cell>
          <cell r="H73" t="str">
            <v>Color Laser Printers</v>
          </cell>
          <cell r="I73">
            <v>468</v>
          </cell>
          <cell r="J73">
            <v>715</v>
          </cell>
          <cell r="K73">
            <v>0</v>
          </cell>
          <cell r="L73">
            <v>0</v>
          </cell>
          <cell r="M73">
            <v>0</v>
          </cell>
          <cell r="N73">
            <v>0.6</v>
          </cell>
          <cell r="O73">
            <v>0.8</v>
          </cell>
          <cell r="P73">
            <v>1.05</v>
          </cell>
          <cell r="Q73" t="str">
            <v>INTERIOR</v>
          </cell>
          <cell r="R73">
            <v>5</v>
          </cell>
          <cell r="S73">
            <v>9</v>
          </cell>
          <cell r="T73" t="str">
            <v>Ciudad principal</v>
          </cell>
          <cell r="U73" t="str">
            <v>Departmental Digital</v>
          </cell>
          <cell r="V73" t="str">
            <v>XEROX MEXICANA SA DE CV / XEROX MEXICANA</v>
          </cell>
          <cell r="W73" t="str">
            <v>CHIHUAHUA</v>
          </cell>
          <cell r="X73">
            <v>2019</v>
          </cell>
          <cell r="Y73" t="str">
            <v>Qtr 2</v>
          </cell>
          <cell r="Z73" t="str">
            <v>April</v>
          </cell>
          <cell r="AA73">
            <v>3</v>
          </cell>
          <cell r="AB73">
            <v>14</v>
          </cell>
          <cell r="AC73">
            <v>0</v>
          </cell>
          <cell r="AD73">
            <v>0</v>
          </cell>
          <cell r="AE73">
            <v>715</v>
          </cell>
        </row>
        <row r="74">
          <cell r="A74" t="str">
            <v>0UHA002004</v>
          </cell>
          <cell r="B74">
            <v>2019</v>
          </cell>
          <cell r="C74" t="str">
            <v>Qtr 2</v>
          </cell>
          <cell r="D74" t="str">
            <v>April</v>
          </cell>
          <cell r="E74">
            <v>1</v>
          </cell>
          <cell r="F74" t="str">
            <v>CORRECTIVO</v>
          </cell>
          <cell r="G74">
            <v>1.75</v>
          </cell>
          <cell r="H74" t="str">
            <v>High End Cut Sheet</v>
          </cell>
          <cell r="I74">
            <v>1116</v>
          </cell>
          <cell r="J74">
            <v>2145</v>
          </cell>
          <cell r="K74">
            <v>0.6</v>
          </cell>
          <cell r="L74">
            <v>0.8</v>
          </cell>
          <cell r="M74">
            <v>1.05</v>
          </cell>
          <cell r="N74">
            <v>1.1000000000000001</v>
          </cell>
          <cell r="O74">
            <v>1.1499999999999999</v>
          </cell>
          <cell r="P74">
            <v>1.2</v>
          </cell>
          <cell r="Q74" t="str">
            <v>INTERIOR</v>
          </cell>
          <cell r="R74">
            <v>3</v>
          </cell>
          <cell r="S74">
            <v>6</v>
          </cell>
          <cell r="T74" t="str">
            <v>Ciudad principal</v>
          </cell>
          <cell r="U74" t="str">
            <v>High End Cut Sheet</v>
          </cell>
          <cell r="V74" t="str">
            <v>XEROX MEXICANA SA DE CV / XEROX MEXICANA</v>
          </cell>
          <cell r="W74" t="str">
            <v>JALISCO</v>
          </cell>
          <cell r="X74">
            <v>2019</v>
          </cell>
          <cell r="Y74" t="str">
            <v>Qtr 2</v>
          </cell>
          <cell r="Z74" t="str">
            <v>April</v>
          </cell>
          <cell r="AA74">
            <v>2</v>
          </cell>
          <cell r="AB74">
            <v>46</v>
          </cell>
          <cell r="AC74">
            <v>1.1499999999999999</v>
          </cell>
          <cell r="AD74">
            <v>0.58333333333333304</v>
          </cell>
          <cell r="AE74">
            <v>2466.75</v>
          </cell>
        </row>
        <row r="75">
          <cell r="A75" t="str">
            <v>0VGW632064</v>
          </cell>
          <cell r="B75">
            <v>2019</v>
          </cell>
          <cell r="C75" t="str">
            <v>Qtr 2</v>
          </cell>
          <cell r="D75" t="str">
            <v>April</v>
          </cell>
          <cell r="E75">
            <v>1</v>
          </cell>
          <cell r="F75" t="str">
            <v>CORRECTIVO</v>
          </cell>
          <cell r="G75">
            <v>0</v>
          </cell>
          <cell r="H75" t="str">
            <v>A3 Professional Color Laser MFPs</v>
          </cell>
          <cell r="I75">
            <v>655</v>
          </cell>
          <cell r="J75">
            <v>1365</v>
          </cell>
          <cell r="K75">
            <v>0</v>
          </cell>
          <cell r="L75">
            <v>0</v>
          </cell>
          <cell r="M75">
            <v>0.6</v>
          </cell>
          <cell r="N75">
            <v>0.8</v>
          </cell>
          <cell r="O75">
            <v>1.05</v>
          </cell>
          <cell r="P75">
            <v>1.1000000000000001</v>
          </cell>
          <cell r="Q75" t="str">
            <v>INTERIOR</v>
          </cell>
          <cell r="R75">
            <v>5</v>
          </cell>
          <cell r="S75">
            <v>9</v>
          </cell>
          <cell r="T75" t="str">
            <v>Ciudad principal</v>
          </cell>
          <cell r="U75" t="str">
            <v>Entry Production Color Low/Mid</v>
          </cell>
          <cell r="V75" t="str">
            <v>XEROX MEXICANA SA DE CV / XEROX MEXICANA</v>
          </cell>
          <cell r="W75" t="str">
            <v>CHIHUAHUA</v>
          </cell>
          <cell r="X75">
            <v>2019</v>
          </cell>
          <cell r="Y75" t="str">
            <v>Qtr 2</v>
          </cell>
          <cell r="Z75" t="str">
            <v>April</v>
          </cell>
          <cell r="AA75">
            <v>1</v>
          </cell>
          <cell r="AB75">
            <v>10</v>
          </cell>
          <cell r="AC75">
            <v>0.6</v>
          </cell>
          <cell r="AD75">
            <v>0</v>
          </cell>
          <cell r="AE75">
            <v>819</v>
          </cell>
        </row>
        <row r="76">
          <cell r="A76" t="str">
            <v>0X76092798</v>
          </cell>
          <cell r="B76">
            <v>2019</v>
          </cell>
          <cell r="C76" t="str">
            <v>Qtr 2</v>
          </cell>
          <cell r="D76" t="str">
            <v>April</v>
          </cell>
          <cell r="E76">
            <v>1</v>
          </cell>
          <cell r="F76" t="str">
            <v>CORRECTIVO</v>
          </cell>
          <cell r="G76">
            <v>1.55</v>
          </cell>
          <cell r="H76" t="str">
            <v>Departmental Digital</v>
          </cell>
          <cell r="I76">
            <v>655</v>
          </cell>
          <cell r="J76">
            <v>1365</v>
          </cell>
          <cell r="K76">
            <v>0</v>
          </cell>
          <cell r="L76">
            <v>0</v>
          </cell>
          <cell r="M76">
            <v>0.6</v>
          </cell>
          <cell r="N76">
            <v>0.8</v>
          </cell>
          <cell r="O76">
            <v>1.05</v>
          </cell>
          <cell r="P76">
            <v>1.1000000000000001</v>
          </cell>
          <cell r="Q76" t="str">
            <v>INTERIOR</v>
          </cell>
          <cell r="R76">
            <v>5</v>
          </cell>
          <cell r="S76">
            <v>9</v>
          </cell>
          <cell r="T76" t="str">
            <v>Ciudad principal</v>
          </cell>
          <cell r="U76" t="str">
            <v>Departmental Digital</v>
          </cell>
          <cell r="V76" t="str">
            <v>XEROX MEXICANA SA DE CV / XEROX MEXICANA</v>
          </cell>
          <cell r="W76" t="str">
            <v>JALISCO</v>
          </cell>
          <cell r="X76">
            <v>2019</v>
          </cell>
          <cell r="Y76" t="str">
            <v>Qtr 2</v>
          </cell>
          <cell r="Z76" t="str">
            <v>April</v>
          </cell>
          <cell r="AA76">
            <v>1</v>
          </cell>
          <cell r="AB76">
            <v>264</v>
          </cell>
          <cell r="AC76">
            <v>1.1000000000000001</v>
          </cell>
          <cell r="AD76">
            <v>0.31</v>
          </cell>
          <cell r="AE76">
            <v>1501.5</v>
          </cell>
        </row>
        <row r="77">
          <cell r="A77" t="str">
            <v>0X76707584</v>
          </cell>
          <cell r="B77">
            <v>2019</v>
          </cell>
          <cell r="C77" t="str">
            <v>Qtr 2</v>
          </cell>
          <cell r="D77" t="str">
            <v>April</v>
          </cell>
          <cell r="E77">
            <v>1</v>
          </cell>
          <cell r="F77" t="str">
            <v>CORRECTIVO</v>
          </cell>
          <cell r="G77">
            <v>0</v>
          </cell>
          <cell r="H77" t="str">
            <v>Office Digital</v>
          </cell>
          <cell r="I77">
            <v>655</v>
          </cell>
          <cell r="J77">
            <v>1365</v>
          </cell>
          <cell r="K77">
            <v>0</v>
          </cell>
          <cell r="L77">
            <v>0</v>
          </cell>
          <cell r="M77">
            <v>0.6</v>
          </cell>
          <cell r="N77">
            <v>0.8</v>
          </cell>
          <cell r="O77">
            <v>1.05</v>
          </cell>
          <cell r="P77">
            <v>1.1000000000000001</v>
          </cell>
          <cell r="Q77" t="str">
            <v>INTERIOR</v>
          </cell>
          <cell r="R77">
            <v>5</v>
          </cell>
          <cell r="S77">
            <v>9</v>
          </cell>
          <cell r="T77" t="str">
            <v>Ciudad principal</v>
          </cell>
          <cell r="U77" t="str">
            <v>Departmental Digital</v>
          </cell>
          <cell r="V77" t="str">
            <v>XEROX MEXICANA SA DE CV / XEROX MEXICANA</v>
          </cell>
          <cell r="W77" t="str">
            <v>QUERETARO</v>
          </cell>
          <cell r="X77">
            <v>2019</v>
          </cell>
          <cell r="Y77" t="str">
            <v>Qtr 2</v>
          </cell>
          <cell r="Z77" t="str">
            <v>April</v>
          </cell>
          <cell r="AA77">
            <v>3</v>
          </cell>
          <cell r="AB77">
            <v>5</v>
          </cell>
          <cell r="AC77">
            <v>0</v>
          </cell>
          <cell r="AD77">
            <v>0</v>
          </cell>
          <cell r="AE77">
            <v>0</v>
          </cell>
        </row>
        <row r="78">
          <cell r="A78" t="str">
            <v>0X76707945</v>
          </cell>
          <cell r="B78">
            <v>2019</v>
          </cell>
          <cell r="C78" t="str">
            <v>Qtr 2</v>
          </cell>
          <cell r="D78" t="str">
            <v>April</v>
          </cell>
          <cell r="E78">
            <v>1</v>
          </cell>
          <cell r="F78" t="str">
            <v>CORRECTIVO</v>
          </cell>
          <cell r="G78">
            <v>1.183333</v>
          </cell>
          <cell r="H78" t="str">
            <v>Office Digital</v>
          </cell>
          <cell r="I78">
            <v>655</v>
          </cell>
          <cell r="J78">
            <v>1365</v>
          </cell>
          <cell r="K78">
            <v>0</v>
          </cell>
          <cell r="L78">
            <v>0</v>
          </cell>
          <cell r="M78">
            <v>0.6</v>
          </cell>
          <cell r="N78">
            <v>0.8</v>
          </cell>
          <cell r="O78">
            <v>1.05</v>
          </cell>
          <cell r="P78">
            <v>1.1000000000000001</v>
          </cell>
          <cell r="Q78" t="str">
            <v>INTERIOR</v>
          </cell>
          <cell r="R78">
            <v>5</v>
          </cell>
          <cell r="S78">
            <v>9</v>
          </cell>
          <cell r="T78" t="str">
            <v>Otras</v>
          </cell>
          <cell r="U78" t="str">
            <v>Departmental Digital</v>
          </cell>
          <cell r="V78" t="str">
            <v>XEROX MEXICANA SA DE CV / XEROX MEXICANA</v>
          </cell>
          <cell r="W78" t="str">
            <v>COAHUILA</v>
          </cell>
          <cell r="X78">
            <v>2019</v>
          </cell>
          <cell r="Y78" t="str">
            <v>Qtr 2</v>
          </cell>
          <cell r="Z78" t="str">
            <v>April</v>
          </cell>
          <cell r="AA78">
            <v>1</v>
          </cell>
          <cell r="AB78">
            <v>6</v>
          </cell>
          <cell r="AC78">
            <v>0</v>
          </cell>
          <cell r="AD78">
            <v>0.13148144444444401</v>
          </cell>
          <cell r="AE78">
            <v>0</v>
          </cell>
        </row>
        <row r="79">
          <cell r="A79" t="str">
            <v>0XEH798026</v>
          </cell>
          <cell r="B79">
            <v>2019</v>
          </cell>
          <cell r="C79" t="str">
            <v>Qtr 2</v>
          </cell>
          <cell r="D79" t="str">
            <v>April</v>
          </cell>
          <cell r="E79">
            <v>1</v>
          </cell>
          <cell r="F79" t="str">
            <v>CORRECTIVO</v>
          </cell>
          <cell r="G79">
            <v>0.25</v>
          </cell>
          <cell r="H79" t="str">
            <v>Office Digital</v>
          </cell>
          <cell r="I79">
            <v>655</v>
          </cell>
          <cell r="J79">
            <v>1365</v>
          </cell>
          <cell r="K79">
            <v>0</v>
          </cell>
          <cell r="L79">
            <v>0</v>
          </cell>
          <cell r="M79">
            <v>0.6</v>
          </cell>
          <cell r="N79">
            <v>0.8</v>
          </cell>
          <cell r="O79">
            <v>1.05</v>
          </cell>
          <cell r="P79">
            <v>1.1000000000000001</v>
          </cell>
          <cell r="Q79" t="str">
            <v>INTERIOR</v>
          </cell>
          <cell r="R79">
            <v>5</v>
          </cell>
          <cell r="S79">
            <v>9</v>
          </cell>
          <cell r="T79" t="str">
            <v>Ciudad principal</v>
          </cell>
          <cell r="U79" t="str">
            <v>Departmental Digital</v>
          </cell>
          <cell r="V79" t="str">
            <v>XEROX MEXICANA SA DE CV / XEROX MEXICANA</v>
          </cell>
          <cell r="W79" t="str">
            <v>CHIHUAHUA</v>
          </cell>
          <cell r="X79">
            <v>2019</v>
          </cell>
          <cell r="Y79" t="str">
            <v>Qtr 2</v>
          </cell>
          <cell r="Z79" t="str">
            <v>April</v>
          </cell>
          <cell r="AA79">
            <v>3</v>
          </cell>
          <cell r="AB79">
            <v>6</v>
          </cell>
          <cell r="AC79">
            <v>0</v>
          </cell>
          <cell r="AD79">
            <v>0.05</v>
          </cell>
          <cell r="AE79">
            <v>0</v>
          </cell>
        </row>
        <row r="80">
          <cell r="A80" t="str">
            <v>0XEH805610</v>
          </cell>
          <cell r="B80">
            <v>2019</v>
          </cell>
          <cell r="C80" t="str">
            <v>Qtr 2</v>
          </cell>
          <cell r="D80" t="str">
            <v>April</v>
          </cell>
          <cell r="E80">
            <v>1</v>
          </cell>
          <cell r="F80" t="str">
            <v>CORRECTIVO</v>
          </cell>
          <cell r="G80">
            <v>1.1166670000000001</v>
          </cell>
          <cell r="H80" t="str">
            <v>Departmental Digital</v>
          </cell>
          <cell r="I80">
            <v>655</v>
          </cell>
          <cell r="J80">
            <v>1365</v>
          </cell>
          <cell r="K80">
            <v>0</v>
          </cell>
          <cell r="L80">
            <v>0</v>
          </cell>
          <cell r="M80">
            <v>0.6</v>
          </cell>
          <cell r="N80">
            <v>0.8</v>
          </cell>
          <cell r="O80">
            <v>1.05</v>
          </cell>
          <cell r="P80">
            <v>1.1000000000000001</v>
          </cell>
          <cell r="Q80" t="str">
            <v>INTERIOR</v>
          </cell>
          <cell r="R80">
            <v>5</v>
          </cell>
          <cell r="S80">
            <v>9</v>
          </cell>
          <cell r="T80" t="str">
            <v>Ciudad principal</v>
          </cell>
          <cell r="U80" t="str">
            <v>Departmental Digital</v>
          </cell>
          <cell r="V80" t="str">
            <v>XEROX MEXICANA SA DE CV / XEROX MEXICANA</v>
          </cell>
          <cell r="W80" t="str">
            <v>CHIHUAHUA</v>
          </cell>
          <cell r="X80">
            <v>2019</v>
          </cell>
          <cell r="Y80" t="str">
            <v>Qtr 2</v>
          </cell>
          <cell r="Z80" t="str">
            <v>April</v>
          </cell>
          <cell r="AA80">
            <v>1</v>
          </cell>
          <cell r="AB80">
            <v>53</v>
          </cell>
          <cell r="AC80">
            <v>1.05</v>
          </cell>
          <cell r="AD80">
            <v>0.22333339999999999</v>
          </cell>
          <cell r="AE80">
            <v>1433.25</v>
          </cell>
        </row>
        <row r="81">
          <cell r="A81" t="str">
            <v>0XFN041395</v>
          </cell>
          <cell r="B81">
            <v>2019</v>
          </cell>
          <cell r="C81" t="str">
            <v>Qtr 2</v>
          </cell>
          <cell r="D81" t="str">
            <v>April</v>
          </cell>
          <cell r="E81">
            <v>1</v>
          </cell>
          <cell r="F81" t="str">
            <v>CORRECTIVO</v>
          </cell>
          <cell r="G81">
            <v>4.1666670000000003</v>
          </cell>
          <cell r="H81" t="str">
            <v>Color Solid Ink Printers</v>
          </cell>
          <cell r="I81">
            <v>468</v>
          </cell>
          <cell r="J81">
            <v>715</v>
          </cell>
          <cell r="K81">
            <v>0</v>
          </cell>
          <cell r="L81">
            <v>0</v>
          </cell>
          <cell r="M81">
            <v>0</v>
          </cell>
          <cell r="N81">
            <v>0.6</v>
          </cell>
          <cell r="O81">
            <v>0.8</v>
          </cell>
          <cell r="P81">
            <v>1.05</v>
          </cell>
          <cell r="Q81" t="str">
            <v>INTERIOR</v>
          </cell>
          <cell r="R81">
            <v>5</v>
          </cell>
          <cell r="S81">
            <v>9</v>
          </cell>
          <cell r="T81" t="str">
            <v>Ciudad principal</v>
          </cell>
          <cell r="U81" t="str">
            <v>Color Solid Ink Printers</v>
          </cell>
          <cell r="V81" t="str">
            <v>XEROX MEXICANA SA DE CV / XEROX MEXICANA</v>
          </cell>
          <cell r="W81" t="str">
            <v>TAMAULIPAS</v>
          </cell>
          <cell r="X81">
            <v>2019</v>
          </cell>
          <cell r="Y81" t="str">
            <v>Qtr 2</v>
          </cell>
          <cell r="Z81" t="str">
            <v>April</v>
          </cell>
          <cell r="AA81">
            <v>2</v>
          </cell>
          <cell r="AB81">
            <v>69</v>
          </cell>
          <cell r="AC81">
            <v>1.05</v>
          </cell>
          <cell r="AD81">
            <v>0.8333334</v>
          </cell>
          <cell r="AE81">
            <v>750.75</v>
          </cell>
        </row>
        <row r="82">
          <cell r="A82" t="str">
            <v>0XFN041542</v>
          </cell>
          <cell r="B82">
            <v>2019</v>
          </cell>
          <cell r="C82" t="str">
            <v>Qtr 2</v>
          </cell>
          <cell r="D82" t="str">
            <v>April</v>
          </cell>
          <cell r="E82">
            <v>1</v>
          </cell>
          <cell r="F82" t="str">
            <v>CORRECTIVO</v>
          </cell>
          <cell r="G82">
            <v>3.9666670000000002</v>
          </cell>
          <cell r="H82" t="str">
            <v>Color Solid Ink Printers</v>
          </cell>
          <cell r="I82">
            <v>468</v>
          </cell>
          <cell r="J82">
            <v>715</v>
          </cell>
          <cell r="K82">
            <v>0</v>
          </cell>
          <cell r="L82">
            <v>0</v>
          </cell>
          <cell r="M82">
            <v>0</v>
          </cell>
          <cell r="N82">
            <v>0.6</v>
          </cell>
          <cell r="O82">
            <v>0.8</v>
          </cell>
          <cell r="P82">
            <v>1.05</v>
          </cell>
          <cell r="Q82" t="str">
            <v>INTERIOR</v>
          </cell>
          <cell r="R82">
            <v>5</v>
          </cell>
          <cell r="S82">
            <v>9</v>
          </cell>
          <cell r="T82" t="str">
            <v>Ciudad principal</v>
          </cell>
          <cell r="U82" t="str">
            <v>Color Solid Ink Printers</v>
          </cell>
          <cell r="V82" t="str">
            <v>XEROX MEXICANA SA DE CV / XEROX MEXICANA</v>
          </cell>
          <cell r="W82" t="str">
            <v>TAMAULIPAS</v>
          </cell>
          <cell r="X82">
            <v>2019</v>
          </cell>
          <cell r="Y82" t="str">
            <v>Qtr 2</v>
          </cell>
          <cell r="Z82" t="str">
            <v>April</v>
          </cell>
          <cell r="AA82">
            <v>2</v>
          </cell>
          <cell r="AB82">
            <v>20</v>
          </cell>
          <cell r="AC82">
            <v>0.6</v>
          </cell>
          <cell r="AD82">
            <v>0.79333339999999997</v>
          </cell>
          <cell r="AE82">
            <v>429</v>
          </cell>
        </row>
        <row r="83">
          <cell r="A83" t="str">
            <v>0XLT280678</v>
          </cell>
          <cell r="B83">
            <v>2019</v>
          </cell>
          <cell r="C83" t="str">
            <v>Qtr 2</v>
          </cell>
          <cell r="D83" t="str">
            <v>April</v>
          </cell>
          <cell r="E83">
            <v>1</v>
          </cell>
          <cell r="F83" t="str">
            <v>CORRECTIVO</v>
          </cell>
          <cell r="G83">
            <v>0</v>
          </cell>
          <cell r="H83" t="str">
            <v>Entry Mono Printers</v>
          </cell>
          <cell r="I83">
            <v>468</v>
          </cell>
          <cell r="J83">
            <v>715</v>
          </cell>
          <cell r="K83">
            <v>0</v>
          </cell>
          <cell r="L83">
            <v>0</v>
          </cell>
          <cell r="M83">
            <v>0</v>
          </cell>
          <cell r="N83">
            <v>0.6</v>
          </cell>
          <cell r="O83">
            <v>0.8</v>
          </cell>
          <cell r="P83">
            <v>1.05</v>
          </cell>
          <cell r="Q83" t="str">
            <v>INTERIOR</v>
          </cell>
          <cell r="R83">
            <v>5</v>
          </cell>
          <cell r="S83">
            <v>9</v>
          </cell>
          <cell r="T83" t="str">
            <v>Ciudad principal</v>
          </cell>
          <cell r="U83" t="str">
            <v>Entry Mono Printers</v>
          </cell>
          <cell r="V83" t="str">
            <v>XEROX MEXICANA SA DE CV / XEROX MEXICANA</v>
          </cell>
          <cell r="W83" t="str">
            <v>CHIHUAHUA</v>
          </cell>
          <cell r="X83">
            <v>2019</v>
          </cell>
          <cell r="Y83" t="str">
            <v>Qtr 2</v>
          </cell>
          <cell r="Z83" t="str">
            <v>April</v>
          </cell>
          <cell r="AA83">
            <v>3</v>
          </cell>
          <cell r="AB83">
            <v>36</v>
          </cell>
          <cell r="AC83">
            <v>0.8</v>
          </cell>
          <cell r="AD83">
            <v>0</v>
          </cell>
          <cell r="AE83">
            <v>572</v>
          </cell>
        </row>
        <row r="84">
          <cell r="A84" t="str">
            <v>0XPN396574</v>
          </cell>
          <cell r="B84">
            <v>2019</v>
          </cell>
          <cell r="C84" t="str">
            <v>Qtr 2</v>
          </cell>
          <cell r="D84" t="str">
            <v>April</v>
          </cell>
          <cell r="E84">
            <v>1</v>
          </cell>
          <cell r="F84" t="str">
            <v>CORRECTIVO</v>
          </cell>
          <cell r="G84">
            <v>0.05</v>
          </cell>
          <cell r="H84" t="str">
            <v>Entry Production Color Low/Mid</v>
          </cell>
          <cell r="I84">
            <v>803</v>
          </cell>
          <cell r="J84">
            <v>1573</v>
          </cell>
          <cell r="K84">
            <v>0.2</v>
          </cell>
          <cell r="L84">
            <v>0.6</v>
          </cell>
          <cell r="M84">
            <v>0.8</v>
          </cell>
          <cell r="N84">
            <v>1.05</v>
          </cell>
          <cell r="O84">
            <v>1.1000000000000001</v>
          </cell>
          <cell r="P84">
            <v>1.1499999999999999</v>
          </cell>
          <cell r="Q84" t="str">
            <v>INTERIOR</v>
          </cell>
          <cell r="R84">
            <v>4</v>
          </cell>
          <cell r="S84">
            <v>6</v>
          </cell>
          <cell r="T84" t="str">
            <v>Ciudad principal</v>
          </cell>
          <cell r="U84" t="str">
            <v>Entry Production Color Low/Mid</v>
          </cell>
          <cell r="V84" t="str">
            <v>XEROX MEXICANA SA DE CV / XEROX MEXICANA</v>
          </cell>
          <cell r="W84" t="str">
            <v>JALISCO</v>
          </cell>
          <cell r="X84">
            <v>2019</v>
          </cell>
          <cell r="Y84" t="str">
            <v>Qtr 2</v>
          </cell>
          <cell r="Z84" t="str">
            <v>April</v>
          </cell>
          <cell r="AA84">
            <v>3</v>
          </cell>
          <cell r="AB84">
            <v>6</v>
          </cell>
          <cell r="AC84">
            <v>0.6</v>
          </cell>
          <cell r="AD84">
            <v>1.2500000000000001E-2</v>
          </cell>
          <cell r="AE84">
            <v>943.8</v>
          </cell>
        </row>
        <row r="85">
          <cell r="A85" t="str">
            <v>0XPN546792</v>
          </cell>
          <cell r="B85">
            <v>2019</v>
          </cell>
          <cell r="C85" t="str">
            <v>Qtr 2</v>
          </cell>
          <cell r="D85" t="str">
            <v>April</v>
          </cell>
          <cell r="E85">
            <v>1</v>
          </cell>
          <cell r="F85" t="str">
            <v>CORRECTIVO</v>
          </cell>
          <cell r="G85">
            <v>0</v>
          </cell>
          <cell r="H85" t="str">
            <v>Entry Production Color Low/Mid</v>
          </cell>
          <cell r="I85">
            <v>803</v>
          </cell>
          <cell r="J85">
            <v>1573</v>
          </cell>
          <cell r="K85">
            <v>0.2</v>
          </cell>
          <cell r="L85">
            <v>0.6</v>
          </cell>
          <cell r="M85">
            <v>0.8</v>
          </cell>
          <cell r="N85">
            <v>1.05</v>
          </cell>
          <cell r="O85">
            <v>1.1000000000000001</v>
          </cell>
          <cell r="P85">
            <v>1.1499999999999999</v>
          </cell>
          <cell r="Q85" t="str">
            <v>INTERIOR</v>
          </cell>
          <cell r="R85">
            <v>4</v>
          </cell>
          <cell r="S85">
            <v>6</v>
          </cell>
          <cell r="T85" t="str">
            <v>Ciudad principal</v>
          </cell>
          <cell r="U85" t="str">
            <v>Entry Production Color Low/Mid</v>
          </cell>
          <cell r="V85" t="str">
            <v>XEROX MEXICANA SA DE CV / XEROX MEXICANA</v>
          </cell>
          <cell r="W85" t="str">
            <v>CHIHUAHUA</v>
          </cell>
          <cell r="X85">
            <v>2019</v>
          </cell>
          <cell r="Y85" t="str">
            <v>Qtr 2</v>
          </cell>
          <cell r="Z85" t="str">
            <v>April</v>
          </cell>
          <cell r="AA85">
            <v>1</v>
          </cell>
          <cell r="AB85">
            <v>14</v>
          </cell>
          <cell r="AC85">
            <v>0.8</v>
          </cell>
          <cell r="AD85">
            <v>0</v>
          </cell>
          <cell r="AE85">
            <v>1258.4000000000001</v>
          </cell>
        </row>
        <row r="86">
          <cell r="A86" t="str">
            <v>0Y4X830352</v>
          </cell>
          <cell r="B86">
            <v>2019</v>
          </cell>
          <cell r="C86" t="str">
            <v>Qtr 2</v>
          </cell>
          <cell r="D86" t="str">
            <v>April</v>
          </cell>
          <cell r="E86">
            <v>1</v>
          </cell>
          <cell r="F86" t="str">
            <v>CORRECTIVO</v>
          </cell>
          <cell r="G86">
            <v>0.48333330000000002</v>
          </cell>
          <cell r="H86" t="str">
            <v>Departmental Digital</v>
          </cell>
          <cell r="I86">
            <v>655</v>
          </cell>
          <cell r="J86">
            <v>1365</v>
          </cell>
          <cell r="K86">
            <v>0</v>
          </cell>
          <cell r="L86">
            <v>0</v>
          </cell>
          <cell r="M86">
            <v>0.6</v>
          </cell>
          <cell r="N86">
            <v>0.8</v>
          </cell>
          <cell r="O86">
            <v>1.05</v>
          </cell>
          <cell r="P86">
            <v>1.1000000000000001</v>
          </cell>
          <cell r="Q86" t="str">
            <v>INTERIOR</v>
          </cell>
          <cell r="R86">
            <v>5</v>
          </cell>
          <cell r="S86">
            <v>9</v>
          </cell>
          <cell r="T86" t="str">
            <v>Ciudad principal</v>
          </cell>
          <cell r="U86" t="str">
            <v>Light Production Digital Business</v>
          </cell>
          <cell r="V86" t="str">
            <v>XEROX MEXICANA SA DE CV / XEROX MEXICANA</v>
          </cell>
          <cell r="W86" t="str">
            <v>DURANGO</v>
          </cell>
          <cell r="X86">
            <v>2019</v>
          </cell>
          <cell r="Y86" t="str">
            <v>Qtr 2</v>
          </cell>
          <cell r="Z86" t="str">
            <v>April</v>
          </cell>
          <cell r="AA86">
            <v>2</v>
          </cell>
          <cell r="AB86">
            <v>32</v>
          </cell>
          <cell r="AC86">
            <v>1.05</v>
          </cell>
          <cell r="AD86">
            <v>9.6666660000000001E-2</v>
          </cell>
          <cell r="AE86">
            <v>1433.25</v>
          </cell>
        </row>
        <row r="87">
          <cell r="A87" t="str">
            <v>C7X376359</v>
          </cell>
          <cell r="B87">
            <v>2019</v>
          </cell>
          <cell r="C87" t="str">
            <v>Qtr 2</v>
          </cell>
          <cell r="D87" t="str">
            <v>April</v>
          </cell>
          <cell r="E87">
            <v>1</v>
          </cell>
          <cell r="F87" t="str">
            <v>CORRECTIVO</v>
          </cell>
          <cell r="G87">
            <v>0.31666670000000002</v>
          </cell>
          <cell r="I87" t="str">
            <v>NA</v>
          </cell>
          <cell r="J87" t="str">
            <v>NA</v>
          </cell>
          <cell r="K87" t="str">
            <v>NA</v>
          </cell>
          <cell r="L87" t="str">
            <v>NA</v>
          </cell>
          <cell r="M87" t="str">
            <v>NA</v>
          </cell>
          <cell r="N87" t="str">
            <v>NA</v>
          </cell>
          <cell r="O87" t="str">
            <v>NA</v>
          </cell>
          <cell r="P87" t="str">
            <v>NA</v>
          </cell>
          <cell r="R87" t="str">
            <v>NA</v>
          </cell>
          <cell r="S87" t="str">
            <v>NA</v>
          </cell>
          <cell r="U87" t="str">
            <v>A4 Mono MFPs</v>
          </cell>
          <cell r="V87" t="str">
            <v>XEROX MEXICANA SA DE CV / XEROX MEXICANA</v>
          </cell>
          <cell r="W87" t="str">
            <v>COAHUILA</v>
          </cell>
          <cell r="X87">
            <v>2019</v>
          </cell>
          <cell r="Y87" t="str">
            <v>Qtr 2</v>
          </cell>
          <cell r="Z87" t="str">
            <v>April</v>
          </cell>
          <cell r="AA87">
            <v>4</v>
          </cell>
          <cell r="AB87">
            <v>75</v>
          </cell>
          <cell r="AC87">
            <v>1.1000000000000001</v>
          </cell>
          <cell r="AD87">
            <v>0</v>
          </cell>
          <cell r="AE87">
            <v>750.75</v>
          </cell>
        </row>
        <row r="88">
          <cell r="A88" t="str">
            <v>03AG879712</v>
          </cell>
          <cell r="B88">
            <v>2019</v>
          </cell>
          <cell r="C88" t="str">
            <v>Qtr 2</v>
          </cell>
          <cell r="D88" t="str">
            <v>April</v>
          </cell>
          <cell r="E88">
            <v>2</v>
          </cell>
          <cell r="F88" t="str">
            <v>CORRECTIVO</v>
          </cell>
          <cell r="G88">
            <v>2.3333330000000001</v>
          </cell>
          <cell r="H88" t="str">
            <v>Departmental Digital</v>
          </cell>
          <cell r="I88">
            <v>655</v>
          </cell>
          <cell r="J88">
            <v>1365</v>
          </cell>
          <cell r="K88">
            <v>0</v>
          </cell>
          <cell r="L88">
            <v>0</v>
          </cell>
          <cell r="M88">
            <v>0.6</v>
          </cell>
          <cell r="N88">
            <v>0.8</v>
          </cell>
          <cell r="O88">
            <v>1.05</v>
          </cell>
          <cell r="P88">
            <v>1.1000000000000001</v>
          </cell>
          <cell r="Q88" t="str">
            <v>INTERIOR</v>
          </cell>
          <cell r="R88">
            <v>5</v>
          </cell>
          <cell r="S88">
            <v>9</v>
          </cell>
          <cell r="T88" t="str">
            <v>Ciudad principal</v>
          </cell>
          <cell r="U88" t="str">
            <v>Light Production Digital Business</v>
          </cell>
          <cell r="V88" t="str">
            <v>XEROX MEXICANA SA DE CV / XEROX MEXICANA</v>
          </cell>
          <cell r="W88" t="str">
            <v>JALISCO</v>
          </cell>
          <cell r="X88">
            <v>2019</v>
          </cell>
          <cell r="Y88" t="str">
            <v>Qtr 2</v>
          </cell>
          <cell r="Z88" t="str">
            <v>April</v>
          </cell>
          <cell r="AA88">
            <v>2</v>
          </cell>
          <cell r="AB88">
            <v>1</v>
          </cell>
          <cell r="AC88">
            <v>0</v>
          </cell>
          <cell r="AD88">
            <v>0.46666659999999999</v>
          </cell>
          <cell r="AE88">
            <v>0</v>
          </cell>
        </row>
        <row r="89">
          <cell r="A89" t="str">
            <v>03AG880318</v>
          </cell>
          <cell r="B89">
            <v>2019</v>
          </cell>
          <cell r="C89" t="str">
            <v>Qtr 2</v>
          </cell>
          <cell r="D89" t="str">
            <v>April</v>
          </cell>
          <cell r="E89">
            <v>2</v>
          </cell>
          <cell r="F89" t="str">
            <v>CORRECTIVO</v>
          </cell>
          <cell r="G89">
            <v>0.3</v>
          </cell>
          <cell r="H89" t="str">
            <v>Departmental Digital</v>
          </cell>
          <cell r="I89">
            <v>655</v>
          </cell>
          <cell r="J89">
            <v>1365</v>
          </cell>
          <cell r="K89">
            <v>0</v>
          </cell>
          <cell r="L89">
            <v>0</v>
          </cell>
          <cell r="M89">
            <v>0.6</v>
          </cell>
          <cell r="N89">
            <v>0.8</v>
          </cell>
          <cell r="O89">
            <v>1.05</v>
          </cell>
          <cell r="P89">
            <v>1.1000000000000001</v>
          </cell>
          <cell r="Q89" t="str">
            <v>INTERIOR</v>
          </cell>
          <cell r="R89">
            <v>5</v>
          </cell>
          <cell r="S89">
            <v>9</v>
          </cell>
          <cell r="T89" t="str">
            <v>Ciudad principal</v>
          </cell>
          <cell r="U89" t="str">
            <v>Light Production Digital Business</v>
          </cell>
          <cell r="V89" t="str">
            <v>XEROX MEXICANA SA DE CV / XEROX MEXICANA</v>
          </cell>
          <cell r="W89" t="str">
            <v>NUEVO LEON</v>
          </cell>
          <cell r="X89">
            <v>2019</v>
          </cell>
          <cell r="Y89" t="str">
            <v>Qtr 2</v>
          </cell>
          <cell r="Z89" t="str">
            <v>April</v>
          </cell>
          <cell r="AA89">
            <v>2</v>
          </cell>
          <cell r="AB89">
            <v>21</v>
          </cell>
          <cell r="AC89">
            <v>0.8</v>
          </cell>
          <cell r="AD89">
            <v>0.06</v>
          </cell>
          <cell r="AE89">
            <v>1092</v>
          </cell>
        </row>
        <row r="90">
          <cell r="A90" t="str">
            <v>03AG880355</v>
          </cell>
          <cell r="B90">
            <v>2019</v>
          </cell>
          <cell r="C90" t="str">
            <v>Qtr 2</v>
          </cell>
          <cell r="D90" t="str">
            <v>April</v>
          </cell>
          <cell r="E90">
            <v>2</v>
          </cell>
          <cell r="F90" t="str">
            <v>CORRECTIVO</v>
          </cell>
          <cell r="G90">
            <v>0.6</v>
          </cell>
          <cell r="H90" t="str">
            <v>Departmental Digital</v>
          </cell>
          <cell r="I90">
            <v>655</v>
          </cell>
          <cell r="J90">
            <v>1365</v>
          </cell>
          <cell r="K90">
            <v>0</v>
          </cell>
          <cell r="L90">
            <v>0</v>
          </cell>
          <cell r="M90">
            <v>0.6</v>
          </cell>
          <cell r="N90">
            <v>0.8</v>
          </cell>
          <cell r="O90">
            <v>1.05</v>
          </cell>
          <cell r="P90">
            <v>1.1000000000000001</v>
          </cell>
          <cell r="Q90" t="str">
            <v>INTERIOR</v>
          </cell>
          <cell r="R90">
            <v>5</v>
          </cell>
          <cell r="S90">
            <v>9</v>
          </cell>
          <cell r="T90" t="str">
            <v>Ciudad principal</v>
          </cell>
          <cell r="U90" t="str">
            <v>Light Production Digital Business</v>
          </cell>
          <cell r="V90" t="str">
            <v>XEROX MEXICANA SA DE CV / XEROX MEXICANA</v>
          </cell>
          <cell r="W90" t="str">
            <v>JALISCO</v>
          </cell>
          <cell r="X90">
            <v>2019</v>
          </cell>
          <cell r="Y90" t="str">
            <v>Qtr 2</v>
          </cell>
          <cell r="Z90" t="str">
            <v>April</v>
          </cell>
          <cell r="AA90">
            <v>3</v>
          </cell>
          <cell r="AB90">
            <v>6</v>
          </cell>
          <cell r="AC90">
            <v>0</v>
          </cell>
          <cell r="AD90">
            <v>0.12</v>
          </cell>
          <cell r="AE90">
            <v>0</v>
          </cell>
        </row>
        <row r="91">
          <cell r="A91" t="str">
            <v>09HB335110</v>
          </cell>
          <cell r="B91">
            <v>2019</v>
          </cell>
          <cell r="C91" t="str">
            <v>Qtr 2</v>
          </cell>
          <cell r="D91" t="str">
            <v>April</v>
          </cell>
          <cell r="E91">
            <v>2</v>
          </cell>
          <cell r="F91" t="str">
            <v>CORRECTIVO</v>
          </cell>
          <cell r="G91">
            <v>2.5333329999999998</v>
          </cell>
          <cell r="H91" t="str">
            <v>A4 Mono MFPs</v>
          </cell>
          <cell r="I91">
            <v>468</v>
          </cell>
          <cell r="J91">
            <v>715</v>
          </cell>
          <cell r="K91">
            <v>0</v>
          </cell>
          <cell r="L91">
            <v>0</v>
          </cell>
          <cell r="M91">
            <v>0</v>
          </cell>
          <cell r="N91">
            <v>0.6</v>
          </cell>
          <cell r="O91">
            <v>0.8</v>
          </cell>
          <cell r="P91">
            <v>1.05</v>
          </cell>
          <cell r="Q91" t="str">
            <v>INTERIOR</v>
          </cell>
          <cell r="R91">
            <v>5</v>
          </cell>
          <cell r="S91">
            <v>9</v>
          </cell>
          <cell r="T91" t="str">
            <v>Ciudad principal</v>
          </cell>
          <cell r="U91" t="str">
            <v>A4 Mono MFPs</v>
          </cell>
          <cell r="V91" t="str">
            <v>XEROX MEXICANA SA DE CV / XEROX MEXICANA</v>
          </cell>
          <cell r="W91" t="str">
            <v>CHIHUAHUA</v>
          </cell>
          <cell r="X91">
            <v>2019</v>
          </cell>
          <cell r="Y91" t="str">
            <v>Qtr 2</v>
          </cell>
          <cell r="Z91" t="str">
            <v>April</v>
          </cell>
          <cell r="AA91">
            <v>2</v>
          </cell>
          <cell r="AB91">
            <v>48</v>
          </cell>
          <cell r="AC91">
            <v>0.8</v>
          </cell>
          <cell r="AD91">
            <v>0.50666659999999997</v>
          </cell>
          <cell r="AE91">
            <v>572</v>
          </cell>
        </row>
        <row r="92">
          <cell r="A92" t="str">
            <v>0A1H020656</v>
          </cell>
          <cell r="B92">
            <v>2019</v>
          </cell>
          <cell r="C92" t="str">
            <v>Qtr 2</v>
          </cell>
          <cell r="D92" t="str">
            <v>April</v>
          </cell>
          <cell r="E92">
            <v>2</v>
          </cell>
          <cell r="F92" t="str">
            <v>CORRECTIVO</v>
          </cell>
          <cell r="G92">
            <v>3</v>
          </cell>
          <cell r="H92" t="str">
            <v>WF Mono Systems and Legacy Color</v>
          </cell>
          <cell r="I92">
            <v>803</v>
          </cell>
          <cell r="J92">
            <v>1573</v>
          </cell>
          <cell r="K92">
            <v>0.2</v>
          </cell>
          <cell r="L92">
            <v>0.6</v>
          </cell>
          <cell r="M92">
            <v>0.8</v>
          </cell>
          <cell r="N92">
            <v>1.05</v>
          </cell>
          <cell r="O92">
            <v>1.1000000000000001</v>
          </cell>
          <cell r="P92">
            <v>1.1499999999999999</v>
          </cell>
          <cell r="Q92" t="str">
            <v>INTERIOR</v>
          </cell>
          <cell r="R92">
            <v>4</v>
          </cell>
          <cell r="S92">
            <v>6</v>
          </cell>
          <cell r="T92" t="str">
            <v>Ciudad principal</v>
          </cell>
          <cell r="U92" t="str">
            <v>WF Mono Systems and Legacy Color</v>
          </cell>
          <cell r="V92" t="str">
            <v>XEROX MEXICANA SA DE CV / XEROX MEXICANA</v>
          </cell>
          <cell r="W92" t="str">
            <v>JALISCO</v>
          </cell>
          <cell r="X92">
            <v>2019</v>
          </cell>
          <cell r="Y92" t="str">
            <v>Qtr 2</v>
          </cell>
          <cell r="Z92" t="str">
            <v>April</v>
          </cell>
          <cell r="AA92">
            <v>8</v>
          </cell>
          <cell r="AB92">
            <v>26</v>
          </cell>
          <cell r="AC92">
            <v>1.05</v>
          </cell>
          <cell r="AD92">
            <v>0.75</v>
          </cell>
          <cell r="AE92">
            <v>1651.65</v>
          </cell>
        </row>
        <row r="93">
          <cell r="A93" t="str">
            <v>0A2T380265</v>
          </cell>
          <cell r="B93">
            <v>2019</v>
          </cell>
          <cell r="C93" t="str">
            <v>Qtr 2</v>
          </cell>
          <cell r="D93" t="str">
            <v>April</v>
          </cell>
          <cell r="E93">
            <v>2</v>
          </cell>
          <cell r="F93" t="str">
            <v>CORRECTIVO</v>
          </cell>
          <cell r="G93">
            <v>2.65</v>
          </cell>
          <cell r="H93" t="str">
            <v>A4 Mono MFPs</v>
          </cell>
          <cell r="I93">
            <v>468</v>
          </cell>
          <cell r="J93">
            <v>715</v>
          </cell>
          <cell r="K93">
            <v>0</v>
          </cell>
          <cell r="L93">
            <v>0</v>
          </cell>
          <cell r="M93">
            <v>0</v>
          </cell>
          <cell r="N93">
            <v>0.6</v>
          </cell>
          <cell r="O93">
            <v>0.8</v>
          </cell>
          <cell r="P93">
            <v>1.05</v>
          </cell>
          <cell r="Q93" t="str">
            <v>INTERIOR</v>
          </cell>
          <cell r="R93">
            <v>5</v>
          </cell>
          <cell r="S93">
            <v>9</v>
          </cell>
          <cell r="T93" t="str">
            <v>Ciudad principal</v>
          </cell>
          <cell r="U93" t="str">
            <v>A4 Mono MFPs</v>
          </cell>
          <cell r="V93" t="str">
            <v>XEROX MEXICANA SA DE CV / XEROX MEXICANA</v>
          </cell>
          <cell r="W93" t="str">
            <v>JALISCO</v>
          </cell>
          <cell r="X93">
            <v>2019</v>
          </cell>
          <cell r="Y93" t="str">
            <v>Qtr 2</v>
          </cell>
          <cell r="Z93" t="str">
            <v>April</v>
          </cell>
          <cell r="AA93">
            <v>4</v>
          </cell>
          <cell r="AB93">
            <v>119</v>
          </cell>
          <cell r="AC93">
            <v>1.05</v>
          </cell>
          <cell r="AD93">
            <v>0.53</v>
          </cell>
          <cell r="AE93">
            <v>750.75</v>
          </cell>
        </row>
        <row r="94">
          <cell r="A94" t="str">
            <v>0AE9560627</v>
          </cell>
          <cell r="B94">
            <v>2019</v>
          </cell>
          <cell r="C94" t="str">
            <v>Qtr 2</v>
          </cell>
          <cell r="D94" t="str">
            <v>April</v>
          </cell>
          <cell r="E94">
            <v>2</v>
          </cell>
          <cell r="F94" t="str">
            <v>CORRECTIVO</v>
          </cell>
          <cell r="G94">
            <v>2.483333</v>
          </cell>
          <cell r="H94" t="str">
            <v>Office Digital</v>
          </cell>
          <cell r="I94">
            <v>655</v>
          </cell>
          <cell r="J94">
            <v>1365</v>
          </cell>
          <cell r="K94">
            <v>0</v>
          </cell>
          <cell r="L94">
            <v>0</v>
          </cell>
          <cell r="M94">
            <v>0.6</v>
          </cell>
          <cell r="N94">
            <v>0.8</v>
          </cell>
          <cell r="O94">
            <v>1.05</v>
          </cell>
          <cell r="P94">
            <v>1.1000000000000001</v>
          </cell>
          <cell r="Q94" t="str">
            <v>INTERIOR</v>
          </cell>
          <cell r="R94">
            <v>5</v>
          </cell>
          <cell r="S94">
            <v>9</v>
          </cell>
          <cell r="T94" t="str">
            <v>Ciudad principal</v>
          </cell>
          <cell r="U94" t="str">
            <v>Departmental Digital</v>
          </cell>
          <cell r="V94" t="str">
            <v>XEROX MEXICANA SA DE CV / XEROX MEXICANA</v>
          </cell>
          <cell r="W94" t="str">
            <v>CHIHUAHUA</v>
          </cell>
          <cell r="X94">
            <v>2019</v>
          </cell>
          <cell r="Y94" t="str">
            <v>Qtr 2</v>
          </cell>
          <cell r="Z94" t="str">
            <v>April</v>
          </cell>
          <cell r="AA94">
            <v>2</v>
          </cell>
          <cell r="AB94">
            <v>253</v>
          </cell>
          <cell r="AC94">
            <v>1.1000000000000001</v>
          </cell>
          <cell r="AD94">
            <v>0.49666660000000001</v>
          </cell>
          <cell r="AE94">
            <v>1501.5</v>
          </cell>
        </row>
        <row r="95">
          <cell r="A95" t="str">
            <v>0B2R091016</v>
          </cell>
          <cell r="B95">
            <v>2019</v>
          </cell>
          <cell r="C95" t="str">
            <v>Qtr 2</v>
          </cell>
          <cell r="D95" t="str">
            <v>April</v>
          </cell>
          <cell r="E95">
            <v>2</v>
          </cell>
          <cell r="F95" t="str">
            <v>CORRECTIVO</v>
          </cell>
          <cell r="G95">
            <v>0.61666670000000001</v>
          </cell>
          <cell r="H95" t="str">
            <v>Entry Production Color Low/Mid</v>
          </cell>
          <cell r="I95">
            <v>803</v>
          </cell>
          <cell r="J95">
            <v>1573</v>
          </cell>
          <cell r="K95">
            <v>0.2</v>
          </cell>
          <cell r="L95">
            <v>0.6</v>
          </cell>
          <cell r="M95">
            <v>0.8</v>
          </cell>
          <cell r="N95">
            <v>1.05</v>
          </cell>
          <cell r="O95">
            <v>1.1000000000000001</v>
          </cell>
          <cell r="P95">
            <v>1.1499999999999999</v>
          </cell>
          <cell r="Q95" t="str">
            <v>INTERIOR</v>
          </cell>
          <cell r="R95">
            <v>4</v>
          </cell>
          <cell r="S95">
            <v>6</v>
          </cell>
          <cell r="T95" t="str">
            <v>Ciudad principal</v>
          </cell>
          <cell r="U95" t="str">
            <v>High End Cut Sheet</v>
          </cell>
          <cell r="V95" t="str">
            <v>XEROX MEXICANA SA DE CV / XEROX MEXICANA</v>
          </cell>
          <cell r="W95" t="str">
            <v>NUEVO LEON</v>
          </cell>
          <cell r="X95">
            <v>2019</v>
          </cell>
          <cell r="Y95" t="str">
            <v>Qtr 2</v>
          </cell>
          <cell r="Z95" t="str">
            <v>April</v>
          </cell>
          <cell r="AA95">
            <v>3</v>
          </cell>
          <cell r="AB95">
            <v>112</v>
          </cell>
          <cell r="AC95">
            <v>1.1499999999999999</v>
          </cell>
          <cell r="AD95">
            <v>0.154166675</v>
          </cell>
          <cell r="AE95">
            <v>1808.95</v>
          </cell>
        </row>
        <row r="96">
          <cell r="A96" t="str">
            <v>0BB1250884</v>
          </cell>
          <cell r="B96">
            <v>2019</v>
          </cell>
          <cell r="C96" t="str">
            <v>Qtr 2</v>
          </cell>
          <cell r="D96" t="str">
            <v>April</v>
          </cell>
          <cell r="E96">
            <v>2</v>
          </cell>
          <cell r="F96" t="str">
            <v>CORRECTIVO</v>
          </cell>
          <cell r="G96">
            <v>0.51666670000000003</v>
          </cell>
          <cell r="H96" t="str">
            <v>A4 Mono MFPs</v>
          </cell>
          <cell r="I96">
            <v>468</v>
          </cell>
          <cell r="J96">
            <v>715</v>
          </cell>
          <cell r="K96">
            <v>0</v>
          </cell>
          <cell r="L96">
            <v>0</v>
          </cell>
          <cell r="M96">
            <v>0</v>
          </cell>
          <cell r="N96">
            <v>0.6</v>
          </cell>
          <cell r="O96">
            <v>0.8</v>
          </cell>
          <cell r="P96">
            <v>1.05</v>
          </cell>
          <cell r="Q96" t="str">
            <v>INTERIOR</v>
          </cell>
          <cell r="R96">
            <v>5</v>
          </cell>
          <cell r="S96">
            <v>9</v>
          </cell>
          <cell r="T96" t="str">
            <v>Otras</v>
          </cell>
          <cell r="U96" t="str">
            <v>A4 Mono MFPs</v>
          </cell>
          <cell r="V96" t="str">
            <v>XEROX MEXICANA SA DE CV / XEROX MEXICANA</v>
          </cell>
          <cell r="W96" t="str">
            <v>MICHOACAN</v>
          </cell>
          <cell r="X96">
            <v>2019</v>
          </cell>
          <cell r="Y96" t="str">
            <v>Qtr 2</v>
          </cell>
          <cell r="Z96" t="str">
            <v>April</v>
          </cell>
          <cell r="AA96">
            <v>9</v>
          </cell>
          <cell r="AB96">
            <v>370</v>
          </cell>
          <cell r="AC96">
            <v>1.05</v>
          </cell>
          <cell r="AD96">
            <v>5.7407411111111098E-2</v>
          </cell>
          <cell r="AE96">
            <v>750.75</v>
          </cell>
        </row>
        <row r="97">
          <cell r="A97" t="str">
            <v>0BG0962083</v>
          </cell>
          <cell r="B97">
            <v>2019</v>
          </cell>
          <cell r="C97" t="str">
            <v>Qtr 2</v>
          </cell>
          <cell r="D97" t="str">
            <v>April</v>
          </cell>
          <cell r="E97">
            <v>2</v>
          </cell>
          <cell r="F97" t="str">
            <v>CORRECTIVO</v>
          </cell>
          <cell r="G97">
            <v>0.55000000000000004</v>
          </cell>
          <cell r="H97" t="str">
            <v>Light Production Digital Business</v>
          </cell>
          <cell r="I97">
            <v>803</v>
          </cell>
          <cell r="J97">
            <v>1573</v>
          </cell>
          <cell r="K97">
            <v>0.2</v>
          </cell>
          <cell r="L97">
            <v>0.6</v>
          </cell>
          <cell r="M97">
            <v>0.8</v>
          </cell>
          <cell r="N97">
            <v>1.05</v>
          </cell>
          <cell r="O97">
            <v>1.1000000000000001</v>
          </cell>
          <cell r="P97">
            <v>1.1499999999999999</v>
          </cell>
          <cell r="Q97" t="str">
            <v>INTERIOR</v>
          </cell>
          <cell r="R97">
            <v>4</v>
          </cell>
          <cell r="S97">
            <v>6</v>
          </cell>
          <cell r="T97" t="str">
            <v>Ciudad principal</v>
          </cell>
          <cell r="U97" t="str">
            <v>High End Cut Sheet</v>
          </cell>
          <cell r="V97" t="str">
            <v>XEROX MEXICANA SA DE CV / XEROX MEXICANA</v>
          </cell>
          <cell r="W97" t="str">
            <v>NUEVO LEON</v>
          </cell>
          <cell r="X97">
            <v>2019</v>
          </cell>
          <cell r="Y97" t="str">
            <v>Qtr 2</v>
          </cell>
          <cell r="Z97" t="str">
            <v>April</v>
          </cell>
          <cell r="AA97">
            <v>5</v>
          </cell>
          <cell r="AB97">
            <v>11</v>
          </cell>
          <cell r="AC97">
            <v>0.8</v>
          </cell>
          <cell r="AD97">
            <v>0.13750000000000001</v>
          </cell>
          <cell r="AE97">
            <v>1258.4000000000001</v>
          </cell>
        </row>
        <row r="98">
          <cell r="A98" t="str">
            <v>0BG2939611</v>
          </cell>
          <cell r="B98">
            <v>2019</v>
          </cell>
          <cell r="C98" t="str">
            <v>Qtr 2</v>
          </cell>
          <cell r="D98" t="str">
            <v>April</v>
          </cell>
          <cell r="E98">
            <v>2</v>
          </cell>
          <cell r="F98" t="str">
            <v>MANTENIMIENTO PREVENTIVO</v>
          </cell>
          <cell r="G98">
            <v>0</v>
          </cell>
          <cell r="H98" t="str">
            <v>Light Production Digital Business</v>
          </cell>
          <cell r="I98">
            <v>803</v>
          </cell>
          <cell r="J98">
            <v>1573</v>
          </cell>
          <cell r="K98">
            <v>0.2</v>
          </cell>
          <cell r="L98">
            <v>0.6</v>
          </cell>
          <cell r="M98">
            <v>0.8</v>
          </cell>
          <cell r="N98">
            <v>1.05</v>
          </cell>
          <cell r="O98">
            <v>1.1000000000000001</v>
          </cell>
          <cell r="P98">
            <v>1.1499999999999999</v>
          </cell>
          <cell r="Q98" t="str">
            <v>INTERIOR</v>
          </cell>
          <cell r="R98">
            <v>4</v>
          </cell>
          <cell r="S98">
            <v>6</v>
          </cell>
          <cell r="T98" t="str">
            <v>Ciudad principal</v>
          </cell>
          <cell r="U98" t="str">
            <v>High End Cut Sheet</v>
          </cell>
          <cell r="V98" t="str">
            <v>XEROX MEXICANA SA DE CV / XEROX MEXICANA</v>
          </cell>
          <cell r="W98" t="str">
            <v>TAMAULIPAS</v>
          </cell>
          <cell r="X98">
            <v>2019</v>
          </cell>
          <cell r="Y98" t="str">
            <v>Qtr 2</v>
          </cell>
          <cell r="Z98" t="str">
            <v>April</v>
          </cell>
          <cell r="AA98">
            <v>2</v>
          </cell>
          <cell r="AB98">
            <v>4</v>
          </cell>
          <cell r="AC98">
            <v>0</v>
          </cell>
          <cell r="AD98">
            <v>0</v>
          </cell>
          <cell r="AE98">
            <v>1573</v>
          </cell>
        </row>
        <row r="99">
          <cell r="A99" t="str">
            <v>0BG2941140</v>
          </cell>
          <cell r="B99">
            <v>2019</v>
          </cell>
          <cell r="C99" t="str">
            <v>Qtr 2</v>
          </cell>
          <cell r="D99" t="str">
            <v>April</v>
          </cell>
          <cell r="E99">
            <v>2</v>
          </cell>
          <cell r="F99" t="str">
            <v>CORRECTIVO</v>
          </cell>
          <cell r="G99">
            <v>0.36666670000000001</v>
          </cell>
          <cell r="H99" t="str">
            <v>Light Production Digital Business</v>
          </cell>
          <cell r="I99">
            <v>803</v>
          </cell>
          <cell r="J99">
            <v>1573</v>
          </cell>
          <cell r="K99">
            <v>0.2</v>
          </cell>
          <cell r="L99">
            <v>0.6</v>
          </cell>
          <cell r="M99">
            <v>0.8</v>
          </cell>
          <cell r="N99">
            <v>1.05</v>
          </cell>
          <cell r="O99">
            <v>1.1000000000000001</v>
          </cell>
          <cell r="P99">
            <v>1.1499999999999999</v>
          </cell>
          <cell r="Q99" t="str">
            <v>INTERIOR</v>
          </cell>
          <cell r="R99">
            <v>4</v>
          </cell>
          <cell r="S99">
            <v>6</v>
          </cell>
          <cell r="T99" t="str">
            <v>Ciudad principal</v>
          </cell>
          <cell r="U99" t="str">
            <v>High End Cut Sheet</v>
          </cell>
          <cell r="V99" t="str">
            <v>XEROX MEXICANA SA DE CV / XEROX MEXICANA</v>
          </cell>
          <cell r="W99" t="str">
            <v>GUANAJUATO</v>
          </cell>
          <cell r="X99">
            <v>2019</v>
          </cell>
          <cell r="Y99" t="str">
            <v>Qtr 2</v>
          </cell>
          <cell r="Z99" t="str">
            <v>April</v>
          </cell>
          <cell r="AA99">
            <v>2</v>
          </cell>
          <cell r="AB99">
            <v>21</v>
          </cell>
          <cell r="AC99">
            <v>1.05</v>
          </cell>
          <cell r="AD99">
            <v>9.1666675000000003E-2</v>
          </cell>
          <cell r="AE99">
            <v>1651.65</v>
          </cell>
        </row>
        <row r="100">
          <cell r="A100" t="str">
            <v>0BG2946786</v>
          </cell>
          <cell r="B100">
            <v>2019</v>
          </cell>
          <cell r="C100" t="str">
            <v>Qtr 2</v>
          </cell>
          <cell r="D100" t="str">
            <v>April</v>
          </cell>
          <cell r="E100">
            <v>2</v>
          </cell>
          <cell r="F100" t="str">
            <v>MANTENIMIENTO PREVENTIVO</v>
          </cell>
          <cell r="G100">
            <v>0</v>
          </cell>
          <cell r="H100" t="str">
            <v>Light Production Digital Business</v>
          </cell>
          <cell r="I100">
            <v>803</v>
          </cell>
          <cell r="J100">
            <v>1573</v>
          </cell>
          <cell r="K100">
            <v>0.2</v>
          </cell>
          <cell r="L100">
            <v>0.6</v>
          </cell>
          <cell r="M100">
            <v>0.8</v>
          </cell>
          <cell r="N100">
            <v>1.05</v>
          </cell>
          <cell r="O100">
            <v>1.1000000000000001</v>
          </cell>
          <cell r="P100">
            <v>1.1499999999999999</v>
          </cell>
          <cell r="Q100" t="str">
            <v>INTERIOR</v>
          </cell>
          <cell r="R100">
            <v>4</v>
          </cell>
          <cell r="S100">
            <v>6</v>
          </cell>
          <cell r="T100" t="str">
            <v>Ciudad principal</v>
          </cell>
          <cell r="U100" t="str">
            <v>High End Cut Sheet</v>
          </cell>
          <cell r="V100" t="str">
            <v>XEROX MEXICANA SA DE CV / XEROX MEXICANA</v>
          </cell>
          <cell r="W100" t="str">
            <v>NUEVO LEON</v>
          </cell>
          <cell r="X100">
            <v>2019</v>
          </cell>
          <cell r="Y100" t="str">
            <v>Qtr 2</v>
          </cell>
          <cell r="Z100" t="str">
            <v>April</v>
          </cell>
          <cell r="AA100">
            <v>2</v>
          </cell>
          <cell r="AB100">
            <v>2</v>
          </cell>
          <cell r="AC100">
            <v>0</v>
          </cell>
          <cell r="AD100">
            <v>0</v>
          </cell>
          <cell r="AE100">
            <v>1573</v>
          </cell>
        </row>
        <row r="101">
          <cell r="A101" t="str">
            <v>0BG2947512</v>
          </cell>
          <cell r="B101">
            <v>2019</v>
          </cell>
          <cell r="C101" t="str">
            <v>Qtr 2</v>
          </cell>
          <cell r="D101" t="str">
            <v>April</v>
          </cell>
          <cell r="E101">
            <v>2</v>
          </cell>
          <cell r="F101" t="str">
            <v>CORRECTIVO</v>
          </cell>
          <cell r="G101">
            <v>7.3333329999999997</v>
          </cell>
          <cell r="H101" t="str">
            <v>Light Production Digital Business</v>
          </cell>
          <cell r="I101">
            <v>803</v>
          </cell>
          <cell r="J101">
            <v>1573</v>
          </cell>
          <cell r="K101">
            <v>0.2</v>
          </cell>
          <cell r="L101">
            <v>0.6</v>
          </cell>
          <cell r="M101">
            <v>0.8</v>
          </cell>
          <cell r="N101">
            <v>1.05</v>
          </cell>
          <cell r="O101">
            <v>1.1000000000000001</v>
          </cell>
          <cell r="P101">
            <v>1.1499999999999999</v>
          </cell>
          <cell r="Q101" t="str">
            <v>INTERIOR</v>
          </cell>
          <cell r="R101">
            <v>4</v>
          </cell>
          <cell r="S101">
            <v>6</v>
          </cell>
          <cell r="T101" t="str">
            <v>Ciudad principal</v>
          </cell>
          <cell r="U101" t="str">
            <v>High End Cut Sheet</v>
          </cell>
          <cell r="V101" t="str">
            <v>XEROX MEXICANA SA DE CV / XEROX MEXICANA</v>
          </cell>
          <cell r="W101" t="str">
            <v>COAHUILA</v>
          </cell>
          <cell r="X101">
            <v>2019</v>
          </cell>
          <cell r="Y101" t="str">
            <v>Qtr 2</v>
          </cell>
          <cell r="Z101" t="str">
            <v>April</v>
          </cell>
          <cell r="AA101">
            <v>8</v>
          </cell>
          <cell r="AB101">
            <v>29</v>
          </cell>
          <cell r="AC101">
            <v>1.05</v>
          </cell>
          <cell r="AD101">
            <v>1.8333332499999999</v>
          </cell>
          <cell r="AE101">
            <v>1323.9416994374999</v>
          </cell>
        </row>
        <row r="102">
          <cell r="A102" t="str">
            <v>0BG2947925</v>
          </cell>
          <cell r="B102">
            <v>2019</v>
          </cell>
          <cell r="C102" t="str">
            <v>Qtr 2</v>
          </cell>
          <cell r="D102" t="str">
            <v>April</v>
          </cell>
          <cell r="E102">
            <v>2</v>
          </cell>
          <cell r="F102" t="str">
            <v>CORRECTIVO</v>
          </cell>
          <cell r="G102">
            <v>0.85</v>
          </cell>
          <cell r="H102" t="str">
            <v>Light Production Digital Business</v>
          </cell>
          <cell r="I102">
            <v>803</v>
          </cell>
          <cell r="J102">
            <v>1573</v>
          </cell>
          <cell r="K102">
            <v>0.2</v>
          </cell>
          <cell r="L102">
            <v>0.6</v>
          </cell>
          <cell r="M102">
            <v>0.8</v>
          </cell>
          <cell r="N102">
            <v>1.05</v>
          </cell>
          <cell r="O102">
            <v>1.1000000000000001</v>
          </cell>
          <cell r="P102">
            <v>1.1499999999999999</v>
          </cell>
          <cell r="Q102" t="str">
            <v>INTERIOR</v>
          </cell>
          <cell r="R102">
            <v>4</v>
          </cell>
          <cell r="S102">
            <v>6</v>
          </cell>
          <cell r="T102" t="str">
            <v>Ciudad principal</v>
          </cell>
          <cell r="U102" t="str">
            <v>High End Cut Sheet</v>
          </cell>
          <cell r="V102" t="str">
            <v>XEROX MEXICANA SA DE CV / XEROX MEXICANA</v>
          </cell>
          <cell r="W102" t="str">
            <v>GUANAJUATO</v>
          </cell>
          <cell r="X102">
            <v>2019</v>
          </cell>
          <cell r="Y102" t="str">
            <v>Qtr 2</v>
          </cell>
          <cell r="Z102" t="str">
            <v>April</v>
          </cell>
          <cell r="AA102">
            <v>3</v>
          </cell>
          <cell r="AB102">
            <v>37</v>
          </cell>
          <cell r="AC102">
            <v>1.1000000000000001</v>
          </cell>
          <cell r="AD102">
            <v>0.21249999999999999</v>
          </cell>
          <cell r="AE102">
            <v>1730.3</v>
          </cell>
        </row>
        <row r="103">
          <cell r="A103" t="str">
            <v>0BG2948894</v>
          </cell>
          <cell r="B103">
            <v>2019</v>
          </cell>
          <cell r="C103" t="str">
            <v>Qtr 2</v>
          </cell>
          <cell r="D103" t="str">
            <v>April</v>
          </cell>
          <cell r="E103">
            <v>2</v>
          </cell>
          <cell r="F103" t="str">
            <v>CORRECTIVO</v>
          </cell>
          <cell r="G103">
            <v>2.8166669999999998</v>
          </cell>
          <cell r="H103" t="str">
            <v>Light Production Digital Business</v>
          </cell>
          <cell r="I103">
            <v>803</v>
          </cell>
          <cell r="J103">
            <v>1573</v>
          </cell>
          <cell r="K103">
            <v>0.2</v>
          </cell>
          <cell r="L103">
            <v>0.6</v>
          </cell>
          <cell r="M103">
            <v>0.8</v>
          </cell>
          <cell r="N103">
            <v>1.05</v>
          </cell>
          <cell r="O103">
            <v>1.1000000000000001</v>
          </cell>
          <cell r="P103">
            <v>1.1499999999999999</v>
          </cell>
          <cell r="Q103" t="str">
            <v>INTERIOR</v>
          </cell>
          <cell r="R103">
            <v>4</v>
          </cell>
          <cell r="S103">
            <v>6</v>
          </cell>
          <cell r="T103" t="str">
            <v>Ciudad principal</v>
          </cell>
          <cell r="U103" t="str">
            <v>High End Cut Sheet</v>
          </cell>
          <cell r="V103" t="str">
            <v>XEROX MEXICANA SA DE CV / XEROX MEXICANA</v>
          </cell>
          <cell r="W103" t="str">
            <v>GUANAJUATO</v>
          </cell>
          <cell r="X103">
            <v>2019</v>
          </cell>
          <cell r="Y103" t="str">
            <v>Qtr 2</v>
          </cell>
          <cell r="Z103" t="str">
            <v>April</v>
          </cell>
          <cell r="AA103">
            <v>2</v>
          </cell>
          <cell r="AB103">
            <v>21</v>
          </cell>
          <cell r="AC103">
            <v>1.05</v>
          </cell>
          <cell r="AD103">
            <v>0.70416674999999995</v>
          </cell>
          <cell r="AE103">
            <v>1651.65</v>
          </cell>
        </row>
        <row r="104">
          <cell r="A104" t="str">
            <v>0BG2949273</v>
          </cell>
          <cell r="B104">
            <v>2019</v>
          </cell>
          <cell r="C104" t="str">
            <v>Qtr 2</v>
          </cell>
          <cell r="D104" t="str">
            <v>April</v>
          </cell>
          <cell r="E104">
            <v>2</v>
          </cell>
          <cell r="F104" t="str">
            <v>CORRECTIVO</v>
          </cell>
          <cell r="G104">
            <v>1.5833330000000001</v>
          </cell>
          <cell r="H104" t="str">
            <v>Light Production Digital Business</v>
          </cell>
          <cell r="I104">
            <v>803</v>
          </cell>
          <cell r="J104">
            <v>1573</v>
          </cell>
          <cell r="K104">
            <v>0.2</v>
          </cell>
          <cell r="L104">
            <v>0.6</v>
          </cell>
          <cell r="M104">
            <v>0.8</v>
          </cell>
          <cell r="N104">
            <v>1.05</v>
          </cell>
          <cell r="O104">
            <v>1.1000000000000001</v>
          </cell>
          <cell r="P104">
            <v>1.1499999999999999</v>
          </cell>
          <cell r="Q104" t="str">
            <v>INTERIOR</v>
          </cell>
          <cell r="R104">
            <v>4</v>
          </cell>
          <cell r="S104">
            <v>6</v>
          </cell>
          <cell r="T104" t="str">
            <v>Ciudad principal</v>
          </cell>
          <cell r="U104" t="str">
            <v>High End Cut Sheet</v>
          </cell>
          <cell r="V104" t="str">
            <v>XEROX MEXICANA SA DE CV / XEROX MEXICANA</v>
          </cell>
          <cell r="W104" t="str">
            <v>GUANAJUATO</v>
          </cell>
          <cell r="X104">
            <v>2019</v>
          </cell>
          <cell r="Y104" t="str">
            <v>Qtr 2</v>
          </cell>
          <cell r="Z104" t="str">
            <v>April</v>
          </cell>
          <cell r="AA104">
            <v>9</v>
          </cell>
          <cell r="AB104">
            <v>21</v>
          </cell>
          <cell r="AC104">
            <v>1.05</v>
          </cell>
          <cell r="AD104">
            <v>0.39583325000000003</v>
          </cell>
          <cell r="AE104">
            <v>1651.65</v>
          </cell>
        </row>
        <row r="105">
          <cell r="A105" t="str">
            <v>0BG2951477</v>
          </cell>
          <cell r="B105">
            <v>2019</v>
          </cell>
          <cell r="C105" t="str">
            <v>Qtr 2</v>
          </cell>
          <cell r="D105" t="str">
            <v>April</v>
          </cell>
          <cell r="E105">
            <v>2</v>
          </cell>
          <cell r="F105" t="str">
            <v>CORRECTIVO</v>
          </cell>
          <cell r="G105">
            <v>1.5833330000000001</v>
          </cell>
          <cell r="H105" t="str">
            <v>Light Production Digital Business</v>
          </cell>
          <cell r="I105">
            <v>803</v>
          </cell>
          <cell r="J105">
            <v>1573</v>
          </cell>
          <cell r="K105">
            <v>0.2</v>
          </cell>
          <cell r="L105">
            <v>0.6</v>
          </cell>
          <cell r="M105">
            <v>0.8</v>
          </cell>
          <cell r="N105">
            <v>1.05</v>
          </cell>
          <cell r="O105">
            <v>1.1000000000000001</v>
          </cell>
          <cell r="P105">
            <v>1.1499999999999999</v>
          </cell>
          <cell r="Q105" t="str">
            <v>INTERIOR</v>
          </cell>
          <cell r="R105">
            <v>4</v>
          </cell>
          <cell r="S105">
            <v>6</v>
          </cell>
          <cell r="T105" t="str">
            <v>Ciudad principal</v>
          </cell>
          <cell r="U105" t="str">
            <v>High End Cut Sheet</v>
          </cell>
          <cell r="V105" t="str">
            <v>XEROX MEXICANA SA DE CV / XEROX MEXICANA</v>
          </cell>
          <cell r="W105" t="str">
            <v>NUEVO LEON</v>
          </cell>
          <cell r="X105">
            <v>2019</v>
          </cell>
          <cell r="Y105" t="str">
            <v>Qtr 2</v>
          </cell>
          <cell r="Z105" t="str">
            <v>April</v>
          </cell>
          <cell r="AA105">
            <v>5</v>
          </cell>
          <cell r="AB105">
            <v>42</v>
          </cell>
          <cell r="AC105">
            <v>1.1000000000000001</v>
          </cell>
          <cell r="AD105">
            <v>0.39583325000000003</v>
          </cell>
          <cell r="AE105">
            <v>1730.3</v>
          </cell>
        </row>
        <row r="106">
          <cell r="A106" t="str">
            <v>0C4X008113</v>
          </cell>
          <cell r="B106">
            <v>2019</v>
          </cell>
          <cell r="C106" t="str">
            <v>Qtr 2</v>
          </cell>
          <cell r="D106" t="str">
            <v>April</v>
          </cell>
          <cell r="E106">
            <v>2</v>
          </cell>
          <cell r="F106" t="str">
            <v>CORRECTIVO</v>
          </cell>
          <cell r="G106">
            <v>2.483333</v>
          </cell>
          <cell r="H106" t="str">
            <v>A4 Mono MFPs</v>
          </cell>
          <cell r="I106">
            <v>468</v>
          </cell>
          <cell r="J106">
            <v>715</v>
          </cell>
          <cell r="K106">
            <v>0</v>
          </cell>
          <cell r="L106">
            <v>0</v>
          </cell>
          <cell r="M106">
            <v>0</v>
          </cell>
          <cell r="N106">
            <v>0.6</v>
          </cell>
          <cell r="O106">
            <v>0.8</v>
          </cell>
          <cell r="P106">
            <v>1.05</v>
          </cell>
          <cell r="Q106" t="str">
            <v>INTERIOR</v>
          </cell>
          <cell r="R106">
            <v>5</v>
          </cell>
          <cell r="S106">
            <v>9</v>
          </cell>
          <cell r="T106" t="str">
            <v>Ciudad principal</v>
          </cell>
          <cell r="U106" t="str">
            <v>A4 Mono MFPs</v>
          </cell>
          <cell r="V106" t="str">
            <v>XEROX MEXICANA SA DE CV / XEROX MEXICANA</v>
          </cell>
          <cell r="W106" t="str">
            <v>JALISCO</v>
          </cell>
          <cell r="X106">
            <v>2019</v>
          </cell>
          <cell r="Y106" t="str">
            <v>Qtr 2</v>
          </cell>
          <cell r="Z106" t="str">
            <v>April</v>
          </cell>
          <cell r="AA106">
            <v>2</v>
          </cell>
          <cell r="AB106">
            <v>278</v>
          </cell>
          <cell r="AC106">
            <v>1.05</v>
          </cell>
          <cell r="AD106">
            <v>0.49666660000000001</v>
          </cell>
          <cell r="AE106">
            <v>750.75</v>
          </cell>
        </row>
        <row r="107">
          <cell r="A107" t="str">
            <v>0C4X012642</v>
          </cell>
          <cell r="B107">
            <v>2019</v>
          </cell>
          <cell r="C107" t="str">
            <v>Qtr 2</v>
          </cell>
          <cell r="D107" t="str">
            <v>April</v>
          </cell>
          <cell r="E107">
            <v>2</v>
          </cell>
          <cell r="F107" t="str">
            <v>CORRECTIVO</v>
          </cell>
          <cell r="G107">
            <v>2.4666670000000002</v>
          </cell>
          <cell r="H107" t="str">
            <v>A4 Mono MFPs</v>
          </cell>
          <cell r="I107">
            <v>468</v>
          </cell>
          <cell r="J107">
            <v>715</v>
          </cell>
          <cell r="K107">
            <v>0</v>
          </cell>
          <cell r="L107">
            <v>0</v>
          </cell>
          <cell r="M107">
            <v>0</v>
          </cell>
          <cell r="N107">
            <v>0.6</v>
          </cell>
          <cell r="O107">
            <v>0.8</v>
          </cell>
          <cell r="P107">
            <v>1.05</v>
          </cell>
          <cell r="Q107" t="str">
            <v>INTERIOR</v>
          </cell>
          <cell r="R107">
            <v>5</v>
          </cell>
          <cell r="S107">
            <v>9</v>
          </cell>
          <cell r="T107" t="str">
            <v>Ciudad principal</v>
          </cell>
          <cell r="U107" t="str">
            <v>A4 Mono MFPs</v>
          </cell>
          <cell r="V107" t="str">
            <v>XEROX MEXICANA SA DE CV / XEROX MEXICANA</v>
          </cell>
          <cell r="W107" t="str">
            <v>GUANAJUATO</v>
          </cell>
          <cell r="X107">
            <v>2019</v>
          </cell>
          <cell r="Y107" t="str">
            <v>Qtr 2</v>
          </cell>
          <cell r="Z107" t="str">
            <v>April</v>
          </cell>
          <cell r="AA107">
            <v>2</v>
          </cell>
          <cell r="AB107">
            <v>245</v>
          </cell>
          <cell r="AC107">
            <v>1.05</v>
          </cell>
          <cell r="AD107">
            <v>0.49333339999999998</v>
          </cell>
          <cell r="AE107">
            <v>750.75</v>
          </cell>
        </row>
        <row r="108">
          <cell r="A108" t="str">
            <v>0D6X456699</v>
          </cell>
          <cell r="B108">
            <v>2019</v>
          </cell>
          <cell r="C108" t="str">
            <v>Qtr 2</v>
          </cell>
          <cell r="D108" t="str">
            <v>April</v>
          </cell>
          <cell r="E108">
            <v>2</v>
          </cell>
          <cell r="F108" t="str">
            <v>MANTENIMIENTO PREVENTIVO</v>
          </cell>
          <cell r="G108">
            <v>0</v>
          </cell>
          <cell r="H108" t="str">
            <v>Entry Mono Printers</v>
          </cell>
          <cell r="I108">
            <v>468</v>
          </cell>
          <cell r="J108">
            <v>715</v>
          </cell>
          <cell r="K108">
            <v>0</v>
          </cell>
          <cell r="L108">
            <v>0</v>
          </cell>
          <cell r="M108">
            <v>0</v>
          </cell>
          <cell r="N108">
            <v>0.6</v>
          </cell>
          <cell r="O108">
            <v>0.8</v>
          </cell>
          <cell r="P108">
            <v>1.05</v>
          </cell>
          <cell r="Q108" t="str">
            <v>INTERIOR</v>
          </cell>
          <cell r="R108">
            <v>5</v>
          </cell>
          <cell r="S108">
            <v>9</v>
          </cell>
          <cell r="T108" t="str">
            <v>Ciudad principal</v>
          </cell>
          <cell r="U108" t="str">
            <v>Entry Mono Printers</v>
          </cell>
          <cell r="V108" t="str">
            <v>XEROX MEXICANA SA DE CV / XEROX MEXICANA</v>
          </cell>
          <cell r="W108" t="str">
            <v>CHIHUAHUA</v>
          </cell>
          <cell r="X108">
            <v>2019</v>
          </cell>
          <cell r="Y108" t="str">
            <v>Qtr 2</v>
          </cell>
          <cell r="Z108" t="str">
            <v>April</v>
          </cell>
          <cell r="AA108">
            <v>4</v>
          </cell>
          <cell r="AB108">
            <v>68</v>
          </cell>
          <cell r="AC108">
            <v>0</v>
          </cell>
          <cell r="AD108">
            <v>0</v>
          </cell>
          <cell r="AE108">
            <v>715</v>
          </cell>
        </row>
        <row r="109">
          <cell r="A109" t="str">
            <v>0D6X458381</v>
          </cell>
          <cell r="B109">
            <v>2019</v>
          </cell>
          <cell r="C109" t="str">
            <v>Qtr 2</v>
          </cell>
          <cell r="D109" t="str">
            <v>April</v>
          </cell>
          <cell r="E109">
            <v>2</v>
          </cell>
          <cell r="F109" t="str">
            <v>CORRECTIVO</v>
          </cell>
          <cell r="G109">
            <v>0.36666670000000001</v>
          </cell>
          <cell r="H109" t="str">
            <v>Entry Mono Printers</v>
          </cell>
          <cell r="I109">
            <v>468</v>
          </cell>
          <cell r="J109">
            <v>715</v>
          </cell>
          <cell r="K109">
            <v>0</v>
          </cell>
          <cell r="L109">
            <v>0</v>
          </cell>
          <cell r="M109">
            <v>0</v>
          </cell>
          <cell r="N109">
            <v>0.6</v>
          </cell>
          <cell r="O109">
            <v>0.8</v>
          </cell>
          <cell r="P109">
            <v>1.05</v>
          </cell>
          <cell r="Q109" t="str">
            <v>INTERIOR</v>
          </cell>
          <cell r="R109">
            <v>5</v>
          </cell>
          <cell r="S109">
            <v>9</v>
          </cell>
          <cell r="T109" t="str">
            <v>Ciudad principal</v>
          </cell>
          <cell r="U109" t="str">
            <v>Entry Mono Printers</v>
          </cell>
          <cell r="V109" t="str">
            <v>XEROX MEXICANA SA DE CV / XEROX MEXICANA</v>
          </cell>
          <cell r="W109" t="str">
            <v>TAMAULIPAS</v>
          </cell>
          <cell r="X109">
            <v>2019</v>
          </cell>
          <cell r="Y109" t="str">
            <v>Qtr 2</v>
          </cell>
          <cell r="Z109" t="str">
            <v>April</v>
          </cell>
          <cell r="AA109">
            <v>11</v>
          </cell>
          <cell r="AB109">
            <v>74</v>
          </cell>
          <cell r="AC109">
            <v>1.05</v>
          </cell>
          <cell r="AD109">
            <v>7.3333339999999997E-2</v>
          </cell>
          <cell r="AE109">
            <v>750.75</v>
          </cell>
        </row>
        <row r="110">
          <cell r="A110" t="str">
            <v>0D6X468206</v>
          </cell>
          <cell r="B110">
            <v>2019</v>
          </cell>
          <cell r="C110" t="str">
            <v>Qtr 2</v>
          </cell>
          <cell r="D110" t="str">
            <v>April</v>
          </cell>
          <cell r="E110">
            <v>2</v>
          </cell>
          <cell r="F110" t="str">
            <v>CORRECTIVO</v>
          </cell>
          <cell r="G110">
            <v>2.2166670000000002</v>
          </cell>
          <cell r="H110" t="str">
            <v>Entry Mono Printers</v>
          </cell>
          <cell r="I110">
            <v>468</v>
          </cell>
          <cell r="J110">
            <v>715</v>
          </cell>
          <cell r="K110">
            <v>0</v>
          </cell>
          <cell r="L110">
            <v>0</v>
          </cell>
          <cell r="M110">
            <v>0</v>
          </cell>
          <cell r="N110">
            <v>0.6</v>
          </cell>
          <cell r="O110">
            <v>0.8</v>
          </cell>
          <cell r="P110">
            <v>1.05</v>
          </cell>
          <cell r="Q110" t="str">
            <v>INTERIOR</v>
          </cell>
          <cell r="R110">
            <v>5</v>
          </cell>
          <cell r="S110">
            <v>9</v>
          </cell>
          <cell r="T110" t="str">
            <v>Ciudad principal</v>
          </cell>
          <cell r="U110" t="str">
            <v>Entry Mono Printers</v>
          </cell>
          <cell r="V110" t="str">
            <v>XEROX MEXICANA SA DE CV / XEROX MEXICANA</v>
          </cell>
          <cell r="W110" t="str">
            <v>JALISCO</v>
          </cell>
          <cell r="X110">
            <v>2019</v>
          </cell>
          <cell r="Y110" t="str">
            <v>Qtr 2</v>
          </cell>
          <cell r="Z110" t="str">
            <v>April</v>
          </cell>
          <cell r="AA110">
            <v>3</v>
          </cell>
          <cell r="AB110">
            <v>5</v>
          </cell>
          <cell r="AC110">
            <v>0</v>
          </cell>
          <cell r="AD110">
            <v>0.44333339999999999</v>
          </cell>
          <cell r="AE110">
            <v>0</v>
          </cell>
        </row>
        <row r="111">
          <cell r="A111" t="str">
            <v>0E2B646602</v>
          </cell>
          <cell r="B111">
            <v>2019</v>
          </cell>
          <cell r="C111" t="str">
            <v>Qtr 2</v>
          </cell>
          <cell r="D111" t="str">
            <v>April</v>
          </cell>
          <cell r="E111">
            <v>2</v>
          </cell>
          <cell r="F111" t="str">
            <v>CORRECTIVO</v>
          </cell>
          <cell r="G111">
            <v>1.266667</v>
          </cell>
          <cell r="H111" t="str">
            <v>Entry Production Color Low/Mid</v>
          </cell>
          <cell r="I111">
            <v>803</v>
          </cell>
          <cell r="J111">
            <v>1573</v>
          </cell>
          <cell r="K111">
            <v>0.2</v>
          </cell>
          <cell r="L111">
            <v>0.6</v>
          </cell>
          <cell r="M111">
            <v>0.8</v>
          </cell>
          <cell r="N111">
            <v>1.05</v>
          </cell>
          <cell r="O111">
            <v>1.1000000000000001</v>
          </cell>
          <cell r="P111">
            <v>1.1499999999999999</v>
          </cell>
          <cell r="Q111" t="str">
            <v>INTERIOR</v>
          </cell>
          <cell r="R111">
            <v>4</v>
          </cell>
          <cell r="S111">
            <v>6</v>
          </cell>
          <cell r="T111" t="str">
            <v>Ciudad principal</v>
          </cell>
          <cell r="U111" t="str">
            <v>Entry Production Color Low/Mid</v>
          </cell>
          <cell r="V111" t="str">
            <v>XEROX MEXICANA SA DE CV / XEROX MEXICANA</v>
          </cell>
          <cell r="W111" t="str">
            <v>NUEVO LEON</v>
          </cell>
          <cell r="X111">
            <v>2019</v>
          </cell>
          <cell r="Y111" t="str">
            <v>Qtr 2</v>
          </cell>
          <cell r="Z111" t="str">
            <v>April</v>
          </cell>
          <cell r="AA111">
            <v>2</v>
          </cell>
          <cell r="AB111">
            <v>14</v>
          </cell>
          <cell r="AC111">
            <v>0.8</v>
          </cell>
          <cell r="AD111">
            <v>0.31666675</v>
          </cell>
          <cell r="AE111">
            <v>1258.4000000000001</v>
          </cell>
        </row>
        <row r="112">
          <cell r="A112" t="str">
            <v>0E2B646616</v>
          </cell>
          <cell r="B112">
            <v>2019</v>
          </cell>
          <cell r="C112" t="str">
            <v>Qtr 2</v>
          </cell>
          <cell r="D112" t="str">
            <v>April</v>
          </cell>
          <cell r="E112">
            <v>2</v>
          </cell>
          <cell r="F112" t="str">
            <v>CORRECTIVO</v>
          </cell>
          <cell r="G112">
            <v>1.9166669999999999</v>
          </cell>
          <cell r="H112" t="str">
            <v>Entry Production Color Low/Mid</v>
          </cell>
          <cell r="I112">
            <v>803</v>
          </cell>
          <cell r="J112">
            <v>1573</v>
          </cell>
          <cell r="K112">
            <v>0.2</v>
          </cell>
          <cell r="L112">
            <v>0.6</v>
          </cell>
          <cell r="M112">
            <v>0.8</v>
          </cell>
          <cell r="N112">
            <v>1.05</v>
          </cell>
          <cell r="O112">
            <v>1.1000000000000001</v>
          </cell>
          <cell r="P112">
            <v>1.1499999999999999</v>
          </cell>
          <cell r="Q112" t="str">
            <v>INTERIOR</v>
          </cell>
          <cell r="R112">
            <v>4</v>
          </cell>
          <cell r="S112">
            <v>6</v>
          </cell>
          <cell r="T112" t="str">
            <v>Ciudad principal</v>
          </cell>
          <cell r="U112" t="str">
            <v>Entry Production Color Low/Mid</v>
          </cell>
          <cell r="V112" t="str">
            <v>XEROX MEXICANA SA DE CV / XEROX MEXICANA</v>
          </cell>
          <cell r="W112" t="str">
            <v>JALISCO</v>
          </cell>
          <cell r="X112">
            <v>2019</v>
          </cell>
          <cell r="Y112" t="str">
            <v>Qtr 2</v>
          </cell>
          <cell r="Z112" t="str">
            <v>April</v>
          </cell>
          <cell r="AA112">
            <v>2</v>
          </cell>
          <cell r="AB112">
            <v>26</v>
          </cell>
          <cell r="AC112">
            <v>1.05</v>
          </cell>
          <cell r="AD112">
            <v>0.47916674999999997</v>
          </cell>
          <cell r="AE112">
            <v>1651.65</v>
          </cell>
        </row>
        <row r="113">
          <cell r="A113" t="str">
            <v>0E2B658304</v>
          </cell>
          <cell r="B113">
            <v>2019</v>
          </cell>
          <cell r="C113" t="str">
            <v>Qtr 2</v>
          </cell>
          <cell r="D113" t="str">
            <v>April</v>
          </cell>
          <cell r="E113">
            <v>2</v>
          </cell>
          <cell r="F113" t="str">
            <v>CORRECTIVO</v>
          </cell>
          <cell r="G113">
            <v>0.68333330000000003</v>
          </cell>
          <cell r="H113" t="str">
            <v>Entry Production Color Low/Mid</v>
          </cell>
          <cell r="I113">
            <v>803</v>
          </cell>
          <cell r="J113">
            <v>1573</v>
          </cell>
          <cell r="K113">
            <v>0.2</v>
          </cell>
          <cell r="L113">
            <v>0.6</v>
          </cell>
          <cell r="M113">
            <v>0.8</v>
          </cell>
          <cell r="N113">
            <v>1.05</v>
          </cell>
          <cell r="O113">
            <v>1.1000000000000001</v>
          </cell>
          <cell r="P113">
            <v>1.1499999999999999</v>
          </cell>
          <cell r="Q113" t="str">
            <v>INTERIOR</v>
          </cell>
          <cell r="R113">
            <v>4</v>
          </cell>
          <cell r="S113">
            <v>6</v>
          </cell>
          <cell r="T113" t="str">
            <v>Ciudad principal</v>
          </cell>
          <cell r="U113" t="str">
            <v>Entry Production Color Low/Mid</v>
          </cell>
          <cell r="V113" t="str">
            <v>XEROX MEXICANA SA DE CV / XEROX MEXICANA</v>
          </cell>
          <cell r="W113" t="str">
            <v>NUEVO LEON</v>
          </cell>
          <cell r="X113">
            <v>2019</v>
          </cell>
          <cell r="Y113" t="str">
            <v>Qtr 2</v>
          </cell>
          <cell r="Z113" t="str">
            <v>April</v>
          </cell>
          <cell r="AA113">
            <v>2</v>
          </cell>
          <cell r="AB113">
            <v>7</v>
          </cell>
          <cell r="AC113">
            <v>0.8</v>
          </cell>
          <cell r="AD113">
            <v>0.17083332500000001</v>
          </cell>
          <cell r="AE113">
            <v>1258.4000000000001</v>
          </cell>
        </row>
        <row r="114">
          <cell r="A114" t="str">
            <v>0EX7397457</v>
          </cell>
          <cell r="B114">
            <v>2019</v>
          </cell>
          <cell r="C114" t="str">
            <v>Qtr 2</v>
          </cell>
          <cell r="D114" t="str">
            <v>April</v>
          </cell>
          <cell r="E114">
            <v>2</v>
          </cell>
          <cell r="F114" t="str">
            <v>CORRECTIVO</v>
          </cell>
          <cell r="G114">
            <v>5.4166670000000003</v>
          </cell>
          <cell r="H114" t="str">
            <v>Office Digital</v>
          </cell>
          <cell r="I114">
            <v>655</v>
          </cell>
          <cell r="J114">
            <v>1365</v>
          </cell>
          <cell r="K114">
            <v>0</v>
          </cell>
          <cell r="L114">
            <v>0</v>
          </cell>
          <cell r="M114">
            <v>0.6</v>
          </cell>
          <cell r="N114">
            <v>0.8</v>
          </cell>
          <cell r="O114">
            <v>1.05</v>
          </cell>
          <cell r="P114">
            <v>1.1000000000000001</v>
          </cell>
          <cell r="Q114" t="str">
            <v>INTERIOR</v>
          </cell>
          <cell r="R114">
            <v>5</v>
          </cell>
          <cell r="S114">
            <v>9</v>
          </cell>
          <cell r="T114" t="str">
            <v>Ciudad principal</v>
          </cell>
          <cell r="U114" t="str">
            <v>Departmental Digital</v>
          </cell>
          <cell r="V114" t="str">
            <v>XEROX MEXICANA SA DE CV / XEROX MEXICANA</v>
          </cell>
          <cell r="W114" t="str">
            <v>TAMAULIPAS</v>
          </cell>
          <cell r="X114">
            <v>2019</v>
          </cell>
          <cell r="Y114" t="str">
            <v>Qtr 2</v>
          </cell>
          <cell r="Z114" t="str">
            <v>April</v>
          </cell>
          <cell r="AA114">
            <v>15</v>
          </cell>
          <cell r="AB114">
            <v>70</v>
          </cell>
          <cell r="AC114">
            <v>1.1000000000000001</v>
          </cell>
          <cell r="AD114">
            <v>1.0833333999999999</v>
          </cell>
          <cell r="AE114">
            <v>1473.06247725</v>
          </cell>
        </row>
        <row r="115">
          <cell r="A115" t="str">
            <v>0EX7416648</v>
          </cell>
          <cell r="B115">
            <v>2019</v>
          </cell>
          <cell r="C115" t="str">
            <v>Qtr 2</v>
          </cell>
          <cell r="D115" t="str">
            <v>April</v>
          </cell>
          <cell r="E115">
            <v>2</v>
          </cell>
          <cell r="F115" t="str">
            <v>CORRECTIVO</v>
          </cell>
          <cell r="G115">
            <v>0.51666670000000003</v>
          </cell>
          <cell r="H115" t="str">
            <v>Office Digital</v>
          </cell>
          <cell r="I115">
            <v>655</v>
          </cell>
          <cell r="J115">
            <v>1365</v>
          </cell>
          <cell r="K115">
            <v>0</v>
          </cell>
          <cell r="L115">
            <v>0</v>
          </cell>
          <cell r="M115">
            <v>0.6</v>
          </cell>
          <cell r="N115">
            <v>0.8</v>
          </cell>
          <cell r="O115">
            <v>1.05</v>
          </cell>
          <cell r="P115">
            <v>1.1000000000000001</v>
          </cell>
          <cell r="Q115" t="str">
            <v>INTERIOR</v>
          </cell>
          <cell r="R115">
            <v>5</v>
          </cell>
          <cell r="S115">
            <v>9</v>
          </cell>
          <cell r="T115" t="str">
            <v>Ciudad principal</v>
          </cell>
          <cell r="U115" t="str">
            <v>Departmental Digital</v>
          </cell>
          <cell r="V115" t="str">
            <v>XEROX MEXICANA SA DE CV / XEROX MEXICANA</v>
          </cell>
          <cell r="W115" t="str">
            <v>CHIHUAHUA</v>
          </cell>
          <cell r="X115">
            <v>2019</v>
          </cell>
          <cell r="Y115" t="str">
            <v>Qtr 2</v>
          </cell>
          <cell r="Z115" t="str">
            <v>April</v>
          </cell>
          <cell r="AA115">
            <v>2</v>
          </cell>
          <cell r="AB115">
            <v>7</v>
          </cell>
          <cell r="AC115">
            <v>0.6</v>
          </cell>
          <cell r="AD115">
            <v>0.10333334</v>
          </cell>
          <cell r="AE115">
            <v>819</v>
          </cell>
        </row>
        <row r="116">
          <cell r="A116" t="str">
            <v>0EX9664210</v>
          </cell>
          <cell r="B116">
            <v>2019</v>
          </cell>
          <cell r="C116" t="str">
            <v>Qtr 2</v>
          </cell>
          <cell r="D116" t="str">
            <v>April</v>
          </cell>
          <cell r="E116">
            <v>2</v>
          </cell>
          <cell r="F116" t="str">
            <v>CORRECTIVO</v>
          </cell>
          <cell r="G116">
            <v>2.733333</v>
          </cell>
          <cell r="H116" t="str">
            <v>Departmental Digital</v>
          </cell>
          <cell r="I116">
            <v>655</v>
          </cell>
          <cell r="J116">
            <v>1365</v>
          </cell>
          <cell r="K116">
            <v>0</v>
          </cell>
          <cell r="L116">
            <v>0</v>
          </cell>
          <cell r="M116">
            <v>0.6</v>
          </cell>
          <cell r="N116">
            <v>0.8</v>
          </cell>
          <cell r="O116">
            <v>1.05</v>
          </cell>
          <cell r="P116">
            <v>1.1000000000000001</v>
          </cell>
          <cell r="Q116" t="str">
            <v>INTERIOR</v>
          </cell>
          <cell r="R116">
            <v>5</v>
          </cell>
          <cell r="S116">
            <v>9</v>
          </cell>
          <cell r="T116" t="str">
            <v>Ciudad principal</v>
          </cell>
          <cell r="U116" t="str">
            <v>Departmental Digital</v>
          </cell>
          <cell r="V116" t="str">
            <v>XEROX MEXICANA SA DE CV / XEROX MEXICANA</v>
          </cell>
          <cell r="W116" t="str">
            <v>JALISCO</v>
          </cell>
          <cell r="X116">
            <v>2019</v>
          </cell>
          <cell r="Y116" t="str">
            <v>Qtr 2</v>
          </cell>
          <cell r="Z116" t="str">
            <v>April</v>
          </cell>
          <cell r="AA116">
            <v>2</v>
          </cell>
          <cell r="AB116">
            <v>22</v>
          </cell>
          <cell r="AC116">
            <v>0.8</v>
          </cell>
          <cell r="AD116">
            <v>0.5466666</v>
          </cell>
          <cell r="AE116">
            <v>1092</v>
          </cell>
        </row>
        <row r="117">
          <cell r="A117" t="str">
            <v>0EX9664460</v>
          </cell>
          <cell r="B117">
            <v>2019</v>
          </cell>
          <cell r="C117" t="str">
            <v>Qtr 2</v>
          </cell>
          <cell r="D117" t="str">
            <v>April</v>
          </cell>
          <cell r="E117">
            <v>2</v>
          </cell>
          <cell r="F117" t="str">
            <v>CORRECTIVO</v>
          </cell>
          <cell r="G117">
            <v>0.8</v>
          </cell>
          <cell r="H117" t="str">
            <v>Departmental Digital</v>
          </cell>
          <cell r="I117">
            <v>655</v>
          </cell>
          <cell r="J117">
            <v>1365</v>
          </cell>
          <cell r="K117">
            <v>0</v>
          </cell>
          <cell r="L117">
            <v>0</v>
          </cell>
          <cell r="M117">
            <v>0.6</v>
          </cell>
          <cell r="N117">
            <v>0.8</v>
          </cell>
          <cell r="O117">
            <v>1.05</v>
          </cell>
          <cell r="P117">
            <v>1.1000000000000001</v>
          </cell>
          <cell r="Q117" t="str">
            <v>INTERIOR</v>
          </cell>
          <cell r="R117">
            <v>5</v>
          </cell>
          <cell r="S117">
            <v>9</v>
          </cell>
          <cell r="T117" t="str">
            <v>Ciudad principal</v>
          </cell>
          <cell r="U117" t="str">
            <v>Departmental Digital</v>
          </cell>
          <cell r="V117" t="str">
            <v>XEROX MEXICANA SA DE CV / XEROX MEXICANA</v>
          </cell>
          <cell r="W117" t="str">
            <v>ESTADO DE MEXICO</v>
          </cell>
          <cell r="X117">
            <v>2019</v>
          </cell>
          <cell r="Y117" t="str">
            <v>Qtr 2</v>
          </cell>
          <cell r="Z117" t="str">
            <v>April</v>
          </cell>
          <cell r="AA117">
            <v>2</v>
          </cell>
          <cell r="AB117">
            <v>18</v>
          </cell>
          <cell r="AC117">
            <v>0.8</v>
          </cell>
          <cell r="AD117">
            <v>0.16</v>
          </cell>
          <cell r="AE117">
            <v>1092</v>
          </cell>
        </row>
        <row r="118">
          <cell r="A118" t="str">
            <v>0LBT206071</v>
          </cell>
          <cell r="B118">
            <v>2019</v>
          </cell>
          <cell r="C118" t="str">
            <v>Qtr 2</v>
          </cell>
          <cell r="D118" t="str">
            <v>April</v>
          </cell>
          <cell r="E118">
            <v>2</v>
          </cell>
          <cell r="F118" t="str">
            <v>CORRECTIVO</v>
          </cell>
          <cell r="G118">
            <v>1.3</v>
          </cell>
          <cell r="H118" t="str">
            <v>A4 Mono MFPs</v>
          </cell>
          <cell r="I118">
            <v>468</v>
          </cell>
          <cell r="J118">
            <v>715</v>
          </cell>
          <cell r="K118">
            <v>0</v>
          </cell>
          <cell r="L118">
            <v>0</v>
          </cell>
          <cell r="M118">
            <v>0</v>
          </cell>
          <cell r="N118">
            <v>0.6</v>
          </cell>
          <cell r="O118">
            <v>0.8</v>
          </cell>
          <cell r="P118">
            <v>1.05</v>
          </cell>
          <cell r="Q118" t="str">
            <v>INTERIOR</v>
          </cell>
          <cell r="R118">
            <v>5</v>
          </cell>
          <cell r="S118">
            <v>9</v>
          </cell>
          <cell r="T118" t="str">
            <v>Ciudad principal</v>
          </cell>
          <cell r="U118" t="str">
            <v>A4 Mono MFPs</v>
          </cell>
          <cell r="V118" t="str">
            <v>XEROX MEXICANA SA DE CV / XEROX MEXICANA</v>
          </cell>
          <cell r="W118" t="str">
            <v>CHIHUAHUA</v>
          </cell>
          <cell r="X118">
            <v>2019</v>
          </cell>
          <cell r="Y118" t="str">
            <v>Qtr 2</v>
          </cell>
          <cell r="Z118" t="str">
            <v>April</v>
          </cell>
          <cell r="AA118">
            <v>4</v>
          </cell>
          <cell r="AB118">
            <v>88</v>
          </cell>
          <cell r="AC118">
            <v>1.05</v>
          </cell>
          <cell r="AD118">
            <v>0.26</v>
          </cell>
          <cell r="AE118">
            <v>750.75</v>
          </cell>
        </row>
        <row r="119">
          <cell r="A119" t="str">
            <v>0LX5688824</v>
          </cell>
          <cell r="B119">
            <v>2019</v>
          </cell>
          <cell r="C119" t="str">
            <v>Qtr 2</v>
          </cell>
          <cell r="D119" t="str">
            <v>April</v>
          </cell>
          <cell r="E119">
            <v>2</v>
          </cell>
          <cell r="F119" t="str">
            <v>CORRECTIVO</v>
          </cell>
          <cell r="G119">
            <v>2.95</v>
          </cell>
          <cell r="H119" t="str">
            <v>A3 Office Color Laser MFPs</v>
          </cell>
          <cell r="I119">
            <v>655</v>
          </cell>
          <cell r="J119">
            <v>1365</v>
          </cell>
          <cell r="K119">
            <v>0</v>
          </cell>
          <cell r="L119">
            <v>0</v>
          </cell>
          <cell r="M119">
            <v>0.6</v>
          </cell>
          <cell r="N119">
            <v>0.8</v>
          </cell>
          <cell r="O119">
            <v>1.05</v>
          </cell>
          <cell r="P119">
            <v>1.1000000000000001</v>
          </cell>
          <cell r="Q119" t="str">
            <v>INTERIOR</v>
          </cell>
          <cell r="R119">
            <v>5</v>
          </cell>
          <cell r="S119">
            <v>9</v>
          </cell>
          <cell r="T119" t="str">
            <v>Ciudad principal</v>
          </cell>
          <cell r="U119" t="str">
            <v>A3 Office Color Laser MFPs</v>
          </cell>
          <cell r="V119" t="str">
            <v>XEROX MEXICANA SA DE CV / XEROX MEXICANA</v>
          </cell>
          <cell r="W119" t="str">
            <v>CHIHUAHUA</v>
          </cell>
          <cell r="X119">
            <v>2019</v>
          </cell>
          <cell r="Y119" t="str">
            <v>Qtr 2</v>
          </cell>
          <cell r="Z119" t="str">
            <v>April</v>
          </cell>
          <cell r="AA119">
            <v>2</v>
          </cell>
          <cell r="AB119">
            <v>4</v>
          </cell>
          <cell r="AC119">
            <v>0</v>
          </cell>
          <cell r="AD119">
            <v>0.59</v>
          </cell>
          <cell r="AE119">
            <v>0</v>
          </cell>
        </row>
        <row r="120">
          <cell r="A120" t="str">
            <v>0MX1185934</v>
          </cell>
          <cell r="B120">
            <v>2019</v>
          </cell>
          <cell r="C120" t="str">
            <v>Qtr 2</v>
          </cell>
          <cell r="D120" t="str">
            <v>April</v>
          </cell>
          <cell r="E120">
            <v>2</v>
          </cell>
          <cell r="F120" t="str">
            <v>CORRECTIVO</v>
          </cell>
          <cell r="G120">
            <v>2.8333330000000001</v>
          </cell>
          <cell r="H120" t="str">
            <v>A3 Office Color Laser MFPs</v>
          </cell>
          <cell r="I120">
            <v>655</v>
          </cell>
          <cell r="J120">
            <v>1365</v>
          </cell>
          <cell r="K120">
            <v>0</v>
          </cell>
          <cell r="L120">
            <v>0</v>
          </cell>
          <cell r="M120">
            <v>0.6</v>
          </cell>
          <cell r="N120">
            <v>0.8</v>
          </cell>
          <cell r="O120">
            <v>1.05</v>
          </cell>
          <cell r="P120">
            <v>1.1000000000000001</v>
          </cell>
          <cell r="Q120" t="str">
            <v>INTERIOR</v>
          </cell>
          <cell r="R120">
            <v>5</v>
          </cell>
          <cell r="S120">
            <v>9</v>
          </cell>
          <cell r="T120" t="str">
            <v>Ciudad principal</v>
          </cell>
          <cell r="U120" t="str">
            <v>A3 Office Color Laser MFPs</v>
          </cell>
          <cell r="V120" t="str">
            <v>XEROX MEXICANA SA DE CV / XEROX MEXICANA</v>
          </cell>
          <cell r="W120" t="str">
            <v>CHIHUAHUA</v>
          </cell>
          <cell r="X120">
            <v>2019</v>
          </cell>
          <cell r="Y120" t="str">
            <v>Qtr 2</v>
          </cell>
          <cell r="Z120" t="str">
            <v>April</v>
          </cell>
          <cell r="AA120">
            <v>3</v>
          </cell>
          <cell r="AB120">
            <v>33</v>
          </cell>
          <cell r="AC120">
            <v>1.05</v>
          </cell>
          <cell r="AD120">
            <v>0.56666660000000002</v>
          </cell>
          <cell r="AE120">
            <v>1433.25</v>
          </cell>
        </row>
        <row r="121">
          <cell r="A121" t="str">
            <v>0MX1186333</v>
          </cell>
          <cell r="B121">
            <v>2019</v>
          </cell>
          <cell r="C121" t="str">
            <v>Qtr 2</v>
          </cell>
          <cell r="D121" t="str">
            <v>April</v>
          </cell>
          <cell r="E121">
            <v>2</v>
          </cell>
          <cell r="F121" t="str">
            <v>CORRECTIVO</v>
          </cell>
          <cell r="G121">
            <v>3.9666670000000002</v>
          </cell>
          <cell r="H121" t="str">
            <v>A3 Office Color Laser MFPs</v>
          </cell>
          <cell r="I121">
            <v>655</v>
          </cell>
          <cell r="J121">
            <v>1365</v>
          </cell>
          <cell r="K121">
            <v>0</v>
          </cell>
          <cell r="L121">
            <v>0</v>
          </cell>
          <cell r="M121">
            <v>0.6</v>
          </cell>
          <cell r="N121">
            <v>0.8</v>
          </cell>
          <cell r="O121">
            <v>1.05</v>
          </cell>
          <cell r="P121">
            <v>1.1000000000000001</v>
          </cell>
          <cell r="Q121" t="str">
            <v>INTERIOR</v>
          </cell>
          <cell r="R121">
            <v>5</v>
          </cell>
          <cell r="S121">
            <v>9</v>
          </cell>
          <cell r="T121" t="str">
            <v>Ciudad principal</v>
          </cell>
          <cell r="U121" t="str">
            <v>A3 Office Color Laser MFPs</v>
          </cell>
          <cell r="V121" t="str">
            <v>XEROX MEXICANA SA DE CV / XEROX MEXICANA</v>
          </cell>
          <cell r="W121" t="str">
            <v>CHIHUAHUA</v>
          </cell>
          <cell r="X121">
            <v>2019</v>
          </cell>
          <cell r="Y121" t="str">
            <v>Qtr 2</v>
          </cell>
          <cell r="Z121" t="str">
            <v>April</v>
          </cell>
          <cell r="AA121">
            <v>3</v>
          </cell>
          <cell r="AB121">
            <v>75</v>
          </cell>
          <cell r="AC121">
            <v>1.1000000000000001</v>
          </cell>
          <cell r="AD121">
            <v>0.79333339999999997</v>
          </cell>
          <cell r="AE121">
            <v>1501.5</v>
          </cell>
        </row>
        <row r="122">
          <cell r="A122" t="str">
            <v>0PW4979941</v>
          </cell>
          <cell r="B122">
            <v>2019</v>
          </cell>
          <cell r="C122" t="str">
            <v>Qtr 2</v>
          </cell>
          <cell r="D122" t="str">
            <v>April</v>
          </cell>
          <cell r="E122">
            <v>2</v>
          </cell>
          <cell r="F122" t="str">
            <v>CORRECTIVO</v>
          </cell>
          <cell r="G122">
            <v>3.3333340000000003E-2</v>
          </cell>
          <cell r="H122" t="str">
            <v>WF Mono Systems and Legacy Color</v>
          </cell>
          <cell r="I122">
            <v>803</v>
          </cell>
          <cell r="J122">
            <v>1573</v>
          </cell>
          <cell r="K122">
            <v>0.2</v>
          </cell>
          <cell r="L122">
            <v>0.6</v>
          </cell>
          <cell r="M122">
            <v>0.8</v>
          </cell>
          <cell r="N122">
            <v>1.05</v>
          </cell>
          <cell r="O122">
            <v>1.1000000000000001</v>
          </cell>
          <cell r="P122">
            <v>1.1499999999999999</v>
          </cell>
          <cell r="Q122" t="str">
            <v>INTERIOR</v>
          </cell>
          <cell r="R122">
            <v>4</v>
          </cell>
          <cell r="S122">
            <v>6</v>
          </cell>
          <cell r="T122" t="str">
            <v>Ciudad principal</v>
          </cell>
          <cell r="U122" t="str">
            <v>WF Mono Systems and Legacy Color</v>
          </cell>
          <cell r="V122" t="str">
            <v>XEROX MEXICANA SA DE CV / XEROX MEXICANA</v>
          </cell>
          <cell r="W122" t="str">
            <v>QUERETARO</v>
          </cell>
          <cell r="X122">
            <v>2019</v>
          </cell>
          <cell r="Y122" t="str">
            <v>Qtr 2</v>
          </cell>
          <cell r="Z122" t="str">
            <v>April</v>
          </cell>
          <cell r="AA122">
            <v>4</v>
          </cell>
          <cell r="AB122">
            <v>22</v>
          </cell>
          <cell r="AC122">
            <v>1.05</v>
          </cell>
          <cell r="AD122">
            <v>8.3333350000000007E-3</v>
          </cell>
          <cell r="AE122">
            <v>1651.65</v>
          </cell>
        </row>
        <row r="123">
          <cell r="A123" t="str">
            <v>0UHA001710</v>
          </cell>
          <cell r="B123">
            <v>2019</v>
          </cell>
          <cell r="C123" t="str">
            <v>Qtr 2</v>
          </cell>
          <cell r="D123" t="str">
            <v>April</v>
          </cell>
          <cell r="E123">
            <v>2</v>
          </cell>
          <cell r="F123" t="str">
            <v>CORRECTIVO</v>
          </cell>
          <cell r="G123">
            <v>2.8</v>
          </cell>
          <cell r="H123" t="str">
            <v>High End Cut Sheet</v>
          </cell>
          <cell r="I123">
            <v>1116</v>
          </cell>
          <cell r="J123">
            <v>2145</v>
          </cell>
          <cell r="K123">
            <v>0.6</v>
          </cell>
          <cell r="L123">
            <v>0.8</v>
          </cell>
          <cell r="M123">
            <v>1.05</v>
          </cell>
          <cell r="N123">
            <v>1.1000000000000001</v>
          </cell>
          <cell r="O123">
            <v>1.1499999999999999</v>
          </cell>
          <cell r="P123">
            <v>1.2</v>
          </cell>
          <cell r="Q123" t="str">
            <v>INTERIOR</v>
          </cell>
          <cell r="R123">
            <v>3</v>
          </cell>
          <cell r="S123">
            <v>6</v>
          </cell>
          <cell r="T123" t="str">
            <v>Ciudad principal</v>
          </cell>
          <cell r="U123" t="str">
            <v>High End Cut Sheet</v>
          </cell>
          <cell r="V123" t="str">
            <v>XEROX MEXICANA SA DE CV / XEROX MEXICANA</v>
          </cell>
          <cell r="W123" t="str">
            <v>NUEVO LEON</v>
          </cell>
          <cell r="X123">
            <v>2019</v>
          </cell>
          <cell r="Y123" t="str">
            <v>Qtr 2</v>
          </cell>
          <cell r="Z123" t="str">
            <v>April</v>
          </cell>
          <cell r="AA123">
            <v>10</v>
          </cell>
          <cell r="AB123">
            <v>8</v>
          </cell>
          <cell r="AC123">
            <v>1.05</v>
          </cell>
          <cell r="AD123">
            <v>0.93333333333333302</v>
          </cell>
          <cell r="AE123">
            <v>2252.25</v>
          </cell>
        </row>
        <row r="124">
          <cell r="A124" t="str">
            <v>0WXP008416</v>
          </cell>
          <cell r="B124">
            <v>2019</v>
          </cell>
          <cell r="C124" t="str">
            <v>Qtr 2</v>
          </cell>
          <cell r="D124" t="str">
            <v>April</v>
          </cell>
          <cell r="E124">
            <v>2</v>
          </cell>
          <cell r="F124" t="str">
            <v>CORRECTIVO</v>
          </cell>
          <cell r="G124">
            <v>3.1666669999999999</v>
          </cell>
          <cell r="H124" t="str">
            <v>Xerox Color Press</v>
          </cell>
          <cell r="I124">
            <v>1116</v>
          </cell>
          <cell r="J124">
            <v>2145</v>
          </cell>
          <cell r="K124">
            <v>0.6</v>
          </cell>
          <cell r="L124">
            <v>0.8</v>
          </cell>
          <cell r="M124">
            <v>1.05</v>
          </cell>
          <cell r="N124">
            <v>1.1000000000000001</v>
          </cell>
          <cell r="O124">
            <v>1.1499999999999999</v>
          </cell>
          <cell r="P124">
            <v>1.2</v>
          </cell>
          <cell r="Q124" t="str">
            <v>INTERIOR</v>
          </cell>
          <cell r="R124">
            <v>4</v>
          </cell>
          <cell r="S124">
            <v>6</v>
          </cell>
          <cell r="T124" t="str">
            <v>Ciudad principal</v>
          </cell>
          <cell r="U124" t="str">
            <v>High End Cut Sheet</v>
          </cell>
          <cell r="V124" t="str">
            <v>XEROX MEXICANA SA DE CV / XEROX MEXICANA</v>
          </cell>
          <cell r="W124" t="str">
            <v>NUEVO LEON</v>
          </cell>
          <cell r="X124">
            <v>2019</v>
          </cell>
          <cell r="Y124" t="str">
            <v>Qtr 2</v>
          </cell>
          <cell r="Z124" t="str">
            <v>April</v>
          </cell>
          <cell r="AA124">
            <v>13</v>
          </cell>
          <cell r="AB124">
            <v>4</v>
          </cell>
          <cell r="AC124">
            <v>0.8</v>
          </cell>
          <cell r="AD124">
            <v>0.79166674999999997</v>
          </cell>
          <cell r="AE124">
            <v>1716</v>
          </cell>
        </row>
        <row r="125">
          <cell r="A125" t="str">
            <v>0X76703795</v>
          </cell>
          <cell r="B125">
            <v>2019</v>
          </cell>
          <cell r="C125" t="str">
            <v>Qtr 2</v>
          </cell>
          <cell r="D125" t="str">
            <v>April</v>
          </cell>
          <cell r="E125">
            <v>2</v>
          </cell>
          <cell r="F125" t="str">
            <v>CORRECTIVO</v>
          </cell>
          <cell r="G125">
            <v>0.3333333</v>
          </cell>
          <cell r="H125" t="str">
            <v>Departmental Digital</v>
          </cell>
          <cell r="I125">
            <v>655</v>
          </cell>
          <cell r="J125">
            <v>1365</v>
          </cell>
          <cell r="K125">
            <v>0</v>
          </cell>
          <cell r="L125">
            <v>0</v>
          </cell>
          <cell r="M125">
            <v>0.6</v>
          </cell>
          <cell r="N125">
            <v>0.8</v>
          </cell>
          <cell r="O125">
            <v>1.05</v>
          </cell>
          <cell r="P125">
            <v>1.1000000000000001</v>
          </cell>
          <cell r="Q125" t="str">
            <v>INTERIOR</v>
          </cell>
          <cell r="R125">
            <v>5</v>
          </cell>
          <cell r="S125">
            <v>9</v>
          </cell>
          <cell r="T125" t="str">
            <v>Ciudad principal</v>
          </cell>
          <cell r="U125" t="str">
            <v>Departmental Digital</v>
          </cell>
          <cell r="V125" t="str">
            <v>XEROX MEXICANA SA DE CV / XEROX MEXICANA</v>
          </cell>
          <cell r="W125" t="str">
            <v>CHIHUAHUA</v>
          </cell>
          <cell r="X125">
            <v>2019</v>
          </cell>
          <cell r="Y125" t="str">
            <v>Qtr 2</v>
          </cell>
          <cell r="Z125" t="str">
            <v>April</v>
          </cell>
          <cell r="AA125">
            <v>3</v>
          </cell>
          <cell r="AB125">
            <v>36</v>
          </cell>
          <cell r="AC125">
            <v>1.05</v>
          </cell>
          <cell r="AD125">
            <v>6.6666660000000003E-2</v>
          </cell>
          <cell r="AE125">
            <v>1433.25</v>
          </cell>
        </row>
        <row r="126">
          <cell r="A126" t="str">
            <v>0XEL562732</v>
          </cell>
          <cell r="B126">
            <v>2019</v>
          </cell>
          <cell r="C126" t="str">
            <v>Qtr 2</v>
          </cell>
          <cell r="D126" t="str">
            <v>April</v>
          </cell>
          <cell r="E126">
            <v>2</v>
          </cell>
          <cell r="F126" t="str">
            <v>CORRECTIVO</v>
          </cell>
          <cell r="G126">
            <v>1.766667</v>
          </cell>
          <cell r="H126" t="str">
            <v>Departmental Digital</v>
          </cell>
          <cell r="I126">
            <v>655</v>
          </cell>
          <cell r="J126">
            <v>1365</v>
          </cell>
          <cell r="K126">
            <v>0</v>
          </cell>
          <cell r="L126">
            <v>0</v>
          </cell>
          <cell r="M126">
            <v>0.6</v>
          </cell>
          <cell r="N126">
            <v>0.8</v>
          </cell>
          <cell r="O126">
            <v>1.05</v>
          </cell>
          <cell r="P126">
            <v>1.1000000000000001</v>
          </cell>
          <cell r="Q126" t="str">
            <v>INTERIOR</v>
          </cell>
          <cell r="R126">
            <v>5</v>
          </cell>
          <cell r="S126">
            <v>9</v>
          </cell>
          <cell r="T126" t="str">
            <v>Otras</v>
          </cell>
          <cell r="U126" t="str">
            <v>Departmental Digital</v>
          </cell>
          <cell r="V126" t="str">
            <v>XEROX MEXICANA SA DE CV / XEROX MEXICANA</v>
          </cell>
          <cell r="W126" t="str">
            <v>MICHOACAN</v>
          </cell>
          <cell r="X126">
            <v>2019</v>
          </cell>
          <cell r="Y126" t="str">
            <v>Qtr 2</v>
          </cell>
          <cell r="Z126" t="str">
            <v>April</v>
          </cell>
          <cell r="AA126">
            <v>2</v>
          </cell>
          <cell r="AB126">
            <v>20</v>
          </cell>
          <cell r="AC126">
            <v>0.8</v>
          </cell>
          <cell r="AD126">
            <v>0.19629633333333299</v>
          </cell>
          <cell r="AE126">
            <v>1092</v>
          </cell>
        </row>
        <row r="127">
          <cell r="A127" t="str">
            <v>0XEL569871</v>
          </cell>
          <cell r="B127">
            <v>2019</v>
          </cell>
          <cell r="C127" t="str">
            <v>Qtr 2</v>
          </cell>
          <cell r="D127" t="str">
            <v>April</v>
          </cell>
          <cell r="E127">
            <v>2</v>
          </cell>
          <cell r="F127" t="str">
            <v>CORRECTIVO</v>
          </cell>
          <cell r="G127">
            <v>0.43333329999999998</v>
          </cell>
          <cell r="H127" t="str">
            <v>Departmental Digital</v>
          </cell>
          <cell r="I127">
            <v>655</v>
          </cell>
          <cell r="J127">
            <v>1365</v>
          </cell>
          <cell r="K127">
            <v>0</v>
          </cell>
          <cell r="L127">
            <v>0</v>
          </cell>
          <cell r="M127">
            <v>0.6</v>
          </cell>
          <cell r="N127">
            <v>0.8</v>
          </cell>
          <cell r="O127">
            <v>1.05</v>
          </cell>
          <cell r="P127">
            <v>1.1000000000000001</v>
          </cell>
          <cell r="Q127" t="str">
            <v>INTERIOR</v>
          </cell>
          <cell r="R127">
            <v>5</v>
          </cell>
          <cell r="S127">
            <v>9</v>
          </cell>
          <cell r="T127" t="str">
            <v>Ciudad principal</v>
          </cell>
          <cell r="U127" t="str">
            <v>Departmental Digital</v>
          </cell>
          <cell r="V127" t="str">
            <v>XEROX MEXICANA SA DE CV / XEROX MEXICANA</v>
          </cell>
          <cell r="W127" t="str">
            <v>JALISCO</v>
          </cell>
          <cell r="X127">
            <v>2019</v>
          </cell>
          <cell r="Y127" t="str">
            <v>Qtr 2</v>
          </cell>
          <cell r="Z127" t="str">
            <v>April</v>
          </cell>
          <cell r="AA127">
            <v>3</v>
          </cell>
          <cell r="AB127">
            <v>7</v>
          </cell>
          <cell r="AC127">
            <v>0.6</v>
          </cell>
          <cell r="AD127">
            <v>8.6666660000000006E-2</v>
          </cell>
          <cell r="AE127">
            <v>819</v>
          </cell>
        </row>
        <row r="128">
          <cell r="A128" t="str">
            <v>0XPN393392</v>
          </cell>
          <cell r="B128">
            <v>2019</v>
          </cell>
          <cell r="C128" t="str">
            <v>Qtr 2</v>
          </cell>
          <cell r="D128" t="str">
            <v>April</v>
          </cell>
          <cell r="E128">
            <v>2</v>
          </cell>
          <cell r="F128" t="str">
            <v>CORRECTIVO</v>
          </cell>
          <cell r="G128">
            <v>0.36666670000000001</v>
          </cell>
          <cell r="H128" t="str">
            <v>Entry Production Color Low/Mid</v>
          </cell>
          <cell r="I128">
            <v>803</v>
          </cell>
          <cell r="J128">
            <v>1573</v>
          </cell>
          <cell r="K128">
            <v>0.2</v>
          </cell>
          <cell r="L128">
            <v>0.6</v>
          </cell>
          <cell r="M128">
            <v>0.8</v>
          </cell>
          <cell r="N128">
            <v>1.05</v>
          </cell>
          <cell r="O128">
            <v>1.1000000000000001</v>
          </cell>
          <cell r="P128">
            <v>1.1499999999999999</v>
          </cell>
          <cell r="Q128" t="str">
            <v>INTERIOR</v>
          </cell>
          <cell r="R128">
            <v>4</v>
          </cell>
          <cell r="S128">
            <v>6</v>
          </cell>
          <cell r="T128" t="str">
            <v>Ciudad principal</v>
          </cell>
          <cell r="U128" t="str">
            <v>Entry Production Color Low/Mid</v>
          </cell>
          <cell r="V128" t="str">
            <v>XEROX MEXICANA SA DE CV / XEROX MEXICANA</v>
          </cell>
          <cell r="W128" t="str">
            <v>GUANAJUATO</v>
          </cell>
          <cell r="X128">
            <v>2019</v>
          </cell>
          <cell r="Y128" t="str">
            <v>Qtr 2</v>
          </cell>
          <cell r="Z128" t="str">
            <v>April</v>
          </cell>
          <cell r="AA128">
            <v>2</v>
          </cell>
          <cell r="AB128">
            <v>97</v>
          </cell>
          <cell r="AC128">
            <v>1.1499999999999999</v>
          </cell>
          <cell r="AD128">
            <v>9.1666675000000003E-2</v>
          </cell>
          <cell r="AE128">
            <v>1808.95</v>
          </cell>
        </row>
        <row r="129">
          <cell r="A129" t="str">
            <v>0XPN553133</v>
          </cell>
          <cell r="B129">
            <v>2019</v>
          </cell>
          <cell r="C129" t="str">
            <v>Qtr 2</v>
          </cell>
          <cell r="D129" t="str">
            <v>April</v>
          </cell>
          <cell r="E129">
            <v>2</v>
          </cell>
          <cell r="F129" t="str">
            <v>CORRECTIVO</v>
          </cell>
          <cell r="G129">
            <v>0.3333333</v>
          </cell>
          <cell r="H129" t="str">
            <v>Entry Production Color Low/Mid</v>
          </cell>
          <cell r="I129">
            <v>803</v>
          </cell>
          <cell r="J129">
            <v>1573</v>
          </cell>
          <cell r="K129">
            <v>0.2</v>
          </cell>
          <cell r="L129">
            <v>0.6</v>
          </cell>
          <cell r="M129">
            <v>0.8</v>
          </cell>
          <cell r="N129">
            <v>1.05</v>
          </cell>
          <cell r="O129">
            <v>1.1000000000000001</v>
          </cell>
          <cell r="P129">
            <v>1.1499999999999999</v>
          </cell>
          <cell r="Q129" t="str">
            <v>INTERIOR</v>
          </cell>
          <cell r="R129">
            <v>4</v>
          </cell>
          <cell r="S129">
            <v>6</v>
          </cell>
          <cell r="T129" t="str">
            <v>Ciudad principal</v>
          </cell>
          <cell r="U129" t="str">
            <v>Entry Production Color Low/Mid</v>
          </cell>
          <cell r="V129" t="str">
            <v>XEROX MEXICANA SA DE CV / XEROX MEXICANA</v>
          </cell>
          <cell r="W129" t="str">
            <v>GUANAJUATO</v>
          </cell>
          <cell r="X129">
            <v>2019</v>
          </cell>
          <cell r="Y129" t="str">
            <v>Qtr 2</v>
          </cell>
          <cell r="Z129" t="str">
            <v>April</v>
          </cell>
          <cell r="AA129">
            <v>2</v>
          </cell>
          <cell r="AB129">
            <v>117</v>
          </cell>
          <cell r="AC129">
            <v>1.1499999999999999</v>
          </cell>
          <cell r="AD129">
            <v>8.3333325E-2</v>
          </cell>
          <cell r="AE129">
            <v>1808.95</v>
          </cell>
        </row>
        <row r="130">
          <cell r="A130" t="str">
            <v>0Y2B003355</v>
          </cell>
          <cell r="B130">
            <v>2019</v>
          </cell>
          <cell r="C130" t="str">
            <v>Qtr 2</v>
          </cell>
          <cell r="D130" t="str">
            <v>April</v>
          </cell>
          <cell r="E130">
            <v>2</v>
          </cell>
          <cell r="F130" t="str">
            <v>CORRECTIVO</v>
          </cell>
          <cell r="G130">
            <v>0</v>
          </cell>
          <cell r="H130" t="str">
            <v>Departmental Digital</v>
          </cell>
          <cell r="I130">
            <v>655</v>
          </cell>
          <cell r="J130">
            <v>1365</v>
          </cell>
          <cell r="K130">
            <v>0</v>
          </cell>
          <cell r="L130">
            <v>0</v>
          </cell>
          <cell r="M130">
            <v>0.6</v>
          </cell>
          <cell r="N130">
            <v>0.8</v>
          </cell>
          <cell r="O130">
            <v>1.05</v>
          </cell>
          <cell r="P130">
            <v>1.1000000000000001</v>
          </cell>
          <cell r="Q130" t="str">
            <v>INTERIOR</v>
          </cell>
          <cell r="R130">
            <v>5</v>
          </cell>
          <cell r="S130">
            <v>9</v>
          </cell>
          <cell r="T130" t="str">
            <v>Ciudad principal</v>
          </cell>
          <cell r="U130" t="str">
            <v>Departmental Digital</v>
          </cell>
          <cell r="V130" t="str">
            <v>XEROX MEXICANA SA DE CV / XEROX MEXICANA</v>
          </cell>
          <cell r="W130" t="str">
            <v>CHIHUAHUA</v>
          </cell>
          <cell r="X130">
            <v>2019</v>
          </cell>
          <cell r="Y130" t="str">
            <v>Qtr 2</v>
          </cell>
          <cell r="Z130" t="str">
            <v>April</v>
          </cell>
          <cell r="AA130">
            <v>2</v>
          </cell>
          <cell r="AB130">
            <v>7</v>
          </cell>
          <cell r="AC130">
            <v>0.6</v>
          </cell>
          <cell r="AD130">
            <v>0</v>
          </cell>
          <cell r="AE130">
            <v>819</v>
          </cell>
        </row>
        <row r="131">
          <cell r="A131" t="str">
            <v>0Y4X843007</v>
          </cell>
          <cell r="B131">
            <v>2019</v>
          </cell>
          <cell r="C131" t="str">
            <v>Qtr 2</v>
          </cell>
          <cell r="D131" t="str">
            <v>April</v>
          </cell>
          <cell r="E131">
            <v>2</v>
          </cell>
          <cell r="F131" t="str">
            <v>CORRECTIVO</v>
          </cell>
          <cell r="G131">
            <v>1.8333330000000001</v>
          </cell>
          <cell r="H131" t="str">
            <v>Office Digital</v>
          </cell>
          <cell r="I131">
            <v>655</v>
          </cell>
          <cell r="J131">
            <v>1365</v>
          </cell>
          <cell r="K131">
            <v>0</v>
          </cell>
          <cell r="L131">
            <v>0</v>
          </cell>
          <cell r="M131">
            <v>0.6</v>
          </cell>
          <cell r="N131">
            <v>0.8</v>
          </cell>
          <cell r="O131">
            <v>1.05</v>
          </cell>
          <cell r="P131">
            <v>1.1000000000000001</v>
          </cell>
          <cell r="Q131" t="str">
            <v>INTERIOR</v>
          </cell>
          <cell r="R131">
            <v>5</v>
          </cell>
          <cell r="S131">
            <v>9</v>
          </cell>
          <cell r="T131" t="str">
            <v>Ciudad principal</v>
          </cell>
          <cell r="U131" t="str">
            <v>Light Production Digital Business</v>
          </cell>
          <cell r="V131" t="str">
            <v>XEROX MEXICANA SA DE CV / XEROX MEXICANA</v>
          </cell>
          <cell r="W131" t="str">
            <v>GUANAJUATO</v>
          </cell>
          <cell r="X131">
            <v>2019</v>
          </cell>
          <cell r="Y131" t="str">
            <v>Qtr 2</v>
          </cell>
          <cell r="Z131" t="str">
            <v>April</v>
          </cell>
          <cell r="AA131">
            <v>3</v>
          </cell>
          <cell r="AB131">
            <v>88</v>
          </cell>
          <cell r="AC131">
            <v>1.1000000000000001</v>
          </cell>
          <cell r="AD131">
            <v>0.36666660000000001</v>
          </cell>
          <cell r="AE131">
            <v>1501.5</v>
          </cell>
        </row>
        <row r="132">
          <cell r="A132" t="str">
            <v>03AG880318</v>
          </cell>
          <cell r="B132">
            <v>2019</v>
          </cell>
          <cell r="C132" t="str">
            <v>Qtr 2</v>
          </cell>
          <cell r="D132" t="str">
            <v>April</v>
          </cell>
          <cell r="E132">
            <v>3</v>
          </cell>
          <cell r="F132" t="str">
            <v>CORRECTIVO</v>
          </cell>
          <cell r="G132">
            <v>0.45</v>
          </cell>
          <cell r="H132" t="str">
            <v>Departmental Digital</v>
          </cell>
          <cell r="I132">
            <v>655</v>
          </cell>
          <cell r="J132">
            <v>1365</v>
          </cell>
          <cell r="K132">
            <v>0</v>
          </cell>
          <cell r="L132">
            <v>0</v>
          </cell>
          <cell r="M132">
            <v>0.6</v>
          </cell>
          <cell r="N132">
            <v>0.8</v>
          </cell>
          <cell r="O132">
            <v>1.05</v>
          </cell>
          <cell r="P132">
            <v>1.1000000000000001</v>
          </cell>
          <cell r="Q132" t="str">
            <v>INTERIOR</v>
          </cell>
          <cell r="R132">
            <v>5</v>
          </cell>
          <cell r="S132">
            <v>9</v>
          </cell>
          <cell r="T132" t="str">
            <v>Ciudad principal</v>
          </cell>
          <cell r="U132" t="str">
            <v>Light Production Digital Business</v>
          </cell>
          <cell r="V132" t="str">
            <v>XEROX MEXICANA SA DE CV / XEROX MEXICANA</v>
          </cell>
          <cell r="W132" t="str">
            <v>NUEVO LEON</v>
          </cell>
          <cell r="X132">
            <v>2019</v>
          </cell>
          <cell r="Y132" t="str">
            <v>Qtr 2</v>
          </cell>
          <cell r="Z132" t="str">
            <v>April</v>
          </cell>
          <cell r="AA132">
            <v>4</v>
          </cell>
          <cell r="AB132">
            <v>1</v>
          </cell>
          <cell r="AC132">
            <v>0</v>
          </cell>
          <cell r="AD132">
            <v>0.09</v>
          </cell>
          <cell r="AE132">
            <v>0</v>
          </cell>
        </row>
        <row r="133">
          <cell r="A133" t="str">
            <v>03BT801966</v>
          </cell>
          <cell r="B133">
            <v>2019</v>
          </cell>
          <cell r="C133" t="str">
            <v>Qtr 2</v>
          </cell>
          <cell r="D133" t="str">
            <v>April</v>
          </cell>
          <cell r="E133">
            <v>3</v>
          </cell>
          <cell r="F133" t="str">
            <v>INSTALACION NUEVA</v>
          </cell>
          <cell r="G133">
            <v>0.1666667</v>
          </cell>
          <cell r="H133" t="str">
            <v>A4 Mono MFPs</v>
          </cell>
          <cell r="I133">
            <v>468</v>
          </cell>
          <cell r="J133">
            <v>715</v>
          </cell>
          <cell r="K133">
            <v>0</v>
          </cell>
          <cell r="L133">
            <v>0</v>
          </cell>
          <cell r="M133">
            <v>0</v>
          </cell>
          <cell r="N133">
            <v>0.6</v>
          </cell>
          <cell r="O133">
            <v>0.8</v>
          </cell>
          <cell r="P133">
            <v>1.05</v>
          </cell>
          <cell r="Q133" t="str">
            <v>INTERIOR</v>
          </cell>
          <cell r="R133">
            <v>5</v>
          </cell>
          <cell r="S133">
            <v>9</v>
          </cell>
          <cell r="T133" t="str">
            <v>Otras</v>
          </cell>
          <cell r="U133" t="str">
            <v>A4 Mono MFPs</v>
          </cell>
          <cell r="V133" t="str">
            <v>XEROX MEXICANA SA DE CV / XEROX MEXICANA</v>
          </cell>
          <cell r="W133" t="str">
            <v>SAN LUIS POTOSI</v>
          </cell>
          <cell r="X133">
            <v>2019</v>
          </cell>
          <cell r="Y133" t="str">
            <v>Qtr 2</v>
          </cell>
          <cell r="Z133" t="str">
            <v>April</v>
          </cell>
          <cell r="AA133">
            <v>8</v>
          </cell>
          <cell r="AB133">
            <v>34</v>
          </cell>
          <cell r="AC133">
            <v>0</v>
          </cell>
          <cell r="AD133">
            <v>0</v>
          </cell>
          <cell r="AE133">
            <v>715</v>
          </cell>
        </row>
        <row r="134">
          <cell r="A134" t="str">
            <v>07CX043832</v>
          </cell>
          <cell r="B134">
            <v>2019</v>
          </cell>
          <cell r="C134" t="str">
            <v>Qtr 2</v>
          </cell>
          <cell r="D134" t="str">
            <v>April</v>
          </cell>
          <cell r="E134">
            <v>3</v>
          </cell>
          <cell r="F134" t="str">
            <v>CORRECTIVO</v>
          </cell>
          <cell r="G134">
            <v>0.3333333</v>
          </cell>
          <cell r="H134" t="str">
            <v>Office Digital</v>
          </cell>
          <cell r="I134">
            <v>655</v>
          </cell>
          <cell r="J134">
            <v>1365</v>
          </cell>
          <cell r="K134">
            <v>0</v>
          </cell>
          <cell r="L134">
            <v>0</v>
          </cell>
          <cell r="M134">
            <v>0.6</v>
          </cell>
          <cell r="N134">
            <v>0.8</v>
          </cell>
          <cell r="O134">
            <v>1.05</v>
          </cell>
          <cell r="P134">
            <v>1.1000000000000001</v>
          </cell>
          <cell r="Q134" t="str">
            <v>INTERIOR</v>
          </cell>
          <cell r="R134">
            <v>5</v>
          </cell>
          <cell r="S134">
            <v>9</v>
          </cell>
          <cell r="T134" t="str">
            <v>Ciudad principal</v>
          </cell>
          <cell r="U134" t="str">
            <v>Departmental Digital</v>
          </cell>
          <cell r="V134" t="str">
            <v>XEROX MEXICANA SA DE CV / XEROX MEXICANA</v>
          </cell>
          <cell r="W134" t="str">
            <v>JALISCO</v>
          </cell>
          <cell r="X134">
            <v>2019</v>
          </cell>
          <cell r="Y134" t="str">
            <v>Qtr 2</v>
          </cell>
          <cell r="Z134" t="str">
            <v>April</v>
          </cell>
          <cell r="AA134">
            <v>4</v>
          </cell>
          <cell r="AB134">
            <v>103</v>
          </cell>
          <cell r="AC134">
            <v>1.1000000000000001</v>
          </cell>
          <cell r="AD134">
            <v>6.6666660000000003E-2</v>
          </cell>
          <cell r="AE134">
            <v>1501.5</v>
          </cell>
        </row>
        <row r="135">
          <cell r="A135" t="str">
            <v>08TB608554</v>
          </cell>
          <cell r="B135">
            <v>2019</v>
          </cell>
          <cell r="C135" t="str">
            <v>Qtr 2</v>
          </cell>
          <cell r="D135" t="str">
            <v>April</v>
          </cell>
          <cell r="E135">
            <v>3</v>
          </cell>
          <cell r="F135" t="str">
            <v>CORRECTIVO</v>
          </cell>
          <cell r="G135">
            <v>0.95</v>
          </cell>
          <cell r="I135" t="str">
            <v>NA</v>
          </cell>
          <cell r="J135" t="str">
            <v>NA</v>
          </cell>
          <cell r="K135" t="str">
            <v>NA</v>
          </cell>
          <cell r="L135" t="str">
            <v>NA</v>
          </cell>
          <cell r="M135" t="str">
            <v>NA</v>
          </cell>
          <cell r="N135" t="str">
            <v>NA</v>
          </cell>
          <cell r="O135" t="str">
            <v>NA</v>
          </cell>
          <cell r="P135" t="str">
            <v>NA</v>
          </cell>
          <cell r="R135" t="str">
            <v>NA</v>
          </cell>
          <cell r="S135" t="str">
            <v>NA</v>
          </cell>
          <cell r="U135" t="str">
            <v>A3 Office Color Laser MFPs</v>
          </cell>
          <cell r="V135" t="str">
            <v>XEROX MEXICANA SA DE CV / XEROX MEXICANA</v>
          </cell>
          <cell r="W135" t="str">
            <v>NUEVO LEON</v>
          </cell>
          <cell r="X135">
            <v>2019</v>
          </cell>
          <cell r="Y135" t="str">
            <v>Qtr 2</v>
          </cell>
          <cell r="Z135" t="str">
            <v>April</v>
          </cell>
          <cell r="AA135">
            <v>5</v>
          </cell>
          <cell r="AB135">
            <v>43</v>
          </cell>
          <cell r="AC135">
            <v>1.1000000000000001</v>
          </cell>
          <cell r="AD135">
            <v>0</v>
          </cell>
          <cell r="AE135">
            <v>1433.25</v>
          </cell>
        </row>
        <row r="136">
          <cell r="A136" t="str">
            <v>09HB321394</v>
          </cell>
          <cell r="B136">
            <v>2019</v>
          </cell>
          <cell r="C136" t="str">
            <v>Qtr 2</v>
          </cell>
          <cell r="D136" t="str">
            <v>April</v>
          </cell>
          <cell r="E136">
            <v>3</v>
          </cell>
          <cell r="F136" t="str">
            <v>CORRECTIVO</v>
          </cell>
          <cell r="G136">
            <v>8.1333330000000004</v>
          </cell>
          <cell r="H136" t="str">
            <v>A4 Mono MFPs</v>
          </cell>
          <cell r="I136">
            <v>468</v>
          </cell>
          <cell r="J136">
            <v>715</v>
          </cell>
          <cell r="K136">
            <v>0</v>
          </cell>
          <cell r="L136">
            <v>0</v>
          </cell>
          <cell r="M136">
            <v>0</v>
          </cell>
          <cell r="N136">
            <v>0.6</v>
          </cell>
          <cell r="O136">
            <v>0.8</v>
          </cell>
          <cell r="P136">
            <v>1.05</v>
          </cell>
          <cell r="Q136" t="str">
            <v>INTERIOR</v>
          </cell>
          <cell r="R136">
            <v>5</v>
          </cell>
          <cell r="S136">
            <v>9</v>
          </cell>
          <cell r="T136" t="str">
            <v>Otras</v>
          </cell>
          <cell r="U136" t="str">
            <v>A4 Mono MFPs</v>
          </cell>
          <cell r="V136" t="str">
            <v>XEROX MEXICANA SA DE CV / XEROX MEXICANA</v>
          </cell>
          <cell r="W136" t="str">
            <v>CHIHUAHUA</v>
          </cell>
          <cell r="X136">
            <v>2019</v>
          </cell>
          <cell r="Y136" t="str">
            <v>Qtr 2</v>
          </cell>
          <cell r="Z136" t="str">
            <v>April</v>
          </cell>
          <cell r="AA136">
            <v>4</v>
          </cell>
          <cell r="AB136">
            <v>317</v>
          </cell>
          <cell r="AC136">
            <v>1.05</v>
          </cell>
          <cell r="AD136">
            <v>0.90370366666666702</v>
          </cell>
          <cell r="AE136">
            <v>750.75</v>
          </cell>
        </row>
        <row r="137">
          <cell r="A137" t="str">
            <v>0A4T554283</v>
          </cell>
          <cell r="B137">
            <v>2019</v>
          </cell>
          <cell r="C137" t="str">
            <v>Qtr 2</v>
          </cell>
          <cell r="D137" t="str">
            <v>April</v>
          </cell>
          <cell r="E137">
            <v>3</v>
          </cell>
          <cell r="F137" t="str">
            <v>MANTENIMIENTO PREVENTIVO</v>
          </cell>
          <cell r="G137">
            <v>0</v>
          </cell>
          <cell r="H137" t="str">
            <v>Entry Mono Printers</v>
          </cell>
          <cell r="I137">
            <v>468</v>
          </cell>
          <cell r="J137">
            <v>715</v>
          </cell>
          <cell r="K137">
            <v>0</v>
          </cell>
          <cell r="L137">
            <v>0</v>
          </cell>
          <cell r="M137">
            <v>0</v>
          </cell>
          <cell r="N137">
            <v>0.6</v>
          </cell>
          <cell r="O137">
            <v>0.8</v>
          </cell>
          <cell r="P137">
            <v>1.05</v>
          </cell>
          <cell r="Q137" t="str">
            <v>INTERIOR</v>
          </cell>
          <cell r="R137">
            <v>5</v>
          </cell>
          <cell r="S137">
            <v>9</v>
          </cell>
          <cell r="T137" t="str">
            <v>Ciudad principal</v>
          </cell>
          <cell r="U137" t="str">
            <v>A4 Mono MFPs</v>
          </cell>
          <cell r="V137" t="str">
            <v>XEROX MEXICANA SA DE CV / XEROX MEXICANA</v>
          </cell>
          <cell r="W137" t="str">
            <v>CHIHUAHUA</v>
          </cell>
          <cell r="X137">
            <v>2019</v>
          </cell>
          <cell r="Y137" t="str">
            <v>Qtr 2</v>
          </cell>
          <cell r="Z137" t="str">
            <v>April</v>
          </cell>
          <cell r="AA137">
            <v>4</v>
          </cell>
          <cell r="AB137">
            <v>9</v>
          </cell>
          <cell r="AC137">
            <v>0</v>
          </cell>
          <cell r="AD137">
            <v>0</v>
          </cell>
          <cell r="AE137">
            <v>715</v>
          </cell>
        </row>
        <row r="138">
          <cell r="A138" t="str">
            <v>0A4T554401</v>
          </cell>
          <cell r="B138">
            <v>2019</v>
          </cell>
          <cell r="C138" t="str">
            <v>Qtr 2</v>
          </cell>
          <cell r="D138" t="str">
            <v>April</v>
          </cell>
          <cell r="E138">
            <v>3</v>
          </cell>
          <cell r="F138" t="str">
            <v>CORRECTIVO</v>
          </cell>
          <cell r="G138">
            <v>1.1666669999999999</v>
          </cell>
          <cell r="H138" t="str">
            <v>Entry Mono Printers</v>
          </cell>
          <cell r="I138">
            <v>468</v>
          </cell>
          <cell r="J138">
            <v>715</v>
          </cell>
          <cell r="K138">
            <v>0</v>
          </cell>
          <cell r="L138">
            <v>0</v>
          </cell>
          <cell r="M138">
            <v>0</v>
          </cell>
          <cell r="N138">
            <v>0.6</v>
          </cell>
          <cell r="O138">
            <v>0.8</v>
          </cell>
          <cell r="P138">
            <v>1.05</v>
          </cell>
          <cell r="Q138" t="str">
            <v>INTERIOR</v>
          </cell>
          <cell r="R138">
            <v>5</v>
          </cell>
          <cell r="S138">
            <v>9</v>
          </cell>
          <cell r="T138" t="str">
            <v>Ciudad principal</v>
          </cell>
          <cell r="U138" t="str">
            <v>A4 Mono MFPs</v>
          </cell>
          <cell r="V138" t="str">
            <v>XEROX MEXICANA SA DE CV / XEROX MEXICANA</v>
          </cell>
          <cell r="W138" t="str">
            <v>CHIHUAHUA</v>
          </cell>
          <cell r="X138">
            <v>2019</v>
          </cell>
          <cell r="Y138" t="str">
            <v>Qtr 2</v>
          </cell>
          <cell r="Z138" t="str">
            <v>April</v>
          </cell>
          <cell r="AA138">
            <v>4</v>
          </cell>
          <cell r="AB138">
            <v>146</v>
          </cell>
          <cell r="AC138">
            <v>1.05</v>
          </cell>
          <cell r="AD138">
            <v>0.2333334</v>
          </cell>
          <cell r="AE138">
            <v>750.75</v>
          </cell>
        </row>
        <row r="139">
          <cell r="A139" t="str">
            <v>0A4T558105</v>
          </cell>
          <cell r="B139">
            <v>2019</v>
          </cell>
          <cell r="C139" t="str">
            <v>Qtr 2</v>
          </cell>
          <cell r="D139" t="str">
            <v>April</v>
          </cell>
          <cell r="E139">
            <v>3</v>
          </cell>
          <cell r="F139" t="str">
            <v>CORRECTIVO</v>
          </cell>
          <cell r="G139">
            <v>1.6333329999999999</v>
          </cell>
          <cell r="H139" t="str">
            <v>Entry Mono Printers</v>
          </cell>
          <cell r="I139">
            <v>468</v>
          </cell>
          <cell r="J139">
            <v>715</v>
          </cell>
          <cell r="K139">
            <v>0</v>
          </cell>
          <cell r="L139">
            <v>0</v>
          </cell>
          <cell r="M139">
            <v>0</v>
          </cell>
          <cell r="N139">
            <v>0.6</v>
          </cell>
          <cell r="O139">
            <v>0.8</v>
          </cell>
          <cell r="P139">
            <v>1.05</v>
          </cell>
          <cell r="Q139" t="str">
            <v>INTERIOR</v>
          </cell>
          <cell r="R139">
            <v>5</v>
          </cell>
          <cell r="S139">
            <v>9</v>
          </cell>
          <cell r="T139" t="str">
            <v>Ciudad principal</v>
          </cell>
          <cell r="U139" t="str">
            <v>A4 Mono MFPs</v>
          </cell>
          <cell r="V139" t="str">
            <v>XEROX MEXICANA SA DE CV / XEROX MEXICANA</v>
          </cell>
          <cell r="W139" t="str">
            <v>GUANAJUATO</v>
          </cell>
          <cell r="X139">
            <v>2019</v>
          </cell>
          <cell r="Y139" t="str">
            <v>Qtr 2</v>
          </cell>
          <cell r="Z139" t="str">
            <v>April</v>
          </cell>
          <cell r="AA139">
            <v>5</v>
          </cell>
          <cell r="AB139">
            <v>363</v>
          </cell>
          <cell r="AC139">
            <v>1.05</v>
          </cell>
          <cell r="AD139">
            <v>0.32666659999999997</v>
          </cell>
          <cell r="AE139">
            <v>750.75</v>
          </cell>
        </row>
        <row r="140">
          <cell r="A140" t="str">
            <v>0BB1564141</v>
          </cell>
          <cell r="B140">
            <v>2019</v>
          </cell>
          <cell r="C140" t="str">
            <v>Qtr 2</v>
          </cell>
          <cell r="D140" t="str">
            <v>April</v>
          </cell>
          <cell r="E140">
            <v>3</v>
          </cell>
          <cell r="F140" t="str">
            <v>CORRECTIVO</v>
          </cell>
          <cell r="G140">
            <v>2.75</v>
          </cell>
          <cell r="H140" t="str">
            <v>A4 Mono MFPs</v>
          </cell>
          <cell r="I140">
            <v>468</v>
          </cell>
          <cell r="J140">
            <v>715</v>
          </cell>
          <cell r="K140">
            <v>0</v>
          </cell>
          <cell r="L140">
            <v>0</v>
          </cell>
          <cell r="M140">
            <v>0</v>
          </cell>
          <cell r="N140">
            <v>0.6</v>
          </cell>
          <cell r="O140">
            <v>0.8</v>
          </cell>
          <cell r="P140">
            <v>1.05</v>
          </cell>
          <cell r="Q140" t="str">
            <v>INTERIOR</v>
          </cell>
          <cell r="R140">
            <v>5</v>
          </cell>
          <cell r="S140">
            <v>9</v>
          </cell>
          <cell r="T140" t="str">
            <v>Ciudad principal</v>
          </cell>
          <cell r="U140" t="str">
            <v>A4 Mono MFPs</v>
          </cell>
          <cell r="V140" t="str">
            <v>XEROX MEXICANA SA DE CV / XEROX MEXICANA</v>
          </cell>
          <cell r="W140" t="str">
            <v>JALISCO</v>
          </cell>
          <cell r="X140">
            <v>2019</v>
          </cell>
          <cell r="Y140" t="str">
            <v>Qtr 2</v>
          </cell>
          <cell r="Z140" t="str">
            <v>April</v>
          </cell>
          <cell r="AA140">
            <v>3</v>
          </cell>
          <cell r="AB140">
            <v>106</v>
          </cell>
          <cell r="AC140">
            <v>1.05</v>
          </cell>
          <cell r="AD140">
            <v>0.55000000000000004</v>
          </cell>
          <cell r="AE140">
            <v>750.75</v>
          </cell>
        </row>
        <row r="141">
          <cell r="A141" t="str">
            <v>0BG0964513</v>
          </cell>
          <cell r="B141">
            <v>2019</v>
          </cell>
          <cell r="C141" t="str">
            <v>Qtr 2</v>
          </cell>
          <cell r="D141" t="str">
            <v>April</v>
          </cell>
          <cell r="E141">
            <v>3</v>
          </cell>
          <cell r="F141" t="str">
            <v>CORRECTIVO</v>
          </cell>
          <cell r="G141">
            <v>0.88333329999999999</v>
          </cell>
          <cell r="H141" t="str">
            <v>Light Production Digital Business</v>
          </cell>
          <cell r="I141">
            <v>803</v>
          </cell>
          <cell r="J141">
            <v>1573</v>
          </cell>
          <cell r="K141">
            <v>0.2</v>
          </cell>
          <cell r="L141">
            <v>0.6</v>
          </cell>
          <cell r="M141">
            <v>0.8</v>
          </cell>
          <cell r="N141">
            <v>1.05</v>
          </cell>
          <cell r="O141">
            <v>1.1000000000000001</v>
          </cell>
          <cell r="P141">
            <v>1.1499999999999999</v>
          </cell>
          <cell r="Q141" t="str">
            <v>INTERIOR</v>
          </cell>
          <cell r="R141">
            <v>4</v>
          </cell>
          <cell r="S141">
            <v>6</v>
          </cell>
          <cell r="T141" t="str">
            <v>Ciudad principal</v>
          </cell>
          <cell r="U141" t="str">
            <v>High End Cut Sheet</v>
          </cell>
          <cell r="V141" t="str">
            <v>XEROX MEXICANA SA DE CV / XEROX MEXICANA</v>
          </cell>
          <cell r="W141" t="str">
            <v>ESTADO DE MEXICO</v>
          </cell>
          <cell r="X141">
            <v>2019</v>
          </cell>
          <cell r="Y141" t="str">
            <v>Qtr 2</v>
          </cell>
          <cell r="Z141" t="str">
            <v>April</v>
          </cell>
          <cell r="AA141">
            <v>5</v>
          </cell>
          <cell r="AB141">
            <v>26</v>
          </cell>
          <cell r="AC141">
            <v>1.05</v>
          </cell>
          <cell r="AD141">
            <v>0.220833325</v>
          </cell>
          <cell r="AE141">
            <v>1651.65</v>
          </cell>
        </row>
        <row r="142">
          <cell r="A142" t="str">
            <v>0BG2951632</v>
          </cell>
          <cell r="B142">
            <v>2019</v>
          </cell>
          <cell r="C142" t="str">
            <v>Qtr 2</v>
          </cell>
          <cell r="D142" t="str">
            <v>April</v>
          </cell>
          <cell r="E142">
            <v>3</v>
          </cell>
          <cell r="F142" t="str">
            <v>CORRECTIVO</v>
          </cell>
          <cell r="G142">
            <v>0.38333329999999999</v>
          </cell>
          <cell r="H142" t="str">
            <v>Light Production Digital Business</v>
          </cell>
          <cell r="I142">
            <v>803</v>
          </cell>
          <cell r="J142">
            <v>1573</v>
          </cell>
          <cell r="K142">
            <v>0.2</v>
          </cell>
          <cell r="L142">
            <v>0.6</v>
          </cell>
          <cell r="M142">
            <v>0.8</v>
          </cell>
          <cell r="N142">
            <v>1.05</v>
          </cell>
          <cell r="O142">
            <v>1.1000000000000001</v>
          </cell>
          <cell r="P142">
            <v>1.1499999999999999</v>
          </cell>
          <cell r="Q142" t="str">
            <v>INTERIOR</v>
          </cell>
          <cell r="R142">
            <v>4</v>
          </cell>
          <cell r="S142">
            <v>6</v>
          </cell>
          <cell r="T142" t="str">
            <v>Ciudad principal</v>
          </cell>
          <cell r="U142" t="str">
            <v>High End Cut Sheet</v>
          </cell>
          <cell r="V142" t="str">
            <v>XEROX MEXICANA SA DE CV / XEROX MEXICANA</v>
          </cell>
          <cell r="W142" t="str">
            <v>NUEVO LEON</v>
          </cell>
          <cell r="X142">
            <v>2019</v>
          </cell>
          <cell r="Y142" t="str">
            <v>Qtr 2</v>
          </cell>
          <cell r="Z142" t="str">
            <v>April</v>
          </cell>
          <cell r="AA142">
            <v>3</v>
          </cell>
          <cell r="AB142">
            <v>26</v>
          </cell>
          <cell r="AC142">
            <v>1.05</v>
          </cell>
          <cell r="AD142">
            <v>9.5833324999999997E-2</v>
          </cell>
          <cell r="AE142">
            <v>1651.65</v>
          </cell>
        </row>
        <row r="143">
          <cell r="A143" t="str">
            <v>0BG2951668</v>
          </cell>
          <cell r="B143">
            <v>2019</v>
          </cell>
          <cell r="C143" t="str">
            <v>Qtr 2</v>
          </cell>
          <cell r="D143" t="str">
            <v>April</v>
          </cell>
          <cell r="E143">
            <v>3</v>
          </cell>
          <cell r="F143" t="str">
            <v>CORRECTIVO</v>
          </cell>
          <cell r="G143">
            <v>1.0333330000000001</v>
          </cell>
          <cell r="H143" t="str">
            <v>Light Production Digital Business</v>
          </cell>
          <cell r="I143">
            <v>803</v>
          </cell>
          <cell r="J143">
            <v>1573</v>
          </cell>
          <cell r="K143">
            <v>0.2</v>
          </cell>
          <cell r="L143">
            <v>0.6</v>
          </cell>
          <cell r="M143">
            <v>0.8</v>
          </cell>
          <cell r="N143">
            <v>1.05</v>
          </cell>
          <cell r="O143">
            <v>1.1000000000000001</v>
          </cell>
          <cell r="P143">
            <v>1.1499999999999999</v>
          </cell>
          <cell r="Q143" t="str">
            <v>INTERIOR</v>
          </cell>
          <cell r="R143">
            <v>4</v>
          </cell>
          <cell r="S143">
            <v>6</v>
          </cell>
          <cell r="T143" t="str">
            <v>Ciudad principal</v>
          </cell>
          <cell r="U143" t="str">
            <v>High End Cut Sheet</v>
          </cell>
          <cell r="V143" t="str">
            <v>XEROX MEXICANA SA DE CV / XEROX MEXICANA</v>
          </cell>
          <cell r="W143" t="str">
            <v>NUEVO LEON</v>
          </cell>
          <cell r="X143">
            <v>2019</v>
          </cell>
          <cell r="Y143" t="str">
            <v>Qtr 2</v>
          </cell>
          <cell r="Z143" t="str">
            <v>April</v>
          </cell>
          <cell r="AA143">
            <v>5</v>
          </cell>
          <cell r="AB143">
            <v>23</v>
          </cell>
          <cell r="AC143">
            <v>1.05</v>
          </cell>
          <cell r="AD143">
            <v>0.25833325000000001</v>
          </cell>
          <cell r="AE143">
            <v>1651.65</v>
          </cell>
        </row>
        <row r="144">
          <cell r="A144" t="str">
            <v>0C4X008250</v>
          </cell>
          <cell r="B144">
            <v>2019</v>
          </cell>
          <cell r="C144" t="str">
            <v>Qtr 2</v>
          </cell>
          <cell r="D144" t="str">
            <v>April</v>
          </cell>
          <cell r="E144">
            <v>3</v>
          </cell>
          <cell r="F144" t="str">
            <v>CORRECTIVO</v>
          </cell>
          <cell r="G144">
            <v>2.6333329999999999</v>
          </cell>
          <cell r="H144" t="str">
            <v>A4 Mono MFPs</v>
          </cell>
          <cell r="I144">
            <v>468</v>
          </cell>
          <cell r="J144">
            <v>715</v>
          </cell>
          <cell r="K144">
            <v>0</v>
          </cell>
          <cell r="L144">
            <v>0</v>
          </cell>
          <cell r="M144">
            <v>0</v>
          </cell>
          <cell r="N144">
            <v>0.6</v>
          </cell>
          <cell r="O144">
            <v>0.8</v>
          </cell>
          <cell r="P144">
            <v>1.05</v>
          </cell>
          <cell r="Q144" t="str">
            <v>INTERIOR</v>
          </cell>
          <cell r="R144">
            <v>5</v>
          </cell>
          <cell r="S144">
            <v>9</v>
          </cell>
          <cell r="T144" t="str">
            <v>Ciudad principal</v>
          </cell>
          <cell r="U144" t="str">
            <v>A4 Mono MFPs</v>
          </cell>
          <cell r="V144" t="str">
            <v>XEROX MEXICANA SA DE CV / XEROX MEXICANA</v>
          </cell>
          <cell r="W144" t="str">
            <v>JALISCO</v>
          </cell>
          <cell r="X144">
            <v>2019</v>
          </cell>
          <cell r="Y144" t="str">
            <v>Qtr 2</v>
          </cell>
          <cell r="Z144" t="str">
            <v>April</v>
          </cell>
          <cell r="AA144">
            <v>3</v>
          </cell>
          <cell r="AB144">
            <v>236</v>
          </cell>
          <cell r="AC144">
            <v>1.05</v>
          </cell>
          <cell r="AD144">
            <v>0.52666659999999998</v>
          </cell>
          <cell r="AE144">
            <v>750.75</v>
          </cell>
        </row>
        <row r="145">
          <cell r="A145" t="str">
            <v>0C4X011869</v>
          </cell>
          <cell r="B145">
            <v>2019</v>
          </cell>
          <cell r="C145" t="str">
            <v>Qtr 2</v>
          </cell>
          <cell r="D145" t="str">
            <v>April</v>
          </cell>
          <cell r="E145">
            <v>3</v>
          </cell>
          <cell r="F145" t="str">
            <v>CORRECTIVO</v>
          </cell>
          <cell r="G145">
            <v>2.9166669999999999</v>
          </cell>
          <cell r="I145" t="str">
            <v>NA</v>
          </cell>
          <cell r="J145" t="str">
            <v>NA</v>
          </cell>
          <cell r="K145" t="str">
            <v>NA</v>
          </cell>
          <cell r="L145" t="str">
            <v>NA</v>
          </cell>
          <cell r="M145" t="str">
            <v>NA</v>
          </cell>
          <cell r="N145" t="str">
            <v>NA</v>
          </cell>
          <cell r="O145" t="str">
            <v>NA</v>
          </cell>
          <cell r="P145" t="str">
            <v>NA</v>
          </cell>
          <cell r="R145" t="str">
            <v>NA</v>
          </cell>
          <cell r="S145" t="str">
            <v>NA</v>
          </cell>
          <cell r="U145" t="str">
            <v>A4 Mono MFPs</v>
          </cell>
          <cell r="V145" t="str">
            <v>XEROX MEXICANA SA DE CV / XEROX MEXICANA</v>
          </cell>
          <cell r="W145" t="str">
            <v>CHIHUAHUA</v>
          </cell>
          <cell r="X145">
            <v>2019</v>
          </cell>
          <cell r="Y145" t="str">
            <v>Qtr 2</v>
          </cell>
          <cell r="Z145" t="str">
            <v>April</v>
          </cell>
          <cell r="AA145">
            <v>5</v>
          </cell>
          <cell r="AB145">
            <v>0</v>
          </cell>
          <cell r="AC145">
            <v>1.1000000000000001</v>
          </cell>
          <cell r="AD145">
            <v>0</v>
          </cell>
          <cell r="AE145">
            <v>750.75</v>
          </cell>
        </row>
        <row r="146">
          <cell r="A146" t="str">
            <v>0C7X246832</v>
          </cell>
          <cell r="B146">
            <v>2019</v>
          </cell>
          <cell r="C146" t="str">
            <v>Qtr 2</v>
          </cell>
          <cell r="D146" t="str">
            <v>April</v>
          </cell>
          <cell r="E146">
            <v>3</v>
          </cell>
          <cell r="F146" t="str">
            <v>CORRECTIVO</v>
          </cell>
          <cell r="G146">
            <v>6.0666669999999998</v>
          </cell>
          <cell r="H146" t="str">
            <v>A4 Mono MFPs</v>
          </cell>
          <cell r="I146">
            <v>468</v>
          </cell>
          <cell r="J146">
            <v>715</v>
          </cell>
          <cell r="K146">
            <v>0</v>
          </cell>
          <cell r="L146">
            <v>0</v>
          </cell>
          <cell r="M146">
            <v>0</v>
          </cell>
          <cell r="N146">
            <v>0.6</v>
          </cell>
          <cell r="O146">
            <v>0.8</v>
          </cell>
          <cell r="P146">
            <v>1.05</v>
          </cell>
          <cell r="Q146" t="str">
            <v>INTERIOR</v>
          </cell>
          <cell r="R146">
            <v>5</v>
          </cell>
          <cell r="S146">
            <v>9</v>
          </cell>
          <cell r="T146" t="str">
            <v>Ciudad principal</v>
          </cell>
          <cell r="U146" t="str">
            <v>A4 Mono MFPs</v>
          </cell>
          <cell r="V146" t="str">
            <v>XEROX MEXICANA SA DE CV / XEROX MEXICANA</v>
          </cell>
          <cell r="W146" t="str">
            <v>TAMAULIPAS</v>
          </cell>
          <cell r="X146">
            <v>2019</v>
          </cell>
          <cell r="Y146" t="str">
            <v>Qtr 2</v>
          </cell>
          <cell r="Z146" t="str">
            <v>April</v>
          </cell>
          <cell r="AA146">
            <v>12</v>
          </cell>
          <cell r="AB146">
            <v>54</v>
          </cell>
          <cell r="AC146">
            <v>0.8</v>
          </cell>
          <cell r="AD146">
            <v>1.2133334</v>
          </cell>
          <cell r="AE146">
            <v>533.86665474999995</v>
          </cell>
        </row>
        <row r="147">
          <cell r="A147" t="str">
            <v>0C7X371958</v>
          </cell>
          <cell r="B147">
            <v>2019</v>
          </cell>
          <cell r="C147" t="str">
            <v>Qtr 2</v>
          </cell>
          <cell r="D147" t="str">
            <v>April</v>
          </cell>
          <cell r="E147">
            <v>3</v>
          </cell>
          <cell r="F147" t="str">
            <v>MANTENIMIENTO PREVENTIVO</v>
          </cell>
          <cell r="G147">
            <v>0</v>
          </cell>
          <cell r="H147" t="str">
            <v>A4 Mono MFPs</v>
          </cell>
          <cell r="I147">
            <v>468</v>
          </cell>
          <cell r="J147">
            <v>715</v>
          </cell>
          <cell r="K147">
            <v>0</v>
          </cell>
          <cell r="L147">
            <v>0</v>
          </cell>
          <cell r="M147">
            <v>0</v>
          </cell>
          <cell r="N147">
            <v>0.6</v>
          </cell>
          <cell r="O147">
            <v>0.8</v>
          </cell>
          <cell r="P147">
            <v>1.05</v>
          </cell>
          <cell r="Q147" t="str">
            <v>INTERIOR</v>
          </cell>
          <cell r="R147">
            <v>5</v>
          </cell>
          <cell r="S147">
            <v>9</v>
          </cell>
          <cell r="T147" t="str">
            <v>Otras</v>
          </cell>
          <cell r="U147" t="str">
            <v>A4 Mono MFPs</v>
          </cell>
          <cell r="V147" t="str">
            <v>XEROX MEXICANA SA DE CV / XEROX MEXICANA</v>
          </cell>
          <cell r="W147" t="str">
            <v>COAHUILA</v>
          </cell>
          <cell r="X147">
            <v>2019</v>
          </cell>
          <cell r="Y147" t="str">
            <v>Qtr 2</v>
          </cell>
          <cell r="Z147" t="str">
            <v>April</v>
          </cell>
          <cell r="AA147">
            <v>3</v>
          </cell>
          <cell r="AB147">
            <v>26</v>
          </cell>
          <cell r="AC147">
            <v>0</v>
          </cell>
          <cell r="AD147">
            <v>0</v>
          </cell>
          <cell r="AE147">
            <v>715</v>
          </cell>
        </row>
        <row r="148">
          <cell r="A148" t="str">
            <v>0D6X461128</v>
          </cell>
          <cell r="B148">
            <v>2019</v>
          </cell>
          <cell r="C148" t="str">
            <v>Qtr 2</v>
          </cell>
          <cell r="D148" t="str">
            <v>April</v>
          </cell>
          <cell r="E148">
            <v>3</v>
          </cell>
          <cell r="F148" t="str">
            <v>CORRECTIVO</v>
          </cell>
          <cell r="G148">
            <v>0.21666669999999999</v>
          </cell>
          <cell r="H148" t="str">
            <v>Entry Mono Printers</v>
          </cell>
          <cell r="I148">
            <v>468</v>
          </cell>
          <cell r="J148">
            <v>715</v>
          </cell>
          <cell r="K148">
            <v>0</v>
          </cell>
          <cell r="L148">
            <v>0</v>
          </cell>
          <cell r="M148">
            <v>0</v>
          </cell>
          <cell r="N148">
            <v>0.6</v>
          </cell>
          <cell r="O148">
            <v>0.8</v>
          </cell>
          <cell r="P148">
            <v>1.05</v>
          </cell>
          <cell r="Q148" t="str">
            <v>INTERIOR</v>
          </cell>
          <cell r="R148">
            <v>5</v>
          </cell>
          <cell r="S148">
            <v>9</v>
          </cell>
          <cell r="T148" t="str">
            <v>Ciudad principal</v>
          </cell>
          <cell r="U148" t="str">
            <v>Entry Mono Printers</v>
          </cell>
          <cell r="V148" t="str">
            <v>XEROX MEXICANA SA DE CV / XEROX MEXICANA</v>
          </cell>
          <cell r="W148" t="str">
            <v>DURANGO</v>
          </cell>
          <cell r="X148">
            <v>2019</v>
          </cell>
          <cell r="Y148" t="str">
            <v>Qtr 2</v>
          </cell>
          <cell r="Z148" t="str">
            <v>April</v>
          </cell>
          <cell r="AA148">
            <v>4</v>
          </cell>
          <cell r="AB148">
            <v>21</v>
          </cell>
          <cell r="AC148">
            <v>0.6</v>
          </cell>
          <cell r="AD148">
            <v>4.3333339999999998E-2</v>
          </cell>
          <cell r="AE148">
            <v>429</v>
          </cell>
        </row>
        <row r="149">
          <cell r="A149" t="str">
            <v>0E2B653886</v>
          </cell>
          <cell r="B149">
            <v>2019</v>
          </cell>
          <cell r="C149" t="str">
            <v>Qtr 2</v>
          </cell>
          <cell r="D149" t="str">
            <v>April</v>
          </cell>
          <cell r="E149">
            <v>3</v>
          </cell>
          <cell r="F149" t="str">
            <v>CORRECTIVO</v>
          </cell>
          <cell r="G149">
            <v>0.2</v>
          </cell>
          <cell r="H149" t="str">
            <v>Entry Production Color Low/Mid</v>
          </cell>
          <cell r="I149">
            <v>803</v>
          </cell>
          <cell r="J149">
            <v>1573</v>
          </cell>
          <cell r="K149">
            <v>0.2</v>
          </cell>
          <cell r="L149">
            <v>0.6</v>
          </cell>
          <cell r="M149">
            <v>0.8</v>
          </cell>
          <cell r="N149">
            <v>1.05</v>
          </cell>
          <cell r="O149">
            <v>1.1000000000000001</v>
          </cell>
          <cell r="P149">
            <v>1.1499999999999999</v>
          </cell>
          <cell r="Q149" t="str">
            <v>INTERIOR</v>
          </cell>
          <cell r="R149">
            <v>4</v>
          </cell>
          <cell r="S149">
            <v>6</v>
          </cell>
          <cell r="T149" t="str">
            <v>Ciudad principal</v>
          </cell>
          <cell r="U149" t="str">
            <v>Entry Production Color Low/Mid</v>
          </cell>
          <cell r="V149" t="str">
            <v>XEROX MEXICANA SA DE CV / XEROX MEXICANA</v>
          </cell>
          <cell r="W149" t="str">
            <v>NUEVO LEON</v>
          </cell>
          <cell r="X149">
            <v>2019</v>
          </cell>
          <cell r="Y149" t="str">
            <v>Qtr 2</v>
          </cell>
          <cell r="Z149" t="str">
            <v>April</v>
          </cell>
          <cell r="AA149">
            <v>4</v>
          </cell>
          <cell r="AB149">
            <v>22</v>
          </cell>
          <cell r="AC149">
            <v>1.05</v>
          </cell>
          <cell r="AD149">
            <v>0.05</v>
          </cell>
          <cell r="AE149">
            <v>1651.65</v>
          </cell>
        </row>
        <row r="150">
          <cell r="A150" t="str">
            <v>0E2B656981</v>
          </cell>
          <cell r="B150">
            <v>2019</v>
          </cell>
          <cell r="C150" t="str">
            <v>Qtr 2</v>
          </cell>
          <cell r="D150" t="str">
            <v>April</v>
          </cell>
          <cell r="E150">
            <v>3</v>
          </cell>
          <cell r="F150" t="str">
            <v>MANTENIMIENTO PREVENTIVO</v>
          </cell>
          <cell r="G150">
            <v>0</v>
          </cell>
          <cell r="H150" t="str">
            <v>Entry Production Color Low/Mid</v>
          </cell>
          <cell r="I150">
            <v>803</v>
          </cell>
          <cell r="J150">
            <v>1573</v>
          </cell>
          <cell r="K150">
            <v>0.2</v>
          </cell>
          <cell r="L150">
            <v>0.6</v>
          </cell>
          <cell r="M150">
            <v>0.8</v>
          </cell>
          <cell r="N150">
            <v>1.05</v>
          </cell>
          <cell r="O150">
            <v>1.1000000000000001</v>
          </cell>
          <cell r="P150">
            <v>1.1499999999999999</v>
          </cell>
          <cell r="Q150" t="str">
            <v>INTERIOR</v>
          </cell>
          <cell r="R150">
            <v>4</v>
          </cell>
          <cell r="S150">
            <v>6</v>
          </cell>
          <cell r="T150" t="str">
            <v>Ciudad principal</v>
          </cell>
          <cell r="U150" t="str">
            <v>Entry Production Color Low/Mid</v>
          </cell>
          <cell r="V150" t="str">
            <v>XEROX MEXICANA SA DE CV / XEROX MEXICANA</v>
          </cell>
          <cell r="W150" t="str">
            <v>TAMAULIPAS</v>
          </cell>
          <cell r="X150">
            <v>2019</v>
          </cell>
          <cell r="Y150" t="str">
            <v>Qtr 2</v>
          </cell>
          <cell r="Z150" t="str">
            <v>April</v>
          </cell>
          <cell r="AA150">
            <v>3</v>
          </cell>
          <cell r="AB150">
            <v>8</v>
          </cell>
          <cell r="AC150">
            <v>0</v>
          </cell>
          <cell r="AD150">
            <v>0</v>
          </cell>
          <cell r="AE150">
            <v>1573</v>
          </cell>
        </row>
        <row r="151">
          <cell r="A151" t="str">
            <v>0E2B658511</v>
          </cell>
          <cell r="B151">
            <v>2019</v>
          </cell>
          <cell r="C151" t="str">
            <v>Qtr 2</v>
          </cell>
          <cell r="D151" t="str">
            <v>April</v>
          </cell>
          <cell r="E151">
            <v>3</v>
          </cell>
          <cell r="F151" t="str">
            <v>CORRECTIVO</v>
          </cell>
          <cell r="G151">
            <v>0.2</v>
          </cell>
          <cell r="H151" t="str">
            <v>Entry Production Color Low/Mid</v>
          </cell>
          <cell r="I151">
            <v>803</v>
          </cell>
          <cell r="J151">
            <v>1573</v>
          </cell>
          <cell r="K151">
            <v>0.2</v>
          </cell>
          <cell r="L151">
            <v>0.6</v>
          </cell>
          <cell r="M151">
            <v>0.8</v>
          </cell>
          <cell r="N151">
            <v>1.05</v>
          </cell>
          <cell r="O151">
            <v>1.1000000000000001</v>
          </cell>
          <cell r="P151">
            <v>1.1499999999999999</v>
          </cell>
          <cell r="Q151" t="str">
            <v>INTERIOR</v>
          </cell>
          <cell r="R151">
            <v>4</v>
          </cell>
          <cell r="S151">
            <v>6</v>
          </cell>
          <cell r="T151" t="str">
            <v>Ciudad principal</v>
          </cell>
          <cell r="U151" t="str">
            <v>Entry Production Color Low/Mid</v>
          </cell>
          <cell r="V151" t="str">
            <v>XEROX MEXICANA SA DE CV / XEROX MEXICANA</v>
          </cell>
          <cell r="W151" t="str">
            <v>QUERETARO</v>
          </cell>
          <cell r="X151">
            <v>2019</v>
          </cell>
          <cell r="Y151" t="str">
            <v>Qtr 2</v>
          </cell>
          <cell r="Z151" t="str">
            <v>April</v>
          </cell>
          <cell r="AA151">
            <v>3</v>
          </cell>
          <cell r="AB151">
            <v>126</v>
          </cell>
          <cell r="AC151">
            <v>1.1499999999999999</v>
          </cell>
          <cell r="AD151">
            <v>0.05</v>
          </cell>
          <cell r="AE151">
            <v>1808.95</v>
          </cell>
        </row>
        <row r="152">
          <cell r="A152" t="str">
            <v>0E2B666269</v>
          </cell>
          <cell r="B152">
            <v>2019</v>
          </cell>
          <cell r="C152" t="str">
            <v>Qtr 2</v>
          </cell>
          <cell r="D152" t="str">
            <v>April</v>
          </cell>
          <cell r="E152">
            <v>3</v>
          </cell>
          <cell r="F152" t="str">
            <v>CORRECTIVO</v>
          </cell>
          <cell r="G152">
            <v>0.25</v>
          </cell>
          <cell r="H152" t="str">
            <v>Entry Production Color Low/Mid</v>
          </cell>
          <cell r="I152">
            <v>803</v>
          </cell>
          <cell r="J152">
            <v>1573</v>
          </cell>
          <cell r="K152">
            <v>0.2</v>
          </cell>
          <cell r="L152">
            <v>0.6</v>
          </cell>
          <cell r="M152">
            <v>0.8</v>
          </cell>
          <cell r="N152">
            <v>1.05</v>
          </cell>
          <cell r="O152">
            <v>1.1000000000000001</v>
          </cell>
          <cell r="P152">
            <v>1.1499999999999999</v>
          </cell>
          <cell r="Q152" t="str">
            <v>INTERIOR</v>
          </cell>
          <cell r="R152">
            <v>4</v>
          </cell>
          <cell r="S152">
            <v>6</v>
          </cell>
          <cell r="T152" t="str">
            <v>Ciudad principal</v>
          </cell>
          <cell r="U152" t="str">
            <v>Entry Production Color Low/Mid</v>
          </cell>
          <cell r="V152" t="str">
            <v>XEROX MEXICANA SA DE CV / XEROX MEXICANA</v>
          </cell>
          <cell r="W152" t="str">
            <v>QUERETARO</v>
          </cell>
          <cell r="X152">
            <v>2019</v>
          </cell>
          <cell r="Y152" t="str">
            <v>Qtr 2</v>
          </cell>
          <cell r="Z152" t="str">
            <v>April</v>
          </cell>
          <cell r="AA152">
            <v>4</v>
          </cell>
          <cell r="AB152">
            <v>6</v>
          </cell>
          <cell r="AC152">
            <v>0.6</v>
          </cell>
          <cell r="AD152">
            <v>6.25E-2</v>
          </cell>
          <cell r="AE152">
            <v>943.8</v>
          </cell>
        </row>
        <row r="153">
          <cell r="A153" t="str">
            <v>0EX7399926</v>
          </cell>
          <cell r="B153">
            <v>2019</v>
          </cell>
          <cell r="C153" t="str">
            <v>Qtr 2</v>
          </cell>
          <cell r="D153" t="str">
            <v>April</v>
          </cell>
          <cell r="E153">
            <v>3</v>
          </cell>
          <cell r="F153" t="str">
            <v>CORRECTIVO</v>
          </cell>
          <cell r="G153">
            <v>1.1666669999999999</v>
          </cell>
          <cell r="H153" t="str">
            <v>Office Digital</v>
          </cell>
          <cell r="I153">
            <v>655</v>
          </cell>
          <cell r="J153">
            <v>1365</v>
          </cell>
          <cell r="K153">
            <v>0</v>
          </cell>
          <cell r="L153">
            <v>0</v>
          </cell>
          <cell r="M153">
            <v>0.6</v>
          </cell>
          <cell r="N153">
            <v>0.8</v>
          </cell>
          <cell r="O153">
            <v>1.05</v>
          </cell>
          <cell r="P153">
            <v>1.1000000000000001</v>
          </cell>
          <cell r="Q153" t="str">
            <v>INTERIOR</v>
          </cell>
          <cell r="R153">
            <v>5</v>
          </cell>
          <cell r="S153">
            <v>9</v>
          </cell>
          <cell r="T153" t="str">
            <v>Ciudad principal</v>
          </cell>
          <cell r="U153" t="str">
            <v>Departmental Digital</v>
          </cell>
          <cell r="V153" t="str">
            <v>XEROX MEXICANA SA DE CV / XEROX MEXICANA</v>
          </cell>
          <cell r="W153" t="str">
            <v>CHIHUAHUA</v>
          </cell>
          <cell r="X153">
            <v>2019</v>
          </cell>
          <cell r="Y153" t="str">
            <v>Qtr 2</v>
          </cell>
          <cell r="Z153" t="str">
            <v>April</v>
          </cell>
          <cell r="AA153">
            <v>3</v>
          </cell>
          <cell r="AB153">
            <v>33</v>
          </cell>
          <cell r="AC153">
            <v>1.05</v>
          </cell>
          <cell r="AD153">
            <v>0.2333334</v>
          </cell>
          <cell r="AE153">
            <v>1433.25</v>
          </cell>
        </row>
        <row r="154">
          <cell r="A154" t="str">
            <v>0EX7407508</v>
          </cell>
          <cell r="B154">
            <v>2019</v>
          </cell>
          <cell r="C154" t="str">
            <v>Qtr 2</v>
          </cell>
          <cell r="D154" t="str">
            <v>April</v>
          </cell>
          <cell r="E154">
            <v>3</v>
          </cell>
          <cell r="F154" t="str">
            <v>CORRECTIVO</v>
          </cell>
          <cell r="G154">
            <v>0.4</v>
          </cell>
          <cell r="H154" t="str">
            <v>Office Digital</v>
          </cell>
          <cell r="I154">
            <v>655</v>
          </cell>
          <cell r="J154">
            <v>1365</v>
          </cell>
          <cell r="K154">
            <v>0</v>
          </cell>
          <cell r="L154">
            <v>0</v>
          </cell>
          <cell r="M154">
            <v>0.6</v>
          </cell>
          <cell r="N154">
            <v>0.8</v>
          </cell>
          <cell r="O154">
            <v>1.05</v>
          </cell>
          <cell r="P154">
            <v>1.1000000000000001</v>
          </cell>
          <cell r="Q154" t="str">
            <v>INTERIOR</v>
          </cell>
          <cell r="R154">
            <v>5</v>
          </cell>
          <cell r="S154">
            <v>9</v>
          </cell>
          <cell r="T154" t="str">
            <v>Ciudad principal</v>
          </cell>
          <cell r="U154" t="str">
            <v>Departmental Digital</v>
          </cell>
          <cell r="V154" t="str">
            <v>XEROX MEXICANA SA DE CV / XEROX MEXICANA</v>
          </cell>
          <cell r="W154" t="str">
            <v>CHIHUAHUA</v>
          </cell>
          <cell r="X154">
            <v>2019</v>
          </cell>
          <cell r="Y154" t="str">
            <v>Qtr 2</v>
          </cell>
          <cell r="Z154" t="str">
            <v>April</v>
          </cell>
          <cell r="AA154">
            <v>5</v>
          </cell>
          <cell r="AB154">
            <v>111</v>
          </cell>
          <cell r="AC154">
            <v>1.1000000000000001</v>
          </cell>
          <cell r="AD154">
            <v>0.08</v>
          </cell>
          <cell r="AE154">
            <v>1501.5</v>
          </cell>
        </row>
        <row r="155">
          <cell r="A155" t="str">
            <v>0EX9283991</v>
          </cell>
          <cell r="B155">
            <v>2019</v>
          </cell>
          <cell r="C155" t="str">
            <v>Qtr 2</v>
          </cell>
          <cell r="D155" t="str">
            <v>April</v>
          </cell>
          <cell r="E155">
            <v>3</v>
          </cell>
          <cell r="F155" t="str">
            <v>CORRECTIVO</v>
          </cell>
          <cell r="G155">
            <v>2.0333329999999998</v>
          </cell>
          <cell r="H155" t="str">
            <v>Departmental Digital</v>
          </cell>
          <cell r="I155">
            <v>655</v>
          </cell>
          <cell r="J155">
            <v>1365</v>
          </cell>
          <cell r="K155">
            <v>0</v>
          </cell>
          <cell r="L155">
            <v>0</v>
          </cell>
          <cell r="M155">
            <v>0.6</v>
          </cell>
          <cell r="N155">
            <v>0.8</v>
          </cell>
          <cell r="O155">
            <v>1.05</v>
          </cell>
          <cell r="P155">
            <v>1.1000000000000001</v>
          </cell>
          <cell r="Q155" t="str">
            <v>INTERIOR</v>
          </cell>
          <cell r="R155">
            <v>5</v>
          </cell>
          <cell r="S155">
            <v>9</v>
          </cell>
          <cell r="T155" t="str">
            <v>Ciudad principal</v>
          </cell>
          <cell r="U155" t="str">
            <v>Departmental Digital</v>
          </cell>
          <cell r="V155" t="str">
            <v>XEROX MEXICANA SA DE CV / XEROX MEXICANA</v>
          </cell>
          <cell r="W155" t="str">
            <v>TAMAULIPAS</v>
          </cell>
          <cell r="X155">
            <v>2019</v>
          </cell>
          <cell r="Y155" t="str">
            <v>Qtr 2</v>
          </cell>
          <cell r="Z155" t="str">
            <v>April</v>
          </cell>
          <cell r="AA155">
            <v>3</v>
          </cell>
          <cell r="AB155">
            <v>29</v>
          </cell>
          <cell r="AC155">
            <v>0.8</v>
          </cell>
          <cell r="AD155">
            <v>0.40666659999999999</v>
          </cell>
          <cell r="AE155">
            <v>1092</v>
          </cell>
        </row>
        <row r="156">
          <cell r="A156" t="str">
            <v>0EX9286123</v>
          </cell>
          <cell r="B156">
            <v>2019</v>
          </cell>
          <cell r="C156" t="str">
            <v>Qtr 2</v>
          </cell>
          <cell r="D156" t="str">
            <v>April</v>
          </cell>
          <cell r="E156">
            <v>3</v>
          </cell>
          <cell r="F156" t="str">
            <v>CORRECTIVO</v>
          </cell>
          <cell r="G156">
            <v>0.1666667</v>
          </cell>
          <cell r="H156" t="str">
            <v>Departmental Digital</v>
          </cell>
          <cell r="I156">
            <v>655</v>
          </cell>
          <cell r="J156">
            <v>1365</v>
          </cell>
          <cell r="K156">
            <v>0</v>
          </cell>
          <cell r="L156">
            <v>0</v>
          </cell>
          <cell r="M156">
            <v>0.6</v>
          </cell>
          <cell r="N156">
            <v>0.8</v>
          </cell>
          <cell r="O156">
            <v>1.05</v>
          </cell>
          <cell r="P156">
            <v>1.1000000000000001</v>
          </cell>
          <cell r="Q156" t="str">
            <v>INTERIOR</v>
          </cell>
          <cell r="R156">
            <v>5</v>
          </cell>
          <cell r="S156">
            <v>9</v>
          </cell>
          <cell r="T156" t="str">
            <v>Ciudad principal</v>
          </cell>
          <cell r="U156" t="str">
            <v>Departmental Digital</v>
          </cell>
          <cell r="V156" t="str">
            <v>XEROX MEXICANA SA DE CV / XEROX MEXICANA</v>
          </cell>
          <cell r="W156" t="str">
            <v>DURANGO</v>
          </cell>
          <cell r="X156">
            <v>2019</v>
          </cell>
          <cell r="Y156" t="str">
            <v>Qtr 2</v>
          </cell>
          <cell r="Z156" t="str">
            <v>April</v>
          </cell>
          <cell r="AA156">
            <v>3</v>
          </cell>
          <cell r="AB156">
            <v>2</v>
          </cell>
          <cell r="AC156">
            <v>0</v>
          </cell>
          <cell r="AD156">
            <v>3.3333340000000003E-2</v>
          </cell>
          <cell r="AE156">
            <v>0</v>
          </cell>
        </row>
        <row r="157">
          <cell r="A157" t="str">
            <v>0EX9293385</v>
          </cell>
          <cell r="B157">
            <v>2019</v>
          </cell>
          <cell r="C157" t="str">
            <v>Qtr 2</v>
          </cell>
          <cell r="D157" t="str">
            <v>April</v>
          </cell>
          <cell r="E157">
            <v>3</v>
          </cell>
          <cell r="F157" t="str">
            <v>CORRECTIVO</v>
          </cell>
          <cell r="G157">
            <v>0.4166667</v>
          </cell>
          <cell r="H157" t="str">
            <v>Departmental Digital</v>
          </cell>
          <cell r="I157">
            <v>655</v>
          </cell>
          <cell r="J157">
            <v>1365</v>
          </cell>
          <cell r="K157">
            <v>0</v>
          </cell>
          <cell r="L157">
            <v>0</v>
          </cell>
          <cell r="M157">
            <v>0.6</v>
          </cell>
          <cell r="N157">
            <v>0.8</v>
          </cell>
          <cell r="O157">
            <v>1.05</v>
          </cell>
          <cell r="P157">
            <v>1.1000000000000001</v>
          </cell>
          <cell r="Q157" t="str">
            <v>INTERIOR</v>
          </cell>
          <cell r="R157">
            <v>5</v>
          </cell>
          <cell r="S157">
            <v>9</v>
          </cell>
          <cell r="T157" t="str">
            <v>Ciudad principal</v>
          </cell>
          <cell r="U157" t="str">
            <v>Departmental Digital</v>
          </cell>
          <cell r="V157" t="str">
            <v>XEROX MEXICANA SA DE CV / XEROX MEXICANA</v>
          </cell>
          <cell r="W157" t="str">
            <v>QUERETARO</v>
          </cell>
          <cell r="X157">
            <v>2019</v>
          </cell>
          <cell r="Y157" t="str">
            <v>Qtr 2</v>
          </cell>
          <cell r="Z157" t="str">
            <v>April</v>
          </cell>
          <cell r="AA157">
            <v>3</v>
          </cell>
          <cell r="AB157">
            <v>8</v>
          </cell>
          <cell r="AC157">
            <v>0.6</v>
          </cell>
          <cell r="AD157">
            <v>8.3333340000000006E-2</v>
          </cell>
          <cell r="AE157">
            <v>819</v>
          </cell>
        </row>
        <row r="158">
          <cell r="A158" t="str">
            <v>0EX9296094</v>
          </cell>
          <cell r="B158">
            <v>2019</v>
          </cell>
          <cell r="C158" t="str">
            <v>Qtr 2</v>
          </cell>
          <cell r="D158" t="str">
            <v>April</v>
          </cell>
          <cell r="E158">
            <v>3</v>
          </cell>
          <cell r="F158" t="str">
            <v>CORRECTIVO</v>
          </cell>
          <cell r="G158">
            <v>1.1333329999999999</v>
          </cell>
          <cell r="H158" t="str">
            <v>Departmental Digital</v>
          </cell>
          <cell r="I158">
            <v>655</v>
          </cell>
          <cell r="J158">
            <v>1365</v>
          </cell>
          <cell r="K158">
            <v>0</v>
          </cell>
          <cell r="L158">
            <v>0</v>
          </cell>
          <cell r="M158">
            <v>0.6</v>
          </cell>
          <cell r="N158">
            <v>0.8</v>
          </cell>
          <cell r="O158">
            <v>1.05</v>
          </cell>
          <cell r="P158">
            <v>1.1000000000000001</v>
          </cell>
          <cell r="Q158" t="str">
            <v>INTERIOR</v>
          </cell>
          <cell r="R158">
            <v>5</v>
          </cell>
          <cell r="S158">
            <v>9</v>
          </cell>
          <cell r="T158" t="str">
            <v>Ciudad principal</v>
          </cell>
          <cell r="U158" t="str">
            <v>Departmental Digital</v>
          </cell>
          <cell r="V158" t="str">
            <v>XEROX MEXICANA SA DE CV / XEROX MEXICANA</v>
          </cell>
          <cell r="W158" t="str">
            <v>GUANAJUATO</v>
          </cell>
          <cell r="X158">
            <v>2019</v>
          </cell>
          <cell r="Y158" t="str">
            <v>Qtr 2</v>
          </cell>
          <cell r="Z158" t="str">
            <v>April</v>
          </cell>
          <cell r="AA158">
            <v>3</v>
          </cell>
          <cell r="AB158">
            <v>70</v>
          </cell>
          <cell r="AC158">
            <v>1.1000000000000001</v>
          </cell>
          <cell r="AD158">
            <v>0.2266666</v>
          </cell>
          <cell r="AE158">
            <v>1501.5</v>
          </cell>
        </row>
        <row r="159">
          <cell r="A159" t="str">
            <v>0EX9299901</v>
          </cell>
          <cell r="B159">
            <v>2019</v>
          </cell>
          <cell r="C159" t="str">
            <v>Qtr 2</v>
          </cell>
          <cell r="D159" t="str">
            <v>April</v>
          </cell>
          <cell r="E159">
            <v>3</v>
          </cell>
          <cell r="F159" t="str">
            <v>CORRECTIVO</v>
          </cell>
          <cell r="G159">
            <v>1.2166669999999999</v>
          </cell>
          <cell r="H159" t="str">
            <v>Departmental Digital</v>
          </cell>
          <cell r="I159">
            <v>655</v>
          </cell>
          <cell r="J159">
            <v>1365</v>
          </cell>
          <cell r="K159">
            <v>0</v>
          </cell>
          <cell r="L159">
            <v>0</v>
          </cell>
          <cell r="M159">
            <v>0.6</v>
          </cell>
          <cell r="N159">
            <v>0.8</v>
          </cell>
          <cell r="O159">
            <v>1.05</v>
          </cell>
          <cell r="P159">
            <v>1.1000000000000001</v>
          </cell>
          <cell r="Q159" t="str">
            <v>INTERIOR</v>
          </cell>
          <cell r="R159">
            <v>5</v>
          </cell>
          <cell r="S159">
            <v>9</v>
          </cell>
          <cell r="T159" t="str">
            <v>Ciudad principal</v>
          </cell>
          <cell r="U159" t="str">
            <v>Departmental Digital</v>
          </cell>
          <cell r="V159" t="str">
            <v>XEROX MEXICANA SA DE CV / XEROX MEXICANA</v>
          </cell>
          <cell r="W159" t="str">
            <v>TAMAULIPAS</v>
          </cell>
          <cell r="X159">
            <v>2019</v>
          </cell>
          <cell r="Y159" t="str">
            <v>Qtr 2</v>
          </cell>
          <cell r="Z159" t="str">
            <v>April</v>
          </cell>
          <cell r="AA159">
            <v>3</v>
          </cell>
          <cell r="AB159">
            <v>9</v>
          </cell>
          <cell r="AC159">
            <v>0.6</v>
          </cell>
          <cell r="AD159">
            <v>0.24333340000000001</v>
          </cell>
          <cell r="AE159">
            <v>819</v>
          </cell>
        </row>
        <row r="160">
          <cell r="A160" t="str">
            <v>0KPA018636</v>
          </cell>
          <cell r="B160">
            <v>2019</v>
          </cell>
          <cell r="C160" t="str">
            <v>Qtr 2</v>
          </cell>
          <cell r="D160" t="str">
            <v>April</v>
          </cell>
          <cell r="E160">
            <v>3</v>
          </cell>
          <cell r="F160" t="str">
            <v>MANTENIMIENTO PREVENTIVO</v>
          </cell>
          <cell r="G160">
            <v>0</v>
          </cell>
          <cell r="H160" t="str">
            <v>Entry Mono Printers</v>
          </cell>
          <cell r="I160">
            <v>468</v>
          </cell>
          <cell r="J160">
            <v>715</v>
          </cell>
          <cell r="K160">
            <v>0</v>
          </cell>
          <cell r="L160">
            <v>0</v>
          </cell>
          <cell r="M160">
            <v>0</v>
          </cell>
          <cell r="N160">
            <v>0.6</v>
          </cell>
          <cell r="O160">
            <v>0.8</v>
          </cell>
          <cell r="P160">
            <v>1.05</v>
          </cell>
          <cell r="Q160" t="str">
            <v>INTERIOR</v>
          </cell>
          <cell r="R160">
            <v>5</v>
          </cell>
          <cell r="S160">
            <v>9</v>
          </cell>
          <cell r="T160" t="str">
            <v>Ciudad principal</v>
          </cell>
          <cell r="U160" t="str">
            <v>Departmental Digital</v>
          </cell>
          <cell r="V160" t="str">
            <v>XEROX MEXICANA SA DE CV / XEROX MEXICANA</v>
          </cell>
          <cell r="W160" t="str">
            <v>CHIHUAHUA</v>
          </cell>
          <cell r="X160">
            <v>2019</v>
          </cell>
          <cell r="Y160" t="str">
            <v>Qtr 2</v>
          </cell>
          <cell r="Z160" t="str">
            <v>April</v>
          </cell>
          <cell r="AA160">
            <v>5</v>
          </cell>
          <cell r="AB160">
            <v>14</v>
          </cell>
          <cell r="AC160">
            <v>0</v>
          </cell>
          <cell r="AD160">
            <v>0</v>
          </cell>
          <cell r="AE160">
            <v>715</v>
          </cell>
        </row>
        <row r="161">
          <cell r="A161" t="str">
            <v>0LA6296487</v>
          </cell>
          <cell r="B161">
            <v>2019</v>
          </cell>
          <cell r="C161" t="str">
            <v>Qtr 2</v>
          </cell>
          <cell r="D161" t="str">
            <v>April</v>
          </cell>
          <cell r="E161">
            <v>3</v>
          </cell>
          <cell r="F161" t="str">
            <v>CORRECTIVO</v>
          </cell>
          <cell r="G161">
            <v>1.75</v>
          </cell>
          <cell r="I161" t="str">
            <v>NA</v>
          </cell>
          <cell r="J161" t="str">
            <v>NA</v>
          </cell>
          <cell r="K161" t="str">
            <v>NA</v>
          </cell>
          <cell r="L161" t="str">
            <v>NA</v>
          </cell>
          <cell r="M161" t="str">
            <v>NA</v>
          </cell>
          <cell r="N161" t="str">
            <v>NA</v>
          </cell>
          <cell r="O161" t="str">
            <v>NA</v>
          </cell>
          <cell r="P161" t="str">
            <v>NA</v>
          </cell>
          <cell r="R161" t="str">
            <v>NA</v>
          </cell>
          <cell r="S161" t="str">
            <v>NA</v>
          </cell>
          <cell r="U161" t="str">
            <v>A4 Mono MFPs</v>
          </cell>
          <cell r="V161" t="str">
            <v>XEROX MEXICANA SA DE CV / XEROX MEXICANA</v>
          </cell>
          <cell r="W161" t="str">
            <v>ESTADO DE MEXICO</v>
          </cell>
          <cell r="X161">
            <v>2019</v>
          </cell>
          <cell r="Y161" t="str">
            <v>Qtr 2</v>
          </cell>
          <cell r="Z161" t="str">
            <v>April</v>
          </cell>
          <cell r="AA161">
            <v>3</v>
          </cell>
          <cell r="AB161">
            <v>0</v>
          </cell>
          <cell r="AC161">
            <v>1.1000000000000001</v>
          </cell>
          <cell r="AD161">
            <v>0</v>
          </cell>
          <cell r="AE161">
            <v>750.75</v>
          </cell>
        </row>
        <row r="162">
          <cell r="A162" t="str">
            <v>0LBP345977</v>
          </cell>
          <cell r="B162">
            <v>2019</v>
          </cell>
          <cell r="C162" t="str">
            <v>Qtr 2</v>
          </cell>
          <cell r="D162" t="str">
            <v>April</v>
          </cell>
          <cell r="E162">
            <v>3</v>
          </cell>
          <cell r="F162" t="str">
            <v>MANTENIMIENTO PREVENTIVO</v>
          </cell>
          <cell r="G162">
            <v>0</v>
          </cell>
          <cell r="I162" t="str">
            <v>NA</v>
          </cell>
          <cell r="J162" t="str">
            <v>NA</v>
          </cell>
          <cell r="K162" t="str">
            <v>NA</v>
          </cell>
          <cell r="L162" t="str">
            <v>NA</v>
          </cell>
          <cell r="M162" t="str">
            <v>NA</v>
          </cell>
          <cell r="N162" t="str">
            <v>NA</v>
          </cell>
          <cell r="O162" t="str">
            <v>NA</v>
          </cell>
          <cell r="P162" t="str">
            <v>NA</v>
          </cell>
          <cell r="R162" t="str">
            <v>NA</v>
          </cell>
          <cell r="S162" t="str">
            <v>NA</v>
          </cell>
          <cell r="U162" t="str">
            <v>A4 Mono MFPs</v>
          </cell>
          <cell r="V162" t="str">
            <v>XEROX MEXICANA SA DE CV / XEROX MEXICANA</v>
          </cell>
          <cell r="W162" t="str">
            <v>JALISCO</v>
          </cell>
          <cell r="X162">
            <v>2019</v>
          </cell>
          <cell r="Y162" t="str">
            <v>Qtr 2</v>
          </cell>
          <cell r="Z162" t="str">
            <v>April</v>
          </cell>
          <cell r="AA162">
            <v>3</v>
          </cell>
          <cell r="AB162">
            <v>7</v>
          </cell>
          <cell r="AC162">
            <v>1.1000000000000001</v>
          </cell>
          <cell r="AD162">
            <v>0</v>
          </cell>
          <cell r="AE162">
            <v>715</v>
          </cell>
        </row>
        <row r="163">
          <cell r="A163" t="str">
            <v>0LNX631348</v>
          </cell>
          <cell r="B163">
            <v>2019</v>
          </cell>
          <cell r="C163" t="str">
            <v>Qtr 2</v>
          </cell>
          <cell r="D163" t="str">
            <v>April</v>
          </cell>
          <cell r="E163">
            <v>3</v>
          </cell>
          <cell r="F163" t="str">
            <v>CORRECTIVO</v>
          </cell>
          <cell r="G163">
            <v>0.13333329999999999</v>
          </cell>
          <cell r="I163" t="str">
            <v>NA</v>
          </cell>
          <cell r="J163" t="str">
            <v>NA</v>
          </cell>
          <cell r="K163" t="str">
            <v>NA</v>
          </cell>
          <cell r="L163" t="str">
            <v>NA</v>
          </cell>
          <cell r="M163" t="str">
            <v>NA</v>
          </cell>
          <cell r="N163" t="str">
            <v>NA</v>
          </cell>
          <cell r="O163" t="str">
            <v>NA</v>
          </cell>
          <cell r="P163" t="str">
            <v>NA</v>
          </cell>
          <cell r="R163" t="str">
            <v>NA</v>
          </cell>
          <cell r="S163" t="str">
            <v>NA</v>
          </cell>
          <cell r="U163" t="str">
            <v>Departmental Digital</v>
          </cell>
          <cell r="V163" t="str">
            <v>XEROX MEXICANA SA DE CV / XEROX MEXICANA</v>
          </cell>
          <cell r="W163" t="str">
            <v>CHIHUAHUA</v>
          </cell>
          <cell r="X163">
            <v>2019</v>
          </cell>
          <cell r="Y163" t="str">
            <v>Qtr 2</v>
          </cell>
          <cell r="Z163" t="str">
            <v>April</v>
          </cell>
          <cell r="AA163">
            <v>10</v>
          </cell>
          <cell r="AB163">
            <v>12</v>
          </cell>
          <cell r="AC163">
            <v>1.1000000000000001</v>
          </cell>
          <cell r="AD163">
            <v>0</v>
          </cell>
          <cell r="AE163">
            <v>347.75</v>
          </cell>
        </row>
        <row r="164">
          <cell r="A164" t="str">
            <v>0MX1204989</v>
          </cell>
          <cell r="B164">
            <v>2019</v>
          </cell>
          <cell r="C164" t="str">
            <v>Qtr 2</v>
          </cell>
          <cell r="D164" t="str">
            <v>April</v>
          </cell>
          <cell r="E164">
            <v>3</v>
          </cell>
          <cell r="F164" t="str">
            <v>CORRECTIVO</v>
          </cell>
          <cell r="G164">
            <v>0.5</v>
          </cell>
          <cell r="I164" t="str">
            <v>NA</v>
          </cell>
          <cell r="J164" t="str">
            <v>NA</v>
          </cell>
          <cell r="K164" t="str">
            <v>NA</v>
          </cell>
          <cell r="L164" t="str">
            <v>NA</v>
          </cell>
          <cell r="M164" t="str">
            <v>NA</v>
          </cell>
          <cell r="N164" t="str">
            <v>NA</v>
          </cell>
          <cell r="O164" t="str">
            <v>NA</v>
          </cell>
          <cell r="P164" t="str">
            <v>NA</v>
          </cell>
          <cell r="R164" t="str">
            <v>NA</v>
          </cell>
          <cell r="S164" t="str">
            <v>NA</v>
          </cell>
          <cell r="U164" t="str">
            <v>A3 Office Color Laser MFPs</v>
          </cell>
          <cell r="V164" t="str">
            <v>XEROX MEXICANA SA DE CV / XEROX MEXICANA</v>
          </cell>
          <cell r="W164" t="str">
            <v>COAHUILA</v>
          </cell>
          <cell r="X164">
            <v>2019</v>
          </cell>
          <cell r="Y164" t="str">
            <v>Qtr 2</v>
          </cell>
          <cell r="Z164" t="str">
            <v>April</v>
          </cell>
          <cell r="AA164">
            <v>5</v>
          </cell>
          <cell r="AB164">
            <v>34</v>
          </cell>
          <cell r="AC164">
            <v>1.1000000000000001</v>
          </cell>
          <cell r="AD164">
            <v>0</v>
          </cell>
          <cell r="AE164">
            <v>1433.25</v>
          </cell>
        </row>
        <row r="165">
          <cell r="A165" t="str">
            <v>0MX4465117</v>
          </cell>
          <cell r="B165">
            <v>2019</v>
          </cell>
          <cell r="C165" t="str">
            <v>Qtr 2</v>
          </cell>
          <cell r="D165" t="str">
            <v>April</v>
          </cell>
          <cell r="E165">
            <v>3</v>
          </cell>
          <cell r="F165" t="str">
            <v>CORRECTIVO</v>
          </cell>
          <cell r="G165">
            <v>0.8</v>
          </cell>
          <cell r="H165" t="str">
            <v>A3 Office Color Laser MFPs</v>
          </cell>
          <cell r="I165">
            <v>655</v>
          </cell>
          <cell r="J165">
            <v>1365</v>
          </cell>
          <cell r="K165">
            <v>0</v>
          </cell>
          <cell r="L165">
            <v>0</v>
          </cell>
          <cell r="M165">
            <v>0.6</v>
          </cell>
          <cell r="N165">
            <v>0.8</v>
          </cell>
          <cell r="O165">
            <v>1.05</v>
          </cell>
          <cell r="P165">
            <v>1.1000000000000001</v>
          </cell>
          <cell r="Q165" t="str">
            <v>INTERIOR</v>
          </cell>
          <cell r="R165">
            <v>5</v>
          </cell>
          <cell r="S165">
            <v>9</v>
          </cell>
          <cell r="T165" t="str">
            <v>Ciudad principal</v>
          </cell>
          <cell r="U165" t="str">
            <v>A3 Office Color Laser MFPs</v>
          </cell>
          <cell r="V165" t="str">
            <v>XEROX MEXICANA SA DE CV / XEROX MEXICANA</v>
          </cell>
          <cell r="W165" t="str">
            <v>TAMAULIPAS</v>
          </cell>
          <cell r="X165">
            <v>2019</v>
          </cell>
          <cell r="Y165" t="str">
            <v>Qtr 2</v>
          </cell>
          <cell r="Z165" t="str">
            <v>April</v>
          </cell>
          <cell r="AA165">
            <v>4</v>
          </cell>
          <cell r="AB165">
            <v>84</v>
          </cell>
          <cell r="AC165">
            <v>1.1000000000000001</v>
          </cell>
          <cell r="AD165">
            <v>0.16</v>
          </cell>
          <cell r="AE165">
            <v>1501.5</v>
          </cell>
        </row>
        <row r="166">
          <cell r="A166" t="str">
            <v>0PW4152292</v>
          </cell>
          <cell r="B166">
            <v>2019</v>
          </cell>
          <cell r="C166" t="str">
            <v>Qtr 2</v>
          </cell>
          <cell r="D166" t="str">
            <v>April</v>
          </cell>
          <cell r="E166">
            <v>3</v>
          </cell>
          <cell r="F166" t="str">
            <v>CORRECTIVO</v>
          </cell>
          <cell r="G166">
            <v>0.78333339999999996</v>
          </cell>
          <cell r="H166" t="str">
            <v>WF Mono Systems and Legacy Color</v>
          </cell>
          <cell r="I166">
            <v>803</v>
          </cell>
          <cell r="J166">
            <v>1573</v>
          </cell>
          <cell r="K166">
            <v>0.2</v>
          </cell>
          <cell r="L166">
            <v>0.6</v>
          </cell>
          <cell r="M166">
            <v>0.8</v>
          </cell>
          <cell r="N166">
            <v>1.05</v>
          </cell>
          <cell r="O166">
            <v>1.1000000000000001</v>
          </cell>
          <cell r="P166">
            <v>1.1499999999999999</v>
          </cell>
          <cell r="Q166" t="str">
            <v>INTERIOR</v>
          </cell>
          <cell r="R166">
            <v>4</v>
          </cell>
          <cell r="S166">
            <v>6</v>
          </cell>
          <cell r="T166" t="str">
            <v>Ciudad principal</v>
          </cell>
          <cell r="U166" t="str">
            <v>WF Mono Systems and Legacy Color</v>
          </cell>
          <cell r="V166" t="str">
            <v>XEROX MEXICANA SA DE CV / XEROX MEXICANA</v>
          </cell>
          <cell r="W166" t="str">
            <v>JALISCO</v>
          </cell>
          <cell r="X166">
            <v>2019</v>
          </cell>
          <cell r="Y166" t="str">
            <v>Qtr 2</v>
          </cell>
          <cell r="Z166" t="str">
            <v>April</v>
          </cell>
          <cell r="AA166">
            <v>5</v>
          </cell>
          <cell r="AB166">
            <v>2</v>
          </cell>
          <cell r="AC166">
            <v>0.2</v>
          </cell>
          <cell r="AD166">
            <v>0.19583334999999999</v>
          </cell>
          <cell r="AE166">
            <v>314.60000000000002</v>
          </cell>
        </row>
        <row r="167">
          <cell r="A167" t="str">
            <v>0RXD136704</v>
          </cell>
          <cell r="B167">
            <v>2019</v>
          </cell>
          <cell r="C167" t="str">
            <v>Qtr 2</v>
          </cell>
          <cell r="D167" t="str">
            <v>April</v>
          </cell>
          <cell r="E167">
            <v>3</v>
          </cell>
          <cell r="F167" t="str">
            <v>CORRECTIVO</v>
          </cell>
          <cell r="G167">
            <v>1.5</v>
          </cell>
          <cell r="H167" t="str">
            <v>Color Laser Printers</v>
          </cell>
          <cell r="I167">
            <v>468</v>
          </cell>
          <cell r="J167">
            <v>715</v>
          </cell>
          <cell r="K167">
            <v>0</v>
          </cell>
          <cell r="L167">
            <v>0</v>
          </cell>
          <cell r="M167">
            <v>0</v>
          </cell>
          <cell r="N167">
            <v>0.6</v>
          </cell>
          <cell r="O167">
            <v>0.8</v>
          </cell>
          <cell r="P167">
            <v>1.05</v>
          </cell>
          <cell r="Q167" t="str">
            <v>INTERIOR</v>
          </cell>
          <cell r="R167">
            <v>5</v>
          </cell>
          <cell r="S167">
            <v>9</v>
          </cell>
          <cell r="T167" t="str">
            <v>Ciudad principal</v>
          </cell>
          <cell r="U167" t="str">
            <v>Departmental Digital</v>
          </cell>
          <cell r="V167" t="str">
            <v>XEROX MEXICANA SA DE CV / XEROX MEXICANA</v>
          </cell>
          <cell r="W167" t="str">
            <v>CHIHUAHUA</v>
          </cell>
          <cell r="X167">
            <v>2019</v>
          </cell>
          <cell r="Y167" t="str">
            <v>Qtr 2</v>
          </cell>
          <cell r="Z167" t="str">
            <v>April</v>
          </cell>
          <cell r="AA167">
            <v>3</v>
          </cell>
          <cell r="AB167">
            <v>71</v>
          </cell>
          <cell r="AC167">
            <v>1.05</v>
          </cell>
          <cell r="AD167">
            <v>0.3</v>
          </cell>
          <cell r="AE167">
            <v>750.75</v>
          </cell>
        </row>
        <row r="168">
          <cell r="A168" t="str">
            <v>0VGW632064</v>
          </cell>
          <cell r="B168">
            <v>2019</v>
          </cell>
          <cell r="C168" t="str">
            <v>Qtr 2</v>
          </cell>
          <cell r="D168" t="str">
            <v>April</v>
          </cell>
          <cell r="E168">
            <v>3</v>
          </cell>
          <cell r="F168" t="str">
            <v>CORRECTIVO</v>
          </cell>
          <cell r="G168">
            <v>0</v>
          </cell>
          <cell r="H168" t="str">
            <v>A3 Professional Color Laser MFPs</v>
          </cell>
          <cell r="I168">
            <v>655</v>
          </cell>
          <cell r="J168">
            <v>1365</v>
          </cell>
          <cell r="K168">
            <v>0</v>
          </cell>
          <cell r="L168">
            <v>0</v>
          </cell>
          <cell r="M168">
            <v>0.6</v>
          </cell>
          <cell r="N168">
            <v>0.8</v>
          </cell>
          <cell r="O168">
            <v>1.05</v>
          </cell>
          <cell r="P168">
            <v>1.1000000000000001</v>
          </cell>
          <cell r="Q168" t="str">
            <v>INTERIOR</v>
          </cell>
          <cell r="R168">
            <v>5</v>
          </cell>
          <cell r="S168">
            <v>9</v>
          </cell>
          <cell r="T168" t="str">
            <v>Ciudad principal</v>
          </cell>
          <cell r="U168" t="str">
            <v>Entry Production Color Low/Mid</v>
          </cell>
          <cell r="V168" t="str">
            <v>XEROX MEXICANA SA DE CV / XEROX MEXICANA</v>
          </cell>
          <cell r="W168" t="str">
            <v>CHIHUAHUA</v>
          </cell>
          <cell r="X168">
            <v>2019</v>
          </cell>
          <cell r="Y168" t="str">
            <v>Qtr 2</v>
          </cell>
          <cell r="Z168" t="str">
            <v>April</v>
          </cell>
          <cell r="AA168">
            <v>5</v>
          </cell>
          <cell r="AB168">
            <v>2</v>
          </cell>
          <cell r="AC168">
            <v>0</v>
          </cell>
          <cell r="AD168">
            <v>0</v>
          </cell>
          <cell r="AE168">
            <v>0</v>
          </cell>
        </row>
        <row r="169">
          <cell r="A169" t="str">
            <v>0XPN396972</v>
          </cell>
          <cell r="B169">
            <v>2019</v>
          </cell>
          <cell r="C169" t="str">
            <v>Qtr 2</v>
          </cell>
          <cell r="D169" t="str">
            <v>April</v>
          </cell>
          <cell r="E169">
            <v>3</v>
          </cell>
          <cell r="F169" t="str">
            <v>CORRECTIVO</v>
          </cell>
          <cell r="G169">
            <v>1.1666669999999999</v>
          </cell>
          <cell r="H169" t="str">
            <v>Entry Production Color Low/Mid</v>
          </cell>
          <cell r="I169">
            <v>803</v>
          </cell>
          <cell r="J169">
            <v>1573</v>
          </cell>
          <cell r="K169">
            <v>0.2</v>
          </cell>
          <cell r="L169">
            <v>0.6</v>
          </cell>
          <cell r="M169">
            <v>0.8</v>
          </cell>
          <cell r="N169">
            <v>1.05</v>
          </cell>
          <cell r="O169">
            <v>1.1000000000000001</v>
          </cell>
          <cell r="P169">
            <v>1.1499999999999999</v>
          </cell>
          <cell r="Q169" t="str">
            <v>INTERIOR</v>
          </cell>
          <cell r="R169">
            <v>4</v>
          </cell>
          <cell r="S169">
            <v>6</v>
          </cell>
          <cell r="T169" t="str">
            <v>Ciudad principal</v>
          </cell>
          <cell r="U169" t="str">
            <v>Entry Production Color Low/Mid</v>
          </cell>
          <cell r="V169" t="str">
            <v>XEROX MEXICANA SA DE CV / XEROX MEXICANA</v>
          </cell>
          <cell r="W169" t="str">
            <v>JALISCO</v>
          </cell>
          <cell r="X169">
            <v>2019</v>
          </cell>
          <cell r="Y169" t="str">
            <v>Qtr 2</v>
          </cell>
          <cell r="Z169" t="str">
            <v>April</v>
          </cell>
          <cell r="AA169">
            <v>4</v>
          </cell>
          <cell r="AB169">
            <v>43</v>
          </cell>
          <cell r="AC169">
            <v>1.1000000000000001</v>
          </cell>
          <cell r="AD169">
            <v>0.29166674999999997</v>
          </cell>
          <cell r="AE169">
            <v>1730.3</v>
          </cell>
        </row>
        <row r="170">
          <cell r="A170" t="str">
            <v>0XPN546686</v>
          </cell>
          <cell r="B170">
            <v>2019</v>
          </cell>
          <cell r="C170" t="str">
            <v>Qtr 2</v>
          </cell>
          <cell r="D170" t="str">
            <v>April</v>
          </cell>
          <cell r="E170">
            <v>3</v>
          </cell>
          <cell r="F170" t="str">
            <v>CORRECTIVO</v>
          </cell>
          <cell r="G170">
            <v>1.766667</v>
          </cell>
          <cell r="H170" t="str">
            <v>Entry Production Color Low/Mid</v>
          </cell>
          <cell r="I170">
            <v>803</v>
          </cell>
          <cell r="J170">
            <v>1573</v>
          </cell>
          <cell r="K170">
            <v>0.2</v>
          </cell>
          <cell r="L170">
            <v>0.6</v>
          </cell>
          <cell r="M170">
            <v>0.8</v>
          </cell>
          <cell r="N170">
            <v>1.05</v>
          </cell>
          <cell r="O170">
            <v>1.1000000000000001</v>
          </cell>
          <cell r="P170">
            <v>1.1499999999999999</v>
          </cell>
          <cell r="Q170" t="str">
            <v>INTERIOR</v>
          </cell>
          <cell r="R170">
            <v>4</v>
          </cell>
          <cell r="S170">
            <v>6</v>
          </cell>
          <cell r="T170" t="str">
            <v>Ciudad principal</v>
          </cell>
          <cell r="U170" t="str">
            <v>Entry Production Color Low/Mid</v>
          </cell>
          <cell r="V170" t="str">
            <v>XEROX MEXICANA SA DE CV / XEROX MEXICANA</v>
          </cell>
          <cell r="W170" t="str">
            <v>NUEVO LEON</v>
          </cell>
          <cell r="X170">
            <v>2019</v>
          </cell>
          <cell r="Y170" t="str">
            <v>Qtr 2</v>
          </cell>
          <cell r="Z170" t="str">
            <v>April</v>
          </cell>
          <cell r="AA170">
            <v>3</v>
          </cell>
          <cell r="AB170">
            <v>230</v>
          </cell>
          <cell r="AC170">
            <v>1.1499999999999999</v>
          </cell>
          <cell r="AD170">
            <v>0.44166675</v>
          </cell>
          <cell r="AE170">
            <v>1808.95</v>
          </cell>
        </row>
        <row r="171">
          <cell r="A171" t="str">
            <v>0XPN553158</v>
          </cell>
          <cell r="B171">
            <v>2019</v>
          </cell>
          <cell r="C171" t="str">
            <v>Qtr 2</v>
          </cell>
          <cell r="D171" t="str">
            <v>April</v>
          </cell>
          <cell r="E171">
            <v>3</v>
          </cell>
          <cell r="F171" t="str">
            <v>MANTENIMIENTO PREVENTIVO</v>
          </cell>
          <cell r="G171">
            <v>0</v>
          </cell>
          <cell r="H171" t="str">
            <v>Entry Production Color Low/Mid</v>
          </cell>
          <cell r="I171">
            <v>803</v>
          </cell>
          <cell r="J171">
            <v>1573</v>
          </cell>
          <cell r="K171">
            <v>0.2</v>
          </cell>
          <cell r="L171">
            <v>0.6</v>
          </cell>
          <cell r="M171">
            <v>0.8</v>
          </cell>
          <cell r="N171">
            <v>1.05</v>
          </cell>
          <cell r="O171">
            <v>1.1000000000000001</v>
          </cell>
          <cell r="P171">
            <v>1.1499999999999999</v>
          </cell>
          <cell r="Q171" t="str">
            <v>INTERIOR</v>
          </cell>
          <cell r="R171">
            <v>4</v>
          </cell>
          <cell r="S171">
            <v>6</v>
          </cell>
          <cell r="T171" t="str">
            <v>Otras</v>
          </cell>
          <cell r="U171" t="str">
            <v>Entry Production Color Low/Mid</v>
          </cell>
          <cell r="V171" t="str">
            <v>XEROX MEXICANA SA DE CV / XEROX MEXICANA</v>
          </cell>
          <cell r="W171" t="str">
            <v>COAHUILA</v>
          </cell>
          <cell r="X171">
            <v>2019</v>
          </cell>
          <cell r="Y171" t="str">
            <v>Qtr 2</v>
          </cell>
          <cell r="Z171" t="str">
            <v>April</v>
          </cell>
          <cell r="AA171">
            <v>4</v>
          </cell>
          <cell r="AB171">
            <v>41</v>
          </cell>
          <cell r="AC171">
            <v>0</v>
          </cell>
          <cell r="AD171">
            <v>0</v>
          </cell>
          <cell r="AE171">
            <v>1573</v>
          </cell>
        </row>
        <row r="172">
          <cell r="A172" t="str">
            <v>9HB381838</v>
          </cell>
          <cell r="B172">
            <v>2019</v>
          </cell>
          <cell r="C172" t="str">
            <v>Qtr 2</v>
          </cell>
          <cell r="D172" t="str">
            <v>April</v>
          </cell>
          <cell r="E172">
            <v>3</v>
          </cell>
          <cell r="F172" t="str">
            <v>CORRECTIVO</v>
          </cell>
          <cell r="G172">
            <v>0.05</v>
          </cell>
          <cell r="H172" t="str">
            <v>A4 Mono MFPs</v>
          </cell>
          <cell r="I172">
            <v>468</v>
          </cell>
          <cell r="J172">
            <v>715</v>
          </cell>
          <cell r="K172">
            <v>0</v>
          </cell>
          <cell r="L172">
            <v>0</v>
          </cell>
          <cell r="M172">
            <v>0</v>
          </cell>
          <cell r="N172">
            <v>0.6</v>
          </cell>
          <cell r="O172">
            <v>0.8</v>
          </cell>
          <cell r="P172">
            <v>1.05</v>
          </cell>
          <cell r="Q172" t="str">
            <v>INTERIOR</v>
          </cell>
          <cell r="R172">
            <v>5</v>
          </cell>
          <cell r="S172">
            <v>9</v>
          </cell>
          <cell r="T172" t="str">
            <v>Ciudad principal</v>
          </cell>
          <cell r="U172" t="str">
            <v>A4 Mono MFPs</v>
          </cell>
          <cell r="V172" t="str">
            <v>XEROX MEXICANA SA DE CV / XEROX MEXICANA</v>
          </cell>
          <cell r="W172" t="str">
            <v>JALISCO</v>
          </cell>
          <cell r="X172">
            <v>2019</v>
          </cell>
          <cell r="Y172" t="str">
            <v>Qtr 2</v>
          </cell>
          <cell r="Z172" t="str">
            <v>April</v>
          </cell>
          <cell r="AA172">
            <v>5</v>
          </cell>
          <cell r="AB172">
            <v>41</v>
          </cell>
          <cell r="AC172">
            <v>0.8</v>
          </cell>
          <cell r="AD172">
            <v>0.01</v>
          </cell>
          <cell r="AE172">
            <v>572</v>
          </cell>
        </row>
        <row r="173">
          <cell r="A173" t="str">
            <v>Y4X830295</v>
          </cell>
          <cell r="B173">
            <v>2019</v>
          </cell>
          <cell r="C173" t="str">
            <v>Qtr 2</v>
          </cell>
          <cell r="D173" t="str">
            <v>April</v>
          </cell>
          <cell r="E173">
            <v>3</v>
          </cell>
          <cell r="F173" t="str">
            <v>CORRECTIVO</v>
          </cell>
          <cell r="G173">
            <v>1.6166670000000001</v>
          </cell>
          <cell r="H173" t="str">
            <v>Office Digital</v>
          </cell>
          <cell r="I173">
            <v>655</v>
          </cell>
          <cell r="J173">
            <v>1365</v>
          </cell>
          <cell r="K173">
            <v>0</v>
          </cell>
          <cell r="L173">
            <v>0</v>
          </cell>
          <cell r="M173">
            <v>0.6</v>
          </cell>
          <cell r="N173">
            <v>0.8</v>
          </cell>
          <cell r="O173">
            <v>1.05</v>
          </cell>
          <cell r="P173">
            <v>1.1000000000000001</v>
          </cell>
          <cell r="Q173" t="str">
            <v>INTERIOR</v>
          </cell>
          <cell r="R173">
            <v>5</v>
          </cell>
          <cell r="S173">
            <v>9</v>
          </cell>
          <cell r="T173" t="str">
            <v>Ciudad principal</v>
          </cell>
          <cell r="U173" t="str">
            <v>Light Production Digital Business</v>
          </cell>
          <cell r="V173" t="str">
            <v>XEROX MEXICANA SA DE CV / XEROX MEXICANA</v>
          </cell>
          <cell r="W173" t="str">
            <v>ESTADO DE MEXICO</v>
          </cell>
          <cell r="X173">
            <v>2019</v>
          </cell>
          <cell r="Y173" t="str">
            <v>Qtr 2</v>
          </cell>
          <cell r="Z173" t="str">
            <v>April</v>
          </cell>
          <cell r="AA173">
            <v>3</v>
          </cell>
          <cell r="AB173">
            <v>63</v>
          </cell>
          <cell r="AC173">
            <v>1.1000000000000001</v>
          </cell>
          <cell r="AD173">
            <v>0.32333339999999999</v>
          </cell>
          <cell r="AE173">
            <v>1501.5</v>
          </cell>
        </row>
        <row r="174">
          <cell r="A174" t="str">
            <v>03AG880377</v>
          </cell>
          <cell r="B174">
            <v>2019</v>
          </cell>
          <cell r="C174" t="str">
            <v>Qtr 2</v>
          </cell>
          <cell r="D174" t="str">
            <v>April</v>
          </cell>
          <cell r="E174">
            <v>4</v>
          </cell>
          <cell r="F174" t="str">
            <v>CORRECTIVO</v>
          </cell>
          <cell r="G174">
            <v>0.95</v>
          </cell>
          <cell r="H174" t="str">
            <v>Departmental Digital</v>
          </cell>
          <cell r="I174">
            <v>655</v>
          </cell>
          <cell r="J174">
            <v>1365</v>
          </cell>
          <cell r="K174">
            <v>0</v>
          </cell>
          <cell r="L174">
            <v>0</v>
          </cell>
          <cell r="M174">
            <v>0.6</v>
          </cell>
          <cell r="N174">
            <v>0.8</v>
          </cell>
          <cell r="O174">
            <v>1.05</v>
          </cell>
          <cell r="P174">
            <v>1.1000000000000001</v>
          </cell>
          <cell r="Q174" t="str">
            <v>INTERIOR</v>
          </cell>
          <cell r="R174">
            <v>5</v>
          </cell>
          <cell r="S174">
            <v>9</v>
          </cell>
          <cell r="T174" t="str">
            <v>Ciudad principal</v>
          </cell>
          <cell r="U174" t="str">
            <v>Light Production Digital Business</v>
          </cell>
          <cell r="V174" t="str">
            <v>XEROX MEXICANA SA DE CV / XEROX MEXICANA</v>
          </cell>
          <cell r="W174" t="str">
            <v>GUANAJUATO</v>
          </cell>
          <cell r="X174">
            <v>2019</v>
          </cell>
          <cell r="Y174" t="str">
            <v>Qtr 2</v>
          </cell>
          <cell r="Z174" t="str">
            <v>April</v>
          </cell>
          <cell r="AA174">
            <v>4</v>
          </cell>
          <cell r="AB174">
            <v>3</v>
          </cell>
          <cell r="AC174">
            <v>0</v>
          </cell>
          <cell r="AD174">
            <v>0.19</v>
          </cell>
          <cell r="AE174">
            <v>0</v>
          </cell>
        </row>
        <row r="175">
          <cell r="A175" t="str">
            <v>03BT802213</v>
          </cell>
          <cell r="B175">
            <v>2019</v>
          </cell>
          <cell r="C175" t="str">
            <v>Qtr 2</v>
          </cell>
          <cell r="D175" t="str">
            <v>April</v>
          </cell>
          <cell r="E175">
            <v>4</v>
          </cell>
          <cell r="F175" t="str">
            <v>CORRECTIVO</v>
          </cell>
          <cell r="G175">
            <v>0.26666669999999998</v>
          </cell>
          <cell r="H175" t="str">
            <v>A4 Mono MFPs</v>
          </cell>
          <cell r="I175">
            <v>468</v>
          </cell>
          <cell r="J175">
            <v>715</v>
          </cell>
          <cell r="K175">
            <v>0</v>
          </cell>
          <cell r="L175">
            <v>0</v>
          </cell>
          <cell r="M175">
            <v>0</v>
          </cell>
          <cell r="N175">
            <v>0.6</v>
          </cell>
          <cell r="O175">
            <v>0.8</v>
          </cell>
          <cell r="P175">
            <v>1.05</v>
          </cell>
          <cell r="Q175" t="str">
            <v>INTERIOR</v>
          </cell>
          <cell r="R175">
            <v>5</v>
          </cell>
          <cell r="S175">
            <v>9</v>
          </cell>
          <cell r="T175" t="str">
            <v>Ciudad principal</v>
          </cell>
          <cell r="U175" t="str">
            <v>A4 Mono MFPs</v>
          </cell>
          <cell r="V175" t="str">
            <v>XEROX MEXICANA SA DE CV / XEROX MEXICANA</v>
          </cell>
          <cell r="W175" t="str">
            <v>MICHOACAN</v>
          </cell>
          <cell r="X175">
            <v>2019</v>
          </cell>
          <cell r="Y175" t="str">
            <v>Qtr 2</v>
          </cell>
          <cell r="Z175" t="str">
            <v>April</v>
          </cell>
          <cell r="AA175">
            <v>5</v>
          </cell>
          <cell r="AB175">
            <v>155</v>
          </cell>
          <cell r="AC175">
            <v>1.05</v>
          </cell>
          <cell r="AD175">
            <v>5.333334E-2</v>
          </cell>
          <cell r="AE175">
            <v>750.75</v>
          </cell>
        </row>
        <row r="176">
          <cell r="A176" t="str">
            <v>0A1H022391</v>
          </cell>
          <cell r="B176">
            <v>2019</v>
          </cell>
          <cell r="C176" t="str">
            <v>Qtr 2</v>
          </cell>
          <cell r="D176" t="str">
            <v>April</v>
          </cell>
          <cell r="E176">
            <v>4</v>
          </cell>
          <cell r="F176" t="str">
            <v>CORRECTIVO</v>
          </cell>
          <cell r="G176">
            <v>1.766667</v>
          </cell>
          <cell r="I176" t="str">
            <v>NA</v>
          </cell>
          <cell r="J176" t="str">
            <v>NA</v>
          </cell>
          <cell r="K176" t="str">
            <v>NA</v>
          </cell>
          <cell r="L176" t="str">
            <v>NA</v>
          </cell>
          <cell r="M176" t="str">
            <v>NA</v>
          </cell>
          <cell r="N176" t="str">
            <v>NA</v>
          </cell>
          <cell r="O176" t="str">
            <v>NA</v>
          </cell>
          <cell r="P176" t="str">
            <v>NA</v>
          </cell>
          <cell r="R176" t="str">
            <v>NA</v>
          </cell>
          <cell r="S176" t="str">
            <v>NA</v>
          </cell>
          <cell r="U176" t="str">
            <v>WF Mono Systems and Legacy Color</v>
          </cell>
          <cell r="V176" t="str">
            <v>XEROX MEXICANA SA DE CV / XEROX MEXICANA</v>
          </cell>
          <cell r="W176" t="str">
            <v>SAN LUIS POTOSI</v>
          </cell>
          <cell r="X176">
            <v>2019</v>
          </cell>
          <cell r="Y176" t="str">
            <v>Qtr 2</v>
          </cell>
          <cell r="Z176" t="str">
            <v>April</v>
          </cell>
          <cell r="AA176">
            <v>5</v>
          </cell>
          <cell r="AB176">
            <v>0</v>
          </cell>
          <cell r="AC176">
            <v>1.1000000000000001</v>
          </cell>
          <cell r="AD176">
            <v>0</v>
          </cell>
          <cell r="AE176">
            <v>235.95</v>
          </cell>
        </row>
        <row r="177">
          <cell r="A177" t="str">
            <v>0A2T199940</v>
          </cell>
          <cell r="B177">
            <v>2019</v>
          </cell>
          <cell r="C177" t="str">
            <v>Qtr 2</v>
          </cell>
          <cell r="D177" t="str">
            <v>April</v>
          </cell>
          <cell r="E177">
            <v>4</v>
          </cell>
          <cell r="F177" t="str">
            <v>CORRECTIVO</v>
          </cell>
          <cell r="G177">
            <v>1.5</v>
          </cell>
          <cell r="H177" t="str">
            <v>A4 Mono MFPs</v>
          </cell>
          <cell r="I177">
            <v>468</v>
          </cell>
          <cell r="J177">
            <v>715</v>
          </cell>
          <cell r="K177">
            <v>0</v>
          </cell>
          <cell r="L177">
            <v>0</v>
          </cell>
          <cell r="M177">
            <v>0</v>
          </cell>
          <cell r="N177">
            <v>0.6</v>
          </cell>
          <cell r="O177">
            <v>0.8</v>
          </cell>
          <cell r="P177">
            <v>1.05</v>
          </cell>
          <cell r="Q177" t="str">
            <v>INTERIOR</v>
          </cell>
          <cell r="R177">
            <v>5</v>
          </cell>
          <cell r="S177">
            <v>9</v>
          </cell>
          <cell r="T177" t="str">
            <v>Ciudad principal</v>
          </cell>
          <cell r="U177" t="str">
            <v>A4 Mono MFPs</v>
          </cell>
          <cell r="V177" t="str">
            <v>XEROX MEXICANA SA DE CV / XEROX MEXICANA</v>
          </cell>
          <cell r="W177" t="str">
            <v>ESTADO DE MEXICO</v>
          </cell>
          <cell r="X177">
            <v>2019</v>
          </cell>
          <cell r="Y177" t="str">
            <v>Qtr 2</v>
          </cell>
          <cell r="Z177" t="str">
            <v>April</v>
          </cell>
          <cell r="AA177">
            <v>11</v>
          </cell>
          <cell r="AB177">
            <v>35</v>
          </cell>
          <cell r="AC177">
            <v>0.8</v>
          </cell>
          <cell r="AD177">
            <v>0.3</v>
          </cell>
          <cell r="AE177">
            <v>572</v>
          </cell>
        </row>
        <row r="178">
          <cell r="A178" t="str">
            <v>0A2T200458</v>
          </cell>
          <cell r="B178">
            <v>2019</v>
          </cell>
          <cell r="C178" t="str">
            <v>Qtr 2</v>
          </cell>
          <cell r="D178" t="str">
            <v>April</v>
          </cell>
          <cell r="E178">
            <v>4</v>
          </cell>
          <cell r="F178" t="str">
            <v>CORRECTIVO</v>
          </cell>
          <cell r="G178">
            <v>2.4500000000000002</v>
          </cell>
          <cell r="H178" t="str">
            <v>A4 Mono MFPs</v>
          </cell>
          <cell r="I178">
            <v>468</v>
          </cell>
          <cell r="J178">
            <v>715</v>
          </cell>
          <cell r="K178">
            <v>0</v>
          </cell>
          <cell r="L178">
            <v>0</v>
          </cell>
          <cell r="M178">
            <v>0</v>
          </cell>
          <cell r="N178">
            <v>0.6</v>
          </cell>
          <cell r="O178">
            <v>0.8</v>
          </cell>
          <cell r="P178">
            <v>1.05</v>
          </cell>
          <cell r="Q178" t="str">
            <v>INTERIOR</v>
          </cell>
          <cell r="R178">
            <v>5</v>
          </cell>
          <cell r="S178">
            <v>9</v>
          </cell>
          <cell r="T178" t="str">
            <v>Otras</v>
          </cell>
          <cell r="U178" t="str">
            <v>A4 Mono MFPs</v>
          </cell>
          <cell r="V178" t="str">
            <v>XEROX MEXICANA SA DE CV / XEROX MEXICANA</v>
          </cell>
          <cell r="W178" t="str">
            <v>NUEVO LEON</v>
          </cell>
          <cell r="X178">
            <v>2019</v>
          </cell>
          <cell r="Y178" t="str">
            <v>Qtr 2</v>
          </cell>
          <cell r="Z178" t="str">
            <v>April</v>
          </cell>
          <cell r="AA178">
            <v>8</v>
          </cell>
          <cell r="AB178">
            <v>119</v>
          </cell>
          <cell r="AC178">
            <v>1.05</v>
          </cell>
          <cell r="AD178">
            <v>0.27222222222222198</v>
          </cell>
          <cell r="AE178">
            <v>750.75</v>
          </cell>
        </row>
        <row r="179">
          <cell r="A179" t="str">
            <v>0A4T557615</v>
          </cell>
          <cell r="B179">
            <v>2019</v>
          </cell>
          <cell r="C179" t="str">
            <v>Qtr 2</v>
          </cell>
          <cell r="D179" t="str">
            <v>April</v>
          </cell>
          <cell r="E179">
            <v>4</v>
          </cell>
          <cell r="F179" t="str">
            <v>CORRECTIVO</v>
          </cell>
          <cell r="G179">
            <v>1.066667</v>
          </cell>
          <cell r="H179" t="str">
            <v>Entry Mono Printers</v>
          </cell>
          <cell r="I179">
            <v>468</v>
          </cell>
          <cell r="J179">
            <v>715</v>
          </cell>
          <cell r="K179">
            <v>0</v>
          </cell>
          <cell r="L179">
            <v>0</v>
          </cell>
          <cell r="M179">
            <v>0</v>
          </cell>
          <cell r="N179">
            <v>0.6</v>
          </cell>
          <cell r="O179">
            <v>0.8</v>
          </cell>
          <cell r="P179">
            <v>1.05</v>
          </cell>
          <cell r="Q179" t="str">
            <v>INTERIOR</v>
          </cell>
          <cell r="R179">
            <v>5</v>
          </cell>
          <cell r="S179">
            <v>9</v>
          </cell>
          <cell r="T179" t="str">
            <v>Ciudad principal</v>
          </cell>
          <cell r="U179" t="str">
            <v>A4 Mono MFPs</v>
          </cell>
          <cell r="V179" t="str">
            <v>XEROX MEXICANA SA DE CV / XEROX MEXICANA</v>
          </cell>
          <cell r="W179" t="str">
            <v>JALISCO</v>
          </cell>
          <cell r="X179">
            <v>2019</v>
          </cell>
          <cell r="Y179" t="str">
            <v>Qtr 2</v>
          </cell>
          <cell r="Z179" t="str">
            <v>April</v>
          </cell>
          <cell r="AA179">
            <v>9</v>
          </cell>
          <cell r="AB179">
            <v>41</v>
          </cell>
          <cell r="AC179">
            <v>0.8</v>
          </cell>
          <cell r="AD179">
            <v>0.21333340000000001</v>
          </cell>
          <cell r="AE179">
            <v>572</v>
          </cell>
        </row>
        <row r="180">
          <cell r="A180" t="str">
            <v>0A4T558379</v>
          </cell>
          <cell r="B180">
            <v>2019</v>
          </cell>
          <cell r="C180" t="str">
            <v>Qtr 2</v>
          </cell>
          <cell r="D180" t="str">
            <v>April</v>
          </cell>
          <cell r="E180">
            <v>4</v>
          </cell>
          <cell r="F180" t="str">
            <v>CORRECTIVO</v>
          </cell>
          <cell r="G180">
            <v>0.81666669999999997</v>
          </cell>
          <cell r="H180" t="str">
            <v>Entry Mono Printers</v>
          </cell>
          <cell r="I180">
            <v>468</v>
          </cell>
          <cell r="J180">
            <v>715</v>
          </cell>
          <cell r="K180">
            <v>0</v>
          </cell>
          <cell r="L180">
            <v>0</v>
          </cell>
          <cell r="M180">
            <v>0</v>
          </cell>
          <cell r="N180">
            <v>0.6</v>
          </cell>
          <cell r="O180">
            <v>0.8</v>
          </cell>
          <cell r="P180">
            <v>1.05</v>
          </cell>
          <cell r="Q180" t="str">
            <v>INTERIOR</v>
          </cell>
          <cell r="R180">
            <v>5</v>
          </cell>
          <cell r="S180">
            <v>9</v>
          </cell>
          <cell r="T180" t="str">
            <v>Ciudad principal</v>
          </cell>
          <cell r="U180" t="str">
            <v>A4 Mono MFPs</v>
          </cell>
          <cell r="V180" t="str">
            <v>XEROX MEXICANA SA DE CV / XEROX MEXICANA</v>
          </cell>
          <cell r="W180" t="str">
            <v>JALISCO</v>
          </cell>
          <cell r="X180">
            <v>2019</v>
          </cell>
          <cell r="Y180" t="str">
            <v>Qtr 2</v>
          </cell>
          <cell r="Z180" t="str">
            <v>April</v>
          </cell>
          <cell r="AA180">
            <v>9</v>
          </cell>
          <cell r="AB180">
            <v>34</v>
          </cell>
          <cell r="AC180">
            <v>0.8</v>
          </cell>
          <cell r="AD180">
            <v>0.16333333999999999</v>
          </cell>
          <cell r="AE180">
            <v>572</v>
          </cell>
        </row>
        <row r="181">
          <cell r="A181" t="str">
            <v>0AGE474522</v>
          </cell>
          <cell r="B181">
            <v>2019</v>
          </cell>
          <cell r="C181" t="str">
            <v>Qtr 2</v>
          </cell>
          <cell r="D181" t="str">
            <v>April</v>
          </cell>
          <cell r="E181">
            <v>4</v>
          </cell>
          <cell r="F181" t="str">
            <v>MANTENIMIENTO PREVENTIVO</v>
          </cell>
          <cell r="G181">
            <v>0</v>
          </cell>
          <cell r="H181" t="str">
            <v>WF Mono Systems and Legacy Color</v>
          </cell>
          <cell r="I181">
            <v>803</v>
          </cell>
          <cell r="J181">
            <v>1573</v>
          </cell>
          <cell r="K181">
            <v>0.2</v>
          </cell>
          <cell r="L181">
            <v>0.6</v>
          </cell>
          <cell r="M181">
            <v>0.8</v>
          </cell>
          <cell r="N181">
            <v>1.05</v>
          </cell>
          <cell r="O181">
            <v>1.1000000000000001</v>
          </cell>
          <cell r="P181">
            <v>1.1499999999999999</v>
          </cell>
          <cell r="Q181" t="str">
            <v>INTERIOR</v>
          </cell>
          <cell r="R181">
            <v>4</v>
          </cell>
          <cell r="S181">
            <v>6</v>
          </cell>
          <cell r="T181" t="str">
            <v>Ciudad principal</v>
          </cell>
          <cell r="U181" t="str">
            <v>WF Mono Systems and Legacy Color</v>
          </cell>
          <cell r="V181" t="str">
            <v>XEROX MEXICANA SA DE CV / XEROX MEXICANA</v>
          </cell>
          <cell r="W181" t="str">
            <v>TAMAULIPAS</v>
          </cell>
          <cell r="X181">
            <v>2019</v>
          </cell>
          <cell r="Y181" t="str">
            <v>Qtr 2</v>
          </cell>
          <cell r="Z181" t="str">
            <v>April</v>
          </cell>
          <cell r="AA181">
            <v>4</v>
          </cell>
          <cell r="AB181">
            <v>8</v>
          </cell>
          <cell r="AC181">
            <v>0</v>
          </cell>
          <cell r="AD181">
            <v>0</v>
          </cell>
          <cell r="AE181">
            <v>1573</v>
          </cell>
        </row>
        <row r="182">
          <cell r="A182" t="str">
            <v>0BG0968959</v>
          </cell>
          <cell r="B182">
            <v>2019</v>
          </cell>
          <cell r="C182" t="str">
            <v>Qtr 2</v>
          </cell>
          <cell r="D182" t="str">
            <v>April</v>
          </cell>
          <cell r="E182">
            <v>4</v>
          </cell>
          <cell r="F182" t="str">
            <v>CORRECTIVO</v>
          </cell>
          <cell r="G182">
            <v>1.7166669999999999</v>
          </cell>
          <cell r="H182" t="str">
            <v>Light Production Digital Business</v>
          </cell>
          <cell r="I182">
            <v>803</v>
          </cell>
          <cell r="J182">
            <v>1573</v>
          </cell>
          <cell r="K182">
            <v>0.2</v>
          </cell>
          <cell r="L182">
            <v>0.6</v>
          </cell>
          <cell r="M182">
            <v>0.8</v>
          </cell>
          <cell r="N182">
            <v>1.05</v>
          </cell>
          <cell r="O182">
            <v>1.1000000000000001</v>
          </cell>
          <cell r="P182">
            <v>1.1499999999999999</v>
          </cell>
          <cell r="Q182" t="str">
            <v>INTERIOR</v>
          </cell>
          <cell r="R182">
            <v>4</v>
          </cell>
          <cell r="S182">
            <v>6</v>
          </cell>
          <cell r="T182" t="str">
            <v>Ciudad principal</v>
          </cell>
          <cell r="U182" t="str">
            <v>High End Cut Sheet</v>
          </cell>
          <cell r="V182" t="str">
            <v>XEROX MEXICANA SA DE CV / XEROX MEXICANA</v>
          </cell>
          <cell r="W182" t="str">
            <v>ESTADO DE MEXICO</v>
          </cell>
          <cell r="X182">
            <v>2019</v>
          </cell>
          <cell r="Y182" t="str">
            <v>Qtr 2</v>
          </cell>
          <cell r="Z182" t="str">
            <v>April</v>
          </cell>
          <cell r="AA182">
            <v>4</v>
          </cell>
          <cell r="AB182">
            <v>42</v>
          </cell>
          <cell r="AC182">
            <v>1.1000000000000001</v>
          </cell>
          <cell r="AD182">
            <v>0.42916674999999999</v>
          </cell>
          <cell r="AE182">
            <v>1730.3</v>
          </cell>
        </row>
        <row r="183">
          <cell r="A183" t="str">
            <v>0BG0972049</v>
          </cell>
          <cell r="B183">
            <v>2019</v>
          </cell>
          <cell r="C183" t="str">
            <v>Qtr 2</v>
          </cell>
          <cell r="D183" t="str">
            <v>April</v>
          </cell>
          <cell r="E183">
            <v>4</v>
          </cell>
          <cell r="F183" t="str">
            <v>CORRECTIVO</v>
          </cell>
          <cell r="G183">
            <v>1.766667</v>
          </cell>
          <cell r="H183" t="str">
            <v>Light Production Digital Business</v>
          </cell>
          <cell r="I183">
            <v>803</v>
          </cell>
          <cell r="J183">
            <v>1573</v>
          </cell>
          <cell r="K183">
            <v>0.2</v>
          </cell>
          <cell r="L183">
            <v>0.6</v>
          </cell>
          <cell r="M183">
            <v>0.8</v>
          </cell>
          <cell r="N183">
            <v>1.05</v>
          </cell>
          <cell r="O183">
            <v>1.1000000000000001</v>
          </cell>
          <cell r="P183">
            <v>1.1499999999999999</v>
          </cell>
          <cell r="Q183" t="str">
            <v>INTERIOR</v>
          </cell>
          <cell r="R183">
            <v>4</v>
          </cell>
          <cell r="S183">
            <v>6</v>
          </cell>
          <cell r="T183" t="str">
            <v>Ciudad principal</v>
          </cell>
          <cell r="U183" t="str">
            <v>High End Cut Sheet</v>
          </cell>
          <cell r="V183" t="str">
            <v>XEROX MEXICANA SA DE CV / XEROX MEXICANA</v>
          </cell>
          <cell r="W183" t="str">
            <v>GUANAJUATO</v>
          </cell>
          <cell r="X183">
            <v>2019</v>
          </cell>
          <cell r="Y183" t="str">
            <v>Qtr 2</v>
          </cell>
          <cell r="Z183" t="str">
            <v>April</v>
          </cell>
          <cell r="AA183">
            <v>4</v>
          </cell>
          <cell r="AB183">
            <v>192</v>
          </cell>
          <cell r="AC183">
            <v>1.1499999999999999</v>
          </cell>
          <cell r="AD183">
            <v>0.44166675</v>
          </cell>
          <cell r="AE183">
            <v>1808.95</v>
          </cell>
        </row>
        <row r="184">
          <cell r="A184" t="str">
            <v>0BG0973687</v>
          </cell>
          <cell r="B184">
            <v>2019</v>
          </cell>
          <cell r="C184" t="str">
            <v>Qtr 2</v>
          </cell>
          <cell r="D184" t="str">
            <v>April</v>
          </cell>
          <cell r="E184">
            <v>4</v>
          </cell>
          <cell r="F184" t="str">
            <v>CORRECTIVO</v>
          </cell>
          <cell r="G184">
            <v>1.266667</v>
          </cell>
          <cell r="H184" t="str">
            <v>Light Production Digital Business</v>
          </cell>
          <cell r="I184">
            <v>803</v>
          </cell>
          <cell r="J184">
            <v>1573</v>
          </cell>
          <cell r="K184">
            <v>0.2</v>
          </cell>
          <cell r="L184">
            <v>0.6</v>
          </cell>
          <cell r="M184">
            <v>0.8</v>
          </cell>
          <cell r="N184">
            <v>1.05</v>
          </cell>
          <cell r="O184">
            <v>1.1000000000000001</v>
          </cell>
          <cell r="P184">
            <v>1.1499999999999999</v>
          </cell>
          <cell r="Q184" t="str">
            <v>INTERIOR</v>
          </cell>
          <cell r="R184">
            <v>4</v>
          </cell>
          <cell r="S184">
            <v>6</v>
          </cell>
          <cell r="T184" t="str">
            <v>Ciudad principal</v>
          </cell>
          <cell r="U184" t="str">
            <v>High End Cut Sheet</v>
          </cell>
          <cell r="V184" t="str">
            <v>XEROX MEXICANA SA DE CV / XEROX MEXICANA</v>
          </cell>
          <cell r="W184" t="str">
            <v>NUEVO LEON</v>
          </cell>
          <cell r="X184">
            <v>2019</v>
          </cell>
          <cell r="Y184" t="str">
            <v>Qtr 2</v>
          </cell>
          <cell r="Z184" t="str">
            <v>April</v>
          </cell>
          <cell r="AA184">
            <v>9</v>
          </cell>
          <cell r="AB184">
            <v>51</v>
          </cell>
          <cell r="AC184">
            <v>1.1000000000000001</v>
          </cell>
          <cell r="AD184">
            <v>0.31666675</v>
          </cell>
          <cell r="AE184">
            <v>1730.3</v>
          </cell>
        </row>
        <row r="185">
          <cell r="A185" t="str">
            <v>0BG1000997</v>
          </cell>
          <cell r="B185">
            <v>2019</v>
          </cell>
          <cell r="C185" t="str">
            <v>Qtr 2</v>
          </cell>
          <cell r="D185" t="str">
            <v>April</v>
          </cell>
          <cell r="E185">
            <v>4</v>
          </cell>
          <cell r="F185" t="str">
            <v>CORRECTIVO</v>
          </cell>
          <cell r="G185">
            <v>0.56666669999999997</v>
          </cell>
          <cell r="H185" t="str">
            <v>Light Production Digital Business</v>
          </cell>
          <cell r="I185">
            <v>803</v>
          </cell>
          <cell r="J185">
            <v>1573</v>
          </cell>
          <cell r="K185">
            <v>0.2</v>
          </cell>
          <cell r="L185">
            <v>0.6</v>
          </cell>
          <cell r="M185">
            <v>0.8</v>
          </cell>
          <cell r="N185">
            <v>1.05</v>
          </cell>
          <cell r="O185">
            <v>1.1000000000000001</v>
          </cell>
          <cell r="P185">
            <v>1.1499999999999999</v>
          </cell>
          <cell r="Q185" t="str">
            <v>INTERIOR</v>
          </cell>
          <cell r="R185">
            <v>4</v>
          </cell>
          <cell r="S185">
            <v>6</v>
          </cell>
          <cell r="T185" t="str">
            <v>Ciudad principal</v>
          </cell>
          <cell r="U185" t="str">
            <v>High End Cut Sheet</v>
          </cell>
          <cell r="V185" t="str">
            <v>XEROX MEXICANA SA DE CV / XEROX MEXICANA</v>
          </cell>
          <cell r="W185" t="str">
            <v>NUEVO LEON</v>
          </cell>
          <cell r="X185">
            <v>2019</v>
          </cell>
          <cell r="Y185" t="str">
            <v>Qtr 2</v>
          </cell>
          <cell r="Z185" t="str">
            <v>April</v>
          </cell>
          <cell r="AA185">
            <v>5</v>
          </cell>
          <cell r="AB185">
            <v>16</v>
          </cell>
          <cell r="AC185">
            <v>1.05</v>
          </cell>
          <cell r="AD185">
            <v>0.14166667499999999</v>
          </cell>
          <cell r="AE185">
            <v>1651.65</v>
          </cell>
        </row>
        <row r="186">
          <cell r="A186" t="str">
            <v>0BG2946917</v>
          </cell>
          <cell r="B186">
            <v>2019</v>
          </cell>
          <cell r="C186" t="str">
            <v>Qtr 2</v>
          </cell>
          <cell r="D186" t="str">
            <v>April</v>
          </cell>
          <cell r="E186">
            <v>4</v>
          </cell>
          <cell r="F186" t="str">
            <v>CORRECTIVO</v>
          </cell>
          <cell r="G186">
            <v>0.46666669999999999</v>
          </cell>
          <cell r="H186" t="str">
            <v>Light Production Digital Business</v>
          </cell>
          <cell r="I186">
            <v>803</v>
          </cell>
          <cell r="J186">
            <v>1573</v>
          </cell>
          <cell r="K186">
            <v>0.2</v>
          </cell>
          <cell r="L186">
            <v>0.6</v>
          </cell>
          <cell r="M186">
            <v>0.8</v>
          </cell>
          <cell r="N186">
            <v>1.05</v>
          </cell>
          <cell r="O186">
            <v>1.1000000000000001</v>
          </cell>
          <cell r="P186">
            <v>1.1499999999999999</v>
          </cell>
          <cell r="Q186" t="str">
            <v>INTERIOR</v>
          </cell>
          <cell r="R186">
            <v>4</v>
          </cell>
          <cell r="S186">
            <v>6</v>
          </cell>
          <cell r="T186" t="str">
            <v>Otras</v>
          </cell>
          <cell r="U186" t="str">
            <v>High End Cut Sheet</v>
          </cell>
          <cell r="V186" t="str">
            <v>XEROX MEXICANA SA DE CV / XEROX MEXICANA</v>
          </cell>
          <cell r="W186" t="str">
            <v>COAHUILA</v>
          </cell>
          <cell r="X186">
            <v>2019</v>
          </cell>
          <cell r="Y186" t="str">
            <v>Qtr 2</v>
          </cell>
          <cell r="Z186" t="str">
            <v>April</v>
          </cell>
          <cell r="AA186">
            <v>5</v>
          </cell>
          <cell r="AB186">
            <v>99</v>
          </cell>
          <cell r="AC186">
            <v>1.1499999999999999</v>
          </cell>
          <cell r="AD186">
            <v>7.7777783333333295E-2</v>
          </cell>
          <cell r="AE186">
            <v>1808.95</v>
          </cell>
        </row>
        <row r="187">
          <cell r="A187" t="str">
            <v>0BG2947159</v>
          </cell>
          <cell r="B187">
            <v>2019</v>
          </cell>
          <cell r="C187" t="str">
            <v>Qtr 2</v>
          </cell>
          <cell r="D187" t="str">
            <v>April</v>
          </cell>
          <cell r="E187">
            <v>4</v>
          </cell>
          <cell r="F187" t="str">
            <v>MANTENIMIENTO PREVENTIVO</v>
          </cell>
          <cell r="G187">
            <v>0</v>
          </cell>
          <cell r="H187" t="str">
            <v>Light Production Digital Business</v>
          </cell>
          <cell r="I187">
            <v>803</v>
          </cell>
          <cell r="J187">
            <v>1573</v>
          </cell>
          <cell r="K187">
            <v>0.2</v>
          </cell>
          <cell r="L187">
            <v>0.6</v>
          </cell>
          <cell r="M187">
            <v>0.8</v>
          </cell>
          <cell r="N187">
            <v>1.05</v>
          </cell>
          <cell r="O187">
            <v>1.1000000000000001</v>
          </cell>
          <cell r="P187">
            <v>1.1499999999999999</v>
          </cell>
          <cell r="Q187" t="str">
            <v>INTERIOR</v>
          </cell>
          <cell r="R187">
            <v>4</v>
          </cell>
          <cell r="S187">
            <v>6</v>
          </cell>
          <cell r="T187" t="str">
            <v>Ciudad principal</v>
          </cell>
          <cell r="U187" t="str">
            <v>High End Cut Sheet</v>
          </cell>
          <cell r="V187" t="str">
            <v>XEROX MEXICANA SA DE CV / XEROX MEXICANA</v>
          </cell>
          <cell r="W187" t="str">
            <v>NUEVO LEON</v>
          </cell>
          <cell r="X187">
            <v>2019</v>
          </cell>
          <cell r="Y187" t="str">
            <v>Qtr 2</v>
          </cell>
          <cell r="Z187" t="str">
            <v>April</v>
          </cell>
          <cell r="AA187">
            <v>4</v>
          </cell>
          <cell r="AB187">
            <v>3</v>
          </cell>
          <cell r="AC187">
            <v>0</v>
          </cell>
          <cell r="AD187">
            <v>0</v>
          </cell>
          <cell r="AE187">
            <v>1573</v>
          </cell>
        </row>
        <row r="188">
          <cell r="A188" t="str">
            <v>0C4X002927</v>
          </cell>
          <cell r="B188">
            <v>2019</v>
          </cell>
          <cell r="C188" t="str">
            <v>Qtr 2</v>
          </cell>
          <cell r="D188" t="str">
            <v>April</v>
          </cell>
          <cell r="E188">
            <v>4</v>
          </cell>
          <cell r="F188" t="str">
            <v>CORRECTIVO</v>
          </cell>
          <cell r="G188">
            <v>0</v>
          </cell>
          <cell r="H188" t="str">
            <v>A4 Mono MFPs</v>
          </cell>
          <cell r="I188">
            <v>468</v>
          </cell>
          <cell r="J188">
            <v>715</v>
          </cell>
          <cell r="K188">
            <v>0</v>
          </cell>
          <cell r="L188">
            <v>0</v>
          </cell>
          <cell r="M188">
            <v>0</v>
          </cell>
          <cell r="N188">
            <v>0.6</v>
          </cell>
          <cell r="O188">
            <v>0.8</v>
          </cell>
          <cell r="P188">
            <v>1.05</v>
          </cell>
          <cell r="Q188" t="str">
            <v>INTERIOR</v>
          </cell>
          <cell r="R188">
            <v>5</v>
          </cell>
          <cell r="S188">
            <v>9</v>
          </cell>
          <cell r="T188" t="str">
            <v>Ciudad principal</v>
          </cell>
          <cell r="U188" t="str">
            <v>A4 Mono MFPs</v>
          </cell>
          <cell r="V188" t="str">
            <v>XEROX MEXICANA SA DE CV / XEROX MEXICANA</v>
          </cell>
          <cell r="W188" t="str">
            <v>CHIHUAHUA</v>
          </cell>
          <cell r="X188">
            <v>2019</v>
          </cell>
          <cell r="Y188" t="str">
            <v>Qtr 2</v>
          </cell>
          <cell r="Z188" t="str">
            <v>April</v>
          </cell>
          <cell r="AA188">
            <v>4</v>
          </cell>
          <cell r="AB188">
            <v>352</v>
          </cell>
          <cell r="AC188">
            <v>1.05</v>
          </cell>
          <cell r="AD188">
            <v>0</v>
          </cell>
          <cell r="AE188">
            <v>750.75</v>
          </cell>
        </row>
        <row r="189">
          <cell r="A189" t="str">
            <v>0C4X008558</v>
          </cell>
          <cell r="B189">
            <v>2019</v>
          </cell>
          <cell r="C189" t="str">
            <v>Qtr 2</v>
          </cell>
          <cell r="D189" t="str">
            <v>April</v>
          </cell>
          <cell r="E189">
            <v>4</v>
          </cell>
          <cell r="F189" t="str">
            <v>CORRECTIVO</v>
          </cell>
          <cell r="G189">
            <v>2.3166669999999998</v>
          </cell>
          <cell r="H189" t="str">
            <v>A4 Mono MFPs</v>
          </cell>
          <cell r="I189">
            <v>468</v>
          </cell>
          <cell r="J189">
            <v>715</v>
          </cell>
          <cell r="K189">
            <v>0</v>
          </cell>
          <cell r="L189">
            <v>0</v>
          </cell>
          <cell r="M189">
            <v>0</v>
          </cell>
          <cell r="N189">
            <v>0.6</v>
          </cell>
          <cell r="O189">
            <v>0.8</v>
          </cell>
          <cell r="P189">
            <v>1.05</v>
          </cell>
          <cell r="Q189" t="str">
            <v>INTERIOR</v>
          </cell>
          <cell r="R189">
            <v>5</v>
          </cell>
          <cell r="S189">
            <v>9</v>
          </cell>
          <cell r="T189" t="str">
            <v>Ciudad principal</v>
          </cell>
          <cell r="U189" t="str">
            <v>A4 Mono MFPs</v>
          </cell>
          <cell r="V189" t="str">
            <v>XEROX MEXICANA SA DE CV / XEROX MEXICANA</v>
          </cell>
          <cell r="W189" t="str">
            <v>GUANAJUATO</v>
          </cell>
          <cell r="X189">
            <v>2019</v>
          </cell>
          <cell r="Y189" t="str">
            <v>Qtr 2</v>
          </cell>
          <cell r="Z189" t="str">
            <v>April</v>
          </cell>
          <cell r="AA189">
            <v>9</v>
          </cell>
          <cell r="AB189">
            <v>156</v>
          </cell>
          <cell r="AC189">
            <v>1.05</v>
          </cell>
          <cell r="AD189">
            <v>0.46333340000000001</v>
          </cell>
          <cell r="AE189">
            <v>750.75</v>
          </cell>
        </row>
        <row r="190">
          <cell r="A190" t="str">
            <v>0E1B980062</v>
          </cell>
          <cell r="B190">
            <v>2019</v>
          </cell>
          <cell r="C190" t="str">
            <v>Qtr 2</v>
          </cell>
          <cell r="D190" t="str">
            <v>April</v>
          </cell>
          <cell r="E190">
            <v>4</v>
          </cell>
          <cell r="F190" t="str">
            <v>CORRECTIVO</v>
          </cell>
          <cell r="G190">
            <v>1.5</v>
          </cell>
          <cell r="H190" t="str">
            <v>A4 Color Laser MFPs</v>
          </cell>
          <cell r="I190">
            <v>468</v>
          </cell>
          <cell r="J190">
            <v>715</v>
          </cell>
          <cell r="K190">
            <v>0</v>
          </cell>
          <cell r="L190">
            <v>0</v>
          </cell>
          <cell r="M190">
            <v>0</v>
          </cell>
          <cell r="N190">
            <v>0.6</v>
          </cell>
          <cell r="O190">
            <v>0.8</v>
          </cell>
          <cell r="P190">
            <v>1.05</v>
          </cell>
          <cell r="Q190" t="str">
            <v>INTERIOR</v>
          </cell>
          <cell r="R190">
            <v>5</v>
          </cell>
          <cell r="S190">
            <v>9</v>
          </cell>
          <cell r="T190" t="str">
            <v>Ciudad principal</v>
          </cell>
          <cell r="U190" t="str">
            <v>A4 Mono MFPs</v>
          </cell>
          <cell r="V190" t="str">
            <v>XEROX MEXICANA SA DE CV / XEROX MEXICANA</v>
          </cell>
          <cell r="W190" t="str">
            <v>ESTADO DE MEXICO</v>
          </cell>
          <cell r="X190">
            <v>2019</v>
          </cell>
          <cell r="Y190" t="str">
            <v>Qtr 2</v>
          </cell>
          <cell r="Z190" t="str">
            <v>April</v>
          </cell>
          <cell r="AA190">
            <v>4</v>
          </cell>
          <cell r="AB190">
            <v>118</v>
          </cell>
          <cell r="AC190">
            <v>1.05</v>
          </cell>
          <cell r="AD190">
            <v>0.3</v>
          </cell>
          <cell r="AE190">
            <v>750.75</v>
          </cell>
        </row>
        <row r="191">
          <cell r="A191" t="str">
            <v>0E2B646633</v>
          </cell>
          <cell r="B191">
            <v>2019</v>
          </cell>
          <cell r="C191" t="str">
            <v>Qtr 2</v>
          </cell>
          <cell r="D191" t="str">
            <v>April</v>
          </cell>
          <cell r="E191">
            <v>4</v>
          </cell>
          <cell r="F191" t="str">
            <v>MANTENIMIENTO PREVENTIVO</v>
          </cell>
          <cell r="G191">
            <v>0</v>
          </cell>
          <cell r="H191" t="str">
            <v>Entry Production Color Low/Mid</v>
          </cell>
          <cell r="I191">
            <v>803</v>
          </cell>
          <cell r="J191">
            <v>1573</v>
          </cell>
          <cell r="K191">
            <v>0.2</v>
          </cell>
          <cell r="L191">
            <v>0.6</v>
          </cell>
          <cell r="M191">
            <v>0.8</v>
          </cell>
          <cell r="N191">
            <v>1.05</v>
          </cell>
          <cell r="O191">
            <v>1.1000000000000001</v>
          </cell>
          <cell r="P191">
            <v>1.1499999999999999</v>
          </cell>
          <cell r="Q191" t="str">
            <v>INTERIOR</v>
          </cell>
          <cell r="R191">
            <v>4</v>
          </cell>
          <cell r="S191">
            <v>6</v>
          </cell>
          <cell r="T191" t="str">
            <v>Ciudad principal</v>
          </cell>
          <cell r="U191" t="str">
            <v>Entry Production Color Low/Mid</v>
          </cell>
          <cell r="V191" t="str">
            <v>XEROX MEXICANA SA DE CV / XEROX MEXICANA</v>
          </cell>
          <cell r="W191" t="str">
            <v>TAMAULIPAS</v>
          </cell>
          <cell r="X191">
            <v>2019</v>
          </cell>
          <cell r="Y191" t="str">
            <v>Qtr 2</v>
          </cell>
          <cell r="Z191" t="str">
            <v>April</v>
          </cell>
          <cell r="AA191">
            <v>5</v>
          </cell>
          <cell r="AB191">
            <v>3</v>
          </cell>
          <cell r="AC191">
            <v>0</v>
          </cell>
          <cell r="AD191">
            <v>0</v>
          </cell>
          <cell r="AE191">
            <v>1573</v>
          </cell>
        </row>
        <row r="192">
          <cell r="A192" t="str">
            <v>0E2B658529</v>
          </cell>
          <cell r="B192">
            <v>2019</v>
          </cell>
          <cell r="C192" t="str">
            <v>Qtr 2</v>
          </cell>
          <cell r="D192" t="str">
            <v>April</v>
          </cell>
          <cell r="E192">
            <v>4</v>
          </cell>
          <cell r="F192" t="str">
            <v>CORRECTIVO</v>
          </cell>
          <cell r="G192">
            <v>2.516667</v>
          </cell>
          <cell r="H192" t="str">
            <v>Entry Production Color Low/Mid</v>
          </cell>
          <cell r="I192">
            <v>803</v>
          </cell>
          <cell r="J192">
            <v>1573</v>
          </cell>
          <cell r="K192">
            <v>0.2</v>
          </cell>
          <cell r="L192">
            <v>0.6</v>
          </cell>
          <cell r="M192">
            <v>0.8</v>
          </cell>
          <cell r="N192">
            <v>1.05</v>
          </cell>
          <cell r="O192">
            <v>1.1000000000000001</v>
          </cell>
          <cell r="P192">
            <v>1.1499999999999999</v>
          </cell>
          <cell r="Q192" t="str">
            <v>INTERIOR</v>
          </cell>
          <cell r="R192">
            <v>4</v>
          </cell>
          <cell r="S192">
            <v>6</v>
          </cell>
          <cell r="T192" t="str">
            <v>Ciudad principal</v>
          </cell>
          <cell r="U192" t="str">
            <v>Entry Production Color Low/Mid</v>
          </cell>
          <cell r="V192" t="str">
            <v>XEROX MEXICANA SA DE CV / XEROX MEXICANA</v>
          </cell>
          <cell r="W192" t="str">
            <v>JALISCO</v>
          </cell>
          <cell r="X192">
            <v>2019</v>
          </cell>
          <cell r="Y192" t="str">
            <v>Qtr 2</v>
          </cell>
          <cell r="Z192" t="str">
            <v>April</v>
          </cell>
          <cell r="AA192">
            <v>4</v>
          </cell>
          <cell r="AB192">
            <v>210</v>
          </cell>
          <cell r="AC192">
            <v>1.1499999999999999</v>
          </cell>
          <cell r="AD192">
            <v>0.62916675</v>
          </cell>
          <cell r="AE192">
            <v>1808.95</v>
          </cell>
        </row>
        <row r="193">
          <cell r="A193" t="str">
            <v>0E2B659015</v>
          </cell>
          <cell r="B193">
            <v>2019</v>
          </cell>
          <cell r="C193" t="str">
            <v>Qtr 2</v>
          </cell>
          <cell r="D193" t="str">
            <v>April</v>
          </cell>
          <cell r="E193">
            <v>4</v>
          </cell>
          <cell r="F193" t="str">
            <v>CORRECTIVO</v>
          </cell>
          <cell r="G193">
            <v>2.4</v>
          </cell>
          <cell r="H193" t="str">
            <v>Entry Production Color Low/Mid</v>
          </cell>
          <cell r="I193">
            <v>803</v>
          </cell>
          <cell r="J193">
            <v>1573</v>
          </cell>
          <cell r="K193">
            <v>0.2</v>
          </cell>
          <cell r="L193">
            <v>0.6</v>
          </cell>
          <cell r="M193">
            <v>0.8</v>
          </cell>
          <cell r="N193">
            <v>1.05</v>
          </cell>
          <cell r="O193">
            <v>1.1000000000000001</v>
          </cell>
          <cell r="P193">
            <v>1.1499999999999999</v>
          </cell>
          <cell r="Q193" t="str">
            <v>INTERIOR</v>
          </cell>
          <cell r="R193">
            <v>4</v>
          </cell>
          <cell r="S193">
            <v>6</v>
          </cell>
          <cell r="T193" t="str">
            <v>Ciudad principal</v>
          </cell>
          <cell r="U193" t="str">
            <v>Entry Production Color Low/Mid</v>
          </cell>
          <cell r="V193" t="str">
            <v>XEROX MEXICANA SA DE CV / XEROX MEXICANA</v>
          </cell>
          <cell r="W193" t="str">
            <v>JALISCO</v>
          </cell>
          <cell r="X193">
            <v>2019</v>
          </cell>
          <cell r="Y193" t="str">
            <v>Qtr 2</v>
          </cell>
          <cell r="Z193" t="str">
            <v>April</v>
          </cell>
          <cell r="AA193">
            <v>4</v>
          </cell>
          <cell r="AB193">
            <v>7</v>
          </cell>
          <cell r="AC193">
            <v>0.8</v>
          </cell>
          <cell r="AD193">
            <v>0.6</v>
          </cell>
          <cell r="AE193">
            <v>1258.4000000000001</v>
          </cell>
        </row>
        <row r="194">
          <cell r="A194" t="str">
            <v>0E2B664326</v>
          </cell>
          <cell r="B194">
            <v>2019</v>
          </cell>
          <cell r="C194" t="str">
            <v>Qtr 2</v>
          </cell>
          <cell r="D194" t="str">
            <v>April</v>
          </cell>
          <cell r="E194">
            <v>4</v>
          </cell>
          <cell r="F194" t="str">
            <v>CORRECTIVO</v>
          </cell>
          <cell r="G194">
            <v>2.8166669999999998</v>
          </cell>
          <cell r="H194" t="str">
            <v>Entry Production Color Low/Mid</v>
          </cell>
          <cell r="I194">
            <v>803</v>
          </cell>
          <cell r="J194">
            <v>1573</v>
          </cell>
          <cell r="K194">
            <v>0.2</v>
          </cell>
          <cell r="L194">
            <v>0.6</v>
          </cell>
          <cell r="M194">
            <v>0.8</v>
          </cell>
          <cell r="N194">
            <v>1.05</v>
          </cell>
          <cell r="O194">
            <v>1.1000000000000001</v>
          </cell>
          <cell r="P194">
            <v>1.1499999999999999</v>
          </cell>
          <cell r="Q194" t="str">
            <v>INTERIOR</v>
          </cell>
          <cell r="R194">
            <v>4</v>
          </cell>
          <cell r="S194">
            <v>6</v>
          </cell>
          <cell r="T194" t="str">
            <v>Ciudad principal</v>
          </cell>
          <cell r="U194" t="str">
            <v>Entry Production Color Low/Mid</v>
          </cell>
          <cell r="V194" t="str">
            <v>XEROX MEXICANA SA DE CV / XEROX MEXICANA</v>
          </cell>
          <cell r="W194" t="str">
            <v>GUANAJUATO</v>
          </cell>
          <cell r="X194">
            <v>2019</v>
          </cell>
          <cell r="Y194" t="str">
            <v>Qtr 2</v>
          </cell>
          <cell r="Z194" t="str">
            <v>April</v>
          </cell>
          <cell r="AA194">
            <v>9</v>
          </cell>
          <cell r="AB194">
            <v>32</v>
          </cell>
          <cell r="AC194">
            <v>1.1000000000000001</v>
          </cell>
          <cell r="AD194">
            <v>0.70416674999999995</v>
          </cell>
          <cell r="AE194">
            <v>1730.3</v>
          </cell>
        </row>
        <row r="195">
          <cell r="A195" t="str">
            <v>0E2B665653</v>
          </cell>
          <cell r="B195">
            <v>2019</v>
          </cell>
          <cell r="C195" t="str">
            <v>Qtr 2</v>
          </cell>
          <cell r="D195" t="str">
            <v>April</v>
          </cell>
          <cell r="E195">
            <v>4</v>
          </cell>
          <cell r="F195" t="str">
            <v>CORRECTIVO</v>
          </cell>
          <cell r="G195">
            <v>2.6333329999999999</v>
          </cell>
          <cell r="H195" t="str">
            <v>Entry Production Color Low/Mid</v>
          </cell>
          <cell r="I195">
            <v>803</v>
          </cell>
          <cell r="J195">
            <v>1573</v>
          </cell>
          <cell r="K195">
            <v>0.2</v>
          </cell>
          <cell r="L195">
            <v>0.6</v>
          </cell>
          <cell r="M195">
            <v>0.8</v>
          </cell>
          <cell r="N195">
            <v>1.05</v>
          </cell>
          <cell r="O195">
            <v>1.1000000000000001</v>
          </cell>
          <cell r="P195">
            <v>1.1499999999999999</v>
          </cell>
          <cell r="Q195" t="str">
            <v>INTERIOR</v>
          </cell>
          <cell r="R195">
            <v>4</v>
          </cell>
          <cell r="S195">
            <v>6</v>
          </cell>
          <cell r="T195" t="str">
            <v>Ciudad principal</v>
          </cell>
          <cell r="U195" t="str">
            <v>Entry Production Color Low/Mid</v>
          </cell>
          <cell r="V195" t="str">
            <v>XEROX MEXICANA SA DE CV / XEROX MEXICANA</v>
          </cell>
          <cell r="W195" t="str">
            <v>JALISCO</v>
          </cell>
          <cell r="X195">
            <v>2019</v>
          </cell>
          <cell r="Y195" t="str">
            <v>Qtr 2</v>
          </cell>
          <cell r="Z195" t="str">
            <v>April</v>
          </cell>
          <cell r="AA195">
            <v>8</v>
          </cell>
          <cell r="AB195">
            <v>20</v>
          </cell>
          <cell r="AC195">
            <v>1.05</v>
          </cell>
          <cell r="AD195">
            <v>0.65833324999999998</v>
          </cell>
          <cell r="AE195">
            <v>1651.65</v>
          </cell>
        </row>
        <row r="196">
          <cell r="A196" t="str">
            <v>0EX9293145</v>
          </cell>
          <cell r="B196">
            <v>2019</v>
          </cell>
          <cell r="C196" t="str">
            <v>Qtr 2</v>
          </cell>
          <cell r="D196" t="str">
            <v>April</v>
          </cell>
          <cell r="E196">
            <v>4</v>
          </cell>
          <cell r="F196" t="str">
            <v>CORRECTIVO</v>
          </cell>
          <cell r="G196">
            <v>1.0833330000000001</v>
          </cell>
          <cell r="H196" t="str">
            <v>Departmental Digital</v>
          </cell>
          <cell r="I196">
            <v>655</v>
          </cell>
          <cell r="J196">
            <v>1365</v>
          </cell>
          <cell r="K196">
            <v>0</v>
          </cell>
          <cell r="L196">
            <v>0</v>
          </cell>
          <cell r="M196">
            <v>0.6</v>
          </cell>
          <cell r="N196">
            <v>0.8</v>
          </cell>
          <cell r="O196">
            <v>1.05</v>
          </cell>
          <cell r="P196">
            <v>1.1000000000000001</v>
          </cell>
          <cell r="Q196" t="str">
            <v>INTERIOR</v>
          </cell>
          <cell r="R196">
            <v>5</v>
          </cell>
          <cell r="S196">
            <v>9</v>
          </cell>
          <cell r="T196" t="str">
            <v>Ciudad principal</v>
          </cell>
          <cell r="U196" t="str">
            <v>Departmental Digital</v>
          </cell>
          <cell r="V196" t="str">
            <v>XEROX MEXICANA SA DE CV / XEROX MEXICANA</v>
          </cell>
          <cell r="W196" t="str">
            <v>JALISCO</v>
          </cell>
          <cell r="X196">
            <v>2019</v>
          </cell>
          <cell r="Y196" t="str">
            <v>Qtr 2</v>
          </cell>
          <cell r="Z196" t="str">
            <v>April</v>
          </cell>
          <cell r="AA196">
            <v>4</v>
          </cell>
          <cell r="AB196">
            <v>11</v>
          </cell>
          <cell r="AC196">
            <v>0.6</v>
          </cell>
          <cell r="AD196">
            <v>0.21666659999999999</v>
          </cell>
          <cell r="AE196">
            <v>819</v>
          </cell>
        </row>
        <row r="197">
          <cell r="A197" t="str">
            <v>0EX9293159</v>
          </cell>
          <cell r="B197">
            <v>2019</v>
          </cell>
          <cell r="C197" t="str">
            <v>Qtr 2</v>
          </cell>
          <cell r="D197" t="str">
            <v>April</v>
          </cell>
          <cell r="E197">
            <v>4</v>
          </cell>
          <cell r="F197" t="str">
            <v>CORRECTIVO</v>
          </cell>
          <cell r="G197">
            <v>0.35</v>
          </cell>
          <cell r="H197" t="str">
            <v>Departmental Digital</v>
          </cell>
          <cell r="I197">
            <v>655</v>
          </cell>
          <cell r="J197">
            <v>1365</v>
          </cell>
          <cell r="K197">
            <v>0</v>
          </cell>
          <cell r="L197">
            <v>0</v>
          </cell>
          <cell r="M197">
            <v>0.6</v>
          </cell>
          <cell r="N197">
            <v>0.8</v>
          </cell>
          <cell r="O197">
            <v>1.05</v>
          </cell>
          <cell r="P197">
            <v>1.1000000000000001</v>
          </cell>
          <cell r="Q197" t="str">
            <v>INTERIOR</v>
          </cell>
          <cell r="R197">
            <v>5</v>
          </cell>
          <cell r="S197">
            <v>9</v>
          </cell>
          <cell r="T197" t="str">
            <v>Ciudad principal</v>
          </cell>
          <cell r="U197" t="str">
            <v>Departmental Digital</v>
          </cell>
          <cell r="V197" t="str">
            <v>XEROX MEXICANA SA DE CV / XEROX MEXICANA</v>
          </cell>
          <cell r="W197" t="str">
            <v>GUANAJUATO</v>
          </cell>
          <cell r="X197">
            <v>2019</v>
          </cell>
          <cell r="Y197" t="str">
            <v>Qtr 2</v>
          </cell>
          <cell r="Z197" t="str">
            <v>April</v>
          </cell>
          <cell r="AA197">
            <v>4</v>
          </cell>
          <cell r="AB197">
            <v>42</v>
          </cell>
          <cell r="AC197">
            <v>1.05</v>
          </cell>
          <cell r="AD197">
            <v>7.0000000000000007E-2</v>
          </cell>
          <cell r="AE197">
            <v>1433.25</v>
          </cell>
        </row>
        <row r="198">
          <cell r="A198" t="str">
            <v>0EX9293168</v>
          </cell>
          <cell r="B198">
            <v>2019</v>
          </cell>
          <cell r="C198" t="str">
            <v>Qtr 2</v>
          </cell>
          <cell r="D198" t="str">
            <v>April</v>
          </cell>
          <cell r="E198">
            <v>4</v>
          </cell>
          <cell r="F198" t="str">
            <v>MANTENIMIENTO PREVENTIVO</v>
          </cell>
          <cell r="G198">
            <v>8.3333340000000006E-2</v>
          </cell>
          <cell r="H198" t="str">
            <v>Departmental Digital</v>
          </cell>
          <cell r="I198">
            <v>655</v>
          </cell>
          <cell r="J198">
            <v>1365</v>
          </cell>
          <cell r="K198">
            <v>0</v>
          </cell>
          <cell r="L198">
            <v>0</v>
          </cell>
          <cell r="M198">
            <v>0.6</v>
          </cell>
          <cell r="N198">
            <v>0.8</v>
          </cell>
          <cell r="O198">
            <v>1.05</v>
          </cell>
          <cell r="P198">
            <v>1.1000000000000001</v>
          </cell>
          <cell r="Q198" t="str">
            <v>INTERIOR</v>
          </cell>
          <cell r="R198">
            <v>5</v>
          </cell>
          <cell r="S198">
            <v>9</v>
          </cell>
          <cell r="T198" t="str">
            <v>Ciudad principal</v>
          </cell>
          <cell r="U198" t="str">
            <v>Departmental Digital</v>
          </cell>
          <cell r="V198" t="str">
            <v>XEROX MEXICANA SA DE CV / XEROX MEXICANA</v>
          </cell>
          <cell r="W198" t="str">
            <v>GUANAJUATO</v>
          </cell>
          <cell r="X198">
            <v>2019</v>
          </cell>
          <cell r="Y198" t="str">
            <v>Qtr 2</v>
          </cell>
          <cell r="Z198" t="str">
            <v>April</v>
          </cell>
          <cell r="AA198">
            <v>4</v>
          </cell>
          <cell r="AB198">
            <v>3</v>
          </cell>
          <cell r="AC198">
            <v>0</v>
          </cell>
          <cell r="AD198">
            <v>0</v>
          </cell>
          <cell r="AE198">
            <v>1365</v>
          </cell>
        </row>
        <row r="199">
          <cell r="A199" t="str">
            <v>0EX9293200</v>
          </cell>
          <cell r="B199">
            <v>2019</v>
          </cell>
          <cell r="C199" t="str">
            <v>Qtr 2</v>
          </cell>
          <cell r="D199" t="str">
            <v>April</v>
          </cell>
          <cell r="E199">
            <v>4</v>
          </cell>
          <cell r="F199" t="str">
            <v>CORRECTIVO</v>
          </cell>
          <cell r="G199">
            <v>3.3333340000000003E-2</v>
          </cell>
          <cell r="H199" t="str">
            <v>Departmental Digital</v>
          </cell>
          <cell r="I199">
            <v>655</v>
          </cell>
          <cell r="J199">
            <v>1365</v>
          </cell>
          <cell r="K199">
            <v>0</v>
          </cell>
          <cell r="L199">
            <v>0</v>
          </cell>
          <cell r="M199">
            <v>0.6</v>
          </cell>
          <cell r="N199">
            <v>0.8</v>
          </cell>
          <cell r="O199">
            <v>1.05</v>
          </cell>
          <cell r="P199">
            <v>1.1000000000000001</v>
          </cell>
          <cell r="Q199" t="str">
            <v>INTERIOR</v>
          </cell>
          <cell r="R199">
            <v>5</v>
          </cell>
          <cell r="S199">
            <v>9</v>
          </cell>
          <cell r="T199" t="str">
            <v>Ciudad principal</v>
          </cell>
          <cell r="U199" t="str">
            <v>Departmental Digital</v>
          </cell>
          <cell r="V199" t="str">
            <v>XEROX MEXICANA SA DE CV / XEROX MEXICANA</v>
          </cell>
          <cell r="W199" t="str">
            <v>SAN LUIS POTOSI</v>
          </cell>
          <cell r="X199">
            <v>2019</v>
          </cell>
          <cell r="Y199" t="str">
            <v>Qtr 2</v>
          </cell>
          <cell r="Z199" t="str">
            <v>April</v>
          </cell>
          <cell r="AA199">
            <v>11</v>
          </cell>
          <cell r="AB199">
            <v>6</v>
          </cell>
          <cell r="AC199">
            <v>0</v>
          </cell>
          <cell r="AD199">
            <v>6.6666679999999997E-3</v>
          </cell>
          <cell r="AE199">
            <v>0</v>
          </cell>
        </row>
        <row r="200">
          <cell r="A200" t="str">
            <v>0EX9299931</v>
          </cell>
          <cell r="B200">
            <v>2019</v>
          </cell>
          <cell r="C200" t="str">
            <v>Qtr 2</v>
          </cell>
          <cell r="D200" t="str">
            <v>April</v>
          </cell>
          <cell r="E200">
            <v>4</v>
          </cell>
          <cell r="F200" t="str">
            <v>CORRECTIVO</v>
          </cell>
          <cell r="G200">
            <v>1.8833329999999999</v>
          </cell>
          <cell r="H200" t="str">
            <v>Departmental Digital</v>
          </cell>
          <cell r="I200">
            <v>655</v>
          </cell>
          <cell r="J200">
            <v>1365</v>
          </cell>
          <cell r="K200">
            <v>0</v>
          </cell>
          <cell r="L200">
            <v>0</v>
          </cell>
          <cell r="M200">
            <v>0.6</v>
          </cell>
          <cell r="N200">
            <v>0.8</v>
          </cell>
          <cell r="O200">
            <v>1.05</v>
          </cell>
          <cell r="P200">
            <v>1.1000000000000001</v>
          </cell>
          <cell r="Q200" t="str">
            <v>INTERIOR</v>
          </cell>
          <cell r="R200">
            <v>5</v>
          </cell>
          <cell r="S200">
            <v>9</v>
          </cell>
          <cell r="T200" t="str">
            <v>Ciudad principal</v>
          </cell>
          <cell r="U200" t="str">
            <v>Departmental Digital</v>
          </cell>
          <cell r="V200" t="str">
            <v>XEROX MEXICANA SA DE CV / XEROX MEXICANA</v>
          </cell>
          <cell r="W200" t="str">
            <v>MICHOACAN</v>
          </cell>
          <cell r="X200">
            <v>2019</v>
          </cell>
          <cell r="Y200" t="str">
            <v>Qtr 2</v>
          </cell>
          <cell r="Z200" t="str">
            <v>April</v>
          </cell>
          <cell r="AA200">
            <v>4</v>
          </cell>
          <cell r="AB200">
            <v>51</v>
          </cell>
          <cell r="AC200">
            <v>1.05</v>
          </cell>
          <cell r="AD200">
            <v>0.37666660000000002</v>
          </cell>
          <cell r="AE200">
            <v>1433.25</v>
          </cell>
        </row>
        <row r="201">
          <cell r="A201" t="str">
            <v>0EX9662181</v>
          </cell>
          <cell r="B201">
            <v>2019</v>
          </cell>
          <cell r="C201" t="str">
            <v>Qtr 2</v>
          </cell>
          <cell r="D201" t="str">
            <v>April</v>
          </cell>
          <cell r="E201">
            <v>4</v>
          </cell>
          <cell r="F201" t="str">
            <v>CORRECTIVO</v>
          </cell>
          <cell r="G201">
            <v>1.45</v>
          </cell>
          <cell r="H201" t="str">
            <v>Departmental Digital</v>
          </cell>
          <cell r="I201">
            <v>655</v>
          </cell>
          <cell r="J201">
            <v>1365</v>
          </cell>
          <cell r="K201">
            <v>0</v>
          </cell>
          <cell r="L201">
            <v>0</v>
          </cell>
          <cell r="M201">
            <v>0.6</v>
          </cell>
          <cell r="N201">
            <v>0.8</v>
          </cell>
          <cell r="O201">
            <v>1.05</v>
          </cell>
          <cell r="P201">
            <v>1.1000000000000001</v>
          </cell>
          <cell r="Q201" t="str">
            <v>INTERIOR</v>
          </cell>
          <cell r="R201">
            <v>5</v>
          </cell>
          <cell r="S201">
            <v>9</v>
          </cell>
          <cell r="T201" t="str">
            <v>Ciudad principal</v>
          </cell>
          <cell r="U201" t="str">
            <v>Departmental Digital</v>
          </cell>
          <cell r="V201" t="str">
            <v>XEROX MEXICANA SA DE CV / XEROX MEXICANA</v>
          </cell>
          <cell r="W201" t="str">
            <v>JALISCO</v>
          </cell>
          <cell r="X201">
            <v>2019</v>
          </cell>
          <cell r="Y201" t="str">
            <v>Qtr 2</v>
          </cell>
          <cell r="Z201" t="str">
            <v>April</v>
          </cell>
          <cell r="AA201">
            <v>4</v>
          </cell>
          <cell r="AB201">
            <v>74</v>
          </cell>
          <cell r="AC201">
            <v>1.1000000000000001</v>
          </cell>
          <cell r="AD201">
            <v>0.28999999999999998</v>
          </cell>
          <cell r="AE201">
            <v>1501.5</v>
          </cell>
        </row>
        <row r="202">
          <cell r="A202" t="str">
            <v>0EX9664780</v>
          </cell>
          <cell r="B202">
            <v>2019</v>
          </cell>
          <cell r="C202" t="str">
            <v>Qtr 2</v>
          </cell>
          <cell r="D202" t="str">
            <v>April</v>
          </cell>
          <cell r="E202">
            <v>4</v>
          </cell>
          <cell r="F202" t="str">
            <v>CORRECTIVO</v>
          </cell>
          <cell r="G202">
            <v>0.23333329999999999</v>
          </cell>
          <cell r="H202" t="str">
            <v>Departmental Digital</v>
          </cell>
          <cell r="I202">
            <v>655</v>
          </cell>
          <cell r="J202">
            <v>1365</v>
          </cell>
          <cell r="K202">
            <v>0</v>
          </cell>
          <cell r="L202">
            <v>0</v>
          </cell>
          <cell r="M202">
            <v>0.6</v>
          </cell>
          <cell r="N202">
            <v>0.8</v>
          </cell>
          <cell r="O202">
            <v>1.05</v>
          </cell>
          <cell r="P202">
            <v>1.1000000000000001</v>
          </cell>
          <cell r="Q202" t="str">
            <v>INTERIOR</v>
          </cell>
          <cell r="R202">
            <v>5</v>
          </cell>
          <cell r="S202">
            <v>9</v>
          </cell>
          <cell r="T202" t="str">
            <v>Ciudad principal</v>
          </cell>
          <cell r="U202" t="str">
            <v>Departmental Digital</v>
          </cell>
          <cell r="V202" t="str">
            <v>XEROX MEXICANA SA DE CV / XEROX MEXICANA</v>
          </cell>
          <cell r="W202" t="str">
            <v>COAHUILA</v>
          </cell>
          <cell r="X202">
            <v>2019</v>
          </cell>
          <cell r="Y202" t="str">
            <v>Qtr 2</v>
          </cell>
          <cell r="Z202" t="str">
            <v>April</v>
          </cell>
          <cell r="AA202">
            <v>4</v>
          </cell>
          <cell r="AB202">
            <v>9</v>
          </cell>
          <cell r="AC202">
            <v>0.6</v>
          </cell>
          <cell r="AD202">
            <v>4.6666659999999999E-2</v>
          </cell>
          <cell r="AE202">
            <v>819</v>
          </cell>
        </row>
        <row r="203">
          <cell r="A203" t="str">
            <v>0EX9665131</v>
          </cell>
          <cell r="B203">
            <v>2019</v>
          </cell>
          <cell r="C203" t="str">
            <v>Qtr 2</v>
          </cell>
          <cell r="D203" t="str">
            <v>April</v>
          </cell>
          <cell r="E203">
            <v>4</v>
          </cell>
          <cell r="F203" t="str">
            <v>CORRECTIVO</v>
          </cell>
          <cell r="G203">
            <v>2</v>
          </cell>
          <cell r="H203" t="str">
            <v>Departmental Digital</v>
          </cell>
          <cell r="I203">
            <v>655</v>
          </cell>
          <cell r="J203">
            <v>1365</v>
          </cell>
          <cell r="K203">
            <v>0</v>
          </cell>
          <cell r="L203">
            <v>0</v>
          </cell>
          <cell r="M203">
            <v>0.6</v>
          </cell>
          <cell r="N203">
            <v>0.8</v>
          </cell>
          <cell r="O203">
            <v>1.05</v>
          </cell>
          <cell r="P203">
            <v>1.1000000000000001</v>
          </cell>
          <cell r="Q203" t="str">
            <v>INTERIOR</v>
          </cell>
          <cell r="R203">
            <v>5</v>
          </cell>
          <cell r="S203">
            <v>9</v>
          </cell>
          <cell r="T203" t="str">
            <v>Ciudad principal</v>
          </cell>
          <cell r="U203" t="str">
            <v>Departmental Digital</v>
          </cell>
          <cell r="V203" t="str">
            <v>XEROX MEXICANA SA DE CV / XEROX MEXICANA</v>
          </cell>
          <cell r="W203" t="str">
            <v>MICHOACAN</v>
          </cell>
          <cell r="X203">
            <v>2019</v>
          </cell>
          <cell r="Y203" t="str">
            <v>Qtr 2</v>
          </cell>
          <cell r="Z203" t="str">
            <v>April</v>
          </cell>
          <cell r="AA203">
            <v>4</v>
          </cell>
          <cell r="AB203">
            <v>15</v>
          </cell>
          <cell r="AC203">
            <v>0.6</v>
          </cell>
          <cell r="AD203">
            <v>0.4</v>
          </cell>
          <cell r="AE203">
            <v>819</v>
          </cell>
        </row>
        <row r="204">
          <cell r="A204" t="str">
            <v>0GXV896042</v>
          </cell>
          <cell r="B204">
            <v>2019</v>
          </cell>
          <cell r="C204" t="str">
            <v>Qtr 2</v>
          </cell>
          <cell r="D204" t="str">
            <v>April</v>
          </cell>
          <cell r="E204">
            <v>4</v>
          </cell>
          <cell r="F204" t="str">
            <v>CORRECTIVO</v>
          </cell>
          <cell r="G204">
            <v>1.7166669999999999</v>
          </cell>
          <cell r="H204" t="str">
            <v>Light Production Digital Business</v>
          </cell>
          <cell r="I204">
            <v>803</v>
          </cell>
          <cell r="J204">
            <v>1573</v>
          </cell>
          <cell r="K204">
            <v>0.2</v>
          </cell>
          <cell r="L204">
            <v>0.6</v>
          </cell>
          <cell r="M204">
            <v>0.8</v>
          </cell>
          <cell r="N204">
            <v>1.05</v>
          </cell>
          <cell r="O204">
            <v>1.1000000000000001</v>
          </cell>
          <cell r="P204">
            <v>1.1499999999999999</v>
          </cell>
          <cell r="Q204" t="str">
            <v>INTERIOR</v>
          </cell>
          <cell r="R204">
            <v>4</v>
          </cell>
          <cell r="S204">
            <v>6</v>
          </cell>
          <cell r="T204" t="str">
            <v>Ciudad principal</v>
          </cell>
          <cell r="U204" t="str">
            <v>High End Cut Sheet</v>
          </cell>
          <cell r="V204" t="str">
            <v>XEROX MEXICANA SA DE CV / XEROX MEXICANA</v>
          </cell>
          <cell r="W204" t="str">
            <v>ESTADO DE MEXICO</v>
          </cell>
          <cell r="X204">
            <v>2019</v>
          </cell>
          <cell r="Y204" t="str">
            <v>Qtr 2</v>
          </cell>
          <cell r="Z204" t="str">
            <v>April</v>
          </cell>
          <cell r="AA204">
            <v>4</v>
          </cell>
          <cell r="AB204">
            <v>7</v>
          </cell>
          <cell r="AC204">
            <v>0.8</v>
          </cell>
          <cell r="AD204">
            <v>0.42916674999999999</v>
          </cell>
          <cell r="AE204">
            <v>1258.4000000000001</v>
          </cell>
        </row>
        <row r="205">
          <cell r="A205" t="str">
            <v>0UHA002004</v>
          </cell>
          <cell r="B205">
            <v>2019</v>
          </cell>
          <cell r="C205" t="str">
            <v>Qtr 2</v>
          </cell>
          <cell r="D205" t="str">
            <v>April</v>
          </cell>
          <cell r="E205">
            <v>4</v>
          </cell>
          <cell r="F205" t="str">
            <v>CORRECTIVO</v>
          </cell>
          <cell r="G205">
            <v>2.5833330000000001</v>
          </cell>
          <cell r="H205" t="str">
            <v>High End Cut Sheet</v>
          </cell>
          <cell r="I205">
            <v>1116</v>
          </cell>
          <cell r="J205">
            <v>2145</v>
          </cell>
          <cell r="K205">
            <v>0.6</v>
          </cell>
          <cell r="L205">
            <v>0.8</v>
          </cell>
          <cell r="M205">
            <v>1.05</v>
          </cell>
          <cell r="N205">
            <v>1.1000000000000001</v>
          </cell>
          <cell r="O205">
            <v>1.1499999999999999</v>
          </cell>
          <cell r="P205">
            <v>1.2</v>
          </cell>
          <cell r="Q205" t="str">
            <v>INTERIOR</v>
          </cell>
          <cell r="R205">
            <v>3</v>
          </cell>
          <cell r="S205">
            <v>6</v>
          </cell>
          <cell r="T205" t="str">
            <v>Ciudad principal</v>
          </cell>
          <cell r="U205" t="str">
            <v>High End Cut Sheet</v>
          </cell>
          <cell r="V205" t="str">
            <v>XEROX MEXICANA SA DE CV / XEROX MEXICANA</v>
          </cell>
          <cell r="W205" t="str">
            <v>JALISCO</v>
          </cell>
          <cell r="X205">
            <v>2019</v>
          </cell>
          <cell r="Y205" t="str">
            <v>Qtr 2</v>
          </cell>
          <cell r="Z205" t="str">
            <v>April</v>
          </cell>
          <cell r="AA205">
            <v>8</v>
          </cell>
          <cell r="AB205">
            <v>3</v>
          </cell>
          <cell r="AC205">
            <v>0.8</v>
          </cell>
          <cell r="AD205">
            <v>0.86111099999999996</v>
          </cell>
          <cell r="AE205">
            <v>1716</v>
          </cell>
        </row>
        <row r="206">
          <cell r="A206" t="str">
            <v>0XL1421896</v>
          </cell>
          <cell r="B206">
            <v>2019</v>
          </cell>
          <cell r="C206" t="str">
            <v>Qtr 2</v>
          </cell>
          <cell r="D206" t="str">
            <v>April</v>
          </cell>
          <cell r="E206">
            <v>4</v>
          </cell>
          <cell r="F206" t="str">
            <v>CORRECTIVO</v>
          </cell>
          <cell r="G206">
            <v>1.3333330000000001</v>
          </cell>
          <cell r="H206" t="str">
            <v>Entry Mono Printers</v>
          </cell>
          <cell r="I206">
            <v>468</v>
          </cell>
          <cell r="J206">
            <v>715</v>
          </cell>
          <cell r="K206">
            <v>0</v>
          </cell>
          <cell r="L206">
            <v>0</v>
          </cell>
          <cell r="M206">
            <v>0</v>
          </cell>
          <cell r="N206">
            <v>0.6</v>
          </cell>
          <cell r="O206">
            <v>0.8</v>
          </cell>
          <cell r="P206">
            <v>1.05</v>
          </cell>
          <cell r="Q206" t="str">
            <v>INTERIOR</v>
          </cell>
          <cell r="R206">
            <v>5</v>
          </cell>
          <cell r="S206">
            <v>9</v>
          </cell>
          <cell r="T206" t="str">
            <v>Ciudad principal</v>
          </cell>
          <cell r="U206" t="str">
            <v>Entry Mono Printers</v>
          </cell>
          <cell r="V206" t="str">
            <v>XEROX MEXICANA SA DE CV / XEROX MEXICANA</v>
          </cell>
          <cell r="W206" t="str">
            <v>CHIHUAHUA</v>
          </cell>
          <cell r="X206">
            <v>2019</v>
          </cell>
          <cell r="Y206" t="str">
            <v>Qtr 2</v>
          </cell>
          <cell r="Z206" t="str">
            <v>April</v>
          </cell>
          <cell r="AA206">
            <v>5</v>
          </cell>
          <cell r="AB206">
            <v>316</v>
          </cell>
          <cell r="AC206">
            <v>1.05</v>
          </cell>
          <cell r="AD206">
            <v>0.26666659999999998</v>
          </cell>
          <cell r="AE206">
            <v>750.75</v>
          </cell>
        </row>
        <row r="207">
          <cell r="A207" t="str">
            <v>0XNE133934</v>
          </cell>
          <cell r="B207">
            <v>2019</v>
          </cell>
          <cell r="C207" t="str">
            <v>Qtr 2</v>
          </cell>
          <cell r="D207" t="str">
            <v>April</v>
          </cell>
          <cell r="E207">
            <v>4</v>
          </cell>
          <cell r="F207" t="str">
            <v>CORRECTIVO</v>
          </cell>
          <cell r="G207">
            <v>1.066667</v>
          </cell>
          <cell r="H207" t="str">
            <v>A3 Color Solid Ink MFPs</v>
          </cell>
          <cell r="I207">
            <v>655</v>
          </cell>
          <cell r="J207">
            <v>1365</v>
          </cell>
          <cell r="K207">
            <v>0</v>
          </cell>
          <cell r="L207">
            <v>0</v>
          </cell>
          <cell r="M207">
            <v>0.6</v>
          </cell>
          <cell r="N207">
            <v>0.8</v>
          </cell>
          <cell r="O207">
            <v>1.05</v>
          </cell>
          <cell r="P207">
            <v>1.1000000000000001</v>
          </cell>
          <cell r="Q207" t="str">
            <v>INTERIOR</v>
          </cell>
          <cell r="R207">
            <v>5</v>
          </cell>
          <cell r="S207">
            <v>9</v>
          </cell>
          <cell r="T207" t="str">
            <v>Ciudad principal</v>
          </cell>
          <cell r="U207" t="str">
            <v>Color Solid Ink Printers</v>
          </cell>
          <cell r="V207" t="str">
            <v>XEROX MEXICANA SA DE CV / XEROX MEXICANA</v>
          </cell>
          <cell r="W207" t="str">
            <v>CHIHUAHUA</v>
          </cell>
          <cell r="X207">
            <v>2019</v>
          </cell>
          <cell r="Y207" t="str">
            <v>Qtr 2</v>
          </cell>
          <cell r="Z207" t="str">
            <v>April</v>
          </cell>
          <cell r="AA207">
            <v>4</v>
          </cell>
          <cell r="AB207">
            <v>35</v>
          </cell>
          <cell r="AC207">
            <v>1.05</v>
          </cell>
          <cell r="AD207">
            <v>0.21333340000000001</v>
          </cell>
          <cell r="AE207">
            <v>1433.25</v>
          </cell>
        </row>
        <row r="208">
          <cell r="A208" t="str">
            <v>0XPN550545</v>
          </cell>
          <cell r="B208">
            <v>2019</v>
          </cell>
          <cell r="C208" t="str">
            <v>Qtr 2</v>
          </cell>
          <cell r="D208" t="str">
            <v>April</v>
          </cell>
          <cell r="E208">
            <v>4</v>
          </cell>
          <cell r="F208" t="str">
            <v>CORRECTIVO</v>
          </cell>
          <cell r="G208">
            <v>0.58333330000000005</v>
          </cell>
          <cell r="H208" t="str">
            <v>Entry Production Color Low/Mid</v>
          </cell>
          <cell r="I208">
            <v>803</v>
          </cell>
          <cell r="J208">
            <v>1573</v>
          </cell>
          <cell r="K208">
            <v>0.2</v>
          </cell>
          <cell r="L208">
            <v>0.6</v>
          </cell>
          <cell r="M208">
            <v>0.8</v>
          </cell>
          <cell r="N208">
            <v>1.05</v>
          </cell>
          <cell r="O208">
            <v>1.1000000000000001</v>
          </cell>
          <cell r="P208">
            <v>1.1499999999999999</v>
          </cell>
          <cell r="Q208" t="str">
            <v>INTERIOR</v>
          </cell>
          <cell r="R208">
            <v>4</v>
          </cell>
          <cell r="S208">
            <v>6</v>
          </cell>
          <cell r="T208" t="str">
            <v>Ciudad principal</v>
          </cell>
          <cell r="U208" t="str">
            <v>Entry Production Color Low/Mid</v>
          </cell>
          <cell r="V208" t="str">
            <v>XEROX MEXICANA SA DE CV / XEROX MEXICANA</v>
          </cell>
          <cell r="W208" t="str">
            <v>QUERETARO</v>
          </cell>
          <cell r="X208">
            <v>2019</v>
          </cell>
          <cell r="Y208" t="str">
            <v>Qtr 2</v>
          </cell>
          <cell r="Z208" t="str">
            <v>April</v>
          </cell>
          <cell r="AA208">
            <v>5</v>
          </cell>
          <cell r="AB208">
            <v>14</v>
          </cell>
          <cell r="AC208">
            <v>0.8</v>
          </cell>
          <cell r="AD208">
            <v>0.14583332500000001</v>
          </cell>
          <cell r="AE208">
            <v>1258.4000000000001</v>
          </cell>
        </row>
        <row r="209">
          <cell r="A209" t="str">
            <v>5AV820023</v>
          </cell>
          <cell r="B209">
            <v>2019</v>
          </cell>
          <cell r="C209" t="str">
            <v>Qtr 2</v>
          </cell>
          <cell r="D209" t="str">
            <v>April</v>
          </cell>
          <cell r="E209">
            <v>4</v>
          </cell>
          <cell r="F209" t="str">
            <v>CORRECTIVO</v>
          </cell>
          <cell r="G209">
            <v>5.016667</v>
          </cell>
          <cell r="H209" t="str">
            <v>A4 Color Laser MFPs</v>
          </cell>
          <cell r="I209">
            <v>468</v>
          </cell>
          <cell r="J209">
            <v>715</v>
          </cell>
          <cell r="K209">
            <v>0</v>
          </cell>
          <cell r="L209">
            <v>0</v>
          </cell>
          <cell r="M209">
            <v>0</v>
          </cell>
          <cell r="N209">
            <v>0.6</v>
          </cell>
          <cell r="O209">
            <v>0.8</v>
          </cell>
          <cell r="P209">
            <v>1.05</v>
          </cell>
          <cell r="Q209" t="str">
            <v>INTERIOR</v>
          </cell>
          <cell r="R209">
            <v>5</v>
          </cell>
          <cell r="S209">
            <v>9</v>
          </cell>
          <cell r="T209" t="str">
            <v>Ciudad principal</v>
          </cell>
          <cell r="U209" t="str">
            <v>A4 Color Laser MFPs</v>
          </cell>
          <cell r="V209" t="str">
            <v>XEROX MEXICANA SA DE CV / XEROX MEXICANA</v>
          </cell>
          <cell r="W209" t="str">
            <v>TAMAULIPAS</v>
          </cell>
          <cell r="X209">
            <v>2019</v>
          </cell>
          <cell r="Y209" t="str">
            <v>Qtr 2</v>
          </cell>
          <cell r="Z209" t="str">
            <v>April</v>
          </cell>
          <cell r="AA209">
            <v>5</v>
          </cell>
          <cell r="AB209">
            <v>8</v>
          </cell>
          <cell r="AC209">
            <v>0</v>
          </cell>
          <cell r="AD209">
            <v>1.0033334</v>
          </cell>
          <cell r="AE209">
            <v>-0.59584525000000799</v>
          </cell>
        </row>
        <row r="210">
          <cell r="A210" t="str">
            <v>AAQ100563</v>
          </cell>
          <cell r="B210">
            <v>2019</v>
          </cell>
          <cell r="C210" t="str">
            <v>Qtr 2</v>
          </cell>
          <cell r="D210" t="str">
            <v>April</v>
          </cell>
          <cell r="E210">
            <v>4</v>
          </cell>
          <cell r="F210" t="str">
            <v>CORRECTIVO</v>
          </cell>
          <cell r="G210">
            <v>4.55</v>
          </cell>
          <cell r="H210" t="str">
            <v>Office Digital</v>
          </cell>
          <cell r="I210">
            <v>655</v>
          </cell>
          <cell r="J210">
            <v>1365</v>
          </cell>
          <cell r="K210">
            <v>0</v>
          </cell>
          <cell r="L210">
            <v>0</v>
          </cell>
          <cell r="M210">
            <v>0.6</v>
          </cell>
          <cell r="N210">
            <v>0.8</v>
          </cell>
          <cell r="O210">
            <v>1.05</v>
          </cell>
          <cell r="P210">
            <v>1.1000000000000001</v>
          </cell>
          <cell r="Q210" t="str">
            <v>INTERIOR</v>
          </cell>
          <cell r="R210">
            <v>5</v>
          </cell>
          <cell r="S210">
            <v>9</v>
          </cell>
          <cell r="T210" t="str">
            <v>Ciudad principal</v>
          </cell>
          <cell r="U210" t="str">
            <v>A4 Mono MFPs</v>
          </cell>
          <cell r="V210" t="str">
            <v>XEROX MEXICANA SA DE CV / XEROX MEXICANA</v>
          </cell>
          <cell r="W210" t="str">
            <v>MICHOACAN</v>
          </cell>
          <cell r="X210">
            <v>2019</v>
          </cell>
          <cell r="Y210" t="str">
            <v>Qtr 2</v>
          </cell>
          <cell r="Z210" t="str">
            <v>April</v>
          </cell>
          <cell r="AA210">
            <v>5</v>
          </cell>
          <cell r="AB210">
            <v>29</v>
          </cell>
          <cell r="AC210">
            <v>0.8</v>
          </cell>
          <cell r="AD210">
            <v>0.91</v>
          </cell>
          <cell r="AE210">
            <v>1092</v>
          </cell>
        </row>
        <row r="211">
          <cell r="A211" t="str">
            <v>03AG880494</v>
          </cell>
          <cell r="B211">
            <v>2019</v>
          </cell>
          <cell r="C211" t="str">
            <v>Qtr 2</v>
          </cell>
          <cell r="D211" t="str">
            <v>April</v>
          </cell>
          <cell r="E211">
            <v>5</v>
          </cell>
          <cell r="F211" t="str">
            <v>CORRECTIVO</v>
          </cell>
          <cell r="G211">
            <v>1.1499999999999999</v>
          </cell>
          <cell r="H211" t="str">
            <v>Departmental Digital</v>
          </cell>
          <cell r="I211">
            <v>655</v>
          </cell>
          <cell r="J211">
            <v>1365</v>
          </cell>
          <cell r="K211">
            <v>0</v>
          </cell>
          <cell r="L211">
            <v>0</v>
          </cell>
          <cell r="M211">
            <v>0.6</v>
          </cell>
          <cell r="N211">
            <v>0.8</v>
          </cell>
          <cell r="O211">
            <v>1.05</v>
          </cell>
          <cell r="P211">
            <v>1.1000000000000001</v>
          </cell>
          <cell r="Q211" t="str">
            <v>INTERIOR</v>
          </cell>
          <cell r="R211">
            <v>5</v>
          </cell>
          <cell r="S211">
            <v>9</v>
          </cell>
          <cell r="T211" t="str">
            <v>Ciudad principal</v>
          </cell>
          <cell r="U211" t="str">
            <v>Light Production Digital Business</v>
          </cell>
          <cell r="V211" t="str">
            <v>XEROX MEXICANA SA DE CV / XEROX MEXICANA</v>
          </cell>
          <cell r="W211" t="str">
            <v>JALISCO</v>
          </cell>
          <cell r="X211">
            <v>2019</v>
          </cell>
          <cell r="Y211" t="str">
            <v>Qtr 2</v>
          </cell>
          <cell r="Z211" t="str">
            <v>April</v>
          </cell>
          <cell r="AA211">
            <v>5</v>
          </cell>
          <cell r="AB211">
            <v>8</v>
          </cell>
          <cell r="AC211">
            <v>0.6</v>
          </cell>
          <cell r="AD211">
            <v>0.23</v>
          </cell>
          <cell r="AE211">
            <v>819</v>
          </cell>
        </row>
        <row r="212">
          <cell r="A212" t="str">
            <v>03TX405493</v>
          </cell>
          <cell r="B212">
            <v>2019</v>
          </cell>
          <cell r="C212" t="str">
            <v>Qtr 2</v>
          </cell>
          <cell r="D212" t="str">
            <v>April</v>
          </cell>
          <cell r="E212">
            <v>5</v>
          </cell>
          <cell r="F212" t="str">
            <v>CONFIGURACION</v>
          </cell>
          <cell r="G212">
            <v>0</v>
          </cell>
          <cell r="H212" t="str">
            <v>A3 Office Color Laser MFPs</v>
          </cell>
          <cell r="I212">
            <v>655</v>
          </cell>
          <cell r="J212">
            <v>1365</v>
          </cell>
          <cell r="K212">
            <v>0</v>
          </cell>
          <cell r="L212">
            <v>0</v>
          </cell>
          <cell r="M212">
            <v>0.6</v>
          </cell>
          <cell r="N212">
            <v>0.8</v>
          </cell>
          <cell r="O212">
            <v>1.05</v>
          </cell>
          <cell r="P212">
            <v>1.1000000000000001</v>
          </cell>
          <cell r="Q212" t="str">
            <v>INTERIOR</v>
          </cell>
          <cell r="R212">
            <v>5</v>
          </cell>
          <cell r="S212">
            <v>9</v>
          </cell>
          <cell r="T212" t="str">
            <v>Ciudad principal</v>
          </cell>
          <cell r="U212" t="str">
            <v>A3 Office Color Laser MFPs</v>
          </cell>
          <cell r="V212" t="str">
            <v>XEROX MEXICANA SA DE CV / XEROX MEXICANA</v>
          </cell>
          <cell r="W212" t="str">
            <v>CHIHUAHUA</v>
          </cell>
          <cell r="X212">
            <v>2019</v>
          </cell>
          <cell r="Y212" t="str">
            <v>Qtr 2</v>
          </cell>
          <cell r="Z212" t="str">
            <v>April</v>
          </cell>
          <cell r="AA212">
            <v>5</v>
          </cell>
          <cell r="AB212">
            <v>14</v>
          </cell>
          <cell r="AC212">
            <v>0.6</v>
          </cell>
          <cell r="AD212">
            <v>0</v>
          </cell>
          <cell r="AE212">
            <v>819</v>
          </cell>
        </row>
        <row r="213">
          <cell r="A213" t="str">
            <v>09HB328020</v>
          </cell>
          <cell r="B213">
            <v>2019</v>
          </cell>
          <cell r="C213" t="str">
            <v>Qtr 2</v>
          </cell>
          <cell r="D213" t="str">
            <v>April</v>
          </cell>
          <cell r="E213">
            <v>5</v>
          </cell>
          <cell r="F213" t="str">
            <v>CORRECTIVO</v>
          </cell>
          <cell r="G213">
            <v>1.566667</v>
          </cell>
          <cell r="H213" t="str">
            <v>A4 Mono MFPs</v>
          </cell>
          <cell r="I213">
            <v>468</v>
          </cell>
          <cell r="J213">
            <v>715</v>
          </cell>
          <cell r="K213">
            <v>0</v>
          </cell>
          <cell r="L213">
            <v>0</v>
          </cell>
          <cell r="M213">
            <v>0</v>
          </cell>
          <cell r="N213">
            <v>0.6</v>
          </cell>
          <cell r="O213">
            <v>0.8</v>
          </cell>
          <cell r="P213">
            <v>1.05</v>
          </cell>
          <cell r="Q213" t="str">
            <v>INTERIOR</v>
          </cell>
          <cell r="R213">
            <v>5</v>
          </cell>
          <cell r="S213">
            <v>9</v>
          </cell>
          <cell r="T213" t="str">
            <v>Ciudad principal</v>
          </cell>
          <cell r="U213" t="str">
            <v>A4 Mono MFPs</v>
          </cell>
          <cell r="V213" t="str">
            <v>XEROX MEXICANA SA DE CV / XEROX MEXICANA</v>
          </cell>
          <cell r="W213" t="str">
            <v>QUERETARO</v>
          </cell>
          <cell r="X213">
            <v>2019</v>
          </cell>
          <cell r="Y213" t="str">
            <v>Qtr 2</v>
          </cell>
          <cell r="Z213" t="str">
            <v>April</v>
          </cell>
          <cell r="AA213">
            <v>5</v>
          </cell>
          <cell r="AB213">
            <v>310</v>
          </cell>
          <cell r="AC213">
            <v>1.05</v>
          </cell>
          <cell r="AD213">
            <v>0.31333339999999998</v>
          </cell>
          <cell r="AE213">
            <v>750.75</v>
          </cell>
        </row>
        <row r="214">
          <cell r="A214" t="str">
            <v>09HB333007</v>
          </cell>
          <cell r="B214">
            <v>2019</v>
          </cell>
          <cell r="C214" t="str">
            <v>Qtr 2</v>
          </cell>
          <cell r="D214" t="str">
            <v>April</v>
          </cell>
          <cell r="E214">
            <v>5</v>
          </cell>
          <cell r="F214" t="str">
            <v>CORRECTIVO</v>
          </cell>
          <cell r="G214">
            <v>2.7166670000000002</v>
          </cell>
          <cell r="H214" t="str">
            <v>A4 Mono MFPs</v>
          </cell>
          <cell r="I214">
            <v>468</v>
          </cell>
          <cell r="J214">
            <v>715</v>
          </cell>
          <cell r="K214">
            <v>0</v>
          </cell>
          <cell r="L214">
            <v>0</v>
          </cell>
          <cell r="M214">
            <v>0</v>
          </cell>
          <cell r="N214">
            <v>0.6</v>
          </cell>
          <cell r="O214">
            <v>0.8</v>
          </cell>
          <cell r="P214">
            <v>1.05</v>
          </cell>
          <cell r="Q214" t="str">
            <v>INTERIOR</v>
          </cell>
          <cell r="R214">
            <v>5</v>
          </cell>
          <cell r="S214">
            <v>9</v>
          </cell>
          <cell r="T214" t="str">
            <v>Ciudad principal</v>
          </cell>
          <cell r="U214" t="str">
            <v>A4 Mono MFPs</v>
          </cell>
          <cell r="V214" t="str">
            <v>XEROX MEXICANA SA DE CV / XEROX MEXICANA</v>
          </cell>
          <cell r="W214" t="str">
            <v>NUEVO LEON</v>
          </cell>
          <cell r="X214">
            <v>2019</v>
          </cell>
          <cell r="Y214" t="str">
            <v>Qtr 2</v>
          </cell>
          <cell r="Z214" t="str">
            <v>April</v>
          </cell>
          <cell r="AA214">
            <v>5</v>
          </cell>
          <cell r="AB214">
            <v>22</v>
          </cell>
          <cell r="AC214">
            <v>0.6</v>
          </cell>
          <cell r="AD214">
            <v>0.54333339999999997</v>
          </cell>
          <cell r="AE214">
            <v>429</v>
          </cell>
        </row>
        <row r="215">
          <cell r="A215" t="str">
            <v>0A1H020586</v>
          </cell>
          <cell r="B215">
            <v>2019</v>
          </cell>
          <cell r="C215" t="str">
            <v>Qtr 2</v>
          </cell>
          <cell r="D215" t="str">
            <v>April</v>
          </cell>
          <cell r="E215">
            <v>5</v>
          </cell>
          <cell r="F215" t="str">
            <v>MANTENIMIENTO PREVENTIVO</v>
          </cell>
          <cell r="G215">
            <v>0</v>
          </cell>
          <cell r="H215" t="str">
            <v>WF Mono Systems and Legacy Color</v>
          </cell>
          <cell r="I215">
            <v>803</v>
          </cell>
          <cell r="J215">
            <v>1573</v>
          </cell>
          <cell r="K215">
            <v>0.2</v>
          </cell>
          <cell r="L215">
            <v>0.6</v>
          </cell>
          <cell r="M215">
            <v>0.8</v>
          </cell>
          <cell r="N215">
            <v>1.05</v>
          </cell>
          <cell r="O215">
            <v>1.1000000000000001</v>
          </cell>
          <cell r="P215">
            <v>1.1499999999999999</v>
          </cell>
          <cell r="Q215" t="str">
            <v>INTERIOR</v>
          </cell>
          <cell r="R215">
            <v>4</v>
          </cell>
          <cell r="S215">
            <v>6</v>
          </cell>
          <cell r="T215" t="str">
            <v>Ciudad principal</v>
          </cell>
          <cell r="U215" t="str">
            <v>WF Mono Systems and Legacy Color</v>
          </cell>
          <cell r="V215" t="str">
            <v>XEROX MEXICANA SA DE CV / XEROX MEXICANA</v>
          </cell>
          <cell r="W215" t="str">
            <v>NUEVO LEON</v>
          </cell>
          <cell r="X215">
            <v>2019</v>
          </cell>
          <cell r="Y215" t="str">
            <v>Qtr 2</v>
          </cell>
          <cell r="Z215" t="str">
            <v>April</v>
          </cell>
          <cell r="AA215">
            <v>22</v>
          </cell>
          <cell r="AB215">
            <v>151</v>
          </cell>
          <cell r="AC215">
            <v>0</v>
          </cell>
          <cell r="AD215">
            <v>0</v>
          </cell>
          <cell r="AE215">
            <v>1573</v>
          </cell>
        </row>
        <row r="216">
          <cell r="A216" t="str">
            <v>0A1H020596</v>
          </cell>
          <cell r="B216">
            <v>2019</v>
          </cell>
          <cell r="C216" t="str">
            <v>Qtr 2</v>
          </cell>
          <cell r="D216" t="str">
            <v>April</v>
          </cell>
          <cell r="E216">
            <v>5</v>
          </cell>
          <cell r="F216" t="str">
            <v>MANTENIMIENTO PREVENTIVO</v>
          </cell>
          <cell r="G216">
            <v>0</v>
          </cell>
          <cell r="H216" t="str">
            <v>WF Mono Systems and Legacy Color</v>
          </cell>
          <cell r="I216">
            <v>803</v>
          </cell>
          <cell r="J216">
            <v>1573</v>
          </cell>
          <cell r="K216">
            <v>0.2</v>
          </cell>
          <cell r="L216">
            <v>0.6</v>
          </cell>
          <cell r="M216">
            <v>0.8</v>
          </cell>
          <cell r="N216">
            <v>1.05</v>
          </cell>
          <cell r="O216">
            <v>1.1000000000000001</v>
          </cell>
          <cell r="P216">
            <v>1.1499999999999999</v>
          </cell>
          <cell r="Q216" t="str">
            <v>INTERIOR</v>
          </cell>
          <cell r="R216">
            <v>4</v>
          </cell>
          <cell r="S216">
            <v>6</v>
          </cell>
          <cell r="T216" t="str">
            <v>Ciudad principal</v>
          </cell>
          <cell r="U216" t="str">
            <v>WF Mono Systems and Legacy Color</v>
          </cell>
          <cell r="V216" t="str">
            <v>XEROX MEXICANA SA DE CV / XEROX MEXICANA</v>
          </cell>
          <cell r="W216" t="str">
            <v>NUEVO LEON</v>
          </cell>
          <cell r="X216">
            <v>2019</v>
          </cell>
          <cell r="Y216" t="str">
            <v>Qtr 2</v>
          </cell>
          <cell r="Z216" t="str">
            <v>April</v>
          </cell>
          <cell r="AA216">
            <v>10</v>
          </cell>
          <cell r="AB216">
            <v>31</v>
          </cell>
          <cell r="AC216">
            <v>0</v>
          </cell>
          <cell r="AD216">
            <v>0</v>
          </cell>
          <cell r="AE216">
            <v>1573</v>
          </cell>
        </row>
        <row r="217">
          <cell r="A217" t="str">
            <v>0A1H020667</v>
          </cell>
          <cell r="B217">
            <v>2019</v>
          </cell>
          <cell r="C217" t="str">
            <v>Qtr 2</v>
          </cell>
          <cell r="D217" t="str">
            <v>April</v>
          </cell>
          <cell r="E217">
            <v>5</v>
          </cell>
          <cell r="F217" t="str">
            <v>MANTENIMIENTO PREVENTIVO</v>
          </cell>
          <cell r="G217">
            <v>0</v>
          </cell>
          <cell r="H217" t="str">
            <v>WF Mono Systems and Legacy Color</v>
          </cell>
          <cell r="I217">
            <v>803</v>
          </cell>
          <cell r="J217">
            <v>1573</v>
          </cell>
          <cell r="K217">
            <v>0.2</v>
          </cell>
          <cell r="L217">
            <v>0.6</v>
          </cell>
          <cell r="M217">
            <v>0.8</v>
          </cell>
          <cell r="N217">
            <v>1.05</v>
          </cell>
          <cell r="O217">
            <v>1.1000000000000001</v>
          </cell>
          <cell r="P217">
            <v>1.1499999999999999</v>
          </cell>
          <cell r="Q217" t="str">
            <v>INTERIOR</v>
          </cell>
          <cell r="R217">
            <v>4</v>
          </cell>
          <cell r="S217">
            <v>6</v>
          </cell>
          <cell r="T217" t="str">
            <v>Otras</v>
          </cell>
          <cell r="U217" t="str">
            <v>WF Mono Systems and Legacy Color</v>
          </cell>
          <cell r="V217" t="str">
            <v>XEROX MEXICANA SA DE CV / XEROX MEXICANA</v>
          </cell>
          <cell r="W217" t="str">
            <v>NUEVO LEON</v>
          </cell>
          <cell r="X217">
            <v>2019</v>
          </cell>
          <cell r="Y217" t="str">
            <v>Qtr 2</v>
          </cell>
          <cell r="Z217" t="str">
            <v>April</v>
          </cell>
          <cell r="AA217">
            <v>9</v>
          </cell>
          <cell r="AB217">
            <v>142</v>
          </cell>
          <cell r="AC217">
            <v>0</v>
          </cell>
          <cell r="AD217">
            <v>0</v>
          </cell>
          <cell r="AE217">
            <v>1573</v>
          </cell>
        </row>
        <row r="218">
          <cell r="A218" t="str">
            <v>0A1H020723</v>
          </cell>
          <cell r="B218">
            <v>2019</v>
          </cell>
          <cell r="C218" t="str">
            <v>Qtr 2</v>
          </cell>
          <cell r="D218" t="str">
            <v>April</v>
          </cell>
          <cell r="E218">
            <v>5</v>
          </cell>
          <cell r="F218" t="str">
            <v>MANTENIMIENTO PREVENTIVO</v>
          </cell>
          <cell r="G218">
            <v>0</v>
          </cell>
          <cell r="H218" t="str">
            <v>WF Mono Systems and Legacy Color</v>
          </cell>
          <cell r="I218">
            <v>803</v>
          </cell>
          <cell r="J218">
            <v>1573</v>
          </cell>
          <cell r="K218">
            <v>0.2</v>
          </cell>
          <cell r="L218">
            <v>0.6</v>
          </cell>
          <cell r="M218">
            <v>0.8</v>
          </cell>
          <cell r="N218">
            <v>1.05</v>
          </cell>
          <cell r="O218">
            <v>1.1000000000000001</v>
          </cell>
          <cell r="P218">
            <v>1.1499999999999999</v>
          </cell>
          <cell r="Q218" t="str">
            <v>INTERIOR</v>
          </cell>
          <cell r="R218">
            <v>4</v>
          </cell>
          <cell r="S218">
            <v>6</v>
          </cell>
          <cell r="T218" t="str">
            <v>Ciudad principal</v>
          </cell>
          <cell r="U218" t="str">
            <v>WF Mono Systems and Legacy Color</v>
          </cell>
          <cell r="V218" t="str">
            <v>XEROX MEXICANA SA DE CV / XEROX MEXICANA</v>
          </cell>
          <cell r="W218" t="str">
            <v>NUEVO LEON</v>
          </cell>
          <cell r="X218">
            <v>2019</v>
          </cell>
          <cell r="Y218" t="str">
            <v>Qtr 2</v>
          </cell>
          <cell r="Z218" t="str">
            <v>April</v>
          </cell>
          <cell r="AA218">
            <v>8</v>
          </cell>
          <cell r="AB218">
            <v>30</v>
          </cell>
          <cell r="AC218">
            <v>0</v>
          </cell>
          <cell r="AD218">
            <v>0</v>
          </cell>
          <cell r="AE218">
            <v>1573</v>
          </cell>
        </row>
        <row r="219">
          <cell r="A219" t="str">
            <v>0A1H020925</v>
          </cell>
          <cell r="B219">
            <v>2019</v>
          </cell>
          <cell r="C219" t="str">
            <v>Qtr 2</v>
          </cell>
          <cell r="D219" t="str">
            <v>April</v>
          </cell>
          <cell r="E219">
            <v>5</v>
          </cell>
          <cell r="F219" t="str">
            <v>MANTENIMIENTO PREVENTIVO</v>
          </cell>
          <cell r="G219">
            <v>0</v>
          </cell>
          <cell r="H219" t="str">
            <v>WF Mono Systems and Legacy Color</v>
          </cell>
          <cell r="I219">
            <v>803</v>
          </cell>
          <cell r="J219">
            <v>1573</v>
          </cell>
          <cell r="K219">
            <v>0.2</v>
          </cell>
          <cell r="L219">
            <v>0.6</v>
          </cell>
          <cell r="M219">
            <v>0.8</v>
          </cell>
          <cell r="N219">
            <v>1.05</v>
          </cell>
          <cell r="O219">
            <v>1.1000000000000001</v>
          </cell>
          <cell r="P219">
            <v>1.1499999999999999</v>
          </cell>
          <cell r="Q219" t="str">
            <v>INTERIOR</v>
          </cell>
          <cell r="R219">
            <v>4</v>
          </cell>
          <cell r="S219">
            <v>6</v>
          </cell>
          <cell r="T219" t="str">
            <v>Ciudad principal</v>
          </cell>
          <cell r="U219" t="str">
            <v>WF Mono Systems and Legacy Color</v>
          </cell>
          <cell r="V219" t="str">
            <v>XEROX MEXICANA SA DE CV / XEROX MEXICANA</v>
          </cell>
          <cell r="W219" t="str">
            <v>NUEVO LEON</v>
          </cell>
          <cell r="X219">
            <v>2019</v>
          </cell>
          <cell r="Y219" t="str">
            <v>Qtr 2</v>
          </cell>
          <cell r="Z219" t="str">
            <v>April</v>
          </cell>
          <cell r="AA219">
            <v>11</v>
          </cell>
          <cell r="AB219">
            <v>14</v>
          </cell>
          <cell r="AC219">
            <v>0</v>
          </cell>
          <cell r="AD219">
            <v>0</v>
          </cell>
          <cell r="AE219">
            <v>1573</v>
          </cell>
        </row>
        <row r="220">
          <cell r="A220" t="str">
            <v>0A1H021287</v>
          </cell>
          <cell r="B220">
            <v>2019</v>
          </cell>
          <cell r="C220" t="str">
            <v>Qtr 2</v>
          </cell>
          <cell r="D220" t="str">
            <v>April</v>
          </cell>
          <cell r="E220">
            <v>5</v>
          </cell>
          <cell r="F220" t="str">
            <v>MANTENIMIENTO PREVENTIVO</v>
          </cell>
          <cell r="G220">
            <v>0</v>
          </cell>
          <cell r="H220" t="str">
            <v>WF Mono Systems and Legacy Color</v>
          </cell>
          <cell r="I220">
            <v>803</v>
          </cell>
          <cell r="J220">
            <v>1573</v>
          </cell>
          <cell r="K220">
            <v>0.2</v>
          </cell>
          <cell r="L220">
            <v>0.6</v>
          </cell>
          <cell r="M220">
            <v>0.8</v>
          </cell>
          <cell r="N220">
            <v>1.05</v>
          </cell>
          <cell r="O220">
            <v>1.1000000000000001</v>
          </cell>
          <cell r="P220">
            <v>1.1499999999999999</v>
          </cell>
          <cell r="Q220" t="str">
            <v>INTERIOR</v>
          </cell>
          <cell r="R220">
            <v>4</v>
          </cell>
          <cell r="S220">
            <v>6</v>
          </cell>
          <cell r="T220" t="str">
            <v>Ciudad principal</v>
          </cell>
          <cell r="U220" t="str">
            <v>WF Mono Systems and Legacy Color</v>
          </cell>
          <cell r="V220" t="str">
            <v>XEROX MEXICANA SA DE CV / XEROX MEXICANA</v>
          </cell>
          <cell r="W220" t="str">
            <v>NUEVO LEON</v>
          </cell>
          <cell r="X220">
            <v>2019</v>
          </cell>
          <cell r="Y220" t="str">
            <v>Qtr 2</v>
          </cell>
          <cell r="Z220" t="str">
            <v>April</v>
          </cell>
          <cell r="AA220">
            <v>9</v>
          </cell>
          <cell r="AB220">
            <v>127</v>
          </cell>
          <cell r="AC220">
            <v>0</v>
          </cell>
          <cell r="AD220">
            <v>0</v>
          </cell>
          <cell r="AE220">
            <v>1573</v>
          </cell>
        </row>
        <row r="221">
          <cell r="A221" t="str">
            <v>0A1H021488</v>
          </cell>
          <cell r="B221">
            <v>2019</v>
          </cell>
          <cell r="C221" t="str">
            <v>Qtr 2</v>
          </cell>
          <cell r="D221" t="str">
            <v>April</v>
          </cell>
          <cell r="E221">
            <v>5</v>
          </cell>
          <cell r="F221" t="str">
            <v>MANTENIMIENTO PREVENTIVO</v>
          </cell>
          <cell r="G221">
            <v>0</v>
          </cell>
          <cell r="H221" t="str">
            <v>WF Mono Systems and Legacy Color</v>
          </cell>
          <cell r="I221">
            <v>803</v>
          </cell>
          <cell r="J221">
            <v>1573</v>
          </cell>
          <cell r="K221">
            <v>0.2</v>
          </cell>
          <cell r="L221">
            <v>0.6</v>
          </cell>
          <cell r="M221">
            <v>0.8</v>
          </cell>
          <cell r="N221">
            <v>1.05</v>
          </cell>
          <cell r="O221">
            <v>1.1000000000000001</v>
          </cell>
          <cell r="P221">
            <v>1.1499999999999999</v>
          </cell>
          <cell r="Q221" t="str">
            <v>INTERIOR</v>
          </cell>
          <cell r="R221">
            <v>4</v>
          </cell>
          <cell r="S221">
            <v>6</v>
          </cell>
          <cell r="T221" t="str">
            <v>Ciudad principal</v>
          </cell>
          <cell r="U221" t="str">
            <v>WF Mono Systems and Legacy Color</v>
          </cell>
          <cell r="V221" t="str">
            <v>XEROX MEXICANA SA DE CV / XEROX MEXICANA</v>
          </cell>
          <cell r="W221" t="str">
            <v>JALISCO</v>
          </cell>
          <cell r="X221">
            <v>2019</v>
          </cell>
          <cell r="Y221" t="str">
            <v>Qtr 2</v>
          </cell>
          <cell r="Z221" t="str">
            <v>April</v>
          </cell>
          <cell r="AA221">
            <v>8</v>
          </cell>
          <cell r="AB221">
            <v>64</v>
          </cell>
          <cell r="AC221">
            <v>0</v>
          </cell>
          <cell r="AD221">
            <v>0</v>
          </cell>
          <cell r="AE221">
            <v>1573</v>
          </cell>
        </row>
        <row r="222">
          <cell r="A222" t="str">
            <v>0A1H021572</v>
          </cell>
          <cell r="B222">
            <v>2019</v>
          </cell>
          <cell r="C222" t="str">
            <v>Qtr 2</v>
          </cell>
          <cell r="D222" t="str">
            <v>April</v>
          </cell>
          <cell r="E222">
            <v>5</v>
          </cell>
          <cell r="F222" t="str">
            <v>MANTENIMIENTO PREVENTIVO</v>
          </cell>
          <cell r="G222">
            <v>0</v>
          </cell>
          <cell r="H222" t="str">
            <v>WF Mono Systems and Legacy Color</v>
          </cell>
          <cell r="I222">
            <v>803</v>
          </cell>
          <cell r="J222">
            <v>1573</v>
          </cell>
          <cell r="K222">
            <v>0.2</v>
          </cell>
          <cell r="L222">
            <v>0.6</v>
          </cell>
          <cell r="M222">
            <v>0.8</v>
          </cell>
          <cell r="N222">
            <v>1.05</v>
          </cell>
          <cell r="O222">
            <v>1.1000000000000001</v>
          </cell>
          <cell r="P222">
            <v>1.1499999999999999</v>
          </cell>
          <cell r="Q222" t="str">
            <v>INTERIOR</v>
          </cell>
          <cell r="R222">
            <v>4</v>
          </cell>
          <cell r="S222">
            <v>6</v>
          </cell>
          <cell r="T222" t="str">
            <v>Ciudad principal</v>
          </cell>
          <cell r="U222" t="str">
            <v>WF Mono Systems and Legacy Color</v>
          </cell>
          <cell r="V222" t="str">
            <v>XEROX MEXICANA SA DE CV / XEROX MEXICANA</v>
          </cell>
          <cell r="W222" t="str">
            <v>NUEVO LEON</v>
          </cell>
          <cell r="X222">
            <v>2019</v>
          </cell>
          <cell r="Y222" t="str">
            <v>Qtr 2</v>
          </cell>
          <cell r="Z222" t="str">
            <v>April</v>
          </cell>
          <cell r="AA222">
            <v>5</v>
          </cell>
          <cell r="AB222">
            <v>65</v>
          </cell>
          <cell r="AC222">
            <v>0</v>
          </cell>
          <cell r="AD222">
            <v>0</v>
          </cell>
          <cell r="AE222">
            <v>1573</v>
          </cell>
        </row>
        <row r="223">
          <cell r="A223" t="str">
            <v>0A1H021961</v>
          </cell>
          <cell r="B223">
            <v>2019</v>
          </cell>
          <cell r="C223" t="str">
            <v>Qtr 2</v>
          </cell>
          <cell r="D223" t="str">
            <v>April</v>
          </cell>
          <cell r="E223">
            <v>5</v>
          </cell>
          <cell r="F223" t="str">
            <v>CORRECTIVO</v>
          </cell>
          <cell r="G223">
            <v>2.5</v>
          </cell>
          <cell r="H223" t="str">
            <v>WF Mono Systems and Legacy Color</v>
          </cell>
          <cell r="I223">
            <v>803</v>
          </cell>
          <cell r="J223">
            <v>1573</v>
          </cell>
          <cell r="K223">
            <v>0.2</v>
          </cell>
          <cell r="L223">
            <v>0.6</v>
          </cell>
          <cell r="M223">
            <v>0.8</v>
          </cell>
          <cell r="N223">
            <v>1.05</v>
          </cell>
          <cell r="O223">
            <v>1.1000000000000001</v>
          </cell>
          <cell r="P223">
            <v>1.1499999999999999</v>
          </cell>
          <cell r="Q223" t="str">
            <v>INTERIOR</v>
          </cell>
          <cell r="R223">
            <v>4</v>
          </cell>
          <cell r="S223">
            <v>6</v>
          </cell>
          <cell r="T223" t="str">
            <v>Ciudad principal</v>
          </cell>
          <cell r="U223" t="str">
            <v>WF Mono Systems and Legacy Color</v>
          </cell>
          <cell r="V223" t="str">
            <v>XEROX MEXICANA SA DE CV / XEROX MEXICANA</v>
          </cell>
          <cell r="W223" t="str">
            <v>NUEVO LEON</v>
          </cell>
          <cell r="X223">
            <v>2019</v>
          </cell>
          <cell r="Y223" t="str">
            <v>Qtr 2</v>
          </cell>
          <cell r="Z223" t="str">
            <v>April</v>
          </cell>
          <cell r="AA223">
            <v>5</v>
          </cell>
          <cell r="AB223">
            <v>121</v>
          </cell>
          <cell r="AC223">
            <v>1.1499999999999999</v>
          </cell>
          <cell r="AD223">
            <v>0.625</v>
          </cell>
          <cell r="AE223">
            <v>1808.95</v>
          </cell>
        </row>
        <row r="224">
          <cell r="A224" t="str">
            <v>0A1H021961</v>
          </cell>
          <cell r="B224">
            <v>2019</v>
          </cell>
          <cell r="C224" t="str">
            <v>Qtr 2</v>
          </cell>
          <cell r="D224" t="str">
            <v>April</v>
          </cell>
          <cell r="E224">
            <v>5</v>
          </cell>
          <cell r="F224" t="str">
            <v>MANTENIMIENTO PREVENTIVO</v>
          </cell>
          <cell r="G224">
            <v>0</v>
          </cell>
          <cell r="H224" t="str">
            <v>WF Mono Systems and Legacy Color</v>
          </cell>
          <cell r="I224">
            <v>803</v>
          </cell>
          <cell r="J224">
            <v>1573</v>
          </cell>
          <cell r="K224">
            <v>0.2</v>
          </cell>
          <cell r="L224">
            <v>0.6</v>
          </cell>
          <cell r="M224">
            <v>0.8</v>
          </cell>
          <cell r="N224">
            <v>1.05</v>
          </cell>
          <cell r="O224">
            <v>1.1000000000000001</v>
          </cell>
          <cell r="P224">
            <v>1.1499999999999999</v>
          </cell>
          <cell r="Q224" t="str">
            <v>INTERIOR</v>
          </cell>
          <cell r="R224">
            <v>4</v>
          </cell>
          <cell r="S224">
            <v>6</v>
          </cell>
          <cell r="T224" t="str">
            <v>Ciudad principal</v>
          </cell>
          <cell r="U224" t="str">
            <v>WF Mono Systems and Legacy Color</v>
          </cell>
          <cell r="V224" t="str">
            <v>XEROX MEXICANA SA DE CV / XEROX MEXICANA</v>
          </cell>
          <cell r="W224" t="str">
            <v>NUEVO LEON</v>
          </cell>
          <cell r="X224">
            <v>2019</v>
          </cell>
          <cell r="Y224" t="str">
            <v>Qtr 2</v>
          </cell>
          <cell r="Z224" t="str">
            <v>April</v>
          </cell>
          <cell r="AA224">
            <v>15</v>
          </cell>
          <cell r="AB224">
            <v>0</v>
          </cell>
          <cell r="AC224">
            <v>0</v>
          </cell>
          <cell r="AD224">
            <v>0</v>
          </cell>
          <cell r="AE224">
            <v>1573</v>
          </cell>
        </row>
        <row r="225">
          <cell r="A225" t="str">
            <v>0AGC431093</v>
          </cell>
          <cell r="B225">
            <v>2019</v>
          </cell>
          <cell r="C225" t="str">
            <v>Qtr 2</v>
          </cell>
          <cell r="D225" t="str">
            <v>April</v>
          </cell>
          <cell r="E225">
            <v>5</v>
          </cell>
          <cell r="F225" t="str">
            <v>CORRECTIVO</v>
          </cell>
          <cell r="G225">
            <v>2.2999999999999998</v>
          </cell>
          <cell r="H225" t="str">
            <v>WF Mono Systems and Legacy Color</v>
          </cell>
          <cell r="I225">
            <v>803</v>
          </cell>
          <cell r="J225">
            <v>1573</v>
          </cell>
          <cell r="K225">
            <v>0.2</v>
          </cell>
          <cell r="L225">
            <v>0.6</v>
          </cell>
          <cell r="M225">
            <v>0.8</v>
          </cell>
          <cell r="N225">
            <v>1.05</v>
          </cell>
          <cell r="O225">
            <v>1.1000000000000001</v>
          </cell>
          <cell r="P225">
            <v>1.1499999999999999</v>
          </cell>
          <cell r="Q225" t="str">
            <v>INTERIOR</v>
          </cell>
          <cell r="R225">
            <v>4</v>
          </cell>
          <cell r="S225">
            <v>6</v>
          </cell>
          <cell r="T225" t="str">
            <v>Ciudad principal</v>
          </cell>
          <cell r="U225" t="str">
            <v>WF Mono Systems and Legacy Color</v>
          </cell>
          <cell r="V225" t="str">
            <v>XEROX MEXICANA SA DE CV / XEROX MEXICANA</v>
          </cell>
          <cell r="W225" t="str">
            <v>TAMAULIPAS</v>
          </cell>
          <cell r="X225">
            <v>2019</v>
          </cell>
          <cell r="Y225" t="str">
            <v>Qtr 2</v>
          </cell>
          <cell r="Z225" t="str">
            <v>April</v>
          </cell>
          <cell r="AA225">
            <v>17</v>
          </cell>
          <cell r="AB225">
            <v>232</v>
          </cell>
          <cell r="AC225">
            <v>1.1499999999999999</v>
          </cell>
          <cell r="AD225">
            <v>0.57499999999999996</v>
          </cell>
          <cell r="AE225">
            <v>1808.95</v>
          </cell>
        </row>
        <row r="226">
          <cell r="A226" t="str">
            <v>0BG1000997</v>
          </cell>
          <cell r="B226">
            <v>2019</v>
          </cell>
          <cell r="C226" t="str">
            <v>Qtr 2</v>
          </cell>
          <cell r="D226" t="str">
            <v>April</v>
          </cell>
          <cell r="E226">
            <v>5</v>
          </cell>
          <cell r="F226" t="str">
            <v>MANTENIMIENTO PREVENTIVO</v>
          </cell>
          <cell r="G226">
            <v>0</v>
          </cell>
          <cell r="H226" t="str">
            <v>Light Production Digital Business</v>
          </cell>
          <cell r="I226">
            <v>803</v>
          </cell>
          <cell r="J226">
            <v>1573</v>
          </cell>
          <cell r="K226">
            <v>0.2</v>
          </cell>
          <cell r="L226">
            <v>0.6</v>
          </cell>
          <cell r="M226">
            <v>0.8</v>
          </cell>
          <cell r="N226">
            <v>1.05</v>
          </cell>
          <cell r="O226">
            <v>1.1000000000000001</v>
          </cell>
          <cell r="P226">
            <v>1.1499999999999999</v>
          </cell>
          <cell r="Q226" t="str">
            <v>INTERIOR</v>
          </cell>
          <cell r="R226">
            <v>4</v>
          </cell>
          <cell r="S226">
            <v>6</v>
          </cell>
          <cell r="T226" t="str">
            <v>Ciudad principal</v>
          </cell>
          <cell r="U226" t="str">
            <v>High End Cut Sheet</v>
          </cell>
          <cell r="V226" t="str">
            <v>XEROX MEXICANA SA DE CV / XEROX MEXICANA</v>
          </cell>
          <cell r="W226" t="str">
            <v>NUEVO LEON</v>
          </cell>
          <cell r="X226">
            <v>2019</v>
          </cell>
          <cell r="Y226" t="str">
            <v>Qtr 2</v>
          </cell>
          <cell r="Z226" t="str">
            <v>April</v>
          </cell>
          <cell r="AA226">
            <v>5</v>
          </cell>
          <cell r="AB226">
            <v>1</v>
          </cell>
          <cell r="AC226">
            <v>0</v>
          </cell>
          <cell r="AD226">
            <v>0</v>
          </cell>
          <cell r="AE226">
            <v>1573</v>
          </cell>
        </row>
        <row r="227">
          <cell r="A227" t="str">
            <v>0BG2945208</v>
          </cell>
          <cell r="B227">
            <v>2019</v>
          </cell>
          <cell r="C227" t="str">
            <v>Qtr 2</v>
          </cell>
          <cell r="D227" t="str">
            <v>April</v>
          </cell>
          <cell r="E227">
            <v>5</v>
          </cell>
          <cell r="F227" t="str">
            <v>MANTENIMIENTO PREVENTIVO</v>
          </cell>
          <cell r="G227">
            <v>0</v>
          </cell>
          <cell r="H227" t="str">
            <v>Light Production Digital Business</v>
          </cell>
          <cell r="I227">
            <v>803</v>
          </cell>
          <cell r="J227">
            <v>1573</v>
          </cell>
          <cell r="K227">
            <v>0.2</v>
          </cell>
          <cell r="L227">
            <v>0.6</v>
          </cell>
          <cell r="M227">
            <v>0.8</v>
          </cell>
          <cell r="N227">
            <v>1.05</v>
          </cell>
          <cell r="O227">
            <v>1.1000000000000001</v>
          </cell>
          <cell r="P227">
            <v>1.1499999999999999</v>
          </cell>
          <cell r="Q227" t="str">
            <v>INTERIOR</v>
          </cell>
          <cell r="R227">
            <v>4</v>
          </cell>
          <cell r="S227">
            <v>6</v>
          </cell>
          <cell r="T227" t="str">
            <v>Ciudad principal</v>
          </cell>
          <cell r="U227" t="str">
            <v>High End Cut Sheet</v>
          </cell>
          <cell r="V227" t="str">
            <v>XEROX MEXICANA SA DE CV / XEROX MEXICANA</v>
          </cell>
          <cell r="W227" t="str">
            <v>NUEVO LEON</v>
          </cell>
          <cell r="X227">
            <v>2019</v>
          </cell>
          <cell r="Y227" t="str">
            <v>Qtr 2</v>
          </cell>
          <cell r="Z227" t="str">
            <v>April</v>
          </cell>
          <cell r="AA227">
            <v>10</v>
          </cell>
          <cell r="AB227">
            <v>5</v>
          </cell>
          <cell r="AC227">
            <v>0</v>
          </cell>
          <cell r="AD227">
            <v>0</v>
          </cell>
          <cell r="AE227">
            <v>1573</v>
          </cell>
        </row>
        <row r="228">
          <cell r="A228" t="str">
            <v>0BG2946786</v>
          </cell>
          <cell r="B228">
            <v>2019</v>
          </cell>
          <cell r="C228" t="str">
            <v>Qtr 2</v>
          </cell>
          <cell r="D228" t="str">
            <v>April</v>
          </cell>
          <cell r="E228">
            <v>5</v>
          </cell>
          <cell r="F228" t="str">
            <v>MANTENIMIENTO PREVENTIVO</v>
          </cell>
          <cell r="G228">
            <v>0</v>
          </cell>
          <cell r="H228" t="str">
            <v>Light Production Digital Business</v>
          </cell>
          <cell r="I228">
            <v>803</v>
          </cell>
          <cell r="J228">
            <v>1573</v>
          </cell>
          <cell r="K228">
            <v>0.2</v>
          </cell>
          <cell r="L228">
            <v>0.6</v>
          </cell>
          <cell r="M228">
            <v>0.8</v>
          </cell>
          <cell r="N228">
            <v>1.05</v>
          </cell>
          <cell r="O228">
            <v>1.1000000000000001</v>
          </cell>
          <cell r="P228">
            <v>1.1499999999999999</v>
          </cell>
          <cell r="Q228" t="str">
            <v>INTERIOR</v>
          </cell>
          <cell r="R228">
            <v>4</v>
          </cell>
          <cell r="S228">
            <v>6</v>
          </cell>
          <cell r="T228" t="str">
            <v>Ciudad principal</v>
          </cell>
          <cell r="U228" t="str">
            <v>High End Cut Sheet</v>
          </cell>
          <cell r="V228" t="str">
            <v>XEROX MEXICANA SA DE CV / XEROX MEXICANA</v>
          </cell>
          <cell r="W228" t="str">
            <v>NUEVO LEON</v>
          </cell>
          <cell r="X228">
            <v>2019</v>
          </cell>
          <cell r="Y228" t="str">
            <v>Qtr 2</v>
          </cell>
          <cell r="Z228" t="str">
            <v>April</v>
          </cell>
          <cell r="AA228">
            <v>8</v>
          </cell>
          <cell r="AB228">
            <v>3</v>
          </cell>
          <cell r="AC228">
            <v>0</v>
          </cell>
          <cell r="AD228">
            <v>0</v>
          </cell>
          <cell r="AE228">
            <v>1573</v>
          </cell>
        </row>
        <row r="229">
          <cell r="A229" t="str">
            <v>0BG2947161</v>
          </cell>
          <cell r="B229">
            <v>2019</v>
          </cell>
          <cell r="C229" t="str">
            <v>Qtr 2</v>
          </cell>
          <cell r="D229" t="str">
            <v>April</v>
          </cell>
          <cell r="E229">
            <v>5</v>
          </cell>
          <cell r="F229" t="str">
            <v>MANTENIMIENTO PREVENTIVO</v>
          </cell>
          <cell r="G229">
            <v>0</v>
          </cell>
          <cell r="H229" t="str">
            <v>Light Production Digital Business</v>
          </cell>
          <cell r="I229">
            <v>803</v>
          </cell>
          <cell r="J229">
            <v>1573</v>
          </cell>
          <cell r="K229">
            <v>0.2</v>
          </cell>
          <cell r="L229">
            <v>0.6</v>
          </cell>
          <cell r="M229">
            <v>0.8</v>
          </cell>
          <cell r="N229">
            <v>1.05</v>
          </cell>
          <cell r="O229">
            <v>1.1000000000000001</v>
          </cell>
          <cell r="P229">
            <v>1.1499999999999999</v>
          </cell>
          <cell r="Q229" t="str">
            <v>INTERIOR</v>
          </cell>
          <cell r="R229">
            <v>4</v>
          </cell>
          <cell r="S229">
            <v>6</v>
          </cell>
          <cell r="T229" t="str">
            <v>Ciudad principal</v>
          </cell>
          <cell r="U229" t="str">
            <v>High End Cut Sheet</v>
          </cell>
          <cell r="V229" t="str">
            <v>XEROX MEXICANA SA DE CV / XEROX MEXICANA</v>
          </cell>
          <cell r="W229" t="str">
            <v>NUEVO LEON</v>
          </cell>
          <cell r="X229">
            <v>2019</v>
          </cell>
          <cell r="Y229" t="str">
            <v>Qtr 2</v>
          </cell>
          <cell r="Z229" t="str">
            <v>April</v>
          </cell>
          <cell r="AA229">
            <v>11</v>
          </cell>
          <cell r="AB229">
            <v>39</v>
          </cell>
          <cell r="AC229">
            <v>0</v>
          </cell>
          <cell r="AD229">
            <v>0</v>
          </cell>
          <cell r="AE229">
            <v>1573</v>
          </cell>
        </row>
        <row r="230">
          <cell r="A230" t="str">
            <v>0BG2947470</v>
          </cell>
          <cell r="B230">
            <v>2019</v>
          </cell>
          <cell r="C230" t="str">
            <v>Qtr 2</v>
          </cell>
          <cell r="D230" t="str">
            <v>April</v>
          </cell>
          <cell r="E230">
            <v>5</v>
          </cell>
          <cell r="F230" t="str">
            <v>MANTENIMIENTO PREVENTIVO</v>
          </cell>
          <cell r="G230">
            <v>0</v>
          </cell>
          <cell r="H230" t="str">
            <v>Light Production Digital Business</v>
          </cell>
          <cell r="I230">
            <v>803</v>
          </cell>
          <cell r="J230">
            <v>1573</v>
          </cell>
          <cell r="K230">
            <v>0.2</v>
          </cell>
          <cell r="L230">
            <v>0.6</v>
          </cell>
          <cell r="M230">
            <v>0.8</v>
          </cell>
          <cell r="N230">
            <v>1.05</v>
          </cell>
          <cell r="O230">
            <v>1.1000000000000001</v>
          </cell>
          <cell r="P230">
            <v>1.1499999999999999</v>
          </cell>
          <cell r="Q230" t="str">
            <v>INTERIOR</v>
          </cell>
          <cell r="R230">
            <v>4</v>
          </cell>
          <cell r="S230">
            <v>6</v>
          </cell>
          <cell r="T230" t="str">
            <v>Ciudad principal</v>
          </cell>
          <cell r="U230" t="str">
            <v>High End Cut Sheet</v>
          </cell>
          <cell r="V230" t="str">
            <v>XEROX MEXICANA SA DE CV / XEROX MEXICANA</v>
          </cell>
          <cell r="W230" t="str">
            <v>NUEVO LEON</v>
          </cell>
          <cell r="X230">
            <v>2019</v>
          </cell>
          <cell r="Y230" t="str">
            <v>Qtr 2</v>
          </cell>
          <cell r="Z230" t="str">
            <v>April</v>
          </cell>
          <cell r="AA230">
            <v>16</v>
          </cell>
          <cell r="AB230">
            <v>59</v>
          </cell>
          <cell r="AC230">
            <v>0</v>
          </cell>
          <cell r="AD230">
            <v>0</v>
          </cell>
          <cell r="AE230">
            <v>1573</v>
          </cell>
        </row>
        <row r="231">
          <cell r="A231" t="str">
            <v>0BG2947926</v>
          </cell>
          <cell r="B231">
            <v>2019</v>
          </cell>
          <cell r="C231" t="str">
            <v>Qtr 2</v>
          </cell>
          <cell r="D231" t="str">
            <v>April</v>
          </cell>
          <cell r="E231">
            <v>5</v>
          </cell>
          <cell r="F231" t="str">
            <v>MANTENIMIENTO PREVENTIVO</v>
          </cell>
          <cell r="G231">
            <v>0</v>
          </cell>
          <cell r="H231" t="str">
            <v>Light Production Digital Business</v>
          </cell>
          <cell r="I231">
            <v>803</v>
          </cell>
          <cell r="J231">
            <v>1573</v>
          </cell>
          <cell r="K231">
            <v>0.2</v>
          </cell>
          <cell r="L231">
            <v>0.6</v>
          </cell>
          <cell r="M231">
            <v>0.8</v>
          </cell>
          <cell r="N231">
            <v>1.05</v>
          </cell>
          <cell r="O231">
            <v>1.1000000000000001</v>
          </cell>
          <cell r="P231">
            <v>1.1499999999999999</v>
          </cell>
          <cell r="Q231" t="str">
            <v>INTERIOR</v>
          </cell>
          <cell r="R231">
            <v>4</v>
          </cell>
          <cell r="S231">
            <v>6</v>
          </cell>
          <cell r="T231" t="str">
            <v>Ciudad principal</v>
          </cell>
          <cell r="U231" t="str">
            <v>High End Cut Sheet</v>
          </cell>
          <cell r="V231" t="str">
            <v>XEROX MEXICANA SA DE CV / XEROX MEXICANA</v>
          </cell>
          <cell r="W231" t="str">
            <v>NUEVO LEON</v>
          </cell>
          <cell r="X231">
            <v>2019</v>
          </cell>
          <cell r="Y231" t="str">
            <v>Qtr 2</v>
          </cell>
          <cell r="Z231" t="str">
            <v>April</v>
          </cell>
          <cell r="AA231">
            <v>10</v>
          </cell>
          <cell r="AB231">
            <v>49</v>
          </cell>
          <cell r="AC231">
            <v>0</v>
          </cell>
          <cell r="AD231">
            <v>0</v>
          </cell>
          <cell r="AE231">
            <v>1573</v>
          </cell>
        </row>
        <row r="232">
          <cell r="A232" t="str">
            <v>0BG2948914</v>
          </cell>
          <cell r="B232">
            <v>2019</v>
          </cell>
          <cell r="C232" t="str">
            <v>Qtr 2</v>
          </cell>
          <cell r="D232" t="str">
            <v>April</v>
          </cell>
          <cell r="E232">
            <v>5</v>
          </cell>
          <cell r="F232" t="str">
            <v>MANTENIMIENTO PREVENTIVO</v>
          </cell>
          <cell r="G232">
            <v>0</v>
          </cell>
          <cell r="H232" t="str">
            <v>Light Production Digital Business</v>
          </cell>
          <cell r="I232">
            <v>803</v>
          </cell>
          <cell r="J232">
            <v>1573</v>
          </cell>
          <cell r="K232">
            <v>0.2</v>
          </cell>
          <cell r="L232">
            <v>0.6</v>
          </cell>
          <cell r="M232">
            <v>0.8</v>
          </cell>
          <cell r="N232">
            <v>1.05</v>
          </cell>
          <cell r="O232">
            <v>1.1000000000000001</v>
          </cell>
          <cell r="P232">
            <v>1.1499999999999999</v>
          </cell>
          <cell r="Q232" t="str">
            <v>INTERIOR</v>
          </cell>
          <cell r="R232">
            <v>4</v>
          </cell>
          <cell r="S232">
            <v>6</v>
          </cell>
          <cell r="T232" t="str">
            <v>Otras</v>
          </cell>
          <cell r="U232" t="str">
            <v>High End Cut Sheet</v>
          </cell>
          <cell r="V232" t="str">
            <v>XEROX MEXICANA SA DE CV / XEROX MEXICANA</v>
          </cell>
          <cell r="W232" t="str">
            <v>NUEVO LEON</v>
          </cell>
          <cell r="X232">
            <v>2019</v>
          </cell>
          <cell r="Y232" t="str">
            <v>Qtr 2</v>
          </cell>
          <cell r="Z232" t="str">
            <v>April</v>
          </cell>
          <cell r="AA232">
            <v>9</v>
          </cell>
          <cell r="AB232">
            <v>11</v>
          </cell>
          <cell r="AC232">
            <v>0</v>
          </cell>
          <cell r="AD232">
            <v>0</v>
          </cell>
          <cell r="AE232">
            <v>1573</v>
          </cell>
        </row>
        <row r="233">
          <cell r="A233" t="str">
            <v>0BG2950042</v>
          </cell>
          <cell r="B233">
            <v>2019</v>
          </cell>
          <cell r="C233" t="str">
            <v>Qtr 2</v>
          </cell>
          <cell r="D233" t="str">
            <v>April</v>
          </cell>
          <cell r="E233">
            <v>5</v>
          </cell>
          <cell r="F233" t="str">
            <v>MANTENIMIENTO PREVENTIVO</v>
          </cell>
          <cell r="G233">
            <v>0</v>
          </cell>
          <cell r="H233" t="str">
            <v>Light Production Digital Business</v>
          </cell>
          <cell r="I233">
            <v>803</v>
          </cell>
          <cell r="J233">
            <v>1573</v>
          </cell>
          <cell r="K233">
            <v>0.2</v>
          </cell>
          <cell r="L233">
            <v>0.6</v>
          </cell>
          <cell r="M233">
            <v>0.8</v>
          </cell>
          <cell r="N233">
            <v>1.05</v>
          </cell>
          <cell r="O233">
            <v>1.1000000000000001</v>
          </cell>
          <cell r="P233">
            <v>1.1499999999999999</v>
          </cell>
          <cell r="Q233" t="str">
            <v>INTERIOR</v>
          </cell>
          <cell r="R233">
            <v>4</v>
          </cell>
          <cell r="S233">
            <v>6</v>
          </cell>
          <cell r="T233" t="str">
            <v>Ciudad principal</v>
          </cell>
          <cell r="U233" t="str">
            <v>High End Cut Sheet</v>
          </cell>
          <cell r="V233" t="str">
            <v>XEROX MEXICANA SA DE CV / XEROX MEXICANA</v>
          </cell>
          <cell r="W233" t="str">
            <v>NUEVO LEON</v>
          </cell>
          <cell r="X233">
            <v>2019</v>
          </cell>
          <cell r="Y233" t="str">
            <v>Qtr 2</v>
          </cell>
          <cell r="Z233" t="str">
            <v>April</v>
          </cell>
          <cell r="AA233">
            <v>23</v>
          </cell>
          <cell r="AB233">
            <v>7</v>
          </cell>
          <cell r="AC233">
            <v>0</v>
          </cell>
          <cell r="AD233">
            <v>0</v>
          </cell>
          <cell r="AE233">
            <v>1573</v>
          </cell>
        </row>
        <row r="234">
          <cell r="A234" t="str">
            <v>0BG2951552</v>
          </cell>
          <cell r="B234">
            <v>2019</v>
          </cell>
          <cell r="C234" t="str">
            <v>Qtr 2</v>
          </cell>
          <cell r="D234" t="str">
            <v>April</v>
          </cell>
          <cell r="E234">
            <v>5</v>
          </cell>
          <cell r="F234" t="str">
            <v>MANTENIMIENTO PREVENTIVO</v>
          </cell>
          <cell r="G234">
            <v>0</v>
          </cell>
          <cell r="H234" t="str">
            <v>Light Production Digital Business</v>
          </cell>
          <cell r="I234">
            <v>803</v>
          </cell>
          <cell r="J234">
            <v>1573</v>
          </cell>
          <cell r="K234">
            <v>0.2</v>
          </cell>
          <cell r="L234">
            <v>0.6</v>
          </cell>
          <cell r="M234">
            <v>0.8</v>
          </cell>
          <cell r="N234">
            <v>1.05</v>
          </cell>
          <cell r="O234">
            <v>1.1000000000000001</v>
          </cell>
          <cell r="P234">
            <v>1.1499999999999999</v>
          </cell>
          <cell r="Q234" t="str">
            <v>INTERIOR</v>
          </cell>
          <cell r="R234">
            <v>4</v>
          </cell>
          <cell r="S234">
            <v>6</v>
          </cell>
          <cell r="T234" t="str">
            <v>Ciudad principal</v>
          </cell>
          <cell r="U234" t="str">
            <v>High End Cut Sheet</v>
          </cell>
          <cell r="V234" t="str">
            <v>XEROX MEXICANA SA DE CV / XEROX MEXICANA</v>
          </cell>
          <cell r="W234" t="str">
            <v>NUEVO LEON</v>
          </cell>
          <cell r="X234">
            <v>2019</v>
          </cell>
          <cell r="Y234" t="str">
            <v>Qtr 2</v>
          </cell>
          <cell r="Z234" t="str">
            <v>April</v>
          </cell>
          <cell r="AA234">
            <v>12</v>
          </cell>
          <cell r="AB234">
            <v>59</v>
          </cell>
          <cell r="AC234">
            <v>0</v>
          </cell>
          <cell r="AD234">
            <v>0</v>
          </cell>
          <cell r="AE234">
            <v>1573</v>
          </cell>
        </row>
        <row r="235">
          <cell r="A235" t="str">
            <v>0BG2951597</v>
          </cell>
          <cell r="B235">
            <v>2019</v>
          </cell>
          <cell r="C235" t="str">
            <v>Qtr 2</v>
          </cell>
          <cell r="D235" t="str">
            <v>April</v>
          </cell>
          <cell r="E235">
            <v>5</v>
          </cell>
          <cell r="F235" t="str">
            <v>MANTENIMIENTO PREVENTIVO</v>
          </cell>
          <cell r="G235">
            <v>0</v>
          </cell>
          <cell r="H235" t="str">
            <v>Light Production Digital Business</v>
          </cell>
          <cell r="I235">
            <v>803</v>
          </cell>
          <cell r="J235">
            <v>1573</v>
          </cell>
          <cell r="K235">
            <v>0.2</v>
          </cell>
          <cell r="L235">
            <v>0.6</v>
          </cell>
          <cell r="M235">
            <v>0.8</v>
          </cell>
          <cell r="N235">
            <v>1.05</v>
          </cell>
          <cell r="O235">
            <v>1.1000000000000001</v>
          </cell>
          <cell r="P235">
            <v>1.1499999999999999</v>
          </cell>
          <cell r="Q235" t="str">
            <v>INTERIOR</v>
          </cell>
          <cell r="R235">
            <v>4</v>
          </cell>
          <cell r="S235">
            <v>6</v>
          </cell>
          <cell r="T235" t="str">
            <v>Ciudad principal</v>
          </cell>
          <cell r="U235" t="str">
            <v>High End Cut Sheet</v>
          </cell>
          <cell r="V235" t="str">
            <v>XEROX MEXICANA SA DE CV / XEROX MEXICANA</v>
          </cell>
          <cell r="W235" t="str">
            <v>NUEVO LEON</v>
          </cell>
          <cell r="X235">
            <v>2019</v>
          </cell>
          <cell r="Y235" t="str">
            <v>Qtr 2</v>
          </cell>
          <cell r="Z235" t="str">
            <v>April</v>
          </cell>
          <cell r="AA235">
            <v>15</v>
          </cell>
          <cell r="AB235">
            <v>15</v>
          </cell>
          <cell r="AC235">
            <v>0</v>
          </cell>
          <cell r="AD235">
            <v>0</v>
          </cell>
          <cell r="AE235">
            <v>1573</v>
          </cell>
        </row>
        <row r="236">
          <cell r="A236" t="str">
            <v>0BG2951623</v>
          </cell>
          <cell r="B236">
            <v>2019</v>
          </cell>
          <cell r="C236" t="str">
            <v>Qtr 2</v>
          </cell>
          <cell r="D236" t="str">
            <v>April</v>
          </cell>
          <cell r="E236">
            <v>5</v>
          </cell>
          <cell r="F236" t="str">
            <v>MANTENIMIENTO PREVENTIVO</v>
          </cell>
          <cell r="G236">
            <v>0</v>
          </cell>
          <cell r="H236" t="str">
            <v>Light Production Digital Business</v>
          </cell>
          <cell r="I236">
            <v>803</v>
          </cell>
          <cell r="J236">
            <v>1573</v>
          </cell>
          <cell r="K236">
            <v>0.2</v>
          </cell>
          <cell r="L236">
            <v>0.6</v>
          </cell>
          <cell r="M236">
            <v>0.8</v>
          </cell>
          <cell r="N236">
            <v>1.05</v>
          </cell>
          <cell r="O236">
            <v>1.1000000000000001</v>
          </cell>
          <cell r="P236">
            <v>1.1499999999999999</v>
          </cell>
          <cell r="Q236" t="str">
            <v>INTERIOR</v>
          </cell>
          <cell r="R236">
            <v>4</v>
          </cell>
          <cell r="S236">
            <v>6</v>
          </cell>
          <cell r="T236" t="str">
            <v>Ciudad principal</v>
          </cell>
          <cell r="U236" t="str">
            <v>High End Cut Sheet</v>
          </cell>
          <cell r="V236" t="str">
            <v>XEROX MEXICANA SA DE CV / XEROX MEXICANA</v>
          </cell>
          <cell r="W236" t="str">
            <v>TAMAULIPAS</v>
          </cell>
          <cell r="X236">
            <v>2019</v>
          </cell>
          <cell r="Y236" t="str">
            <v>Qtr 2</v>
          </cell>
          <cell r="Z236" t="str">
            <v>April</v>
          </cell>
          <cell r="AA236">
            <v>5</v>
          </cell>
          <cell r="AB236">
            <v>8</v>
          </cell>
          <cell r="AC236">
            <v>0</v>
          </cell>
          <cell r="AD236">
            <v>0</v>
          </cell>
          <cell r="AE236">
            <v>1573</v>
          </cell>
        </row>
        <row r="237">
          <cell r="A237" t="str">
            <v>0D6X458430</v>
          </cell>
          <cell r="B237">
            <v>2019</v>
          </cell>
          <cell r="C237" t="str">
            <v>Qtr 2</v>
          </cell>
          <cell r="D237" t="str">
            <v>April</v>
          </cell>
          <cell r="E237">
            <v>5</v>
          </cell>
          <cell r="F237" t="str">
            <v>CORRECTIVO</v>
          </cell>
          <cell r="G237">
            <v>0.71666660000000004</v>
          </cell>
          <cell r="H237" t="str">
            <v>Entry Mono Printers</v>
          </cell>
          <cell r="I237">
            <v>468</v>
          </cell>
          <cell r="J237">
            <v>715</v>
          </cell>
          <cell r="K237">
            <v>0</v>
          </cell>
          <cell r="L237">
            <v>0</v>
          </cell>
          <cell r="M237">
            <v>0</v>
          </cell>
          <cell r="N237">
            <v>0.6</v>
          </cell>
          <cell r="O237">
            <v>0.8</v>
          </cell>
          <cell r="P237">
            <v>1.05</v>
          </cell>
          <cell r="Q237" t="str">
            <v>INTERIOR</v>
          </cell>
          <cell r="R237">
            <v>5</v>
          </cell>
          <cell r="S237">
            <v>9</v>
          </cell>
          <cell r="T237" t="str">
            <v>Ciudad principal</v>
          </cell>
          <cell r="U237" t="str">
            <v>Entry Mono Printers</v>
          </cell>
          <cell r="V237" t="str">
            <v>XEROX MEXICANA SA DE CV / XEROX MEXICANA</v>
          </cell>
          <cell r="W237" t="str">
            <v>CHIHUAHUA</v>
          </cell>
          <cell r="X237">
            <v>2019</v>
          </cell>
          <cell r="Y237" t="str">
            <v>Qtr 2</v>
          </cell>
          <cell r="Z237" t="str">
            <v>April</v>
          </cell>
          <cell r="AA237">
            <v>9</v>
          </cell>
          <cell r="AB237">
            <v>357</v>
          </cell>
          <cell r="AC237">
            <v>1.05</v>
          </cell>
          <cell r="AD237">
            <v>0.14333331999999999</v>
          </cell>
          <cell r="AE237">
            <v>750.75</v>
          </cell>
        </row>
        <row r="238">
          <cell r="A238" t="str">
            <v>0E1B980213</v>
          </cell>
          <cell r="B238">
            <v>2019</v>
          </cell>
          <cell r="C238" t="str">
            <v>Qtr 2</v>
          </cell>
          <cell r="D238" t="str">
            <v>April</v>
          </cell>
          <cell r="E238">
            <v>5</v>
          </cell>
          <cell r="F238" t="str">
            <v>CORRECTIVO</v>
          </cell>
          <cell r="G238">
            <v>0.63333329999999999</v>
          </cell>
          <cell r="H238" t="str">
            <v>Color Laser Printers</v>
          </cell>
          <cell r="I238">
            <v>468</v>
          </cell>
          <cell r="J238">
            <v>715</v>
          </cell>
          <cell r="K238">
            <v>0</v>
          </cell>
          <cell r="L238">
            <v>0</v>
          </cell>
          <cell r="M238">
            <v>0</v>
          </cell>
          <cell r="N238">
            <v>0.6</v>
          </cell>
          <cell r="O238">
            <v>0.8</v>
          </cell>
          <cell r="P238">
            <v>1.05</v>
          </cell>
          <cell r="Q238" t="str">
            <v>INTERIOR</v>
          </cell>
          <cell r="R238">
            <v>5</v>
          </cell>
          <cell r="S238">
            <v>9</v>
          </cell>
          <cell r="T238" t="str">
            <v>Ciudad principal</v>
          </cell>
          <cell r="U238" t="str">
            <v>A4 Mono MFPs</v>
          </cell>
          <cell r="V238" t="str">
            <v>XEROX MEXICANA SA DE CV / XEROX MEXICANA</v>
          </cell>
          <cell r="W238" t="str">
            <v>GUANAJUATO</v>
          </cell>
          <cell r="X238">
            <v>2019</v>
          </cell>
          <cell r="Y238" t="str">
            <v>Qtr 2</v>
          </cell>
          <cell r="Z238" t="str">
            <v>April</v>
          </cell>
          <cell r="AA238">
            <v>26</v>
          </cell>
          <cell r="AB238">
            <v>190</v>
          </cell>
          <cell r="AC238">
            <v>1.05</v>
          </cell>
          <cell r="AD238">
            <v>0.12666665999999999</v>
          </cell>
          <cell r="AE238">
            <v>750.75</v>
          </cell>
        </row>
        <row r="239">
          <cell r="A239" t="str">
            <v>0E2B646602</v>
          </cell>
          <cell r="B239">
            <v>2019</v>
          </cell>
          <cell r="C239" t="str">
            <v>Qtr 2</v>
          </cell>
          <cell r="D239" t="str">
            <v>April</v>
          </cell>
          <cell r="E239">
            <v>5</v>
          </cell>
          <cell r="F239" t="str">
            <v>MANTENIMIENTO PREVENTIVO</v>
          </cell>
          <cell r="G239">
            <v>0</v>
          </cell>
          <cell r="H239" t="str">
            <v>Entry Production Color Low/Mid</v>
          </cell>
          <cell r="I239">
            <v>803</v>
          </cell>
          <cell r="J239">
            <v>1573</v>
          </cell>
          <cell r="K239">
            <v>0.2</v>
          </cell>
          <cell r="L239">
            <v>0.6</v>
          </cell>
          <cell r="M239">
            <v>0.8</v>
          </cell>
          <cell r="N239">
            <v>1.05</v>
          </cell>
          <cell r="O239">
            <v>1.1000000000000001</v>
          </cell>
          <cell r="P239">
            <v>1.1499999999999999</v>
          </cell>
          <cell r="Q239" t="str">
            <v>INTERIOR</v>
          </cell>
          <cell r="R239">
            <v>4</v>
          </cell>
          <cell r="S239">
            <v>6</v>
          </cell>
          <cell r="T239" t="str">
            <v>Ciudad principal</v>
          </cell>
          <cell r="U239" t="str">
            <v>Entry Production Color Low/Mid</v>
          </cell>
          <cell r="V239" t="str">
            <v>XEROX MEXICANA SA DE CV / XEROX MEXICANA</v>
          </cell>
          <cell r="W239" t="str">
            <v>NUEVO LEON</v>
          </cell>
          <cell r="X239">
            <v>2019</v>
          </cell>
          <cell r="Y239" t="str">
            <v>Qtr 2</v>
          </cell>
          <cell r="Z239" t="str">
            <v>April</v>
          </cell>
          <cell r="AA239">
            <v>22</v>
          </cell>
          <cell r="AB239">
            <v>3</v>
          </cell>
          <cell r="AC239">
            <v>0</v>
          </cell>
          <cell r="AD239">
            <v>0</v>
          </cell>
          <cell r="AE239">
            <v>1573</v>
          </cell>
        </row>
        <row r="240">
          <cell r="A240" t="str">
            <v>0E2B646611</v>
          </cell>
          <cell r="B240">
            <v>2019</v>
          </cell>
          <cell r="C240" t="str">
            <v>Qtr 2</v>
          </cell>
          <cell r="D240" t="str">
            <v>April</v>
          </cell>
          <cell r="E240">
            <v>5</v>
          </cell>
          <cell r="F240" t="str">
            <v>MANTENIMIENTO PREVENTIVO</v>
          </cell>
          <cell r="G240">
            <v>0</v>
          </cell>
          <cell r="H240" t="str">
            <v>Entry Production Color Low/Mid</v>
          </cell>
          <cell r="I240">
            <v>803</v>
          </cell>
          <cell r="J240">
            <v>1573</v>
          </cell>
          <cell r="K240">
            <v>0.2</v>
          </cell>
          <cell r="L240">
            <v>0.6</v>
          </cell>
          <cell r="M240">
            <v>0.8</v>
          </cell>
          <cell r="N240">
            <v>1.05</v>
          </cell>
          <cell r="O240">
            <v>1.1000000000000001</v>
          </cell>
          <cell r="P240">
            <v>1.1499999999999999</v>
          </cell>
          <cell r="Q240" t="str">
            <v>INTERIOR</v>
          </cell>
          <cell r="R240">
            <v>4</v>
          </cell>
          <cell r="S240">
            <v>6</v>
          </cell>
          <cell r="T240" t="str">
            <v>Ciudad principal</v>
          </cell>
          <cell r="U240" t="str">
            <v>Entry Production Color Low/Mid</v>
          </cell>
          <cell r="V240" t="str">
            <v>XEROX MEXICANA SA DE CV / XEROX MEXICANA</v>
          </cell>
          <cell r="W240" t="str">
            <v>JALISCO</v>
          </cell>
          <cell r="X240">
            <v>2019</v>
          </cell>
          <cell r="Y240" t="str">
            <v>Qtr 2</v>
          </cell>
          <cell r="Z240" t="str">
            <v>April</v>
          </cell>
          <cell r="AA240">
            <v>9</v>
          </cell>
          <cell r="AB240">
            <v>8</v>
          </cell>
          <cell r="AC240">
            <v>0</v>
          </cell>
          <cell r="AD240">
            <v>0</v>
          </cell>
          <cell r="AE240">
            <v>1573</v>
          </cell>
        </row>
        <row r="241">
          <cell r="A241" t="str">
            <v>0E2B646874</v>
          </cell>
          <cell r="B241">
            <v>2019</v>
          </cell>
          <cell r="C241" t="str">
            <v>Qtr 2</v>
          </cell>
          <cell r="D241" t="str">
            <v>April</v>
          </cell>
          <cell r="E241">
            <v>5</v>
          </cell>
          <cell r="F241" t="str">
            <v>MANTENIMIENTO PREVENTIVO</v>
          </cell>
          <cell r="G241">
            <v>0</v>
          </cell>
          <cell r="H241" t="str">
            <v>Entry Production Color Low/Mid</v>
          </cell>
          <cell r="I241">
            <v>803</v>
          </cell>
          <cell r="J241">
            <v>1573</v>
          </cell>
          <cell r="K241">
            <v>0.2</v>
          </cell>
          <cell r="L241">
            <v>0.6</v>
          </cell>
          <cell r="M241">
            <v>0.8</v>
          </cell>
          <cell r="N241">
            <v>1.05</v>
          </cell>
          <cell r="O241">
            <v>1.1000000000000001</v>
          </cell>
          <cell r="P241">
            <v>1.1499999999999999</v>
          </cell>
          <cell r="Q241" t="str">
            <v>INTERIOR</v>
          </cell>
          <cell r="R241">
            <v>4</v>
          </cell>
          <cell r="S241">
            <v>6</v>
          </cell>
          <cell r="T241" t="str">
            <v>Otras</v>
          </cell>
          <cell r="U241" t="str">
            <v>Entry Production Color Low/Mid</v>
          </cell>
          <cell r="V241" t="str">
            <v>XEROX MEXICANA SA DE CV / XEROX MEXICANA</v>
          </cell>
          <cell r="W241" t="str">
            <v>NUEVO LEON</v>
          </cell>
          <cell r="X241">
            <v>2019</v>
          </cell>
          <cell r="Y241" t="str">
            <v>Qtr 2</v>
          </cell>
          <cell r="Z241" t="str">
            <v>April</v>
          </cell>
          <cell r="AA241">
            <v>11</v>
          </cell>
          <cell r="AB241">
            <v>51</v>
          </cell>
          <cell r="AC241">
            <v>0</v>
          </cell>
          <cell r="AD241">
            <v>0</v>
          </cell>
          <cell r="AE241">
            <v>1573</v>
          </cell>
        </row>
        <row r="242">
          <cell r="A242" t="str">
            <v>0E2B647375</v>
          </cell>
          <cell r="B242">
            <v>2019</v>
          </cell>
          <cell r="C242" t="str">
            <v>Qtr 2</v>
          </cell>
          <cell r="D242" t="str">
            <v>April</v>
          </cell>
          <cell r="E242">
            <v>5</v>
          </cell>
          <cell r="F242" t="str">
            <v>CORRECTIVO</v>
          </cell>
          <cell r="G242">
            <v>0.48333330000000002</v>
          </cell>
          <cell r="H242" t="str">
            <v>Entry Production Color Low/Mid</v>
          </cell>
          <cell r="I242">
            <v>803</v>
          </cell>
          <cell r="J242">
            <v>1573</v>
          </cell>
          <cell r="K242">
            <v>0.2</v>
          </cell>
          <cell r="L242">
            <v>0.6</v>
          </cell>
          <cell r="M242">
            <v>0.8</v>
          </cell>
          <cell r="N242">
            <v>1.05</v>
          </cell>
          <cell r="O242">
            <v>1.1000000000000001</v>
          </cell>
          <cell r="P242">
            <v>1.1499999999999999</v>
          </cell>
          <cell r="Q242" t="str">
            <v>INTERIOR</v>
          </cell>
          <cell r="R242">
            <v>4</v>
          </cell>
          <cell r="S242">
            <v>6</v>
          </cell>
          <cell r="T242" t="str">
            <v>Ciudad principal</v>
          </cell>
          <cell r="U242" t="str">
            <v>Entry Production Color Low/Mid</v>
          </cell>
          <cell r="V242" t="str">
            <v>XEROX MEXICANA SA DE CV / XEROX MEXICANA</v>
          </cell>
          <cell r="W242" t="str">
            <v>NUEVO LEON</v>
          </cell>
          <cell r="X242">
            <v>2019</v>
          </cell>
          <cell r="Y242" t="str">
            <v>Qtr 2</v>
          </cell>
          <cell r="Z242" t="str">
            <v>April</v>
          </cell>
          <cell r="AA242">
            <v>8</v>
          </cell>
          <cell r="AB242">
            <v>12</v>
          </cell>
          <cell r="AC242">
            <v>0.8</v>
          </cell>
          <cell r="AD242">
            <v>0.12083332500000001</v>
          </cell>
          <cell r="AE242">
            <v>1258.4000000000001</v>
          </cell>
        </row>
        <row r="243">
          <cell r="A243" t="str">
            <v>0E2B647375</v>
          </cell>
          <cell r="B243">
            <v>2019</v>
          </cell>
          <cell r="C243" t="str">
            <v>Qtr 2</v>
          </cell>
          <cell r="D243" t="str">
            <v>April</v>
          </cell>
          <cell r="E243">
            <v>5</v>
          </cell>
          <cell r="F243" t="str">
            <v>MANTENIMIENTO PREVENTIVO</v>
          </cell>
          <cell r="G243">
            <v>0</v>
          </cell>
          <cell r="H243" t="str">
            <v>Entry Production Color Low/Mid</v>
          </cell>
          <cell r="I243">
            <v>803</v>
          </cell>
          <cell r="J243">
            <v>1573</v>
          </cell>
          <cell r="K243">
            <v>0.2</v>
          </cell>
          <cell r="L243">
            <v>0.6</v>
          </cell>
          <cell r="M243">
            <v>0.8</v>
          </cell>
          <cell r="N243">
            <v>1.05</v>
          </cell>
          <cell r="O243">
            <v>1.1000000000000001</v>
          </cell>
          <cell r="P243">
            <v>1.1499999999999999</v>
          </cell>
          <cell r="Q243" t="str">
            <v>INTERIOR</v>
          </cell>
          <cell r="R243">
            <v>4</v>
          </cell>
          <cell r="S243">
            <v>6</v>
          </cell>
          <cell r="T243" t="str">
            <v>Ciudad principal</v>
          </cell>
          <cell r="U243" t="str">
            <v>Entry Production Color Low/Mid</v>
          </cell>
          <cell r="V243" t="str">
            <v>XEROX MEXICANA SA DE CV / XEROX MEXICANA</v>
          </cell>
          <cell r="W243" t="str">
            <v>NUEVO LEON</v>
          </cell>
          <cell r="X243">
            <v>2019</v>
          </cell>
          <cell r="Y243" t="str">
            <v>Qtr 2</v>
          </cell>
          <cell r="Z243" t="str">
            <v>April</v>
          </cell>
          <cell r="AA243">
            <v>5</v>
          </cell>
          <cell r="AB243">
            <v>0</v>
          </cell>
          <cell r="AC243">
            <v>0</v>
          </cell>
          <cell r="AD243">
            <v>0</v>
          </cell>
          <cell r="AE243">
            <v>1573</v>
          </cell>
        </row>
        <row r="244">
          <cell r="A244" t="str">
            <v>0E2B654062</v>
          </cell>
          <cell r="B244">
            <v>2019</v>
          </cell>
          <cell r="C244" t="str">
            <v>Qtr 2</v>
          </cell>
          <cell r="D244" t="str">
            <v>April</v>
          </cell>
          <cell r="E244">
            <v>5</v>
          </cell>
          <cell r="F244" t="str">
            <v>CORRECTIVO</v>
          </cell>
          <cell r="G244">
            <v>1.983333</v>
          </cell>
          <cell r="H244" t="str">
            <v>Entry Production Color Low/Mid</v>
          </cell>
          <cell r="I244">
            <v>803</v>
          </cell>
          <cell r="J244">
            <v>1573</v>
          </cell>
          <cell r="K244">
            <v>0.2</v>
          </cell>
          <cell r="L244">
            <v>0.6</v>
          </cell>
          <cell r="M244">
            <v>0.8</v>
          </cell>
          <cell r="N244">
            <v>1.05</v>
          </cell>
          <cell r="O244">
            <v>1.1000000000000001</v>
          </cell>
          <cell r="P244">
            <v>1.1499999999999999</v>
          </cell>
          <cell r="Q244" t="str">
            <v>INTERIOR</v>
          </cell>
          <cell r="R244">
            <v>4</v>
          </cell>
          <cell r="S244">
            <v>6</v>
          </cell>
          <cell r="T244" t="str">
            <v>Ciudad principal</v>
          </cell>
          <cell r="U244" t="str">
            <v>Entry Production Color Low/Mid</v>
          </cell>
          <cell r="V244" t="str">
            <v>XEROX MEXICANA SA DE CV / XEROX MEXICANA</v>
          </cell>
          <cell r="W244" t="str">
            <v>NUEVO LEON</v>
          </cell>
          <cell r="X244">
            <v>2019</v>
          </cell>
          <cell r="Y244" t="str">
            <v>Qtr 2</v>
          </cell>
          <cell r="Z244" t="str">
            <v>April</v>
          </cell>
          <cell r="AA244">
            <v>5</v>
          </cell>
          <cell r="AB244">
            <v>32</v>
          </cell>
          <cell r="AC244">
            <v>1.1000000000000001</v>
          </cell>
          <cell r="AD244">
            <v>0.49583325</v>
          </cell>
          <cell r="AE244">
            <v>1730.3</v>
          </cell>
        </row>
        <row r="245">
          <cell r="A245" t="str">
            <v>0E2B654062</v>
          </cell>
          <cell r="B245">
            <v>2019</v>
          </cell>
          <cell r="C245" t="str">
            <v>Qtr 2</v>
          </cell>
          <cell r="D245" t="str">
            <v>April</v>
          </cell>
          <cell r="E245">
            <v>5</v>
          </cell>
          <cell r="F245" t="str">
            <v>MANTENIMIENTO PREVENTIVO</v>
          </cell>
          <cell r="G245">
            <v>0</v>
          </cell>
          <cell r="H245" t="str">
            <v>Entry Production Color Low/Mid</v>
          </cell>
          <cell r="I245">
            <v>803</v>
          </cell>
          <cell r="J245">
            <v>1573</v>
          </cell>
          <cell r="K245">
            <v>0.2</v>
          </cell>
          <cell r="L245">
            <v>0.6</v>
          </cell>
          <cell r="M245">
            <v>0.8</v>
          </cell>
          <cell r="N245">
            <v>1.05</v>
          </cell>
          <cell r="O245">
            <v>1.1000000000000001</v>
          </cell>
          <cell r="P245">
            <v>1.1499999999999999</v>
          </cell>
          <cell r="Q245" t="str">
            <v>INTERIOR</v>
          </cell>
          <cell r="R245">
            <v>4</v>
          </cell>
          <cell r="S245">
            <v>6</v>
          </cell>
          <cell r="T245" t="str">
            <v>Ciudad principal</v>
          </cell>
          <cell r="U245" t="str">
            <v>Entry Production Color Low/Mid</v>
          </cell>
          <cell r="V245" t="str">
            <v>XEROX MEXICANA SA DE CV / XEROX MEXICANA</v>
          </cell>
          <cell r="W245" t="str">
            <v>NUEVO LEON</v>
          </cell>
          <cell r="X245">
            <v>2019</v>
          </cell>
          <cell r="Y245" t="str">
            <v>Qtr 2</v>
          </cell>
          <cell r="Z245" t="str">
            <v>April</v>
          </cell>
          <cell r="AA245">
            <v>16</v>
          </cell>
          <cell r="AB245">
            <v>0</v>
          </cell>
          <cell r="AC245">
            <v>0</v>
          </cell>
          <cell r="AD245">
            <v>0</v>
          </cell>
          <cell r="AE245">
            <v>1573</v>
          </cell>
        </row>
        <row r="246">
          <cell r="A246" t="str">
            <v>0E2B656739</v>
          </cell>
          <cell r="B246">
            <v>2019</v>
          </cell>
          <cell r="C246" t="str">
            <v>Qtr 2</v>
          </cell>
          <cell r="D246" t="str">
            <v>April</v>
          </cell>
          <cell r="E246">
            <v>5</v>
          </cell>
          <cell r="F246" t="str">
            <v>MANTENIMIENTO PREVENTIVO</v>
          </cell>
          <cell r="G246">
            <v>0</v>
          </cell>
          <cell r="H246" t="str">
            <v>Entry Production Color Low/Mid</v>
          </cell>
          <cell r="I246">
            <v>803</v>
          </cell>
          <cell r="J246">
            <v>1573</v>
          </cell>
          <cell r="K246">
            <v>0.2</v>
          </cell>
          <cell r="L246">
            <v>0.6</v>
          </cell>
          <cell r="M246">
            <v>0.8</v>
          </cell>
          <cell r="N246">
            <v>1.05</v>
          </cell>
          <cell r="O246">
            <v>1.1000000000000001</v>
          </cell>
          <cell r="P246">
            <v>1.1499999999999999</v>
          </cell>
          <cell r="Q246" t="str">
            <v>INTERIOR</v>
          </cell>
          <cell r="R246">
            <v>4</v>
          </cell>
          <cell r="S246">
            <v>6</v>
          </cell>
          <cell r="T246" t="str">
            <v>Ciudad principal</v>
          </cell>
          <cell r="U246" t="str">
            <v>Entry Production Color Low/Mid</v>
          </cell>
          <cell r="V246" t="str">
            <v>XEROX MEXICANA SA DE CV / XEROX MEXICANA</v>
          </cell>
          <cell r="W246" t="str">
            <v>NUEVO LEON</v>
          </cell>
          <cell r="X246">
            <v>2019</v>
          </cell>
          <cell r="Y246" t="str">
            <v>Qtr 2</v>
          </cell>
          <cell r="Z246" t="str">
            <v>April</v>
          </cell>
          <cell r="AA246">
            <v>17</v>
          </cell>
          <cell r="AB246">
            <v>14</v>
          </cell>
          <cell r="AC246">
            <v>0</v>
          </cell>
          <cell r="AD246">
            <v>0</v>
          </cell>
          <cell r="AE246">
            <v>1573</v>
          </cell>
        </row>
        <row r="247">
          <cell r="A247" t="str">
            <v>0E2B658511</v>
          </cell>
          <cell r="B247">
            <v>2019</v>
          </cell>
          <cell r="C247" t="str">
            <v>Qtr 2</v>
          </cell>
          <cell r="D247" t="str">
            <v>April</v>
          </cell>
          <cell r="E247">
            <v>5</v>
          </cell>
          <cell r="F247" t="str">
            <v>CORRECTIVO</v>
          </cell>
          <cell r="G247">
            <v>0.61666670000000001</v>
          </cell>
          <cell r="H247" t="str">
            <v>Entry Production Color Low/Mid</v>
          </cell>
          <cell r="I247">
            <v>803</v>
          </cell>
          <cell r="J247">
            <v>1573</v>
          </cell>
          <cell r="K247">
            <v>0.2</v>
          </cell>
          <cell r="L247">
            <v>0.6</v>
          </cell>
          <cell r="M247">
            <v>0.8</v>
          </cell>
          <cell r="N247">
            <v>1.05</v>
          </cell>
          <cell r="O247">
            <v>1.1000000000000001</v>
          </cell>
          <cell r="P247">
            <v>1.1499999999999999</v>
          </cell>
          <cell r="Q247" t="str">
            <v>INTERIOR</v>
          </cell>
          <cell r="R247">
            <v>4</v>
          </cell>
          <cell r="S247">
            <v>6</v>
          </cell>
          <cell r="T247" t="str">
            <v>Ciudad principal</v>
          </cell>
          <cell r="U247" t="str">
            <v>Entry Production Color Low/Mid</v>
          </cell>
          <cell r="V247" t="str">
            <v>XEROX MEXICANA SA DE CV / XEROX MEXICANA</v>
          </cell>
          <cell r="W247" t="str">
            <v>QUERETARO</v>
          </cell>
          <cell r="X247">
            <v>2019</v>
          </cell>
          <cell r="Y247" t="str">
            <v>Qtr 2</v>
          </cell>
          <cell r="Z247" t="str">
            <v>April</v>
          </cell>
          <cell r="AA247">
            <v>8</v>
          </cell>
          <cell r="AB247">
            <v>2</v>
          </cell>
          <cell r="AC247">
            <v>0.2</v>
          </cell>
          <cell r="AD247">
            <v>0.154166675</v>
          </cell>
          <cell r="AE247">
            <v>314.60000000000002</v>
          </cell>
        </row>
        <row r="248">
          <cell r="A248" t="str">
            <v>0E2B659015</v>
          </cell>
          <cell r="B248">
            <v>2019</v>
          </cell>
          <cell r="C248" t="str">
            <v>Qtr 2</v>
          </cell>
          <cell r="D248" t="str">
            <v>April</v>
          </cell>
          <cell r="E248">
            <v>5</v>
          </cell>
          <cell r="F248" t="str">
            <v>CORRECTIVO</v>
          </cell>
          <cell r="G248">
            <v>2.5</v>
          </cell>
          <cell r="H248" t="str">
            <v>Entry Production Color Low/Mid</v>
          </cell>
          <cell r="I248">
            <v>803</v>
          </cell>
          <cell r="J248">
            <v>1573</v>
          </cell>
          <cell r="K248">
            <v>0.2</v>
          </cell>
          <cell r="L248">
            <v>0.6</v>
          </cell>
          <cell r="M248">
            <v>0.8</v>
          </cell>
          <cell r="N248">
            <v>1.05</v>
          </cell>
          <cell r="O248">
            <v>1.1000000000000001</v>
          </cell>
          <cell r="P248">
            <v>1.1499999999999999</v>
          </cell>
          <cell r="Q248" t="str">
            <v>INTERIOR</v>
          </cell>
          <cell r="R248">
            <v>4</v>
          </cell>
          <cell r="S248">
            <v>6</v>
          </cell>
          <cell r="T248" t="str">
            <v>Ciudad principal</v>
          </cell>
          <cell r="U248" t="str">
            <v>Entry Production Color Low/Mid</v>
          </cell>
          <cell r="V248" t="str">
            <v>XEROX MEXICANA SA DE CV / XEROX MEXICANA</v>
          </cell>
          <cell r="W248" t="str">
            <v>JALISCO</v>
          </cell>
          <cell r="X248">
            <v>2019</v>
          </cell>
          <cell r="Y248" t="str">
            <v>Qtr 2</v>
          </cell>
          <cell r="Z248" t="str">
            <v>April</v>
          </cell>
          <cell r="AA248">
            <v>5</v>
          </cell>
          <cell r="AB248">
            <v>1</v>
          </cell>
          <cell r="AC248">
            <v>0.2</v>
          </cell>
          <cell r="AD248">
            <v>0.625</v>
          </cell>
          <cell r="AE248">
            <v>314.60000000000002</v>
          </cell>
        </row>
        <row r="249">
          <cell r="A249" t="str">
            <v>0E2B663505</v>
          </cell>
          <cell r="B249">
            <v>2019</v>
          </cell>
          <cell r="C249" t="str">
            <v>Qtr 2</v>
          </cell>
          <cell r="D249" t="str">
            <v>April</v>
          </cell>
          <cell r="E249">
            <v>5</v>
          </cell>
          <cell r="F249" t="str">
            <v>CORRECTIVO</v>
          </cell>
          <cell r="G249">
            <v>1.566667</v>
          </cell>
          <cell r="H249" t="str">
            <v>Entry Production Color Low/Mid</v>
          </cell>
          <cell r="I249">
            <v>803</v>
          </cell>
          <cell r="J249">
            <v>1573</v>
          </cell>
          <cell r="K249">
            <v>0.2</v>
          </cell>
          <cell r="L249">
            <v>0.6</v>
          </cell>
          <cell r="M249">
            <v>0.8</v>
          </cell>
          <cell r="N249">
            <v>1.05</v>
          </cell>
          <cell r="O249">
            <v>1.1000000000000001</v>
          </cell>
          <cell r="P249">
            <v>1.1499999999999999</v>
          </cell>
          <cell r="Q249" t="str">
            <v>INTERIOR</v>
          </cell>
          <cell r="R249">
            <v>4</v>
          </cell>
          <cell r="S249">
            <v>6</v>
          </cell>
          <cell r="T249" t="str">
            <v>Ciudad principal</v>
          </cell>
          <cell r="U249" t="str">
            <v>Entry Production Color Low/Mid</v>
          </cell>
          <cell r="V249" t="str">
            <v>XEROX MEXICANA SA DE CV / XEROX MEXICANA</v>
          </cell>
          <cell r="W249" t="str">
            <v>JALISCO</v>
          </cell>
          <cell r="X249">
            <v>2019</v>
          </cell>
          <cell r="Y249" t="str">
            <v>Qtr 2</v>
          </cell>
          <cell r="Z249" t="str">
            <v>April</v>
          </cell>
          <cell r="AA249">
            <v>8</v>
          </cell>
          <cell r="AB249">
            <v>58</v>
          </cell>
          <cell r="AC249">
            <v>1.1000000000000001</v>
          </cell>
          <cell r="AD249">
            <v>0.39166675000000001</v>
          </cell>
          <cell r="AE249">
            <v>1730.3</v>
          </cell>
        </row>
        <row r="250">
          <cell r="A250" t="str">
            <v>0EX7416648</v>
          </cell>
          <cell r="B250">
            <v>2019</v>
          </cell>
          <cell r="C250" t="str">
            <v>Qtr 2</v>
          </cell>
          <cell r="D250" t="str">
            <v>April</v>
          </cell>
          <cell r="E250">
            <v>5</v>
          </cell>
          <cell r="F250" t="str">
            <v>CORRECTIVO</v>
          </cell>
          <cell r="G250">
            <v>1.1333329999999999</v>
          </cell>
          <cell r="H250" t="str">
            <v>Office Digital</v>
          </cell>
          <cell r="I250">
            <v>655</v>
          </cell>
          <cell r="J250">
            <v>1365</v>
          </cell>
          <cell r="K250">
            <v>0</v>
          </cell>
          <cell r="L250">
            <v>0</v>
          </cell>
          <cell r="M250">
            <v>0.6</v>
          </cell>
          <cell r="N250">
            <v>0.8</v>
          </cell>
          <cell r="O250">
            <v>1.05</v>
          </cell>
          <cell r="P250">
            <v>1.1000000000000001</v>
          </cell>
          <cell r="Q250" t="str">
            <v>INTERIOR</v>
          </cell>
          <cell r="R250">
            <v>5</v>
          </cell>
          <cell r="S250">
            <v>9</v>
          </cell>
          <cell r="T250" t="str">
            <v>Ciudad principal</v>
          </cell>
          <cell r="U250" t="str">
            <v>Departmental Digital</v>
          </cell>
          <cell r="V250" t="str">
            <v>XEROX MEXICANA SA DE CV / XEROX MEXICANA</v>
          </cell>
          <cell r="W250" t="str">
            <v>CHIHUAHUA</v>
          </cell>
          <cell r="X250">
            <v>2019</v>
          </cell>
          <cell r="Y250" t="str">
            <v>Qtr 2</v>
          </cell>
          <cell r="Z250" t="str">
            <v>April</v>
          </cell>
          <cell r="AA250">
            <v>8</v>
          </cell>
          <cell r="AB250">
            <v>3</v>
          </cell>
          <cell r="AC250">
            <v>0</v>
          </cell>
          <cell r="AD250">
            <v>0.2266666</v>
          </cell>
          <cell r="AE250">
            <v>0</v>
          </cell>
        </row>
        <row r="251">
          <cell r="A251" t="str">
            <v>0EX9283024</v>
          </cell>
          <cell r="B251">
            <v>2019</v>
          </cell>
          <cell r="C251" t="str">
            <v>Qtr 2</v>
          </cell>
          <cell r="D251" t="str">
            <v>April</v>
          </cell>
          <cell r="E251">
            <v>5</v>
          </cell>
          <cell r="F251" t="str">
            <v>MANTENIMIENTO PREVENTIVO</v>
          </cell>
          <cell r="G251">
            <v>0</v>
          </cell>
          <cell r="H251" t="str">
            <v>Departmental Digital</v>
          </cell>
          <cell r="I251">
            <v>655</v>
          </cell>
          <cell r="J251">
            <v>1365</v>
          </cell>
          <cell r="K251">
            <v>0</v>
          </cell>
          <cell r="L251">
            <v>0</v>
          </cell>
          <cell r="M251">
            <v>0.6</v>
          </cell>
          <cell r="N251">
            <v>0.8</v>
          </cell>
          <cell r="O251">
            <v>1.05</v>
          </cell>
          <cell r="P251">
            <v>1.1000000000000001</v>
          </cell>
          <cell r="Q251" t="str">
            <v>INTERIOR</v>
          </cell>
          <cell r="R251">
            <v>5</v>
          </cell>
          <cell r="S251">
            <v>9</v>
          </cell>
          <cell r="T251" t="str">
            <v>Ciudad principal</v>
          </cell>
          <cell r="U251" t="str">
            <v>Departmental Digital</v>
          </cell>
          <cell r="V251" t="str">
            <v>XEROX MEXICANA SA DE CV / XEROX MEXICANA</v>
          </cell>
          <cell r="W251" t="str">
            <v>NUEVO LEON</v>
          </cell>
          <cell r="X251">
            <v>2019</v>
          </cell>
          <cell r="Y251" t="str">
            <v>Qtr 2</v>
          </cell>
          <cell r="Z251" t="str">
            <v>April</v>
          </cell>
          <cell r="AA251">
            <v>11</v>
          </cell>
          <cell r="AB251">
            <v>67</v>
          </cell>
          <cell r="AC251">
            <v>0</v>
          </cell>
          <cell r="AD251">
            <v>0</v>
          </cell>
          <cell r="AE251">
            <v>1365</v>
          </cell>
        </row>
        <row r="252">
          <cell r="A252" t="str">
            <v>0EX9292081</v>
          </cell>
          <cell r="B252">
            <v>2019</v>
          </cell>
          <cell r="C252" t="str">
            <v>Qtr 2</v>
          </cell>
          <cell r="D252" t="str">
            <v>April</v>
          </cell>
          <cell r="E252">
            <v>5</v>
          </cell>
          <cell r="F252" t="str">
            <v>MANTENIMIENTO PREVENTIVO</v>
          </cell>
          <cell r="G252">
            <v>0</v>
          </cell>
          <cell r="H252" t="str">
            <v>Departmental Digital</v>
          </cell>
          <cell r="I252">
            <v>655</v>
          </cell>
          <cell r="J252">
            <v>1365</v>
          </cell>
          <cell r="K252">
            <v>0</v>
          </cell>
          <cell r="L252">
            <v>0</v>
          </cell>
          <cell r="M252">
            <v>0.6</v>
          </cell>
          <cell r="N252">
            <v>0.8</v>
          </cell>
          <cell r="O252">
            <v>1.05</v>
          </cell>
          <cell r="P252">
            <v>1.1000000000000001</v>
          </cell>
          <cell r="Q252" t="str">
            <v>INTERIOR</v>
          </cell>
          <cell r="R252">
            <v>5</v>
          </cell>
          <cell r="S252">
            <v>9</v>
          </cell>
          <cell r="T252" t="str">
            <v>Ciudad principal</v>
          </cell>
          <cell r="U252" t="str">
            <v>Departmental Digital</v>
          </cell>
          <cell r="V252" t="str">
            <v>XEROX MEXICANA SA DE CV / XEROX MEXICANA</v>
          </cell>
          <cell r="W252" t="str">
            <v>NUEVO LEON</v>
          </cell>
          <cell r="X252">
            <v>2019</v>
          </cell>
          <cell r="Y252" t="str">
            <v>Qtr 2</v>
          </cell>
          <cell r="Z252" t="str">
            <v>April</v>
          </cell>
          <cell r="AA252">
            <v>5</v>
          </cell>
          <cell r="AB252">
            <v>53</v>
          </cell>
          <cell r="AC252">
            <v>0</v>
          </cell>
          <cell r="AD252">
            <v>0</v>
          </cell>
          <cell r="AE252">
            <v>1365</v>
          </cell>
        </row>
        <row r="253">
          <cell r="A253" t="str">
            <v>0EX9293331</v>
          </cell>
          <cell r="B253">
            <v>2019</v>
          </cell>
          <cell r="C253" t="str">
            <v>Qtr 2</v>
          </cell>
          <cell r="D253" t="str">
            <v>April</v>
          </cell>
          <cell r="E253">
            <v>5</v>
          </cell>
          <cell r="F253" t="str">
            <v>MANTENIMIENTO PREVENTIVO</v>
          </cell>
          <cell r="G253">
            <v>0</v>
          </cell>
          <cell r="H253" t="str">
            <v>Departmental Digital</v>
          </cell>
          <cell r="I253">
            <v>655</v>
          </cell>
          <cell r="J253">
            <v>1365</v>
          </cell>
          <cell r="K253">
            <v>0</v>
          </cell>
          <cell r="L253">
            <v>0</v>
          </cell>
          <cell r="M253">
            <v>0.6</v>
          </cell>
          <cell r="N253">
            <v>0.8</v>
          </cell>
          <cell r="O253">
            <v>1.05</v>
          </cell>
          <cell r="P253">
            <v>1.1000000000000001</v>
          </cell>
          <cell r="Q253" t="str">
            <v>INTERIOR</v>
          </cell>
          <cell r="R253">
            <v>5</v>
          </cell>
          <cell r="S253">
            <v>9</v>
          </cell>
          <cell r="T253" t="str">
            <v>Ciudad principal</v>
          </cell>
          <cell r="U253" t="str">
            <v>Departmental Digital</v>
          </cell>
          <cell r="V253" t="str">
            <v>XEROX MEXICANA SA DE CV / XEROX MEXICANA</v>
          </cell>
          <cell r="W253" t="str">
            <v>NUEVO LEON</v>
          </cell>
          <cell r="X253">
            <v>2019</v>
          </cell>
          <cell r="Y253" t="str">
            <v>Qtr 2</v>
          </cell>
          <cell r="Z253" t="str">
            <v>April</v>
          </cell>
          <cell r="AA253">
            <v>11</v>
          </cell>
          <cell r="AB253">
            <v>163</v>
          </cell>
          <cell r="AC253">
            <v>0</v>
          </cell>
          <cell r="AD253">
            <v>0</v>
          </cell>
          <cell r="AE253">
            <v>1365</v>
          </cell>
        </row>
        <row r="254">
          <cell r="A254" t="str">
            <v>0EX9296103</v>
          </cell>
          <cell r="B254">
            <v>2019</v>
          </cell>
          <cell r="C254" t="str">
            <v>Qtr 2</v>
          </cell>
          <cell r="D254" t="str">
            <v>April</v>
          </cell>
          <cell r="E254">
            <v>5</v>
          </cell>
          <cell r="F254" t="str">
            <v>MANTENIMIENTO PREVENTIVO</v>
          </cell>
          <cell r="G254">
            <v>0</v>
          </cell>
          <cell r="H254" t="str">
            <v>Departmental Digital</v>
          </cell>
          <cell r="I254">
            <v>655</v>
          </cell>
          <cell r="J254">
            <v>1365</v>
          </cell>
          <cell r="K254">
            <v>0</v>
          </cell>
          <cell r="L254">
            <v>0</v>
          </cell>
          <cell r="M254">
            <v>0.6</v>
          </cell>
          <cell r="N254">
            <v>0.8</v>
          </cell>
          <cell r="O254">
            <v>1.05</v>
          </cell>
          <cell r="P254">
            <v>1.1000000000000001</v>
          </cell>
          <cell r="Q254" t="str">
            <v>INTERIOR</v>
          </cell>
          <cell r="R254">
            <v>5</v>
          </cell>
          <cell r="S254">
            <v>9</v>
          </cell>
          <cell r="T254" t="str">
            <v>Ciudad principal</v>
          </cell>
          <cell r="U254" t="str">
            <v>Departmental Digital</v>
          </cell>
          <cell r="V254" t="str">
            <v>XEROX MEXICANA SA DE CV / XEROX MEXICANA</v>
          </cell>
          <cell r="W254" t="str">
            <v>JALISCO</v>
          </cell>
          <cell r="X254">
            <v>2019</v>
          </cell>
          <cell r="Y254" t="str">
            <v>Qtr 2</v>
          </cell>
          <cell r="Z254" t="str">
            <v>April</v>
          </cell>
          <cell r="AA254">
            <v>9</v>
          </cell>
          <cell r="AB254">
            <v>23</v>
          </cell>
          <cell r="AC254">
            <v>0</v>
          </cell>
          <cell r="AD254">
            <v>0</v>
          </cell>
          <cell r="AE254">
            <v>1365</v>
          </cell>
        </row>
        <row r="255">
          <cell r="A255" t="str">
            <v>0EX9297573</v>
          </cell>
          <cell r="B255">
            <v>2019</v>
          </cell>
          <cell r="C255" t="str">
            <v>Qtr 2</v>
          </cell>
          <cell r="D255" t="str">
            <v>April</v>
          </cell>
          <cell r="E255">
            <v>5</v>
          </cell>
          <cell r="F255" t="str">
            <v>MANTENIMIENTO PREVENTIVO</v>
          </cell>
          <cell r="G255">
            <v>0</v>
          </cell>
          <cell r="H255" t="str">
            <v>Departmental Digital</v>
          </cell>
          <cell r="I255">
            <v>655</v>
          </cell>
          <cell r="J255">
            <v>1365</v>
          </cell>
          <cell r="K255">
            <v>0</v>
          </cell>
          <cell r="L255">
            <v>0</v>
          </cell>
          <cell r="M255">
            <v>0.6</v>
          </cell>
          <cell r="N255">
            <v>0.8</v>
          </cell>
          <cell r="O255">
            <v>1.05</v>
          </cell>
          <cell r="P255">
            <v>1.1000000000000001</v>
          </cell>
          <cell r="Q255" t="str">
            <v>INTERIOR</v>
          </cell>
          <cell r="R255">
            <v>5</v>
          </cell>
          <cell r="S255">
            <v>9</v>
          </cell>
          <cell r="T255" t="str">
            <v>Otras</v>
          </cell>
          <cell r="U255" t="str">
            <v>Departmental Digital</v>
          </cell>
          <cell r="V255" t="str">
            <v>XEROX MEXICANA SA DE CV / XEROX MEXICANA</v>
          </cell>
          <cell r="W255" t="str">
            <v>NUEVO LEON</v>
          </cell>
          <cell r="X255">
            <v>2019</v>
          </cell>
          <cell r="Y255" t="str">
            <v>Qtr 2</v>
          </cell>
          <cell r="Z255" t="str">
            <v>April</v>
          </cell>
          <cell r="AA255">
            <v>9</v>
          </cell>
          <cell r="AB255">
            <v>15</v>
          </cell>
          <cell r="AC255">
            <v>0</v>
          </cell>
          <cell r="AD255">
            <v>0</v>
          </cell>
          <cell r="AE255">
            <v>1365</v>
          </cell>
        </row>
        <row r="256">
          <cell r="A256" t="str">
            <v>0EX9297587</v>
          </cell>
          <cell r="B256">
            <v>2019</v>
          </cell>
          <cell r="C256" t="str">
            <v>Qtr 2</v>
          </cell>
          <cell r="D256" t="str">
            <v>April</v>
          </cell>
          <cell r="E256">
            <v>5</v>
          </cell>
          <cell r="F256" t="str">
            <v>MANTENIMIENTO PREVENTIVO</v>
          </cell>
          <cell r="G256">
            <v>0</v>
          </cell>
          <cell r="H256" t="str">
            <v>Departmental Digital</v>
          </cell>
          <cell r="I256">
            <v>655</v>
          </cell>
          <cell r="J256">
            <v>1365</v>
          </cell>
          <cell r="K256">
            <v>0</v>
          </cell>
          <cell r="L256">
            <v>0</v>
          </cell>
          <cell r="M256">
            <v>0.6</v>
          </cell>
          <cell r="N256">
            <v>0.8</v>
          </cell>
          <cell r="O256">
            <v>1.05</v>
          </cell>
          <cell r="P256">
            <v>1.1000000000000001</v>
          </cell>
          <cell r="Q256" t="str">
            <v>INTERIOR</v>
          </cell>
          <cell r="R256">
            <v>5</v>
          </cell>
          <cell r="S256">
            <v>9</v>
          </cell>
          <cell r="T256" t="str">
            <v>Ciudad principal</v>
          </cell>
          <cell r="U256" t="str">
            <v>Departmental Digital</v>
          </cell>
          <cell r="V256" t="str">
            <v>XEROX MEXICANA SA DE CV / XEROX MEXICANA</v>
          </cell>
          <cell r="W256" t="str">
            <v>GENERAL</v>
          </cell>
          <cell r="X256">
            <v>2019</v>
          </cell>
          <cell r="Y256" t="str">
            <v>Qtr 2</v>
          </cell>
          <cell r="Z256" t="str">
            <v>April</v>
          </cell>
          <cell r="AA256">
            <v>22</v>
          </cell>
          <cell r="AB256">
            <v>352</v>
          </cell>
          <cell r="AC256">
            <v>0</v>
          </cell>
          <cell r="AD256">
            <v>0</v>
          </cell>
          <cell r="AE256">
            <v>1365</v>
          </cell>
        </row>
        <row r="257">
          <cell r="A257" t="str">
            <v>0EX9297705</v>
          </cell>
          <cell r="B257">
            <v>2019</v>
          </cell>
          <cell r="C257" t="str">
            <v>Qtr 2</v>
          </cell>
          <cell r="D257" t="str">
            <v>April</v>
          </cell>
          <cell r="E257">
            <v>5</v>
          </cell>
          <cell r="F257" t="str">
            <v>MANTENIMIENTO PREVENTIVO</v>
          </cell>
          <cell r="G257">
            <v>0</v>
          </cell>
          <cell r="H257" t="str">
            <v>Departmental Digital</v>
          </cell>
          <cell r="I257">
            <v>655</v>
          </cell>
          <cell r="J257">
            <v>1365</v>
          </cell>
          <cell r="K257">
            <v>0</v>
          </cell>
          <cell r="L257">
            <v>0</v>
          </cell>
          <cell r="M257">
            <v>0.6</v>
          </cell>
          <cell r="N257">
            <v>0.8</v>
          </cell>
          <cell r="O257">
            <v>1.05</v>
          </cell>
          <cell r="P257">
            <v>1.1000000000000001</v>
          </cell>
          <cell r="Q257" t="str">
            <v>INTERIOR</v>
          </cell>
          <cell r="R257">
            <v>5</v>
          </cell>
          <cell r="S257">
            <v>9</v>
          </cell>
          <cell r="T257" t="str">
            <v>Ciudad principal</v>
          </cell>
          <cell r="U257" t="str">
            <v>Departmental Digital</v>
          </cell>
          <cell r="V257" t="str">
            <v>XEROX MEXICANA SA DE CV / XEROX MEXICANA</v>
          </cell>
          <cell r="W257" t="str">
            <v>NUEVO LEON</v>
          </cell>
          <cell r="X257">
            <v>2019</v>
          </cell>
          <cell r="Y257" t="str">
            <v>Qtr 2</v>
          </cell>
          <cell r="Z257" t="str">
            <v>April</v>
          </cell>
          <cell r="AA257">
            <v>10</v>
          </cell>
          <cell r="AB257">
            <v>39</v>
          </cell>
          <cell r="AC257">
            <v>0</v>
          </cell>
          <cell r="AD257">
            <v>0</v>
          </cell>
          <cell r="AE257">
            <v>1365</v>
          </cell>
        </row>
        <row r="258">
          <cell r="A258" t="str">
            <v>0EX9298213</v>
          </cell>
          <cell r="B258">
            <v>2019</v>
          </cell>
          <cell r="C258" t="str">
            <v>Qtr 2</v>
          </cell>
          <cell r="D258" t="str">
            <v>April</v>
          </cell>
          <cell r="E258">
            <v>5</v>
          </cell>
          <cell r="F258" t="str">
            <v>MANTENIMIENTO PREVENTIVO</v>
          </cell>
          <cell r="G258">
            <v>0</v>
          </cell>
          <cell r="H258" t="str">
            <v>Departmental Digital</v>
          </cell>
          <cell r="I258">
            <v>655</v>
          </cell>
          <cell r="J258">
            <v>1365</v>
          </cell>
          <cell r="K258">
            <v>0</v>
          </cell>
          <cell r="L258">
            <v>0</v>
          </cell>
          <cell r="M258">
            <v>0.6</v>
          </cell>
          <cell r="N258">
            <v>0.8</v>
          </cell>
          <cell r="O258">
            <v>1.05</v>
          </cell>
          <cell r="P258">
            <v>1.1000000000000001</v>
          </cell>
          <cell r="Q258" t="str">
            <v>INTERIOR</v>
          </cell>
          <cell r="R258">
            <v>5</v>
          </cell>
          <cell r="S258">
            <v>9</v>
          </cell>
          <cell r="T258" t="str">
            <v>Ciudad principal</v>
          </cell>
          <cell r="U258" t="str">
            <v>Departmental Digital</v>
          </cell>
          <cell r="V258" t="str">
            <v>XEROX MEXICANA SA DE CV / XEROX MEXICANA</v>
          </cell>
          <cell r="W258" t="str">
            <v>JALISCO</v>
          </cell>
          <cell r="X258">
            <v>2019</v>
          </cell>
          <cell r="Y258" t="str">
            <v>Qtr 2</v>
          </cell>
          <cell r="Z258" t="str">
            <v>April</v>
          </cell>
          <cell r="AA258">
            <v>5</v>
          </cell>
          <cell r="AB258">
            <v>70</v>
          </cell>
          <cell r="AC258">
            <v>0</v>
          </cell>
          <cell r="AD258">
            <v>0</v>
          </cell>
          <cell r="AE258">
            <v>1365</v>
          </cell>
        </row>
        <row r="259">
          <cell r="A259" t="str">
            <v>0EX9306196</v>
          </cell>
          <cell r="B259">
            <v>2019</v>
          </cell>
          <cell r="C259" t="str">
            <v>Qtr 2</v>
          </cell>
          <cell r="D259" t="str">
            <v>April</v>
          </cell>
          <cell r="E259">
            <v>5</v>
          </cell>
          <cell r="F259" t="str">
            <v>MANTENIMIENTO PREVENTIVO</v>
          </cell>
          <cell r="G259">
            <v>0</v>
          </cell>
          <cell r="H259" t="str">
            <v>Departmental Digital</v>
          </cell>
          <cell r="I259">
            <v>655</v>
          </cell>
          <cell r="J259">
            <v>1365</v>
          </cell>
          <cell r="K259">
            <v>0</v>
          </cell>
          <cell r="L259">
            <v>0</v>
          </cell>
          <cell r="M259">
            <v>0.6</v>
          </cell>
          <cell r="N259">
            <v>0.8</v>
          </cell>
          <cell r="O259">
            <v>1.05</v>
          </cell>
          <cell r="P259">
            <v>1.1000000000000001</v>
          </cell>
          <cell r="Q259" t="str">
            <v>INTERIOR</v>
          </cell>
          <cell r="R259">
            <v>5</v>
          </cell>
          <cell r="S259">
            <v>9</v>
          </cell>
          <cell r="T259" t="str">
            <v>Ciudad principal</v>
          </cell>
          <cell r="U259" t="str">
            <v>Departmental Digital</v>
          </cell>
          <cell r="V259" t="str">
            <v>XEROX MEXICANA SA DE CV / XEROX MEXICANA</v>
          </cell>
          <cell r="W259" t="str">
            <v>NUEVO LEON</v>
          </cell>
          <cell r="X259">
            <v>2019</v>
          </cell>
          <cell r="Y259" t="str">
            <v>Qtr 2</v>
          </cell>
          <cell r="Z259" t="str">
            <v>April</v>
          </cell>
          <cell r="AA259">
            <v>24</v>
          </cell>
          <cell r="AB259">
            <v>74</v>
          </cell>
          <cell r="AC259">
            <v>0</v>
          </cell>
          <cell r="AD259">
            <v>0</v>
          </cell>
          <cell r="AE259">
            <v>1365</v>
          </cell>
        </row>
        <row r="260">
          <cell r="A260" t="str">
            <v>0FBG479583</v>
          </cell>
          <cell r="B260">
            <v>2019</v>
          </cell>
          <cell r="C260" t="str">
            <v>Qtr 2</v>
          </cell>
          <cell r="D260" t="str">
            <v>April</v>
          </cell>
          <cell r="E260">
            <v>5</v>
          </cell>
          <cell r="F260" t="str">
            <v>MANTENIMIENTO PREVENTIVO</v>
          </cell>
          <cell r="G260">
            <v>0</v>
          </cell>
          <cell r="H260" t="str">
            <v>Light Production Digital Business</v>
          </cell>
          <cell r="I260">
            <v>803</v>
          </cell>
          <cell r="J260">
            <v>1573</v>
          </cell>
          <cell r="K260">
            <v>0.2</v>
          </cell>
          <cell r="L260">
            <v>0.6</v>
          </cell>
          <cell r="M260">
            <v>0.8</v>
          </cell>
          <cell r="N260">
            <v>1.05</v>
          </cell>
          <cell r="O260">
            <v>1.1000000000000001</v>
          </cell>
          <cell r="P260">
            <v>1.1499999999999999</v>
          </cell>
          <cell r="Q260" t="str">
            <v>INTERIOR</v>
          </cell>
          <cell r="R260">
            <v>4</v>
          </cell>
          <cell r="S260">
            <v>6</v>
          </cell>
          <cell r="T260" t="str">
            <v>Otras</v>
          </cell>
          <cell r="U260" t="str">
            <v>High End Cut Sheet</v>
          </cell>
          <cell r="V260" t="str">
            <v>XEROX MEXICANA SA DE CV / XEROX MEXICANA</v>
          </cell>
          <cell r="W260" t="str">
            <v>NUEVO LEON</v>
          </cell>
          <cell r="X260">
            <v>2019</v>
          </cell>
          <cell r="Y260" t="str">
            <v>Qtr 2</v>
          </cell>
          <cell r="Z260" t="str">
            <v>April</v>
          </cell>
          <cell r="AA260">
            <v>9</v>
          </cell>
          <cell r="AB260">
            <v>8</v>
          </cell>
          <cell r="AC260">
            <v>0</v>
          </cell>
          <cell r="AD260">
            <v>0</v>
          </cell>
          <cell r="AE260">
            <v>1573</v>
          </cell>
        </row>
        <row r="261">
          <cell r="A261" t="str">
            <v>0LA6296587</v>
          </cell>
          <cell r="B261">
            <v>2019</v>
          </cell>
          <cell r="C261" t="str">
            <v>Qtr 2</v>
          </cell>
          <cell r="D261" t="str">
            <v>April</v>
          </cell>
          <cell r="E261">
            <v>5</v>
          </cell>
          <cell r="F261" t="str">
            <v>CORRECTIVO</v>
          </cell>
          <cell r="G261">
            <v>1.6</v>
          </cell>
          <cell r="H261" t="str">
            <v>A4 Mono MFPs</v>
          </cell>
          <cell r="I261">
            <v>468</v>
          </cell>
          <cell r="J261">
            <v>715</v>
          </cell>
          <cell r="K261">
            <v>0</v>
          </cell>
          <cell r="L261">
            <v>0</v>
          </cell>
          <cell r="M261">
            <v>0</v>
          </cell>
          <cell r="N261">
            <v>0.6</v>
          </cell>
          <cell r="O261">
            <v>0.8</v>
          </cell>
          <cell r="P261">
            <v>1.05</v>
          </cell>
          <cell r="Q261" t="str">
            <v>INTERIOR</v>
          </cell>
          <cell r="R261">
            <v>5</v>
          </cell>
          <cell r="S261">
            <v>9</v>
          </cell>
          <cell r="T261" t="str">
            <v>Ciudad principal</v>
          </cell>
          <cell r="U261" t="str">
            <v>A4 Mono MFPs</v>
          </cell>
          <cell r="V261" t="str">
            <v>XEROX MEXICANA SA DE CV / XEROX MEXICANA</v>
          </cell>
          <cell r="W261" t="str">
            <v>NUEVO LEON</v>
          </cell>
          <cell r="X261">
            <v>2019</v>
          </cell>
          <cell r="Y261" t="str">
            <v>Qtr 2</v>
          </cell>
          <cell r="Z261" t="str">
            <v>April</v>
          </cell>
          <cell r="AA261">
            <v>5</v>
          </cell>
          <cell r="AB261">
            <v>72</v>
          </cell>
          <cell r="AC261">
            <v>1.05</v>
          </cell>
          <cell r="AD261">
            <v>0.32</v>
          </cell>
          <cell r="AE261">
            <v>750.75</v>
          </cell>
        </row>
        <row r="262">
          <cell r="A262" t="str">
            <v>0LX7660915</v>
          </cell>
          <cell r="B262">
            <v>2019</v>
          </cell>
          <cell r="C262" t="str">
            <v>Qtr 2</v>
          </cell>
          <cell r="D262" t="str">
            <v>April</v>
          </cell>
          <cell r="E262">
            <v>5</v>
          </cell>
          <cell r="F262" t="str">
            <v>CORRECTIVO</v>
          </cell>
          <cell r="G262">
            <v>1.7833330000000001</v>
          </cell>
          <cell r="H262" t="str">
            <v>A3 Office Color Laser MFPs</v>
          </cell>
          <cell r="I262">
            <v>655</v>
          </cell>
          <cell r="J262">
            <v>1365</v>
          </cell>
          <cell r="K262">
            <v>0</v>
          </cell>
          <cell r="L262">
            <v>0</v>
          </cell>
          <cell r="M262">
            <v>0.6</v>
          </cell>
          <cell r="N262">
            <v>0.8</v>
          </cell>
          <cell r="O262">
            <v>1.05</v>
          </cell>
          <cell r="P262">
            <v>1.1000000000000001</v>
          </cell>
          <cell r="Q262" t="str">
            <v>INTERIOR</v>
          </cell>
          <cell r="R262">
            <v>5</v>
          </cell>
          <cell r="S262">
            <v>9</v>
          </cell>
          <cell r="T262" t="str">
            <v>Otras</v>
          </cell>
          <cell r="U262" t="str">
            <v>A3 Office Color Laser MFPs</v>
          </cell>
          <cell r="V262" t="str">
            <v>XEROX MEXICANA SA DE CV / XEROX MEXICANA</v>
          </cell>
          <cell r="W262" t="str">
            <v>TAMAULIPAS</v>
          </cell>
          <cell r="X262">
            <v>2019</v>
          </cell>
          <cell r="Y262" t="str">
            <v>Qtr 2</v>
          </cell>
          <cell r="Z262" t="str">
            <v>April</v>
          </cell>
          <cell r="AA262">
            <v>5</v>
          </cell>
          <cell r="AB262">
            <v>39</v>
          </cell>
          <cell r="AC262">
            <v>1.05</v>
          </cell>
          <cell r="AD262">
            <v>0.198148111111111</v>
          </cell>
          <cell r="AE262">
            <v>1433.25</v>
          </cell>
        </row>
        <row r="263">
          <cell r="A263" t="str">
            <v>0MX1219085</v>
          </cell>
          <cell r="B263">
            <v>2019</v>
          </cell>
          <cell r="C263" t="str">
            <v>Qtr 2</v>
          </cell>
          <cell r="D263" t="str">
            <v>April</v>
          </cell>
          <cell r="E263">
            <v>5</v>
          </cell>
          <cell r="F263" t="str">
            <v>CORRECTIVO</v>
          </cell>
          <cell r="G263">
            <v>0</v>
          </cell>
          <cell r="H263" t="str">
            <v>A3 Office Color Laser MFPs</v>
          </cell>
          <cell r="I263">
            <v>655</v>
          </cell>
          <cell r="J263">
            <v>1365</v>
          </cell>
          <cell r="K263">
            <v>0</v>
          </cell>
          <cell r="L263">
            <v>0</v>
          </cell>
          <cell r="M263">
            <v>0.6</v>
          </cell>
          <cell r="N263">
            <v>0.8</v>
          </cell>
          <cell r="O263">
            <v>1.05</v>
          </cell>
          <cell r="P263">
            <v>1.1000000000000001</v>
          </cell>
          <cell r="Q263" t="str">
            <v>INTERIOR</v>
          </cell>
          <cell r="R263">
            <v>5</v>
          </cell>
          <cell r="S263">
            <v>9</v>
          </cell>
          <cell r="T263" t="str">
            <v>Ciudad principal</v>
          </cell>
          <cell r="U263" t="str">
            <v>A3 Office Color Laser MFPs</v>
          </cell>
          <cell r="V263" t="str">
            <v>XEROX MEXICANA SA DE CV / XEROX MEXICANA</v>
          </cell>
          <cell r="W263" t="str">
            <v>JALISCO</v>
          </cell>
          <cell r="X263">
            <v>2019</v>
          </cell>
          <cell r="Y263" t="str">
            <v>Qtr 2</v>
          </cell>
          <cell r="Z263" t="str">
            <v>April</v>
          </cell>
          <cell r="AA263">
            <v>17</v>
          </cell>
          <cell r="AB263">
            <v>224</v>
          </cell>
          <cell r="AC263">
            <v>1.1000000000000001</v>
          </cell>
          <cell r="AD263">
            <v>0</v>
          </cell>
          <cell r="AE263">
            <v>1501.5</v>
          </cell>
        </row>
        <row r="264">
          <cell r="A264" t="str">
            <v>0PW4152292</v>
          </cell>
          <cell r="B264">
            <v>2019</v>
          </cell>
          <cell r="C264" t="str">
            <v>Qtr 2</v>
          </cell>
          <cell r="D264" t="str">
            <v>April</v>
          </cell>
          <cell r="E264">
            <v>5</v>
          </cell>
          <cell r="F264" t="str">
            <v>MANTENIMIENTO PREVENTIVO</v>
          </cell>
          <cell r="G264">
            <v>0</v>
          </cell>
          <cell r="H264" t="str">
            <v>WF Mono Systems and Legacy Color</v>
          </cell>
          <cell r="I264">
            <v>803</v>
          </cell>
          <cell r="J264">
            <v>1573</v>
          </cell>
          <cell r="K264">
            <v>0.2</v>
          </cell>
          <cell r="L264">
            <v>0.6</v>
          </cell>
          <cell r="M264">
            <v>0.8</v>
          </cell>
          <cell r="N264">
            <v>1.05</v>
          </cell>
          <cell r="O264">
            <v>1.1000000000000001</v>
          </cell>
          <cell r="P264">
            <v>1.1499999999999999</v>
          </cell>
          <cell r="Q264" t="str">
            <v>INTERIOR</v>
          </cell>
          <cell r="R264">
            <v>4</v>
          </cell>
          <cell r="S264">
            <v>6</v>
          </cell>
          <cell r="T264" t="str">
            <v>Ciudad principal</v>
          </cell>
          <cell r="U264" t="str">
            <v>WF Mono Systems and Legacy Color</v>
          </cell>
          <cell r="V264" t="str">
            <v>XEROX MEXICANA SA DE CV / XEROX MEXICANA</v>
          </cell>
          <cell r="W264" t="str">
            <v>JALISCO</v>
          </cell>
          <cell r="X264">
            <v>2019</v>
          </cell>
          <cell r="Y264" t="str">
            <v>Qtr 2</v>
          </cell>
          <cell r="Z264" t="str">
            <v>April</v>
          </cell>
          <cell r="AA264">
            <v>5</v>
          </cell>
          <cell r="AB264">
            <v>2</v>
          </cell>
          <cell r="AC264">
            <v>0</v>
          </cell>
          <cell r="AD264">
            <v>0</v>
          </cell>
          <cell r="AE264">
            <v>1573</v>
          </cell>
        </row>
        <row r="265">
          <cell r="A265" t="str">
            <v>0PW4980265</v>
          </cell>
          <cell r="B265">
            <v>2019</v>
          </cell>
          <cell r="C265" t="str">
            <v>Qtr 2</v>
          </cell>
          <cell r="D265" t="str">
            <v>April</v>
          </cell>
          <cell r="E265">
            <v>5</v>
          </cell>
          <cell r="F265" t="str">
            <v>MANTENIMIENTO PREVENTIVO</v>
          </cell>
          <cell r="G265">
            <v>0</v>
          </cell>
          <cell r="H265" t="str">
            <v>WF Mono Systems and Legacy Color</v>
          </cell>
          <cell r="I265">
            <v>803</v>
          </cell>
          <cell r="J265">
            <v>1573</v>
          </cell>
          <cell r="K265">
            <v>0.2</v>
          </cell>
          <cell r="L265">
            <v>0.6</v>
          </cell>
          <cell r="M265">
            <v>0.8</v>
          </cell>
          <cell r="N265">
            <v>1.05</v>
          </cell>
          <cell r="O265">
            <v>1.1000000000000001</v>
          </cell>
          <cell r="P265">
            <v>1.1499999999999999</v>
          </cell>
          <cell r="Q265" t="str">
            <v>INTERIOR</v>
          </cell>
          <cell r="R265">
            <v>4</v>
          </cell>
          <cell r="S265">
            <v>6</v>
          </cell>
          <cell r="T265" t="str">
            <v>Ciudad principal</v>
          </cell>
          <cell r="U265" t="str">
            <v>WF Mono Systems and Legacy Color</v>
          </cell>
          <cell r="V265" t="str">
            <v>XEROX MEXICANA SA DE CV / XEROX MEXICANA</v>
          </cell>
          <cell r="W265" t="str">
            <v>JALISCO</v>
          </cell>
          <cell r="X265">
            <v>2019</v>
          </cell>
          <cell r="Y265" t="str">
            <v>Qtr 2</v>
          </cell>
          <cell r="Z265" t="str">
            <v>April</v>
          </cell>
          <cell r="AA265">
            <v>5</v>
          </cell>
          <cell r="AB265">
            <v>24</v>
          </cell>
          <cell r="AC265">
            <v>0</v>
          </cell>
          <cell r="AD265">
            <v>0</v>
          </cell>
          <cell r="AE265">
            <v>1573</v>
          </cell>
        </row>
        <row r="266">
          <cell r="A266" t="str">
            <v>0RXD143457</v>
          </cell>
          <cell r="B266">
            <v>2019</v>
          </cell>
          <cell r="C266" t="str">
            <v>Qtr 2</v>
          </cell>
          <cell r="D266" t="str">
            <v>April</v>
          </cell>
          <cell r="E266">
            <v>5</v>
          </cell>
          <cell r="F266" t="str">
            <v>CORRECTIVO</v>
          </cell>
          <cell r="G266">
            <v>0</v>
          </cell>
          <cell r="H266" t="str">
            <v>Color Laser Printers</v>
          </cell>
          <cell r="I266">
            <v>468</v>
          </cell>
          <cell r="J266">
            <v>715</v>
          </cell>
          <cell r="K266">
            <v>0</v>
          </cell>
          <cell r="L266">
            <v>0</v>
          </cell>
          <cell r="M266">
            <v>0</v>
          </cell>
          <cell r="N266">
            <v>0.6</v>
          </cell>
          <cell r="O266">
            <v>0.8</v>
          </cell>
          <cell r="P266">
            <v>1.05</v>
          </cell>
          <cell r="Q266" t="str">
            <v>INTERIOR</v>
          </cell>
          <cell r="R266">
            <v>5</v>
          </cell>
          <cell r="S266">
            <v>9</v>
          </cell>
          <cell r="T266" t="str">
            <v>Ciudad principal</v>
          </cell>
          <cell r="U266" t="str">
            <v>Departmental Digital</v>
          </cell>
          <cell r="V266" t="str">
            <v>XEROX MEXICANA SA DE CV / XEROX MEXICANA</v>
          </cell>
          <cell r="W266" t="str">
            <v>CHIHUAHUA</v>
          </cell>
          <cell r="X266">
            <v>2019</v>
          </cell>
          <cell r="Y266" t="str">
            <v>Qtr 2</v>
          </cell>
          <cell r="Z266" t="str">
            <v>April</v>
          </cell>
          <cell r="AA266">
            <v>8</v>
          </cell>
          <cell r="AB266">
            <v>159</v>
          </cell>
          <cell r="AC266">
            <v>1.05</v>
          </cell>
          <cell r="AD266">
            <v>0</v>
          </cell>
          <cell r="AE266">
            <v>750.75</v>
          </cell>
        </row>
        <row r="267">
          <cell r="A267" t="str">
            <v>0T4B035507</v>
          </cell>
          <cell r="B267">
            <v>2019</v>
          </cell>
          <cell r="C267" t="str">
            <v>Qtr 2</v>
          </cell>
          <cell r="D267" t="str">
            <v>April</v>
          </cell>
          <cell r="E267">
            <v>5</v>
          </cell>
          <cell r="F267" t="str">
            <v>CORRECTIVO</v>
          </cell>
          <cell r="G267">
            <v>2.6333329999999999</v>
          </cell>
          <cell r="H267" t="str">
            <v>Color Solid Ink Printers</v>
          </cell>
          <cell r="I267">
            <v>468</v>
          </cell>
          <cell r="J267">
            <v>715</v>
          </cell>
          <cell r="K267">
            <v>0</v>
          </cell>
          <cell r="L267">
            <v>0</v>
          </cell>
          <cell r="M267">
            <v>0</v>
          </cell>
          <cell r="N267">
            <v>0.6</v>
          </cell>
          <cell r="O267">
            <v>0.8</v>
          </cell>
          <cell r="P267">
            <v>1.05</v>
          </cell>
          <cell r="Q267" t="str">
            <v>INTERIOR</v>
          </cell>
          <cell r="R267">
            <v>5</v>
          </cell>
          <cell r="S267">
            <v>9</v>
          </cell>
          <cell r="T267" t="str">
            <v>Ciudad principal</v>
          </cell>
          <cell r="U267" t="str">
            <v>Color Solid Ink Printers</v>
          </cell>
          <cell r="V267" t="str">
            <v>XEROX MEXICANA SA DE CV / XEROX MEXICANA</v>
          </cell>
          <cell r="W267" t="str">
            <v>JALISCO</v>
          </cell>
          <cell r="X267">
            <v>2019</v>
          </cell>
          <cell r="Y267" t="str">
            <v>Qtr 2</v>
          </cell>
          <cell r="Z267" t="str">
            <v>April</v>
          </cell>
          <cell r="AA267">
            <v>25</v>
          </cell>
          <cell r="AB267">
            <v>28</v>
          </cell>
          <cell r="AC267">
            <v>0.6</v>
          </cell>
          <cell r="AD267">
            <v>0.52666659999999998</v>
          </cell>
          <cell r="AE267">
            <v>429</v>
          </cell>
        </row>
        <row r="268">
          <cell r="A268" t="str">
            <v>0X76704205</v>
          </cell>
          <cell r="B268">
            <v>2019</v>
          </cell>
          <cell r="C268" t="str">
            <v>Qtr 2</v>
          </cell>
          <cell r="D268" t="str">
            <v>April</v>
          </cell>
          <cell r="E268">
            <v>5</v>
          </cell>
          <cell r="F268" t="str">
            <v>CORRECTIVO</v>
          </cell>
          <cell r="G268">
            <v>0.81666669999999997</v>
          </cell>
          <cell r="H268" t="str">
            <v>Departmental Digital</v>
          </cell>
          <cell r="I268">
            <v>655</v>
          </cell>
          <cell r="J268">
            <v>1365</v>
          </cell>
          <cell r="K268">
            <v>0</v>
          </cell>
          <cell r="L268">
            <v>0</v>
          </cell>
          <cell r="M268">
            <v>0.6</v>
          </cell>
          <cell r="N268">
            <v>0.8</v>
          </cell>
          <cell r="O268">
            <v>1.05</v>
          </cell>
          <cell r="P268">
            <v>1.1000000000000001</v>
          </cell>
          <cell r="Q268" t="str">
            <v>INTERIOR</v>
          </cell>
          <cell r="R268">
            <v>5</v>
          </cell>
          <cell r="S268">
            <v>9</v>
          </cell>
          <cell r="T268" t="str">
            <v>Ciudad principal</v>
          </cell>
          <cell r="U268" t="str">
            <v>Departmental Digital</v>
          </cell>
          <cell r="V268" t="str">
            <v>XEROX MEXICANA SA DE CV / XEROX MEXICANA</v>
          </cell>
          <cell r="W268" t="str">
            <v>CHIHUAHUA</v>
          </cell>
          <cell r="X268">
            <v>2019</v>
          </cell>
          <cell r="Y268" t="str">
            <v>Qtr 2</v>
          </cell>
          <cell r="Z268" t="str">
            <v>April</v>
          </cell>
          <cell r="AA268">
            <v>5</v>
          </cell>
          <cell r="AB268">
            <v>28</v>
          </cell>
          <cell r="AC268">
            <v>0.8</v>
          </cell>
          <cell r="AD268">
            <v>0.16333333999999999</v>
          </cell>
          <cell r="AE268">
            <v>1092</v>
          </cell>
        </row>
        <row r="269">
          <cell r="A269" t="str">
            <v>0XEL557426</v>
          </cell>
          <cell r="B269">
            <v>2019</v>
          </cell>
          <cell r="C269" t="str">
            <v>Qtr 2</v>
          </cell>
          <cell r="D269" t="str">
            <v>April</v>
          </cell>
          <cell r="E269">
            <v>5</v>
          </cell>
          <cell r="F269" t="str">
            <v>MANTENIMIENTO PREVENTIVO</v>
          </cell>
          <cell r="G269">
            <v>0</v>
          </cell>
          <cell r="H269" t="str">
            <v>Departmental Digital</v>
          </cell>
          <cell r="I269">
            <v>655</v>
          </cell>
          <cell r="J269">
            <v>1365</v>
          </cell>
          <cell r="K269">
            <v>0</v>
          </cell>
          <cell r="L269">
            <v>0</v>
          </cell>
          <cell r="M269">
            <v>0.6</v>
          </cell>
          <cell r="N269">
            <v>0.8</v>
          </cell>
          <cell r="O269">
            <v>1.05</v>
          </cell>
          <cell r="P269">
            <v>1.1000000000000001</v>
          </cell>
          <cell r="Q269" t="str">
            <v>INTERIOR</v>
          </cell>
          <cell r="R269">
            <v>5</v>
          </cell>
          <cell r="S269">
            <v>9</v>
          </cell>
          <cell r="T269" t="str">
            <v>Ciudad principal</v>
          </cell>
          <cell r="U269" t="str">
            <v>Departmental Digital</v>
          </cell>
          <cell r="V269" t="str">
            <v>XEROX MEXICANA SA DE CV / XEROX MEXICANA</v>
          </cell>
          <cell r="W269" t="str">
            <v>NUEVO LEON</v>
          </cell>
          <cell r="X269">
            <v>2019</v>
          </cell>
          <cell r="Y269" t="str">
            <v>Qtr 2</v>
          </cell>
          <cell r="Z269" t="str">
            <v>April</v>
          </cell>
          <cell r="AA269">
            <v>15</v>
          </cell>
          <cell r="AB269">
            <v>115</v>
          </cell>
          <cell r="AC269">
            <v>0</v>
          </cell>
          <cell r="AD269">
            <v>0</v>
          </cell>
          <cell r="AE269">
            <v>1365</v>
          </cell>
        </row>
        <row r="270">
          <cell r="A270" t="str">
            <v>0XLT860105</v>
          </cell>
          <cell r="B270">
            <v>2019</v>
          </cell>
          <cell r="C270" t="str">
            <v>Qtr 2</v>
          </cell>
          <cell r="D270" t="str">
            <v>April</v>
          </cell>
          <cell r="E270">
            <v>5</v>
          </cell>
          <cell r="F270" t="str">
            <v>CORRECTIVO</v>
          </cell>
          <cell r="G270">
            <v>0.3333333</v>
          </cell>
          <cell r="I270" t="str">
            <v>NA</v>
          </cell>
          <cell r="J270" t="str">
            <v>NA</v>
          </cell>
          <cell r="K270" t="str">
            <v>NA</v>
          </cell>
          <cell r="L270" t="str">
            <v>NA</v>
          </cell>
          <cell r="M270" t="str">
            <v>NA</v>
          </cell>
          <cell r="N270" t="str">
            <v>NA</v>
          </cell>
          <cell r="O270" t="str">
            <v>NA</v>
          </cell>
          <cell r="P270" t="str">
            <v>NA</v>
          </cell>
          <cell r="R270" t="str">
            <v>NA</v>
          </cell>
          <cell r="S270" t="str">
            <v>NA</v>
          </cell>
          <cell r="U270" t="str">
            <v>Entry Mono Printers</v>
          </cell>
          <cell r="V270" t="str">
            <v>XEROX MEXICANA SA DE CV / XEROX MEXICANA</v>
          </cell>
          <cell r="W270" t="str">
            <v>COAHUILA</v>
          </cell>
          <cell r="X270">
            <v>2019</v>
          </cell>
          <cell r="Y270" t="str">
            <v>Qtr 2</v>
          </cell>
          <cell r="Z270" t="str">
            <v>April</v>
          </cell>
          <cell r="AA270">
            <v>5</v>
          </cell>
          <cell r="AB270">
            <v>133</v>
          </cell>
          <cell r="AC270">
            <v>1.1000000000000001</v>
          </cell>
          <cell r="AD270">
            <v>0</v>
          </cell>
          <cell r="AE270">
            <v>482.625</v>
          </cell>
        </row>
        <row r="271">
          <cell r="A271" t="str">
            <v>0XPN546686</v>
          </cell>
          <cell r="B271">
            <v>2019</v>
          </cell>
          <cell r="C271" t="str">
            <v>Qtr 2</v>
          </cell>
          <cell r="D271" t="str">
            <v>April</v>
          </cell>
          <cell r="E271">
            <v>5</v>
          </cell>
          <cell r="F271" t="str">
            <v>MANTENIMIENTO PREVENTIVO</v>
          </cell>
          <cell r="G271">
            <v>0</v>
          </cell>
          <cell r="H271" t="str">
            <v>Entry Production Color Low/Mid</v>
          </cell>
          <cell r="I271">
            <v>803</v>
          </cell>
          <cell r="J271">
            <v>1573</v>
          </cell>
          <cell r="K271">
            <v>0.2</v>
          </cell>
          <cell r="L271">
            <v>0.6</v>
          </cell>
          <cell r="M271">
            <v>0.8</v>
          </cell>
          <cell r="N271">
            <v>1.05</v>
          </cell>
          <cell r="O271">
            <v>1.1000000000000001</v>
          </cell>
          <cell r="P271">
            <v>1.1499999999999999</v>
          </cell>
          <cell r="Q271" t="str">
            <v>INTERIOR</v>
          </cell>
          <cell r="R271">
            <v>4</v>
          </cell>
          <cell r="S271">
            <v>6</v>
          </cell>
          <cell r="T271" t="str">
            <v>Ciudad principal</v>
          </cell>
          <cell r="U271" t="str">
            <v>Entry Production Color Low/Mid</v>
          </cell>
          <cell r="V271" t="str">
            <v>XEROX MEXICANA SA DE CV / XEROX MEXICANA</v>
          </cell>
          <cell r="W271" t="str">
            <v>NUEVO LEON</v>
          </cell>
          <cell r="X271">
            <v>2019</v>
          </cell>
          <cell r="Y271" t="str">
            <v>Qtr 2</v>
          </cell>
          <cell r="Z271" t="str">
            <v>April</v>
          </cell>
          <cell r="AA271">
            <v>15</v>
          </cell>
          <cell r="AB271">
            <v>2</v>
          </cell>
          <cell r="AC271">
            <v>0</v>
          </cell>
          <cell r="AD271">
            <v>0</v>
          </cell>
          <cell r="AE271">
            <v>1573</v>
          </cell>
        </row>
        <row r="272">
          <cell r="A272" t="str">
            <v>0XPN547515</v>
          </cell>
          <cell r="B272">
            <v>2019</v>
          </cell>
          <cell r="C272" t="str">
            <v>Qtr 2</v>
          </cell>
          <cell r="D272" t="str">
            <v>April</v>
          </cell>
          <cell r="E272">
            <v>5</v>
          </cell>
          <cell r="F272" t="str">
            <v>MANTENIMIENTO PREVENTIVO</v>
          </cell>
          <cell r="G272">
            <v>0</v>
          </cell>
          <cell r="H272" t="str">
            <v>Entry Production Color Low/Mid</v>
          </cell>
          <cell r="I272">
            <v>803</v>
          </cell>
          <cell r="J272">
            <v>1573</v>
          </cell>
          <cell r="K272">
            <v>0.2</v>
          </cell>
          <cell r="L272">
            <v>0.6</v>
          </cell>
          <cell r="M272">
            <v>0.8</v>
          </cell>
          <cell r="N272">
            <v>1.05</v>
          </cell>
          <cell r="O272">
            <v>1.1000000000000001</v>
          </cell>
          <cell r="P272">
            <v>1.1499999999999999</v>
          </cell>
          <cell r="Q272" t="str">
            <v>INTERIOR</v>
          </cell>
          <cell r="R272">
            <v>4</v>
          </cell>
          <cell r="S272">
            <v>6</v>
          </cell>
          <cell r="T272" t="str">
            <v>Otras</v>
          </cell>
          <cell r="U272" t="str">
            <v>Entry Production Color Low/Mid</v>
          </cell>
          <cell r="V272" t="str">
            <v>XEROX MEXICANA SA DE CV / XEROX MEXICANA</v>
          </cell>
          <cell r="W272" t="str">
            <v>NUEVO LEON</v>
          </cell>
          <cell r="X272">
            <v>2019</v>
          </cell>
          <cell r="Y272" t="str">
            <v>Qtr 2</v>
          </cell>
          <cell r="Z272" t="str">
            <v>April</v>
          </cell>
          <cell r="AA272">
            <v>9</v>
          </cell>
          <cell r="AB272">
            <v>217</v>
          </cell>
          <cell r="AC272">
            <v>0</v>
          </cell>
          <cell r="AD272">
            <v>0</v>
          </cell>
          <cell r="AE272">
            <v>1573</v>
          </cell>
        </row>
        <row r="273">
          <cell r="A273" t="str">
            <v>0XPN547563</v>
          </cell>
          <cell r="B273">
            <v>2019</v>
          </cell>
          <cell r="C273" t="str">
            <v>Qtr 2</v>
          </cell>
          <cell r="D273" t="str">
            <v>April</v>
          </cell>
          <cell r="E273">
            <v>5</v>
          </cell>
          <cell r="F273" t="str">
            <v>MANTENIMIENTO PREVENTIVO</v>
          </cell>
          <cell r="G273">
            <v>0</v>
          </cell>
          <cell r="H273" t="str">
            <v>Entry Production Color Low/Mid</v>
          </cell>
          <cell r="I273">
            <v>803</v>
          </cell>
          <cell r="J273">
            <v>1573</v>
          </cell>
          <cell r="K273">
            <v>0.2</v>
          </cell>
          <cell r="L273">
            <v>0.6</v>
          </cell>
          <cell r="M273">
            <v>0.8</v>
          </cell>
          <cell r="N273">
            <v>1.05</v>
          </cell>
          <cell r="O273">
            <v>1.1000000000000001</v>
          </cell>
          <cell r="P273">
            <v>1.1499999999999999</v>
          </cell>
          <cell r="Q273" t="str">
            <v>INTERIOR</v>
          </cell>
          <cell r="R273">
            <v>4</v>
          </cell>
          <cell r="S273">
            <v>6</v>
          </cell>
          <cell r="T273" t="str">
            <v>Ciudad principal</v>
          </cell>
          <cell r="U273" t="str">
            <v>Entry Production Color Low/Mid</v>
          </cell>
          <cell r="V273" t="str">
            <v>XEROX MEXICANA SA DE CV / XEROX MEXICANA</v>
          </cell>
          <cell r="W273" t="str">
            <v>NUEVO LEON</v>
          </cell>
          <cell r="X273">
            <v>2019</v>
          </cell>
          <cell r="Y273" t="str">
            <v>Qtr 2</v>
          </cell>
          <cell r="Z273" t="str">
            <v>April</v>
          </cell>
          <cell r="AA273">
            <v>11</v>
          </cell>
          <cell r="AB273">
            <v>77</v>
          </cell>
          <cell r="AC273">
            <v>0</v>
          </cell>
          <cell r="AD273">
            <v>0</v>
          </cell>
          <cell r="AE273">
            <v>1573</v>
          </cell>
        </row>
        <row r="274">
          <cell r="A274" t="str">
            <v>0XPN551901</v>
          </cell>
          <cell r="B274">
            <v>2019</v>
          </cell>
          <cell r="C274" t="str">
            <v>Qtr 2</v>
          </cell>
          <cell r="D274" t="str">
            <v>April</v>
          </cell>
          <cell r="E274">
            <v>5</v>
          </cell>
          <cell r="F274" t="str">
            <v>MANTENIMIENTO PREVENTIVO</v>
          </cell>
          <cell r="G274">
            <v>0</v>
          </cell>
          <cell r="H274" t="str">
            <v>Entry Production Color Low/Mid</v>
          </cell>
          <cell r="I274">
            <v>803</v>
          </cell>
          <cell r="J274">
            <v>1573</v>
          </cell>
          <cell r="K274">
            <v>0.2</v>
          </cell>
          <cell r="L274">
            <v>0.6</v>
          </cell>
          <cell r="M274">
            <v>0.8</v>
          </cell>
          <cell r="N274">
            <v>1.05</v>
          </cell>
          <cell r="O274">
            <v>1.1000000000000001</v>
          </cell>
          <cell r="P274">
            <v>1.1499999999999999</v>
          </cell>
          <cell r="Q274" t="str">
            <v>INTERIOR</v>
          </cell>
          <cell r="R274">
            <v>4</v>
          </cell>
          <cell r="S274">
            <v>6</v>
          </cell>
          <cell r="T274" t="str">
            <v>Ciudad principal</v>
          </cell>
          <cell r="U274" t="str">
            <v>Entry Production Color Low/Mid</v>
          </cell>
          <cell r="V274" t="str">
            <v>XEROX MEXICANA SA DE CV / XEROX MEXICANA</v>
          </cell>
          <cell r="W274" t="str">
            <v>NUEVO LEON</v>
          </cell>
          <cell r="X274">
            <v>2019</v>
          </cell>
          <cell r="Y274" t="str">
            <v>Qtr 2</v>
          </cell>
          <cell r="Z274" t="str">
            <v>April</v>
          </cell>
          <cell r="AA274">
            <v>15</v>
          </cell>
          <cell r="AB274">
            <v>26</v>
          </cell>
          <cell r="AC274">
            <v>0</v>
          </cell>
          <cell r="AD274">
            <v>0</v>
          </cell>
          <cell r="AE274">
            <v>1573</v>
          </cell>
        </row>
        <row r="275">
          <cell r="A275" t="str">
            <v>0XLT281595</v>
          </cell>
          <cell r="B275">
            <v>2019</v>
          </cell>
          <cell r="C275" t="str">
            <v>Qtr 2</v>
          </cell>
          <cell r="D275" t="str">
            <v>April</v>
          </cell>
          <cell r="E275">
            <v>6</v>
          </cell>
          <cell r="F275" t="str">
            <v>MANTENIMIENTO PREVENTIVO</v>
          </cell>
          <cell r="G275">
            <v>0</v>
          </cell>
          <cell r="H275" t="str">
            <v>Entry Mono Printers</v>
          </cell>
          <cell r="I275">
            <v>468</v>
          </cell>
          <cell r="J275">
            <v>715</v>
          </cell>
          <cell r="K275">
            <v>0</v>
          </cell>
          <cell r="L275">
            <v>0</v>
          </cell>
          <cell r="M275">
            <v>0</v>
          </cell>
          <cell r="N275">
            <v>0.6</v>
          </cell>
          <cell r="O275">
            <v>0.8</v>
          </cell>
          <cell r="P275">
            <v>1.05</v>
          </cell>
          <cell r="Q275" t="str">
            <v>INTERIOR</v>
          </cell>
          <cell r="R275">
            <v>5</v>
          </cell>
          <cell r="S275">
            <v>9</v>
          </cell>
          <cell r="T275" t="str">
            <v>Ciudad principal</v>
          </cell>
          <cell r="U275" t="str">
            <v>Entry Mono Printers</v>
          </cell>
          <cell r="V275" t="str">
            <v>XEROX MEXICANA SA DE CV / XEROX MEXICANA</v>
          </cell>
          <cell r="W275" t="str">
            <v>CHIHUAHUA</v>
          </cell>
          <cell r="X275">
            <v>2019</v>
          </cell>
          <cell r="Y275" t="str">
            <v>Qtr 2</v>
          </cell>
          <cell r="Z275" t="str">
            <v>April</v>
          </cell>
          <cell r="AA275">
            <v>8</v>
          </cell>
          <cell r="AB275">
            <v>47</v>
          </cell>
          <cell r="AC275">
            <v>0</v>
          </cell>
          <cell r="AD275">
            <v>0</v>
          </cell>
          <cell r="AE275">
            <v>715</v>
          </cell>
        </row>
        <row r="276">
          <cell r="A276" t="str">
            <v>03AG880355</v>
          </cell>
          <cell r="B276">
            <v>2019</v>
          </cell>
          <cell r="C276" t="str">
            <v>Qtr 2</v>
          </cell>
          <cell r="D276" t="str">
            <v>April</v>
          </cell>
          <cell r="E276">
            <v>7</v>
          </cell>
          <cell r="F276" t="str">
            <v>CORRECTIVO</v>
          </cell>
          <cell r="G276">
            <v>2.0333329999999998</v>
          </cell>
          <cell r="H276" t="str">
            <v>Departmental Digital</v>
          </cell>
          <cell r="I276">
            <v>655</v>
          </cell>
          <cell r="J276">
            <v>1365</v>
          </cell>
          <cell r="K276">
            <v>0</v>
          </cell>
          <cell r="L276">
            <v>0</v>
          </cell>
          <cell r="M276">
            <v>0.6</v>
          </cell>
          <cell r="N276">
            <v>0.8</v>
          </cell>
          <cell r="O276">
            <v>1.05</v>
          </cell>
          <cell r="P276">
            <v>1.1000000000000001</v>
          </cell>
          <cell r="Q276" t="str">
            <v>INTERIOR</v>
          </cell>
          <cell r="R276">
            <v>5</v>
          </cell>
          <cell r="S276">
            <v>9</v>
          </cell>
          <cell r="T276" t="str">
            <v>Ciudad principal</v>
          </cell>
          <cell r="U276" t="str">
            <v>Light Production Digital Business</v>
          </cell>
          <cell r="V276" t="str">
            <v>XEROX MEXICANA SA DE CV / XEROX MEXICANA</v>
          </cell>
          <cell r="W276" t="str">
            <v>JALISCO</v>
          </cell>
          <cell r="X276">
            <v>2019</v>
          </cell>
          <cell r="Y276" t="str">
            <v>Qtr 2</v>
          </cell>
          <cell r="Z276" t="str">
            <v>April</v>
          </cell>
          <cell r="AA276">
            <v>8</v>
          </cell>
          <cell r="AB276">
            <v>5</v>
          </cell>
          <cell r="AC276">
            <v>0</v>
          </cell>
          <cell r="AD276">
            <v>0.40666659999999999</v>
          </cell>
          <cell r="AE276">
            <v>0</v>
          </cell>
        </row>
        <row r="277">
          <cell r="A277" t="str">
            <v>0BG2943221</v>
          </cell>
          <cell r="B277">
            <v>2019</v>
          </cell>
          <cell r="C277" t="str">
            <v>Qtr 2</v>
          </cell>
          <cell r="D277" t="str">
            <v>April</v>
          </cell>
          <cell r="E277">
            <v>7</v>
          </cell>
          <cell r="F277" t="str">
            <v>CORRECTIVO</v>
          </cell>
          <cell r="G277">
            <v>0.5</v>
          </cell>
          <cell r="H277" t="str">
            <v>Light Production Digital Business</v>
          </cell>
          <cell r="I277">
            <v>803</v>
          </cell>
          <cell r="J277">
            <v>1573</v>
          </cell>
          <cell r="K277">
            <v>0.2</v>
          </cell>
          <cell r="L277">
            <v>0.6</v>
          </cell>
          <cell r="M277">
            <v>0.8</v>
          </cell>
          <cell r="N277">
            <v>1.05</v>
          </cell>
          <cell r="O277">
            <v>1.1000000000000001</v>
          </cell>
          <cell r="P277">
            <v>1.1499999999999999</v>
          </cell>
          <cell r="Q277" t="str">
            <v>INTERIOR</v>
          </cell>
          <cell r="R277">
            <v>4</v>
          </cell>
          <cell r="S277">
            <v>6</v>
          </cell>
          <cell r="T277" t="str">
            <v>Ciudad principal</v>
          </cell>
          <cell r="U277" t="str">
            <v>High End Cut Sheet</v>
          </cell>
          <cell r="V277" t="str">
            <v>XEROX MEXICANA SA DE CV / XEROX MEXICANA</v>
          </cell>
          <cell r="W277" t="str">
            <v>ESTADO DE MEXICO</v>
          </cell>
          <cell r="X277">
            <v>2019</v>
          </cell>
          <cell r="Y277" t="str">
            <v>Qtr 2</v>
          </cell>
          <cell r="Z277" t="str">
            <v>April</v>
          </cell>
          <cell r="AA277">
            <v>8</v>
          </cell>
          <cell r="AB277">
            <v>45</v>
          </cell>
          <cell r="AC277">
            <v>1.1000000000000001</v>
          </cell>
          <cell r="AD277">
            <v>0.125</v>
          </cell>
          <cell r="AE277">
            <v>1730.3</v>
          </cell>
        </row>
        <row r="278">
          <cell r="A278" t="str">
            <v>0BG2949312</v>
          </cell>
          <cell r="B278">
            <v>2019</v>
          </cell>
          <cell r="C278" t="str">
            <v>Qtr 2</v>
          </cell>
          <cell r="D278" t="str">
            <v>April</v>
          </cell>
          <cell r="E278">
            <v>7</v>
          </cell>
          <cell r="F278" t="str">
            <v>CORRECTIVO</v>
          </cell>
          <cell r="G278">
            <v>2.5</v>
          </cell>
          <cell r="H278" t="str">
            <v>Light Production Digital Business</v>
          </cell>
          <cell r="I278">
            <v>803</v>
          </cell>
          <cell r="J278">
            <v>1573</v>
          </cell>
          <cell r="K278">
            <v>0.2</v>
          </cell>
          <cell r="L278">
            <v>0.6</v>
          </cell>
          <cell r="M278">
            <v>0.8</v>
          </cell>
          <cell r="N278">
            <v>1.05</v>
          </cell>
          <cell r="O278">
            <v>1.1000000000000001</v>
          </cell>
          <cell r="P278">
            <v>1.1499999999999999</v>
          </cell>
          <cell r="Q278" t="str">
            <v>INTERIOR</v>
          </cell>
          <cell r="R278">
            <v>4</v>
          </cell>
          <cell r="S278">
            <v>6</v>
          </cell>
          <cell r="T278" t="str">
            <v>Ciudad principal</v>
          </cell>
          <cell r="U278" t="str">
            <v>High End Cut Sheet</v>
          </cell>
          <cell r="V278" t="str">
            <v>XEROX MEXICANA SA DE CV / XEROX MEXICANA</v>
          </cell>
          <cell r="W278" t="str">
            <v>ESTADO DE MEXICO</v>
          </cell>
          <cell r="X278">
            <v>2019</v>
          </cell>
          <cell r="Y278" t="str">
            <v>Qtr 2</v>
          </cell>
          <cell r="Z278" t="str">
            <v>April</v>
          </cell>
          <cell r="AA278">
            <v>11</v>
          </cell>
          <cell r="AB278">
            <v>9</v>
          </cell>
          <cell r="AC278">
            <v>0.8</v>
          </cell>
          <cell r="AD278">
            <v>0.625</v>
          </cell>
          <cell r="AE278">
            <v>1258.4000000000001</v>
          </cell>
        </row>
        <row r="279">
          <cell r="A279" t="str">
            <v>0E2B650746</v>
          </cell>
          <cell r="B279">
            <v>2019</v>
          </cell>
          <cell r="C279" t="str">
            <v>Qtr 2</v>
          </cell>
          <cell r="D279" t="str">
            <v>April</v>
          </cell>
          <cell r="E279">
            <v>7</v>
          </cell>
          <cell r="F279" t="str">
            <v>CORRECTIVO</v>
          </cell>
          <cell r="G279">
            <v>0.3</v>
          </cell>
          <cell r="H279" t="str">
            <v>Entry Production Color Low/Mid</v>
          </cell>
          <cell r="I279">
            <v>803</v>
          </cell>
          <cell r="J279">
            <v>1573</v>
          </cell>
          <cell r="K279">
            <v>0.2</v>
          </cell>
          <cell r="L279">
            <v>0.6</v>
          </cell>
          <cell r="M279">
            <v>0.8</v>
          </cell>
          <cell r="N279">
            <v>1.05</v>
          </cell>
          <cell r="O279">
            <v>1.1000000000000001</v>
          </cell>
          <cell r="P279">
            <v>1.1499999999999999</v>
          </cell>
          <cell r="Q279" t="str">
            <v>INTERIOR</v>
          </cell>
          <cell r="R279">
            <v>4</v>
          </cell>
          <cell r="S279">
            <v>6</v>
          </cell>
          <cell r="T279" t="str">
            <v>Ciudad principal</v>
          </cell>
          <cell r="U279" t="str">
            <v>Entry Production Color Low/Mid</v>
          </cell>
          <cell r="V279" t="str">
            <v>XEROX MEXICANA SA DE CV / XEROX MEXICANA</v>
          </cell>
          <cell r="W279" t="str">
            <v>ESTADO DE MEXICO</v>
          </cell>
          <cell r="X279">
            <v>2019</v>
          </cell>
          <cell r="Y279" t="str">
            <v>Qtr 2</v>
          </cell>
          <cell r="Z279" t="str">
            <v>April</v>
          </cell>
          <cell r="AA279">
            <v>8</v>
          </cell>
          <cell r="AB279">
            <v>53</v>
          </cell>
          <cell r="AC279">
            <v>1.1000000000000001</v>
          </cell>
          <cell r="AD279">
            <v>7.4999999999999997E-2</v>
          </cell>
          <cell r="AE279">
            <v>1730.3</v>
          </cell>
        </row>
        <row r="280">
          <cell r="A280" t="str">
            <v>0EX9297582</v>
          </cell>
          <cell r="B280">
            <v>2019</v>
          </cell>
          <cell r="C280" t="str">
            <v>Qtr 2</v>
          </cell>
          <cell r="D280" t="str">
            <v>April</v>
          </cell>
          <cell r="E280">
            <v>7</v>
          </cell>
          <cell r="F280" t="str">
            <v>MANTENIMIENTO PREVENTIVO</v>
          </cell>
          <cell r="G280">
            <v>0</v>
          </cell>
          <cell r="H280" t="str">
            <v>Departmental Digital</v>
          </cell>
          <cell r="I280">
            <v>655</v>
          </cell>
          <cell r="J280">
            <v>1365</v>
          </cell>
          <cell r="K280">
            <v>0</v>
          </cell>
          <cell r="L280">
            <v>0</v>
          </cell>
          <cell r="M280">
            <v>0.6</v>
          </cell>
          <cell r="N280">
            <v>0.8</v>
          </cell>
          <cell r="O280">
            <v>1.05</v>
          </cell>
          <cell r="P280">
            <v>1.1000000000000001</v>
          </cell>
          <cell r="Q280" t="str">
            <v>INTERIOR</v>
          </cell>
          <cell r="R280">
            <v>5</v>
          </cell>
          <cell r="S280">
            <v>9</v>
          </cell>
          <cell r="T280" t="str">
            <v>Otras</v>
          </cell>
          <cell r="U280" t="str">
            <v>Departmental Digital</v>
          </cell>
          <cell r="V280" t="str">
            <v>XEROX MEXICANA SA DE CV / XEROX MEXICANA</v>
          </cell>
          <cell r="W280" t="str">
            <v>COAHUILA</v>
          </cell>
          <cell r="X280">
            <v>2019</v>
          </cell>
          <cell r="Y280" t="str">
            <v>Qtr 2</v>
          </cell>
          <cell r="Z280" t="str">
            <v>April</v>
          </cell>
          <cell r="AA280">
            <v>8</v>
          </cell>
          <cell r="AB280">
            <v>13</v>
          </cell>
          <cell r="AC280">
            <v>0</v>
          </cell>
          <cell r="AD280">
            <v>0</v>
          </cell>
          <cell r="AE280">
            <v>1365</v>
          </cell>
        </row>
        <row r="281">
          <cell r="A281" t="str">
            <v>0XPN393110</v>
          </cell>
          <cell r="B281">
            <v>2019</v>
          </cell>
          <cell r="C281" t="str">
            <v>Qtr 2</v>
          </cell>
          <cell r="D281" t="str">
            <v>April</v>
          </cell>
          <cell r="E281">
            <v>7</v>
          </cell>
          <cell r="F281" t="str">
            <v>CORRECTIVO</v>
          </cell>
          <cell r="G281">
            <v>0.55000000000000004</v>
          </cell>
          <cell r="H281" t="str">
            <v>Entry Production Color Low/Mid</v>
          </cell>
          <cell r="I281">
            <v>803</v>
          </cell>
          <cell r="J281">
            <v>1573</v>
          </cell>
          <cell r="K281">
            <v>0.2</v>
          </cell>
          <cell r="L281">
            <v>0.6</v>
          </cell>
          <cell r="M281">
            <v>0.8</v>
          </cell>
          <cell r="N281">
            <v>1.05</v>
          </cell>
          <cell r="O281">
            <v>1.1000000000000001</v>
          </cell>
          <cell r="P281">
            <v>1.1499999999999999</v>
          </cell>
          <cell r="Q281" t="str">
            <v>INTERIOR</v>
          </cell>
          <cell r="R281">
            <v>4</v>
          </cell>
          <cell r="S281">
            <v>6</v>
          </cell>
          <cell r="T281" t="str">
            <v>Ciudad principal</v>
          </cell>
          <cell r="U281" t="str">
            <v>Entry Production Color Low/Mid</v>
          </cell>
          <cell r="V281" t="str">
            <v>XEROX MEXICANA SA DE CV / XEROX MEXICANA</v>
          </cell>
          <cell r="W281" t="str">
            <v>NUEVO LEON</v>
          </cell>
          <cell r="X281">
            <v>2019</v>
          </cell>
          <cell r="Y281" t="str">
            <v>Qtr 2</v>
          </cell>
          <cell r="Z281" t="str">
            <v>April</v>
          </cell>
          <cell r="AA281">
            <v>8</v>
          </cell>
          <cell r="AB281">
            <v>56</v>
          </cell>
          <cell r="AC281">
            <v>1.1000000000000001</v>
          </cell>
          <cell r="AD281">
            <v>0.13750000000000001</v>
          </cell>
          <cell r="AE281">
            <v>1730.3</v>
          </cell>
        </row>
        <row r="282">
          <cell r="A282" t="str">
            <v>0XPN396574</v>
          </cell>
          <cell r="B282">
            <v>2019</v>
          </cell>
          <cell r="C282" t="str">
            <v>Qtr 2</v>
          </cell>
          <cell r="D282" t="str">
            <v>April</v>
          </cell>
          <cell r="E282">
            <v>7</v>
          </cell>
          <cell r="F282" t="str">
            <v>CORRECTIVO</v>
          </cell>
          <cell r="G282">
            <v>0.55000000000000004</v>
          </cell>
          <cell r="H282" t="str">
            <v>Entry Production Color Low/Mid</v>
          </cell>
          <cell r="I282">
            <v>803</v>
          </cell>
          <cell r="J282">
            <v>1573</v>
          </cell>
          <cell r="K282">
            <v>0.2</v>
          </cell>
          <cell r="L282">
            <v>0.6</v>
          </cell>
          <cell r="M282">
            <v>0.8</v>
          </cell>
          <cell r="N282">
            <v>1.05</v>
          </cell>
          <cell r="O282">
            <v>1.1000000000000001</v>
          </cell>
          <cell r="P282">
            <v>1.1499999999999999</v>
          </cell>
          <cell r="Q282" t="str">
            <v>INTERIOR</v>
          </cell>
          <cell r="R282">
            <v>4</v>
          </cell>
          <cell r="S282">
            <v>6</v>
          </cell>
          <cell r="T282" t="str">
            <v>Ciudad principal</v>
          </cell>
          <cell r="U282" t="str">
            <v>Entry Production Color Low/Mid</v>
          </cell>
          <cell r="V282" t="str">
            <v>XEROX MEXICANA SA DE CV / XEROX MEXICANA</v>
          </cell>
          <cell r="W282" t="str">
            <v>JALISCO</v>
          </cell>
          <cell r="X282">
            <v>2019</v>
          </cell>
          <cell r="Y282" t="str">
            <v>Qtr 2</v>
          </cell>
          <cell r="Z282" t="str">
            <v>April</v>
          </cell>
          <cell r="AA282">
            <v>8</v>
          </cell>
          <cell r="AB282">
            <v>6</v>
          </cell>
          <cell r="AC282">
            <v>0.6</v>
          </cell>
          <cell r="AD282">
            <v>0.13750000000000001</v>
          </cell>
          <cell r="AE282">
            <v>943.8</v>
          </cell>
        </row>
        <row r="283">
          <cell r="A283" t="str">
            <v>03AG877879</v>
          </cell>
          <cell r="B283">
            <v>2019</v>
          </cell>
          <cell r="C283" t="str">
            <v>Qtr 2</v>
          </cell>
          <cell r="D283" t="str">
            <v>April</v>
          </cell>
          <cell r="E283">
            <v>8</v>
          </cell>
          <cell r="F283" t="str">
            <v>CORRECTIVO</v>
          </cell>
          <cell r="G283">
            <v>1.5</v>
          </cell>
          <cell r="H283" t="str">
            <v>Departmental Digital</v>
          </cell>
          <cell r="I283">
            <v>655</v>
          </cell>
          <cell r="J283">
            <v>1365</v>
          </cell>
          <cell r="K283">
            <v>0</v>
          </cell>
          <cell r="L283">
            <v>0</v>
          </cell>
          <cell r="M283">
            <v>0.6</v>
          </cell>
          <cell r="N283">
            <v>0.8</v>
          </cell>
          <cell r="O283">
            <v>1.05</v>
          </cell>
          <cell r="P283">
            <v>1.1000000000000001</v>
          </cell>
          <cell r="Q283" t="str">
            <v>INTERIOR</v>
          </cell>
          <cell r="R283">
            <v>5</v>
          </cell>
          <cell r="S283">
            <v>9</v>
          </cell>
          <cell r="T283" t="str">
            <v>Ciudad principal</v>
          </cell>
          <cell r="U283" t="str">
            <v>Light Production Digital Business</v>
          </cell>
          <cell r="V283" t="str">
            <v>XEROX MEXICANA SA DE CV / XEROX MEXICANA</v>
          </cell>
          <cell r="W283" t="str">
            <v>NUEVO LEON</v>
          </cell>
          <cell r="X283">
            <v>2019</v>
          </cell>
          <cell r="Y283" t="str">
            <v>Qtr 2</v>
          </cell>
          <cell r="Z283" t="str">
            <v>April</v>
          </cell>
          <cell r="AA283">
            <v>8</v>
          </cell>
          <cell r="AB283">
            <v>28</v>
          </cell>
          <cell r="AC283">
            <v>0.8</v>
          </cell>
          <cell r="AD283">
            <v>0.3</v>
          </cell>
          <cell r="AE283">
            <v>1092</v>
          </cell>
        </row>
        <row r="284">
          <cell r="A284" t="str">
            <v>03AG879962</v>
          </cell>
          <cell r="B284">
            <v>2019</v>
          </cell>
          <cell r="C284" t="str">
            <v>Qtr 2</v>
          </cell>
          <cell r="D284" t="str">
            <v>April</v>
          </cell>
          <cell r="E284">
            <v>8</v>
          </cell>
          <cell r="F284" t="str">
            <v>CORRECTIVO</v>
          </cell>
          <cell r="G284">
            <v>0</v>
          </cell>
          <cell r="H284" t="str">
            <v>Departmental Digital</v>
          </cell>
          <cell r="I284">
            <v>655</v>
          </cell>
          <cell r="J284">
            <v>1365</v>
          </cell>
          <cell r="K284">
            <v>0</v>
          </cell>
          <cell r="L284">
            <v>0</v>
          </cell>
          <cell r="M284">
            <v>0.6</v>
          </cell>
          <cell r="N284">
            <v>0.8</v>
          </cell>
          <cell r="O284">
            <v>1.05</v>
          </cell>
          <cell r="P284">
            <v>1.1000000000000001</v>
          </cell>
          <cell r="Q284" t="str">
            <v>INTERIOR</v>
          </cell>
          <cell r="R284">
            <v>5</v>
          </cell>
          <cell r="S284">
            <v>9</v>
          </cell>
          <cell r="T284" t="str">
            <v>Ciudad principal</v>
          </cell>
          <cell r="U284" t="str">
            <v>Light Production Digital Business</v>
          </cell>
          <cell r="V284" t="str">
            <v>XEROX MEXICANA SA DE CV / XEROX MEXICANA</v>
          </cell>
          <cell r="W284" t="str">
            <v>CHIHUAHUA</v>
          </cell>
          <cell r="X284">
            <v>2019</v>
          </cell>
          <cell r="Y284" t="str">
            <v>Qtr 2</v>
          </cell>
          <cell r="Z284" t="str">
            <v>April</v>
          </cell>
          <cell r="AA284">
            <v>8</v>
          </cell>
          <cell r="AB284">
            <v>14</v>
          </cell>
          <cell r="AC284">
            <v>0.6</v>
          </cell>
          <cell r="AD284">
            <v>0</v>
          </cell>
          <cell r="AE284">
            <v>819</v>
          </cell>
        </row>
        <row r="285">
          <cell r="A285" t="str">
            <v>09HB320873</v>
          </cell>
          <cell r="B285">
            <v>2019</v>
          </cell>
          <cell r="C285" t="str">
            <v>Qtr 2</v>
          </cell>
          <cell r="D285" t="str">
            <v>April</v>
          </cell>
          <cell r="E285">
            <v>8</v>
          </cell>
          <cell r="F285" t="str">
            <v>CORRECTIVO</v>
          </cell>
          <cell r="G285">
            <v>1.9</v>
          </cell>
          <cell r="H285" t="str">
            <v>A4 Mono MFPs</v>
          </cell>
          <cell r="I285">
            <v>468</v>
          </cell>
          <cell r="J285">
            <v>715</v>
          </cell>
          <cell r="K285">
            <v>0</v>
          </cell>
          <cell r="L285">
            <v>0</v>
          </cell>
          <cell r="M285">
            <v>0</v>
          </cell>
          <cell r="N285">
            <v>0.6</v>
          </cell>
          <cell r="O285">
            <v>0.8</v>
          </cell>
          <cell r="P285">
            <v>1.05</v>
          </cell>
          <cell r="Q285" t="str">
            <v>INTERIOR</v>
          </cell>
          <cell r="R285">
            <v>5</v>
          </cell>
          <cell r="S285">
            <v>9</v>
          </cell>
          <cell r="T285" t="str">
            <v>Ciudad principal</v>
          </cell>
          <cell r="U285" t="str">
            <v>A4 Mono MFPs</v>
          </cell>
          <cell r="V285" t="str">
            <v>XEROX MEXICANA SA DE CV / XEROX MEXICANA</v>
          </cell>
          <cell r="W285" t="str">
            <v>ESTADO DE MEXICO</v>
          </cell>
          <cell r="X285">
            <v>2019</v>
          </cell>
          <cell r="Y285" t="str">
            <v>Qtr 2</v>
          </cell>
          <cell r="Z285" t="str">
            <v>April</v>
          </cell>
          <cell r="AA285">
            <v>8</v>
          </cell>
          <cell r="AB285">
            <v>257</v>
          </cell>
          <cell r="AC285">
            <v>1.05</v>
          </cell>
          <cell r="AD285">
            <v>0.38</v>
          </cell>
          <cell r="AE285">
            <v>750.75</v>
          </cell>
        </row>
        <row r="286">
          <cell r="A286" t="str">
            <v>09HB321202</v>
          </cell>
          <cell r="B286">
            <v>2019</v>
          </cell>
          <cell r="C286" t="str">
            <v>Qtr 2</v>
          </cell>
          <cell r="D286" t="str">
            <v>April</v>
          </cell>
          <cell r="E286">
            <v>8</v>
          </cell>
          <cell r="F286" t="str">
            <v>CORRECTIVO</v>
          </cell>
          <cell r="G286">
            <v>0.38333329999999999</v>
          </cell>
          <cell r="H286" t="str">
            <v>A4 Mono MFPs</v>
          </cell>
          <cell r="I286">
            <v>468</v>
          </cell>
          <cell r="J286">
            <v>715</v>
          </cell>
          <cell r="K286">
            <v>0</v>
          </cell>
          <cell r="L286">
            <v>0</v>
          </cell>
          <cell r="M286">
            <v>0</v>
          </cell>
          <cell r="N286">
            <v>0.6</v>
          </cell>
          <cell r="O286">
            <v>0.8</v>
          </cell>
          <cell r="P286">
            <v>1.05</v>
          </cell>
          <cell r="Q286" t="str">
            <v>INTERIOR</v>
          </cell>
          <cell r="R286">
            <v>5</v>
          </cell>
          <cell r="S286">
            <v>9</v>
          </cell>
          <cell r="T286" t="str">
            <v>Otras</v>
          </cell>
          <cell r="U286" t="str">
            <v>A4 Mono MFPs</v>
          </cell>
          <cell r="V286" t="str">
            <v>XEROX MEXICANA SA DE CV / XEROX MEXICANA</v>
          </cell>
          <cell r="W286" t="str">
            <v>COAHUILA</v>
          </cell>
          <cell r="X286">
            <v>2019</v>
          </cell>
          <cell r="Y286" t="str">
            <v>Qtr 2</v>
          </cell>
          <cell r="Z286" t="str">
            <v>April</v>
          </cell>
          <cell r="AA286">
            <v>8</v>
          </cell>
          <cell r="AB286">
            <v>81</v>
          </cell>
          <cell r="AC286">
            <v>1.05</v>
          </cell>
          <cell r="AD286">
            <v>4.2592588888888901E-2</v>
          </cell>
          <cell r="AE286">
            <v>750.75</v>
          </cell>
        </row>
        <row r="287">
          <cell r="A287" t="str">
            <v>09HB325731</v>
          </cell>
          <cell r="B287">
            <v>2019</v>
          </cell>
          <cell r="C287" t="str">
            <v>Qtr 2</v>
          </cell>
          <cell r="D287" t="str">
            <v>April</v>
          </cell>
          <cell r="E287">
            <v>8</v>
          </cell>
          <cell r="F287" t="str">
            <v>CORRECTIVO</v>
          </cell>
          <cell r="G287">
            <v>1.1333329999999999</v>
          </cell>
          <cell r="H287" t="str">
            <v>A4 Mono MFPs</v>
          </cell>
          <cell r="I287">
            <v>468</v>
          </cell>
          <cell r="J287">
            <v>715</v>
          </cell>
          <cell r="K287">
            <v>0</v>
          </cell>
          <cell r="L287">
            <v>0</v>
          </cell>
          <cell r="M287">
            <v>0</v>
          </cell>
          <cell r="N287">
            <v>0.6</v>
          </cell>
          <cell r="O287">
            <v>0.8</v>
          </cell>
          <cell r="P287">
            <v>1.05</v>
          </cell>
          <cell r="Q287" t="str">
            <v>INTERIOR</v>
          </cell>
          <cell r="R287">
            <v>5</v>
          </cell>
          <cell r="S287">
            <v>9</v>
          </cell>
          <cell r="T287" t="str">
            <v>Ciudad principal</v>
          </cell>
          <cell r="U287" t="str">
            <v>A4 Mono MFPs</v>
          </cell>
          <cell r="V287" t="str">
            <v>XEROX MEXICANA SA DE CV / XEROX MEXICANA</v>
          </cell>
          <cell r="W287" t="str">
            <v>NUEVO LEON</v>
          </cell>
          <cell r="X287">
            <v>2019</v>
          </cell>
          <cell r="Y287" t="str">
            <v>Qtr 2</v>
          </cell>
          <cell r="Z287" t="str">
            <v>April</v>
          </cell>
          <cell r="AA287">
            <v>8</v>
          </cell>
          <cell r="AB287">
            <v>341</v>
          </cell>
          <cell r="AC287">
            <v>1.05</v>
          </cell>
          <cell r="AD287">
            <v>0.2266666</v>
          </cell>
          <cell r="AE287">
            <v>750.75</v>
          </cell>
        </row>
        <row r="288">
          <cell r="A288" t="str">
            <v>0A1H020640</v>
          </cell>
          <cell r="B288">
            <v>2019</v>
          </cell>
          <cell r="C288" t="str">
            <v>Qtr 2</v>
          </cell>
          <cell r="D288" t="str">
            <v>April</v>
          </cell>
          <cell r="E288">
            <v>8</v>
          </cell>
          <cell r="F288" t="str">
            <v>CORRECTIVO</v>
          </cell>
          <cell r="G288">
            <v>1.066667</v>
          </cell>
          <cell r="H288" t="str">
            <v>WF Mono Systems and Legacy Color</v>
          </cell>
          <cell r="I288">
            <v>803</v>
          </cell>
          <cell r="J288">
            <v>1573</v>
          </cell>
          <cell r="K288">
            <v>0.2</v>
          </cell>
          <cell r="L288">
            <v>0.6</v>
          </cell>
          <cell r="M288">
            <v>0.8</v>
          </cell>
          <cell r="N288">
            <v>1.05</v>
          </cell>
          <cell r="O288">
            <v>1.1000000000000001</v>
          </cell>
          <cell r="P288">
            <v>1.1499999999999999</v>
          </cell>
          <cell r="Q288" t="str">
            <v>INTERIOR</v>
          </cell>
          <cell r="R288">
            <v>4</v>
          </cell>
          <cell r="S288">
            <v>6</v>
          </cell>
          <cell r="T288" t="str">
            <v>Ciudad principal</v>
          </cell>
          <cell r="U288" t="str">
            <v>WF Mono Systems and Legacy Color</v>
          </cell>
          <cell r="V288" t="str">
            <v>XEROX MEXICANA SA DE CV / XEROX MEXICANA</v>
          </cell>
          <cell r="W288" t="str">
            <v>ESTADO DE MEXICO</v>
          </cell>
          <cell r="X288">
            <v>2019</v>
          </cell>
          <cell r="Y288" t="str">
            <v>Qtr 2</v>
          </cell>
          <cell r="Z288" t="str">
            <v>April</v>
          </cell>
          <cell r="AA288">
            <v>15</v>
          </cell>
          <cell r="AB288">
            <v>18</v>
          </cell>
          <cell r="AC288">
            <v>1.05</v>
          </cell>
          <cell r="AD288">
            <v>0.26666675000000001</v>
          </cell>
          <cell r="AE288">
            <v>1651.65</v>
          </cell>
        </row>
        <row r="289">
          <cell r="A289" t="str">
            <v>0A1H020685</v>
          </cell>
          <cell r="B289">
            <v>2019</v>
          </cell>
          <cell r="C289" t="str">
            <v>Qtr 2</v>
          </cell>
          <cell r="D289" t="str">
            <v>April</v>
          </cell>
          <cell r="E289">
            <v>8</v>
          </cell>
          <cell r="F289" t="str">
            <v>CORRECTIVO</v>
          </cell>
          <cell r="G289">
            <v>1.766667</v>
          </cell>
          <cell r="H289" t="str">
            <v>WF Mono Systems and Legacy Color</v>
          </cell>
          <cell r="I289">
            <v>803</v>
          </cell>
          <cell r="J289">
            <v>1573</v>
          </cell>
          <cell r="K289">
            <v>0.2</v>
          </cell>
          <cell r="L289">
            <v>0.6</v>
          </cell>
          <cell r="M289">
            <v>0.8</v>
          </cell>
          <cell r="N289">
            <v>1.05</v>
          </cell>
          <cell r="O289">
            <v>1.1000000000000001</v>
          </cell>
          <cell r="P289">
            <v>1.1499999999999999</v>
          </cell>
          <cell r="Q289" t="str">
            <v>INTERIOR</v>
          </cell>
          <cell r="R289">
            <v>4</v>
          </cell>
          <cell r="S289">
            <v>6</v>
          </cell>
          <cell r="T289" t="str">
            <v>Ciudad principal</v>
          </cell>
          <cell r="U289" t="str">
            <v>WF Mono Systems and Legacy Color</v>
          </cell>
          <cell r="V289" t="str">
            <v>XEROX MEXICANA SA DE CV / XEROX MEXICANA</v>
          </cell>
          <cell r="W289" t="str">
            <v>GUANAJUATO</v>
          </cell>
          <cell r="X289">
            <v>2019</v>
          </cell>
          <cell r="Y289" t="str">
            <v>Qtr 2</v>
          </cell>
          <cell r="Z289" t="str">
            <v>April</v>
          </cell>
          <cell r="AA289">
            <v>9</v>
          </cell>
          <cell r="AB289">
            <v>42</v>
          </cell>
          <cell r="AC289">
            <v>1.1000000000000001</v>
          </cell>
          <cell r="AD289">
            <v>0.44166675</v>
          </cell>
          <cell r="AE289">
            <v>1730.3</v>
          </cell>
        </row>
        <row r="290">
          <cell r="A290" t="str">
            <v>0AE9196959</v>
          </cell>
          <cell r="B290">
            <v>2019</v>
          </cell>
          <cell r="C290" t="str">
            <v>Qtr 2</v>
          </cell>
          <cell r="D290" t="str">
            <v>April</v>
          </cell>
          <cell r="E290">
            <v>8</v>
          </cell>
          <cell r="F290" t="str">
            <v>CORRECTIVO</v>
          </cell>
          <cell r="G290">
            <v>0.43333329999999998</v>
          </cell>
          <cell r="I290" t="str">
            <v>NA</v>
          </cell>
          <cell r="J290" t="str">
            <v>NA</v>
          </cell>
          <cell r="K290" t="str">
            <v>NA</v>
          </cell>
          <cell r="L290" t="str">
            <v>NA</v>
          </cell>
          <cell r="M290" t="str">
            <v>NA</v>
          </cell>
          <cell r="N290" t="str">
            <v>NA</v>
          </cell>
          <cell r="O290" t="str">
            <v>NA</v>
          </cell>
          <cell r="P290" t="str">
            <v>NA</v>
          </cell>
          <cell r="R290" t="str">
            <v>NA</v>
          </cell>
          <cell r="S290" t="str">
            <v>NA</v>
          </cell>
          <cell r="U290" t="str">
            <v>Departmental Digital</v>
          </cell>
          <cell r="V290" t="str">
            <v>XEROX MEXICANA SA DE CV / XEROX MEXICANA</v>
          </cell>
          <cell r="W290" t="str">
            <v>COAHUILA</v>
          </cell>
          <cell r="X290">
            <v>2019</v>
          </cell>
          <cell r="Y290" t="str">
            <v>Qtr 2</v>
          </cell>
          <cell r="Z290" t="str">
            <v>April</v>
          </cell>
          <cell r="AA290">
            <v>11</v>
          </cell>
          <cell r="AB290">
            <v>160</v>
          </cell>
          <cell r="AC290">
            <v>1.1000000000000001</v>
          </cell>
          <cell r="AD290">
            <v>0</v>
          </cell>
          <cell r="AE290">
            <v>1030.25</v>
          </cell>
        </row>
        <row r="291">
          <cell r="A291" t="str">
            <v>0B2R090061</v>
          </cell>
          <cell r="B291">
            <v>2019</v>
          </cell>
          <cell r="C291" t="str">
            <v>Qtr 2</v>
          </cell>
          <cell r="D291" t="str">
            <v>April</v>
          </cell>
          <cell r="E291">
            <v>8</v>
          </cell>
          <cell r="F291" t="str">
            <v>CORRECTIVO</v>
          </cell>
          <cell r="G291">
            <v>3.55</v>
          </cell>
          <cell r="H291" t="str">
            <v>Entry Production Color Low/Mid</v>
          </cell>
          <cell r="I291">
            <v>803</v>
          </cell>
          <cell r="J291">
            <v>1573</v>
          </cell>
          <cell r="K291">
            <v>0.2</v>
          </cell>
          <cell r="L291">
            <v>0.6</v>
          </cell>
          <cell r="M291">
            <v>0.8</v>
          </cell>
          <cell r="N291">
            <v>1.05</v>
          </cell>
          <cell r="O291">
            <v>1.1000000000000001</v>
          </cell>
          <cell r="P291">
            <v>1.1499999999999999</v>
          </cell>
          <cell r="Q291" t="str">
            <v>INTERIOR</v>
          </cell>
          <cell r="R291">
            <v>4</v>
          </cell>
          <cell r="S291">
            <v>6</v>
          </cell>
          <cell r="T291" t="str">
            <v>Ciudad principal</v>
          </cell>
          <cell r="U291" t="str">
            <v>High End Cut Sheet</v>
          </cell>
          <cell r="V291" t="str">
            <v>XEROX MEXICANA SA DE CV / XEROX MEXICANA</v>
          </cell>
          <cell r="W291" t="str">
            <v>NUEVO LEON</v>
          </cell>
          <cell r="X291">
            <v>2019</v>
          </cell>
          <cell r="Y291" t="str">
            <v>Qtr 2</v>
          </cell>
          <cell r="Z291" t="str">
            <v>April</v>
          </cell>
          <cell r="AA291">
            <v>8</v>
          </cell>
          <cell r="AB291">
            <v>27</v>
          </cell>
          <cell r="AC291">
            <v>1.05</v>
          </cell>
          <cell r="AD291">
            <v>0.88749999999999996</v>
          </cell>
          <cell r="AE291">
            <v>1651.65</v>
          </cell>
        </row>
        <row r="292">
          <cell r="A292" t="str">
            <v>0BG0966730</v>
          </cell>
          <cell r="B292">
            <v>2019</v>
          </cell>
          <cell r="C292" t="str">
            <v>Qtr 2</v>
          </cell>
          <cell r="D292" t="str">
            <v>April</v>
          </cell>
          <cell r="E292">
            <v>8</v>
          </cell>
          <cell r="F292" t="str">
            <v>CORRECTIVO</v>
          </cell>
          <cell r="G292">
            <v>1.066667</v>
          </cell>
          <cell r="H292" t="str">
            <v>Light Production Digital Business</v>
          </cell>
          <cell r="I292">
            <v>803</v>
          </cell>
          <cell r="J292">
            <v>1573</v>
          </cell>
          <cell r="K292">
            <v>0.2</v>
          </cell>
          <cell r="L292">
            <v>0.6</v>
          </cell>
          <cell r="M292">
            <v>0.8</v>
          </cell>
          <cell r="N292">
            <v>1.05</v>
          </cell>
          <cell r="O292">
            <v>1.1000000000000001</v>
          </cell>
          <cell r="P292">
            <v>1.1499999999999999</v>
          </cell>
          <cell r="Q292" t="str">
            <v>INTERIOR</v>
          </cell>
          <cell r="R292">
            <v>4</v>
          </cell>
          <cell r="S292">
            <v>6</v>
          </cell>
          <cell r="T292" t="str">
            <v>Ciudad principal</v>
          </cell>
          <cell r="U292" t="str">
            <v>High End Cut Sheet</v>
          </cell>
          <cell r="V292" t="str">
            <v>XEROX MEXICANA SA DE CV / XEROX MEXICANA</v>
          </cell>
          <cell r="W292" t="str">
            <v>MICHOACAN</v>
          </cell>
          <cell r="X292">
            <v>2019</v>
          </cell>
          <cell r="Y292" t="str">
            <v>Qtr 2</v>
          </cell>
          <cell r="Z292" t="str">
            <v>April</v>
          </cell>
          <cell r="AA292">
            <v>8</v>
          </cell>
          <cell r="AB292">
            <v>20</v>
          </cell>
          <cell r="AC292">
            <v>1.05</v>
          </cell>
          <cell r="AD292">
            <v>0.26666675000000001</v>
          </cell>
          <cell r="AE292">
            <v>1651.65</v>
          </cell>
        </row>
        <row r="293">
          <cell r="A293" t="str">
            <v>0BG0971716</v>
          </cell>
          <cell r="B293">
            <v>2019</v>
          </cell>
          <cell r="C293" t="str">
            <v>Qtr 2</v>
          </cell>
          <cell r="D293" t="str">
            <v>April</v>
          </cell>
          <cell r="E293">
            <v>8</v>
          </cell>
          <cell r="F293" t="str">
            <v>CORRECTIVO</v>
          </cell>
          <cell r="G293">
            <v>1.6666669999999999</v>
          </cell>
          <cell r="H293" t="str">
            <v>Light Production Digital Business</v>
          </cell>
          <cell r="I293">
            <v>803</v>
          </cell>
          <cell r="J293">
            <v>1573</v>
          </cell>
          <cell r="K293">
            <v>0.2</v>
          </cell>
          <cell r="L293">
            <v>0.6</v>
          </cell>
          <cell r="M293">
            <v>0.8</v>
          </cell>
          <cell r="N293">
            <v>1.05</v>
          </cell>
          <cell r="O293">
            <v>1.1000000000000001</v>
          </cell>
          <cell r="P293">
            <v>1.1499999999999999</v>
          </cell>
          <cell r="Q293" t="str">
            <v>INTERIOR</v>
          </cell>
          <cell r="R293">
            <v>4</v>
          </cell>
          <cell r="S293">
            <v>6</v>
          </cell>
          <cell r="T293" t="str">
            <v>Ciudad principal</v>
          </cell>
          <cell r="U293" t="str">
            <v>High End Cut Sheet</v>
          </cell>
          <cell r="V293" t="str">
            <v>XEROX MEXICANA SA DE CV / XEROX MEXICANA</v>
          </cell>
          <cell r="W293" t="str">
            <v>NUEVO LEON</v>
          </cell>
          <cell r="X293">
            <v>2019</v>
          </cell>
          <cell r="Y293" t="str">
            <v>Qtr 2</v>
          </cell>
          <cell r="Z293" t="str">
            <v>April</v>
          </cell>
          <cell r="AA293">
            <v>8</v>
          </cell>
          <cell r="AB293">
            <v>19</v>
          </cell>
          <cell r="AC293">
            <v>1.05</v>
          </cell>
          <cell r="AD293">
            <v>0.41666674999999997</v>
          </cell>
          <cell r="AE293">
            <v>1651.65</v>
          </cell>
        </row>
        <row r="294">
          <cell r="A294" t="str">
            <v>0BG2940370</v>
          </cell>
          <cell r="B294">
            <v>2019</v>
          </cell>
          <cell r="C294" t="str">
            <v>Qtr 2</v>
          </cell>
          <cell r="D294" t="str">
            <v>April</v>
          </cell>
          <cell r="E294">
            <v>8</v>
          </cell>
          <cell r="F294" t="str">
            <v>MANTENIMIENTO PREVENTIVO</v>
          </cell>
          <cell r="G294">
            <v>0</v>
          </cell>
          <cell r="H294" t="str">
            <v>Light Production Digital Business</v>
          </cell>
          <cell r="I294">
            <v>803</v>
          </cell>
          <cell r="J294">
            <v>1573</v>
          </cell>
          <cell r="K294">
            <v>0.2</v>
          </cell>
          <cell r="L294">
            <v>0.6</v>
          </cell>
          <cell r="M294">
            <v>0.8</v>
          </cell>
          <cell r="N294">
            <v>1.05</v>
          </cell>
          <cell r="O294">
            <v>1.1000000000000001</v>
          </cell>
          <cell r="P294">
            <v>1.1499999999999999</v>
          </cell>
          <cell r="Q294" t="str">
            <v>INTERIOR</v>
          </cell>
          <cell r="R294">
            <v>4</v>
          </cell>
          <cell r="S294">
            <v>6</v>
          </cell>
          <cell r="T294" t="str">
            <v>Ciudad principal</v>
          </cell>
          <cell r="U294" t="str">
            <v>High End Cut Sheet</v>
          </cell>
          <cell r="V294" t="str">
            <v>XEROX MEXICANA SA DE CV / XEROX MEXICANA</v>
          </cell>
          <cell r="W294" t="str">
            <v>CHIHUAHUA</v>
          </cell>
          <cell r="X294">
            <v>2019</v>
          </cell>
          <cell r="Y294" t="str">
            <v>Qtr 2</v>
          </cell>
          <cell r="Z294" t="str">
            <v>April</v>
          </cell>
          <cell r="AA294">
            <v>8</v>
          </cell>
          <cell r="AB294">
            <v>7</v>
          </cell>
          <cell r="AC294">
            <v>0</v>
          </cell>
          <cell r="AD294">
            <v>0</v>
          </cell>
          <cell r="AE294">
            <v>1573</v>
          </cell>
        </row>
        <row r="295">
          <cell r="A295" t="str">
            <v>0BG2941143</v>
          </cell>
          <cell r="B295">
            <v>2019</v>
          </cell>
          <cell r="C295" t="str">
            <v>Qtr 2</v>
          </cell>
          <cell r="D295" t="str">
            <v>April</v>
          </cell>
          <cell r="E295">
            <v>8</v>
          </cell>
          <cell r="F295" t="str">
            <v>CORRECTIVO</v>
          </cell>
          <cell r="G295">
            <v>0</v>
          </cell>
          <cell r="H295" t="str">
            <v>Light Production Digital Business</v>
          </cell>
          <cell r="I295">
            <v>803</v>
          </cell>
          <cell r="J295">
            <v>1573</v>
          </cell>
          <cell r="K295">
            <v>0.2</v>
          </cell>
          <cell r="L295">
            <v>0.6</v>
          </cell>
          <cell r="M295">
            <v>0.8</v>
          </cell>
          <cell r="N295">
            <v>1.05</v>
          </cell>
          <cell r="O295">
            <v>1.1000000000000001</v>
          </cell>
          <cell r="P295">
            <v>1.1499999999999999</v>
          </cell>
          <cell r="Q295" t="str">
            <v>INTERIOR</v>
          </cell>
          <cell r="R295">
            <v>4</v>
          </cell>
          <cell r="S295">
            <v>6</v>
          </cell>
          <cell r="T295" t="str">
            <v>Ciudad principal</v>
          </cell>
          <cell r="U295" t="str">
            <v>High End Cut Sheet</v>
          </cell>
          <cell r="V295" t="str">
            <v>XEROX MEXICANA SA DE CV / XEROX MEXICANA</v>
          </cell>
          <cell r="W295" t="str">
            <v>TAMAULIPAS</v>
          </cell>
          <cell r="X295">
            <v>2019</v>
          </cell>
          <cell r="Y295" t="str">
            <v>Qtr 2</v>
          </cell>
          <cell r="Z295" t="str">
            <v>April</v>
          </cell>
          <cell r="AA295">
            <v>10</v>
          </cell>
          <cell r="AB295">
            <v>17</v>
          </cell>
          <cell r="AC295">
            <v>1.05</v>
          </cell>
          <cell r="AD295">
            <v>0</v>
          </cell>
          <cell r="AE295">
            <v>1651.65</v>
          </cell>
        </row>
        <row r="296">
          <cell r="A296" t="str">
            <v>0BG2947123</v>
          </cell>
          <cell r="B296">
            <v>2019</v>
          </cell>
          <cell r="C296" t="str">
            <v>Qtr 2</v>
          </cell>
          <cell r="D296" t="str">
            <v>April</v>
          </cell>
          <cell r="E296">
            <v>8</v>
          </cell>
          <cell r="F296" t="str">
            <v>CORRECTIVO</v>
          </cell>
          <cell r="G296">
            <v>3.016667</v>
          </cell>
          <cell r="H296" t="str">
            <v>Light Production Digital Business</v>
          </cell>
          <cell r="I296">
            <v>803</v>
          </cell>
          <cell r="J296">
            <v>1573</v>
          </cell>
          <cell r="K296">
            <v>0.2</v>
          </cell>
          <cell r="L296">
            <v>0.6</v>
          </cell>
          <cell r="M296">
            <v>0.8</v>
          </cell>
          <cell r="N296">
            <v>1.05</v>
          </cell>
          <cell r="O296">
            <v>1.1000000000000001</v>
          </cell>
          <cell r="P296">
            <v>1.1499999999999999</v>
          </cell>
          <cell r="Q296" t="str">
            <v>INTERIOR</v>
          </cell>
          <cell r="R296">
            <v>4</v>
          </cell>
          <cell r="S296">
            <v>6</v>
          </cell>
          <cell r="T296" t="str">
            <v>Ciudad principal</v>
          </cell>
          <cell r="U296" t="str">
            <v>High End Cut Sheet</v>
          </cell>
          <cell r="V296" t="str">
            <v>XEROX MEXICANA SA DE CV / XEROX MEXICANA</v>
          </cell>
          <cell r="W296" t="str">
            <v>SAN LUIS POTOSI</v>
          </cell>
          <cell r="X296">
            <v>2019</v>
          </cell>
          <cell r="Y296" t="str">
            <v>Qtr 2</v>
          </cell>
          <cell r="Z296" t="str">
            <v>April</v>
          </cell>
          <cell r="AA296">
            <v>8</v>
          </cell>
          <cell r="AB296">
            <v>31</v>
          </cell>
          <cell r="AC296">
            <v>1.1000000000000001</v>
          </cell>
          <cell r="AD296">
            <v>0.75416675</v>
          </cell>
          <cell r="AE296">
            <v>1730.3</v>
          </cell>
        </row>
        <row r="297">
          <cell r="A297" t="str">
            <v>0BG2948912</v>
          </cell>
          <cell r="B297">
            <v>2019</v>
          </cell>
          <cell r="C297" t="str">
            <v>Qtr 2</v>
          </cell>
          <cell r="D297" t="str">
            <v>April</v>
          </cell>
          <cell r="E297">
            <v>8</v>
          </cell>
          <cell r="F297" t="str">
            <v>CORRECTIVO</v>
          </cell>
          <cell r="G297">
            <v>0.05</v>
          </cell>
          <cell r="H297" t="str">
            <v>Light Production Digital Business</v>
          </cell>
          <cell r="I297">
            <v>803</v>
          </cell>
          <cell r="J297">
            <v>1573</v>
          </cell>
          <cell r="K297">
            <v>0.2</v>
          </cell>
          <cell r="L297">
            <v>0.6</v>
          </cell>
          <cell r="M297">
            <v>0.8</v>
          </cell>
          <cell r="N297">
            <v>1.05</v>
          </cell>
          <cell r="O297">
            <v>1.1000000000000001</v>
          </cell>
          <cell r="P297">
            <v>1.1499999999999999</v>
          </cell>
          <cell r="Q297" t="str">
            <v>INTERIOR</v>
          </cell>
          <cell r="R297">
            <v>4</v>
          </cell>
          <cell r="S297">
            <v>6</v>
          </cell>
          <cell r="T297" t="str">
            <v>Ciudad principal</v>
          </cell>
          <cell r="U297" t="str">
            <v>High End Cut Sheet</v>
          </cell>
          <cell r="V297" t="str">
            <v>XEROX MEXICANA SA DE CV / XEROX MEXICANA</v>
          </cell>
          <cell r="W297" t="str">
            <v>TAMAULIPAS</v>
          </cell>
          <cell r="X297">
            <v>2019</v>
          </cell>
          <cell r="Y297" t="str">
            <v>Qtr 2</v>
          </cell>
          <cell r="Z297" t="str">
            <v>April</v>
          </cell>
          <cell r="AA297">
            <v>9</v>
          </cell>
          <cell r="AB297">
            <v>14</v>
          </cell>
          <cell r="AC297">
            <v>0.8</v>
          </cell>
          <cell r="AD297">
            <v>1.2500000000000001E-2</v>
          </cell>
          <cell r="AE297">
            <v>1258.4000000000001</v>
          </cell>
        </row>
        <row r="298">
          <cell r="A298" t="str">
            <v>0BG2949291</v>
          </cell>
          <cell r="B298">
            <v>2019</v>
          </cell>
          <cell r="C298" t="str">
            <v>Qtr 2</v>
          </cell>
          <cell r="D298" t="str">
            <v>April</v>
          </cell>
          <cell r="E298">
            <v>8</v>
          </cell>
          <cell r="F298" t="str">
            <v>CORRECTIVO</v>
          </cell>
          <cell r="G298">
            <v>2.75</v>
          </cell>
          <cell r="H298" t="str">
            <v>Light Production Digital Business</v>
          </cell>
          <cell r="I298">
            <v>803</v>
          </cell>
          <cell r="J298">
            <v>1573</v>
          </cell>
          <cell r="K298">
            <v>0.2</v>
          </cell>
          <cell r="L298">
            <v>0.6</v>
          </cell>
          <cell r="M298">
            <v>0.8</v>
          </cell>
          <cell r="N298">
            <v>1.05</v>
          </cell>
          <cell r="O298">
            <v>1.1000000000000001</v>
          </cell>
          <cell r="P298">
            <v>1.1499999999999999</v>
          </cell>
          <cell r="Q298" t="str">
            <v>INTERIOR</v>
          </cell>
          <cell r="R298">
            <v>4</v>
          </cell>
          <cell r="S298">
            <v>6</v>
          </cell>
          <cell r="T298" t="str">
            <v>Ciudad principal</v>
          </cell>
          <cell r="U298" t="str">
            <v>High End Cut Sheet</v>
          </cell>
          <cell r="V298" t="str">
            <v>XEROX MEXICANA SA DE CV / XEROX MEXICANA</v>
          </cell>
          <cell r="W298" t="str">
            <v>GUANAJUATO</v>
          </cell>
          <cell r="X298">
            <v>2019</v>
          </cell>
          <cell r="Y298" t="str">
            <v>Qtr 2</v>
          </cell>
          <cell r="Z298" t="str">
            <v>April</v>
          </cell>
          <cell r="AA298">
            <v>9</v>
          </cell>
          <cell r="AB298">
            <v>27</v>
          </cell>
          <cell r="AC298">
            <v>1.05</v>
          </cell>
          <cell r="AD298">
            <v>0.6875</v>
          </cell>
          <cell r="AE298">
            <v>1651.65</v>
          </cell>
        </row>
        <row r="299">
          <cell r="A299" t="str">
            <v>0BG2951472</v>
          </cell>
          <cell r="B299">
            <v>2019</v>
          </cell>
          <cell r="C299" t="str">
            <v>Qtr 2</v>
          </cell>
          <cell r="D299" t="str">
            <v>April</v>
          </cell>
          <cell r="E299">
            <v>8</v>
          </cell>
          <cell r="F299" t="str">
            <v>CORRECTIVO</v>
          </cell>
          <cell r="G299">
            <v>0.4</v>
          </cell>
          <cell r="H299" t="str">
            <v>Light Production Digital Business</v>
          </cell>
          <cell r="I299">
            <v>803</v>
          </cell>
          <cell r="J299">
            <v>1573</v>
          </cell>
          <cell r="K299">
            <v>0.2</v>
          </cell>
          <cell r="L299">
            <v>0.6</v>
          </cell>
          <cell r="M299">
            <v>0.8</v>
          </cell>
          <cell r="N299">
            <v>1.05</v>
          </cell>
          <cell r="O299">
            <v>1.1000000000000001</v>
          </cell>
          <cell r="P299">
            <v>1.1499999999999999</v>
          </cell>
          <cell r="Q299" t="str">
            <v>INTERIOR</v>
          </cell>
          <cell r="R299">
            <v>4</v>
          </cell>
          <cell r="S299">
            <v>6</v>
          </cell>
          <cell r="T299" t="str">
            <v>Ciudad principal</v>
          </cell>
          <cell r="U299" t="str">
            <v>High End Cut Sheet</v>
          </cell>
          <cell r="V299" t="str">
            <v>XEROX MEXICANA SA DE CV / XEROX MEXICANA</v>
          </cell>
          <cell r="W299" t="str">
            <v>JALISCO</v>
          </cell>
          <cell r="X299">
            <v>2019</v>
          </cell>
          <cell r="Y299" t="str">
            <v>Qtr 2</v>
          </cell>
          <cell r="Z299" t="str">
            <v>April</v>
          </cell>
          <cell r="AA299">
            <v>9</v>
          </cell>
          <cell r="AB299">
            <v>11</v>
          </cell>
          <cell r="AC299">
            <v>0.8</v>
          </cell>
          <cell r="AD299">
            <v>0.1</v>
          </cell>
          <cell r="AE299">
            <v>1258.4000000000001</v>
          </cell>
        </row>
        <row r="300">
          <cell r="A300" t="str">
            <v>0BG2951480</v>
          </cell>
          <cell r="B300">
            <v>2019</v>
          </cell>
          <cell r="C300" t="str">
            <v>Qtr 2</v>
          </cell>
          <cell r="D300" t="str">
            <v>April</v>
          </cell>
          <cell r="E300">
            <v>8</v>
          </cell>
          <cell r="F300" t="str">
            <v>CORRECTIVO</v>
          </cell>
          <cell r="G300">
            <v>0.28333330000000001</v>
          </cell>
          <cell r="H300" t="str">
            <v>Light Production Digital Business</v>
          </cell>
          <cell r="I300">
            <v>803</v>
          </cell>
          <cell r="J300">
            <v>1573</v>
          </cell>
          <cell r="K300">
            <v>0.2</v>
          </cell>
          <cell r="L300">
            <v>0.6</v>
          </cell>
          <cell r="M300">
            <v>0.8</v>
          </cell>
          <cell r="N300">
            <v>1.05</v>
          </cell>
          <cell r="O300">
            <v>1.1000000000000001</v>
          </cell>
          <cell r="P300">
            <v>1.1499999999999999</v>
          </cell>
          <cell r="Q300" t="str">
            <v>INTERIOR</v>
          </cell>
          <cell r="R300">
            <v>4</v>
          </cell>
          <cell r="S300">
            <v>6</v>
          </cell>
          <cell r="T300" t="str">
            <v>Ciudad principal</v>
          </cell>
          <cell r="U300" t="str">
            <v>High End Cut Sheet</v>
          </cell>
          <cell r="V300" t="str">
            <v>XEROX MEXICANA SA DE CV / XEROX MEXICANA</v>
          </cell>
          <cell r="W300" t="str">
            <v>SAN LUIS POTOSI</v>
          </cell>
          <cell r="X300">
            <v>2019</v>
          </cell>
          <cell r="Y300" t="str">
            <v>Qtr 2</v>
          </cell>
          <cell r="Z300" t="str">
            <v>April</v>
          </cell>
          <cell r="AA300">
            <v>10</v>
          </cell>
          <cell r="AB300">
            <v>34</v>
          </cell>
          <cell r="AC300">
            <v>1.1000000000000001</v>
          </cell>
          <cell r="AD300">
            <v>7.0833325000000003E-2</v>
          </cell>
          <cell r="AE300">
            <v>1730.3</v>
          </cell>
        </row>
        <row r="301">
          <cell r="A301" t="str">
            <v>0BG2951638</v>
          </cell>
          <cell r="B301">
            <v>2019</v>
          </cell>
          <cell r="C301" t="str">
            <v>Qtr 2</v>
          </cell>
          <cell r="D301" t="str">
            <v>April</v>
          </cell>
          <cell r="E301">
            <v>8</v>
          </cell>
          <cell r="F301" t="str">
            <v>CORRECTIVO</v>
          </cell>
          <cell r="G301">
            <v>0.53333339999999996</v>
          </cell>
          <cell r="H301" t="str">
            <v>Light Production Digital Business</v>
          </cell>
          <cell r="I301">
            <v>803</v>
          </cell>
          <cell r="J301">
            <v>1573</v>
          </cell>
          <cell r="K301">
            <v>0.2</v>
          </cell>
          <cell r="L301">
            <v>0.6</v>
          </cell>
          <cell r="M301">
            <v>0.8</v>
          </cell>
          <cell r="N301">
            <v>1.05</v>
          </cell>
          <cell r="O301">
            <v>1.1000000000000001</v>
          </cell>
          <cell r="P301">
            <v>1.1499999999999999</v>
          </cell>
          <cell r="Q301" t="str">
            <v>INTERIOR</v>
          </cell>
          <cell r="R301">
            <v>4</v>
          </cell>
          <cell r="S301">
            <v>6</v>
          </cell>
          <cell r="T301" t="str">
            <v>Ciudad principal</v>
          </cell>
          <cell r="U301" t="str">
            <v>High End Cut Sheet</v>
          </cell>
          <cell r="V301" t="str">
            <v>XEROX MEXICANA SA DE CV / XEROX MEXICANA</v>
          </cell>
          <cell r="W301" t="str">
            <v>JALISCO</v>
          </cell>
          <cell r="X301">
            <v>2019</v>
          </cell>
          <cell r="Y301" t="str">
            <v>Qtr 2</v>
          </cell>
          <cell r="Z301" t="str">
            <v>April</v>
          </cell>
          <cell r="AA301">
            <v>10</v>
          </cell>
          <cell r="AB301">
            <v>19</v>
          </cell>
          <cell r="AC301">
            <v>1.05</v>
          </cell>
          <cell r="AD301">
            <v>0.13333334999999999</v>
          </cell>
          <cell r="AE301">
            <v>1651.65</v>
          </cell>
        </row>
        <row r="302">
          <cell r="A302" t="str">
            <v>0C4X003945</v>
          </cell>
          <cell r="B302">
            <v>2019</v>
          </cell>
          <cell r="C302" t="str">
            <v>Qtr 2</v>
          </cell>
          <cell r="D302" t="str">
            <v>April</v>
          </cell>
          <cell r="E302">
            <v>8</v>
          </cell>
          <cell r="F302" t="str">
            <v>CORRECTIVO</v>
          </cell>
          <cell r="G302">
            <v>1.5</v>
          </cell>
          <cell r="H302" t="str">
            <v>A4 Mono MFPs</v>
          </cell>
          <cell r="I302">
            <v>468</v>
          </cell>
          <cell r="J302">
            <v>715</v>
          </cell>
          <cell r="K302">
            <v>0</v>
          </cell>
          <cell r="L302">
            <v>0</v>
          </cell>
          <cell r="M302">
            <v>0</v>
          </cell>
          <cell r="N302">
            <v>0.6</v>
          </cell>
          <cell r="O302">
            <v>0.8</v>
          </cell>
          <cell r="P302">
            <v>1.05</v>
          </cell>
          <cell r="Q302" t="str">
            <v>INTERIOR</v>
          </cell>
          <cell r="R302">
            <v>5</v>
          </cell>
          <cell r="S302">
            <v>9</v>
          </cell>
          <cell r="T302" t="str">
            <v>Ciudad principal</v>
          </cell>
          <cell r="U302" t="str">
            <v>A4 Mono MFPs</v>
          </cell>
          <cell r="V302" t="str">
            <v>XEROX MEXICANA SA DE CV / XEROX MEXICANA</v>
          </cell>
          <cell r="W302" t="str">
            <v>CHIHUAHUA</v>
          </cell>
          <cell r="X302">
            <v>2019</v>
          </cell>
          <cell r="Y302" t="str">
            <v>Qtr 2</v>
          </cell>
          <cell r="Z302" t="str">
            <v>April</v>
          </cell>
          <cell r="AA302">
            <v>9</v>
          </cell>
          <cell r="AB302">
            <v>105</v>
          </cell>
          <cell r="AC302">
            <v>1.05</v>
          </cell>
          <cell r="AD302">
            <v>0.3</v>
          </cell>
          <cell r="AE302">
            <v>750.75</v>
          </cell>
        </row>
        <row r="303">
          <cell r="A303" t="str">
            <v>0C4X006407</v>
          </cell>
          <cell r="B303">
            <v>2019</v>
          </cell>
          <cell r="C303" t="str">
            <v>Qtr 2</v>
          </cell>
          <cell r="D303" t="str">
            <v>April</v>
          </cell>
          <cell r="E303">
            <v>8</v>
          </cell>
          <cell r="F303" t="str">
            <v>CORRECTIVO</v>
          </cell>
          <cell r="G303">
            <v>1.6333329999999999</v>
          </cell>
          <cell r="H303" t="str">
            <v>A4 Mono MFPs</v>
          </cell>
          <cell r="I303">
            <v>468</v>
          </cell>
          <cell r="J303">
            <v>715</v>
          </cell>
          <cell r="K303">
            <v>0</v>
          </cell>
          <cell r="L303">
            <v>0</v>
          </cell>
          <cell r="M303">
            <v>0</v>
          </cell>
          <cell r="N303">
            <v>0.6</v>
          </cell>
          <cell r="O303">
            <v>0.8</v>
          </cell>
          <cell r="P303">
            <v>1.05</v>
          </cell>
          <cell r="Q303" t="str">
            <v>INTERIOR</v>
          </cell>
          <cell r="R303">
            <v>5</v>
          </cell>
          <cell r="S303">
            <v>9</v>
          </cell>
          <cell r="T303" t="str">
            <v>Ciudad principal</v>
          </cell>
          <cell r="U303" t="str">
            <v>A4 Mono MFPs</v>
          </cell>
          <cell r="V303" t="str">
            <v>XEROX MEXICANA SA DE CV / XEROX MEXICANA</v>
          </cell>
          <cell r="W303" t="str">
            <v>CHIHUAHUA</v>
          </cell>
          <cell r="X303">
            <v>2019</v>
          </cell>
          <cell r="Y303" t="str">
            <v>Qtr 2</v>
          </cell>
          <cell r="Z303" t="str">
            <v>April</v>
          </cell>
          <cell r="AA303">
            <v>11</v>
          </cell>
          <cell r="AB303">
            <v>91</v>
          </cell>
          <cell r="AC303">
            <v>1.05</v>
          </cell>
          <cell r="AD303">
            <v>0.32666659999999997</v>
          </cell>
          <cell r="AE303">
            <v>750.75</v>
          </cell>
        </row>
        <row r="304">
          <cell r="A304" t="str">
            <v>0C4X008398</v>
          </cell>
          <cell r="B304">
            <v>2019</v>
          </cell>
          <cell r="C304" t="str">
            <v>Qtr 2</v>
          </cell>
          <cell r="D304" t="str">
            <v>April</v>
          </cell>
          <cell r="E304">
            <v>8</v>
          </cell>
          <cell r="F304" t="str">
            <v>CORRECTIVO</v>
          </cell>
          <cell r="G304">
            <v>2.2833329999999998</v>
          </cell>
          <cell r="H304" t="str">
            <v>A4 Mono MFPs</v>
          </cell>
          <cell r="I304">
            <v>468</v>
          </cell>
          <cell r="J304">
            <v>715</v>
          </cell>
          <cell r="K304">
            <v>0</v>
          </cell>
          <cell r="L304">
            <v>0</v>
          </cell>
          <cell r="M304">
            <v>0</v>
          </cell>
          <cell r="N304">
            <v>0.6</v>
          </cell>
          <cell r="O304">
            <v>0.8</v>
          </cell>
          <cell r="P304">
            <v>1.05</v>
          </cell>
          <cell r="Q304" t="str">
            <v>INTERIOR</v>
          </cell>
          <cell r="R304">
            <v>5</v>
          </cell>
          <cell r="S304">
            <v>9</v>
          </cell>
          <cell r="T304" t="str">
            <v>Ciudad principal</v>
          </cell>
          <cell r="U304" t="str">
            <v>A4 Mono MFPs</v>
          </cell>
          <cell r="V304" t="str">
            <v>XEROX MEXICANA SA DE CV / XEROX MEXICANA</v>
          </cell>
          <cell r="W304" t="str">
            <v>JALISCO</v>
          </cell>
          <cell r="X304">
            <v>2019</v>
          </cell>
          <cell r="Y304" t="str">
            <v>Qtr 2</v>
          </cell>
          <cell r="Z304" t="str">
            <v>April</v>
          </cell>
          <cell r="AA304">
            <v>8</v>
          </cell>
          <cell r="AB304">
            <v>298</v>
          </cell>
          <cell r="AC304">
            <v>1.05</v>
          </cell>
          <cell r="AD304">
            <v>0.45666659999999998</v>
          </cell>
          <cell r="AE304">
            <v>750.75</v>
          </cell>
        </row>
        <row r="305">
          <cell r="A305" t="str">
            <v>0D6X451648</v>
          </cell>
          <cell r="B305">
            <v>2019</v>
          </cell>
          <cell r="C305" t="str">
            <v>Qtr 2</v>
          </cell>
          <cell r="D305" t="str">
            <v>April</v>
          </cell>
          <cell r="E305">
            <v>8</v>
          </cell>
          <cell r="F305" t="str">
            <v>CORRECTIVO</v>
          </cell>
          <cell r="G305">
            <v>0.31666670000000002</v>
          </cell>
          <cell r="H305" t="str">
            <v>Entry Mono Printers</v>
          </cell>
          <cell r="I305">
            <v>468</v>
          </cell>
          <cell r="J305">
            <v>715</v>
          </cell>
          <cell r="K305">
            <v>0</v>
          </cell>
          <cell r="L305">
            <v>0</v>
          </cell>
          <cell r="M305">
            <v>0</v>
          </cell>
          <cell r="N305">
            <v>0.6</v>
          </cell>
          <cell r="O305">
            <v>0.8</v>
          </cell>
          <cell r="P305">
            <v>1.05</v>
          </cell>
          <cell r="Q305" t="str">
            <v>INTERIOR</v>
          </cell>
          <cell r="R305">
            <v>5</v>
          </cell>
          <cell r="S305">
            <v>9</v>
          </cell>
          <cell r="T305" t="str">
            <v>Ciudad principal</v>
          </cell>
          <cell r="U305" t="str">
            <v>Entry Mono Printers</v>
          </cell>
          <cell r="V305" t="str">
            <v>XEROX MEXICANA SA DE CV / XEROX MEXICANA</v>
          </cell>
          <cell r="W305" t="str">
            <v>CHIHUAHUA</v>
          </cell>
          <cell r="X305">
            <v>2019</v>
          </cell>
          <cell r="Y305" t="str">
            <v>Qtr 2</v>
          </cell>
          <cell r="Z305" t="str">
            <v>April</v>
          </cell>
          <cell r="AA305">
            <v>9</v>
          </cell>
          <cell r="AB305">
            <v>18</v>
          </cell>
          <cell r="AC305">
            <v>0.6</v>
          </cell>
          <cell r="AD305">
            <v>6.3333340000000002E-2</v>
          </cell>
          <cell r="AE305">
            <v>429</v>
          </cell>
        </row>
        <row r="306">
          <cell r="A306" t="str">
            <v>0D6X462113</v>
          </cell>
          <cell r="B306">
            <v>2019</v>
          </cell>
          <cell r="C306" t="str">
            <v>Qtr 2</v>
          </cell>
          <cell r="D306" t="str">
            <v>April</v>
          </cell>
          <cell r="E306">
            <v>8</v>
          </cell>
          <cell r="F306" t="str">
            <v>CORRECTIVO</v>
          </cell>
          <cell r="G306">
            <v>0</v>
          </cell>
          <cell r="H306" t="str">
            <v>Entry Mono Printers</v>
          </cell>
          <cell r="I306">
            <v>468</v>
          </cell>
          <cell r="J306">
            <v>715</v>
          </cell>
          <cell r="K306">
            <v>0</v>
          </cell>
          <cell r="L306">
            <v>0</v>
          </cell>
          <cell r="M306">
            <v>0</v>
          </cell>
          <cell r="N306">
            <v>0.6</v>
          </cell>
          <cell r="O306">
            <v>0.8</v>
          </cell>
          <cell r="P306">
            <v>1.05</v>
          </cell>
          <cell r="Q306" t="str">
            <v>INTERIOR</v>
          </cell>
          <cell r="R306">
            <v>5</v>
          </cell>
          <cell r="S306">
            <v>9</v>
          </cell>
          <cell r="T306" t="str">
            <v>Ciudad principal</v>
          </cell>
          <cell r="U306" t="str">
            <v>Entry Mono Printers</v>
          </cell>
          <cell r="V306" t="str">
            <v>XEROX MEXICANA SA DE CV / XEROX MEXICANA</v>
          </cell>
          <cell r="W306" t="str">
            <v>CHIHUAHUA</v>
          </cell>
          <cell r="X306">
            <v>2019</v>
          </cell>
          <cell r="Y306" t="str">
            <v>Qtr 2</v>
          </cell>
          <cell r="Z306" t="str">
            <v>April</v>
          </cell>
          <cell r="AA306">
            <v>11</v>
          </cell>
          <cell r="AB306">
            <v>271</v>
          </cell>
          <cell r="AC306">
            <v>1.05</v>
          </cell>
          <cell r="AD306">
            <v>0</v>
          </cell>
          <cell r="AE306">
            <v>750.75</v>
          </cell>
        </row>
        <row r="307">
          <cell r="A307" t="str">
            <v>0D6X464217</v>
          </cell>
          <cell r="B307">
            <v>2019</v>
          </cell>
          <cell r="C307" t="str">
            <v>Qtr 2</v>
          </cell>
          <cell r="D307" t="str">
            <v>April</v>
          </cell>
          <cell r="E307">
            <v>8</v>
          </cell>
          <cell r="F307" t="str">
            <v>CORRECTIVO</v>
          </cell>
          <cell r="G307">
            <v>2.25</v>
          </cell>
          <cell r="H307" t="str">
            <v>Entry Mono Printers</v>
          </cell>
          <cell r="I307">
            <v>468</v>
          </cell>
          <cell r="J307">
            <v>715</v>
          </cell>
          <cell r="K307">
            <v>0</v>
          </cell>
          <cell r="L307">
            <v>0</v>
          </cell>
          <cell r="M307">
            <v>0</v>
          </cell>
          <cell r="N307">
            <v>0.6</v>
          </cell>
          <cell r="O307">
            <v>0.8</v>
          </cell>
          <cell r="P307">
            <v>1.05</v>
          </cell>
          <cell r="Q307" t="str">
            <v>INTERIOR</v>
          </cell>
          <cell r="R307">
            <v>5</v>
          </cell>
          <cell r="S307">
            <v>9</v>
          </cell>
          <cell r="T307" t="str">
            <v>Ciudad principal</v>
          </cell>
          <cell r="U307" t="str">
            <v>Entry Mono Printers</v>
          </cell>
          <cell r="V307" t="str">
            <v>XEROX MEXICANA SA DE CV / XEROX MEXICANA</v>
          </cell>
          <cell r="W307" t="str">
            <v>ESTADO DE MEXICO</v>
          </cell>
          <cell r="X307">
            <v>2019</v>
          </cell>
          <cell r="Y307" t="str">
            <v>Qtr 2</v>
          </cell>
          <cell r="Z307" t="str">
            <v>April</v>
          </cell>
          <cell r="AA307">
            <v>11</v>
          </cell>
          <cell r="AB307">
            <v>196</v>
          </cell>
          <cell r="AC307">
            <v>1.05</v>
          </cell>
          <cell r="AD307">
            <v>0.45</v>
          </cell>
          <cell r="AE307">
            <v>750.75</v>
          </cell>
        </row>
        <row r="308">
          <cell r="A308" t="str">
            <v>0E1B972284</v>
          </cell>
          <cell r="B308">
            <v>2019</v>
          </cell>
          <cell r="C308" t="str">
            <v>Qtr 2</v>
          </cell>
          <cell r="D308" t="str">
            <v>April</v>
          </cell>
          <cell r="E308">
            <v>8</v>
          </cell>
          <cell r="F308" t="str">
            <v>CORRECTIVO</v>
          </cell>
          <cell r="G308">
            <v>2.0333329999999998</v>
          </cell>
          <cell r="H308" t="str">
            <v>Color Laser Printers</v>
          </cell>
          <cell r="I308">
            <v>468</v>
          </cell>
          <cell r="J308">
            <v>715</v>
          </cell>
          <cell r="K308">
            <v>0</v>
          </cell>
          <cell r="L308">
            <v>0</v>
          </cell>
          <cell r="M308">
            <v>0</v>
          </cell>
          <cell r="N308">
            <v>0.6</v>
          </cell>
          <cell r="O308">
            <v>0.8</v>
          </cell>
          <cell r="P308">
            <v>1.05</v>
          </cell>
          <cell r="Q308" t="str">
            <v>INTERIOR</v>
          </cell>
          <cell r="R308">
            <v>5</v>
          </cell>
          <cell r="S308">
            <v>9</v>
          </cell>
          <cell r="T308" t="str">
            <v>Ciudad principal</v>
          </cell>
          <cell r="U308" t="str">
            <v>A4 Mono MFPs</v>
          </cell>
          <cell r="V308" t="str">
            <v>XEROX MEXICANA SA DE CV / XEROX MEXICANA</v>
          </cell>
          <cell r="W308" t="str">
            <v>JALISCO</v>
          </cell>
          <cell r="X308">
            <v>2019</v>
          </cell>
          <cell r="Y308" t="str">
            <v>Qtr 2</v>
          </cell>
          <cell r="Z308" t="str">
            <v>April</v>
          </cell>
          <cell r="AA308">
            <v>8</v>
          </cell>
          <cell r="AB308">
            <v>301</v>
          </cell>
          <cell r="AC308">
            <v>1.05</v>
          </cell>
          <cell r="AD308">
            <v>0.40666659999999999</v>
          </cell>
          <cell r="AE308">
            <v>750.75</v>
          </cell>
        </row>
        <row r="309">
          <cell r="A309" t="str">
            <v>0E2B106653</v>
          </cell>
          <cell r="B309">
            <v>2019</v>
          </cell>
          <cell r="C309" t="str">
            <v>Qtr 2</v>
          </cell>
          <cell r="D309" t="str">
            <v>April</v>
          </cell>
          <cell r="E309">
            <v>8</v>
          </cell>
          <cell r="F309" t="str">
            <v>CORRECTIVO</v>
          </cell>
          <cell r="G309">
            <v>1.6333329999999999</v>
          </cell>
          <cell r="H309" t="str">
            <v>Entry Production Color Low/Mid</v>
          </cell>
          <cell r="I309">
            <v>803</v>
          </cell>
          <cell r="J309">
            <v>1573</v>
          </cell>
          <cell r="K309">
            <v>0.2</v>
          </cell>
          <cell r="L309">
            <v>0.6</v>
          </cell>
          <cell r="M309">
            <v>0.8</v>
          </cell>
          <cell r="N309">
            <v>1.05</v>
          </cell>
          <cell r="O309">
            <v>1.1000000000000001</v>
          </cell>
          <cell r="P309">
            <v>1.1499999999999999</v>
          </cell>
          <cell r="Q309" t="str">
            <v>INTERIOR</v>
          </cell>
          <cell r="R309">
            <v>4</v>
          </cell>
          <cell r="S309">
            <v>6</v>
          </cell>
          <cell r="T309" t="str">
            <v>Ciudad principal</v>
          </cell>
          <cell r="U309" t="str">
            <v>Entry Production Color Low/Mid</v>
          </cell>
          <cell r="V309" t="str">
            <v>XEROX MEXICANA SA DE CV / XEROX MEXICANA</v>
          </cell>
          <cell r="W309" t="str">
            <v>NUEVO LEON</v>
          </cell>
          <cell r="X309">
            <v>2019</v>
          </cell>
          <cell r="Y309" t="str">
            <v>Qtr 2</v>
          </cell>
          <cell r="Z309" t="str">
            <v>April</v>
          </cell>
          <cell r="AA309">
            <v>8</v>
          </cell>
          <cell r="AB309">
            <v>236</v>
          </cell>
          <cell r="AC309">
            <v>1.1499999999999999</v>
          </cell>
          <cell r="AD309">
            <v>0.40833324999999998</v>
          </cell>
          <cell r="AE309">
            <v>1808.95</v>
          </cell>
        </row>
        <row r="310">
          <cell r="A310" t="str">
            <v>0E2B646574</v>
          </cell>
          <cell r="B310">
            <v>2019</v>
          </cell>
          <cell r="C310" t="str">
            <v>Qtr 2</v>
          </cell>
          <cell r="D310" t="str">
            <v>April</v>
          </cell>
          <cell r="E310">
            <v>8</v>
          </cell>
          <cell r="F310" t="str">
            <v>CORRECTIVO</v>
          </cell>
          <cell r="G310">
            <v>3.5</v>
          </cell>
          <cell r="H310" t="str">
            <v>Entry Production Color Low/Mid</v>
          </cell>
          <cell r="I310">
            <v>803</v>
          </cell>
          <cell r="J310">
            <v>1573</v>
          </cell>
          <cell r="K310">
            <v>0.2</v>
          </cell>
          <cell r="L310">
            <v>0.6</v>
          </cell>
          <cell r="M310">
            <v>0.8</v>
          </cell>
          <cell r="N310">
            <v>1.05</v>
          </cell>
          <cell r="O310">
            <v>1.1000000000000001</v>
          </cell>
          <cell r="P310">
            <v>1.1499999999999999</v>
          </cell>
          <cell r="Q310" t="str">
            <v>INTERIOR</v>
          </cell>
          <cell r="R310">
            <v>4</v>
          </cell>
          <cell r="S310">
            <v>6</v>
          </cell>
          <cell r="T310" t="str">
            <v>Ciudad principal</v>
          </cell>
          <cell r="U310" t="str">
            <v>Entry Production Color Low/Mid</v>
          </cell>
          <cell r="V310" t="str">
            <v>XEROX MEXICANA SA DE CV / XEROX MEXICANA</v>
          </cell>
          <cell r="W310" t="str">
            <v>SAN LUIS POTOSI</v>
          </cell>
          <cell r="X310">
            <v>2019</v>
          </cell>
          <cell r="Y310" t="str">
            <v>Qtr 2</v>
          </cell>
          <cell r="Z310" t="str">
            <v>April</v>
          </cell>
          <cell r="AA310">
            <v>12</v>
          </cell>
          <cell r="AB310">
            <v>41</v>
          </cell>
          <cell r="AC310">
            <v>1.1000000000000001</v>
          </cell>
          <cell r="AD310">
            <v>0.875</v>
          </cell>
          <cell r="AE310">
            <v>1730.3</v>
          </cell>
        </row>
        <row r="311">
          <cell r="A311" t="str">
            <v>0E2B651413</v>
          </cell>
          <cell r="B311">
            <v>2019</v>
          </cell>
          <cell r="C311" t="str">
            <v>Qtr 2</v>
          </cell>
          <cell r="D311" t="str">
            <v>April</v>
          </cell>
          <cell r="E311">
            <v>8</v>
          </cell>
          <cell r="F311" t="str">
            <v>CORRECTIVO</v>
          </cell>
          <cell r="G311">
            <v>2.2999999999999998</v>
          </cell>
          <cell r="H311" t="str">
            <v>Entry Production Color Low/Mid</v>
          </cell>
          <cell r="I311">
            <v>803</v>
          </cell>
          <cell r="J311">
            <v>1573</v>
          </cell>
          <cell r="K311">
            <v>0.2</v>
          </cell>
          <cell r="L311">
            <v>0.6</v>
          </cell>
          <cell r="M311">
            <v>0.8</v>
          </cell>
          <cell r="N311">
            <v>1.05</v>
          </cell>
          <cell r="O311">
            <v>1.1000000000000001</v>
          </cell>
          <cell r="P311">
            <v>1.1499999999999999</v>
          </cell>
          <cell r="Q311" t="str">
            <v>INTERIOR</v>
          </cell>
          <cell r="R311">
            <v>4</v>
          </cell>
          <cell r="S311">
            <v>6</v>
          </cell>
          <cell r="T311" t="str">
            <v>Ciudad principal</v>
          </cell>
          <cell r="U311" t="str">
            <v>Entry Production Color Low/Mid</v>
          </cell>
          <cell r="V311" t="str">
            <v>XEROX MEXICANA SA DE CV / XEROX MEXICANA</v>
          </cell>
          <cell r="W311" t="str">
            <v>MICHOACAN</v>
          </cell>
          <cell r="X311">
            <v>2019</v>
          </cell>
          <cell r="Y311" t="str">
            <v>Qtr 2</v>
          </cell>
          <cell r="Z311" t="str">
            <v>April</v>
          </cell>
          <cell r="AA311">
            <v>10</v>
          </cell>
          <cell r="AB311">
            <v>165</v>
          </cell>
          <cell r="AC311">
            <v>1.1499999999999999</v>
          </cell>
          <cell r="AD311">
            <v>0.57499999999999996</v>
          </cell>
          <cell r="AE311">
            <v>1808.95</v>
          </cell>
        </row>
        <row r="312">
          <cell r="A312" t="str">
            <v>0E2B656981</v>
          </cell>
          <cell r="B312">
            <v>2019</v>
          </cell>
          <cell r="C312" t="str">
            <v>Qtr 2</v>
          </cell>
          <cell r="D312" t="str">
            <v>April</v>
          </cell>
          <cell r="E312">
            <v>8</v>
          </cell>
          <cell r="F312" t="str">
            <v>MANTENIMIENTO PREVENTIVO</v>
          </cell>
          <cell r="G312">
            <v>0</v>
          </cell>
          <cell r="H312" t="str">
            <v>Entry Production Color Low/Mid</v>
          </cell>
          <cell r="I312">
            <v>803</v>
          </cell>
          <cell r="J312">
            <v>1573</v>
          </cell>
          <cell r="K312">
            <v>0.2</v>
          </cell>
          <cell r="L312">
            <v>0.6</v>
          </cell>
          <cell r="M312">
            <v>0.8</v>
          </cell>
          <cell r="N312">
            <v>1.05</v>
          </cell>
          <cell r="O312">
            <v>1.1000000000000001</v>
          </cell>
          <cell r="P312">
            <v>1.1499999999999999</v>
          </cell>
          <cell r="Q312" t="str">
            <v>INTERIOR</v>
          </cell>
          <cell r="R312">
            <v>4</v>
          </cell>
          <cell r="S312">
            <v>6</v>
          </cell>
          <cell r="T312" t="str">
            <v>Ciudad principal</v>
          </cell>
          <cell r="U312" t="str">
            <v>Entry Production Color Low/Mid</v>
          </cell>
          <cell r="V312" t="str">
            <v>XEROX MEXICANA SA DE CV / XEROX MEXICANA</v>
          </cell>
          <cell r="W312" t="str">
            <v>TAMAULIPAS</v>
          </cell>
          <cell r="X312">
            <v>2019</v>
          </cell>
          <cell r="Y312" t="str">
            <v>Qtr 2</v>
          </cell>
          <cell r="Z312" t="str">
            <v>April</v>
          </cell>
          <cell r="AA312">
            <v>8</v>
          </cell>
          <cell r="AB312">
            <v>5</v>
          </cell>
          <cell r="AC312">
            <v>0</v>
          </cell>
          <cell r="AD312">
            <v>0</v>
          </cell>
          <cell r="AE312">
            <v>1573</v>
          </cell>
        </row>
        <row r="313">
          <cell r="A313" t="str">
            <v>0E2B666074</v>
          </cell>
          <cell r="B313">
            <v>2019</v>
          </cell>
          <cell r="C313" t="str">
            <v>Qtr 2</v>
          </cell>
          <cell r="D313" t="str">
            <v>April</v>
          </cell>
          <cell r="E313">
            <v>8</v>
          </cell>
          <cell r="F313" t="str">
            <v>CORRECTIVO</v>
          </cell>
          <cell r="G313">
            <v>0</v>
          </cell>
          <cell r="H313" t="str">
            <v>Entry Production Color Low/Mid</v>
          </cell>
          <cell r="I313">
            <v>803</v>
          </cell>
          <cell r="J313">
            <v>1573</v>
          </cell>
          <cell r="K313">
            <v>0.2</v>
          </cell>
          <cell r="L313">
            <v>0.6</v>
          </cell>
          <cell r="M313">
            <v>0.8</v>
          </cell>
          <cell r="N313">
            <v>1.05</v>
          </cell>
          <cell r="O313">
            <v>1.1000000000000001</v>
          </cell>
          <cell r="P313">
            <v>1.1499999999999999</v>
          </cell>
          <cell r="Q313" t="str">
            <v>INTERIOR</v>
          </cell>
          <cell r="R313">
            <v>4</v>
          </cell>
          <cell r="S313">
            <v>6</v>
          </cell>
          <cell r="T313" t="str">
            <v>Ciudad principal</v>
          </cell>
          <cell r="U313" t="str">
            <v>Entry Production Color Low/Mid</v>
          </cell>
          <cell r="V313" t="str">
            <v>XEROX MEXICANA SA DE CV / XEROX MEXICANA</v>
          </cell>
          <cell r="W313" t="str">
            <v>CHIHUAHUA</v>
          </cell>
          <cell r="X313">
            <v>2019</v>
          </cell>
          <cell r="Y313" t="str">
            <v>Qtr 2</v>
          </cell>
          <cell r="Z313" t="str">
            <v>April</v>
          </cell>
          <cell r="AA313">
            <v>16</v>
          </cell>
          <cell r="AB313">
            <v>14</v>
          </cell>
          <cell r="AC313">
            <v>0.8</v>
          </cell>
          <cell r="AD313">
            <v>0</v>
          </cell>
          <cell r="AE313">
            <v>1258.4000000000001</v>
          </cell>
        </row>
        <row r="314">
          <cell r="A314" t="str">
            <v>0EX7382605</v>
          </cell>
          <cell r="B314">
            <v>2019</v>
          </cell>
          <cell r="C314" t="str">
            <v>Qtr 2</v>
          </cell>
          <cell r="D314" t="str">
            <v>April</v>
          </cell>
          <cell r="E314">
            <v>8</v>
          </cell>
          <cell r="F314" t="str">
            <v>CORRECTIVO</v>
          </cell>
          <cell r="G314">
            <v>0</v>
          </cell>
          <cell r="H314" t="str">
            <v>Office Digital</v>
          </cell>
          <cell r="I314">
            <v>655</v>
          </cell>
          <cell r="J314">
            <v>1365</v>
          </cell>
          <cell r="K314">
            <v>0</v>
          </cell>
          <cell r="L314">
            <v>0</v>
          </cell>
          <cell r="M314">
            <v>0.6</v>
          </cell>
          <cell r="N314">
            <v>0.8</v>
          </cell>
          <cell r="O314">
            <v>1.05</v>
          </cell>
          <cell r="P314">
            <v>1.1000000000000001</v>
          </cell>
          <cell r="Q314" t="str">
            <v>INTERIOR</v>
          </cell>
          <cell r="R314">
            <v>5</v>
          </cell>
          <cell r="S314">
            <v>9</v>
          </cell>
          <cell r="T314" t="str">
            <v>Ciudad principal</v>
          </cell>
          <cell r="U314" t="str">
            <v>Departmental Digital</v>
          </cell>
          <cell r="V314" t="str">
            <v>XEROX MEXICANA SA DE CV / XEROX MEXICANA</v>
          </cell>
          <cell r="W314" t="str">
            <v>CHIHUAHUA</v>
          </cell>
          <cell r="X314">
            <v>2019</v>
          </cell>
          <cell r="Y314" t="str">
            <v>Qtr 2</v>
          </cell>
          <cell r="Z314" t="str">
            <v>April</v>
          </cell>
          <cell r="AA314">
            <v>9</v>
          </cell>
          <cell r="AB314">
            <v>10</v>
          </cell>
          <cell r="AC314">
            <v>0.6</v>
          </cell>
          <cell r="AD314">
            <v>0</v>
          </cell>
          <cell r="AE314">
            <v>819</v>
          </cell>
        </row>
        <row r="315">
          <cell r="A315" t="str">
            <v>0EX9282798</v>
          </cell>
          <cell r="B315">
            <v>2019</v>
          </cell>
          <cell r="C315" t="str">
            <v>Qtr 2</v>
          </cell>
          <cell r="D315" t="str">
            <v>April</v>
          </cell>
          <cell r="E315">
            <v>8</v>
          </cell>
          <cell r="F315" t="str">
            <v>CORRECTIVO</v>
          </cell>
          <cell r="G315">
            <v>3.75</v>
          </cell>
          <cell r="H315" t="str">
            <v>Departmental Digital</v>
          </cell>
          <cell r="I315">
            <v>655</v>
          </cell>
          <cell r="J315">
            <v>1365</v>
          </cell>
          <cell r="K315">
            <v>0</v>
          </cell>
          <cell r="L315">
            <v>0</v>
          </cell>
          <cell r="M315">
            <v>0.6</v>
          </cell>
          <cell r="N315">
            <v>0.8</v>
          </cell>
          <cell r="O315">
            <v>1.05</v>
          </cell>
          <cell r="P315">
            <v>1.1000000000000001</v>
          </cell>
          <cell r="Q315" t="str">
            <v>INTERIOR</v>
          </cell>
          <cell r="R315">
            <v>5</v>
          </cell>
          <cell r="S315">
            <v>9</v>
          </cell>
          <cell r="T315" t="str">
            <v>Ciudad principal</v>
          </cell>
          <cell r="U315" t="str">
            <v>Departmental Digital</v>
          </cell>
          <cell r="V315" t="str">
            <v>XEROX MEXICANA SA DE CV / XEROX MEXICANA</v>
          </cell>
          <cell r="W315" t="str">
            <v>ESTADO DE MEXICO</v>
          </cell>
          <cell r="X315">
            <v>2019</v>
          </cell>
          <cell r="Y315" t="str">
            <v>Qtr 2</v>
          </cell>
          <cell r="Z315" t="str">
            <v>April</v>
          </cell>
          <cell r="AA315">
            <v>12</v>
          </cell>
          <cell r="AB315">
            <v>24</v>
          </cell>
          <cell r="AC315">
            <v>0.8</v>
          </cell>
          <cell r="AD315">
            <v>0.75</v>
          </cell>
          <cell r="AE315">
            <v>1092</v>
          </cell>
        </row>
        <row r="316">
          <cell r="A316" t="str">
            <v>0EX9284764</v>
          </cell>
          <cell r="B316">
            <v>2019</v>
          </cell>
          <cell r="C316" t="str">
            <v>Qtr 2</v>
          </cell>
          <cell r="D316" t="str">
            <v>April</v>
          </cell>
          <cell r="E316">
            <v>8</v>
          </cell>
          <cell r="F316" t="str">
            <v>MANTENIMIENTO PREVENTIVO</v>
          </cell>
          <cell r="G316">
            <v>0</v>
          </cell>
          <cell r="H316" t="str">
            <v>Departmental Digital</v>
          </cell>
          <cell r="I316">
            <v>655</v>
          </cell>
          <cell r="J316">
            <v>1365</v>
          </cell>
          <cell r="K316">
            <v>0</v>
          </cell>
          <cell r="L316">
            <v>0</v>
          </cell>
          <cell r="M316">
            <v>0.6</v>
          </cell>
          <cell r="N316">
            <v>0.8</v>
          </cell>
          <cell r="O316">
            <v>1.05</v>
          </cell>
          <cell r="P316">
            <v>1.1000000000000001</v>
          </cell>
          <cell r="Q316" t="str">
            <v>INTERIOR</v>
          </cell>
          <cell r="R316">
            <v>5</v>
          </cell>
          <cell r="S316">
            <v>9</v>
          </cell>
          <cell r="T316" t="str">
            <v>Ciudad principal</v>
          </cell>
          <cell r="U316" t="str">
            <v>Departmental Digital</v>
          </cell>
          <cell r="V316" t="str">
            <v>XEROX MEXICANA SA DE CV / XEROX MEXICANA</v>
          </cell>
          <cell r="W316" t="str">
            <v>TAMAULIPAS</v>
          </cell>
          <cell r="X316">
            <v>2019</v>
          </cell>
          <cell r="Y316" t="str">
            <v>Qtr 2</v>
          </cell>
          <cell r="Z316" t="str">
            <v>April</v>
          </cell>
          <cell r="AA316">
            <v>8</v>
          </cell>
          <cell r="AB316">
            <v>19</v>
          </cell>
          <cell r="AC316">
            <v>0</v>
          </cell>
          <cell r="AD316">
            <v>0</v>
          </cell>
          <cell r="AE316">
            <v>1365</v>
          </cell>
        </row>
        <row r="317">
          <cell r="A317" t="str">
            <v>0EX9297593</v>
          </cell>
          <cell r="B317">
            <v>2019</v>
          </cell>
          <cell r="C317" t="str">
            <v>Qtr 2</v>
          </cell>
          <cell r="D317" t="str">
            <v>April</v>
          </cell>
          <cell r="E317">
            <v>8</v>
          </cell>
          <cell r="F317" t="str">
            <v>CORRECTIVO</v>
          </cell>
          <cell r="G317">
            <v>1.6</v>
          </cell>
          <cell r="H317" t="str">
            <v>Departmental Digital</v>
          </cell>
          <cell r="I317">
            <v>655</v>
          </cell>
          <cell r="J317">
            <v>1365</v>
          </cell>
          <cell r="K317">
            <v>0</v>
          </cell>
          <cell r="L317">
            <v>0</v>
          </cell>
          <cell r="M317">
            <v>0.6</v>
          </cell>
          <cell r="N317">
            <v>0.8</v>
          </cell>
          <cell r="O317">
            <v>1.05</v>
          </cell>
          <cell r="P317">
            <v>1.1000000000000001</v>
          </cell>
          <cell r="Q317" t="str">
            <v>INTERIOR</v>
          </cell>
          <cell r="R317">
            <v>5</v>
          </cell>
          <cell r="S317">
            <v>9</v>
          </cell>
          <cell r="T317" t="str">
            <v>Ciudad principal</v>
          </cell>
          <cell r="U317" t="str">
            <v>Departmental Digital</v>
          </cell>
          <cell r="V317" t="str">
            <v>XEROX MEXICANA SA DE CV / XEROX MEXICANA</v>
          </cell>
          <cell r="W317" t="str">
            <v>COAHUILA</v>
          </cell>
          <cell r="X317">
            <v>2019</v>
          </cell>
          <cell r="Y317" t="str">
            <v>Qtr 2</v>
          </cell>
          <cell r="Z317" t="str">
            <v>April</v>
          </cell>
          <cell r="AA317">
            <v>8</v>
          </cell>
          <cell r="AB317">
            <v>35</v>
          </cell>
          <cell r="AC317">
            <v>1.05</v>
          </cell>
          <cell r="AD317">
            <v>0.32</v>
          </cell>
          <cell r="AE317">
            <v>1433.25</v>
          </cell>
        </row>
        <row r="318">
          <cell r="A318" t="str">
            <v>0EX9664778</v>
          </cell>
          <cell r="B318">
            <v>2019</v>
          </cell>
          <cell r="C318" t="str">
            <v>Qtr 2</v>
          </cell>
          <cell r="D318" t="str">
            <v>April</v>
          </cell>
          <cell r="E318">
            <v>8</v>
          </cell>
          <cell r="F318" t="str">
            <v>CORRECTIVO</v>
          </cell>
          <cell r="G318">
            <v>4.1500000000000004</v>
          </cell>
          <cell r="H318" t="str">
            <v>Departmental Digital</v>
          </cell>
          <cell r="I318">
            <v>655</v>
          </cell>
          <cell r="J318">
            <v>1365</v>
          </cell>
          <cell r="K318">
            <v>0</v>
          </cell>
          <cell r="L318">
            <v>0</v>
          </cell>
          <cell r="M318">
            <v>0.6</v>
          </cell>
          <cell r="N318">
            <v>0.8</v>
          </cell>
          <cell r="O318">
            <v>1.05</v>
          </cell>
          <cell r="P318">
            <v>1.1000000000000001</v>
          </cell>
          <cell r="Q318" t="str">
            <v>INTERIOR</v>
          </cell>
          <cell r="R318">
            <v>5</v>
          </cell>
          <cell r="S318">
            <v>9</v>
          </cell>
          <cell r="T318" t="str">
            <v>Otras</v>
          </cell>
          <cell r="U318" t="str">
            <v>Departmental Digital</v>
          </cell>
          <cell r="V318" t="str">
            <v>XEROX MEXICANA SA DE CV / XEROX MEXICANA</v>
          </cell>
          <cell r="W318" t="str">
            <v>NUEVO LEON</v>
          </cell>
          <cell r="X318">
            <v>2019</v>
          </cell>
          <cell r="Y318" t="str">
            <v>Qtr 2</v>
          </cell>
          <cell r="Z318" t="str">
            <v>April</v>
          </cell>
          <cell r="AA318">
            <v>9</v>
          </cell>
          <cell r="AB318">
            <v>17</v>
          </cell>
          <cell r="AC318">
            <v>0.8</v>
          </cell>
          <cell r="AD318">
            <v>0.46111111111111103</v>
          </cell>
          <cell r="AE318">
            <v>1092</v>
          </cell>
        </row>
        <row r="319">
          <cell r="A319" t="str">
            <v>0KPA018838</v>
          </cell>
          <cell r="B319">
            <v>2019</v>
          </cell>
          <cell r="C319" t="str">
            <v>Qtr 2</v>
          </cell>
          <cell r="D319" t="str">
            <v>April</v>
          </cell>
          <cell r="E319">
            <v>8</v>
          </cell>
          <cell r="F319" t="str">
            <v>MANTENIMIENTO PREVENTIVO</v>
          </cell>
          <cell r="G319">
            <v>0</v>
          </cell>
          <cell r="H319" t="str">
            <v>Entry Mono Printers</v>
          </cell>
          <cell r="I319">
            <v>468</v>
          </cell>
          <cell r="J319">
            <v>715</v>
          </cell>
          <cell r="K319">
            <v>0</v>
          </cell>
          <cell r="L319">
            <v>0</v>
          </cell>
          <cell r="M319">
            <v>0</v>
          </cell>
          <cell r="N319">
            <v>0.6</v>
          </cell>
          <cell r="O319">
            <v>0.8</v>
          </cell>
          <cell r="P319">
            <v>1.05</v>
          </cell>
          <cell r="Q319" t="str">
            <v>INTERIOR</v>
          </cell>
          <cell r="R319">
            <v>5</v>
          </cell>
          <cell r="S319">
            <v>9</v>
          </cell>
          <cell r="T319" t="str">
            <v>Ciudad principal</v>
          </cell>
          <cell r="U319" t="str">
            <v>Departmental Digital</v>
          </cell>
          <cell r="V319" t="str">
            <v>XEROX MEXICANA SA DE CV / XEROX MEXICANA</v>
          </cell>
          <cell r="W319" t="str">
            <v>CHIHUAHUA</v>
          </cell>
          <cell r="X319">
            <v>2019</v>
          </cell>
          <cell r="Y319" t="str">
            <v>Qtr 2</v>
          </cell>
          <cell r="Z319" t="str">
            <v>April</v>
          </cell>
          <cell r="AA319">
            <v>10</v>
          </cell>
          <cell r="AB319">
            <v>14</v>
          </cell>
          <cell r="AC319">
            <v>0</v>
          </cell>
          <cell r="AD319">
            <v>0</v>
          </cell>
          <cell r="AE319">
            <v>715</v>
          </cell>
        </row>
        <row r="320">
          <cell r="A320" t="str">
            <v>0LX5822381</v>
          </cell>
          <cell r="B320">
            <v>2019</v>
          </cell>
          <cell r="C320" t="str">
            <v>Qtr 2</v>
          </cell>
          <cell r="D320" t="str">
            <v>April</v>
          </cell>
          <cell r="E320">
            <v>8</v>
          </cell>
          <cell r="F320" t="str">
            <v>CORRECTIVO</v>
          </cell>
          <cell r="G320">
            <v>3.3333340000000003E-2</v>
          </cell>
          <cell r="H320" t="str">
            <v>A3 Office Color Laser MFPs</v>
          </cell>
          <cell r="I320">
            <v>655</v>
          </cell>
          <cell r="J320">
            <v>1365</v>
          </cell>
          <cell r="K320">
            <v>0</v>
          </cell>
          <cell r="L320">
            <v>0</v>
          </cell>
          <cell r="M320">
            <v>0.6</v>
          </cell>
          <cell r="N320">
            <v>0.8</v>
          </cell>
          <cell r="O320">
            <v>1.05</v>
          </cell>
          <cell r="P320">
            <v>1.1000000000000001</v>
          </cell>
          <cell r="Q320" t="str">
            <v>INTERIOR</v>
          </cell>
          <cell r="R320">
            <v>5</v>
          </cell>
          <cell r="S320">
            <v>9</v>
          </cell>
          <cell r="T320" t="str">
            <v>Ciudad principal</v>
          </cell>
          <cell r="U320" t="str">
            <v>A3 Office Color Laser MFPs</v>
          </cell>
          <cell r="V320" t="str">
            <v>XEROX MEXICANA SA DE CV / XEROX MEXICANA</v>
          </cell>
          <cell r="W320" t="str">
            <v>CHIHUAHUA</v>
          </cell>
          <cell r="X320">
            <v>2019</v>
          </cell>
          <cell r="Y320" t="str">
            <v>Qtr 2</v>
          </cell>
          <cell r="Z320" t="str">
            <v>April</v>
          </cell>
          <cell r="AA320">
            <v>11</v>
          </cell>
          <cell r="AB320">
            <v>34</v>
          </cell>
          <cell r="AC320">
            <v>1.05</v>
          </cell>
          <cell r="AD320">
            <v>6.6666679999999997E-3</v>
          </cell>
          <cell r="AE320">
            <v>1433.25</v>
          </cell>
        </row>
        <row r="321">
          <cell r="A321" t="str">
            <v>0MX1205880</v>
          </cell>
          <cell r="B321">
            <v>2019</v>
          </cell>
          <cell r="C321" t="str">
            <v>Qtr 2</v>
          </cell>
          <cell r="D321" t="str">
            <v>April</v>
          </cell>
          <cell r="E321">
            <v>8</v>
          </cell>
          <cell r="F321" t="str">
            <v>CORRECTIVO</v>
          </cell>
          <cell r="G321">
            <v>0.28333330000000001</v>
          </cell>
          <cell r="I321" t="str">
            <v>NA</v>
          </cell>
          <cell r="J321" t="str">
            <v>NA</v>
          </cell>
          <cell r="K321" t="str">
            <v>NA</v>
          </cell>
          <cell r="L321" t="str">
            <v>NA</v>
          </cell>
          <cell r="M321" t="str">
            <v>NA</v>
          </cell>
          <cell r="N321" t="str">
            <v>NA</v>
          </cell>
          <cell r="O321" t="str">
            <v>NA</v>
          </cell>
          <cell r="P321" t="str">
            <v>NA</v>
          </cell>
          <cell r="R321" t="str">
            <v>NA</v>
          </cell>
          <cell r="S321" t="str">
            <v>NA</v>
          </cell>
          <cell r="U321" t="str">
            <v>A3 Office Color Laser MFPs</v>
          </cell>
          <cell r="V321" t="str">
            <v>XEROX MEXICANA SA DE CV / XEROX MEXICANA</v>
          </cell>
          <cell r="W321" t="str">
            <v>COAHUILA</v>
          </cell>
          <cell r="X321">
            <v>2019</v>
          </cell>
          <cell r="Y321" t="str">
            <v>Qtr 2</v>
          </cell>
          <cell r="Z321" t="str">
            <v>April</v>
          </cell>
          <cell r="AA321">
            <v>10</v>
          </cell>
          <cell r="AB321">
            <v>48</v>
          </cell>
          <cell r="AC321">
            <v>1.1000000000000001</v>
          </cell>
          <cell r="AD321">
            <v>0</v>
          </cell>
          <cell r="AE321">
            <v>1433.25</v>
          </cell>
        </row>
        <row r="322">
          <cell r="A322" t="str">
            <v>0MX4465117</v>
          </cell>
          <cell r="B322">
            <v>2019</v>
          </cell>
          <cell r="C322" t="str">
            <v>Qtr 2</v>
          </cell>
          <cell r="D322" t="str">
            <v>April</v>
          </cell>
          <cell r="E322">
            <v>8</v>
          </cell>
          <cell r="F322" t="str">
            <v>MANTENIMIENTO PREVENTIVO</v>
          </cell>
          <cell r="G322">
            <v>0</v>
          </cell>
          <cell r="H322" t="str">
            <v>A3 Office Color Laser MFPs</v>
          </cell>
          <cell r="I322">
            <v>655</v>
          </cell>
          <cell r="J322">
            <v>1365</v>
          </cell>
          <cell r="K322">
            <v>0</v>
          </cell>
          <cell r="L322">
            <v>0</v>
          </cell>
          <cell r="M322">
            <v>0.6</v>
          </cell>
          <cell r="N322">
            <v>0.8</v>
          </cell>
          <cell r="O322">
            <v>1.05</v>
          </cell>
          <cell r="P322">
            <v>1.1000000000000001</v>
          </cell>
          <cell r="Q322" t="str">
            <v>INTERIOR</v>
          </cell>
          <cell r="R322">
            <v>5</v>
          </cell>
          <cell r="S322">
            <v>9</v>
          </cell>
          <cell r="T322" t="str">
            <v>Ciudad principal</v>
          </cell>
          <cell r="U322" t="str">
            <v>A3 Office Color Laser MFPs</v>
          </cell>
          <cell r="V322" t="str">
            <v>XEROX MEXICANA SA DE CV / XEROX MEXICANA</v>
          </cell>
          <cell r="W322" t="str">
            <v>TAMAULIPAS</v>
          </cell>
          <cell r="X322">
            <v>2019</v>
          </cell>
          <cell r="Y322" t="str">
            <v>Qtr 2</v>
          </cell>
          <cell r="Z322" t="str">
            <v>April</v>
          </cell>
          <cell r="AA322">
            <v>9</v>
          </cell>
          <cell r="AB322">
            <v>5</v>
          </cell>
          <cell r="AC322">
            <v>0</v>
          </cell>
          <cell r="AD322">
            <v>0</v>
          </cell>
          <cell r="AE322">
            <v>1365</v>
          </cell>
        </row>
        <row r="323">
          <cell r="A323" t="str">
            <v>0MX4466349</v>
          </cell>
          <cell r="B323">
            <v>2019</v>
          </cell>
          <cell r="C323" t="str">
            <v>Qtr 2</v>
          </cell>
          <cell r="D323" t="str">
            <v>April</v>
          </cell>
          <cell r="E323">
            <v>8</v>
          </cell>
          <cell r="F323" t="str">
            <v>MANTENIMIENTO PREVENTIVO</v>
          </cell>
          <cell r="G323">
            <v>0</v>
          </cell>
          <cell r="H323" t="str">
            <v>A3 Office Color Laser MFPs</v>
          </cell>
          <cell r="I323">
            <v>655</v>
          </cell>
          <cell r="J323">
            <v>1365</v>
          </cell>
          <cell r="K323">
            <v>0</v>
          </cell>
          <cell r="L323">
            <v>0</v>
          </cell>
          <cell r="M323">
            <v>0.6</v>
          </cell>
          <cell r="N323">
            <v>0.8</v>
          </cell>
          <cell r="O323">
            <v>1.05</v>
          </cell>
          <cell r="P323">
            <v>1.1000000000000001</v>
          </cell>
          <cell r="Q323" t="str">
            <v>INTERIOR</v>
          </cell>
          <cell r="R323">
            <v>5</v>
          </cell>
          <cell r="S323">
            <v>9</v>
          </cell>
          <cell r="T323" t="str">
            <v>Otras</v>
          </cell>
          <cell r="U323" t="str">
            <v>A3 Office Color Laser MFPs</v>
          </cell>
          <cell r="V323" t="str">
            <v>XEROX MEXICANA SA DE CV / XEROX MEXICANA</v>
          </cell>
          <cell r="W323" t="str">
            <v>COAHUILA</v>
          </cell>
          <cell r="X323">
            <v>2019</v>
          </cell>
          <cell r="Y323" t="str">
            <v>Qtr 2</v>
          </cell>
          <cell r="Z323" t="str">
            <v>April</v>
          </cell>
          <cell r="AA323">
            <v>9</v>
          </cell>
          <cell r="AB323">
            <v>19</v>
          </cell>
          <cell r="AC323">
            <v>0</v>
          </cell>
          <cell r="AD323">
            <v>0</v>
          </cell>
          <cell r="AE323">
            <v>1365</v>
          </cell>
        </row>
        <row r="324">
          <cell r="A324" t="str">
            <v>0MX4777373</v>
          </cell>
          <cell r="B324">
            <v>2019</v>
          </cell>
          <cell r="C324" t="str">
            <v>Qtr 2</v>
          </cell>
          <cell r="D324" t="str">
            <v>April</v>
          </cell>
          <cell r="E324">
            <v>8</v>
          </cell>
          <cell r="F324" t="str">
            <v>CORRECTIVO</v>
          </cell>
          <cell r="G324">
            <v>0.76666670000000003</v>
          </cell>
          <cell r="H324" t="str">
            <v>A3 Office Color Laser MFPs</v>
          </cell>
          <cell r="I324">
            <v>655</v>
          </cell>
          <cell r="J324">
            <v>1365</v>
          </cell>
          <cell r="K324">
            <v>0</v>
          </cell>
          <cell r="L324">
            <v>0</v>
          </cell>
          <cell r="M324">
            <v>0.6</v>
          </cell>
          <cell r="N324">
            <v>0.8</v>
          </cell>
          <cell r="O324">
            <v>1.05</v>
          </cell>
          <cell r="P324">
            <v>1.1000000000000001</v>
          </cell>
          <cell r="Q324" t="str">
            <v>INTERIOR</v>
          </cell>
          <cell r="R324">
            <v>5</v>
          </cell>
          <cell r="S324">
            <v>9</v>
          </cell>
          <cell r="T324" t="str">
            <v>Ciudad principal</v>
          </cell>
          <cell r="U324" t="str">
            <v>A3 Office Color Laser MFPs</v>
          </cell>
          <cell r="V324" t="str">
            <v>XEROX MEXICANA SA DE CV / XEROX MEXICANA</v>
          </cell>
          <cell r="W324" t="str">
            <v>CHIHUAHUA</v>
          </cell>
          <cell r="X324">
            <v>2019</v>
          </cell>
          <cell r="Y324" t="str">
            <v>Qtr 2</v>
          </cell>
          <cell r="Z324" t="str">
            <v>April</v>
          </cell>
          <cell r="AA324">
            <v>9</v>
          </cell>
          <cell r="AB324">
            <v>171</v>
          </cell>
          <cell r="AC324">
            <v>1.1000000000000001</v>
          </cell>
          <cell r="AD324">
            <v>0.15333334000000001</v>
          </cell>
          <cell r="AE324">
            <v>1501.5</v>
          </cell>
        </row>
        <row r="325">
          <cell r="A325" t="str">
            <v>0PW4112031</v>
          </cell>
          <cell r="B325">
            <v>2019</v>
          </cell>
          <cell r="C325" t="str">
            <v>Qtr 2</v>
          </cell>
          <cell r="D325" t="str">
            <v>April</v>
          </cell>
          <cell r="E325">
            <v>8</v>
          </cell>
          <cell r="F325" t="str">
            <v>CORRECTIVO</v>
          </cell>
          <cell r="G325">
            <v>1.5333330000000001</v>
          </cell>
          <cell r="H325" t="str">
            <v>WF Mono Systems and Legacy Color</v>
          </cell>
          <cell r="I325">
            <v>803</v>
          </cell>
          <cell r="J325">
            <v>1573</v>
          </cell>
          <cell r="K325">
            <v>0.2</v>
          </cell>
          <cell r="L325">
            <v>0.6</v>
          </cell>
          <cell r="M325">
            <v>0.8</v>
          </cell>
          <cell r="N325">
            <v>1.05</v>
          </cell>
          <cell r="O325">
            <v>1.1000000000000001</v>
          </cell>
          <cell r="P325">
            <v>1.1499999999999999</v>
          </cell>
          <cell r="Q325" t="str">
            <v>INTERIOR</v>
          </cell>
          <cell r="R325">
            <v>4</v>
          </cell>
          <cell r="S325">
            <v>6</v>
          </cell>
          <cell r="T325" t="str">
            <v>Ciudad principal</v>
          </cell>
          <cell r="U325" t="str">
            <v>WF Mono Systems and Legacy Color</v>
          </cell>
          <cell r="V325" t="str">
            <v>XEROX MEXICANA SA DE CV / XEROX MEXICANA</v>
          </cell>
          <cell r="W325" t="str">
            <v>ESTADO DE MEXICO</v>
          </cell>
          <cell r="X325">
            <v>2019</v>
          </cell>
          <cell r="Y325" t="str">
            <v>Qtr 2</v>
          </cell>
          <cell r="Z325" t="str">
            <v>April</v>
          </cell>
          <cell r="AA325">
            <v>9</v>
          </cell>
          <cell r="AB325">
            <v>18</v>
          </cell>
          <cell r="AC325">
            <v>1.05</v>
          </cell>
          <cell r="AD325">
            <v>0.38333325000000001</v>
          </cell>
          <cell r="AE325">
            <v>1651.65</v>
          </cell>
        </row>
        <row r="326">
          <cell r="A326" t="str">
            <v>0PW4152292</v>
          </cell>
          <cell r="B326">
            <v>2019</v>
          </cell>
          <cell r="C326" t="str">
            <v>Qtr 2</v>
          </cell>
          <cell r="D326" t="str">
            <v>April</v>
          </cell>
          <cell r="E326">
            <v>8</v>
          </cell>
          <cell r="F326" t="str">
            <v>CORRECTIVO</v>
          </cell>
          <cell r="G326">
            <v>1.766667</v>
          </cell>
          <cell r="H326" t="str">
            <v>WF Mono Systems and Legacy Color</v>
          </cell>
          <cell r="I326">
            <v>803</v>
          </cell>
          <cell r="J326">
            <v>1573</v>
          </cell>
          <cell r="K326">
            <v>0.2</v>
          </cell>
          <cell r="L326">
            <v>0.6</v>
          </cell>
          <cell r="M326">
            <v>0.8</v>
          </cell>
          <cell r="N326">
            <v>1.05</v>
          </cell>
          <cell r="O326">
            <v>1.1000000000000001</v>
          </cell>
          <cell r="P326">
            <v>1.1499999999999999</v>
          </cell>
          <cell r="Q326" t="str">
            <v>INTERIOR</v>
          </cell>
          <cell r="R326">
            <v>4</v>
          </cell>
          <cell r="S326">
            <v>6</v>
          </cell>
          <cell r="T326" t="str">
            <v>Ciudad principal</v>
          </cell>
          <cell r="U326" t="str">
            <v>WF Mono Systems and Legacy Color</v>
          </cell>
          <cell r="V326" t="str">
            <v>XEROX MEXICANA SA DE CV / XEROX MEXICANA</v>
          </cell>
          <cell r="W326" t="str">
            <v>JALISCO</v>
          </cell>
          <cell r="X326">
            <v>2019</v>
          </cell>
          <cell r="Y326" t="str">
            <v>Qtr 2</v>
          </cell>
          <cell r="Z326" t="str">
            <v>April</v>
          </cell>
          <cell r="AA326">
            <v>10</v>
          </cell>
          <cell r="AB326">
            <v>3</v>
          </cell>
          <cell r="AC326">
            <v>0.6</v>
          </cell>
          <cell r="AD326">
            <v>0.44166675</v>
          </cell>
          <cell r="AE326">
            <v>943.8</v>
          </cell>
        </row>
        <row r="327">
          <cell r="A327" t="str">
            <v>0X76706478</v>
          </cell>
          <cell r="B327">
            <v>2019</v>
          </cell>
          <cell r="C327" t="str">
            <v>Qtr 2</v>
          </cell>
          <cell r="D327" t="str">
            <v>April</v>
          </cell>
          <cell r="E327">
            <v>8</v>
          </cell>
          <cell r="F327" t="str">
            <v>CORRECTIVO</v>
          </cell>
          <cell r="G327">
            <v>1.4</v>
          </cell>
          <cell r="H327" t="str">
            <v>Office Digital</v>
          </cell>
          <cell r="I327">
            <v>655</v>
          </cell>
          <cell r="J327">
            <v>1365</v>
          </cell>
          <cell r="K327">
            <v>0</v>
          </cell>
          <cell r="L327">
            <v>0</v>
          </cell>
          <cell r="M327">
            <v>0.6</v>
          </cell>
          <cell r="N327">
            <v>0.8</v>
          </cell>
          <cell r="O327">
            <v>1.05</v>
          </cell>
          <cell r="P327">
            <v>1.1000000000000001</v>
          </cell>
          <cell r="Q327" t="str">
            <v>INTERIOR</v>
          </cell>
          <cell r="R327">
            <v>5</v>
          </cell>
          <cell r="S327">
            <v>9</v>
          </cell>
          <cell r="T327" t="str">
            <v>Ciudad principal</v>
          </cell>
          <cell r="U327" t="str">
            <v>Departmental Digital</v>
          </cell>
          <cell r="V327" t="str">
            <v>XEROX MEXICANA SA DE CV / XEROX MEXICANA</v>
          </cell>
          <cell r="W327" t="str">
            <v>CHIHUAHUA</v>
          </cell>
          <cell r="X327">
            <v>2019</v>
          </cell>
          <cell r="Y327" t="str">
            <v>Qtr 2</v>
          </cell>
          <cell r="Z327" t="str">
            <v>April</v>
          </cell>
          <cell r="AA327">
            <v>8</v>
          </cell>
          <cell r="AB327">
            <v>229</v>
          </cell>
          <cell r="AC327">
            <v>1.1000000000000001</v>
          </cell>
          <cell r="AD327">
            <v>0.28000000000000003</v>
          </cell>
          <cell r="AE327">
            <v>1501.5</v>
          </cell>
        </row>
        <row r="328">
          <cell r="A328" t="str">
            <v>0XLT282436</v>
          </cell>
          <cell r="B328">
            <v>2019</v>
          </cell>
          <cell r="C328" t="str">
            <v>Qtr 2</v>
          </cell>
          <cell r="D328" t="str">
            <v>April</v>
          </cell>
          <cell r="E328">
            <v>8</v>
          </cell>
          <cell r="F328" t="str">
            <v>CORRECTIVO</v>
          </cell>
          <cell r="G328">
            <v>0</v>
          </cell>
          <cell r="H328" t="str">
            <v>Entry Mono Printers</v>
          </cell>
          <cell r="I328">
            <v>468</v>
          </cell>
          <cell r="J328">
            <v>715</v>
          </cell>
          <cell r="K328">
            <v>0</v>
          </cell>
          <cell r="L328">
            <v>0</v>
          </cell>
          <cell r="M328">
            <v>0</v>
          </cell>
          <cell r="N328">
            <v>0.6</v>
          </cell>
          <cell r="O328">
            <v>0.8</v>
          </cell>
          <cell r="P328">
            <v>1.05</v>
          </cell>
          <cell r="Q328" t="str">
            <v>INTERIOR</v>
          </cell>
          <cell r="R328">
            <v>5</v>
          </cell>
          <cell r="S328">
            <v>9</v>
          </cell>
          <cell r="T328" t="str">
            <v>Ciudad principal</v>
          </cell>
          <cell r="U328" t="str">
            <v>Entry Mono Printers</v>
          </cell>
          <cell r="V328" t="str">
            <v>XEROX MEXICANA SA DE CV / XEROX MEXICANA</v>
          </cell>
          <cell r="W328" t="str">
            <v>CHIHUAHUA</v>
          </cell>
          <cell r="X328">
            <v>2019</v>
          </cell>
          <cell r="Y328" t="str">
            <v>Qtr 2</v>
          </cell>
          <cell r="Z328" t="str">
            <v>April</v>
          </cell>
          <cell r="AA328">
            <v>9</v>
          </cell>
          <cell r="AB328">
            <v>294</v>
          </cell>
          <cell r="AC328">
            <v>1.05</v>
          </cell>
          <cell r="AD328">
            <v>0</v>
          </cell>
          <cell r="AE328">
            <v>750.75</v>
          </cell>
        </row>
        <row r="329">
          <cell r="A329" t="str">
            <v>0XPN396972</v>
          </cell>
          <cell r="B329">
            <v>2019</v>
          </cell>
          <cell r="C329" t="str">
            <v>Qtr 2</v>
          </cell>
          <cell r="D329" t="str">
            <v>April</v>
          </cell>
          <cell r="E329">
            <v>8</v>
          </cell>
          <cell r="F329" t="str">
            <v>CORRECTIVO</v>
          </cell>
          <cell r="G329">
            <v>1.1499999999999999</v>
          </cell>
          <cell r="H329" t="str">
            <v>Entry Production Color Low/Mid</v>
          </cell>
          <cell r="I329">
            <v>803</v>
          </cell>
          <cell r="J329">
            <v>1573</v>
          </cell>
          <cell r="K329">
            <v>0.2</v>
          </cell>
          <cell r="L329">
            <v>0.6</v>
          </cell>
          <cell r="M329">
            <v>0.8</v>
          </cell>
          <cell r="N329">
            <v>1.05</v>
          </cell>
          <cell r="O329">
            <v>1.1000000000000001</v>
          </cell>
          <cell r="P329">
            <v>1.1499999999999999</v>
          </cell>
          <cell r="Q329" t="str">
            <v>INTERIOR</v>
          </cell>
          <cell r="R329">
            <v>4</v>
          </cell>
          <cell r="S329">
            <v>6</v>
          </cell>
          <cell r="T329" t="str">
            <v>Ciudad principal</v>
          </cell>
          <cell r="U329" t="str">
            <v>Entry Production Color Low/Mid</v>
          </cell>
          <cell r="V329" t="str">
            <v>XEROX MEXICANA SA DE CV / XEROX MEXICANA</v>
          </cell>
          <cell r="W329" t="str">
            <v>JALISCO</v>
          </cell>
          <cell r="X329">
            <v>2019</v>
          </cell>
          <cell r="Y329" t="str">
            <v>Qtr 2</v>
          </cell>
          <cell r="Z329" t="str">
            <v>April</v>
          </cell>
          <cell r="AA329">
            <v>8</v>
          </cell>
          <cell r="AB329">
            <v>5</v>
          </cell>
          <cell r="AC329">
            <v>0.6</v>
          </cell>
          <cell r="AD329">
            <v>0.28749999999999998</v>
          </cell>
          <cell r="AE329">
            <v>943.8</v>
          </cell>
        </row>
        <row r="330">
          <cell r="A330" t="str">
            <v>0XPN399168</v>
          </cell>
          <cell r="B330">
            <v>2019</v>
          </cell>
          <cell r="C330" t="str">
            <v>Qtr 2</v>
          </cell>
          <cell r="D330" t="str">
            <v>April</v>
          </cell>
          <cell r="E330">
            <v>8</v>
          </cell>
          <cell r="F330" t="str">
            <v>CORRECTIVO</v>
          </cell>
          <cell r="G330">
            <v>0</v>
          </cell>
          <cell r="H330" t="str">
            <v>Entry Production Color Low/Mid</v>
          </cell>
          <cell r="I330">
            <v>803</v>
          </cell>
          <cell r="J330">
            <v>1573</v>
          </cell>
          <cell r="K330">
            <v>0.2</v>
          </cell>
          <cell r="L330">
            <v>0.6</v>
          </cell>
          <cell r="M330">
            <v>0.8</v>
          </cell>
          <cell r="N330">
            <v>1.05</v>
          </cell>
          <cell r="O330">
            <v>1.1000000000000001</v>
          </cell>
          <cell r="P330">
            <v>1.1499999999999999</v>
          </cell>
          <cell r="Q330" t="str">
            <v>INTERIOR</v>
          </cell>
          <cell r="R330">
            <v>4</v>
          </cell>
          <cell r="S330">
            <v>6</v>
          </cell>
          <cell r="T330" t="str">
            <v>Ciudad principal</v>
          </cell>
          <cell r="U330" t="str">
            <v>Entry Production Color Low/Mid</v>
          </cell>
          <cell r="V330" t="str">
            <v>XEROX MEXICANA SA DE CV / XEROX MEXICANA</v>
          </cell>
          <cell r="W330" t="str">
            <v>QUERETARO</v>
          </cell>
          <cell r="X330">
            <v>2019</v>
          </cell>
          <cell r="Y330" t="str">
            <v>Qtr 2</v>
          </cell>
          <cell r="Z330" t="str">
            <v>April</v>
          </cell>
          <cell r="AA330">
            <v>9</v>
          </cell>
          <cell r="AB330">
            <v>38</v>
          </cell>
          <cell r="AC330">
            <v>1.1000000000000001</v>
          </cell>
          <cell r="AD330">
            <v>0</v>
          </cell>
          <cell r="AE330">
            <v>1730.3</v>
          </cell>
        </row>
        <row r="331">
          <cell r="A331" t="str">
            <v>0XPN546541</v>
          </cell>
          <cell r="B331">
            <v>2019</v>
          </cell>
          <cell r="C331" t="str">
            <v>Qtr 2</v>
          </cell>
          <cell r="D331" t="str">
            <v>April</v>
          </cell>
          <cell r="E331">
            <v>8</v>
          </cell>
          <cell r="F331" t="str">
            <v>CORRECTIVO</v>
          </cell>
          <cell r="G331">
            <v>2.5499999999999998</v>
          </cell>
          <cell r="H331" t="str">
            <v>Entry Production Color Low/Mid</v>
          </cell>
          <cell r="I331">
            <v>803</v>
          </cell>
          <cell r="J331">
            <v>1573</v>
          </cell>
          <cell r="K331">
            <v>0.2</v>
          </cell>
          <cell r="L331">
            <v>0.6</v>
          </cell>
          <cell r="M331">
            <v>0.8</v>
          </cell>
          <cell r="N331">
            <v>1.05</v>
          </cell>
          <cell r="O331">
            <v>1.1000000000000001</v>
          </cell>
          <cell r="P331">
            <v>1.1499999999999999</v>
          </cell>
          <cell r="Q331" t="str">
            <v>INTERIOR</v>
          </cell>
          <cell r="R331">
            <v>4</v>
          </cell>
          <cell r="S331">
            <v>6</v>
          </cell>
          <cell r="T331" t="str">
            <v>Ciudad principal</v>
          </cell>
          <cell r="U331" t="str">
            <v>Entry Production Color Low/Mid</v>
          </cell>
          <cell r="V331" t="str">
            <v>XEROX MEXICANA SA DE CV / XEROX MEXICANA</v>
          </cell>
          <cell r="W331" t="str">
            <v>COAHUILA</v>
          </cell>
          <cell r="X331">
            <v>2019</v>
          </cell>
          <cell r="Y331" t="str">
            <v>Qtr 2</v>
          </cell>
          <cell r="Z331" t="str">
            <v>April</v>
          </cell>
          <cell r="AA331">
            <v>8</v>
          </cell>
          <cell r="AB331">
            <v>20</v>
          </cell>
          <cell r="AC331">
            <v>1.05</v>
          </cell>
          <cell r="AD331">
            <v>0.63749999999999996</v>
          </cell>
          <cell r="AE331">
            <v>1651.65</v>
          </cell>
        </row>
        <row r="332">
          <cell r="A332" t="str">
            <v>0Y2B003356</v>
          </cell>
          <cell r="B332">
            <v>2019</v>
          </cell>
          <cell r="C332" t="str">
            <v>Qtr 2</v>
          </cell>
          <cell r="D332" t="str">
            <v>April</v>
          </cell>
          <cell r="E332">
            <v>8</v>
          </cell>
          <cell r="F332" t="str">
            <v>CORRECTIVO</v>
          </cell>
          <cell r="G332">
            <v>1.4166669999999999</v>
          </cell>
          <cell r="H332" t="str">
            <v>Departmental Digital</v>
          </cell>
          <cell r="I332">
            <v>655</v>
          </cell>
          <cell r="J332">
            <v>1365</v>
          </cell>
          <cell r="K332">
            <v>0</v>
          </cell>
          <cell r="L332">
            <v>0</v>
          </cell>
          <cell r="M332">
            <v>0.6</v>
          </cell>
          <cell r="N332">
            <v>0.8</v>
          </cell>
          <cell r="O332">
            <v>1.05</v>
          </cell>
          <cell r="P332">
            <v>1.1000000000000001</v>
          </cell>
          <cell r="Q332" t="str">
            <v>INTERIOR</v>
          </cell>
          <cell r="R332">
            <v>5</v>
          </cell>
          <cell r="S332">
            <v>9</v>
          </cell>
          <cell r="T332" t="str">
            <v>Ciudad principal</v>
          </cell>
          <cell r="U332" t="str">
            <v>Departmental Digital</v>
          </cell>
          <cell r="V332" t="str">
            <v>XEROX MEXICANA SA DE CV / XEROX MEXICANA</v>
          </cell>
          <cell r="W332" t="str">
            <v>CHIHUAHUA</v>
          </cell>
          <cell r="X332">
            <v>2019</v>
          </cell>
          <cell r="Y332" t="str">
            <v>Qtr 2</v>
          </cell>
          <cell r="Z332" t="str">
            <v>April</v>
          </cell>
          <cell r="AA332">
            <v>8</v>
          </cell>
          <cell r="AB332">
            <v>46</v>
          </cell>
          <cell r="AC332">
            <v>1.05</v>
          </cell>
          <cell r="AD332">
            <v>0.28333340000000001</v>
          </cell>
          <cell r="AE332">
            <v>1433.25</v>
          </cell>
        </row>
        <row r="333">
          <cell r="A333" t="str">
            <v>02TX061945</v>
          </cell>
          <cell r="B333">
            <v>2019</v>
          </cell>
          <cell r="C333" t="str">
            <v>Qtr 2</v>
          </cell>
          <cell r="D333" t="str">
            <v>April</v>
          </cell>
          <cell r="E333">
            <v>9</v>
          </cell>
          <cell r="F333" t="str">
            <v>CORRECTIVO</v>
          </cell>
          <cell r="G333">
            <v>0</v>
          </cell>
          <cell r="H333" t="str">
            <v>A3 Office Color Laser MFPs</v>
          </cell>
          <cell r="I333">
            <v>655</v>
          </cell>
          <cell r="J333">
            <v>1365</v>
          </cell>
          <cell r="K333">
            <v>0</v>
          </cell>
          <cell r="L333">
            <v>0</v>
          </cell>
          <cell r="M333">
            <v>0.6</v>
          </cell>
          <cell r="N333">
            <v>0.8</v>
          </cell>
          <cell r="O333">
            <v>1.05</v>
          </cell>
          <cell r="P333">
            <v>1.1000000000000001</v>
          </cell>
          <cell r="Q333" t="str">
            <v>INTERIOR</v>
          </cell>
          <cell r="R333">
            <v>5</v>
          </cell>
          <cell r="S333">
            <v>9</v>
          </cell>
          <cell r="T333" t="str">
            <v>Ciudad principal</v>
          </cell>
          <cell r="U333" t="str">
            <v>A3 Office Color Laser MFPs</v>
          </cell>
          <cell r="V333" t="str">
            <v>XEROX MEXICANA SA DE CV / XEROX MEXICANA</v>
          </cell>
          <cell r="W333" t="str">
            <v>CHIHUAHUA</v>
          </cell>
          <cell r="X333">
            <v>2019</v>
          </cell>
          <cell r="Y333" t="str">
            <v>Qtr 2</v>
          </cell>
          <cell r="Z333" t="str">
            <v>April</v>
          </cell>
          <cell r="AA333">
            <v>10</v>
          </cell>
          <cell r="AB333">
            <v>148</v>
          </cell>
          <cell r="AC333">
            <v>1.1000000000000001</v>
          </cell>
          <cell r="AD333">
            <v>0</v>
          </cell>
          <cell r="AE333">
            <v>1501.5</v>
          </cell>
        </row>
        <row r="334">
          <cell r="A334" t="str">
            <v>03AG873545</v>
          </cell>
          <cell r="B334">
            <v>2019</v>
          </cell>
          <cell r="C334" t="str">
            <v>Qtr 2</v>
          </cell>
          <cell r="D334" t="str">
            <v>April</v>
          </cell>
          <cell r="E334">
            <v>9</v>
          </cell>
          <cell r="F334" t="str">
            <v>CORRECTIVO</v>
          </cell>
          <cell r="G334">
            <v>0.53333339999999996</v>
          </cell>
          <cell r="H334" t="str">
            <v>Departmental Digital</v>
          </cell>
          <cell r="I334">
            <v>655</v>
          </cell>
          <cell r="J334">
            <v>1365</v>
          </cell>
          <cell r="K334">
            <v>0</v>
          </cell>
          <cell r="L334">
            <v>0</v>
          </cell>
          <cell r="M334">
            <v>0.6</v>
          </cell>
          <cell r="N334">
            <v>0.8</v>
          </cell>
          <cell r="O334">
            <v>1.05</v>
          </cell>
          <cell r="P334">
            <v>1.1000000000000001</v>
          </cell>
          <cell r="Q334" t="str">
            <v>INTERIOR</v>
          </cell>
          <cell r="R334">
            <v>5</v>
          </cell>
          <cell r="S334">
            <v>9</v>
          </cell>
          <cell r="T334" t="str">
            <v>Ciudad principal</v>
          </cell>
          <cell r="U334" t="str">
            <v>Light Production Digital Business</v>
          </cell>
          <cell r="V334" t="str">
            <v>XEROX MEXICANA SA DE CV / XEROX MEXICANA</v>
          </cell>
          <cell r="W334" t="str">
            <v>QUERETARO</v>
          </cell>
          <cell r="X334">
            <v>2019</v>
          </cell>
          <cell r="Y334" t="str">
            <v>Qtr 2</v>
          </cell>
          <cell r="Z334" t="str">
            <v>April</v>
          </cell>
          <cell r="AA334">
            <v>11</v>
          </cell>
          <cell r="AB334">
            <v>82</v>
          </cell>
          <cell r="AC334">
            <v>1.1000000000000001</v>
          </cell>
          <cell r="AD334">
            <v>0.10666668</v>
          </cell>
          <cell r="AE334">
            <v>1501.5</v>
          </cell>
        </row>
        <row r="335">
          <cell r="A335" t="str">
            <v>09HB320584</v>
          </cell>
          <cell r="B335">
            <v>2019</v>
          </cell>
          <cell r="C335" t="str">
            <v>Qtr 2</v>
          </cell>
          <cell r="D335" t="str">
            <v>April</v>
          </cell>
          <cell r="E335">
            <v>9</v>
          </cell>
          <cell r="F335" t="str">
            <v>CORRECTIVO</v>
          </cell>
          <cell r="G335">
            <v>3.25</v>
          </cell>
          <cell r="I335" t="str">
            <v>NA</v>
          </cell>
          <cell r="J335" t="str">
            <v>NA</v>
          </cell>
          <cell r="K335" t="str">
            <v>NA</v>
          </cell>
          <cell r="L335" t="str">
            <v>NA</v>
          </cell>
          <cell r="M335" t="str">
            <v>NA</v>
          </cell>
          <cell r="N335" t="str">
            <v>NA</v>
          </cell>
          <cell r="O335" t="str">
            <v>NA</v>
          </cell>
          <cell r="P335" t="str">
            <v>NA</v>
          </cell>
          <cell r="R335" t="str">
            <v>NA</v>
          </cell>
          <cell r="S335" t="str">
            <v>NA</v>
          </cell>
          <cell r="U335" t="str">
            <v>A4 Mono MFPs</v>
          </cell>
          <cell r="V335" t="str">
            <v>XEROX MEXICANA SA DE CV / XEROX MEXICANA</v>
          </cell>
          <cell r="W335" t="str">
            <v>CHIHUAHUA</v>
          </cell>
          <cell r="X335">
            <v>2019</v>
          </cell>
          <cell r="Y335" t="str">
            <v>Qtr 2</v>
          </cell>
          <cell r="Z335" t="str">
            <v>April</v>
          </cell>
          <cell r="AA335">
            <v>10</v>
          </cell>
          <cell r="AB335">
            <v>0</v>
          </cell>
          <cell r="AC335">
            <v>1.1000000000000001</v>
          </cell>
          <cell r="AD335">
            <v>0</v>
          </cell>
          <cell r="AE335">
            <v>750.75</v>
          </cell>
        </row>
        <row r="336">
          <cell r="A336" t="str">
            <v>0A1H020675</v>
          </cell>
          <cell r="B336">
            <v>2019</v>
          </cell>
          <cell r="C336" t="str">
            <v>Qtr 2</v>
          </cell>
          <cell r="D336" t="str">
            <v>April</v>
          </cell>
          <cell r="E336">
            <v>9</v>
          </cell>
          <cell r="F336" t="str">
            <v>CORRECTIVO</v>
          </cell>
          <cell r="G336">
            <v>0.8</v>
          </cell>
          <cell r="H336" t="str">
            <v>WF Mono Systems and Legacy Color</v>
          </cell>
          <cell r="I336">
            <v>803</v>
          </cell>
          <cell r="J336">
            <v>1573</v>
          </cell>
          <cell r="K336">
            <v>0.2</v>
          </cell>
          <cell r="L336">
            <v>0.6</v>
          </cell>
          <cell r="M336">
            <v>0.8</v>
          </cell>
          <cell r="N336">
            <v>1.05</v>
          </cell>
          <cell r="O336">
            <v>1.1000000000000001</v>
          </cell>
          <cell r="P336">
            <v>1.1499999999999999</v>
          </cell>
          <cell r="Q336" t="str">
            <v>INTERIOR</v>
          </cell>
          <cell r="R336">
            <v>4</v>
          </cell>
          <cell r="S336">
            <v>6</v>
          </cell>
          <cell r="T336" t="str">
            <v>Ciudad principal</v>
          </cell>
          <cell r="U336" t="str">
            <v>WF Mono Systems and Legacy Color</v>
          </cell>
          <cell r="V336" t="str">
            <v>XEROX MEXICANA SA DE CV / XEROX MEXICANA</v>
          </cell>
          <cell r="W336" t="str">
            <v>TAMAULIPAS</v>
          </cell>
          <cell r="X336">
            <v>2019</v>
          </cell>
          <cell r="Y336" t="str">
            <v>Qtr 2</v>
          </cell>
          <cell r="Z336" t="str">
            <v>April</v>
          </cell>
          <cell r="AA336">
            <v>9</v>
          </cell>
          <cell r="AB336">
            <v>29</v>
          </cell>
          <cell r="AC336">
            <v>1.05</v>
          </cell>
          <cell r="AD336">
            <v>0.2</v>
          </cell>
          <cell r="AE336">
            <v>1651.65</v>
          </cell>
        </row>
        <row r="337">
          <cell r="A337" t="str">
            <v>0A2T370560</v>
          </cell>
          <cell r="B337">
            <v>2019</v>
          </cell>
          <cell r="C337" t="str">
            <v>Qtr 2</v>
          </cell>
          <cell r="D337" t="str">
            <v>April</v>
          </cell>
          <cell r="E337">
            <v>9</v>
          </cell>
          <cell r="F337" t="str">
            <v>CORRECTIVO</v>
          </cell>
          <cell r="G337">
            <v>8.3333340000000006E-2</v>
          </cell>
          <cell r="H337" t="str">
            <v>A4 Mono MFPs</v>
          </cell>
          <cell r="I337">
            <v>468</v>
          </cell>
          <cell r="J337">
            <v>715</v>
          </cell>
          <cell r="K337">
            <v>0</v>
          </cell>
          <cell r="L337">
            <v>0</v>
          </cell>
          <cell r="M337">
            <v>0</v>
          </cell>
          <cell r="N337">
            <v>0.6</v>
          </cell>
          <cell r="O337">
            <v>0.8</v>
          </cell>
          <cell r="P337">
            <v>1.05</v>
          </cell>
          <cell r="Q337" t="str">
            <v>INTERIOR</v>
          </cell>
          <cell r="R337">
            <v>5</v>
          </cell>
          <cell r="S337">
            <v>9</v>
          </cell>
          <cell r="T337" t="str">
            <v>Ciudad principal</v>
          </cell>
          <cell r="U337" t="str">
            <v>A4 Mono MFPs</v>
          </cell>
          <cell r="V337" t="str">
            <v>XEROX MEXICANA SA DE CV / XEROX MEXICANA</v>
          </cell>
          <cell r="W337" t="str">
            <v>CHIHUAHUA</v>
          </cell>
          <cell r="X337">
            <v>2019</v>
          </cell>
          <cell r="Y337" t="str">
            <v>Qtr 2</v>
          </cell>
          <cell r="Z337" t="str">
            <v>April</v>
          </cell>
          <cell r="AA337">
            <v>11</v>
          </cell>
          <cell r="AB337">
            <v>92</v>
          </cell>
          <cell r="AC337">
            <v>1.05</v>
          </cell>
          <cell r="AD337">
            <v>1.6666667999999999E-2</v>
          </cell>
          <cell r="AE337">
            <v>750.75</v>
          </cell>
        </row>
        <row r="338">
          <cell r="A338" t="str">
            <v>0AE9566556</v>
          </cell>
          <cell r="B338">
            <v>2019</v>
          </cell>
          <cell r="C338" t="str">
            <v>Qtr 2</v>
          </cell>
          <cell r="D338" t="str">
            <v>April</v>
          </cell>
          <cell r="E338">
            <v>9</v>
          </cell>
          <cell r="F338" t="str">
            <v>CORRECTIVO</v>
          </cell>
          <cell r="G338">
            <v>2.0666669999999998</v>
          </cell>
          <cell r="H338" t="str">
            <v>Office Digital</v>
          </cell>
          <cell r="I338">
            <v>655</v>
          </cell>
          <cell r="J338">
            <v>1365</v>
          </cell>
          <cell r="K338">
            <v>0</v>
          </cell>
          <cell r="L338">
            <v>0</v>
          </cell>
          <cell r="M338">
            <v>0.6</v>
          </cell>
          <cell r="N338">
            <v>0.8</v>
          </cell>
          <cell r="O338">
            <v>1.05</v>
          </cell>
          <cell r="P338">
            <v>1.1000000000000001</v>
          </cell>
          <cell r="Q338" t="str">
            <v>INTERIOR</v>
          </cell>
          <cell r="R338">
            <v>5</v>
          </cell>
          <cell r="S338">
            <v>9</v>
          </cell>
          <cell r="T338" t="str">
            <v>Ciudad principal</v>
          </cell>
          <cell r="U338" t="str">
            <v>Departmental Digital</v>
          </cell>
          <cell r="V338" t="str">
            <v>XEROX MEXICANA SA DE CV / XEROX MEXICANA</v>
          </cell>
          <cell r="W338" t="str">
            <v>JALISCO</v>
          </cell>
          <cell r="X338">
            <v>2019</v>
          </cell>
          <cell r="Y338" t="str">
            <v>Qtr 2</v>
          </cell>
          <cell r="Z338" t="str">
            <v>April</v>
          </cell>
          <cell r="AA338">
            <v>11</v>
          </cell>
          <cell r="AB338">
            <v>40</v>
          </cell>
          <cell r="AC338">
            <v>1.05</v>
          </cell>
          <cell r="AD338">
            <v>0.41333340000000002</v>
          </cell>
          <cell r="AE338">
            <v>1433.25</v>
          </cell>
        </row>
        <row r="339">
          <cell r="A339" t="str">
            <v>0BG0966723</v>
          </cell>
          <cell r="B339">
            <v>2019</v>
          </cell>
          <cell r="C339" t="str">
            <v>Qtr 2</v>
          </cell>
          <cell r="D339" t="str">
            <v>April</v>
          </cell>
          <cell r="E339">
            <v>9</v>
          </cell>
          <cell r="F339" t="str">
            <v>CORRECTIVO</v>
          </cell>
          <cell r="G339">
            <v>2.4500000000000002</v>
          </cell>
          <cell r="H339" t="str">
            <v>Light Production Digital Business</v>
          </cell>
          <cell r="I339">
            <v>803</v>
          </cell>
          <cell r="J339">
            <v>1573</v>
          </cell>
          <cell r="K339">
            <v>0.2</v>
          </cell>
          <cell r="L339">
            <v>0.6</v>
          </cell>
          <cell r="M339">
            <v>0.8</v>
          </cell>
          <cell r="N339">
            <v>1.05</v>
          </cell>
          <cell r="O339">
            <v>1.1000000000000001</v>
          </cell>
          <cell r="P339">
            <v>1.1499999999999999</v>
          </cell>
          <cell r="Q339" t="str">
            <v>INTERIOR</v>
          </cell>
          <cell r="R339">
            <v>4</v>
          </cell>
          <cell r="S339">
            <v>6</v>
          </cell>
          <cell r="T339" t="str">
            <v>Ciudad principal</v>
          </cell>
          <cell r="U339" t="str">
            <v>High End Cut Sheet</v>
          </cell>
          <cell r="V339" t="str">
            <v>XEROX MEXICANA SA DE CV / XEROX MEXICANA</v>
          </cell>
          <cell r="W339" t="str">
            <v>JALISCO</v>
          </cell>
          <cell r="X339">
            <v>2019</v>
          </cell>
          <cell r="Y339" t="str">
            <v>Qtr 2</v>
          </cell>
          <cell r="Z339" t="str">
            <v>April</v>
          </cell>
          <cell r="AA339">
            <v>11</v>
          </cell>
          <cell r="AB339">
            <v>21</v>
          </cell>
          <cell r="AC339">
            <v>1.05</v>
          </cell>
          <cell r="AD339">
            <v>0.61250000000000004</v>
          </cell>
          <cell r="AE339">
            <v>1651.65</v>
          </cell>
        </row>
        <row r="340">
          <cell r="A340" t="str">
            <v>0BG1000997</v>
          </cell>
          <cell r="B340">
            <v>2019</v>
          </cell>
          <cell r="C340" t="str">
            <v>Qtr 2</v>
          </cell>
          <cell r="D340" t="str">
            <v>April</v>
          </cell>
          <cell r="E340">
            <v>9</v>
          </cell>
          <cell r="F340" t="str">
            <v>CORRECTIVO</v>
          </cell>
          <cell r="G340">
            <v>0.45</v>
          </cell>
          <cell r="H340" t="str">
            <v>Light Production Digital Business</v>
          </cell>
          <cell r="I340">
            <v>803</v>
          </cell>
          <cell r="J340">
            <v>1573</v>
          </cell>
          <cell r="K340">
            <v>0.2</v>
          </cell>
          <cell r="L340">
            <v>0.6</v>
          </cell>
          <cell r="M340">
            <v>0.8</v>
          </cell>
          <cell r="N340">
            <v>1.05</v>
          </cell>
          <cell r="O340">
            <v>1.1000000000000001</v>
          </cell>
          <cell r="P340">
            <v>1.1499999999999999</v>
          </cell>
          <cell r="Q340" t="str">
            <v>INTERIOR</v>
          </cell>
          <cell r="R340">
            <v>4</v>
          </cell>
          <cell r="S340">
            <v>6</v>
          </cell>
          <cell r="T340" t="str">
            <v>Ciudad principal</v>
          </cell>
          <cell r="U340" t="str">
            <v>High End Cut Sheet</v>
          </cell>
          <cell r="V340" t="str">
            <v>XEROX MEXICANA SA DE CV / XEROX MEXICANA</v>
          </cell>
          <cell r="W340" t="str">
            <v>NUEVO LEON</v>
          </cell>
          <cell r="X340">
            <v>2019</v>
          </cell>
          <cell r="Y340" t="str">
            <v>Qtr 2</v>
          </cell>
          <cell r="Z340" t="str">
            <v>April</v>
          </cell>
          <cell r="AA340">
            <v>10</v>
          </cell>
          <cell r="AB340">
            <v>4</v>
          </cell>
          <cell r="AC340">
            <v>0.6</v>
          </cell>
          <cell r="AD340">
            <v>0.1125</v>
          </cell>
          <cell r="AE340">
            <v>943.8</v>
          </cell>
        </row>
        <row r="341">
          <cell r="A341" t="str">
            <v>0BG2940374</v>
          </cell>
          <cell r="B341">
            <v>2019</v>
          </cell>
          <cell r="C341" t="str">
            <v>Qtr 2</v>
          </cell>
          <cell r="D341" t="str">
            <v>April</v>
          </cell>
          <cell r="E341">
            <v>9</v>
          </cell>
          <cell r="F341" t="str">
            <v>CORRECTIVO</v>
          </cell>
          <cell r="G341">
            <v>1.5333330000000001</v>
          </cell>
          <cell r="H341" t="str">
            <v>Light Production Digital Business</v>
          </cell>
          <cell r="I341">
            <v>803</v>
          </cell>
          <cell r="J341">
            <v>1573</v>
          </cell>
          <cell r="K341">
            <v>0.2</v>
          </cell>
          <cell r="L341">
            <v>0.6</v>
          </cell>
          <cell r="M341">
            <v>0.8</v>
          </cell>
          <cell r="N341">
            <v>1.05</v>
          </cell>
          <cell r="O341">
            <v>1.1000000000000001</v>
          </cell>
          <cell r="P341">
            <v>1.1499999999999999</v>
          </cell>
          <cell r="Q341" t="str">
            <v>INTERIOR</v>
          </cell>
          <cell r="R341">
            <v>4</v>
          </cell>
          <cell r="S341">
            <v>6</v>
          </cell>
          <cell r="T341" t="str">
            <v>Ciudad principal</v>
          </cell>
          <cell r="U341" t="str">
            <v>High End Cut Sheet</v>
          </cell>
          <cell r="V341" t="str">
            <v>XEROX MEXICANA SA DE CV / XEROX MEXICANA</v>
          </cell>
          <cell r="W341" t="str">
            <v>JALISCO</v>
          </cell>
          <cell r="X341">
            <v>2019</v>
          </cell>
          <cell r="Y341" t="str">
            <v>Qtr 2</v>
          </cell>
          <cell r="Z341" t="str">
            <v>April</v>
          </cell>
          <cell r="AA341">
            <v>9</v>
          </cell>
          <cell r="AB341">
            <v>12</v>
          </cell>
          <cell r="AC341">
            <v>0.8</v>
          </cell>
          <cell r="AD341">
            <v>0.38333325000000001</v>
          </cell>
          <cell r="AE341">
            <v>1258.4000000000001</v>
          </cell>
        </row>
        <row r="342">
          <cell r="A342" t="str">
            <v>0BG2940374</v>
          </cell>
          <cell r="B342">
            <v>2019</v>
          </cell>
          <cell r="C342" t="str">
            <v>Qtr 2</v>
          </cell>
          <cell r="D342" t="str">
            <v>April</v>
          </cell>
          <cell r="E342">
            <v>9</v>
          </cell>
          <cell r="F342" t="str">
            <v>CORRECTIVO</v>
          </cell>
          <cell r="G342">
            <v>1.7</v>
          </cell>
          <cell r="H342" t="str">
            <v>Light Production Digital Business</v>
          </cell>
          <cell r="I342">
            <v>803</v>
          </cell>
          <cell r="J342">
            <v>1573</v>
          </cell>
          <cell r="K342">
            <v>0.2</v>
          </cell>
          <cell r="L342">
            <v>0.6</v>
          </cell>
          <cell r="M342">
            <v>0.8</v>
          </cell>
          <cell r="N342">
            <v>1.05</v>
          </cell>
          <cell r="O342">
            <v>1.1000000000000001</v>
          </cell>
          <cell r="P342">
            <v>1.1499999999999999</v>
          </cell>
          <cell r="Q342" t="str">
            <v>INTERIOR</v>
          </cell>
          <cell r="R342">
            <v>4</v>
          </cell>
          <cell r="S342">
            <v>6</v>
          </cell>
          <cell r="T342" t="str">
            <v>Ciudad principal</v>
          </cell>
          <cell r="U342" t="str">
            <v>High End Cut Sheet</v>
          </cell>
          <cell r="V342" t="str">
            <v>XEROX MEXICANA SA DE CV / XEROX MEXICANA</v>
          </cell>
          <cell r="W342" t="str">
            <v>JALISCO</v>
          </cell>
          <cell r="X342">
            <v>2019</v>
          </cell>
          <cell r="Y342" t="str">
            <v>Qtr 2</v>
          </cell>
          <cell r="Z342" t="str">
            <v>April</v>
          </cell>
          <cell r="AA342">
            <v>11</v>
          </cell>
          <cell r="AB342">
            <v>0</v>
          </cell>
          <cell r="AC342">
            <v>1.1499999999999999</v>
          </cell>
          <cell r="AD342">
            <v>0.42499999999999999</v>
          </cell>
          <cell r="AE342">
            <v>1808.95</v>
          </cell>
        </row>
        <row r="343">
          <cell r="A343" t="str">
            <v>0BG2949279</v>
          </cell>
          <cell r="B343">
            <v>2019</v>
          </cell>
          <cell r="C343" t="str">
            <v>Qtr 2</v>
          </cell>
          <cell r="D343" t="str">
            <v>April</v>
          </cell>
          <cell r="E343">
            <v>9</v>
          </cell>
          <cell r="F343" t="str">
            <v>CORRECTIVO</v>
          </cell>
          <cell r="G343">
            <v>2</v>
          </cell>
          <cell r="H343" t="str">
            <v>Light Production Digital Business</v>
          </cell>
          <cell r="I343">
            <v>803</v>
          </cell>
          <cell r="J343">
            <v>1573</v>
          </cell>
          <cell r="K343">
            <v>0.2</v>
          </cell>
          <cell r="L343">
            <v>0.6</v>
          </cell>
          <cell r="M343">
            <v>0.8</v>
          </cell>
          <cell r="N343">
            <v>1.05</v>
          </cell>
          <cell r="O343">
            <v>1.1000000000000001</v>
          </cell>
          <cell r="P343">
            <v>1.1499999999999999</v>
          </cell>
          <cell r="Q343" t="str">
            <v>INTERIOR</v>
          </cell>
          <cell r="R343">
            <v>4</v>
          </cell>
          <cell r="S343">
            <v>6</v>
          </cell>
          <cell r="T343" t="str">
            <v>Ciudad principal</v>
          </cell>
          <cell r="U343" t="str">
            <v>High End Cut Sheet</v>
          </cell>
          <cell r="V343" t="str">
            <v>XEROX MEXICANA SA DE CV / XEROX MEXICANA</v>
          </cell>
          <cell r="W343" t="str">
            <v>SAN LUIS POTOSI</v>
          </cell>
          <cell r="X343">
            <v>2019</v>
          </cell>
          <cell r="Y343" t="str">
            <v>Qtr 2</v>
          </cell>
          <cell r="Z343" t="str">
            <v>April</v>
          </cell>
          <cell r="AA343">
            <v>15</v>
          </cell>
          <cell r="AB343">
            <v>130</v>
          </cell>
          <cell r="AC343">
            <v>1.1499999999999999</v>
          </cell>
          <cell r="AD343">
            <v>0.5</v>
          </cell>
          <cell r="AE343">
            <v>1808.95</v>
          </cell>
        </row>
        <row r="344">
          <cell r="A344" t="str">
            <v>0BG2951472</v>
          </cell>
          <cell r="B344">
            <v>2019</v>
          </cell>
          <cell r="C344" t="str">
            <v>Qtr 2</v>
          </cell>
          <cell r="D344" t="str">
            <v>April</v>
          </cell>
          <cell r="E344">
            <v>9</v>
          </cell>
          <cell r="F344" t="str">
            <v>CORRECTIVO</v>
          </cell>
          <cell r="G344">
            <v>2.1833330000000002</v>
          </cell>
          <cell r="H344" t="str">
            <v>Light Production Digital Business</v>
          </cell>
          <cell r="I344">
            <v>803</v>
          </cell>
          <cell r="J344">
            <v>1573</v>
          </cell>
          <cell r="K344">
            <v>0.2</v>
          </cell>
          <cell r="L344">
            <v>0.6</v>
          </cell>
          <cell r="M344">
            <v>0.8</v>
          </cell>
          <cell r="N344">
            <v>1.05</v>
          </cell>
          <cell r="O344">
            <v>1.1000000000000001</v>
          </cell>
          <cell r="P344">
            <v>1.1499999999999999</v>
          </cell>
          <cell r="Q344" t="str">
            <v>INTERIOR</v>
          </cell>
          <cell r="R344">
            <v>4</v>
          </cell>
          <cell r="S344">
            <v>6</v>
          </cell>
          <cell r="T344" t="str">
            <v>Ciudad principal</v>
          </cell>
          <cell r="U344" t="str">
            <v>High End Cut Sheet</v>
          </cell>
          <cell r="V344" t="str">
            <v>XEROX MEXICANA SA DE CV / XEROX MEXICANA</v>
          </cell>
          <cell r="W344" t="str">
            <v>JALISCO</v>
          </cell>
          <cell r="X344">
            <v>2019</v>
          </cell>
          <cell r="Y344" t="str">
            <v>Qtr 2</v>
          </cell>
          <cell r="Z344" t="str">
            <v>April</v>
          </cell>
          <cell r="AA344">
            <v>11</v>
          </cell>
          <cell r="AB344">
            <v>1</v>
          </cell>
          <cell r="AC344">
            <v>0.2</v>
          </cell>
          <cell r="AD344">
            <v>0.54583325000000005</v>
          </cell>
          <cell r="AE344">
            <v>314.60000000000002</v>
          </cell>
        </row>
        <row r="345">
          <cell r="A345" t="str">
            <v>0BPB110617</v>
          </cell>
          <cell r="B345">
            <v>2019</v>
          </cell>
          <cell r="C345" t="str">
            <v>Qtr 2</v>
          </cell>
          <cell r="D345" t="str">
            <v>April</v>
          </cell>
          <cell r="E345">
            <v>9</v>
          </cell>
          <cell r="F345" t="str">
            <v>CORRECTIVO</v>
          </cell>
          <cell r="G345">
            <v>1.816667</v>
          </cell>
          <cell r="I345" t="str">
            <v>NA</v>
          </cell>
          <cell r="J345" t="str">
            <v>NA</v>
          </cell>
          <cell r="K345" t="str">
            <v>NA</v>
          </cell>
          <cell r="L345" t="str">
            <v>NA</v>
          </cell>
          <cell r="M345" t="str">
            <v>NA</v>
          </cell>
          <cell r="N345" t="str">
            <v>NA</v>
          </cell>
          <cell r="O345" t="str">
            <v>NA</v>
          </cell>
          <cell r="P345" t="str">
            <v>NA</v>
          </cell>
          <cell r="R345" t="str">
            <v>NA</v>
          </cell>
          <cell r="S345" t="str">
            <v>NA</v>
          </cell>
          <cell r="U345" t="str">
            <v>High End Cut Sheet</v>
          </cell>
          <cell r="V345" t="str">
            <v>XEROX MEXICANA SA DE CV / XEROX MEXICANA</v>
          </cell>
          <cell r="W345" t="str">
            <v>JALISCO</v>
          </cell>
          <cell r="X345">
            <v>2019</v>
          </cell>
          <cell r="Y345" t="str">
            <v>Qtr 2</v>
          </cell>
          <cell r="Z345" t="str">
            <v>April</v>
          </cell>
          <cell r="AA345">
            <v>9</v>
          </cell>
          <cell r="AB345">
            <v>27</v>
          </cell>
          <cell r="AC345">
            <v>1.1000000000000001</v>
          </cell>
          <cell r="AD345">
            <v>0</v>
          </cell>
          <cell r="AE345">
            <v>214.5</v>
          </cell>
        </row>
        <row r="346">
          <cell r="A346" t="str">
            <v>0C4X006153</v>
          </cell>
          <cell r="B346">
            <v>2019</v>
          </cell>
          <cell r="C346" t="str">
            <v>Qtr 2</v>
          </cell>
          <cell r="D346" t="str">
            <v>April</v>
          </cell>
          <cell r="E346">
            <v>9</v>
          </cell>
          <cell r="F346" t="str">
            <v>CORRECTIVO</v>
          </cell>
          <cell r="G346">
            <v>0</v>
          </cell>
          <cell r="H346" t="str">
            <v>A4 Mono MFPs</v>
          </cell>
          <cell r="I346">
            <v>468</v>
          </cell>
          <cell r="J346">
            <v>715</v>
          </cell>
          <cell r="K346">
            <v>0</v>
          </cell>
          <cell r="L346">
            <v>0</v>
          </cell>
          <cell r="M346">
            <v>0</v>
          </cell>
          <cell r="N346">
            <v>0.6</v>
          </cell>
          <cell r="O346">
            <v>0.8</v>
          </cell>
          <cell r="P346">
            <v>1.05</v>
          </cell>
          <cell r="Q346" t="str">
            <v>INTERIOR</v>
          </cell>
          <cell r="R346">
            <v>5</v>
          </cell>
          <cell r="S346">
            <v>9</v>
          </cell>
          <cell r="T346" t="str">
            <v>Ciudad principal</v>
          </cell>
          <cell r="U346" t="str">
            <v>A4 Mono MFPs</v>
          </cell>
          <cell r="V346" t="str">
            <v>XEROX MEXICANA SA DE CV / XEROX MEXICANA</v>
          </cell>
          <cell r="W346" t="str">
            <v>CHIHUAHUA</v>
          </cell>
          <cell r="X346">
            <v>2019</v>
          </cell>
          <cell r="Y346" t="str">
            <v>Qtr 2</v>
          </cell>
          <cell r="Z346" t="str">
            <v>April</v>
          </cell>
          <cell r="AA346">
            <v>12</v>
          </cell>
          <cell r="AB346">
            <v>239</v>
          </cell>
          <cell r="AC346">
            <v>1.05</v>
          </cell>
          <cell r="AD346">
            <v>0</v>
          </cell>
          <cell r="AE346">
            <v>750.75</v>
          </cell>
        </row>
        <row r="347">
          <cell r="A347" t="str">
            <v>0C7X239180</v>
          </cell>
          <cell r="B347">
            <v>2019</v>
          </cell>
          <cell r="C347" t="str">
            <v>Qtr 2</v>
          </cell>
          <cell r="D347" t="str">
            <v>April</v>
          </cell>
          <cell r="E347">
            <v>9</v>
          </cell>
          <cell r="F347" t="str">
            <v>CORRECTIVO</v>
          </cell>
          <cell r="G347">
            <v>8.3333340000000006E-2</v>
          </cell>
          <cell r="H347" t="str">
            <v>A4 Mono MFPs</v>
          </cell>
          <cell r="I347">
            <v>468</v>
          </cell>
          <cell r="J347">
            <v>715</v>
          </cell>
          <cell r="K347">
            <v>0</v>
          </cell>
          <cell r="L347">
            <v>0</v>
          </cell>
          <cell r="M347">
            <v>0</v>
          </cell>
          <cell r="N347">
            <v>0.6</v>
          </cell>
          <cell r="O347">
            <v>0.8</v>
          </cell>
          <cell r="P347">
            <v>1.05</v>
          </cell>
          <cell r="Q347" t="str">
            <v>INTERIOR</v>
          </cell>
          <cell r="R347">
            <v>5</v>
          </cell>
          <cell r="S347">
            <v>9</v>
          </cell>
          <cell r="T347" t="str">
            <v>Ciudad principal</v>
          </cell>
          <cell r="U347" t="str">
            <v>A4 Mono MFPs</v>
          </cell>
          <cell r="V347" t="str">
            <v>XEROX MEXICANA SA DE CV / XEROX MEXICANA</v>
          </cell>
          <cell r="W347" t="str">
            <v>TAMAULIPAS</v>
          </cell>
          <cell r="X347">
            <v>2019</v>
          </cell>
          <cell r="Y347" t="str">
            <v>Qtr 2</v>
          </cell>
          <cell r="Z347" t="str">
            <v>April</v>
          </cell>
          <cell r="AA347">
            <v>12</v>
          </cell>
          <cell r="AB347">
            <v>125</v>
          </cell>
          <cell r="AC347">
            <v>1.05</v>
          </cell>
          <cell r="AD347">
            <v>1.6666667999999999E-2</v>
          </cell>
          <cell r="AE347">
            <v>750.75</v>
          </cell>
        </row>
        <row r="348">
          <cell r="A348" t="str">
            <v>0DRB131260</v>
          </cell>
          <cell r="B348">
            <v>2019</v>
          </cell>
          <cell r="C348" t="str">
            <v>Qtr 2</v>
          </cell>
          <cell r="D348" t="str">
            <v>April</v>
          </cell>
          <cell r="E348">
            <v>9</v>
          </cell>
          <cell r="F348" t="str">
            <v>CORRECTIVO</v>
          </cell>
          <cell r="G348">
            <v>0.83333330000000005</v>
          </cell>
          <cell r="H348" t="str">
            <v>Entry Production Color Low/Mid</v>
          </cell>
          <cell r="I348">
            <v>803</v>
          </cell>
          <cell r="J348">
            <v>1573</v>
          </cell>
          <cell r="K348">
            <v>0.2</v>
          </cell>
          <cell r="L348">
            <v>0.6</v>
          </cell>
          <cell r="M348">
            <v>0.8</v>
          </cell>
          <cell r="N348">
            <v>1.05</v>
          </cell>
          <cell r="O348">
            <v>1.1000000000000001</v>
          </cell>
          <cell r="P348">
            <v>1.1499999999999999</v>
          </cell>
          <cell r="Q348" t="str">
            <v>INTERIOR</v>
          </cell>
          <cell r="R348">
            <v>4</v>
          </cell>
          <cell r="S348">
            <v>6</v>
          </cell>
          <cell r="T348" t="str">
            <v>Ciudad principal</v>
          </cell>
          <cell r="U348" t="str">
            <v>Entry Production Color Low/Mid</v>
          </cell>
          <cell r="V348" t="str">
            <v>XEROX MEXICANA SA DE CV / XEROX MEXICANA</v>
          </cell>
          <cell r="W348" t="str">
            <v>JALISCO</v>
          </cell>
          <cell r="X348">
            <v>2019</v>
          </cell>
          <cell r="Y348" t="str">
            <v>Qtr 2</v>
          </cell>
          <cell r="Z348" t="str">
            <v>April</v>
          </cell>
          <cell r="AA348">
            <v>9</v>
          </cell>
          <cell r="AB348">
            <v>14</v>
          </cell>
          <cell r="AC348">
            <v>0.8</v>
          </cell>
          <cell r="AD348">
            <v>0.20833332500000001</v>
          </cell>
          <cell r="AE348">
            <v>1258.4000000000001</v>
          </cell>
        </row>
        <row r="349">
          <cell r="A349" t="str">
            <v>0E1B088097</v>
          </cell>
          <cell r="B349">
            <v>2019</v>
          </cell>
          <cell r="C349" t="str">
            <v>Qtr 2</v>
          </cell>
          <cell r="D349" t="str">
            <v>April</v>
          </cell>
          <cell r="E349">
            <v>9</v>
          </cell>
          <cell r="F349" t="str">
            <v>CORRECTIVO</v>
          </cell>
          <cell r="G349">
            <v>1.65</v>
          </cell>
          <cell r="H349" t="str">
            <v>Color Laser Printers</v>
          </cell>
          <cell r="I349">
            <v>468</v>
          </cell>
          <cell r="J349">
            <v>715</v>
          </cell>
          <cell r="K349">
            <v>0</v>
          </cell>
          <cell r="L349">
            <v>0</v>
          </cell>
          <cell r="M349">
            <v>0</v>
          </cell>
          <cell r="N349">
            <v>0.6</v>
          </cell>
          <cell r="O349">
            <v>0.8</v>
          </cell>
          <cell r="P349">
            <v>1.05</v>
          </cell>
          <cell r="Q349" t="str">
            <v>INTERIOR</v>
          </cell>
          <cell r="R349">
            <v>5</v>
          </cell>
          <cell r="S349">
            <v>9</v>
          </cell>
          <cell r="T349" t="str">
            <v>Ciudad principal</v>
          </cell>
          <cell r="U349" t="str">
            <v>A4 Mono MFPs</v>
          </cell>
          <cell r="V349" t="str">
            <v>XEROX MEXICANA SA DE CV / XEROX MEXICANA</v>
          </cell>
          <cell r="W349" t="str">
            <v>ESTADO DE MEXICO</v>
          </cell>
          <cell r="X349">
            <v>2019</v>
          </cell>
          <cell r="Y349" t="str">
            <v>Qtr 2</v>
          </cell>
          <cell r="Z349" t="str">
            <v>April</v>
          </cell>
          <cell r="AA349">
            <v>9</v>
          </cell>
          <cell r="AB349">
            <v>284</v>
          </cell>
          <cell r="AC349">
            <v>1.05</v>
          </cell>
          <cell r="AD349">
            <v>0.33</v>
          </cell>
          <cell r="AE349">
            <v>750.75</v>
          </cell>
        </row>
        <row r="350">
          <cell r="A350" t="str">
            <v>0E2B654119</v>
          </cell>
          <cell r="B350">
            <v>2019</v>
          </cell>
          <cell r="C350" t="str">
            <v>Qtr 2</v>
          </cell>
          <cell r="D350" t="str">
            <v>April</v>
          </cell>
          <cell r="E350">
            <v>9</v>
          </cell>
          <cell r="F350" t="str">
            <v>CORRECTIVO</v>
          </cell>
          <cell r="G350">
            <v>2.3833329999999999</v>
          </cell>
          <cell r="H350" t="str">
            <v>Entry Production Color Low/Mid</v>
          </cell>
          <cell r="I350">
            <v>803</v>
          </cell>
          <cell r="J350">
            <v>1573</v>
          </cell>
          <cell r="K350">
            <v>0.2</v>
          </cell>
          <cell r="L350">
            <v>0.6</v>
          </cell>
          <cell r="M350">
            <v>0.8</v>
          </cell>
          <cell r="N350">
            <v>1.05</v>
          </cell>
          <cell r="O350">
            <v>1.1000000000000001</v>
          </cell>
          <cell r="P350">
            <v>1.1499999999999999</v>
          </cell>
          <cell r="Q350" t="str">
            <v>INTERIOR</v>
          </cell>
          <cell r="R350">
            <v>4</v>
          </cell>
          <cell r="S350">
            <v>6</v>
          </cell>
          <cell r="T350" t="str">
            <v>Otras</v>
          </cell>
          <cell r="U350" t="str">
            <v>Entry Production Color Low/Mid</v>
          </cell>
          <cell r="V350" t="str">
            <v>XEROX MEXICANA SA DE CV / XEROX MEXICANA</v>
          </cell>
          <cell r="W350" t="str">
            <v>TAMAULIPAS</v>
          </cell>
          <cell r="X350">
            <v>2019</v>
          </cell>
          <cell r="Y350" t="str">
            <v>Qtr 2</v>
          </cell>
          <cell r="Z350" t="str">
            <v>April</v>
          </cell>
          <cell r="AA350">
            <v>12</v>
          </cell>
          <cell r="AB350">
            <v>34</v>
          </cell>
          <cell r="AC350">
            <v>1.1000000000000001</v>
          </cell>
          <cell r="AD350">
            <v>0.39722216666666699</v>
          </cell>
          <cell r="AE350">
            <v>1730.3</v>
          </cell>
        </row>
        <row r="351">
          <cell r="A351" t="str">
            <v>0E2B654127</v>
          </cell>
          <cell r="B351">
            <v>2019</v>
          </cell>
          <cell r="C351" t="str">
            <v>Qtr 2</v>
          </cell>
          <cell r="D351" t="str">
            <v>April</v>
          </cell>
          <cell r="E351">
            <v>9</v>
          </cell>
          <cell r="F351" t="str">
            <v>CORRECTIVO</v>
          </cell>
          <cell r="G351">
            <v>3.983333</v>
          </cell>
          <cell r="H351" t="str">
            <v>Entry Production Color Low/Mid</v>
          </cell>
          <cell r="I351">
            <v>803</v>
          </cell>
          <cell r="J351">
            <v>1573</v>
          </cell>
          <cell r="K351">
            <v>0.2</v>
          </cell>
          <cell r="L351">
            <v>0.6</v>
          </cell>
          <cell r="M351">
            <v>0.8</v>
          </cell>
          <cell r="N351">
            <v>1.05</v>
          </cell>
          <cell r="O351">
            <v>1.1000000000000001</v>
          </cell>
          <cell r="P351">
            <v>1.1499999999999999</v>
          </cell>
          <cell r="Q351" t="str">
            <v>INTERIOR</v>
          </cell>
          <cell r="R351">
            <v>4</v>
          </cell>
          <cell r="S351">
            <v>6</v>
          </cell>
          <cell r="T351" t="str">
            <v>Ciudad principal</v>
          </cell>
          <cell r="U351" t="str">
            <v>Entry Production Color Low/Mid</v>
          </cell>
          <cell r="V351" t="str">
            <v>XEROX MEXICANA SA DE CV / XEROX MEXICANA</v>
          </cell>
          <cell r="W351" t="str">
            <v>SAN LUIS POTOSI</v>
          </cell>
          <cell r="X351">
            <v>2019</v>
          </cell>
          <cell r="Y351" t="str">
            <v>Qtr 2</v>
          </cell>
          <cell r="Z351" t="str">
            <v>April</v>
          </cell>
          <cell r="AA351">
            <v>9</v>
          </cell>
          <cell r="AB351">
            <v>15</v>
          </cell>
          <cell r="AC351">
            <v>0.8</v>
          </cell>
          <cell r="AD351">
            <v>0.99583325</v>
          </cell>
          <cell r="AE351">
            <v>1258.4000000000001</v>
          </cell>
        </row>
        <row r="352">
          <cell r="A352" t="str">
            <v>0EX7407574</v>
          </cell>
          <cell r="B352">
            <v>2019</v>
          </cell>
          <cell r="C352" t="str">
            <v>Qtr 2</v>
          </cell>
          <cell r="D352" t="str">
            <v>April</v>
          </cell>
          <cell r="E352">
            <v>9</v>
          </cell>
          <cell r="F352" t="str">
            <v>CORRECTIVO</v>
          </cell>
          <cell r="G352">
            <v>0</v>
          </cell>
          <cell r="H352" t="str">
            <v>Office Digital</v>
          </cell>
          <cell r="I352">
            <v>655</v>
          </cell>
          <cell r="J352">
            <v>1365</v>
          </cell>
          <cell r="K352">
            <v>0</v>
          </cell>
          <cell r="L352">
            <v>0</v>
          </cell>
          <cell r="M352">
            <v>0.6</v>
          </cell>
          <cell r="N352">
            <v>0.8</v>
          </cell>
          <cell r="O352">
            <v>1.05</v>
          </cell>
          <cell r="P352">
            <v>1.1000000000000001</v>
          </cell>
          <cell r="Q352" t="str">
            <v>INTERIOR</v>
          </cell>
          <cell r="R352">
            <v>5</v>
          </cell>
          <cell r="S352">
            <v>9</v>
          </cell>
          <cell r="T352" t="str">
            <v>Ciudad principal</v>
          </cell>
          <cell r="U352" t="str">
            <v>Departmental Digital</v>
          </cell>
          <cell r="V352" t="str">
            <v>XEROX MEXICANA SA DE CV / XEROX MEXICANA</v>
          </cell>
          <cell r="W352" t="str">
            <v>CHIHUAHUA</v>
          </cell>
          <cell r="X352">
            <v>2019</v>
          </cell>
          <cell r="Y352" t="str">
            <v>Qtr 2</v>
          </cell>
          <cell r="Z352" t="str">
            <v>April</v>
          </cell>
          <cell r="AA352">
            <v>9</v>
          </cell>
          <cell r="AB352">
            <v>89</v>
          </cell>
          <cell r="AC352">
            <v>1.1000000000000001</v>
          </cell>
          <cell r="AD352">
            <v>0</v>
          </cell>
          <cell r="AE352">
            <v>1501.5</v>
          </cell>
        </row>
        <row r="353">
          <cell r="A353" t="str">
            <v>0EX9291417</v>
          </cell>
          <cell r="B353">
            <v>2019</v>
          </cell>
          <cell r="C353" t="str">
            <v>Qtr 2</v>
          </cell>
          <cell r="D353" t="str">
            <v>April</v>
          </cell>
          <cell r="E353">
            <v>9</v>
          </cell>
          <cell r="F353" t="str">
            <v>MANTENIMIENTO PREVENTIVO</v>
          </cell>
          <cell r="G353">
            <v>0</v>
          </cell>
          <cell r="H353" t="str">
            <v>Departmental Digital</v>
          </cell>
          <cell r="I353">
            <v>655</v>
          </cell>
          <cell r="J353">
            <v>1365</v>
          </cell>
          <cell r="K353">
            <v>0</v>
          </cell>
          <cell r="L353">
            <v>0</v>
          </cell>
          <cell r="M353">
            <v>0.6</v>
          </cell>
          <cell r="N353">
            <v>0.8</v>
          </cell>
          <cell r="O353">
            <v>1.05</v>
          </cell>
          <cell r="P353">
            <v>1.1000000000000001</v>
          </cell>
          <cell r="Q353" t="str">
            <v>INTERIOR</v>
          </cell>
          <cell r="R353">
            <v>5</v>
          </cell>
          <cell r="S353">
            <v>9</v>
          </cell>
          <cell r="T353" t="str">
            <v>Ciudad principal</v>
          </cell>
          <cell r="U353" t="str">
            <v>Departmental Digital</v>
          </cell>
          <cell r="V353" t="str">
            <v>XEROX MEXICANA SA DE CV / XEROX MEXICANA</v>
          </cell>
          <cell r="W353" t="str">
            <v>CHIHUAHUA</v>
          </cell>
          <cell r="X353">
            <v>2019</v>
          </cell>
          <cell r="Y353" t="str">
            <v>Qtr 2</v>
          </cell>
          <cell r="Z353" t="str">
            <v>April</v>
          </cell>
          <cell r="AA353">
            <v>9</v>
          </cell>
          <cell r="AB353">
            <v>13</v>
          </cell>
          <cell r="AC353">
            <v>0</v>
          </cell>
          <cell r="AD353">
            <v>0</v>
          </cell>
          <cell r="AE353">
            <v>1365</v>
          </cell>
        </row>
        <row r="354">
          <cell r="A354" t="str">
            <v>0EX9299901</v>
          </cell>
          <cell r="B354">
            <v>2019</v>
          </cell>
          <cell r="C354" t="str">
            <v>Qtr 2</v>
          </cell>
          <cell r="D354" t="str">
            <v>April</v>
          </cell>
          <cell r="E354">
            <v>9</v>
          </cell>
          <cell r="F354" t="str">
            <v>CORRECTIVO</v>
          </cell>
          <cell r="G354">
            <v>3.516667</v>
          </cell>
          <cell r="H354" t="str">
            <v>Departmental Digital</v>
          </cell>
          <cell r="I354">
            <v>655</v>
          </cell>
          <cell r="J354">
            <v>1365</v>
          </cell>
          <cell r="K354">
            <v>0</v>
          </cell>
          <cell r="L354">
            <v>0</v>
          </cell>
          <cell r="M354">
            <v>0.6</v>
          </cell>
          <cell r="N354">
            <v>0.8</v>
          </cell>
          <cell r="O354">
            <v>1.05</v>
          </cell>
          <cell r="P354">
            <v>1.1000000000000001</v>
          </cell>
          <cell r="Q354" t="str">
            <v>INTERIOR</v>
          </cell>
          <cell r="R354">
            <v>5</v>
          </cell>
          <cell r="S354">
            <v>9</v>
          </cell>
          <cell r="T354" t="str">
            <v>Ciudad principal</v>
          </cell>
          <cell r="U354" t="str">
            <v>Departmental Digital</v>
          </cell>
          <cell r="V354" t="str">
            <v>XEROX MEXICANA SA DE CV / XEROX MEXICANA</v>
          </cell>
          <cell r="W354" t="str">
            <v>TAMAULIPAS</v>
          </cell>
          <cell r="X354">
            <v>2019</v>
          </cell>
          <cell r="Y354" t="str">
            <v>Qtr 2</v>
          </cell>
          <cell r="Z354" t="str">
            <v>April</v>
          </cell>
          <cell r="AA354">
            <v>9</v>
          </cell>
          <cell r="AB354">
            <v>6</v>
          </cell>
          <cell r="AC354">
            <v>0</v>
          </cell>
          <cell r="AD354">
            <v>0.7033334</v>
          </cell>
          <cell r="AE354">
            <v>0</v>
          </cell>
        </row>
        <row r="355">
          <cell r="A355" t="str">
            <v>0EX9299999</v>
          </cell>
          <cell r="B355">
            <v>2019</v>
          </cell>
          <cell r="C355" t="str">
            <v>Qtr 2</v>
          </cell>
          <cell r="D355" t="str">
            <v>April</v>
          </cell>
          <cell r="E355">
            <v>9</v>
          </cell>
          <cell r="F355" t="str">
            <v>CORRECTIVO</v>
          </cell>
          <cell r="G355">
            <v>1</v>
          </cell>
          <cell r="H355" t="str">
            <v>Departmental Digital</v>
          </cell>
          <cell r="I355">
            <v>655</v>
          </cell>
          <cell r="J355">
            <v>1365</v>
          </cell>
          <cell r="K355">
            <v>0</v>
          </cell>
          <cell r="L355">
            <v>0</v>
          </cell>
          <cell r="M355">
            <v>0.6</v>
          </cell>
          <cell r="N355">
            <v>0.8</v>
          </cell>
          <cell r="O355">
            <v>1.05</v>
          </cell>
          <cell r="P355">
            <v>1.1000000000000001</v>
          </cell>
          <cell r="Q355" t="str">
            <v>INTERIOR</v>
          </cell>
          <cell r="R355">
            <v>5</v>
          </cell>
          <cell r="S355">
            <v>9</v>
          </cell>
          <cell r="T355" t="str">
            <v>Ciudad principal</v>
          </cell>
          <cell r="U355" t="str">
            <v>Departmental Digital</v>
          </cell>
          <cell r="V355" t="str">
            <v>XEROX MEXICANA SA DE CV / XEROX MEXICANA</v>
          </cell>
          <cell r="W355" t="str">
            <v>QUERETARO</v>
          </cell>
          <cell r="X355">
            <v>2019</v>
          </cell>
          <cell r="Y355" t="str">
            <v>Qtr 2</v>
          </cell>
          <cell r="Z355" t="str">
            <v>April</v>
          </cell>
          <cell r="AA355">
            <v>9</v>
          </cell>
          <cell r="AB355">
            <v>176</v>
          </cell>
          <cell r="AC355">
            <v>1.1000000000000001</v>
          </cell>
          <cell r="AD355">
            <v>0.2</v>
          </cell>
          <cell r="AE355">
            <v>1501.5</v>
          </cell>
        </row>
        <row r="356">
          <cell r="A356" t="str">
            <v>0EX9662403</v>
          </cell>
          <cell r="B356">
            <v>2019</v>
          </cell>
          <cell r="C356" t="str">
            <v>Qtr 2</v>
          </cell>
          <cell r="D356" t="str">
            <v>April</v>
          </cell>
          <cell r="E356">
            <v>9</v>
          </cell>
          <cell r="F356" t="str">
            <v>CORRECTIVO</v>
          </cell>
          <cell r="G356">
            <v>1.8666670000000001</v>
          </cell>
          <cell r="H356" t="str">
            <v>Departmental Digital</v>
          </cell>
          <cell r="I356">
            <v>655</v>
          </cell>
          <cell r="J356">
            <v>1365</v>
          </cell>
          <cell r="K356">
            <v>0</v>
          </cell>
          <cell r="L356">
            <v>0</v>
          </cell>
          <cell r="M356">
            <v>0.6</v>
          </cell>
          <cell r="N356">
            <v>0.8</v>
          </cell>
          <cell r="O356">
            <v>1.05</v>
          </cell>
          <cell r="P356">
            <v>1.1000000000000001</v>
          </cell>
          <cell r="Q356" t="str">
            <v>INTERIOR</v>
          </cell>
          <cell r="R356">
            <v>5</v>
          </cell>
          <cell r="S356">
            <v>9</v>
          </cell>
          <cell r="T356" t="str">
            <v>Ciudad principal</v>
          </cell>
          <cell r="U356" t="str">
            <v>Departmental Digital</v>
          </cell>
          <cell r="V356" t="str">
            <v>XEROX MEXICANA SA DE CV / XEROX MEXICANA</v>
          </cell>
          <cell r="W356" t="str">
            <v>CHIHUAHUA</v>
          </cell>
          <cell r="X356">
            <v>2019</v>
          </cell>
          <cell r="Y356" t="str">
            <v>Qtr 2</v>
          </cell>
          <cell r="Z356" t="str">
            <v>April</v>
          </cell>
          <cell r="AA356">
            <v>10</v>
          </cell>
          <cell r="AB356">
            <v>15</v>
          </cell>
          <cell r="AC356">
            <v>0.6</v>
          </cell>
          <cell r="AD356">
            <v>0.37333339999999998</v>
          </cell>
          <cell r="AE356">
            <v>819</v>
          </cell>
        </row>
        <row r="357">
          <cell r="A357" t="str">
            <v>0EX9664780</v>
          </cell>
          <cell r="B357">
            <v>2019</v>
          </cell>
          <cell r="C357" t="str">
            <v>Qtr 2</v>
          </cell>
          <cell r="D357" t="str">
            <v>April</v>
          </cell>
          <cell r="E357">
            <v>9</v>
          </cell>
          <cell r="F357" t="str">
            <v>MANTENIMIENTO PREVENTIVO</v>
          </cell>
          <cell r="G357">
            <v>0</v>
          </cell>
          <cell r="H357" t="str">
            <v>Departmental Digital</v>
          </cell>
          <cell r="I357">
            <v>655</v>
          </cell>
          <cell r="J357">
            <v>1365</v>
          </cell>
          <cell r="K357">
            <v>0</v>
          </cell>
          <cell r="L357">
            <v>0</v>
          </cell>
          <cell r="M357">
            <v>0.6</v>
          </cell>
          <cell r="N357">
            <v>0.8</v>
          </cell>
          <cell r="O357">
            <v>1.05</v>
          </cell>
          <cell r="P357">
            <v>1.1000000000000001</v>
          </cell>
          <cell r="Q357" t="str">
            <v>INTERIOR</v>
          </cell>
          <cell r="R357">
            <v>5</v>
          </cell>
          <cell r="S357">
            <v>9</v>
          </cell>
          <cell r="T357" t="str">
            <v>Ciudad principal</v>
          </cell>
          <cell r="U357" t="str">
            <v>Departmental Digital</v>
          </cell>
          <cell r="V357" t="str">
            <v>XEROX MEXICANA SA DE CV / XEROX MEXICANA</v>
          </cell>
          <cell r="W357" t="str">
            <v>COAHUILA</v>
          </cell>
          <cell r="X357">
            <v>2019</v>
          </cell>
          <cell r="Y357" t="str">
            <v>Qtr 2</v>
          </cell>
          <cell r="Z357" t="str">
            <v>April</v>
          </cell>
          <cell r="AA357">
            <v>9</v>
          </cell>
          <cell r="AB357">
            <v>5</v>
          </cell>
          <cell r="AC357">
            <v>0</v>
          </cell>
          <cell r="AD357">
            <v>0</v>
          </cell>
          <cell r="AE357">
            <v>1365</v>
          </cell>
        </row>
        <row r="358">
          <cell r="A358" t="str">
            <v>0VGW632064</v>
          </cell>
          <cell r="B358">
            <v>2019</v>
          </cell>
          <cell r="C358" t="str">
            <v>Qtr 2</v>
          </cell>
          <cell r="D358" t="str">
            <v>April</v>
          </cell>
          <cell r="E358">
            <v>9</v>
          </cell>
          <cell r="F358" t="str">
            <v>CORRECTIVO</v>
          </cell>
          <cell r="G358">
            <v>2</v>
          </cell>
          <cell r="H358" t="str">
            <v>A3 Professional Color Laser MFPs</v>
          </cell>
          <cell r="I358">
            <v>655</v>
          </cell>
          <cell r="J358">
            <v>1365</v>
          </cell>
          <cell r="K358">
            <v>0</v>
          </cell>
          <cell r="L358">
            <v>0</v>
          </cell>
          <cell r="M358">
            <v>0.6</v>
          </cell>
          <cell r="N358">
            <v>0.8</v>
          </cell>
          <cell r="O358">
            <v>1.05</v>
          </cell>
          <cell r="P358">
            <v>1.1000000000000001</v>
          </cell>
          <cell r="Q358" t="str">
            <v>INTERIOR</v>
          </cell>
          <cell r="R358">
            <v>5</v>
          </cell>
          <cell r="S358">
            <v>9</v>
          </cell>
          <cell r="T358" t="str">
            <v>Ciudad principal</v>
          </cell>
          <cell r="U358" t="str">
            <v>Entry Production Color Low/Mid</v>
          </cell>
          <cell r="V358" t="str">
            <v>XEROX MEXICANA SA DE CV / XEROX MEXICANA</v>
          </cell>
          <cell r="W358" t="str">
            <v>CHIHUAHUA</v>
          </cell>
          <cell r="X358">
            <v>2019</v>
          </cell>
          <cell r="Y358" t="str">
            <v>Qtr 2</v>
          </cell>
          <cell r="Z358" t="str">
            <v>April</v>
          </cell>
          <cell r="AA358">
            <v>9</v>
          </cell>
          <cell r="AB358">
            <v>6</v>
          </cell>
          <cell r="AC358">
            <v>0</v>
          </cell>
          <cell r="AD358">
            <v>0.4</v>
          </cell>
          <cell r="AE358">
            <v>0</v>
          </cell>
        </row>
        <row r="359">
          <cell r="A359" t="str">
            <v>0X76707977</v>
          </cell>
          <cell r="B359">
            <v>2019</v>
          </cell>
          <cell r="C359" t="str">
            <v>Qtr 2</v>
          </cell>
          <cell r="D359" t="str">
            <v>April</v>
          </cell>
          <cell r="E359">
            <v>9</v>
          </cell>
          <cell r="F359" t="str">
            <v>CORRECTIVO</v>
          </cell>
          <cell r="G359">
            <v>0.21666669999999999</v>
          </cell>
          <cell r="I359" t="str">
            <v>NA</v>
          </cell>
          <cell r="J359" t="str">
            <v>NA</v>
          </cell>
          <cell r="K359" t="str">
            <v>NA</v>
          </cell>
          <cell r="L359" t="str">
            <v>NA</v>
          </cell>
          <cell r="M359" t="str">
            <v>NA</v>
          </cell>
          <cell r="N359" t="str">
            <v>NA</v>
          </cell>
          <cell r="O359" t="str">
            <v>NA</v>
          </cell>
          <cell r="P359" t="str">
            <v>NA</v>
          </cell>
          <cell r="R359" t="str">
            <v>NA</v>
          </cell>
          <cell r="S359" t="str">
            <v>NA</v>
          </cell>
          <cell r="U359" t="str">
            <v>Departmental Digital</v>
          </cell>
          <cell r="V359" t="str">
            <v>XEROX MEXICANA SA DE CV / XEROX MEXICANA</v>
          </cell>
          <cell r="W359" t="str">
            <v>COAHUILA</v>
          </cell>
          <cell r="X359">
            <v>2019</v>
          </cell>
          <cell r="Y359" t="str">
            <v>Qtr 2</v>
          </cell>
          <cell r="Z359" t="str">
            <v>April</v>
          </cell>
          <cell r="AA359">
            <v>11</v>
          </cell>
          <cell r="AB359">
            <v>15</v>
          </cell>
          <cell r="AC359">
            <v>1.1000000000000001</v>
          </cell>
          <cell r="AD359">
            <v>0</v>
          </cell>
          <cell r="AE359">
            <v>347.75</v>
          </cell>
        </row>
        <row r="360">
          <cell r="A360" t="str">
            <v>0XEL555336</v>
          </cell>
          <cell r="B360">
            <v>2019</v>
          </cell>
          <cell r="C360" t="str">
            <v>Qtr 2</v>
          </cell>
          <cell r="D360" t="str">
            <v>April</v>
          </cell>
          <cell r="E360">
            <v>9</v>
          </cell>
          <cell r="F360" t="str">
            <v>CORRECTIVO</v>
          </cell>
          <cell r="G360">
            <v>0.48333330000000002</v>
          </cell>
          <cell r="H360" t="str">
            <v>Departmental Digital</v>
          </cell>
          <cell r="I360">
            <v>655</v>
          </cell>
          <cell r="J360">
            <v>1365</v>
          </cell>
          <cell r="K360">
            <v>0</v>
          </cell>
          <cell r="L360">
            <v>0</v>
          </cell>
          <cell r="M360">
            <v>0.6</v>
          </cell>
          <cell r="N360">
            <v>0.8</v>
          </cell>
          <cell r="O360">
            <v>1.05</v>
          </cell>
          <cell r="P360">
            <v>1.1000000000000001</v>
          </cell>
          <cell r="Q360" t="str">
            <v>INTERIOR</v>
          </cell>
          <cell r="R360">
            <v>5</v>
          </cell>
          <cell r="S360">
            <v>9</v>
          </cell>
          <cell r="T360" t="str">
            <v>Ciudad principal</v>
          </cell>
          <cell r="U360" t="str">
            <v>Departmental Digital</v>
          </cell>
          <cell r="V360" t="str">
            <v>XEROX MEXICANA SA DE CV / XEROX MEXICANA</v>
          </cell>
          <cell r="W360" t="str">
            <v>SAN LUIS POTOSI</v>
          </cell>
          <cell r="X360">
            <v>2019</v>
          </cell>
          <cell r="Y360" t="str">
            <v>Qtr 2</v>
          </cell>
          <cell r="Z360" t="str">
            <v>April</v>
          </cell>
          <cell r="AA360">
            <v>9</v>
          </cell>
          <cell r="AB360">
            <v>141</v>
          </cell>
          <cell r="AC360">
            <v>1.1000000000000001</v>
          </cell>
          <cell r="AD360">
            <v>9.6666660000000001E-2</v>
          </cell>
          <cell r="AE360">
            <v>1501.5</v>
          </cell>
        </row>
        <row r="361">
          <cell r="A361" t="str">
            <v>0XLT278481</v>
          </cell>
          <cell r="B361">
            <v>2019</v>
          </cell>
          <cell r="C361" t="str">
            <v>Qtr 2</v>
          </cell>
          <cell r="D361" t="str">
            <v>April</v>
          </cell>
          <cell r="E361">
            <v>9</v>
          </cell>
          <cell r="F361" t="str">
            <v>CORRECTIVO</v>
          </cell>
          <cell r="G361">
            <v>0</v>
          </cell>
          <cell r="H361" t="str">
            <v>Entry Mono Printers</v>
          </cell>
          <cell r="I361">
            <v>468</v>
          </cell>
          <cell r="J361">
            <v>715</v>
          </cell>
          <cell r="K361">
            <v>0</v>
          </cell>
          <cell r="L361">
            <v>0</v>
          </cell>
          <cell r="M361">
            <v>0</v>
          </cell>
          <cell r="N361">
            <v>0.6</v>
          </cell>
          <cell r="O361">
            <v>0.8</v>
          </cell>
          <cell r="P361">
            <v>1.05</v>
          </cell>
          <cell r="Q361" t="str">
            <v>INTERIOR</v>
          </cell>
          <cell r="R361">
            <v>5</v>
          </cell>
          <cell r="S361">
            <v>9</v>
          </cell>
          <cell r="T361" t="str">
            <v>Ciudad principal</v>
          </cell>
          <cell r="U361" t="str">
            <v>Entry Mono Printers</v>
          </cell>
          <cell r="V361" t="str">
            <v>XEROX MEXICANA SA DE CV / XEROX MEXICANA</v>
          </cell>
          <cell r="W361" t="str">
            <v>CHIHUAHUA</v>
          </cell>
          <cell r="X361">
            <v>2019</v>
          </cell>
          <cell r="Y361" t="str">
            <v>Qtr 2</v>
          </cell>
          <cell r="Z361" t="str">
            <v>April</v>
          </cell>
          <cell r="AA361">
            <v>11</v>
          </cell>
          <cell r="AB361">
            <v>187</v>
          </cell>
          <cell r="AC361">
            <v>1.05</v>
          </cell>
          <cell r="AD361">
            <v>0</v>
          </cell>
          <cell r="AE361">
            <v>750.75</v>
          </cell>
        </row>
        <row r="362">
          <cell r="A362" t="str">
            <v>0XPN393392</v>
          </cell>
          <cell r="B362">
            <v>2019</v>
          </cell>
          <cell r="C362" t="str">
            <v>Qtr 2</v>
          </cell>
          <cell r="D362" t="str">
            <v>April</v>
          </cell>
          <cell r="E362">
            <v>9</v>
          </cell>
          <cell r="F362" t="str">
            <v>CORRECTIVO</v>
          </cell>
          <cell r="G362">
            <v>1.2</v>
          </cell>
          <cell r="H362" t="str">
            <v>Entry Production Color Low/Mid</v>
          </cell>
          <cell r="I362">
            <v>803</v>
          </cell>
          <cell r="J362">
            <v>1573</v>
          </cell>
          <cell r="K362">
            <v>0.2</v>
          </cell>
          <cell r="L362">
            <v>0.6</v>
          </cell>
          <cell r="M362">
            <v>0.8</v>
          </cell>
          <cell r="N362">
            <v>1.05</v>
          </cell>
          <cell r="O362">
            <v>1.1000000000000001</v>
          </cell>
          <cell r="P362">
            <v>1.1499999999999999</v>
          </cell>
          <cell r="Q362" t="str">
            <v>INTERIOR</v>
          </cell>
          <cell r="R362">
            <v>4</v>
          </cell>
          <cell r="S362">
            <v>6</v>
          </cell>
          <cell r="T362" t="str">
            <v>Ciudad principal</v>
          </cell>
          <cell r="U362" t="str">
            <v>Entry Production Color Low/Mid</v>
          </cell>
          <cell r="V362" t="str">
            <v>XEROX MEXICANA SA DE CV / XEROX MEXICANA</v>
          </cell>
          <cell r="W362" t="str">
            <v>GUANAJUATO</v>
          </cell>
          <cell r="X362">
            <v>2019</v>
          </cell>
          <cell r="Y362" t="str">
            <v>Qtr 2</v>
          </cell>
          <cell r="Z362" t="str">
            <v>April</v>
          </cell>
          <cell r="AA362">
            <v>12</v>
          </cell>
          <cell r="AB362">
            <v>7</v>
          </cell>
          <cell r="AC362">
            <v>0.8</v>
          </cell>
          <cell r="AD362">
            <v>0.3</v>
          </cell>
          <cell r="AE362">
            <v>1258.4000000000001</v>
          </cell>
        </row>
        <row r="363">
          <cell r="A363" t="str">
            <v>0XPN396972</v>
          </cell>
          <cell r="B363">
            <v>2019</v>
          </cell>
          <cell r="C363" t="str">
            <v>Qtr 2</v>
          </cell>
          <cell r="D363" t="str">
            <v>April</v>
          </cell>
          <cell r="E363">
            <v>9</v>
          </cell>
          <cell r="F363" t="str">
            <v>CONFIGURACION</v>
          </cell>
          <cell r="G363">
            <v>0</v>
          </cell>
          <cell r="H363" t="str">
            <v>Entry Production Color Low/Mid</v>
          </cell>
          <cell r="I363">
            <v>803</v>
          </cell>
          <cell r="J363">
            <v>1573</v>
          </cell>
          <cell r="K363">
            <v>0.2</v>
          </cell>
          <cell r="L363">
            <v>0.6</v>
          </cell>
          <cell r="M363">
            <v>0.8</v>
          </cell>
          <cell r="N363">
            <v>1.05</v>
          </cell>
          <cell r="O363">
            <v>1.1000000000000001</v>
          </cell>
          <cell r="P363">
            <v>1.1499999999999999</v>
          </cell>
          <cell r="Q363" t="str">
            <v>INTERIOR</v>
          </cell>
          <cell r="R363">
            <v>4</v>
          </cell>
          <cell r="S363">
            <v>6</v>
          </cell>
          <cell r="T363" t="str">
            <v>Ciudad principal</v>
          </cell>
          <cell r="U363" t="str">
            <v>Entry Production Color Low/Mid</v>
          </cell>
          <cell r="V363" t="str">
            <v>XEROX MEXICANA SA DE CV / XEROX MEXICANA</v>
          </cell>
          <cell r="W363" t="str">
            <v>JALISCO</v>
          </cell>
          <cell r="X363">
            <v>2019</v>
          </cell>
          <cell r="Y363" t="str">
            <v>Qtr 2</v>
          </cell>
          <cell r="Z363" t="str">
            <v>April</v>
          </cell>
          <cell r="AA363">
            <v>12</v>
          </cell>
          <cell r="AB363">
            <v>1</v>
          </cell>
          <cell r="AC363">
            <v>0.2</v>
          </cell>
          <cell r="AD363">
            <v>0</v>
          </cell>
          <cell r="AE363">
            <v>314.60000000000002</v>
          </cell>
        </row>
        <row r="364">
          <cell r="A364" t="str">
            <v>0XPN399496</v>
          </cell>
          <cell r="B364">
            <v>2019</v>
          </cell>
          <cell r="C364" t="str">
            <v>Qtr 2</v>
          </cell>
          <cell r="D364" t="str">
            <v>April</v>
          </cell>
          <cell r="E364">
            <v>9</v>
          </cell>
          <cell r="F364" t="str">
            <v>CORRECTIVO</v>
          </cell>
          <cell r="G364">
            <v>1.483333</v>
          </cell>
          <cell r="H364" t="str">
            <v>Entry Production Color Low/Mid</v>
          </cell>
          <cell r="I364">
            <v>803</v>
          </cell>
          <cell r="J364">
            <v>1573</v>
          </cell>
          <cell r="K364">
            <v>0.2</v>
          </cell>
          <cell r="L364">
            <v>0.6</v>
          </cell>
          <cell r="M364">
            <v>0.8</v>
          </cell>
          <cell r="N364">
            <v>1.05</v>
          </cell>
          <cell r="O364">
            <v>1.1000000000000001</v>
          </cell>
          <cell r="P364">
            <v>1.1499999999999999</v>
          </cell>
          <cell r="Q364" t="str">
            <v>INTERIOR</v>
          </cell>
          <cell r="R364">
            <v>4</v>
          </cell>
          <cell r="S364">
            <v>6</v>
          </cell>
          <cell r="T364" t="str">
            <v>Ciudad principal</v>
          </cell>
          <cell r="U364" t="str">
            <v>Entry Production Color Low/Mid</v>
          </cell>
          <cell r="V364" t="str">
            <v>XEROX MEXICANA SA DE CV / XEROX MEXICANA</v>
          </cell>
          <cell r="W364" t="str">
            <v>NUEVO LEON</v>
          </cell>
          <cell r="X364">
            <v>2019</v>
          </cell>
          <cell r="Y364" t="str">
            <v>Qtr 2</v>
          </cell>
          <cell r="Z364" t="str">
            <v>April</v>
          </cell>
          <cell r="AA364">
            <v>9</v>
          </cell>
          <cell r="AB364">
            <v>33</v>
          </cell>
          <cell r="AC364">
            <v>1.1000000000000001</v>
          </cell>
          <cell r="AD364">
            <v>0.37083325</v>
          </cell>
          <cell r="AE364">
            <v>1730.3</v>
          </cell>
        </row>
        <row r="365">
          <cell r="A365" t="str">
            <v>0XPN548183</v>
          </cell>
          <cell r="B365">
            <v>2019</v>
          </cell>
          <cell r="C365" t="str">
            <v>Qtr 2</v>
          </cell>
          <cell r="D365" t="str">
            <v>April</v>
          </cell>
          <cell r="E365">
            <v>9</v>
          </cell>
          <cell r="F365" t="str">
            <v>CORRECTIVO</v>
          </cell>
          <cell r="G365">
            <v>0.86666670000000001</v>
          </cell>
          <cell r="H365" t="str">
            <v>Entry Production Color Low/Mid</v>
          </cell>
          <cell r="I365">
            <v>803</v>
          </cell>
          <cell r="J365">
            <v>1573</v>
          </cell>
          <cell r="K365">
            <v>0.2</v>
          </cell>
          <cell r="L365">
            <v>0.6</v>
          </cell>
          <cell r="M365">
            <v>0.8</v>
          </cell>
          <cell r="N365">
            <v>1.05</v>
          </cell>
          <cell r="O365">
            <v>1.1000000000000001</v>
          </cell>
          <cell r="P365">
            <v>1.1499999999999999</v>
          </cell>
          <cell r="Q365" t="str">
            <v>INTERIOR</v>
          </cell>
          <cell r="R365">
            <v>4</v>
          </cell>
          <cell r="S365">
            <v>6</v>
          </cell>
          <cell r="T365" t="str">
            <v>Ciudad principal</v>
          </cell>
          <cell r="U365" t="str">
            <v>Entry Production Color Low/Mid</v>
          </cell>
          <cell r="V365" t="str">
            <v>XEROX MEXICANA SA DE CV / XEROX MEXICANA</v>
          </cell>
          <cell r="W365" t="str">
            <v>CHIHUAHUA</v>
          </cell>
          <cell r="X365">
            <v>2019</v>
          </cell>
          <cell r="Y365" t="str">
            <v>Qtr 2</v>
          </cell>
          <cell r="Z365" t="str">
            <v>April</v>
          </cell>
          <cell r="AA365">
            <v>9</v>
          </cell>
          <cell r="AB365">
            <v>13</v>
          </cell>
          <cell r="AC365">
            <v>0.8</v>
          </cell>
          <cell r="AD365">
            <v>0.216666675</v>
          </cell>
          <cell r="AE365">
            <v>1258.4000000000001</v>
          </cell>
        </row>
        <row r="366">
          <cell r="A366" t="str">
            <v>0XPN550545</v>
          </cell>
          <cell r="B366">
            <v>2019</v>
          </cell>
          <cell r="C366" t="str">
            <v>Qtr 2</v>
          </cell>
          <cell r="D366" t="str">
            <v>April</v>
          </cell>
          <cell r="E366">
            <v>9</v>
          </cell>
          <cell r="F366" t="str">
            <v>CORRECTIVO</v>
          </cell>
          <cell r="G366">
            <v>0.73333329999999997</v>
          </cell>
          <cell r="H366" t="str">
            <v>Entry Production Color Low/Mid</v>
          </cell>
          <cell r="I366">
            <v>803</v>
          </cell>
          <cell r="J366">
            <v>1573</v>
          </cell>
          <cell r="K366">
            <v>0.2</v>
          </cell>
          <cell r="L366">
            <v>0.6</v>
          </cell>
          <cell r="M366">
            <v>0.8</v>
          </cell>
          <cell r="N366">
            <v>1.05</v>
          </cell>
          <cell r="O366">
            <v>1.1000000000000001</v>
          </cell>
          <cell r="P366">
            <v>1.1499999999999999</v>
          </cell>
          <cell r="Q366" t="str">
            <v>INTERIOR</v>
          </cell>
          <cell r="R366">
            <v>4</v>
          </cell>
          <cell r="S366">
            <v>6</v>
          </cell>
          <cell r="T366" t="str">
            <v>Ciudad principal</v>
          </cell>
          <cell r="U366" t="str">
            <v>Entry Production Color Low/Mid</v>
          </cell>
          <cell r="V366" t="str">
            <v>XEROX MEXICANA SA DE CV / XEROX MEXICANA</v>
          </cell>
          <cell r="W366" t="str">
            <v>QUERETARO</v>
          </cell>
          <cell r="X366">
            <v>2019</v>
          </cell>
          <cell r="Y366" t="str">
            <v>Qtr 2</v>
          </cell>
          <cell r="Z366" t="str">
            <v>April</v>
          </cell>
          <cell r="AA366">
            <v>9</v>
          </cell>
          <cell r="AB366">
            <v>5</v>
          </cell>
          <cell r="AC366">
            <v>0.6</v>
          </cell>
          <cell r="AD366">
            <v>0.18333332499999999</v>
          </cell>
          <cell r="AE366">
            <v>943.8</v>
          </cell>
        </row>
        <row r="367">
          <cell r="A367" t="str">
            <v>0Y2B003354</v>
          </cell>
          <cell r="B367">
            <v>2019</v>
          </cell>
          <cell r="C367" t="str">
            <v>Qtr 2</v>
          </cell>
          <cell r="D367" t="str">
            <v>April</v>
          </cell>
          <cell r="E367">
            <v>9</v>
          </cell>
          <cell r="F367" t="str">
            <v>CORRECTIVO</v>
          </cell>
          <cell r="G367">
            <v>3.9166669999999999</v>
          </cell>
          <cell r="H367" t="str">
            <v>Departmental Digital</v>
          </cell>
          <cell r="I367">
            <v>655</v>
          </cell>
          <cell r="J367">
            <v>1365</v>
          </cell>
          <cell r="K367">
            <v>0</v>
          </cell>
          <cell r="L367">
            <v>0</v>
          </cell>
          <cell r="M367">
            <v>0.6</v>
          </cell>
          <cell r="N367">
            <v>0.8</v>
          </cell>
          <cell r="O367">
            <v>1.05</v>
          </cell>
          <cell r="P367">
            <v>1.1000000000000001</v>
          </cell>
          <cell r="Q367" t="str">
            <v>INTERIOR</v>
          </cell>
          <cell r="R367">
            <v>5</v>
          </cell>
          <cell r="S367">
            <v>9</v>
          </cell>
          <cell r="T367" t="str">
            <v>Ciudad principal</v>
          </cell>
          <cell r="U367" t="str">
            <v>Departmental Digital</v>
          </cell>
          <cell r="V367" t="str">
            <v>XEROX MEXICANA SA DE CV / XEROX MEXICANA</v>
          </cell>
          <cell r="W367" t="str">
            <v>ESTADO DE MEXICO</v>
          </cell>
          <cell r="X367">
            <v>2019</v>
          </cell>
          <cell r="Y367" t="str">
            <v>Qtr 2</v>
          </cell>
          <cell r="Z367" t="str">
            <v>April</v>
          </cell>
          <cell r="AA367">
            <v>11</v>
          </cell>
          <cell r="AB367">
            <v>228</v>
          </cell>
          <cell r="AC367">
            <v>1.1000000000000001</v>
          </cell>
          <cell r="AD367">
            <v>0.78333339999999996</v>
          </cell>
          <cell r="AE367">
            <v>1501.5</v>
          </cell>
        </row>
        <row r="368">
          <cell r="A368" t="str">
            <v>0Y4X820889</v>
          </cell>
          <cell r="B368">
            <v>2019</v>
          </cell>
          <cell r="C368" t="str">
            <v>Qtr 2</v>
          </cell>
          <cell r="D368" t="str">
            <v>April</v>
          </cell>
          <cell r="E368">
            <v>9</v>
          </cell>
          <cell r="F368" t="str">
            <v>MANTENIMIENTO PREVENTIVO</v>
          </cell>
          <cell r="G368">
            <v>0</v>
          </cell>
          <cell r="H368" t="str">
            <v>Office Digital</v>
          </cell>
          <cell r="I368">
            <v>655</v>
          </cell>
          <cell r="J368">
            <v>1365</v>
          </cell>
          <cell r="K368">
            <v>0</v>
          </cell>
          <cell r="L368">
            <v>0</v>
          </cell>
          <cell r="M368">
            <v>0.6</v>
          </cell>
          <cell r="N368">
            <v>0.8</v>
          </cell>
          <cell r="O368">
            <v>1.05</v>
          </cell>
          <cell r="P368">
            <v>1.1000000000000001</v>
          </cell>
          <cell r="Q368" t="str">
            <v>INTERIOR</v>
          </cell>
          <cell r="R368">
            <v>5</v>
          </cell>
          <cell r="S368">
            <v>9</v>
          </cell>
          <cell r="T368" t="str">
            <v>Ciudad principal</v>
          </cell>
          <cell r="U368" t="str">
            <v>Light Production Digital Business</v>
          </cell>
          <cell r="V368" t="str">
            <v>XEROX MEXICANA SA DE CV / XEROX MEXICANA</v>
          </cell>
          <cell r="W368" t="str">
            <v>TAMAULIPAS</v>
          </cell>
          <cell r="X368">
            <v>2019</v>
          </cell>
          <cell r="Y368" t="str">
            <v>Qtr 2</v>
          </cell>
          <cell r="Z368" t="str">
            <v>April</v>
          </cell>
          <cell r="AA368">
            <v>10</v>
          </cell>
          <cell r="AB368">
            <v>81</v>
          </cell>
          <cell r="AC368">
            <v>0</v>
          </cell>
          <cell r="AD368">
            <v>0</v>
          </cell>
          <cell r="AE368">
            <v>1365</v>
          </cell>
        </row>
        <row r="369">
          <cell r="A369" t="str">
            <v>0Y4X829447</v>
          </cell>
          <cell r="B369">
            <v>2019</v>
          </cell>
          <cell r="C369" t="str">
            <v>Qtr 2</v>
          </cell>
          <cell r="D369" t="str">
            <v>April</v>
          </cell>
          <cell r="E369">
            <v>9</v>
          </cell>
          <cell r="F369" t="str">
            <v>CORRECTIVO</v>
          </cell>
          <cell r="G369">
            <v>1.6666670000000001E-2</v>
          </cell>
          <cell r="H369" t="str">
            <v>Office Digital</v>
          </cell>
          <cell r="I369">
            <v>655</v>
          </cell>
          <cell r="J369">
            <v>1365</v>
          </cell>
          <cell r="K369">
            <v>0</v>
          </cell>
          <cell r="L369">
            <v>0</v>
          </cell>
          <cell r="M369">
            <v>0.6</v>
          </cell>
          <cell r="N369">
            <v>0.8</v>
          </cell>
          <cell r="O369">
            <v>1.05</v>
          </cell>
          <cell r="P369">
            <v>1.1000000000000001</v>
          </cell>
          <cell r="Q369" t="str">
            <v>INTERIOR</v>
          </cell>
          <cell r="R369">
            <v>5</v>
          </cell>
          <cell r="S369">
            <v>9</v>
          </cell>
          <cell r="T369" t="str">
            <v>Ciudad principal</v>
          </cell>
          <cell r="U369" t="str">
            <v>Light Production Digital Business</v>
          </cell>
          <cell r="V369" t="str">
            <v>XEROX MEXICANA SA DE CV / XEROX MEXICANA</v>
          </cell>
          <cell r="W369" t="str">
            <v>TAMAULIPAS</v>
          </cell>
          <cell r="X369">
            <v>2019</v>
          </cell>
          <cell r="Y369" t="str">
            <v>Qtr 2</v>
          </cell>
          <cell r="Z369" t="str">
            <v>April</v>
          </cell>
          <cell r="AA369">
            <v>10</v>
          </cell>
          <cell r="AB369">
            <v>47</v>
          </cell>
          <cell r="AC369">
            <v>1.05</v>
          </cell>
          <cell r="AD369">
            <v>3.3333339999999999E-3</v>
          </cell>
          <cell r="AE369">
            <v>1433.25</v>
          </cell>
        </row>
        <row r="370">
          <cell r="A370" t="str">
            <v>0Y4X838103</v>
          </cell>
          <cell r="B370">
            <v>2019</v>
          </cell>
          <cell r="C370" t="str">
            <v>Qtr 2</v>
          </cell>
          <cell r="D370" t="str">
            <v>April</v>
          </cell>
          <cell r="E370">
            <v>9</v>
          </cell>
          <cell r="F370" t="str">
            <v>CORRECTIVO</v>
          </cell>
          <cell r="G370">
            <v>1.55</v>
          </cell>
          <cell r="H370" t="str">
            <v>Office Digital</v>
          </cell>
          <cell r="I370">
            <v>655</v>
          </cell>
          <cell r="J370">
            <v>1365</v>
          </cell>
          <cell r="K370">
            <v>0</v>
          </cell>
          <cell r="L370">
            <v>0</v>
          </cell>
          <cell r="M370">
            <v>0.6</v>
          </cell>
          <cell r="N370">
            <v>0.8</v>
          </cell>
          <cell r="O370">
            <v>1.05</v>
          </cell>
          <cell r="P370">
            <v>1.1000000000000001</v>
          </cell>
          <cell r="Q370" t="str">
            <v>INTERIOR</v>
          </cell>
          <cell r="R370">
            <v>5</v>
          </cell>
          <cell r="S370">
            <v>9</v>
          </cell>
          <cell r="T370" t="str">
            <v>Ciudad principal</v>
          </cell>
          <cell r="U370" t="str">
            <v>Light Production Digital Business</v>
          </cell>
          <cell r="V370" t="str">
            <v>XEROX MEXICANA SA DE CV / XEROX MEXICANA</v>
          </cell>
          <cell r="W370" t="str">
            <v>ESTADO DE MEXICO</v>
          </cell>
          <cell r="X370">
            <v>2019</v>
          </cell>
          <cell r="Y370" t="str">
            <v>Qtr 2</v>
          </cell>
          <cell r="Z370" t="str">
            <v>April</v>
          </cell>
          <cell r="AA370">
            <v>9</v>
          </cell>
          <cell r="AB370">
            <v>18</v>
          </cell>
          <cell r="AC370">
            <v>0.8</v>
          </cell>
          <cell r="AD370">
            <v>0.31</v>
          </cell>
          <cell r="AE370">
            <v>1092</v>
          </cell>
        </row>
        <row r="371">
          <cell r="A371" t="str">
            <v>2TX059855</v>
          </cell>
          <cell r="B371">
            <v>2019</v>
          </cell>
          <cell r="C371" t="str">
            <v>Qtr 2</v>
          </cell>
          <cell r="D371" t="str">
            <v>April</v>
          </cell>
          <cell r="E371">
            <v>9</v>
          </cell>
          <cell r="F371" t="str">
            <v>CORRECTIVO</v>
          </cell>
          <cell r="G371">
            <v>3.6333329999999999</v>
          </cell>
          <cell r="H371" t="str">
            <v>A3 Office Color Laser MFPs</v>
          </cell>
          <cell r="I371">
            <v>655</v>
          </cell>
          <cell r="J371">
            <v>1365</v>
          </cell>
          <cell r="K371">
            <v>0</v>
          </cell>
          <cell r="L371">
            <v>0</v>
          </cell>
          <cell r="M371">
            <v>0.6</v>
          </cell>
          <cell r="N371">
            <v>0.8</v>
          </cell>
          <cell r="O371">
            <v>1.05</v>
          </cell>
          <cell r="P371">
            <v>1.1000000000000001</v>
          </cell>
          <cell r="Q371" t="str">
            <v>INTERIOR</v>
          </cell>
          <cell r="R371">
            <v>5</v>
          </cell>
          <cell r="S371">
            <v>9</v>
          </cell>
          <cell r="T371" t="str">
            <v>Otras</v>
          </cell>
          <cell r="U371" t="str">
            <v>A3 Office Color Laser MFPs</v>
          </cell>
          <cell r="V371" t="str">
            <v>XEROX MEXICANA SA DE CV / XEROX MEXICANA</v>
          </cell>
          <cell r="W371" t="str">
            <v>NUEVO LEON</v>
          </cell>
          <cell r="X371">
            <v>2019</v>
          </cell>
          <cell r="Y371" t="str">
            <v>Qtr 2</v>
          </cell>
          <cell r="Z371" t="str">
            <v>April</v>
          </cell>
          <cell r="AA371">
            <v>9</v>
          </cell>
          <cell r="AB371">
            <v>147</v>
          </cell>
          <cell r="AC371">
            <v>1.1000000000000001</v>
          </cell>
          <cell r="AD371">
            <v>0.40370366666666702</v>
          </cell>
          <cell r="AE371">
            <v>1501.5</v>
          </cell>
        </row>
        <row r="372">
          <cell r="A372" t="str">
            <v>AAQ100563</v>
          </cell>
          <cell r="B372">
            <v>2019</v>
          </cell>
          <cell r="C372" t="str">
            <v>Qtr 2</v>
          </cell>
          <cell r="D372" t="str">
            <v>April</v>
          </cell>
          <cell r="E372">
            <v>9</v>
          </cell>
          <cell r="F372" t="str">
            <v>CORRECTIVO</v>
          </cell>
          <cell r="G372">
            <v>3.05</v>
          </cell>
          <cell r="H372" t="str">
            <v>Office Digital</v>
          </cell>
          <cell r="I372">
            <v>655</v>
          </cell>
          <cell r="J372">
            <v>1365</v>
          </cell>
          <cell r="K372">
            <v>0</v>
          </cell>
          <cell r="L372">
            <v>0</v>
          </cell>
          <cell r="M372">
            <v>0.6</v>
          </cell>
          <cell r="N372">
            <v>0.8</v>
          </cell>
          <cell r="O372">
            <v>1.05</v>
          </cell>
          <cell r="P372">
            <v>1.1000000000000001</v>
          </cell>
          <cell r="Q372" t="str">
            <v>INTERIOR</v>
          </cell>
          <cell r="R372">
            <v>5</v>
          </cell>
          <cell r="S372">
            <v>9</v>
          </cell>
          <cell r="T372" t="str">
            <v>Ciudad principal</v>
          </cell>
          <cell r="U372" t="str">
            <v>A4 Mono MFPs</v>
          </cell>
          <cell r="V372" t="str">
            <v>XEROX MEXICANA SA DE CV / XEROX MEXICANA</v>
          </cell>
          <cell r="W372" t="str">
            <v>MICHOACAN</v>
          </cell>
          <cell r="X372">
            <v>2019</v>
          </cell>
          <cell r="Y372" t="str">
            <v>Qtr 2</v>
          </cell>
          <cell r="Z372" t="str">
            <v>April</v>
          </cell>
          <cell r="AA372">
            <v>10</v>
          </cell>
          <cell r="AB372">
            <v>5</v>
          </cell>
          <cell r="AC372">
            <v>0</v>
          </cell>
          <cell r="AD372">
            <v>0.61</v>
          </cell>
          <cell r="AE372">
            <v>0</v>
          </cell>
        </row>
        <row r="373">
          <cell r="A373" t="str">
            <v>Y4X830295</v>
          </cell>
          <cell r="B373">
            <v>2019</v>
          </cell>
          <cell r="C373" t="str">
            <v>Qtr 2</v>
          </cell>
          <cell r="D373" t="str">
            <v>April</v>
          </cell>
          <cell r="E373">
            <v>9</v>
          </cell>
          <cell r="F373" t="str">
            <v>CORRECTIVO</v>
          </cell>
          <cell r="G373">
            <v>2.4166669999999999</v>
          </cell>
          <cell r="H373" t="str">
            <v>Office Digital</v>
          </cell>
          <cell r="I373">
            <v>655</v>
          </cell>
          <cell r="J373">
            <v>1365</v>
          </cell>
          <cell r="K373">
            <v>0</v>
          </cell>
          <cell r="L373">
            <v>0</v>
          </cell>
          <cell r="M373">
            <v>0.6</v>
          </cell>
          <cell r="N373">
            <v>0.8</v>
          </cell>
          <cell r="O373">
            <v>1.05</v>
          </cell>
          <cell r="P373">
            <v>1.1000000000000001</v>
          </cell>
          <cell r="Q373" t="str">
            <v>INTERIOR</v>
          </cell>
          <cell r="R373">
            <v>5</v>
          </cell>
          <cell r="S373">
            <v>9</v>
          </cell>
          <cell r="T373" t="str">
            <v>Ciudad principal</v>
          </cell>
          <cell r="U373" t="str">
            <v>Light Production Digital Business</v>
          </cell>
          <cell r="V373" t="str">
            <v>XEROX MEXICANA SA DE CV / XEROX MEXICANA</v>
          </cell>
          <cell r="W373" t="str">
            <v>ESTADO DE MEXICO</v>
          </cell>
          <cell r="X373">
            <v>2019</v>
          </cell>
          <cell r="Y373" t="str">
            <v>Qtr 2</v>
          </cell>
          <cell r="Z373" t="str">
            <v>April</v>
          </cell>
          <cell r="AA373">
            <v>10</v>
          </cell>
          <cell r="AB373">
            <v>6</v>
          </cell>
          <cell r="AC373">
            <v>0</v>
          </cell>
          <cell r="AD373">
            <v>0.48333340000000002</v>
          </cell>
          <cell r="AE373">
            <v>0</v>
          </cell>
        </row>
        <row r="374">
          <cell r="A374" t="str">
            <v>03AG877768</v>
          </cell>
          <cell r="B374">
            <v>2019</v>
          </cell>
          <cell r="C374" t="str">
            <v>Qtr 2</v>
          </cell>
          <cell r="D374" t="str">
            <v>April</v>
          </cell>
          <cell r="E374">
            <v>10</v>
          </cell>
          <cell r="F374" t="str">
            <v>CORRECTIVO</v>
          </cell>
          <cell r="G374">
            <v>0.58333330000000005</v>
          </cell>
          <cell r="H374" t="str">
            <v>Departmental Digital</v>
          </cell>
          <cell r="I374">
            <v>655</v>
          </cell>
          <cell r="J374">
            <v>1365</v>
          </cell>
          <cell r="K374">
            <v>0</v>
          </cell>
          <cell r="L374">
            <v>0</v>
          </cell>
          <cell r="M374">
            <v>0.6</v>
          </cell>
          <cell r="N374">
            <v>0.8</v>
          </cell>
          <cell r="O374">
            <v>1.05</v>
          </cell>
          <cell r="P374">
            <v>1.1000000000000001</v>
          </cell>
          <cell r="Q374" t="str">
            <v>INTERIOR</v>
          </cell>
          <cell r="R374">
            <v>5</v>
          </cell>
          <cell r="S374">
            <v>9</v>
          </cell>
          <cell r="T374" t="str">
            <v>Ciudad principal</v>
          </cell>
          <cell r="U374" t="str">
            <v>Light Production Digital Business</v>
          </cell>
          <cell r="V374" t="str">
            <v>XEROX MEXICANA SA DE CV / XEROX MEXICANA</v>
          </cell>
          <cell r="W374" t="str">
            <v>QUERETARO</v>
          </cell>
          <cell r="X374">
            <v>2019</v>
          </cell>
          <cell r="Y374" t="str">
            <v>Qtr 2</v>
          </cell>
          <cell r="Z374" t="str">
            <v>April</v>
          </cell>
          <cell r="AA374">
            <v>10</v>
          </cell>
          <cell r="AB374">
            <v>37</v>
          </cell>
          <cell r="AC374">
            <v>1.05</v>
          </cell>
          <cell r="AD374">
            <v>0.11666666000000001</v>
          </cell>
          <cell r="AE374">
            <v>1433.25</v>
          </cell>
        </row>
        <row r="375">
          <cell r="A375" t="str">
            <v>08TB572617</v>
          </cell>
          <cell r="B375">
            <v>2019</v>
          </cell>
          <cell r="C375" t="str">
            <v>Qtr 2</v>
          </cell>
          <cell r="D375" t="str">
            <v>April</v>
          </cell>
          <cell r="E375">
            <v>10</v>
          </cell>
          <cell r="F375" t="str">
            <v>CORRECTIVO</v>
          </cell>
          <cell r="G375">
            <v>0.78333339999999996</v>
          </cell>
          <cell r="H375" t="str">
            <v>A3 Office Color Laser MFPs</v>
          </cell>
          <cell r="I375">
            <v>655</v>
          </cell>
          <cell r="J375">
            <v>1365</v>
          </cell>
          <cell r="K375">
            <v>0</v>
          </cell>
          <cell r="L375">
            <v>0</v>
          </cell>
          <cell r="M375">
            <v>0.6</v>
          </cell>
          <cell r="N375">
            <v>0.8</v>
          </cell>
          <cell r="O375">
            <v>1.05</v>
          </cell>
          <cell r="P375">
            <v>1.1000000000000001</v>
          </cell>
          <cell r="Q375" t="str">
            <v>INTERIOR</v>
          </cell>
          <cell r="R375">
            <v>5</v>
          </cell>
          <cell r="S375">
            <v>9</v>
          </cell>
          <cell r="T375" t="str">
            <v>Ciudad principal</v>
          </cell>
          <cell r="U375" t="str">
            <v>A3 Office Color Laser MFPs</v>
          </cell>
          <cell r="V375" t="str">
            <v>XEROX MEXICANA SA DE CV / XEROX MEXICANA</v>
          </cell>
          <cell r="W375" t="str">
            <v>CHIHUAHUA</v>
          </cell>
          <cell r="X375">
            <v>2019</v>
          </cell>
          <cell r="Y375" t="str">
            <v>Qtr 2</v>
          </cell>
          <cell r="Z375" t="str">
            <v>April</v>
          </cell>
          <cell r="AA375">
            <v>12</v>
          </cell>
          <cell r="AB375">
            <v>390</v>
          </cell>
          <cell r="AC375">
            <v>1.1000000000000001</v>
          </cell>
          <cell r="AD375">
            <v>0.15666668</v>
          </cell>
          <cell r="AE375">
            <v>1501.5</v>
          </cell>
        </row>
        <row r="376">
          <cell r="A376" t="str">
            <v>08TB572633</v>
          </cell>
          <cell r="B376">
            <v>2019</v>
          </cell>
          <cell r="C376" t="str">
            <v>Qtr 2</v>
          </cell>
          <cell r="D376" t="str">
            <v>April</v>
          </cell>
          <cell r="E376">
            <v>10</v>
          </cell>
          <cell r="F376" t="str">
            <v>CORRECTIVO</v>
          </cell>
          <cell r="G376">
            <v>1.183333</v>
          </cell>
          <cell r="H376" t="str">
            <v>A3 Office Color Laser MFPs</v>
          </cell>
          <cell r="I376">
            <v>655</v>
          </cell>
          <cell r="J376">
            <v>1365</v>
          </cell>
          <cell r="K376">
            <v>0</v>
          </cell>
          <cell r="L376">
            <v>0</v>
          </cell>
          <cell r="M376">
            <v>0.6</v>
          </cell>
          <cell r="N376">
            <v>0.8</v>
          </cell>
          <cell r="O376">
            <v>1.05</v>
          </cell>
          <cell r="P376">
            <v>1.1000000000000001</v>
          </cell>
          <cell r="Q376" t="str">
            <v>INTERIOR</v>
          </cell>
          <cell r="R376">
            <v>5</v>
          </cell>
          <cell r="S376">
            <v>9</v>
          </cell>
          <cell r="T376" t="str">
            <v>Ciudad principal</v>
          </cell>
          <cell r="U376" t="str">
            <v>A3 Office Color Laser MFPs</v>
          </cell>
          <cell r="V376" t="str">
            <v>XEROX MEXICANA SA DE CV / XEROX MEXICANA</v>
          </cell>
          <cell r="W376" t="str">
            <v>CHIHUAHUA</v>
          </cell>
          <cell r="X376">
            <v>2019</v>
          </cell>
          <cell r="Y376" t="str">
            <v>Qtr 2</v>
          </cell>
          <cell r="Z376" t="str">
            <v>April</v>
          </cell>
          <cell r="AA376">
            <v>15</v>
          </cell>
          <cell r="AB376">
            <v>345</v>
          </cell>
          <cell r="AC376">
            <v>1.1000000000000001</v>
          </cell>
          <cell r="AD376">
            <v>0.2366666</v>
          </cell>
          <cell r="AE376">
            <v>1501.5</v>
          </cell>
        </row>
        <row r="377">
          <cell r="A377" t="str">
            <v>0A2T382394</v>
          </cell>
          <cell r="B377">
            <v>2019</v>
          </cell>
          <cell r="C377" t="str">
            <v>Qtr 2</v>
          </cell>
          <cell r="D377" t="str">
            <v>April</v>
          </cell>
          <cell r="E377">
            <v>10</v>
          </cell>
          <cell r="F377" t="str">
            <v>MANTENIMIENTO PREVENTIVO</v>
          </cell>
          <cell r="G377">
            <v>0</v>
          </cell>
          <cell r="H377" t="str">
            <v>A4 Mono MFPs</v>
          </cell>
          <cell r="I377">
            <v>468</v>
          </cell>
          <cell r="J377">
            <v>715</v>
          </cell>
          <cell r="K377">
            <v>0</v>
          </cell>
          <cell r="L377">
            <v>0</v>
          </cell>
          <cell r="M377">
            <v>0</v>
          </cell>
          <cell r="N377">
            <v>0.6</v>
          </cell>
          <cell r="O377">
            <v>0.8</v>
          </cell>
          <cell r="P377">
            <v>1.05</v>
          </cell>
          <cell r="Q377" t="str">
            <v>INTERIOR</v>
          </cell>
          <cell r="R377">
            <v>5</v>
          </cell>
          <cell r="S377">
            <v>9</v>
          </cell>
          <cell r="T377" t="str">
            <v>Ciudad principal</v>
          </cell>
          <cell r="U377" t="str">
            <v>A4 Mono MFPs</v>
          </cell>
          <cell r="V377" t="str">
            <v>XEROX MEXICANA SA DE CV / XEROX MEXICANA</v>
          </cell>
          <cell r="W377" t="str">
            <v>CHIHUAHUA</v>
          </cell>
          <cell r="X377">
            <v>2019</v>
          </cell>
          <cell r="Y377" t="str">
            <v>Qtr 2</v>
          </cell>
          <cell r="Z377" t="str">
            <v>April</v>
          </cell>
          <cell r="AA377">
            <v>11</v>
          </cell>
          <cell r="AB377">
            <v>147</v>
          </cell>
          <cell r="AC377">
            <v>0</v>
          </cell>
          <cell r="AD377">
            <v>0</v>
          </cell>
          <cell r="AE377">
            <v>715</v>
          </cell>
        </row>
        <row r="378">
          <cell r="A378" t="str">
            <v>0A4T558166</v>
          </cell>
          <cell r="B378">
            <v>2019</v>
          </cell>
          <cell r="C378" t="str">
            <v>Qtr 2</v>
          </cell>
          <cell r="D378" t="str">
            <v>April</v>
          </cell>
          <cell r="E378">
            <v>10</v>
          </cell>
          <cell r="F378" t="str">
            <v>CORRECTIVO</v>
          </cell>
          <cell r="G378">
            <v>0.1666667</v>
          </cell>
          <cell r="H378" t="str">
            <v>Entry Mono Printers</v>
          </cell>
          <cell r="I378">
            <v>468</v>
          </cell>
          <cell r="J378">
            <v>715</v>
          </cell>
          <cell r="K378">
            <v>0</v>
          </cell>
          <cell r="L378">
            <v>0</v>
          </cell>
          <cell r="M378">
            <v>0</v>
          </cell>
          <cell r="N378">
            <v>0.6</v>
          </cell>
          <cell r="O378">
            <v>0.8</v>
          </cell>
          <cell r="P378">
            <v>1.05</v>
          </cell>
          <cell r="Q378" t="str">
            <v>INTERIOR</v>
          </cell>
          <cell r="R378">
            <v>5</v>
          </cell>
          <cell r="S378">
            <v>9</v>
          </cell>
          <cell r="T378" t="str">
            <v>Ciudad principal</v>
          </cell>
          <cell r="U378" t="str">
            <v>A4 Mono MFPs</v>
          </cell>
          <cell r="V378" t="str">
            <v>XEROX MEXICANA SA DE CV / XEROX MEXICANA</v>
          </cell>
          <cell r="W378" t="str">
            <v>JALISCO</v>
          </cell>
          <cell r="X378">
            <v>2019</v>
          </cell>
          <cell r="Y378" t="str">
            <v>Qtr 2</v>
          </cell>
          <cell r="Z378" t="str">
            <v>April</v>
          </cell>
          <cell r="AA378">
            <v>11</v>
          </cell>
          <cell r="AB378">
            <v>91</v>
          </cell>
          <cell r="AC378">
            <v>1.05</v>
          </cell>
          <cell r="AD378">
            <v>3.3333340000000003E-2</v>
          </cell>
          <cell r="AE378">
            <v>750.75</v>
          </cell>
        </row>
        <row r="379">
          <cell r="A379" t="str">
            <v>0BG1000839</v>
          </cell>
          <cell r="B379">
            <v>2019</v>
          </cell>
          <cell r="C379" t="str">
            <v>Qtr 2</v>
          </cell>
          <cell r="D379" t="str">
            <v>April</v>
          </cell>
          <cell r="E379">
            <v>10</v>
          </cell>
          <cell r="F379" t="str">
            <v>CORRECTIVO</v>
          </cell>
          <cell r="G379">
            <v>0</v>
          </cell>
          <cell r="H379" t="str">
            <v>Light Production Digital Business</v>
          </cell>
          <cell r="I379">
            <v>803</v>
          </cell>
          <cell r="J379">
            <v>1573</v>
          </cell>
          <cell r="K379">
            <v>0.2</v>
          </cell>
          <cell r="L379">
            <v>0.6</v>
          </cell>
          <cell r="M379">
            <v>0.8</v>
          </cell>
          <cell r="N379">
            <v>1.05</v>
          </cell>
          <cell r="O379">
            <v>1.1000000000000001</v>
          </cell>
          <cell r="P379">
            <v>1.1499999999999999</v>
          </cell>
          <cell r="Q379" t="str">
            <v>INTERIOR</v>
          </cell>
          <cell r="R379">
            <v>4</v>
          </cell>
          <cell r="S379">
            <v>6</v>
          </cell>
          <cell r="T379" t="str">
            <v>Ciudad principal</v>
          </cell>
          <cell r="U379" t="str">
            <v>High End Cut Sheet</v>
          </cell>
          <cell r="V379" t="str">
            <v>XEROX MEXICANA SA DE CV / XEROX MEXICANA</v>
          </cell>
          <cell r="W379" t="str">
            <v>CHIHUAHUA</v>
          </cell>
          <cell r="X379">
            <v>2019</v>
          </cell>
          <cell r="Y379" t="str">
            <v>Qtr 2</v>
          </cell>
          <cell r="Z379" t="str">
            <v>April</v>
          </cell>
          <cell r="AA379">
            <v>25</v>
          </cell>
          <cell r="AB379">
            <v>48</v>
          </cell>
          <cell r="AC379">
            <v>1.1000000000000001</v>
          </cell>
          <cell r="AD379">
            <v>0</v>
          </cell>
          <cell r="AE379">
            <v>1730.3</v>
          </cell>
        </row>
        <row r="380">
          <cell r="A380" t="str">
            <v>0BG2939611</v>
          </cell>
          <cell r="B380">
            <v>2019</v>
          </cell>
          <cell r="C380" t="str">
            <v>Qtr 2</v>
          </cell>
          <cell r="D380" t="str">
            <v>April</v>
          </cell>
          <cell r="E380">
            <v>10</v>
          </cell>
          <cell r="F380" t="str">
            <v>MANTENIMIENTO PREVENTIVO</v>
          </cell>
          <cell r="G380">
            <v>0</v>
          </cell>
          <cell r="H380" t="str">
            <v>Light Production Digital Business</v>
          </cell>
          <cell r="I380">
            <v>803</v>
          </cell>
          <cell r="J380">
            <v>1573</v>
          </cell>
          <cell r="K380">
            <v>0.2</v>
          </cell>
          <cell r="L380">
            <v>0.6</v>
          </cell>
          <cell r="M380">
            <v>0.8</v>
          </cell>
          <cell r="N380">
            <v>1.05</v>
          </cell>
          <cell r="O380">
            <v>1.1000000000000001</v>
          </cell>
          <cell r="P380">
            <v>1.1499999999999999</v>
          </cell>
          <cell r="Q380" t="str">
            <v>INTERIOR</v>
          </cell>
          <cell r="R380">
            <v>4</v>
          </cell>
          <cell r="S380">
            <v>6</v>
          </cell>
          <cell r="T380" t="str">
            <v>Ciudad principal</v>
          </cell>
          <cell r="U380" t="str">
            <v>High End Cut Sheet</v>
          </cell>
          <cell r="V380" t="str">
            <v>XEROX MEXICANA SA DE CV / XEROX MEXICANA</v>
          </cell>
          <cell r="W380" t="str">
            <v>TAMAULIPAS</v>
          </cell>
          <cell r="X380">
            <v>2019</v>
          </cell>
          <cell r="Y380" t="str">
            <v>Qtr 2</v>
          </cell>
          <cell r="Z380" t="str">
            <v>April</v>
          </cell>
          <cell r="AA380">
            <v>10</v>
          </cell>
          <cell r="AB380">
            <v>8</v>
          </cell>
          <cell r="AC380">
            <v>0</v>
          </cell>
          <cell r="AD380">
            <v>0</v>
          </cell>
          <cell r="AE380">
            <v>1573</v>
          </cell>
        </row>
        <row r="381">
          <cell r="A381" t="str">
            <v>0BG2939652</v>
          </cell>
          <cell r="B381">
            <v>2019</v>
          </cell>
          <cell r="C381" t="str">
            <v>Qtr 2</v>
          </cell>
          <cell r="D381" t="str">
            <v>April</v>
          </cell>
          <cell r="E381">
            <v>10</v>
          </cell>
          <cell r="F381" t="str">
            <v>CORRECTIVO</v>
          </cell>
          <cell r="G381">
            <v>1.1499999999999999</v>
          </cell>
          <cell r="H381" t="str">
            <v>Light Production Digital Business</v>
          </cell>
          <cell r="I381">
            <v>803</v>
          </cell>
          <cell r="J381">
            <v>1573</v>
          </cell>
          <cell r="K381">
            <v>0.2</v>
          </cell>
          <cell r="L381">
            <v>0.6</v>
          </cell>
          <cell r="M381">
            <v>0.8</v>
          </cell>
          <cell r="N381">
            <v>1.05</v>
          </cell>
          <cell r="O381">
            <v>1.1000000000000001</v>
          </cell>
          <cell r="P381">
            <v>1.1499999999999999</v>
          </cell>
          <cell r="Q381" t="str">
            <v>INTERIOR</v>
          </cell>
          <cell r="R381">
            <v>4</v>
          </cell>
          <cell r="S381">
            <v>6</v>
          </cell>
          <cell r="T381" t="str">
            <v>Ciudad principal</v>
          </cell>
          <cell r="U381" t="str">
            <v>High End Cut Sheet</v>
          </cell>
          <cell r="V381" t="str">
            <v>XEROX MEXICANA SA DE CV / XEROX MEXICANA</v>
          </cell>
          <cell r="W381" t="str">
            <v>JALISCO</v>
          </cell>
          <cell r="X381">
            <v>2019</v>
          </cell>
          <cell r="Y381" t="str">
            <v>Qtr 2</v>
          </cell>
          <cell r="Z381" t="str">
            <v>April</v>
          </cell>
          <cell r="AA381">
            <v>11</v>
          </cell>
          <cell r="AB381">
            <v>21</v>
          </cell>
          <cell r="AC381">
            <v>1.05</v>
          </cell>
          <cell r="AD381">
            <v>0.28749999999999998</v>
          </cell>
          <cell r="AE381">
            <v>1651.65</v>
          </cell>
        </row>
        <row r="382">
          <cell r="A382" t="str">
            <v>0BG2946786</v>
          </cell>
          <cell r="B382">
            <v>2019</v>
          </cell>
          <cell r="C382" t="str">
            <v>Qtr 2</v>
          </cell>
          <cell r="D382" t="str">
            <v>April</v>
          </cell>
          <cell r="E382">
            <v>10</v>
          </cell>
          <cell r="F382" t="str">
            <v>CORRECTIVO</v>
          </cell>
          <cell r="G382">
            <v>2.2833329999999998</v>
          </cell>
          <cell r="H382" t="str">
            <v>Light Production Digital Business</v>
          </cell>
          <cell r="I382">
            <v>803</v>
          </cell>
          <cell r="J382">
            <v>1573</v>
          </cell>
          <cell r="K382">
            <v>0.2</v>
          </cell>
          <cell r="L382">
            <v>0.6</v>
          </cell>
          <cell r="M382">
            <v>0.8</v>
          </cell>
          <cell r="N382">
            <v>1.05</v>
          </cell>
          <cell r="O382">
            <v>1.1000000000000001</v>
          </cell>
          <cell r="P382">
            <v>1.1499999999999999</v>
          </cell>
          <cell r="Q382" t="str">
            <v>INTERIOR</v>
          </cell>
          <cell r="R382">
            <v>4</v>
          </cell>
          <cell r="S382">
            <v>6</v>
          </cell>
          <cell r="T382" t="str">
            <v>Ciudad principal</v>
          </cell>
          <cell r="U382" t="str">
            <v>High End Cut Sheet</v>
          </cell>
          <cell r="V382" t="str">
            <v>XEROX MEXICANA SA DE CV / XEROX MEXICANA</v>
          </cell>
          <cell r="W382" t="str">
            <v>NUEVO LEON</v>
          </cell>
          <cell r="X382">
            <v>2019</v>
          </cell>
          <cell r="Y382" t="str">
            <v>Qtr 2</v>
          </cell>
          <cell r="Z382" t="str">
            <v>April</v>
          </cell>
          <cell r="AA382">
            <v>11</v>
          </cell>
          <cell r="AB382">
            <v>5</v>
          </cell>
          <cell r="AC382">
            <v>0.6</v>
          </cell>
          <cell r="AD382">
            <v>0.57083324999999996</v>
          </cell>
          <cell r="AE382">
            <v>943.8</v>
          </cell>
        </row>
        <row r="383">
          <cell r="A383" t="str">
            <v>0BG2946876</v>
          </cell>
          <cell r="B383">
            <v>2019</v>
          </cell>
          <cell r="C383" t="str">
            <v>Qtr 2</v>
          </cell>
          <cell r="D383" t="str">
            <v>April</v>
          </cell>
          <cell r="E383">
            <v>10</v>
          </cell>
          <cell r="F383" t="str">
            <v>CORRECTIVO</v>
          </cell>
          <cell r="G383">
            <v>1.266667</v>
          </cell>
          <cell r="H383" t="str">
            <v>Light Production Digital Business</v>
          </cell>
          <cell r="I383">
            <v>803</v>
          </cell>
          <cell r="J383">
            <v>1573</v>
          </cell>
          <cell r="K383">
            <v>0.2</v>
          </cell>
          <cell r="L383">
            <v>0.6</v>
          </cell>
          <cell r="M383">
            <v>0.8</v>
          </cell>
          <cell r="N383">
            <v>1.05</v>
          </cell>
          <cell r="O383">
            <v>1.1000000000000001</v>
          </cell>
          <cell r="P383">
            <v>1.1499999999999999</v>
          </cell>
          <cell r="Q383" t="str">
            <v>INTERIOR</v>
          </cell>
          <cell r="R383">
            <v>4</v>
          </cell>
          <cell r="S383">
            <v>6</v>
          </cell>
          <cell r="T383" t="str">
            <v>Ciudad principal</v>
          </cell>
          <cell r="U383" t="str">
            <v>High End Cut Sheet</v>
          </cell>
          <cell r="V383" t="str">
            <v>XEROX MEXICANA SA DE CV / XEROX MEXICANA</v>
          </cell>
          <cell r="W383" t="str">
            <v>GUANAJUATO</v>
          </cell>
          <cell r="X383">
            <v>2019</v>
          </cell>
          <cell r="Y383" t="str">
            <v>Qtr 2</v>
          </cell>
          <cell r="Z383" t="str">
            <v>April</v>
          </cell>
          <cell r="AA383">
            <v>11</v>
          </cell>
          <cell r="AB383">
            <v>15</v>
          </cell>
          <cell r="AC383">
            <v>0.8</v>
          </cell>
          <cell r="AD383">
            <v>0.31666675</v>
          </cell>
          <cell r="AE383">
            <v>1258.4000000000001</v>
          </cell>
        </row>
        <row r="384">
          <cell r="A384" t="str">
            <v>0BG2947152</v>
          </cell>
          <cell r="B384">
            <v>2019</v>
          </cell>
          <cell r="C384" t="str">
            <v>Qtr 2</v>
          </cell>
          <cell r="D384" t="str">
            <v>April</v>
          </cell>
          <cell r="E384">
            <v>10</v>
          </cell>
          <cell r="F384" t="str">
            <v>CORRECTIVO</v>
          </cell>
          <cell r="G384">
            <v>3.1666669999999999</v>
          </cell>
          <cell r="H384" t="str">
            <v>Light Production Digital Business</v>
          </cell>
          <cell r="I384">
            <v>803</v>
          </cell>
          <cell r="J384">
            <v>1573</v>
          </cell>
          <cell r="K384">
            <v>0.2</v>
          </cell>
          <cell r="L384">
            <v>0.6</v>
          </cell>
          <cell r="M384">
            <v>0.8</v>
          </cell>
          <cell r="N384">
            <v>1.05</v>
          </cell>
          <cell r="O384">
            <v>1.1000000000000001</v>
          </cell>
          <cell r="P384">
            <v>1.1499999999999999</v>
          </cell>
          <cell r="Q384" t="str">
            <v>INTERIOR</v>
          </cell>
          <cell r="R384">
            <v>4</v>
          </cell>
          <cell r="S384">
            <v>6</v>
          </cell>
          <cell r="T384" t="str">
            <v>Ciudad principal</v>
          </cell>
          <cell r="U384" t="str">
            <v>High End Cut Sheet</v>
          </cell>
          <cell r="V384" t="str">
            <v>XEROX MEXICANA SA DE CV / XEROX MEXICANA</v>
          </cell>
          <cell r="W384" t="str">
            <v>JALISCO</v>
          </cell>
          <cell r="X384">
            <v>2019</v>
          </cell>
          <cell r="Y384" t="str">
            <v>Qtr 2</v>
          </cell>
          <cell r="Z384" t="str">
            <v>April</v>
          </cell>
          <cell r="AA384">
            <v>10</v>
          </cell>
          <cell r="AB384">
            <v>26</v>
          </cell>
          <cell r="AC384">
            <v>1.05</v>
          </cell>
          <cell r="AD384">
            <v>0.79166674999999997</v>
          </cell>
          <cell r="AE384">
            <v>1651.65</v>
          </cell>
        </row>
        <row r="385">
          <cell r="A385" t="str">
            <v>0C4X003017</v>
          </cell>
          <cell r="B385">
            <v>2019</v>
          </cell>
          <cell r="C385" t="str">
            <v>Qtr 2</v>
          </cell>
          <cell r="D385" t="str">
            <v>April</v>
          </cell>
          <cell r="E385">
            <v>10</v>
          </cell>
          <cell r="F385" t="str">
            <v>CORRECTIVO</v>
          </cell>
          <cell r="G385">
            <v>1.75</v>
          </cell>
          <cell r="H385" t="str">
            <v>A4 Mono MFPs</v>
          </cell>
          <cell r="I385">
            <v>468</v>
          </cell>
          <cell r="J385">
            <v>715</v>
          </cell>
          <cell r="K385">
            <v>0</v>
          </cell>
          <cell r="L385">
            <v>0</v>
          </cell>
          <cell r="M385">
            <v>0</v>
          </cell>
          <cell r="N385">
            <v>0.6</v>
          </cell>
          <cell r="O385">
            <v>0.8</v>
          </cell>
          <cell r="P385">
            <v>1.05</v>
          </cell>
          <cell r="Q385" t="str">
            <v>INTERIOR</v>
          </cell>
          <cell r="R385">
            <v>5</v>
          </cell>
          <cell r="S385">
            <v>9</v>
          </cell>
          <cell r="T385" t="str">
            <v>Otras</v>
          </cell>
          <cell r="U385" t="str">
            <v>A4 Mono MFPs</v>
          </cell>
          <cell r="V385" t="str">
            <v>XEROX MEXICANA SA DE CV / XEROX MEXICANA</v>
          </cell>
          <cell r="W385" t="str">
            <v>CHIHUAHUA</v>
          </cell>
          <cell r="X385">
            <v>2019</v>
          </cell>
          <cell r="Y385" t="str">
            <v>Qtr 2</v>
          </cell>
          <cell r="Z385" t="str">
            <v>April</v>
          </cell>
          <cell r="AA385">
            <v>10</v>
          </cell>
          <cell r="AB385">
            <v>47</v>
          </cell>
          <cell r="AC385">
            <v>0.8</v>
          </cell>
          <cell r="AD385">
            <v>0.194444444444444</v>
          </cell>
          <cell r="AE385">
            <v>572</v>
          </cell>
        </row>
        <row r="386">
          <cell r="A386" t="str">
            <v>0C4X003297</v>
          </cell>
          <cell r="B386">
            <v>2019</v>
          </cell>
          <cell r="C386" t="str">
            <v>Qtr 2</v>
          </cell>
          <cell r="D386" t="str">
            <v>April</v>
          </cell>
          <cell r="E386">
            <v>10</v>
          </cell>
          <cell r="F386" t="str">
            <v>CORRECTIVO</v>
          </cell>
          <cell r="G386">
            <v>0</v>
          </cell>
          <cell r="H386" t="str">
            <v>A4 Mono MFPs</v>
          </cell>
          <cell r="I386">
            <v>468</v>
          </cell>
          <cell r="J386">
            <v>715</v>
          </cell>
          <cell r="K386">
            <v>0</v>
          </cell>
          <cell r="L386">
            <v>0</v>
          </cell>
          <cell r="M386">
            <v>0</v>
          </cell>
          <cell r="N386">
            <v>0.6</v>
          </cell>
          <cell r="O386">
            <v>0.8</v>
          </cell>
          <cell r="P386">
            <v>1.05</v>
          </cell>
          <cell r="Q386" t="str">
            <v>INTERIOR</v>
          </cell>
          <cell r="R386">
            <v>5</v>
          </cell>
          <cell r="S386">
            <v>9</v>
          </cell>
          <cell r="T386" t="str">
            <v>Ciudad principal</v>
          </cell>
          <cell r="U386" t="str">
            <v>A4 Mono MFPs</v>
          </cell>
          <cell r="V386" t="str">
            <v>XEROX MEXICANA SA DE CV / XEROX MEXICANA</v>
          </cell>
          <cell r="W386" t="str">
            <v>CHIHUAHUA</v>
          </cell>
          <cell r="X386">
            <v>2019</v>
          </cell>
          <cell r="Y386" t="str">
            <v>Qtr 2</v>
          </cell>
          <cell r="Z386" t="str">
            <v>April</v>
          </cell>
          <cell r="AA386">
            <v>10</v>
          </cell>
          <cell r="AB386">
            <v>26</v>
          </cell>
          <cell r="AC386">
            <v>0.6</v>
          </cell>
          <cell r="AD386">
            <v>0</v>
          </cell>
          <cell r="AE386">
            <v>429</v>
          </cell>
        </row>
        <row r="387">
          <cell r="A387" t="str">
            <v>0C7X246842</v>
          </cell>
          <cell r="B387">
            <v>2019</v>
          </cell>
          <cell r="C387" t="str">
            <v>Qtr 2</v>
          </cell>
          <cell r="D387" t="str">
            <v>April</v>
          </cell>
          <cell r="E387">
            <v>10</v>
          </cell>
          <cell r="F387" t="str">
            <v>CORRECTIVO</v>
          </cell>
          <cell r="G387">
            <v>1.316667</v>
          </cell>
          <cell r="H387" t="str">
            <v>A4 Mono MFPs</v>
          </cell>
          <cell r="I387">
            <v>468</v>
          </cell>
          <cell r="J387">
            <v>715</v>
          </cell>
          <cell r="K387">
            <v>0</v>
          </cell>
          <cell r="L387">
            <v>0</v>
          </cell>
          <cell r="M387">
            <v>0</v>
          </cell>
          <cell r="N387">
            <v>0.6</v>
          </cell>
          <cell r="O387">
            <v>0.8</v>
          </cell>
          <cell r="P387">
            <v>1.05</v>
          </cell>
          <cell r="Q387" t="str">
            <v>INTERIOR</v>
          </cell>
          <cell r="R387">
            <v>5</v>
          </cell>
          <cell r="S387">
            <v>9</v>
          </cell>
          <cell r="T387" t="str">
            <v>Ciudad principal</v>
          </cell>
          <cell r="U387" t="str">
            <v>A4 Mono MFPs</v>
          </cell>
          <cell r="V387" t="str">
            <v>XEROX MEXICANA SA DE CV / XEROX MEXICANA</v>
          </cell>
          <cell r="W387" t="str">
            <v>JALISCO</v>
          </cell>
          <cell r="X387">
            <v>2019</v>
          </cell>
          <cell r="Y387" t="str">
            <v>Qtr 2</v>
          </cell>
          <cell r="Z387" t="str">
            <v>April</v>
          </cell>
          <cell r="AA387">
            <v>12</v>
          </cell>
          <cell r="AB387">
            <v>55</v>
          </cell>
          <cell r="AC387">
            <v>0.8</v>
          </cell>
          <cell r="AD387">
            <v>0.2633334</v>
          </cell>
          <cell r="AE387">
            <v>572</v>
          </cell>
        </row>
        <row r="388">
          <cell r="A388" t="str">
            <v>0E2B654128</v>
          </cell>
          <cell r="B388">
            <v>2019</v>
          </cell>
          <cell r="C388" t="str">
            <v>Qtr 2</v>
          </cell>
          <cell r="D388" t="str">
            <v>April</v>
          </cell>
          <cell r="E388">
            <v>10</v>
          </cell>
          <cell r="F388" t="str">
            <v>CORRECTIVO</v>
          </cell>
          <cell r="G388">
            <v>1.233333</v>
          </cell>
          <cell r="H388" t="str">
            <v>Entry Production Color Low/Mid</v>
          </cell>
          <cell r="I388">
            <v>803</v>
          </cell>
          <cell r="J388">
            <v>1573</v>
          </cell>
          <cell r="K388">
            <v>0.2</v>
          </cell>
          <cell r="L388">
            <v>0.6</v>
          </cell>
          <cell r="M388">
            <v>0.8</v>
          </cell>
          <cell r="N388">
            <v>1.05</v>
          </cell>
          <cell r="O388">
            <v>1.1000000000000001</v>
          </cell>
          <cell r="P388">
            <v>1.1499999999999999</v>
          </cell>
          <cell r="Q388" t="str">
            <v>INTERIOR</v>
          </cell>
          <cell r="R388">
            <v>4</v>
          </cell>
          <cell r="S388">
            <v>6</v>
          </cell>
          <cell r="T388" t="str">
            <v>Ciudad principal</v>
          </cell>
          <cell r="U388" t="str">
            <v>Entry Production Color Low/Mid</v>
          </cell>
          <cell r="V388" t="str">
            <v>XEROX MEXICANA SA DE CV / XEROX MEXICANA</v>
          </cell>
          <cell r="W388" t="str">
            <v>JALISCO</v>
          </cell>
          <cell r="X388">
            <v>2019</v>
          </cell>
          <cell r="Y388" t="str">
            <v>Qtr 2</v>
          </cell>
          <cell r="Z388" t="str">
            <v>April</v>
          </cell>
          <cell r="AA388">
            <v>12</v>
          </cell>
          <cell r="AB388">
            <v>43</v>
          </cell>
          <cell r="AC388">
            <v>1.1000000000000001</v>
          </cell>
          <cell r="AD388">
            <v>0.30833325</v>
          </cell>
          <cell r="AE388">
            <v>1730.3</v>
          </cell>
        </row>
        <row r="389">
          <cell r="A389" t="str">
            <v>0E2B658299</v>
          </cell>
          <cell r="B389">
            <v>2019</v>
          </cell>
          <cell r="C389" t="str">
            <v>Qtr 2</v>
          </cell>
          <cell r="D389" t="str">
            <v>April</v>
          </cell>
          <cell r="E389">
            <v>10</v>
          </cell>
          <cell r="F389" t="str">
            <v>CORRECTIVO</v>
          </cell>
          <cell r="G389">
            <v>2.516667</v>
          </cell>
          <cell r="H389" t="str">
            <v>Entry Production Color Low/Mid</v>
          </cell>
          <cell r="I389">
            <v>803</v>
          </cell>
          <cell r="J389">
            <v>1573</v>
          </cell>
          <cell r="K389">
            <v>0.2</v>
          </cell>
          <cell r="L389">
            <v>0.6</v>
          </cell>
          <cell r="M389">
            <v>0.8</v>
          </cell>
          <cell r="N389">
            <v>1.05</v>
          </cell>
          <cell r="O389">
            <v>1.1000000000000001</v>
          </cell>
          <cell r="P389">
            <v>1.1499999999999999</v>
          </cell>
          <cell r="Q389" t="str">
            <v>INTERIOR</v>
          </cell>
          <cell r="R389">
            <v>4</v>
          </cell>
          <cell r="S389">
            <v>6</v>
          </cell>
          <cell r="T389" t="str">
            <v>Ciudad principal</v>
          </cell>
          <cell r="U389" t="str">
            <v>Entry Production Color Low/Mid</v>
          </cell>
          <cell r="V389" t="str">
            <v>XEROX MEXICANA SA DE CV / XEROX MEXICANA</v>
          </cell>
          <cell r="W389" t="str">
            <v>NUEVO LEON</v>
          </cell>
          <cell r="X389">
            <v>2019</v>
          </cell>
          <cell r="Y389" t="str">
            <v>Qtr 2</v>
          </cell>
          <cell r="Z389" t="str">
            <v>April</v>
          </cell>
          <cell r="AA389">
            <v>11</v>
          </cell>
          <cell r="AB389">
            <v>37</v>
          </cell>
          <cell r="AC389">
            <v>1.1000000000000001</v>
          </cell>
          <cell r="AD389">
            <v>0.62916675</v>
          </cell>
          <cell r="AE389">
            <v>1730.3</v>
          </cell>
        </row>
        <row r="390">
          <cell r="A390" t="str">
            <v>0E2B666229</v>
          </cell>
          <cell r="B390">
            <v>2019</v>
          </cell>
          <cell r="C390" t="str">
            <v>Qtr 2</v>
          </cell>
          <cell r="D390" t="str">
            <v>April</v>
          </cell>
          <cell r="E390">
            <v>10</v>
          </cell>
          <cell r="F390" t="str">
            <v>CORRECTIVO</v>
          </cell>
          <cell r="G390">
            <v>1.3</v>
          </cell>
          <cell r="H390" t="str">
            <v>Entry Production Color Low/Mid</v>
          </cell>
          <cell r="I390">
            <v>803</v>
          </cell>
          <cell r="J390">
            <v>1573</v>
          </cell>
          <cell r="K390">
            <v>0.2</v>
          </cell>
          <cell r="L390">
            <v>0.6</v>
          </cell>
          <cell r="M390">
            <v>0.8</v>
          </cell>
          <cell r="N390">
            <v>1.05</v>
          </cell>
          <cell r="O390">
            <v>1.1000000000000001</v>
          </cell>
          <cell r="P390">
            <v>1.1499999999999999</v>
          </cell>
          <cell r="Q390" t="str">
            <v>INTERIOR</v>
          </cell>
          <cell r="R390">
            <v>4</v>
          </cell>
          <cell r="S390">
            <v>6</v>
          </cell>
          <cell r="T390" t="str">
            <v>Ciudad principal</v>
          </cell>
          <cell r="U390" t="str">
            <v>Entry Production Color Low/Mid</v>
          </cell>
          <cell r="V390" t="str">
            <v>XEROX MEXICANA SA DE CV / XEROX MEXICANA</v>
          </cell>
          <cell r="W390" t="str">
            <v>NUEVO LEON</v>
          </cell>
          <cell r="X390">
            <v>2019</v>
          </cell>
          <cell r="Y390" t="str">
            <v>Qtr 2</v>
          </cell>
          <cell r="Z390" t="str">
            <v>April</v>
          </cell>
          <cell r="AA390">
            <v>10</v>
          </cell>
          <cell r="AB390">
            <v>16</v>
          </cell>
          <cell r="AC390">
            <v>1.05</v>
          </cell>
          <cell r="AD390">
            <v>0.32500000000000001</v>
          </cell>
          <cell r="AE390">
            <v>1651.65</v>
          </cell>
        </row>
        <row r="391">
          <cell r="A391" t="str">
            <v>0EX7407186</v>
          </cell>
          <cell r="B391">
            <v>2019</v>
          </cell>
          <cell r="C391" t="str">
            <v>Qtr 2</v>
          </cell>
          <cell r="D391" t="str">
            <v>April</v>
          </cell>
          <cell r="E391">
            <v>10</v>
          </cell>
          <cell r="F391" t="str">
            <v>CORRECTIVO</v>
          </cell>
          <cell r="G391">
            <v>0.43333329999999998</v>
          </cell>
          <cell r="H391" t="str">
            <v>Office Digital</v>
          </cell>
          <cell r="I391">
            <v>655</v>
          </cell>
          <cell r="J391">
            <v>1365</v>
          </cell>
          <cell r="K391">
            <v>0</v>
          </cell>
          <cell r="L391">
            <v>0</v>
          </cell>
          <cell r="M391">
            <v>0.6</v>
          </cell>
          <cell r="N391">
            <v>0.8</v>
          </cell>
          <cell r="O391">
            <v>1.05</v>
          </cell>
          <cell r="P391">
            <v>1.1000000000000001</v>
          </cell>
          <cell r="Q391" t="str">
            <v>INTERIOR</v>
          </cell>
          <cell r="R391">
            <v>5</v>
          </cell>
          <cell r="S391">
            <v>9</v>
          </cell>
          <cell r="T391" t="str">
            <v>Ciudad principal</v>
          </cell>
          <cell r="U391" t="str">
            <v>Departmental Digital</v>
          </cell>
          <cell r="V391" t="str">
            <v>XEROX MEXICANA SA DE CV / XEROX MEXICANA</v>
          </cell>
          <cell r="W391" t="str">
            <v>CHIHUAHUA</v>
          </cell>
          <cell r="X391">
            <v>2019</v>
          </cell>
          <cell r="Y391" t="str">
            <v>Qtr 2</v>
          </cell>
          <cell r="Z391" t="str">
            <v>April</v>
          </cell>
          <cell r="AA391">
            <v>10</v>
          </cell>
          <cell r="AB391">
            <v>120</v>
          </cell>
          <cell r="AC391">
            <v>1.1000000000000001</v>
          </cell>
          <cell r="AD391">
            <v>8.6666660000000006E-2</v>
          </cell>
          <cell r="AE391">
            <v>1501.5</v>
          </cell>
        </row>
        <row r="392">
          <cell r="A392" t="str">
            <v>0EX7422511</v>
          </cell>
          <cell r="B392">
            <v>2019</v>
          </cell>
          <cell r="C392" t="str">
            <v>Qtr 2</v>
          </cell>
          <cell r="D392" t="str">
            <v>April</v>
          </cell>
          <cell r="E392">
            <v>10</v>
          </cell>
          <cell r="F392" t="str">
            <v>CORRECTIVO</v>
          </cell>
          <cell r="G392">
            <v>1.6666670000000001E-2</v>
          </cell>
          <cell r="H392" t="str">
            <v>Departmental Digital</v>
          </cell>
          <cell r="I392">
            <v>655</v>
          </cell>
          <cell r="J392">
            <v>1365</v>
          </cell>
          <cell r="K392">
            <v>0</v>
          </cell>
          <cell r="L392">
            <v>0</v>
          </cell>
          <cell r="M392">
            <v>0.6</v>
          </cell>
          <cell r="N392">
            <v>0.8</v>
          </cell>
          <cell r="O392">
            <v>1.05</v>
          </cell>
          <cell r="P392">
            <v>1.1000000000000001</v>
          </cell>
          <cell r="Q392" t="str">
            <v>INTERIOR</v>
          </cell>
          <cell r="R392">
            <v>5</v>
          </cell>
          <cell r="S392">
            <v>9</v>
          </cell>
          <cell r="T392" t="str">
            <v>Ciudad principal</v>
          </cell>
          <cell r="U392" t="str">
            <v>Departmental Digital</v>
          </cell>
          <cell r="V392" t="str">
            <v>XEROX MEXICANA SA DE CV / XEROX MEXICANA</v>
          </cell>
          <cell r="W392" t="str">
            <v>COAHUILA</v>
          </cell>
          <cell r="X392">
            <v>2019</v>
          </cell>
          <cell r="Y392" t="str">
            <v>Qtr 2</v>
          </cell>
          <cell r="Z392" t="str">
            <v>April</v>
          </cell>
          <cell r="AA392">
            <v>10</v>
          </cell>
          <cell r="AB392">
            <v>160</v>
          </cell>
          <cell r="AC392">
            <v>1.1000000000000001</v>
          </cell>
          <cell r="AD392">
            <v>3.3333339999999999E-3</v>
          </cell>
          <cell r="AE392">
            <v>1501.5</v>
          </cell>
        </row>
        <row r="393">
          <cell r="A393" t="str">
            <v>0EX9293168</v>
          </cell>
          <cell r="B393">
            <v>2019</v>
          </cell>
          <cell r="C393" t="str">
            <v>Qtr 2</v>
          </cell>
          <cell r="D393" t="str">
            <v>April</v>
          </cell>
          <cell r="E393">
            <v>10</v>
          </cell>
          <cell r="F393" t="str">
            <v>MANTENIMIENTO PREVENTIVO</v>
          </cell>
          <cell r="G393">
            <v>0</v>
          </cell>
          <cell r="H393" t="str">
            <v>Departmental Digital</v>
          </cell>
          <cell r="I393">
            <v>655</v>
          </cell>
          <cell r="J393">
            <v>1365</v>
          </cell>
          <cell r="K393">
            <v>0</v>
          </cell>
          <cell r="L393">
            <v>0</v>
          </cell>
          <cell r="M393">
            <v>0.6</v>
          </cell>
          <cell r="N393">
            <v>0.8</v>
          </cell>
          <cell r="O393">
            <v>1.05</v>
          </cell>
          <cell r="P393">
            <v>1.1000000000000001</v>
          </cell>
          <cell r="Q393" t="str">
            <v>INTERIOR</v>
          </cell>
          <cell r="R393">
            <v>5</v>
          </cell>
          <cell r="S393">
            <v>9</v>
          </cell>
          <cell r="T393" t="str">
            <v>Ciudad principal</v>
          </cell>
          <cell r="U393" t="str">
            <v>Departmental Digital</v>
          </cell>
          <cell r="V393" t="str">
            <v>XEROX MEXICANA SA DE CV / XEROX MEXICANA</v>
          </cell>
          <cell r="W393" t="str">
            <v>GUANAJUATO</v>
          </cell>
          <cell r="X393">
            <v>2019</v>
          </cell>
          <cell r="Y393" t="str">
            <v>Qtr 2</v>
          </cell>
          <cell r="Z393" t="str">
            <v>April</v>
          </cell>
          <cell r="AA393">
            <v>10</v>
          </cell>
          <cell r="AB393">
            <v>6</v>
          </cell>
          <cell r="AC393">
            <v>0</v>
          </cell>
          <cell r="AD393">
            <v>0</v>
          </cell>
          <cell r="AE393">
            <v>1365</v>
          </cell>
        </row>
        <row r="394">
          <cell r="A394" t="str">
            <v>0EX9297705</v>
          </cell>
          <cell r="B394">
            <v>2019</v>
          </cell>
          <cell r="C394" t="str">
            <v>Qtr 2</v>
          </cell>
          <cell r="D394" t="str">
            <v>April</v>
          </cell>
          <cell r="E394">
            <v>10</v>
          </cell>
          <cell r="F394" t="str">
            <v>CORRECTIVO</v>
          </cell>
          <cell r="G394">
            <v>2.1</v>
          </cell>
          <cell r="H394" t="str">
            <v>Departmental Digital</v>
          </cell>
          <cell r="I394">
            <v>655</v>
          </cell>
          <cell r="J394">
            <v>1365</v>
          </cell>
          <cell r="K394">
            <v>0</v>
          </cell>
          <cell r="L394">
            <v>0</v>
          </cell>
          <cell r="M394">
            <v>0.6</v>
          </cell>
          <cell r="N394">
            <v>0.8</v>
          </cell>
          <cell r="O394">
            <v>1.05</v>
          </cell>
          <cell r="P394">
            <v>1.1000000000000001</v>
          </cell>
          <cell r="Q394" t="str">
            <v>INTERIOR</v>
          </cell>
          <cell r="R394">
            <v>5</v>
          </cell>
          <cell r="S394">
            <v>9</v>
          </cell>
          <cell r="T394" t="str">
            <v>Ciudad principal</v>
          </cell>
          <cell r="U394" t="str">
            <v>Departmental Digital</v>
          </cell>
          <cell r="V394" t="str">
            <v>XEROX MEXICANA SA DE CV / XEROX MEXICANA</v>
          </cell>
          <cell r="W394" t="str">
            <v>NUEVO LEON</v>
          </cell>
          <cell r="X394">
            <v>2019</v>
          </cell>
          <cell r="Y394" t="str">
            <v>Qtr 2</v>
          </cell>
          <cell r="Z394" t="str">
            <v>April</v>
          </cell>
          <cell r="AA394">
            <v>15</v>
          </cell>
          <cell r="AB394">
            <v>5</v>
          </cell>
          <cell r="AC394">
            <v>0</v>
          </cell>
          <cell r="AD394">
            <v>0.42</v>
          </cell>
          <cell r="AE394">
            <v>0</v>
          </cell>
        </row>
        <row r="395">
          <cell r="A395" t="str">
            <v>0LA6297372</v>
          </cell>
          <cell r="B395">
            <v>2019</v>
          </cell>
          <cell r="C395" t="str">
            <v>Qtr 2</v>
          </cell>
          <cell r="D395" t="str">
            <v>April</v>
          </cell>
          <cell r="E395">
            <v>10</v>
          </cell>
          <cell r="F395" t="str">
            <v>CORRECTIVO</v>
          </cell>
          <cell r="G395">
            <v>1</v>
          </cell>
          <cell r="H395" t="str">
            <v>A4 Mono MFPs</v>
          </cell>
          <cell r="I395">
            <v>468</v>
          </cell>
          <cell r="J395">
            <v>715</v>
          </cell>
          <cell r="K395">
            <v>0</v>
          </cell>
          <cell r="L395">
            <v>0</v>
          </cell>
          <cell r="M395">
            <v>0</v>
          </cell>
          <cell r="N395">
            <v>0.6</v>
          </cell>
          <cell r="O395">
            <v>0.8</v>
          </cell>
          <cell r="P395">
            <v>1.05</v>
          </cell>
          <cell r="Q395" t="str">
            <v>INTERIOR</v>
          </cell>
          <cell r="R395">
            <v>5</v>
          </cell>
          <cell r="S395">
            <v>9</v>
          </cell>
          <cell r="T395" t="str">
            <v>Ciudad principal</v>
          </cell>
          <cell r="U395" t="str">
            <v>A4 Mono MFPs</v>
          </cell>
          <cell r="V395" t="str">
            <v>XEROX MEXICANA SA DE CV / XEROX MEXICANA</v>
          </cell>
          <cell r="W395" t="str">
            <v>MICHOACAN</v>
          </cell>
          <cell r="X395">
            <v>2019</v>
          </cell>
          <cell r="Y395" t="str">
            <v>Qtr 2</v>
          </cell>
          <cell r="Z395" t="str">
            <v>April</v>
          </cell>
          <cell r="AA395">
            <v>12</v>
          </cell>
          <cell r="AB395">
            <v>26</v>
          </cell>
          <cell r="AC395">
            <v>0.6</v>
          </cell>
          <cell r="AD395">
            <v>0.2</v>
          </cell>
          <cell r="AE395">
            <v>429</v>
          </cell>
        </row>
        <row r="396">
          <cell r="A396" t="str">
            <v>0LX5825590</v>
          </cell>
          <cell r="B396">
            <v>2019</v>
          </cell>
          <cell r="C396" t="str">
            <v>Qtr 2</v>
          </cell>
          <cell r="D396" t="str">
            <v>April</v>
          </cell>
          <cell r="E396">
            <v>10</v>
          </cell>
          <cell r="F396" t="str">
            <v>CORRECTIVO</v>
          </cell>
          <cell r="G396">
            <v>0</v>
          </cell>
          <cell r="H396" t="str">
            <v>A3 Office Color Laser MFPs</v>
          </cell>
          <cell r="I396">
            <v>655</v>
          </cell>
          <cell r="J396">
            <v>1365</v>
          </cell>
          <cell r="K396">
            <v>0</v>
          </cell>
          <cell r="L396">
            <v>0</v>
          </cell>
          <cell r="M396">
            <v>0.6</v>
          </cell>
          <cell r="N396">
            <v>0.8</v>
          </cell>
          <cell r="O396">
            <v>1.05</v>
          </cell>
          <cell r="P396">
            <v>1.1000000000000001</v>
          </cell>
          <cell r="Q396" t="str">
            <v>INTERIOR</v>
          </cell>
          <cell r="R396">
            <v>5</v>
          </cell>
          <cell r="S396">
            <v>9</v>
          </cell>
          <cell r="T396" t="str">
            <v>Ciudad principal</v>
          </cell>
          <cell r="U396" t="str">
            <v>A3 Office Color Laser MFPs</v>
          </cell>
          <cell r="V396" t="str">
            <v>XEROX MEXICANA SA DE CV / XEROX MEXICANA</v>
          </cell>
          <cell r="W396" t="str">
            <v>CHIHUAHUA</v>
          </cell>
          <cell r="X396">
            <v>2019</v>
          </cell>
          <cell r="Y396" t="str">
            <v>Qtr 2</v>
          </cell>
          <cell r="Z396" t="str">
            <v>April</v>
          </cell>
          <cell r="AA396">
            <v>24</v>
          </cell>
          <cell r="AB396">
            <v>155</v>
          </cell>
          <cell r="AC396">
            <v>1.1000000000000001</v>
          </cell>
          <cell r="AD396">
            <v>0</v>
          </cell>
          <cell r="AE396">
            <v>1501.5</v>
          </cell>
        </row>
        <row r="397">
          <cell r="A397" t="str">
            <v>0MX4465095</v>
          </cell>
          <cell r="B397">
            <v>2019</v>
          </cell>
          <cell r="C397" t="str">
            <v>Qtr 2</v>
          </cell>
          <cell r="D397" t="str">
            <v>April</v>
          </cell>
          <cell r="E397">
            <v>10</v>
          </cell>
          <cell r="F397" t="str">
            <v>CORRECTIVO</v>
          </cell>
          <cell r="G397">
            <v>0.93333330000000003</v>
          </cell>
          <cell r="H397" t="str">
            <v>A3 Office Color Laser MFPs</v>
          </cell>
          <cell r="I397">
            <v>655</v>
          </cell>
          <cell r="J397">
            <v>1365</v>
          </cell>
          <cell r="K397">
            <v>0</v>
          </cell>
          <cell r="L397">
            <v>0</v>
          </cell>
          <cell r="M397">
            <v>0.6</v>
          </cell>
          <cell r="N397">
            <v>0.8</v>
          </cell>
          <cell r="O397">
            <v>1.05</v>
          </cell>
          <cell r="P397">
            <v>1.1000000000000001</v>
          </cell>
          <cell r="Q397" t="str">
            <v>INTERIOR</v>
          </cell>
          <cell r="R397">
            <v>5</v>
          </cell>
          <cell r="S397">
            <v>9</v>
          </cell>
          <cell r="T397" t="str">
            <v>Ciudad principal</v>
          </cell>
          <cell r="U397" t="str">
            <v>A3 Office Color Laser MFPs</v>
          </cell>
          <cell r="V397" t="str">
            <v>XEROX MEXICANA SA DE CV / XEROX MEXICANA</v>
          </cell>
          <cell r="W397" t="str">
            <v>NUEVO LEON</v>
          </cell>
          <cell r="X397">
            <v>2019</v>
          </cell>
          <cell r="Y397" t="str">
            <v>Qtr 2</v>
          </cell>
          <cell r="Z397" t="str">
            <v>April</v>
          </cell>
          <cell r="AA397">
            <v>10</v>
          </cell>
          <cell r="AB397">
            <v>48</v>
          </cell>
          <cell r="AC397">
            <v>1.05</v>
          </cell>
          <cell r="AD397">
            <v>0.18666666000000001</v>
          </cell>
          <cell r="AE397">
            <v>1433.25</v>
          </cell>
        </row>
        <row r="398">
          <cell r="A398" t="str">
            <v>0MX4505031</v>
          </cell>
          <cell r="B398">
            <v>2019</v>
          </cell>
          <cell r="C398" t="str">
            <v>Qtr 2</v>
          </cell>
          <cell r="D398" t="str">
            <v>April</v>
          </cell>
          <cell r="E398">
            <v>10</v>
          </cell>
          <cell r="F398" t="str">
            <v>CORRECTIVO</v>
          </cell>
          <cell r="G398">
            <v>3.1333329999999999</v>
          </cell>
          <cell r="H398" t="str">
            <v>A3 Office Color Laser MFPs</v>
          </cell>
          <cell r="I398">
            <v>655</v>
          </cell>
          <cell r="J398">
            <v>1365</v>
          </cell>
          <cell r="K398">
            <v>0</v>
          </cell>
          <cell r="L398">
            <v>0</v>
          </cell>
          <cell r="M398">
            <v>0.6</v>
          </cell>
          <cell r="N398">
            <v>0.8</v>
          </cell>
          <cell r="O398">
            <v>1.05</v>
          </cell>
          <cell r="P398">
            <v>1.1000000000000001</v>
          </cell>
          <cell r="Q398" t="str">
            <v>INTERIOR</v>
          </cell>
          <cell r="R398">
            <v>5</v>
          </cell>
          <cell r="S398">
            <v>9</v>
          </cell>
          <cell r="T398" t="str">
            <v>Ciudad principal</v>
          </cell>
          <cell r="U398" t="str">
            <v>A3 Office Color Laser MFPs</v>
          </cell>
          <cell r="V398" t="str">
            <v>XEROX MEXICANA SA DE CV / XEROX MEXICANA</v>
          </cell>
          <cell r="W398" t="str">
            <v>SAN LUIS POTOSI</v>
          </cell>
          <cell r="X398">
            <v>2019</v>
          </cell>
          <cell r="Y398" t="str">
            <v>Qtr 2</v>
          </cell>
          <cell r="Z398" t="str">
            <v>April</v>
          </cell>
          <cell r="AA398">
            <v>10</v>
          </cell>
          <cell r="AB398">
            <v>41</v>
          </cell>
          <cell r="AC398">
            <v>1.05</v>
          </cell>
          <cell r="AD398">
            <v>0.62666659999999996</v>
          </cell>
          <cell r="AE398">
            <v>1433.25</v>
          </cell>
        </row>
        <row r="399">
          <cell r="A399" t="str">
            <v>0MX4742856</v>
          </cell>
          <cell r="B399">
            <v>2019</v>
          </cell>
          <cell r="C399" t="str">
            <v>Qtr 2</v>
          </cell>
          <cell r="D399" t="str">
            <v>April</v>
          </cell>
          <cell r="E399">
            <v>10</v>
          </cell>
          <cell r="F399" t="str">
            <v>CORRECTIVO</v>
          </cell>
          <cell r="G399">
            <v>1.266667</v>
          </cell>
          <cell r="H399" t="str">
            <v>A3 Office Color Laser MFPs</v>
          </cell>
          <cell r="I399">
            <v>655</v>
          </cell>
          <cell r="J399">
            <v>1365</v>
          </cell>
          <cell r="K399">
            <v>0</v>
          </cell>
          <cell r="L399">
            <v>0</v>
          </cell>
          <cell r="M399">
            <v>0.6</v>
          </cell>
          <cell r="N399">
            <v>0.8</v>
          </cell>
          <cell r="O399">
            <v>1.05</v>
          </cell>
          <cell r="P399">
            <v>1.1000000000000001</v>
          </cell>
          <cell r="Q399" t="str">
            <v>INTERIOR</v>
          </cell>
          <cell r="R399">
            <v>5</v>
          </cell>
          <cell r="S399">
            <v>9</v>
          </cell>
          <cell r="T399" t="str">
            <v>Ciudad principal</v>
          </cell>
          <cell r="U399" t="str">
            <v>A3 Office Color Laser MFPs</v>
          </cell>
          <cell r="V399" t="str">
            <v>XEROX MEXICANA SA DE CV / XEROX MEXICANA</v>
          </cell>
          <cell r="W399" t="str">
            <v>CHIHUAHUA</v>
          </cell>
          <cell r="X399">
            <v>2019</v>
          </cell>
          <cell r="Y399" t="str">
            <v>Qtr 2</v>
          </cell>
          <cell r="Z399" t="str">
            <v>April</v>
          </cell>
          <cell r="AA399">
            <v>12</v>
          </cell>
          <cell r="AB399">
            <v>56</v>
          </cell>
          <cell r="AC399">
            <v>1.05</v>
          </cell>
          <cell r="AD399">
            <v>0.25333339999999999</v>
          </cell>
          <cell r="AE399">
            <v>1433.25</v>
          </cell>
        </row>
        <row r="400">
          <cell r="A400" t="str">
            <v>0MX4766757</v>
          </cell>
          <cell r="B400">
            <v>2019</v>
          </cell>
          <cell r="C400" t="str">
            <v>Qtr 2</v>
          </cell>
          <cell r="D400" t="str">
            <v>April</v>
          </cell>
          <cell r="E400">
            <v>10</v>
          </cell>
          <cell r="F400" t="str">
            <v>CORRECTIVO</v>
          </cell>
          <cell r="G400">
            <v>1.016667</v>
          </cell>
          <cell r="H400" t="str">
            <v>A3 Office Color Laser MFPs</v>
          </cell>
          <cell r="I400">
            <v>655</v>
          </cell>
          <cell r="J400">
            <v>1365</v>
          </cell>
          <cell r="K400">
            <v>0</v>
          </cell>
          <cell r="L400">
            <v>0</v>
          </cell>
          <cell r="M400">
            <v>0.6</v>
          </cell>
          <cell r="N400">
            <v>0.8</v>
          </cell>
          <cell r="O400">
            <v>1.05</v>
          </cell>
          <cell r="P400">
            <v>1.1000000000000001</v>
          </cell>
          <cell r="Q400" t="str">
            <v>INTERIOR</v>
          </cell>
          <cell r="R400">
            <v>5</v>
          </cell>
          <cell r="S400">
            <v>9</v>
          </cell>
          <cell r="T400" t="str">
            <v>Ciudad principal</v>
          </cell>
          <cell r="U400" t="str">
            <v>A3 Office Color Laser MFPs</v>
          </cell>
          <cell r="V400" t="str">
            <v>XEROX MEXICANA SA DE CV / XEROX MEXICANA</v>
          </cell>
          <cell r="W400" t="str">
            <v>CHIHUAHUA</v>
          </cell>
          <cell r="X400">
            <v>2019</v>
          </cell>
          <cell r="Y400" t="str">
            <v>Qtr 2</v>
          </cell>
          <cell r="Z400" t="str">
            <v>April</v>
          </cell>
          <cell r="AA400">
            <v>10</v>
          </cell>
          <cell r="AB400">
            <v>64</v>
          </cell>
          <cell r="AC400">
            <v>1.1000000000000001</v>
          </cell>
          <cell r="AD400">
            <v>0.2033334</v>
          </cell>
          <cell r="AE400">
            <v>1501.5</v>
          </cell>
        </row>
        <row r="401">
          <cell r="A401" t="str">
            <v>0MX4777397</v>
          </cell>
          <cell r="B401">
            <v>2019</v>
          </cell>
          <cell r="C401" t="str">
            <v>Qtr 2</v>
          </cell>
          <cell r="D401" t="str">
            <v>April</v>
          </cell>
          <cell r="E401">
            <v>10</v>
          </cell>
          <cell r="F401" t="str">
            <v>CORRECTIVO</v>
          </cell>
          <cell r="G401">
            <v>1.5333330000000001</v>
          </cell>
          <cell r="H401" t="str">
            <v>A3 Office Color Laser MFPs</v>
          </cell>
          <cell r="I401">
            <v>655</v>
          </cell>
          <cell r="J401">
            <v>1365</v>
          </cell>
          <cell r="K401">
            <v>0</v>
          </cell>
          <cell r="L401">
            <v>0</v>
          </cell>
          <cell r="M401">
            <v>0.6</v>
          </cell>
          <cell r="N401">
            <v>0.8</v>
          </cell>
          <cell r="O401">
            <v>1.05</v>
          </cell>
          <cell r="P401">
            <v>1.1000000000000001</v>
          </cell>
          <cell r="Q401" t="str">
            <v>INTERIOR</v>
          </cell>
          <cell r="R401">
            <v>5</v>
          </cell>
          <cell r="S401">
            <v>9</v>
          </cell>
          <cell r="T401" t="str">
            <v>Ciudad principal</v>
          </cell>
          <cell r="U401" t="str">
            <v>A3 Office Color Laser MFPs</v>
          </cell>
          <cell r="V401" t="str">
            <v>XEROX MEXICANA SA DE CV / XEROX MEXICANA</v>
          </cell>
          <cell r="W401" t="str">
            <v>CHIHUAHUA</v>
          </cell>
          <cell r="X401">
            <v>2019</v>
          </cell>
          <cell r="Y401" t="str">
            <v>Qtr 2</v>
          </cell>
          <cell r="Z401" t="str">
            <v>April</v>
          </cell>
          <cell r="AA401">
            <v>17</v>
          </cell>
          <cell r="AB401">
            <v>155</v>
          </cell>
          <cell r="AC401">
            <v>1.1000000000000001</v>
          </cell>
          <cell r="AD401">
            <v>0.30666660000000001</v>
          </cell>
          <cell r="AE401">
            <v>1501.5</v>
          </cell>
        </row>
        <row r="402">
          <cell r="A402" t="str">
            <v>0X76372692</v>
          </cell>
          <cell r="B402">
            <v>2019</v>
          </cell>
          <cell r="C402" t="str">
            <v>Qtr 2</v>
          </cell>
          <cell r="D402" t="str">
            <v>April</v>
          </cell>
          <cell r="E402">
            <v>10</v>
          </cell>
          <cell r="F402" t="str">
            <v>CORRECTIVO</v>
          </cell>
          <cell r="G402">
            <v>2.266667</v>
          </cell>
          <cell r="H402" t="str">
            <v>Office Digital</v>
          </cell>
          <cell r="I402">
            <v>655</v>
          </cell>
          <cell r="J402">
            <v>1365</v>
          </cell>
          <cell r="K402">
            <v>0</v>
          </cell>
          <cell r="L402">
            <v>0</v>
          </cell>
          <cell r="M402">
            <v>0.6</v>
          </cell>
          <cell r="N402">
            <v>0.8</v>
          </cell>
          <cell r="O402">
            <v>1.05</v>
          </cell>
          <cell r="P402">
            <v>1.1000000000000001</v>
          </cell>
          <cell r="Q402" t="str">
            <v>INTERIOR</v>
          </cell>
          <cell r="R402">
            <v>5</v>
          </cell>
          <cell r="S402">
            <v>9</v>
          </cell>
          <cell r="T402" t="str">
            <v>Ciudad principal</v>
          </cell>
          <cell r="U402" t="str">
            <v>Departmental Digital</v>
          </cell>
          <cell r="V402" t="str">
            <v>XEROX MEXICANA SA DE CV / XEROX MEXICANA</v>
          </cell>
          <cell r="W402" t="str">
            <v>QUERETARO</v>
          </cell>
          <cell r="X402">
            <v>2019</v>
          </cell>
          <cell r="Y402" t="str">
            <v>Qtr 2</v>
          </cell>
          <cell r="Z402" t="str">
            <v>April</v>
          </cell>
          <cell r="AA402">
            <v>11</v>
          </cell>
          <cell r="AB402">
            <v>118</v>
          </cell>
          <cell r="AC402">
            <v>1.1000000000000001</v>
          </cell>
          <cell r="AD402">
            <v>0.4533334</v>
          </cell>
          <cell r="AE402">
            <v>1501.5</v>
          </cell>
        </row>
        <row r="403">
          <cell r="A403" t="str">
            <v>9HB326753</v>
          </cell>
          <cell r="B403">
            <v>2019</v>
          </cell>
          <cell r="C403" t="str">
            <v>Qtr 2</v>
          </cell>
          <cell r="D403" t="str">
            <v>April</v>
          </cell>
          <cell r="E403">
            <v>10</v>
          </cell>
          <cell r="F403" t="str">
            <v>CORRECTIVO</v>
          </cell>
          <cell r="G403">
            <v>1.9666669999999999</v>
          </cell>
          <cell r="H403" t="str">
            <v>A4 Mono MFPs</v>
          </cell>
          <cell r="I403">
            <v>468</v>
          </cell>
          <cell r="J403">
            <v>715</v>
          </cell>
          <cell r="K403">
            <v>0</v>
          </cell>
          <cell r="L403">
            <v>0</v>
          </cell>
          <cell r="M403">
            <v>0</v>
          </cell>
          <cell r="N403">
            <v>0.6</v>
          </cell>
          <cell r="O403">
            <v>0.8</v>
          </cell>
          <cell r="P403">
            <v>1.05</v>
          </cell>
          <cell r="Q403" t="str">
            <v>INTERIOR</v>
          </cell>
          <cell r="R403">
            <v>5</v>
          </cell>
          <cell r="S403">
            <v>9</v>
          </cell>
          <cell r="T403" t="str">
            <v>Ciudad principal</v>
          </cell>
          <cell r="U403" t="str">
            <v>A4 Mono MFPs</v>
          </cell>
          <cell r="V403" t="str">
            <v>XEROX MEXICANA SA DE CV / XEROX MEXICANA</v>
          </cell>
          <cell r="W403" t="str">
            <v>TAMAULIPAS</v>
          </cell>
          <cell r="X403">
            <v>2019</v>
          </cell>
          <cell r="Y403" t="str">
            <v>Qtr 2</v>
          </cell>
          <cell r="Z403" t="str">
            <v>April</v>
          </cell>
          <cell r="AA403">
            <v>10</v>
          </cell>
          <cell r="AB403">
            <v>114</v>
          </cell>
          <cell r="AC403">
            <v>1.05</v>
          </cell>
          <cell r="AD403">
            <v>0.3933334</v>
          </cell>
          <cell r="AE403">
            <v>750.75</v>
          </cell>
        </row>
        <row r="404">
          <cell r="A404" t="str">
            <v>05BT705082</v>
          </cell>
          <cell r="B404">
            <v>2019</v>
          </cell>
          <cell r="C404" t="str">
            <v>Qtr 2</v>
          </cell>
          <cell r="D404" t="str">
            <v>April</v>
          </cell>
          <cell r="E404">
            <v>11</v>
          </cell>
          <cell r="F404" t="str">
            <v>CORRECTIVO</v>
          </cell>
          <cell r="G404">
            <v>0.96666660000000004</v>
          </cell>
          <cell r="H404" t="str">
            <v>A4 Mono MFPs</v>
          </cell>
          <cell r="I404">
            <v>468</v>
          </cell>
          <cell r="J404">
            <v>715</v>
          </cell>
          <cell r="K404">
            <v>0</v>
          </cell>
          <cell r="L404">
            <v>0</v>
          </cell>
          <cell r="M404">
            <v>0</v>
          </cell>
          <cell r="N404">
            <v>0.6</v>
          </cell>
          <cell r="O404">
            <v>0.8</v>
          </cell>
          <cell r="P404">
            <v>1.05</v>
          </cell>
          <cell r="Q404" t="str">
            <v>INTERIOR</v>
          </cell>
          <cell r="R404">
            <v>5</v>
          </cell>
          <cell r="S404">
            <v>9</v>
          </cell>
          <cell r="T404" t="str">
            <v>Ciudad principal</v>
          </cell>
          <cell r="U404" t="str">
            <v>A4 Mono MFPs</v>
          </cell>
          <cell r="V404" t="str">
            <v>XEROX MEXICANA SA DE CV / XEROX MEXICANA</v>
          </cell>
          <cell r="W404" t="str">
            <v>NUEVO LEON</v>
          </cell>
          <cell r="X404">
            <v>2019</v>
          </cell>
          <cell r="Y404" t="str">
            <v>Qtr 2</v>
          </cell>
          <cell r="Z404" t="str">
            <v>April</v>
          </cell>
          <cell r="AA404">
            <v>11</v>
          </cell>
          <cell r="AB404">
            <v>63</v>
          </cell>
          <cell r="AC404">
            <v>1.05</v>
          </cell>
          <cell r="AD404">
            <v>0.19333332</v>
          </cell>
          <cell r="AE404">
            <v>750.75</v>
          </cell>
        </row>
        <row r="405">
          <cell r="A405" t="str">
            <v>09HB318209</v>
          </cell>
          <cell r="B405">
            <v>2019</v>
          </cell>
          <cell r="C405" t="str">
            <v>Qtr 2</v>
          </cell>
          <cell r="D405" t="str">
            <v>April</v>
          </cell>
          <cell r="E405">
            <v>11</v>
          </cell>
          <cell r="F405" t="str">
            <v>CORRECTIVO</v>
          </cell>
          <cell r="G405">
            <v>0.76666670000000003</v>
          </cell>
          <cell r="H405" t="str">
            <v>A4 Mono MFPs</v>
          </cell>
          <cell r="I405">
            <v>468</v>
          </cell>
          <cell r="J405">
            <v>715</v>
          </cell>
          <cell r="K405">
            <v>0</v>
          </cell>
          <cell r="L405">
            <v>0</v>
          </cell>
          <cell r="M405">
            <v>0</v>
          </cell>
          <cell r="N405">
            <v>0.6</v>
          </cell>
          <cell r="O405">
            <v>0.8</v>
          </cell>
          <cell r="P405">
            <v>1.05</v>
          </cell>
          <cell r="Q405" t="str">
            <v>INTERIOR</v>
          </cell>
          <cell r="R405">
            <v>5</v>
          </cell>
          <cell r="S405">
            <v>9</v>
          </cell>
          <cell r="T405" t="str">
            <v>Otras</v>
          </cell>
          <cell r="U405" t="str">
            <v>A4 Mono MFPs</v>
          </cell>
          <cell r="V405" t="str">
            <v>XEROX MEXICANA SA DE CV / XEROX MEXICANA</v>
          </cell>
          <cell r="W405" t="str">
            <v>COAHUILA</v>
          </cell>
          <cell r="X405">
            <v>2019</v>
          </cell>
          <cell r="Y405" t="str">
            <v>Qtr 2</v>
          </cell>
          <cell r="Z405" t="str">
            <v>April</v>
          </cell>
          <cell r="AA405">
            <v>11</v>
          </cell>
          <cell r="AB405">
            <v>73</v>
          </cell>
          <cell r="AC405">
            <v>1.05</v>
          </cell>
          <cell r="AD405">
            <v>8.5185188888888902E-2</v>
          </cell>
          <cell r="AE405">
            <v>750.75</v>
          </cell>
        </row>
        <row r="406">
          <cell r="A406" t="str">
            <v>0A1H020683</v>
          </cell>
          <cell r="B406">
            <v>2019</v>
          </cell>
          <cell r="C406" t="str">
            <v>Qtr 2</v>
          </cell>
          <cell r="D406" t="str">
            <v>April</v>
          </cell>
          <cell r="E406">
            <v>11</v>
          </cell>
          <cell r="F406" t="str">
            <v>CORRECTIVO</v>
          </cell>
          <cell r="G406">
            <v>2.4666670000000002</v>
          </cell>
          <cell r="H406" t="str">
            <v>WF Mono Systems and Legacy Color</v>
          </cell>
          <cell r="I406">
            <v>803</v>
          </cell>
          <cell r="J406">
            <v>1573</v>
          </cell>
          <cell r="K406">
            <v>0.2</v>
          </cell>
          <cell r="L406">
            <v>0.6</v>
          </cell>
          <cell r="M406">
            <v>0.8</v>
          </cell>
          <cell r="N406">
            <v>1.05</v>
          </cell>
          <cell r="O406">
            <v>1.1000000000000001</v>
          </cell>
          <cell r="P406">
            <v>1.1499999999999999</v>
          </cell>
          <cell r="Q406" t="str">
            <v>INTERIOR</v>
          </cell>
          <cell r="R406">
            <v>4</v>
          </cell>
          <cell r="S406">
            <v>6</v>
          </cell>
          <cell r="T406" t="str">
            <v>Ciudad principal</v>
          </cell>
          <cell r="U406" t="str">
            <v>WF Mono Systems and Legacy Color</v>
          </cell>
          <cell r="V406" t="str">
            <v>XEROX MEXICANA SA DE CV / XEROX MEXICANA</v>
          </cell>
          <cell r="W406" t="str">
            <v>GUANAJUATO</v>
          </cell>
          <cell r="X406">
            <v>2019</v>
          </cell>
          <cell r="Y406" t="str">
            <v>Qtr 2</v>
          </cell>
          <cell r="Z406" t="str">
            <v>April</v>
          </cell>
          <cell r="AA406">
            <v>11</v>
          </cell>
          <cell r="AB406">
            <v>72</v>
          </cell>
          <cell r="AC406">
            <v>1.1499999999999999</v>
          </cell>
          <cell r="AD406">
            <v>0.61666675000000004</v>
          </cell>
          <cell r="AE406">
            <v>1808.95</v>
          </cell>
        </row>
        <row r="407">
          <cell r="A407" t="str">
            <v>0A1H022378</v>
          </cell>
          <cell r="B407">
            <v>2019</v>
          </cell>
          <cell r="C407" t="str">
            <v>Qtr 2</v>
          </cell>
          <cell r="D407" t="str">
            <v>April</v>
          </cell>
          <cell r="E407">
            <v>11</v>
          </cell>
          <cell r="F407" t="str">
            <v>CORRECTIVO</v>
          </cell>
          <cell r="G407">
            <v>0.15</v>
          </cell>
          <cell r="H407" t="str">
            <v>WF Mono Systems and Legacy Color</v>
          </cell>
          <cell r="I407">
            <v>803</v>
          </cell>
          <cell r="J407">
            <v>1573</v>
          </cell>
          <cell r="K407">
            <v>0.2</v>
          </cell>
          <cell r="L407">
            <v>0.6</v>
          </cell>
          <cell r="M407">
            <v>0.8</v>
          </cell>
          <cell r="N407">
            <v>1.05</v>
          </cell>
          <cell r="O407">
            <v>1.1000000000000001</v>
          </cell>
          <cell r="P407">
            <v>1.1499999999999999</v>
          </cell>
          <cell r="Q407" t="str">
            <v>METRO</v>
          </cell>
          <cell r="R407">
            <v>4</v>
          </cell>
          <cell r="S407">
            <v>6</v>
          </cell>
          <cell r="T407" t="str">
            <v>Ciudad principal</v>
          </cell>
          <cell r="U407" t="str">
            <v>WF Mono Systems and Legacy Color</v>
          </cell>
          <cell r="V407" t="str">
            <v>XEROX MEXICANA SA DE CV / XEROX MEXICANA</v>
          </cell>
          <cell r="W407" t="str">
            <v>NUEVO LEON</v>
          </cell>
          <cell r="X407">
            <v>2019</v>
          </cell>
          <cell r="Y407" t="str">
            <v>Qtr 2</v>
          </cell>
          <cell r="Z407" t="str">
            <v>April</v>
          </cell>
          <cell r="AA407">
            <v>15</v>
          </cell>
          <cell r="AB407">
            <v>374</v>
          </cell>
          <cell r="AC407">
            <v>1.1499999999999999</v>
          </cell>
          <cell r="AD407">
            <v>3.7499999999999999E-2</v>
          </cell>
          <cell r="AE407">
            <v>923.45</v>
          </cell>
        </row>
        <row r="408">
          <cell r="A408" t="str">
            <v>0A1H022401</v>
          </cell>
          <cell r="B408">
            <v>2019</v>
          </cell>
          <cell r="C408" t="str">
            <v>Qtr 2</v>
          </cell>
          <cell r="D408" t="str">
            <v>April</v>
          </cell>
          <cell r="E408">
            <v>11</v>
          </cell>
          <cell r="F408" t="str">
            <v>CORRECTIVO</v>
          </cell>
          <cell r="G408">
            <v>0.48333330000000002</v>
          </cell>
          <cell r="H408" t="str">
            <v>WF Mono Systems and Legacy Color</v>
          </cell>
          <cell r="I408">
            <v>803</v>
          </cell>
          <cell r="J408">
            <v>1573</v>
          </cell>
          <cell r="K408">
            <v>0.2</v>
          </cell>
          <cell r="L408">
            <v>0.6</v>
          </cell>
          <cell r="M408">
            <v>0.8</v>
          </cell>
          <cell r="N408">
            <v>1.05</v>
          </cell>
          <cell r="O408">
            <v>1.1000000000000001</v>
          </cell>
          <cell r="P408">
            <v>1.1499999999999999</v>
          </cell>
          <cell r="Q408" t="str">
            <v>INTERIOR</v>
          </cell>
          <cell r="R408">
            <v>4</v>
          </cell>
          <cell r="S408">
            <v>6</v>
          </cell>
          <cell r="T408" t="str">
            <v>Ciudad principal</v>
          </cell>
          <cell r="U408" t="str">
            <v>WF Mono Systems and Legacy Color</v>
          </cell>
          <cell r="V408" t="str">
            <v>XEROX MEXICANA SA DE CV / XEROX MEXICANA</v>
          </cell>
          <cell r="W408" t="str">
            <v>QUERETARO</v>
          </cell>
          <cell r="X408">
            <v>2019</v>
          </cell>
          <cell r="Y408" t="str">
            <v>Qtr 2</v>
          </cell>
          <cell r="Z408" t="str">
            <v>April</v>
          </cell>
          <cell r="AA408">
            <v>12</v>
          </cell>
          <cell r="AB408">
            <v>94</v>
          </cell>
          <cell r="AC408">
            <v>1.1499999999999999</v>
          </cell>
          <cell r="AD408">
            <v>0.12083332500000001</v>
          </cell>
          <cell r="AE408">
            <v>1808.95</v>
          </cell>
        </row>
        <row r="409">
          <cell r="A409" t="str">
            <v>0A2T367031</v>
          </cell>
          <cell r="B409">
            <v>2019</v>
          </cell>
          <cell r="C409" t="str">
            <v>Qtr 2</v>
          </cell>
          <cell r="D409" t="str">
            <v>April</v>
          </cell>
          <cell r="E409">
            <v>11</v>
          </cell>
          <cell r="F409" t="str">
            <v>CORRECTIVO</v>
          </cell>
          <cell r="G409">
            <v>2.8333330000000001</v>
          </cell>
          <cell r="H409" t="str">
            <v>A4 Mono MFPs</v>
          </cell>
          <cell r="I409">
            <v>468</v>
          </cell>
          <cell r="J409">
            <v>715</v>
          </cell>
          <cell r="K409">
            <v>0</v>
          </cell>
          <cell r="L409">
            <v>0</v>
          </cell>
          <cell r="M409">
            <v>0</v>
          </cell>
          <cell r="N409">
            <v>0.6</v>
          </cell>
          <cell r="O409">
            <v>0.8</v>
          </cell>
          <cell r="P409">
            <v>1.05</v>
          </cell>
          <cell r="Q409" t="str">
            <v>INTERIOR</v>
          </cell>
          <cell r="R409">
            <v>5</v>
          </cell>
          <cell r="S409">
            <v>9</v>
          </cell>
          <cell r="T409" t="str">
            <v>Otras</v>
          </cell>
          <cell r="U409" t="str">
            <v>A4 Mono MFPs</v>
          </cell>
          <cell r="V409" t="str">
            <v>XEROX MEXICANA SA DE CV / XEROX MEXICANA</v>
          </cell>
          <cell r="W409" t="str">
            <v>NUEVO LEON</v>
          </cell>
          <cell r="X409">
            <v>2019</v>
          </cell>
          <cell r="Y409" t="str">
            <v>Qtr 2</v>
          </cell>
          <cell r="Z409" t="str">
            <v>April</v>
          </cell>
          <cell r="AA409">
            <v>12</v>
          </cell>
          <cell r="AB409">
            <v>183</v>
          </cell>
          <cell r="AC409">
            <v>1.05</v>
          </cell>
          <cell r="AD409">
            <v>0.314814777777778</v>
          </cell>
          <cell r="AE409">
            <v>750.75</v>
          </cell>
        </row>
        <row r="410">
          <cell r="A410" t="str">
            <v>0BB1252025</v>
          </cell>
          <cell r="B410">
            <v>2019</v>
          </cell>
          <cell r="C410" t="str">
            <v>Qtr 2</v>
          </cell>
          <cell r="D410" t="str">
            <v>April</v>
          </cell>
          <cell r="E410">
            <v>11</v>
          </cell>
          <cell r="F410" t="str">
            <v>CORRECTIVO</v>
          </cell>
          <cell r="G410">
            <v>2.5</v>
          </cell>
          <cell r="H410" t="str">
            <v>A4 Mono MFPs</v>
          </cell>
          <cell r="I410">
            <v>468</v>
          </cell>
          <cell r="J410">
            <v>715</v>
          </cell>
          <cell r="K410">
            <v>0</v>
          </cell>
          <cell r="L410">
            <v>0</v>
          </cell>
          <cell r="M410">
            <v>0</v>
          </cell>
          <cell r="N410">
            <v>0.6</v>
          </cell>
          <cell r="O410">
            <v>0.8</v>
          </cell>
          <cell r="P410">
            <v>1.05</v>
          </cell>
          <cell r="Q410" t="str">
            <v>INTERIOR</v>
          </cell>
          <cell r="R410">
            <v>5</v>
          </cell>
          <cell r="S410">
            <v>9</v>
          </cell>
          <cell r="T410" t="str">
            <v>Ciudad principal</v>
          </cell>
          <cell r="U410" t="str">
            <v>A4 Mono MFPs</v>
          </cell>
          <cell r="V410" t="str">
            <v>XEROX MEXICANA SA DE CV / XEROX MEXICANA</v>
          </cell>
          <cell r="W410" t="str">
            <v>CHIHUAHUA</v>
          </cell>
          <cell r="X410">
            <v>2019</v>
          </cell>
          <cell r="Y410" t="str">
            <v>Qtr 2</v>
          </cell>
          <cell r="Z410" t="str">
            <v>April</v>
          </cell>
          <cell r="AA410">
            <v>11</v>
          </cell>
          <cell r="AB410">
            <v>28</v>
          </cell>
          <cell r="AC410">
            <v>0.6</v>
          </cell>
          <cell r="AD410">
            <v>0.5</v>
          </cell>
          <cell r="AE410">
            <v>429</v>
          </cell>
        </row>
        <row r="411">
          <cell r="A411" t="str">
            <v>0BG0966729</v>
          </cell>
          <cell r="B411">
            <v>2019</v>
          </cell>
          <cell r="C411" t="str">
            <v>Qtr 2</v>
          </cell>
          <cell r="D411" t="str">
            <v>April</v>
          </cell>
          <cell r="E411">
            <v>11</v>
          </cell>
          <cell r="F411" t="str">
            <v>CORRECTIVO</v>
          </cell>
          <cell r="G411">
            <v>3.9</v>
          </cell>
          <cell r="H411" t="str">
            <v>Light Production Digital Business</v>
          </cell>
          <cell r="I411">
            <v>803</v>
          </cell>
          <cell r="J411">
            <v>1573</v>
          </cell>
          <cell r="K411">
            <v>0.2</v>
          </cell>
          <cell r="L411">
            <v>0.6</v>
          </cell>
          <cell r="M411">
            <v>0.8</v>
          </cell>
          <cell r="N411">
            <v>1.05</v>
          </cell>
          <cell r="O411">
            <v>1.1000000000000001</v>
          </cell>
          <cell r="P411">
            <v>1.1499999999999999</v>
          </cell>
          <cell r="Q411" t="str">
            <v>INTERIOR</v>
          </cell>
          <cell r="R411">
            <v>4</v>
          </cell>
          <cell r="S411">
            <v>6</v>
          </cell>
          <cell r="T411" t="str">
            <v>Ciudad principal</v>
          </cell>
          <cell r="U411" t="str">
            <v>High End Cut Sheet</v>
          </cell>
          <cell r="V411" t="str">
            <v>XEROX MEXICANA SA DE CV / XEROX MEXICANA</v>
          </cell>
          <cell r="W411" t="str">
            <v>SAN LUIS POTOSI</v>
          </cell>
          <cell r="X411">
            <v>2019</v>
          </cell>
          <cell r="Y411" t="str">
            <v>Qtr 2</v>
          </cell>
          <cell r="Z411" t="str">
            <v>April</v>
          </cell>
          <cell r="AA411">
            <v>18</v>
          </cell>
          <cell r="AB411">
            <v>16</v>
          </cell>
          <cell r="AC411">
            <v>1.05</v>
          </cell>
          <cell r="AD411">
            <v>0.97499999999999998</v>
          </cell>
          <cell r="AE411">
            <v>1651.65</v>
          </cell>
        </row>
        <row r="412">
          <cell r="A412" t="str">
            <v>0BG0966730</v>
          </cell>
          <cell r="B412">
            <v>2019</v>
          </cell>
          <cell r="C412" t="str">
            <v>Qtr 2</v>
          </cell>
          <cell r="D412" t="str">
            <v>April</v>
          </cell>
          <cell r="E412">
            <v>11</v>
          </cell>
          <cell r="F412" t="str">
            <v>CORRECTIVO</v>
          </cell>
          <cell r="G412">
            <v>2.2833329999999998</v>
          </cell>
          <cell r="H412" t="str">
            <v>Light Production Digital Business</v>
          </cell>
          <cell r="I412">
            <v>803</v>
          </cell>
          <cell r="J412">
            <v>1573</v>
          </cell>
          <cell r="K412">
            <v>0.2</v>
          </cell>
          <cell r="L412">
            <v>0.6</v>
          </cell>
          <cell r="M412">
            <v>0.8</v>
          </cell>
          <cell r="N412">
            <v>1.05</v>
          </cell>
          <cell r="O412">
            <v>1.1000000000000001</v>
          </cell>
          <cell r="P412">
            <v>1.1499999999999999</v>
          </cell>
          <cell r="Q412" t="str">
            <v>INTERIOR</v>
          </cell>
          <cell r="R412">
            <v>4</v>
          </cell>
          <cell r="S412">
            <v>6</v>
          </cell>
          <cell r="T412" t="str">
            <v>Ciudad principal</v>
          </cell>
          <cell r="U412" t="str">
            <v>High End Cut Sheet</v>
          </cell>
          <cell r="V412" t="str">
            <v>XEROX MEXICANA SA DE CV / XEROX MEXICANA</v>
          </cell>
          <cell r="W412" t="str">
            <v>MICHOACAN</v>
          </cell>
          <cell r="X412">
            <v>2019</v>
          </cell>
          <cell r="Y412" t="str">
            <v>Qtr 2</v>
          </cell>
          <cell r="Z412" t="str">
            <v>April</v>
          </cell>
          <cell r="AA412">
            <v>11</v>
          </cell>
          <cell r="AB412">
            <v>3</v>
          </cell>
          <cell r="AC412">
            <v>0.6</v>
          </cell>
          <cell r="AD412">
            <v>0.57083324999999996</v>
          </cell>
          <cell r="AE412">
            <v>943.8</v>
          </cell>
        </row>
        <row r="413">
          <cell r="A413" t="str">
            <v>0BG2939611</v>
          </cell>
          <cell r="B413">
            <v>2019</v>
          </cell>
          <cell r="C413" t="str">
            <v>Qtr 2</v>
          </cell>
          <cell r="D413" t="str">
            <v>April</v>
          </cell>
          <cell r="E413">
            <v>11</v>
          </cell>
          <cell r="F413" t="str">
            <v>MANTENIMIENTO PREVENTIVO</v>
          </cell>
          <cell r="G413">
            <v>0</v>
          </cell>
          <cell r="H413" t="str">
            <v>Light Production Digital Business</v>
          </cell>
          <cell r="I413">
            <v>803</v>
          </cell>
          <cell r="J413">
            <v>1573</v>
          </cell>
          <cell r="K413">
            <v>0.2</v>
          </cell>
          <cell r="L413">
            <v>0.6</v>
          </cell>
          <cell r="M413">
            <v>0.8</v>
          </cell>
          <cell r="N413">
            <v>1.05</v>
          </cell>
          <cell r="O413">
            <v>1.1000000000000001</v>
          </cell>
          <cell r="P413">
            <v>1.1499999999999999</v>
          </cell>
          <cell r="Q413" t="str">
            <v>INTERIOR</v>
          </cell>
          <cell r="R413">
            <v>4</v>
          </cell>
          <cell r="S413">
            <v>6</v>
          </cell>
          <cell r="T413" t="str">
            <v>Ciudad principal</v>
          </cell>
          <cell r="U413" t="str">
            <v>High End Cut Sheet</v>
          </cell>
          <cell r="V413" t="str">
            <v>XEROX MEXICANA SA DE CV / XEROX MEXICANA</v>
          </cell>
          <cell r="W413" t="str">
            <v>TAMAULIPAS</v>
          </cell>
          <cell r="X413">
            <v>2019</v>
          </cell>
          <cell r="Y413" t="str">
            <v>Qtr 2</v>
          </cell>
          <cell r="Z413" t="str">
            <v>April</v>
          </cell>
          <cell r="AA413">
            <v>11</v>
          </cell>
          <cell r="AB413">
            <v>1</v>
          </cell>
          <cell r="AC413">
            <v>0</v>
          </cell>
          <cell r="AD413">
            <v>0</v>
          </cell>
          <cell r="AE413">
            <v>1573</v>
          </cell>
        </row>
        <row r="414">
          <cell r="A414" t="str">
            <v>0BG2948808</v>
          </cell>
          <cell r="B414">
            <v>2019</v>
          </cell>
          <cell r="C414" t="str">
            <v>Qtr 2</v>
          </cell>
          <cell r="D414" t="str">
            <v>April</v>
          </cell>
          <cell r="E414">
            <v>11</v>
          </cell>
          <cell r="F414" t="str">
            <v>CORRECTIVO</v>
          </cell>
          <cell r="G414">
            <v>3.1</v>
          </cell>
          <cell r="H414" t="str">
            <v>Light Production Digital Business</v>
          </cell>
          <cell r="I414">
            <v>803</v>
          </cell>
          <cell r="J414">
            <v>1573</v>
          </cell>
          <cell r="K414">
            <v>0.2</v>
          </cell>
          <cell r="L414">
            <v>0.6</v>
          </cell>
          <cell r="M414">
            <v>0.8</v>
          </cell>
          <cell r="N414">
            <v>1.05</v>
          </cell>
          <cell r="O414">
            <v>1.1000000000000001</v>
          </cell>
          <cell r="P414">
            <v>1.1499999999999999</v>
          </cell>
          <cell r="Q414" t="str">
            <v>INTERIOR</v>
          </cell>
          <cell r="R414">
            <v>4</v>
          </cell>
          <cell r="S414">
            <v>6</v>
          </cell>
          <cell r="T414" t="str">
            <v>Ciudad principal</v>
          </cell>
          <cell r="U414" t="str">
            <v>High End Cut Sheet</v>
          </cell>
          <cell r="V414" t="str">
            <v>XEROX MEXICANA SA DE CV / XEROX MEXICANA</v>
          </cell>
          <cell r="W414" t="str">
            <v>ESTADO DE MEXICO</v>
          </cell>
          <cell r="X414">
            <v>2019</v>
          </cell>
          <cell r="Y414" t="str">
            <v>Qtr 2</v>
          </cell>
          <cell r="Z414" t="str">
            <v>April</v>
          </cell>
          <cell r="AA414">
            <v>16</v>
          </cell>
          <cell r="AB414">
            <v>35</v>
          </cell>
          <cell r="AC414">
            <v>1.1000000000000001</v>
          </cell>
          <cell r="AD414">
            <v>0.77500000000000002</v>
          </cell>
          <cell r="AE414">
            <v>1730.3</v>
          </cell>
        </row>
        <row r="415">
          <cell r="A415" t="str">
            <v>0BG2948884</v>
          </cell>
          <cell r="B415">
            <v>2019</v>
          </cell>
          <cell r="C415" t="str">
            <v>Qtr 2</v>
          </cell>
          <cell r="D415" t="str">
            <v>April</v>
          </cell>
          <cell r="E415">
            <v>11</v>
          </cell>
          <cell r="F415" t="str">
            <v>CORRECTIVO</v>
          </cell>
          <cell r="G415">
            <v>1.45</v>
          </cell>
          <cell r="H415" t="str">
            <v>Light Production Digital Business</v>
          </cell>
          <cell r="I415">
            <v>803</v>
          </cell>
          <cell r="J415">
            <v>1573</v>
          </cell>
          <cell r="K415">
            <v>0.2</v>
          </cell>
          <cell r="L415">
            <v>0.6</v>
          </cell>
          <cell r="M415">
            <v>0.8</v>
          </cell>
          <cell r="N415">
            <v>1.05</v>
          </cell>
          <cell r="O415">
            <v>1.1000000000000001</v>
          </cell>
          <cell r="P415">
            <v>1.1499999999999999</v>
          </cell>
          <cell r="Q415" t="str">
            <v>INTERIOR</v>
          </cell>
          <cell r="R415">
            <v>4</v>
          </cell>
          <cell r="S415">
            <v>6</v>
          </cell>
          <cell r="T415" t="str">
            <v>Otras</v>
          </cell>
          <cell r="U415" t="str">
            <v>High End Cut Sheet</v>
          </cell>
          <cell r="V415" t="str">
            <v>XEROX MEXICANA SA DE CV / XEROX MEXICANA</v>
          </cell>
          <cell r="W415" t="str">
            <v>COAHUILA</v>
          </cell>
          <cell r="X415">
            <v>2019</v>
          </cell>
          <cell r="Y415" t="str">
            <v>Qtr 2</v>
          </cell>
          <cell r="Z415" t="str">
            <v>April</v>
          </cell>
          <cell r="AA415">
            <v>12</v>
          </cell>
          <cell r="AB415">
            <v>232</v>
          </cell>
          <cell r="AC415">
            <v>1.1499999999999999</v>
          </cell>
          <cell r="AD415">
            <v>0.241666666666667</v>
          </cell>
          <cell r="AE415">
            <v>1808.95</v>
          </cell>
        </row>
        <row r="416">
          <cell r="A416" t="str">
            <v>0BG2951663</v>
          </cell>
          <cell r="B416">
            <v>2019</v>
          </cell>
          <cell r="C416" t="str">
            <v>Qtr 2</v>
          </cell>
          <cell r="D416" t="str">
            <v>April</v>
          </cell>
          <cell r="E416">
            <v>11</v>
          </cell>
          <cell r="F416" t="str">
            <v>CORRECTIVO</v>
          </cell>
          <cell r="G416">
            <v>2.3666670000000001</v>
          </cell>
          <cell r="H416" t="str">
            <v>Light Production Digital Business</v>
          </cell>
          <cell r="I416">
            <v>803</v>
          </cell>
          <cell r="J416">
            <v>1573</v>
          </cell>
          <cell r="K416">
            <v>0.2</v>
          </cell>
          <cell r="L416">
            <v>0.6</v>
          </cell>
          <cell r="M416">
            <v>0.8</v>
          </cell>
          <cell r="N416">
            <v>1.05</v>
          </cell>
          <cell r="O416">
            <v>1.1000000000000001</v>
          </cell>
          <cell r="P416">
            <v>1.1499999999999999</v>
          </cell>
          <cell r="Q416" t="str">
            <v>INTERIOR</v>
          </cell>
          <cell r="R416">
            <v>4</v>
          </cell>
          <cell r="S416">
            <v>6</v>
          </cell>
          <cell r="T416" t="str">
            <v>Ciudad principal</v>
          </cell>
          <cell r="U416" t="str">
            <v>High End Cut Sheet</v>
          </cell>
          <cell r="V416" t="str">
            <v>XEROX MEXICANA SA DE CV / XEROX MEXICANA</v>
          </cell>
          <cell r="W416" t="str">
            <v>ESTADO DE MEXICO</v>
          </cell>
          <cell r="X416">
            <v>2019</v>
          </cell>
          <cell r="Y416" t="str">
            <v>Qtr 2</v>
          </cell>
          <cell r="Z416" t="str">
            <v>April</v>
          </cell>
          <cell r="AA416">
            <v>12</v>
          </cell>
          <cell r="AB416">
            <v>35</v>
          </cell>
          <cell r="AC416">
            <v>1.1000000000000001</v>
          </cell>
          <cell r="AD416">
            <v>0.59166675000000002</v>
          </cell>
          <cell r="AE416">
            <v>1730.3</v>
          </cell>
        </row>
        <row r="417">
          <cell r="A417" t="str">
            <v>0BG2956818</v>
          </cell>
          <cell r="B417">
            <v>2019</v>
          </cell>
          <cell r="C417" t="str">
            <v>Qtr 2</v>
          </cell>
          <cell r="D417" t="str">
            <v>April</v>
          </cell>
          <cell r="E417">
            <v>11</v>
          </cell>
          <cell r="F417" t="str">
            <v>CORRECTIVO</v>
          </cell>
          <cell r="G417">
            <v>0.56666669999999997</v>
          </cell>
          <cell r="H417" t="str">
            <v>Light Production Digital Business</v>
          </cell>
          <cell r="I417">
            <v>803</v>
          </cell>
          <cell r="J417">
            <v>1573</v>
          </cell>
          <cell r="K417">
            <v>0.2</v>
          </cell>
          <cell r="L417">
            <v>0.6</v>
          </cell>
          <cell r="M417">
            <v>0.8</v>
          </cell>
          <cell r="N417">
            <v>1.05</v>
          </cell>
          <cell r="O417">
            <v>1.1000000000000001</v>
          </cell>
          <cell r="P417">
            <v>1.1499999999999999</v>
          </cell>
          <cell r="Q417" t="str">
            <v>INTERIOR</v>
          </cell>
          <cell r="R417">
            <v>4</v>
          </cell>
          <cell r="S417">
            <v>6</v>
          </cell>
          <cell r="T417" t="str">
            <v>Ciudad principal</v>
          </cell>
          <cell r="U417" t="str">
            <v>High End Cut Sheet</v>
          </cell>
          <cell r="V417" t="str">
            <v>XEROX MEXICANA SA DE CV / XEROX MEXICANA</v>
          </cell>
          <cell r="W417" t="str">
            <v>JALISCO</v>
          </cell>
          <cell r="X417">
            <v>2019</v>
          </cell>
          <cell r="Y417" t="str">
            <v>Qtr 2</v>
          </cell>
          <cell r="Z417" t="str">
            <v>April</v>
          </cell>
          <cell r="AA417">
            <v>15</v>
          </cell>
          <cell r="AB417">
            <v>50</v>
          </cell>
          <cell r="AC417">
            <v>1.1000000000000001</v>
          </cell>
          <cell r="AD417">
            <v>0.14166667499999999</v>
          </cell>
          <cell r="AE417">
            <v>1730.3</v>
          </cell>
        </row>
        <row r="418">
          <cell r="A418" t="str">
            <v>0C4X008011</v>
          </cell>
          <cell r="B418">
            <v>2019</v>
          </cell>
          <cell r="C418" t="str">
            <v>Qtr 2</v>
          </cell>
          <cell r="D418" t="str">
            <v>April</v>
          </cell>
          <cell r="E418">
            <v>11</v>
          </cell>
          <cell r="F418" t="str">
            <v>CORRECTIVO</v>
          </cell>
          <cell r="G418">
            <v>1.816667</v>
          </cell>
          <cell r="H418" t="str">
            <v>A4 Mono MFPs</v>
          </cell>
          <cell r="I418">
            <v>468</v>
          </cell>
          <cell r="J418">
            <v>715</v>
          </cell>
          <cell r="K418">
            <v>0</v>
          </cell>
          <cell r="L418">
            <v>0</v>
          </cell>
          <cell r="M418">
            <v>0</v>
          </cell>
          <cell r="N418">
            <v>0.6</v>
          </cell>
          <cell r="O418">
            <v>0.8</v>
          </cell>
          <cell r="P418">
            <v>1.05</v>
          </cell>
          <cell r="Q418" t="str">
            <v>INTERIOR</v>
          </cell>
          <cell r="R418">
            <v>5</v>
          </cell>
          <cell r="S418">
            <v>9</v>
          </cell>
          <cell r="T418" t="str">
            <v>Ciudad principal</v>
          </cell>
          <cell r="U418" t="str">
            <v>A4 Mono MFPs</v>
          </cell>
          <cell r="V418" t="str">
            <v>XEROX MEXICANA SA DE CV / XEROX MEXICANA</v>
          </cell>
          <cell r="W418" t="str">
            <v>MICHOACAN</v>
          </cell>
          <cell r="X418">
            <v>2019</v>
          </cell>
          <cell r="Y418" t="str">
            <v>Qtr 2</v>
          </cell>
          <cell r="Z418" t="str">
            <v>April</v>
          </cell>
          <cell r="AA418">
            <v>22</v>
          </cell>
          <cell r="AB418">
            <v>87</v>
          </cell>
          <cell r="AC418">
            <v>1.05</v>
          </cell>
          <cell r="AD418">
            <v>0.36333339999999997</v>
          </cell>
          <cell r="AE418">
            <v>750.75</v>
          </cell>
        </row>
        <row r="419">
          <cell r="A419" t="str">
            <v>0D6X457987</v>
          </cell>
          <cell r="B419">
            <v>2019</v>
          </cell>
          <cell r="C419" t="str">
            <v>Qtr 2</v>
          </cell>
          <cell r="D419" t="str">
            <v>April</v>
          </cell>
          <cell r="E419">
            <v>11</v>
          </cell>
          <cell r="F419" t="str">
            <v>CORRECTIVO</v>
          </cell>
          <cell r="G419">
            <v>1.8333330000000001</v>
          </cell>
          <cell r="H419" t="str">
            <v>Entry Mono Printers</v>
          </cell>
          <cell r="I419">
            <v>468</v>
          </cell>
          <cell r="J419">
            <v>715</v>
          </cell>
          <cell r="K419">
            <v>0</v>
          </cell>
          <cell r="L419">
            <v>0</v>
          </cell>
          <cell r="M419">
            <v>0</v>
          </cell>
          <cell r="N419">
            <v>0.6</v>
          </cell>
          <cell r="O419">
            <v>0.8</v>
          </cell>
          <cell r="P419">
            <v>1.05</v>
          </cell>
          <cell r="Q419" t="str">
            <v>INTERIOR</v>
          </cell>
          <cell r="R419">
            <v>5</v>
          </cell>
          <cell r="S419">
            <v>9</v>
          </cell>
          <cell r="T419" t="str">
            <v>Ciudad principal</v>
          </cell>
          <cell r="U419" t="str">
            <v>Entry Mono Printers</v>
          </cell>
          <cell r="V419" t="str">
            <v>XEROX MEXICANA SA DE CV / XEROX MEXICANA</v>
          </cell>
          <cell r="W419" t="str">
            <v>CHIHUAHUA</v>
          </cell>
          <cell r="X419">
            <v>2019</v>
          </cell>
          <cell r="Y419" t="str">
            <v>Qtr 2</v>
          </cell>
          <cell r="Z419" t="str">
            <v>April</v>
          </cell>
          <cell r="AA419">
            <v>11</v>
          </cell>
          <cell r="AB419">
            <v>177</v>
          </cell>
          <cell r="AC419">
            <v>1.05</v>
          </cell>
          <cell r="AD419">
            <v>0.36666660000000001</v>
          </cell>
          <cell r="AE419">
            <v>750.75</v>
          </cell>
        </row>
        <row r="420">
          <cell r="A420" t="str">
            <v>0D6X468370</v>
          </cell>
          <cell r="B420">
            <v>2019</v>
          </cell>
          <cell r="C420" t="str">
            <v>Qtr 2</v>
          </cell>
          <cell r="D420" t="str">
            <v>April</v>
          </cell>
          <cell r="E420">
            <v>11</v>
          </cell>
          <cell r="F420" t="str">
            <v>CORRECTIVO</v>
          </cell>
          <cell r="G420">
            <v>5.016667</v>
          </cell>
          <cell r="I420" t="str">
            <v>NA</v>
          </cell>
          <cell r="J420" t="str">
            <v>NA</v>
          </cell>
          <cell r="K420" t="str">
            <v>NA</v>
          </cell>
          <cell r="L420" t="str">
            <v>NA</v>
          </cell>
          <cell r="M420" t="str">
            <v>NA</v>
          </cell>
          <cell r="N420" t="str">
            <v>NA</v>
          </cell>
          <cell r="O420" t="str">
            <v>NA</v>
          </cell>
          <cell r="P420" t="str">
            <v>NA</v>
          </cell>
          <cell r="R420" t="str">
            <v>NA</v>
          </cell>
          <cell r="S420" t="str">
            <v>NA</v>
          </cell>
          <cell r="U420" t="str">
            <v>Entry Mono Printers</v>
          </cell>
          <cell r="V420" t="str">
            <v>XEROX MEXICANA SA DE CV / XEROX MEXICANA</v>
          </cell>
          <cell r="W420" t="str">
            <v>SAN LUIS POTOSI</v>
          </cell>
          <cell r="X420">
            <v>2019</v>
          </cell>
          <cell r="Y420" t="str">
            <v>Qtr 2</v>
          </cell>
          <cell r="Z420" t="str">
            <v>April</v>
          </cell>
          <cell r="AA420">
            <v>12</v>
          </cell>
          <cell r="AB420">
            <v>0</v>
          </cell>
          <cell r="AC420">
            <v>1.1000000000000001</v>
          </cell>
          <cell r="AD420">
            <v>0</v>
          </cell>
          <cell r="AE420">
            <v>482.625</v>
          </cell>
        </row>
        <row r="421">
          <cell r="A421" t="str">
            <v>0E2B656940</v>
          </cell>
          <cell r="B421">
            <v>2019</v>
          </cell>
          <cell r="C421" t="str">
            <v>Qtr 2</v>
          </cell>
          <cell r="D421" t="str">
            <v>April</v>
          </cell>
          <cell r="E421">
            <v>11</v>
          </cell>
          <cell r="F421" t="str">
            <v>CORRECTIVO</v>
          </cell>
          <cell r="G421">
            <v>1.066667</v>
          </cell>
          <cell r="H421" t="str">
            <v>Entry Production Color Low/Mid</v>
          </cell>
          <cell r="I421">
            <v>803</v>
          </cell>
          <cell r="J421">
            <v>1573</v>
          </cell>
          <cell r="K421">
            <v>0.2</v>
          </cell>
          <cell r="L421">
            <v>0.6</v>
          </cell>
          <cell r="M421">
            <v>0.8</v>
          </cell>
          <cell r="N421">
            <v>1.05</v>
          </cell>
          <cell r="O421">
            <v>1.1000000000000001</v>
          </cell>
          <cell r="P421">
            <v>1.1499999999999999</v>
          </cell>
          <cell r="Q421" t="str">
            <v>INTERIOR</v>
          </cell>
          <cell r="R421">
            <v>4</v>
          </cell>
          <cell r="S421">
            <v>6</v>
          </cell>
          <cell r="T421" t="str">
            <v>Ciudad principal</v>
          </cell>
          <cell r="U421" t="str">
            <v>Entry Production Color Low/Mid</v>
          </cell>
          <cell r="V421" t="str">
            <v>XEROX MEXICANA SA DE CV / XEROX MEXICANA</v>
          </cell>
          <cell r="W421" t="str">
            <v>ESTADO DE MEXICO</v>
          </cell>
          <cell r="X421">
            <v>2019</v>
          </cell>
          <cell r="Y421" t="str">
            <v>Qtr 2</v>
          </cell>
          <cell r="Z421" t="str">
            <v>April</v>
          </cell>
          <cell r="AA421">
            <v>11</v>
          </cell>
          <cell r="AB421">
            <v>35</v>
          </cell>
          <cell r="AC421">
            <v>1.1000000000000001</v>
          </cell>
          <cell r="AD421">
            <v>0.26666675000000001</v>
          </cell>
          <cell r="AE421">
            <v>1730.3</v>
          </cell>
        </row>
        <row r="422">
          <cell r="A422" t="str">
            <v>0EX9283345</v>
          </cell>
          <cell r="B422">
            <v>2019</v>
          </cell>
          <cell r="C422" t="str">
            <v>Qtr 2</v>
          </cell>
          <cell r="D422" t="str">
            <v>April</v>
          </cell>
          <cell r="E422">
            <v>11</v>
          </cell>
          <cell r="F422" t="str">
            <v>MANTENIMIENTO PREVENTIVO</v>
          </cell>
          <cell r="G422">
            <v>0</v>
          </cell>
          <cell r="H422" t="str">
            <v>Departmental Digital</v>
          </cell>
          <cell r="I422">
            <v>655</v>
          </cell>
          <cell r="J422">
            <v>1365</v>
          </cell>
          <cell r="K422">
            <v>0</v>
          </cell>
          <cell r="L422">
            <v>0</v>
          </cell>
          <cell r="M422">
            <v>0.6</v>
          </cell>
          <cell r="N422">
            <v>0.8</v>
          </cell>
          <cell r="O422">
            <v>1.05</v>
          </cell>
          <cell r="P422">
            <v>1.1000000000000001</v>
          </cell>
          <cell r="Q422" t="str">
            <v>INTERIOR</v>
          </cell>
          <cell r="R422">
            <v>5</v>
          </cell>
          <cell r="S422">
            <v>9</v>
          </cell>
          <cell r="T422" t="str">
            <v>Ciudad principal</v>
          </cell>
          <cell r="U422" t="str">
            <v>Departmental Digital</v>
          </cell>
          <cell r="V422" t="str">
            <v>XEROX MEXICANA SA DE CV / XEROX MEXICANA</v>
          </cell>
          <cell r="W422" t="str">
            <v>GUANAJUATO</v>
          </cell>
          <cell r="X422">
            <v>2019</v>
          </cell>
          <cell r="Y422" t="str">
            <v>Qtr 2</v>
          </cell>
          <cell r="Z422" t="str">
            <v>April</v>
          </cell>
          <cell r="AA422">
            <v>11</v>
          </cell>
          <cell r="AB422">
            <v>16</v>
          </cell>
          <cell r="AC422">
            <v>0</v>
          </cell>
          <cell r="AD422">
            <v>0</v>
          </cell>
          <cell r="AE422">
            <v>1365</v>
          </cell>
        </row>
        <row r="423">
          <cell r="A423" t="str">
            <v>0EX9293483</v>
          </cell>
          <cell r="B423">
            <v>2019</v>
          </cell>
          <cell r="C423" t="str">
            <v>Qtr 2</v>
          </cell>
          <cell r="D423" t="str">
            <v>April</v>
          </cell>
          <cell r="E423">
            <v>11</v>
          </cell>
          <cell r="F423" t="str">
            <v>CORRECTIVO</v>
          </cell>
          <cell r="G423">
            <v>4.8333329999999997</v>
          </cell>
          <cell r="H423" t="str">
            <v>Departmental Digital</v>
          </cell>
          <cell r="I423">
            <v>655</v>
          </cell>
          <cell r="J423">
            <v>1365</v>
          </cell>
          <cell r="K423">
            <v>0</v>
          </cell>
          <cell r="L423">
            <v>0</v>
          </cell>
          <cell r="M423">
            <v>0.6</v>
          </cell>
          <cell r="N423">
            <v>0.8</v>
          </cell>
          <cell r="O423">
            <v>1.05</v>
          </cell>
          <cell r="P423">
            <v>1.1000000000000001</v>
          </cell>
          <cell r="Q423" t="str">
            <v>INTERIOR</v>
          </cell>
          <cell r="R423">
            <v>5</v>
          </cell>
          <cell r="S423">
            <v>9</v>
          </cell>
          <cell r="T423" t="str">
            <v>Ciudad principal</v>
          </cell>
          <cell r="U423" t="str">
            <v>Departmental Digital</v>
          </cell>
          <cell r="V423" t="str">
            <v>XEROX MEXICANA SA DE CV / XEROX MEXICANA</v>
          </cell>
          <cell r="W423" t="str">
            <v>SAN LUIS POTOSI</v>
          </cell>
          <cell r="X423">
            <v>2019</v>
          </cell>
          <cell r="Y423" t="str">
            <v>Qtr 2</v>
          </cell>
          <cell r="Z423" t="str">
            <v>April</v>
          </cell>
          <cell r="AA423">
            <v>11</v>
          </cell>
          <cell r="AB423">
            <v>29</v>
          </cell>
          <cell r="AC423">
            <v>0.8</v>
          </cell>
          <cell r="AD423">
            <v>0.96666660000000004</v>
          </cell>
          <cell r="AE423">
            <v>1092</v>
          </cell>
        </row>
        <row r="424">
          <cell r="A424" t="str">
            <v>0EX9293515</v>
          </cell>
          <cell r="B424">
            <v>2019</v>
          </cell>
          <cell r="C424" t="str">
            <v>Qtr 2</v>
          </cell>
          <cell r="D424" t="str">
            <v>April</v>
          </cell>
          <cell r="E424">
            <v>11</v>
          </cell>
          <cell r="F424" t="str">
            <v>CORRECTIVO</v>
          </cell>
          <cell r="G424">
            <v>0.98333329999999997</v>
          </cell>
          <cell r="H424" t="str">
            <v>Departmental Digital</v>
          </cell>
          <cell r="I424">
            <v>655</v>
          </cell>
          <cell r="J424">
            <v>1365</v>
          </cell>
          <cell r="K424">
            <v>0</v>
          </cell>
          <cell r="L424">
            <v>0</v>
          </cell>
          <cell r="M424">
            <v>0.6</v>
          </cell>
          <cell r="N424">
            <v>0.8</v>
          </cell>
          <cell r="O424">
            <v>1.05</v>
          </cell>
          <cell r="P424">
            <v>1.1000000000000001</v>
          </cell>
          <cell r="Q424" t="str">
            <v>INTERIOR</v>
          </cell>
          <cell r="R424">
            <v>5</v>
          </cell>
          <cell r="S424">
            <v>9</v>
          </cell>
          <cell r="T424" t="str">
            <v>Ciudad principal</v>
          </cell>
          <cell r="U424" t="str">
            <v>Departmental Digital</v>
          </cell>
          <cell r="V424" t="str">
            <v>XEROX MEXICANA SA DE CV / XEROX MEXICANA</v>
          </cell>
          <cell r="W424" t="str">
            <v>JALISCO</v>
          </cell>
          <cell r="X424">
            <v>2019</v>
          </cell>
          <cell r="Y424" t="str">
            <v>Qtr 2</v>
          </cell>
          <cell r="Z424" t="str">
            <v>April</v>
          </cell>
          <cell r="AA424">
            <v>15</v>
          </cell>
          <cell r="AB424">
            <v>10</v>
          </cell>
          <cell r="AC424">
            <v>0.6</v>
          </cell>
          <cell r="AD424">
            <v>0.19666665999999999</v>
          </cell>
          <cell r="AE424">
            <v>819</v>
          </cell>
        </row>
        <row r="425">
          <cell r="A425" t="str">
            <v>0EX9299901</v>
          </cell>
          <cell r="B425">
            <v>2019</v>
          </cell>
          <cell r="C425" t="str">
            <v>Qtr 2</v>
          </cell>
          <cell r="D425" t="str">
            <v>April</v>
          </cell>
          <cell r="E425">
            <v>11</v>
          </cell>
          <cell r="F425" t="str">
            <v>CORRECTIVO</v>
          </cell>
          <cell r="G425">
            <v>1.6</v>
          </cell>
          <cell r="H425" t="str">
            <v>Departmental Digital</v>
          </cell>
          <cell r="I425">
            <v>655</v>
          </cell>
          <cell r="J425">
            <v>1365</v>
          </cell>
          <cell r="K425">
            <v>0</v>
          </cell>
          <cell r="L425">
            <v>0</v>
          </cell>
          <cell r="M425">
            <v>0.6</v>
          </cell>
          <cell r="N425">
            <v>0.8</v>
          </cell>
          <cell r="O425">
            <v>1.05</v>
          </cell>
          <cell r="P425">
            <v>1.1000000000000001</v>
          </cell>
          <cell r="Q425" t="str">
            <v>INTERIOR</v>
          </cell>
          <cell r="R425">
            <v>5</v>
          </cell>
          <cell r="S425">
            <v>9</v>
          </cell>
          <cell r="T425" t="str">
            <v>Ciudad principal</v>
          </cell>
          <cell r="U425" t="str">
            <v>Departmental Digital</v>
          </cell>
          <cell r="V425" t="str">
            <v>XEROX MEXICANA SA DE CV / XEROX MEXICANA</v>
          </cell>
          <cell r="W425" t="str">
            <v>TAMAULIPAS</v>
          </cell>
          <cell r="X425">
            <v>2019</v>
          </cell>
          <cell r="Y425" t="str">
            <v>Qtr 2</v>
          </cell>
          <cell r="Z425" t="str">
            <v>April</v>
          </cell>
          <cell r="AA425">
            <v>12</v>
          </cell>
          <cell r="AB425">
            <v>2</v>
          </cell>
          <cell r="AC425">
            <v>0</v>
          </cell>
          <cell r="AD425">
            <v>0.32</v>
          </cell>
          <cell r="AE425">
            <v>0</v>
          </cell>
        </row>
        <row r="426">
          <cell r="A426" t="str">
            <v>0EX9664447</v>
          </cell>
          <cell r="B426">
            <v>2019</v>
          </cell>
          <cell r="C426" t="str">
            <v>Qtr 2</v>
          </cell>
          <cell r="D426" t="str">
            <v>April</v>
          </cell>
          <cell r="E426">
            <v>11</v>
          </cell>
          <cell r="F426" t="str">
            <v>CORRECTIVO</v>
          </cell>
          <cell r="G426">
            <v>0.66666669999999995</v>
          </cell>
          <cell r="H426" t="str">
            <v>Departmental Digital</v>
          </cell>
          <cell r="I426">
            <v>655</v>
          </cell>
          <cell r="J426">
            <v>1365</v>
          </cell>
          <cell r="K426">
            <v>0</v>
          </cell>
          <cell r="L426">
            <v>0</v>
          </cell>
          <cell r="M426">
            <v>0.6</v>
          </cell>
          <cell r="N426">
            <v>0.8</v>
          </cell>
          <cell r="O426">
            <v>1.05</v>
          </cell>
          <cell r="P426">
            <v>1.1000000000000001</v>
          </cell>
          <cell r="Q426" t="str">
            <v>INTERIOR</v>
          </cell>
          <cell r="R426">
            <v>5</v>
          </cell>
          <cell r="S426">
            <v>9</v>
          </cell>
          <cell r="T426" t="str">
            <v>Ciudad principal</v>
          </cell>
          <cell r="U426" t="str">
            <v>Departmental Digital</v>
          </cell>
          <cell r="V426" t="str">
            <v>XEROX MEXICANA SA DE CV / XEROX MEXICANA</v>
          </cell>
          <cell r="W426" t="str">
            <v>JALISCO</v>
          </cell>
          <cell r="X426">
            <v>2019</v>
          </cell>
          <cell r="Y426" t="str">
            <v>Qtr 2</v>
          </cell>
          <cell r="Z426" t="str">
            <v>April</v>
          </cell>
          <cell r="AA426">
            <v>12</v>
          </cell>
          <cell r="AB426">
            <v>10</v>
          </cell>
          <cell r="AC426">
            <v>0.6</v>
          </cell>
          <cell r="AD426">
            <v>0.13333333999999999</v>
          </cell>
          <cell r="AE426">
            <v>819</v>
          </cell>
        </row>
        <row r="427">
          <cell r="A427" t="str">
            <v>0KPA018612</v>
          </cell>
          <cell r="B427">
            <v>2019</v>
          </cell>
          <cell r="C427" t="str">
            <v>Qtr 2</v>
          </cell>
          <cell r="D427" t="str">
            <v>April</v>
          </cell>
          <cell r="E427">
            <v>11</v>
          </cell>
          <cell r="F427" t="str">
            <v>MANTENIMIENTO PREVENTIVO</v>
          </cell>
          <cell r="G427">
            <v>0</v>
          </cell>
          <cell r="H427" t="str">
            <v>Entry Mono Printers</v>
          </cell>
          <cell r="I427">
            <v>468</v>
          </cell>
          <cell r="J427">
            <v>715</v>
          </cell>
          <cell r="K427">
            <v>0</v>
          </cell>
          <cell r="L427">
            <v>0</v>
          </cell>
          <cell r="M427">
            <v>0</v>
          </cell>
          <cell r="N427">
            <v>0.6</v>
          </cell>
          <cell r="O427">
            <v>0.8</v>
          </cell>
          <cell r="P427">
            <v>1.05</v>
          </cell>
          <cell r="Q427" t="str">
            <v>INTERIOR</v>
          </cell>
          <cell r="R427">
            <v>5</v>
          </cell>
          <cell r="S427">
            <v>9</v>
          </cell>
          <cell r="T427" t="str">
            <v>Ciudad principal</v>
          </cell>
          <cell r="U427" t="str">
            <v>Departmental Digital</v>
          </cell>
          <cell r="V427" t="str">
            <v>XEROX MEXICANA SA DE CV / XEROX MEXICANA</v>
          </cell>
          <cell r="W427" t="str">
            <v>CHIHUAHUA</v>
          </cell>
          <cell r="X427">
            <v>2019</v>
          </cell>
          <cell r="Y427" t="str">
            <v>Qtr 2</v>
          </cell>
          <cell r="Z427" t="str">
            <v>April</v>
          </cell>
          <cell r="AA427">
            <v>12</v>
          </cell>
          <cell r="AB427">
            <v>30</v>
          </cell>
          <cell r="AC427">
            <v>0</v>
          </cell>
          <cell r="AD427">
            <v>0</v>
          </cell>
          <cell r="AE427">
            <v>715</v>
          </cell>
        </row>
        <row r="428">
          <cell r="A428" t="str">
            <v>0PW4792201</v>
          </cell>
          <cell r="B428">
            <v>2019</v>
          </cell>
          <cell r="C428" t="str">
            <v>Qtr 2</v>
          </cell>
          <cell r="D428" t="str">
            <v>April</v>
          </cell>
          <cell r="E428">
            <v>11</v>
          </cell>
          <cell r="F428" t="str">
            <v>CORRECTIVO</v>
          </cell>
          <cell r="G428">
            <v>0.23333329999999999</v>
          </cell>
          <cell r="H428" t="str">
            <v>WF Mono Systems and Legacy Color</v>
          </cell>
          <cell r="I428">
            <v>803</v>
          </cell>
          <cell r="J428">
            <v>1573</v>
          </cell>
          <cell r="K428">
            <v>0.2</v>
          </cell>
          <cell r="L428">
            <v>0.6</v>
          </cell>
          <cell r="M428">
            <v>0.8</v>
          </cell>
          <cell r="N428">
            <v>1.05</v>
          </cell>
          <cell r="O428">
            <v>1.1000000000000001</v>
          </cell>
          <cell r="P428">
            <v>1.1499999999999999</v>
          </cell>
          <cell r="Q428" t="str">
            <v>INTERIOR</v>
          </cell>
          <cell r="R428">
            <v>4</v>
          </cell>
          <cell r="S428">
            <v>6</v>
          </cell>
          <cell r="T428" t="str">
            <v>Ciudad principal</v>
          </cell>
          <cell r="U428" t="str">
            <v>WF Mono Systems and Legacy Color</v>
          </cell>
          <cell r="V428" t="str">
            <v>XEROX MEXICANA SA DE CV / XEROX MEXICANA</v>
          </cell>
          <cell r="W428" t="str">
            <v>CHIHUAHUA</v>
          </cell>
          <cell r="X428">
            <v>2019</v>
          </cell>
          <cell r="Y428" t="str">
            <v>Qtr 2</v>
          </cell>
          <cell r="Z428" t="str">
            <v>April</v>
          </cell>
          <cell r="AA428">
            <v>11</v>
          </cell>
          <cell r="AB428">
            <v>64</v>
          </cell>
          <cell r="AC428">
            <v>1.1499999999999999</v>
          </cell>
          <cell r="AD428">
            <v>5.8333324999999998E-2</v>
          </cell>
          <cell r="AE428">
            <v>1808.95</v>
          </cell>
        </row>
        <row r="429">
          <cell r="A429" t="str">
            <v>0RXD142390</v>
          </cell>
          <cell r="B429">
            <v>2019</v>
          </cell>
          <cell r="C429" t="str">
            <v>Qtr 2</v>
          </cell>
          <cell r="D429" t="str">
            <v>April</v>
          </cell>
          <cell r="E429">
            <v>11</v>
          </cell>
          <cell r="F429" t="str">
            <v>MANTENIMIENTO PREVENTIVO</v>
          </cell>
          <cell r="G429">
            <v>0</v>
          </cell>
          <cell r="H429" t="str">
            <v>Color Laser Printers</v>
          </cell>
          <cell r="I429">
            <v>468</v>
          </cell>
          <cell r="J429">
            <v>715</v>
          </cell>
          <cell r="K429">
            <v>0</v>
          </cell>
          <cell r="L429">
            <v>0</v>
          </cell>
          <cell r="M429">
            <v>0</v>
          </cell>
          <cell r="N429">
            <v>0.6</v>
          </cell>
          <cell r="O429">
            <v>0.8</v>
          </cell>
          <cell r="P429">
            <v>1.05</v>
          </cell>
          <cell r="Q429" t="str">
            <v>INTERIOR</v>
          </cell>
          <cell r="R429">
            <v>5</v>
          </cell>
          <cell r="S429">
            <v>9</v>
          </cell>
          <cell r="T429" t="str">
            <v>Ciudad principal</v>
          </cell>
          <cell r="U429" t="str">
            <v>A3 Office Color Laser MFPs</v>
          </cell>
          <cell r="V429" t="str">
            <v>XEROX MEXICANA SA DE CV / XEROX MEXICANA</v>
          </cell>
          <cell r="W429" t="str">
            <v>CHIHUAHUA</v>
          </cell>
          <cell r="X429">
            <v>2019</v>
          </cell>
          <cell r="Y429" t="str">
            <v>Qtr 2</v>
          </cell>
          <cell r="Z429" t="str">
            <v>April</v>
          </cell>
          <cell r="AA429">
            <v>11</v>
          </cell>
          <cell r="AB429">
            <v>176</v>
          </cell>
          <cell r="AC429">
            <v>0</v>
          </cell>
          <cell r="AD429">
            <v>0</v>
          </cell>
          <cell r="AE429">
            <v>715</v>
          </cell>
        </row>
        <row r="430">
          <cell r="A430" t="str">
            <v>0UHA002004</v>
          </cell>
          <cell r="B430">
            <v>2019</v>
          </cell>
          <cell r="C430" t="str">
            <v>Qtr 2</v>
          </cell>
          <cell r="D430" t="str">
            <v>April</v>
          </cell>
          <cell r="E430">
            <v>11</v>
          </cell>
          <cell r="F430" t="str">
            <v>CORRECTIVO</v>
          </cell>
          <cell r="G430">
            <v>0.88333329999999999</v>
          </cell>
          <cell r="H430" t="str">
            <v>High End Cut Sheet</v>
          </cell>
          <cell r="I430">
            <v>1116</v>
          </cell>
          <cell r="J430">
            <v>2145</v>
          </cell>
          <cell r="K430">
            <v>0.6</v>
          </cell>
          <cell r="L430">
            <v>0.8</v>
          </cell>
          <cell r="M430">
            <v>1.05</v>
          </cell>
          <cell r="N430">
            <v>1.1000000000000001</v>
          </cell>
          <cell r="O430">
            <v>1.1499999999999999</v>
          </cell>
          <cell r="P430">
            <v>1.2</v>
          </cell>
          <cell r="Q430" t="str">
            <v>INTERIOR</v>
          </cell>
          <cell r="R430">
            <v>3</v>
          </cell>
          <cell r="S430">
            <v>6</v>
          </cell>
          <cell r="T430" t="str">
            <v>Ciudad principal</v>
          </cell>
          <cell r="U430" t="str">
            <v>High End Cut Sheet</v>
          </cell>
          <cell r="V430" t="str">
            <v>XEROX MEXICANA SA DE CV / XEROX MEXICANA</v>
          </cell>
          <cell r="W430" t="str">
            <v>JALISCO</v>
          </cell>
          <cell r="X430">
            <v>2019</v>
          </cell>
          <cell r="Y430" t="str">
            <v>Qtr 2</v>
          </cell>
          <cell r="Z430" t="str">
            <v>April</v>
          </cell>
          <cell r="AA430">
            <v>17</v>
          </cell>
          <cell r="AB430">
            <v>7</v>
          </cell>
          <cell r="AC430">
            <v>1.05</v>
          </cell>
          <cell r="AD430">
            <v>0.29444443333333298</v>
          </cell>
          <cell r="AE430">
            <v>2252.25</v>
          </cell>
        </row>
        <row r="431">
          <cell r="A431" t="str">
            <v>0X76373107</v>
          </cell>
          <cell r="B431">
            <v>2019</v>
          </cell>
          <cell r="C431" t="str">
            <v>Qtr 2</v>
          </cell>
          <cell r="D431" t="str">
            <v>April</v>
          </cell>
          <cell r="E431">
            <v>11</v>
          </cell>
          <cell r="F431" t="str">
            <v>CORRECTIVO</v>
          </cell>
          <cell r="G431">
            <v>0.86666670000000001</v>
          </cell>
          <cell r="H431" t="str">
            <v>Office Digital</v>
          </cell>
          <cell r="I431">
            <v>655</v>
          </cell>
          <cell r="J431">
            <v>1365</v>
          </cell>
          <cell r="K431">
            <v>0</v>
          </cell>
          <cell r="L431">
            <v>0</v>
          </cell>
          <cell r="M431">
            <v>0.6</v>
          </cell>
          <cell r="N431">
            <v>0.8</v>
          </cell>
          <cell r="O431">
            <v>1.05</v>
          </cell>
          <cell r="P431">
            <v>1.1000000000000001</v>
          </cell>
          <cell r="Q431" t="str">
            <v>INTERIOR</v>
          </cell>
          <cell r="R431">
            <v>5</v>
          </cell>
          <cell r="S431">
            <v>9</v>
          </cell>
          <cell r="T431" t="str">
            <v>Ciudad principal</v>
          </cell>
          <cell r="U431" t="str">
            <v>Departmental Digital</v>
          </cell>
          <cell r="V431" t="str">
            <v>XEROX MEXICANA SA DE CV / XEROX MEXICANA</v>
          </cell>
          <cell r="W431" t="str">
            <v>MICHOACAN</v>
          </cell>
          <cell r="X431">
            <v>2019</v>
          </cell>
          <cell r="Y431" t="str">
            <v>Qtr 2</v>
          </cell>
          <cell r="Z431" t="str">
            <v>April</v>
          </cell>
          <cell r="AA431">
            <v>11</v>
          </cell>
          <cell r="AB431">
            <v>253</v>
          </cell>
          <cell r="AC431">
            <v>1.1000000000000001</v>
          </cell>
          <cell r="AD431">
            <v>0.17333334</v>
          </cell>
          <cell r="AE431">
            <v>1501.5</v>
          </cell>
        </row>
        <row r="432">
          <cell r="A432" t="str">
            <v>0X76375119</v>
          </cell>
          <cell r="B432">
            <v>2019</v>
          </cell>
          <cell r="C432" t="str">
            <v>Qtr 2</v>
          </cell>
          <cell r="D432" t="str">
            <v>April</v>
          </cell>
          <cell r="E432">
            <v>11</v>
          </cell>
          <cell r="F432" t="str">
            <v>MANTENIMIENTO PREVENTIVO</v>
          </cell>
          <cell r="G432">
            <v>0</v>
          </cell>
          <cell r="H432" t="str">
            <v>Office Digital</v>
          </cell>
          <cell r="I432">
            <v>655</v>
          </cell>
          <cell r="J432">
            <v>1365</v>
          </cell>
          <cell r="K432">
            <v>0</v>
          </cell>
          <cell r="L432">
            <v>0</v>
          </cell>
          <cell r="M432">
            <v>0.6</v>
          </cell>
          <cell r="N432">
            <v>0.8</v>
          </cell>
          <cell r="O432">
            <v>1.05</v>
          </cell>
          <cell r="P432">
            <v>1.1000000000000001</v>
          </cell>
          <cell r="Q432" t="str">
            <v>INTERIOR</v>
          </cell>
          <cell r="R432">
            <v>5</v>
          </cell>
          <cell r="S432">
            <v>9</v>
          </cell>
          <cell r="T432" t="str">
            <v>Ciudad principal</v>
          </cell>
          <cell r="U432" t="str">
            <v>Departmental Digital</v>
          </cell>
          <cell r="V432" t="str">
            <v>XEROX MEXICANA SA DE CV / XEROX MEXICANA</v>
          </cell>
          <cell r="W432" t="str">
            <v>CHIHUAHUA</v>
          </cell>
          <cell r="X432">
            <v>2019</v>
          </cell>
          <cell r="Y432" t="str">
            <v>Qtr 2</v>
          </cell>
          <cell r="Z432" t="str">
            <v>April</v>
          </cell>
          <cell r="AA432">
            <v>12</v>
          </cell>
          <cell r="AB432">
            <v>93</v>
          </cell>
          <cell r="AC432">
            <v>0</v>
          </cell>
          <cell r="AD432">
            <v>0</v>
          </cell>
          <cell r="AE432">
            <v>1365</v>
          </cell>
        </row>
        <row r="433">
          <cell r="A433" t="str">
            <v>0X76703918</v>
          </cell>
          <cell r="B433">
            <v>2019</v>
          </cell>
          <cell r="C433" t="str">
            <v>Qtr 2</v>
          </cell>
          <cell r="D433" t="str">
            <v>April</v>
          </cell>
          <cell r="E433">
            <v>11</v>
          </cell>
          <cell r="F433" t="str">
            <v>CORRECTIVO</v>
          </cell>
          <cell r="G433">
            <v>2.2999999999999998</v>
          </cell>
          <cell r="H433" t="str">
            <v>Departmental Digital</v>
          </cell>
          <cell r="I433">
            <v>655</v>
          </cell>
          <cell r="J433">
            <v>1365</v>
          </cell>
          <cell r="K433">
            <v>0</v>
          </cell>
          <cell r="L433">
            <v>0</v>
          </cell>
          <cell r="M433">
            <v>0.6</v>
          </cell>
          <cell r="N433">
            <v>0.8</v>
          </cell>
          <cell r="O433">
            <v>1.05</v>
          </cell>
          <cell r="P433">
            <v>1.1000000000000001</v>
          </cell>
          <cell r="Q433" t="str">
            <v>INTERIOR</v>
          </cell>
          <cell r="R433">
            <v>5</v>
          </cell>
          <cell r="S433">
            <v>9</v>
          </cell>
          <cell r="T433" t="str">
            <v>Ciudad principal</v>
          </cell>
          <cell r="U433" t="str">
            <v>Departmental Digital</v>
          </cell>
          <cell r="V433" t="str">
            <v>XEROX MEXICANA SA DE CV / XEROX MEXICANA</v>
          </cell>
          <cell r="W433" t="str">
            <v>CHIHUAHUA</v>
          </cell>
          <cell r="X433">
            <v>2019</v>
          </cell>
          <cell r="Y433" t="str">
            <v>Qtr 2</v>
          </cell>
          <cell r="Z433" t="str">
            <v>April</v>
          </cell>
          <cell r="AA433">
            <v>16</v>
          </cell>
          <cell r="AB433">
            <v>44</v>
          </cell>
          <cell r="AC433">
            <v>1.05</v>
          </cell>
          <cell r="AD433">
            <v>0.46</v>
          </cell>
          <cell r="AE433">
            <v>1433.25</v>
          </cell>
        </row>
        <row r="434">
          <cell r="A434" t="str">
            <v>0X76705839</v>
          </cell>
          <cell r="B434">
            <v>2019</v>
          </cell>
          <cell r="C434" t="str">
            <v>Qtr 2</v>
          </cell>
          <cell r="D434" t="str">
            <v>April</v>
          </cell>
          <cell r="E434">
            <v>11</v>
          </cell>
          <cell r="F434" t="str">
            <v>CORRECTIVO</v>
          </cell>
          <cell r="G434">
            <v>0.21666669999999999</v>
          </cell>
          <cell r="H434" t="str">
            <v>Office Digital</v>
          </cell>
          <cell r="I434">
            <v>655</v>
          </cell>
          <cell r="J434">
            <v>1365</v>
          </cell>
          <cell r="K434">
            <v>0</v>
          </cell>
          <cell r="L434">
            <v>0</v>
          </cell>
          <cell r="M434">
            <v>0.6</v>
          </cell>
          <cell r="N434">
            <v>0.8</v>
          </cell>
          <cell r="O434">
            <v>1.05</v>
          </cell>
          <cell r="P434">
            <v>1.1000000000000001</v>
          </cell>
          <cell r="Q434" t="str">
            <v>INTERIOR</v>
          </cell>
          <cell r="R434">
            <v>5</v>
          </cell>
          <cell r="S434">
            <v>9</v>
          </cell>
          <cell r="T434" t="str">
            <v>Ciudad principal</v>
          </cell>
          <cell r="U434" t="str">
            <v>Departmental Digital</v>
          </cell>
          <cell r="V434" t="str">
            <v>XEROX MEXICANA SA DE CV / XEROX MEXICANA</v>
          </cell>
          <cell r="W434" t="str">
            <v>CHIHUAHUA</v>
          </cell>
          <cell r="X434">
            <v>2019</v>
          </cell>
          <cell r="Y434" t="str">
            <v>Qtr 2</v>
          </cell>
          <cell r="Z434" t="str">
            <v>April</v>
          </cell>
          <cell r="AA434">
            <v>11</v>
          </cell>
          <cell r="AB434">
            <v>0</v>
          </cell>
          <cell r="AC434">
            <v>1.1000000000000001</v>
          </cell>
          <cell r="AD434">
            <v>4.3333339999999998E-2</v>
          </cell>
          <cell r="AE434">
            <v>1501.5</v>
          </cell>
        </row>
        <row r="435">
          <cell r="A435" t="str">
            <v>0X76707969</v>
          </cell>
          <cell r="B435">
            <v>2019</v>
          </cell>
          <cell r="C435" t="str">
            <v>Qtr 2</v>
          </cell>
          <cell r="D435" t="str">
            <v>April</v>
          </cell>
          <cell r="E435">
            <v>11</v>
          </cell>
          <cell r="F435" t="str">
            <v>CORRECTIVO</v>
          </cell>
          <cell r="G435">
            <v>0.35</v>
          </cell>
          <cell r="H435" t="str">
            <v>Departmental Digital</v>
          </cell>
          <cell r="I435">
            <v>655</v>
          </cell>
          <cell r="J435">
            <v>1365</v>
          </cell>
          <cell r="K435">
            <v>0</v>
          </cell>
          <cell r="L435">
            <v>0</v>
          </cell>
          <cell r="M435">
            <v>0.6</v>
          </cell>
          <cell r="N435">
            <v>0.8</v>
          </cell>
          <cell r="O435">
            <v>1.05</v>
          </cell>
          <cell r="P435">
            <v>1.1000000000000001</v>
          </cell>
          <cell r="Q435" t="str">
            <v>INTERIOR</v>
          </cell>
          <cell r="R435">
            <v>5</v>
          </cell>
          <cell r="S435">
            <v>9</v>
          </cell>
          <cell r="T435" t="str">
            <v>Ciudad principal</v>
          </cell>
          <cell r="U435" t="str">
            <v>Departmental Digital</v>
          </cell>
          <cell r="V435" t="str">
            <v>XEROX MEXICANA SA DE CV / XEROX MEXICANA</v>
          </cell>
          <cell r="W435" t="str">
            <v>ESTADO DE MEXICO</v>
          </cell>
          <cell r="X435">
            <v>2019</v>
          </cell>
          <cell r="Y435" t="str">
            <v>Qtr 2</v>
          </cell>
          <cell r="Z435" t="str">
            <v>April</v>
          </cell>
          <cell r="AA435">
            <v>12</v>
          </cell>
          <cell r="AB435">
            <v>324</v>
          </cell>
          <cell r="AC435">
            <v>1.1000000000000001</v>
          </cell>
          <cell r="AD435">
            <v>7.0000000000000007E-2</v>
          </cell>
          <cell r="AE435">
            <v>1501.5</v>
          </cell>
        </row>
        <row r="436">
          <cell r="A436" t="str">
            <v>0XEH805087</v>
          </cell>
          <cell r="B436">
            <v>2019</v>
          </cell>
          <cell r="C436" t="str">
            <v>Qtr 2</v>
          </cell>
          <cell r="D436" t="str">
            <v>April</v>
          </cell>
          <cell r="E436">
            <v>11</v>
          </cell>
          <cell r="F436" t="str">
            <v>MANTENIMIENTO PREVENTIVO</v>
          </cell>
          <cell r="G436">
            <v>0</v>
          </cell>
          <cell r="H436" t="str">
            <v>Office Digital</v>
          </cell>
          <cell r="I436">
            <v>655</v>
          </cell>
          <cell r="J436">
            <v>1365</v>
          </cell>
          <cell r="K436">
            <v>0</v>
          </cell>
          <cell r="L436">
            <v>0</v>
          </cell>
          <cell r="M436">
            <v>0.6</v>
          </cell>
          <cell r="N436">
            <v>0.8</v>
          </cell>
          <cell r="O436">
            <v>1.05</v>
          </cell>
          <cell r="P436">
            <v>1.1000000000000001</v>
          </cell>
          <cell r="Q436" t="str">
            <v>INTERIOR</v>
          </cell>
          <cell r="R436">
            <v>5</v>
          </cell>
          <cell r="S436">
            <v>9</v>
          </cell>
          <cell r="T436" t="str">
            <v>Ciudad principal</v>
          </cell>
          <cell r="U436" t="str">
            <v>Departmental Digital</v>
          </cell>
          <cell r="V436" t="str">
            <v>XEROX MEXICANA SA DE CV / XEROX MEXICANA</v>
          </cell>
          <cell r="W436" t="str">
            <v>CHIHUAHUA</v>
          </cell>
          <cell r="X436">
            <v>2019</v>
          </cell>
          <cell r="Y436" t="str">
            <v>Qtr 2</v>
          </cell>
          <cell r="Z436" t="str">
            <v>April</v>
          </cell>
          <cell r="AA436">
            <v>12</v>
          </cell>
          <cell r="AB436">
            <v>28</v>
          </cell>
          <cell r="AC436">
            <v>0</v>
          </cell>
          <cell r="AD436">
            <v>0</v>
          </cell>
          <cell r="AE436">
            <v>1365</v>
          </cell>
        </row>
        <row r="437">
          <cell r="A437" t="str">
            <v>0XKP536906</v>
          </cell>
          <cell r="B437">
            <v>2019</v>
          </cell>
          <cell r="C437" t="str">
            <v>Qtr 2</v>
          </cell>
          <cell r="D437" t="str">
            <v>April</v>
          </cell>
          <cell r="E437">
            <v>11</v>
          </cell>
          <cell r="F437" t="str">
            <v>CORRECTIVO</v>
          </cell>
          <cell r="G437">
            <v>0</v>
          </cell>
          <cell r="H437" t="str">
            <v>A3 Office Color Laser MFPs</v>
          </cell>
          <cell r="I437">
            <v>655</v>
          </cell>
          <cell r="J437">
            <v>1365</v>
          </cell>
          <cell r="K437">
            <v>0</v>
          </cell>
          <cell r="L437">
            <v>0</v>
          </cell>
          <cell r="M437">
            <v>0.6</v>
          </cell>
          <cell r="N437">
            <v>0.8</v>
          </cell>
          <cell r="O437">
            <v>1.05</v>
          </cell>
          <cell r="P437">
            <v>1.1000000000000001</v>
          </cell>
          <cell r="Q437" t="str">
            <v>INTERIOR</v>
          </cell>
          <cell r="R437">
            <v>5</v>
          </cell>
          <cell r="S437">
            <v>9</v>
          </cell>
          <cell r="T437" t="str">
            <v>Ciudad principal</v>
          </cell>
          <cell r="U437" t="str">
            <v>A3 Office Color Laser MFPs</v>
          </cell>
          <cell r="V437" t="str">
            <v>XEROX MEXICANA SA DE CV / XEROX MEXICANA</v>
          </cell>
          <cell r="W437" t="str">
            <v>CHIHUAHUA</v>
          </cell>
          <cell r="X437">
            <v>2019</v>
          </cell>
          <cell r="Y437" t="str">
            <v>Qtr 2</v>
          </cell>
          <cell r="Z437" t="str">
            <v>April</v>
          </cell>
          <cell r="AA437">
            <v>15</v>
          </cell>
          <cell r="AB437">
            <v>92</v>
          </cell>
          <cell r="AC437">
            <v>1.1000000000000001</v>
          </cell>
          <cell r="AD437">
            <v>0</v>
          </cell>
          <cell r="AE437">
            <v>1501.5</v>
          </cell>
        </row>
        <row r="438">
          <cell r="A438" t="str">
            <v>0XLT269172</v>
          </cell>
          <cell r="B438">
            <v>2019</v>
          </cell>
          <cell r="C438" t="str">
            <v>Qtr 2</v>
          </cell>
          <cell r="D438" t="str">
            <v>April</v>
          </cell>
          <cell r="E438">
            <v>11</v>
          </cell>
          <cell r="F438" t="str">
            <v>CORRECTIVO</v>
          </cell>
          <cell r="G438">
            <v>2.8833329999999999</v>
          </cell>
          <cell r="H438" t="str">
            <v>Entry Mono Printers</v>
          </cell>
          <cell r="I438">
            <v>468</v>
          </cell>
          <cell r="J438">
            <v>715</v>
          </cell>
          <cell r="K438">
            <v>0</v>
          </cell>
          <cell r="L438">
            <v>0</v>
          </cell>
          <cell r="M438">
            <v>0</v>
          </cell>
          <cell r="N438">
            <v>0.6</v>
          </cell>
          <cell r="O438">
            <v>0.8</v>
          </cell>
          <cell r="P438">
            <v>1.05</v>
          </cell>
          <cell r="Q438" t="str">
            <v>INTERIOR</v>
          </cell>
          <cell r="R438">
            <v>5</v>
          </cell>
          <cell r="S438">
            <v>9</v>
          </cell>
          <cell r="T438" t="str">
            <v>Ciudad principal</v>
          </cell>
          <cell r="U438" t="str">
            <v>Entry Mono Printers</v>
          </cell>
          <cell r="V438" t="str">
            <v>XEROX MEXICANA SA DE CV / XEROX MEXICANA</v>
          </cell>
          <cell r="W438" t="str">
            <v>TAMAULIPAS</v>
          </cell>
          <cell r="X438">
            <v>2019</v>
          </cell>
          <cell r="Y438" t="str">
            <v>Qtr 2</v>
          </cell>
          <cell r="Z438" t="str">
            <v>April</v>
          </cell>
          <cell r="AA438">
            <v>12</v>
          </cell>
          <cell r="AB438">
            <v>87</v>
          </cell>
          <cell r="AC438">
            <v>1.05</v>
          </cell>
          <cell r="AD438">
            <v>0.57666660000000003</v>
          </cell>
          <cell r="AE438">
            <v>750.75</v>
          </cell>
        </row>
        <row r="439">
          <cell r="A439" t="str">
            <v>0XPN399404</v>
          </cell>
          <cell r="B439">
            <v>2019</v>
          </cell>
          <cell r="C439" t="str">
            <v>Qtr 2</v>
          </cell>
          <cell r="D439" t="str">
            <v>April</v>
          </cell>
          <cell r="E439">
            <v>11</v>
          </cell>
          <cell r="F439" t="str">
            <v>CORRECTIVO</v>
          </cell>
          <cell r="G439">
            <v>0</v>
          </cell>
          <cell r="H439" t="str">
            <v>Entry Production Color Low/Mid</v>
          </cell>
          <cell r="I439">
            <v>803</v>
          </cell>
          <cell r="J439">
            <v>1573</v>
          </cell>
          <cell r="K439">
            <v>0.2</v>
          </cell>
          <cell r="L439">
            <v>0.6</v>
          </cell>
          <cell r="M439">
            <v>0.8</v>
          </cell>
          <cell r="N439">
            <v>1.05</v>
          </cell>
          <cell r="O439">
            <v>1.1000000000000001</v>
          </cell>
          <cell r="P439">
            <v>1.1499999999999999</v>
          </cell>
          <cell r="Q439" t="str">
            <v>INTERIOR</v>
          </cell>
          <cell r="R439">
            <v>4</v>
          </cell>
          <cell r="S439">
            <v>6</v>
          </cell>
          <cell r="T439" t="str">
            <v>Ciudad principal</v>
          </cell>
          <cell r="U439" t="str">
            <v>Entry Production Color Low/Mid</v>
          </cell>
          <cell r="V439" t="str">
            <v>XEROX MEXICANA SA DE CV / XEROX MEXICANA</v>
          </cell>
          <cell r="W439" t="str">
            <v>QUERETARO</v>
          </cell>
          <cell r="X439">
            <v>2019</v>
          </cell>
          <cell r="Y439" t="str">
            <v>Qtr 2</v>
          </cell>
          <cell r="Z439" t="str">
            <v>April</v>
          </cell>
          <cell r="AA439">
            <v>15</v>
          </cell>
          <cell r="AB439">
            <v>31</v>
          </cell>
          <cell r="AC439">
            <v>1.1000000000000001</v>
          </cell>
          <cell r="AD439">
            <v>0</v>
          </cell>
          <cell r="AE439">
            <v>1730.3</v>
          </cell>
        </row>
        <row r="440">
          <cell r="A440" t="str">
            <v>0XPN548183</v>
          </cell>
          <cell r="B440">
            <v>2019</v>
          </cell>
          <cell r="C440" t="str">
            <v>Qtr 2</v>
          </cell>
          <cell r="D440" t="str">
            <v>April</v>
          </cell>
          <cell r="E440">
            <v>11</v>
          </cell>
          <cell r="F440" t="str">
            <v>CORRECTIVO</v>
          </cell>
          <cell r="G440">
            <v>3</v>
          </cell>
          <cell r="H440" t="str">
            <v>Entry Production Color Low/Mid</v>
          </cell>
          <cell r="I440">
            <v>803</v>
          </cell>
          <cell r="J440">
            <v>1573</v>
          </cell>
          <cell r="K440">
            <v>0.2</v>
          </cell>
          <cell r="L440">
            <v>0.6</v>
          </cell>
          <cell r="M440">
            <v>0.8</v>
          </cell>
          <cell r="N440">
            <v>1.05</v>
          </cell>
          <cell r="O440">
            <v>1.1000000000000001</v>
          </cell>
          <cell r="P440">
            <v>1.1499999999999999</v>
          </cell>
          <cell r="Q440" t="str">
            <v>INTERIOR</v>
          </cell>
          <cell r="R440">
            <v>4</v>
          </cell>
          <cell r="S440">
            <v>6</v>
          </cell>
          <cell r="T440" t="str">
            <v>Ciudad principal</v>
          </cell>
          <cell r="U440" t="str">
            <v>Entry Production Color Low/Mid</v>
          </cell>
          <cell r="V440" t="str">
            <v>XEROX MEXICANA SA DE CV / XEROX MEXICANA</v>
          </cell>
          <cell r="W440" t="str">
            <v>CHIHUAHUA</v>
          </cell>
          <cell r="X440">
            <v>2019</v>
          </cell>
          <cell r="Y440" t="str">
            <v>Qtr 2</v>
          </cell>
          <cell r="Z440" t="str">
            <v>April</v>
          </cell>
          <cell r="AA440">
            <v>11</v>
          </cell>
          <cell r="AB440">
            <v>2</v>
          </cell>
          <cell r="AC440">
            <v>0.2</v>
          </cell>
          <cell r="AD440">
            <v>0.75</v>
          </cell>
          <cell r="AE440">
            <v>314.60000000000002</v>
          </cell>
        </row>
        <row r="441">
          <cell r="A441" t="str">
            <v>0Y4X821406</v>
          </cell>
          <cell r="B441">
            <v>2019</v>
          </cell>
          <cell r="C441" t="str">
            <v>Qtr 2</v>
          </cell>
          <cell r="D441" t="str">
            <v>April</v>
          </cell>
          <cell r="E441">
            <v>11</v>
          </cell>
          <cell r="F441" t="str">
            <v>CORRECTIVO</v>
          </cell>
          <cell r="G441">
            <v>1.5333330000000001</v>
          </cell>
          <cell r="H441" t="str">
            <v>Departmental Digital</v>
          </cell>
          <cell r="I441">
            <v>655</v>
          </cell>
          <cell r="J441">
            <v>1365</v>
          </cell>
          <cell r="K441">
            <v>0</v>
          </cell>
          <cell r="L441">
            <v>0</v>
          </cell>
          <cell r="M441">
            <v>0.6</v>
          </cell>
          <cell r="N441">
            <v>0.8</v>
          </cell>
          <cell r="O441">
            <v>1.05</v>
          </cell>
          <cell r="P441">
            <v>1.1000000000000001</v>
          </cell>
          <cell r="Q441" t="str">
            <v>INTERIOR</v>
          </cell>
          <cell r="R441">
            <v>5</v>
          </cell>
          <cell r="S441">
            <v>9</v>
          </cell>
          <cell r="T441" t="str">
            <v>Ciudad principal</v>
          </cell>
          <cell r="U441" t="str">
            <v>Light Production Digital Business</v>
          </cell>
          <cell r="V441" t="str">
            <v>XEROX MEXICANA SA DE CV / XEROX MEXICANA</v>
          </cell>
          <cell r="W441" t="str">
            <v>CHIHUAHUA</v>
          </cell>
          <cell r="X441">
            <v>2019</v>
          </cell>
          <cell r="Y441" t="str">
            <v>Qtr 2</v>
          </cell>
          <cell r="Z441" t="str">
            <v>April</v>
          </cell>
          <cell r="AA441">
            <v>11</v>
          </cell>
          <cell r="AB441">
            <v>86</v>
          </cell>
          <cell r="AC441">
            <v>1.1000000000000001</v>
          </cell>
          <cell r="AD441">
            <v>0.30666660000000001</v>
          </cell>
          <cell r="AE441">
            <v>1501.5</v>
          </cell>
        </row>
        <row r="442">
          <cell r="A442" t="str">
            <v>Y4X822461</v>
          </cell>
          <cell r="B442">
            <v>2019</v>
          </cell>
          <cell r="C442" t="str">
            <v>Qtr 2</v>
          </cell>
          <cell r="D442" t="str">
            <v>April</v>
          </cell>
          <cell r="E442">
            <v>11</v>
          </cell>
          <cell r="F442" t="str">
            <v>MANTENIMIENTO PREVENTIVO</v>
          </cell>
          <cell r="G442">
            <v>0</v>
          </cell>
          <cell r="H442" t="str">
            <v>Departmental Digital</v>
          </cell>
          <cell r="I442">
            <v>655</v>
          </cell>
          <cell r="J442">
            <v>1365</v>
          </cell>
          <cell r="K442">
            <v>0</v>
          </cell>
          <cell r="L442">
            <v>0</v>
          </cell>
          <cell r="M442">
            <v>0.6</v>
          </cell>
          <cell r="N442">
            <v>0.8</v>
          </cell>
          <cell r="O442">
            <v>1.05</v>
          </cell>
          <cell r="P442">
            <v>1.1000000000000001</v>
          </cell>
          <cell r="Q442" t="str">
            <v>INTERIOR</v>
          </cell>
          <cell r="R442">
            <v>5</v>
          </cell>
          <cell r="S442">
            <v>9</v>
          </cell>
          <cell r="T442" t="str">
            <v>Ciudad principal</v>
          </cell>
          <cell r="U442" t="str">
            <v>Light Production Digital Business</v>
          </cell>
          <cell r="V442" t="str">
            <v>XEROX MEXICANA SA DE CV / XEROX MEXICANA</v>
          </cell>
          <cell r="W442" t="str">
            <v>TAMAULIPAS</v>
          </cell>
          <cell r="X442">
            <v>2019</v>
          </cell>
          <cell r="Y442" t="str">
            <v>Qtr 2</v>
          </cell>
          <cell r="Z442" t="str">
            <v>April</v>
          </cell>
          <cell r="AA442">
            <v>12</v>
          </cell>
          <cell r="AB442">
            <v>28</v>
          </cell>
          <cell r="AC442">
            <v>0</v>
          </cell>
          <cell r="AD442">
            <v>0</v>
          </cell>
          <cell r="AE442">
            <v>1365</v>
          </cell>
        </row>
        <row r="443">
          <cell r="A443">
            <v>2411031</v>
          </cell>
          <cell r="B443">
            <v>2019</v>
          </cell>
          <cell r="C443" t="str">
            <v>Qtr 2</v>
          </cell>
          <cell r="D443" t="str">
            <v>April</v>
          </cell>
          <cell r="E443">
            <v>12</v>
          </cell>
          <cell r="F443" t="str">
            <v>CONFIGURACION</v>
          </cell>
          <cell r="G443">
            <v>0.66666669999999995</v>
          </cell>
          <cell r="H443" t="str">
            <v>WF Mono Systems and Legacy Color</v>
          </cell>
          <cell r="I443">
            <v>803</v>
          </cell>
          <cell r="J443">
            <v>1573</v>
          </cell>
          <cell r="K443">
            <v>0.2</v>
          </cell>
          <cell r="L443">
            <v>0.6</v>
          </cell>
          <cell r="M443">
            <v>0.8</v>
          </cell>
          <cell r="N443">
            <v>1.05</v>
          </cell>
          <cell r="O443">
            <v>1.1000000000000001</v>
          </cell>
          <cell r="P443">
            <v>1.1499999999999999</v>
          </cell>
          <cell r="Q443" t="str">
            <v>INTERIOR</v>
          </cell>
          <cell r="R443">
            <v>4</v>
          </cell>
          <cell r="S443">
            <v>6</v>
          </cell>
          <cell r="T443" t="str">
            <v>Ciudad principal</v>
          </cell>
          <cell r="U443" t="str">
            <v>WF Mono Systems and Legacy Color</v>
          </cell>
          <cell r="V443" t="str">
            <v>XEROX MEXICANA SA DE CV / XEROX MEXICANA</v>
          </cell>
          <cell r="W443" t="str">
            <v>QUERETARO</v>
          </cell>
          <cell r="X443">
            <v>2019</v>
          </cell>
          <cell r="Y443" t="str">
            <v>Qtr 2</v>
          </cell>
          <cell r="Z443" t="str">
            <v>April</v>
          </cell>
          <cell r="AA443">
            <v>12</v>
          </cell>
          <cell r="AB443">
            <v>21</v>
          </cell>
          <cell r="AC443">
            <v>1.05</v>
          </cell>
          <cell r="AD443">
            <v>0.16666667499999999</v>
          </cell>
          <cell r="AE443">
            <v>1651.65</v>
          </cell>
        </row>
        <row r="444">
          <cell r="A444" t="str">
            <v>03AG879544</v>
          </cell>
          <cell r="B444">
            <v>2019</v>
          </cell>
          <cell r="C444" t="str">
            <v>Qtr 2</v>
          </cell>
          <cell r="D444" t="str">
            <v>April</v>
          </cell>
          <cell r="E444">
            <v>12</v>
          </cell>
          <cell r="F444" t="str">
            <v>CORRECTIVO</v>
          </cell>
          <cell r="G444">
            <v>2.1</v>
          </cell>
          <cell r="H444" t="str">
            <v>Departmental Digital</v>
          </cell>
          <cell r="I444">
            <v>655</v>
          </cell>
          <cell r="J444">
            <v>1365</v>
          </cell>
          <cell r="K444">
            <v>0</v>
          </cell>
          <cell r="L444">
            <v>0</v>
          </cell>
          <cell r="M444">
            <v>0.6</v>
          </cell>
          <cell r="N444">
            <v>0.8</v>
          </cell>
          <cell r="O444">
            <v>1.05</v>
          </cell>
          <cell r="P444">
            <v>1.1000000000000001</v>
          </cell>
          <cell r="Q444" t="str">
            <v>INTERIOR</v>
          </cell>
          <cell r="R444">
            <v>5</v>
          </cell>
          <cell r="S444">
            <v>9</v>
          </cell>
          <cell r="T444" t="str">
            <v>Ciudad principal</v>
          </cell>
          <cell r="U444" t="str">
            <v>Light Production Digital Business</v>
          </cell>
          <cell r="V444" t="str">
            <v>XEROX MEXICANA SA DE CV / XEROX MEXICANA</v>
          </cell>
          <cell r="W444" t="str">
            <v>JALISCO</v>
          </cell>
          <cell r="X444">
            <v>2019</v>
          </cell>
          <cell r="Y444" t="str">
            <v>Qtr 2</v>
          </cell>
          <cell r="Z444" t="str">
            <v>April</v>
          </cell>
          <cell r="AA444">
            <v>16</v>
          </cell>
          <cell r="AB444">
            <v>17</v>
          </cell>
          <cell r="AC444">
            <v>0.8</v>
          </cell>
          <cell r="AD444">
            <v>0.42</v>
          </cell>
          <cell r="AE444">
            <v>1092</v>
          </cell>
        </row>
        <row r="445">
          <cell r="A445" t="str">
            <v>03BT802581</v>
          </cell>
          <cell r="B445">
            <v>2019</v>
          </cell>
          <cell r="C445" t="str">
            <v>Qtr 2</v>
          </cell>
          <cell r="D445" t="str">
            <v>April</v>
          </cell>
          <cell r="E445">
            <v>12</v>
          </cell>
          <cell r="F445" t="str">
            <v>CORRECTIVO</v>
          </cell>
          <cell r="G445">
            <v>1.6666669999999999</v>
          </cell>
          <cell r="H445" t="str">
            <v>A4 Mono MFPs</v>
          </cell>
          <cell r="I445">
            <v>468</v>
          </cell>
          <cell r="J445">
            <v>715</v>
          </cell>
          <cell r="K445">
            <v>0</v>
          </cell>
          <cell r="L445">
            <v>0</v>
          </cell>
          <cell r="M445">
            <v>0</v>
          </cell>
          <cell r="N445">
            <v>0.6</v>
          </cell>
          <cell r="O445">
            <v>0.8</v>
          </cell>
          <cell r="P445">
            <v>1.05</v>
          </cell>
          <cell r="Q445" t="str">
            <v>INTERIOR</v>
          </cell>
          <cell r="R445">
            <v>5</v>
          </cell>
          <cell r="S445">
            <v>9</v>
          </cell>
          <cell r="T445" t="str">
            <v>Ciudad principal</v>
          </cell>
          <cell r="U445" t="str">
            <v>A4 Mono MFPs</v>
          </cell>
          <cell r="V445" t="str">
            <v>XEROX MEXICANA SA DE CV / XEROX MEXICANA</v>
          </cell>
          <cell r="W445" t="str">
            <v>TAMAULIPAS</v>
          </cell>
          <cell r="X445">
            <v>2019</v>
          </cell>
          <cell r="Y445" t="str">
            <v>Qtr 2</v>
          </cell>
          <cell r="Z445" t="str">
            <v>April</v>
          </cell>
          <cell r="AA445">
            <v>12</v>
          </cell>
          <cell r="AB445">
            <v>332</v>
          </cell>
          <cell r="AC445">
            <v>1.05</v>
          </cell>
          <cell r="AD445">
            <v>0.3333334</v>
          </cell>
          <cell r="AE445">
            <v>750.75</v>
          </cell>
        </row>
        <row r="446">
          <cell r="A446" t="str">
            <v>09HB320824</v>
          </cell>
          <cell r="B446">
            <v>2019</v>
          </cell>
          <cell r="C446" t="str">
            <v>Qtr 2</v>
          </cell>
          <cell r="D446" t="str">
            <v>April</v>
          </cell>
          <cell r="E446">
            <v>12</v>
          </cell>
          <cell r="F446" t="str">
            <v>CORRECTIVO</v>
          </cell>
          <cell r="G446">
            <v>1.183333</v>
          </cell>
          <cell r="H446" t="str">
            <v>A4 Mono MFPs</v>
          </cell>
          <cell r="I446">
            <v>468</v>
          </cell>
          <cell r="J446">
            <v>715</v>
          </cell>
          <cell r="K446">
            <v>0</v>
          </cell>
          <cell r="L446">
            <v>0</v>
          </cell>
          <cell r="M446">
            <v>0</v>
          </cell>
          <cell r="N446">
            <v>0.6</v>
          </cell>
          <cell r="O446">
            <v>0.8</v>
          </cell>
          <cell r="P446">
            <v>1.05</v>
          </cell>
          <cell r="Q446" t="str">
            <v>INTERIOR</v>
          </cell>
          <cell r="R446">
            <v>5</v>
          </cell>
          <cell r="S446">
            <v>9</v>
          </cell>
          <cell r="T446" t="str">
            <v>Ciudad principal</v>
          </cell>
          <cell r="U446" t="str">
            <v>A4 Mono MFPs</v>
          </cell>
          <cell r="V446" t="str">
            <v>XEROX MEXICANA SA DE CV / XEROX MEXICANA</v>
          </cell>
          <cell r="W446" t="str">
            <v>NUEVO LEON</v>
          </cell>
          <cell r="X446">
            <v>2019</v>
          </cell>
          <cell r="Y446" t="str">
            <v>Qtr 2</v>
          </cell>
          <cell r="Z446" t="str">
            <v>April</v>
          </cell>
          <cell r="AA446">
            <v>12</v>
          </cell>
          <cell r="AB446">
            <v>260</v>
          </cell>
          <cell r="AC446">
            <v>1.05</v>
          </cell>
          <cell r="AD446">
            <v>0.2366666</v>
          </cell>
          <cell r="AE446">
            <v>750.75</v>
          </cell>
        </row>
        <row r="447">
          <cell r="A447" t="str">
            <v>0A1H020594</v>
          </cell>
          <cell r="B447">
            <v>2019</v>
          </cell>
          <cell r="C447" t="str">
            <v>Qtr 2</v>
          </cell>
          <cell r="D447" t="str">
            <v>April</v>
          </cell>
          <cell r="E447">
            <v>12</v>
          </cell>
          <cell r="F447" t="str">
            <v>MANTENIMIENTO PREVENTIVO</v>
          </cell>
          <cell r="G447">
            <v>0.4166667</v>
          </cell>
          <cell r="H447" t="str">
            <v>WF Mono Systems and Legacy Color</v>
          </cell>
          <cell r="I447">
            <v>803</v>
          </cell>
          <cell r="J447">
            <v>1573</v>
          </cell>
          <cell r="K447">
            <v>0.2</v>
          </cell>
          <cell r="L447">
            <v>0.6</v>
          </cell>
          <cell r="M447">
            <v>0.8</v>
          </cell>
          <cell r="N447">
            <v>1.05</v>
          </cell>
          <cell r="O447">
            <v>1.1000000000000001</v>
          </cell>
          <cell r="P447">
            <v>1.1499999999999999</v>
          </cell>
          <cell r="Q447" t="str">
            <v>INTERIOR</v>
          </cell>
          <cell r="R447">
            <v>4</v>
          </cell>
          <cell r="S447">
            <v>6</v>
          </cell>
          <cell r="T447" t="str">
            <v>Ciudad principal</v>
          </cell>
          <cell r="U447" t="str">
            <v>WF Mono Systems and Legacy Color</v>
          </cell>
          <cell r="V447" t="str">
            <v>XEROX MEXICANA SA DE CV / XEROX MEXICANA</v>
          </cell>
          <cell r="W447" t="str">
            <v>CHIHUAHUA</v>
          </cell>
          <cell r="X447">
            <v>2019</v>
          </cell>
          <cell r="Y447" t="str">
            <v>Qtr 2</v>
          </cell>
          <cell r="Z447" t="str">
            <v>April</v>
          </cell>
          <cell r="AA447">
            <v>12</v>
          </cell>
          <cell r="AB447">
            <v>18</v>
          </cell>
          <cell r="AC447">
            <v>0</v>
          </cell>
          <cell r="AD447">
            <v>0</v>
          </cell>
          <cell r="AE447">
            <v>1573</v>
          </cell>
        </row>
        <row r="448">
          <cell r="A448" t="str">
            <v>0A1H020707</v>
          </cell>
          <cell r="B448">
            <v>2019</v>
          </cell>
          <cell r="C448" t="str">
            <v>Qtr 2</v>
          </cell>
          <cell r="D448" t="str">
            <v>April</v>
          </cell>
          <cell r="E448">
            <v>12</v>
          </cell>
          <cell r="F448" t="str">
            <v>CORRECTIVO</v>
          </cell>
          <cell r="G448">
            <v>2.75</v>
          </cell>
          <cell r="H448" t="str">
            <v>WF Mono Systems and Legacy Color</v>
          </cell>
          <cell r="I448">
            <v>803</v>
          </cell>
          <cell r="J448">
            <v>1573</v>
          </cell>
          <cell r="K448">
            <v>0.2</v>
          </cell>
          <cell r="L448">
            <v>0.6</v>
          </cell>
          <cell r="M448">
            <v>0.8</v>
          </cell>
          <cell r="N448">
            <v>1.05</v>
          </cell>
          <cell r="O448">
            <v>1.1000000000000001</v>
          </cell>
          <cell r="P448">
            <v>1.1499999999999999</v>
          </cell>
          <cell r="Q448" t="str">
            <v>INTERIOR</v>
          </cell>
          <cell r="R448">
            <v>4</v>
          </cell>
          <cell r="S448">
            <v>6</v>
          </cell>
          <cell r="T448" t="str">
            <v>Ciudad principal</v>
          </cell>
          <cell r="U448" t="str">
            <v>WF Mono Systems and Legacy Color</v>
          </cell>
          <cell r="V448" t="str">
            <v>XEROX MEXICANA SA DE CV / XEROX MEXICANA</v>
          </cell>
          <cell r="W448" t="str">
            <v>QUERETARO</v>
          </cell>
          <cell r="X448">
            <v>2019</v>
          </cell>
          <cell r="Y448" t="str">
            <v>Qtr 2</v>
          </cell>
          <cell r="Z448" t="str">
            <v>April</v>
          </cell>
          <cell r="AA448">
            <v>15</v>
          </cell>
          <cell r="AB448">
            <v>65</v>
          </cell>
          <cell r="AC448">
            <v>1.1499999999999999</v>
          </cell>
          <cell r="AD448">
            <v>0.6875</v>
          </cell>
          <cell r="AE448">
            <v>1808.95</v>
          </cell>
        </row>
        <row r="449">
          <cell r="A449" t="str">
            <v>0BB1252169</v>
          </cell>
          <cell r="B449">
            <v>2019</v>
          </cell>
          <cell r="C449" t="str">
            <v>Qtr 2</v>
          </cell>
          <cell r="D449" t="str">
            <v>April</v>
          </cell>
          <cell r="E449">
            <v>12</v>
          </cell>
          <cell r="F449" t="str">
            <v>CORRECTIVO</v>
          </cell>
          <cell r="G449">
            <v>1.2833330000000001</v>
          </cell>
          <cell r="H449" t="str">
            <v>A4 Mono MFPs</v>
          </cell>
          <cell r="I449">
            <v>468</v>
          </cell>
          <cell r="J449">
            <v>715</v>
          </cell>
          <cell r="K449">
            <v>0</v>
          </cell>
          <cell r="L449">
            <v>0</v>
          </cell>
          <cell r="M449">
            <v>0</v>
          </cell>
          <cell r="N449">
            <v>0.6</v>
          </cell>
          <cell r="O449">
            <v>0.8</v>
          </cell>
          <cell r="P449">
            <v>1.05</v>
          </cell>
          <cell r="Q449" t="str">
            <v>INTERIOR</v>
          </cell>
          <cell r="R449">
            <v>5</v>
          </cell>
          <cell r="S449">
            <v>9</v>
          </cell>
          <cell r="T449" t="str">
            <v>Ciudad principal</v>
          </cell>
          <cell r="U449" t="str">
            <v>A4 Mono MFPs</v>
          </cell>
          <cell r="V449" t="str">
            <v>XEROX MEXICANA SA DE CV / XEROX MEXICANA</v>
          </cell>
          <cell r="W449" t="str">
            <v>CHIHUAHUA</v>
          </cell>
          <cell r="X449">
            <v>2019</v>
          </cell>
          <cell r="Y449" t="str">
            <v>Qtr 2</v>
          </cell>
          <cell r="Z449" t="str">
            <v>April</v>
          </cell>
          <cell r="AA449">
            <v>12</v>
          </cell>
          <cell r="AB449">
            <v>29</v>
          </cell>
          <cell r="AC449">
            <v>0.6</v>
          </cell>
          <cell r="AD449">
            <v>0.25666660000000002</v>
          </cell>
          <cell r="AE449">
            <v>429</v>
          </cell>
        </row>
        <row r="450">
          <cell r="A450" t="str">
            <v>0BG0972350</v>
          </cell>
          <cell r="B450">
            <v>2019</v>
          </cell>
          <cell r="C450" t="str">
            <v>Qtr 2</v>
          </cell>
          <cell r="D450" t="str">
            <v>April</v>
          </cell>
          <cell r="E450">
            <v>12</v>
          </cell>
          <cell r="F450" t="str">
            <v>CORRECTIVO</v>
          </cell>
          <cell r="G450">
            <v>1.6666669999999999</v>
          </cell>
          <cell r="H450" t="str">
            <v>Light Production Digital Business</v>
          </cell>
          <cell r="I450">
            <v>803</v>
          </cell>
          <cell r="J450">
            <v>1573</v>
          </cell>
          <cell r="K450">
            <v>0.2</v>
          </cell>
          <cell r="L450">
            <v>0.6</v>
          </cell>
          <cell r="M450">
            <v>0.8</v>
          </cell>
          <cell r="N450">
            <v>1.05</v>
          </cell>
          <cell r="O450">
            <v>1.1000000000000001</v>
          </cell>
          <cell r="P450">
            <v>1.1499999999999999</v>
          </cell>
          <cell r="Q450" t="str">
            <v>INTERIOR</v>
          </cell>
          <cell r="R450">
            <v>4</v>
          </cell>
          <cell r="S450">
            <v>6</v>
          </cell>
          <cell r="T450" t="str">
            <v>Ciudad principal</v>
          </cell>
          <cell r="U450" t="str">
            <v>High End Cut Sheet</v>
          </cell>
          <cell r="V450" t="str">
            <v>XEROX MEXICANA SA DE CV / XEROX MEXICANA</v>
          </cell>
          <cell r="W450" t="str">
            <v>NUEVO LEON</v>
          </cell>
          <cell r="X450">
            <v>2019</v>
          </cell>
          <cell r="Y450" t="str">
            <v>Qtr 2</v>
          </cell>
          <cell r="Z450" t="str">
            <v>April</v>
          </cell>
          <cell r="AA450">
            <v>12</v>
          </cell>
          <cell r="AB450">
            <v>15</v>
          </cell>
          <cell r="AC450">
            <v>0.8</v>
          </cell>
          <cell r="AD450">
            <v>0.41666674999999997</v>
          </cell>
          <cell r="AE450">
            <v>1258.4000000000001</v>
          </cell>
        </row>
        <row r="451">
          <cell r="A451" t="str">
            <v>0BG2940184</v>
          </cell>
          <cell r="B451">
            <v>2019</v>
          </cell>
          <cell r="C451" t="str">
            <v>Qtr 2</v>
          </cell>
          <cell r="D451" t="str">
            <v>April</v>
          </cell>
          <cell r="E451">
            <v>12</v>
          </cell>
          <cell r="F451" t="str">
            <v>CORRECTIVO</v>
          </cell>
          <cell r="G451">
            <v>1.5</v>
          </cell>
          <cell r="H451" t="str">
            <v>Light Production Digital Business</v>
          </cell>
          <cell r="I451">
            <v>803</v>
          </cell>
          <cell r="J451">
            <v>1573</v>
          </cell>
          <cell r="K451">
            <v>0.2</v>
          </cell>
          <cell r="L451">
            <v>0.6</v>
          </cell>
          <cell r="M451">
            <v>0.8</v>
          </cell>
          <cell r="N451">
            <v>1.05</v>
          </cell>
          <cell r="O451">
            <v>1.1000000000000001</v>
          </cell>
          <cell r="P451">
            <v>1.1499999999999999</v>
          </cell>
          <cell r="Q451" t="str">
            <v>INTERIOR</v>
          </cell>
          <cell r="R451">
            <v>4</v>
          </cell>
          <cell r="S451">
            <v>6</v>
          </cell>
          <cell r="T451" t="str">
            <v>Ciudad principal</v>
          </cell>
          <cell r="U451" t="str">
            <v>High End Cut Sheet</v>
          </cell>
          <cell r="V451" t="str">
            <v>XEROX MEXICANA SA DE CV / XEROX MEXICANA</v>
          </cell>
          <cell r="W451" t="str">
            <v>JALISCO</v>
          </cell>
          <cell r="X451">
            <v>2019</v>
          </cell>
          <cell r="Y451" t="str">
            <v>Qtr 2</v>
          </cell>
          <cell r="Z451" t="str">
            <v>April</v>
          </cell>
          <cell r="AA451">
            <v>15</v>
          </cell>
          <cell r="AB451">
            <v>14</v>
          </cell>
          <cell r="AC451">
            <v>0.8</v>
          </cell>
          <cell r="AD451">
            <v>0.375</v>
          </cell>
          <cell r="AE451">
            <v>1258.4000000000001</v>
          </cell>
        </row>
        <row r="452">
          <cell r="A452" t="str">
            <v>0C4X002927</v>
          </cell>
          <cell r="B452">
            <v>2019</v>
          </cell>
          <cell r="C452" t="str">
            <v>Qtr 2</v>
          </cell>
          <cell r="D452" t="str">
            <v>April</v>
          </cell>
          <cell r="E452">
            <v>12</v>
          </cell>
          <cell r="F452" t="str">
            <v>CORRECTIVO</v>
          </cell>
          <cell r="G452">
            <v>0.98333329999999997</v>
          </cell>
          <cell r="H452" t="str">
            <v>A4 Mono MFPs</v>
          </cell>
          <cell r="I452">
            <v>468</v>
          </cell>
          <cell r="J452">
            <v>715</v>
          </cell>
          <cell r="K452">
            <v>0</v>
          </cell>
          <cell r="L452">
            <v>0</v>
          </cell>
          <cell r="M452">
            <v>0</v>
          </cell>
          <cell r="N452">
            <v>0.6</v>
          </cell>
          <cell r="O452">
            <v>0.8</v>
          </cell>
          <cell r="P452">
            <v>1.05</v>
          </cell>
          <cell r="Q452" t="str">
            <v>INTERIOR</v>
          </cell>
          <cell r="R452">
            <v>5</v>
          </cell>
          <cell r="S452">
            <v>9</v>
          </cell>
          <cell r="T452" t="str">
            <v>Ciudad principal</v>
          </cell>
          <cell r="U452" t="str">
            <v>A4 Mono MFPs</v>
          </cell>
          <cell r="V452" t="str">
            <v>XEROX MEXICANA SA DE CV / XEROX MEXICANA</v>
          </cell>
          <cell r="W452" t="str">
            <v>CHIHUAHUA</v>
          </cell>
          <cell r="X452">
            <v>2019</v>
          </cell>
          <cell r="Y452" t="str">
            <v>Qtr 2</v>
          </cell>
          <cell r="Z452" t="str">
            <v>April</v>
          </cell>
          <cell r="AA452">
            <v>12</v>
          </cell>
          <cell r="AB452">
            <v>8</v>
          </cell>
          <cell r="AC452">
            <v>0</v>
          </cell>
          <cell r="AD452">
            <v>0.19666665999999999</v>
          </cell>
          <cell r="AE452">
            <v>0</v>
          </cell>
        </row>
        <row r="453">
          <cell r="A453" t="str">
            <v>0C4X003927</v>
          </cell>
          <cell r="B453">
            <v>2019</v>
          </cell>
          <cell r="C453" t="str">
            <v>Qtr 2</v>
          </cell>
          <cell r="D453" t="str">
            <v>April</v>
          </cell>
          <cell r="E453">
            <v>12</v>
          </cell>
          <cell r="F453" t="str">
            <v>CORRECTIVO</v>
          </cell>
          <cell r="G453">
            <v>0.66666669999999995</v>
          </cell>
          <cell r="H453" t="str">
            <v>A4 Mono MFPs</v>
          </cell>
          <cell r="I453">
            <v>468</v>
          </cell>
          <cell r="J453">
            <v>715</v>
          </cell>
          <cell r="K453">
            <v>0</v>
          </cell>
          <cell r="L453">
            <v>0</v>
          </cell>
          <cell r="M453">
            <v>0</v>
          </cell>
          <cell r="N453">
            <v>0.6</v>
          </cell>
          <cell r="O453">
            <v>0.8</v>
          </cell>
          <cell r="P453">
            <v>1.05</v>
          </cell>
          <cell r="Q453" t="str">
            <v>INTERIOR</v>
          </cell>
          <cell r="R453">
            <v>5</v>
          </cell>
          <cell r="S453">
            <v>9</v>
          </cell>
          <cell r="T453" t="str">
            <v>Ciudad principal</v>
          </cell>
          <cell r="U453" t="str">
            <v>A4 Mono MFPs</v>
          </cell>
          <cell r="V453" t="str">
            <v>XEROX MEXICANA SA DE CV / XEROX MEXICANA</v>
          </cell>
          <cell r="W453" t="str">
            <v>CHIHUAHUA</v>
          </cell>
          <cell r="X453">
            <v>2019</v>
          </cell>
          <cell r="Y453" t="str">
            <v>Qtr 2</v>
          </cell>
          <cell r="Z453" t="str">
            <v>April</v>
          </cell>
          <cell r="AA453">
            <v>12</v>
          </cell>
          <cell r="AB453">
            <v>71</v>
          </cell>
          <cell r="AC453">
            <v>1.05</v>
          </cell>
          <cell r="AD453">
            <v>0.13333333999999999</v>
          </cell>
          <cell r="AE453">
            <v>750.75</v>
          </cell>
        </row>
        <row r="454">
          <cell r="A454" t="str">
            <v>0C7X246842</v>
          </cell>
          <cell r="B454">
            <v>2019</v>
          </cell>
          <cell r="C454" t="str">
            <v>Qtr 2</v>
          </cell>
          <cell r="D454" t="str">
            <v>April</v>
          </cell>
          <cell r="E454">
            <v>12</v>
          </cell>
          <cell r="F454" t="str">
            <v>MANTENIMIENTO PREVENTIVO</v>
          </cell>
          <cell r="G454">
            <v>0</v>
          </cell>
          <cell r="H454" t="str">
            <v>A4 Mono MFPs</v>
          </cell>
          <cell r="I454">
            <v>468</v>
          </cell>
          <cell r="J454">
            <v>715</v>
          </cell>
          <cell r="K454">
            <v>0</v>
          </cell>
          <cell r="L454">
            <v>0</v>
          </cell>
          <cell r="M454">
            <v>0</v>
          </cell>
          <cell r="N454">
            <v>0.6</v>
          </cell>
          <cell r="O454">
            <v>0.8</v>
          </cell>
          <cell r="P454">
            <v>1.05</v>
          </cell>
          <cell r="Q454" t="str">
            <v>INTERIOR</v>
          </cell>
          <cell r="R454">
            <v>5</v>
          </cell>
          <cell r="S454">
            <v>9</v>
          </cell>
          <cell r="T454" t="str">
            <v>Ciudad principal</v>
          </cell>
          <cell r="U454" t="str">
            <v>A4 Mono MFPs</v>
          </cell>
          <cell r="V454" t="str">
            <v>XEROX MEXICANA SA DE CV / XEROX MEXICANA</v>
          </cell>
          <cell r="W454" t="str">
            <v>JALISCO</v>
          </cell>
          <cell r="X454">
            <v>2019</v>
          </cell>
          <cell r="Y454" t="str">
            <v>Qtr 2</v>
          </cell>
          <cell r="Z454" t="str">
            <v>April</v>
          </cell>
          <cell r="AA454">
            <v>12</v>
          </cell>
          <cell r="AB454">
            <v>2</v>
          </cell>
          <cell r="AC454">
            <v>0</v>
          </cell>
          <cell r="AD454">
            <v>0</v>
          </cell>
          <cell r="AE454">
            <v>715</v>
          </cell>
        </row>
        <row r="455">
          <cell r="A455" t="str">
            <v>0E2B658304</v>
          </cell>
          <cell r="B455">
            <v>2019</v>
          </cell>
          <cell r="C455" t="str">
            <v>Qtr 2</v>
          </cell>
          <cell r="D455" t="str">
            <v>April</v>
          </cell>
          <cell r="E455">
            <v>12</v>
          </cell>
          <cell r="F455" t="str">
            <v>CORRECTIVO</v>
          </cell>
          <cell r="G455">
            <v>0.4</v>
          </cell>
          <cell r="H455" t="str">
            <v>Entry Production Color Low/Mid</v>
          </cell>
          <cell r="I455">
            <v>803</v>
          </cell>
          <cell r="J455">
            <v>1573</v>
          </cell>
          <cell r="K455">
            <v>0.2</v>
          </cell>
          <cell r="L455">
            <v>0.6</v>
          </cell>
          <cell r="M455">
            <v>0.8</v>
          </cell>
          <cell r="N455">
            <v>1.05</v>
          </cell>
          <cell r="O455">
            <v>1.1000000000000001</v>
          </cell>
          <cell r="P455">
            <v>1.1499999999999999</v>
          </cell>
          <cell r="Q455" t="str">
            <v>INTERIOR</v>
          </cell>
          <cell r="R455">
            <v>4</v>
          </cell>
          <cell r="S455">
            <v>6</v>
          </cell>
          <cell r="T455" t="str">
            <v>Ciudad principal</v>
          </cell>
          <cell r="U455" t="str">
            <v>Entry Production Color Low/Mid</v>
          </cell>
          <cell r="V455" t="str">
            <v>XEROX MEXICANA SA DE CV / XEROX MEXICANA</v>
          </cell>
          <cell r="W455" t="str">
            <v>NUEVO LEON</v>
          </cell>
          <cell r="X455">
            <v>2019</v>
          </cell>
          <cell r="Y455" t="str">
            <v>Qtr 2</v>
          </cell>
          <cell r="Z455" t="str">
            <v>April</v>
          </cell>
          <cell r="AA455">
            <v>17</v>
          </cell>
          <cell r="AB455">
            <v>10</v>
          </cell>
          <cell r="AC455">
            <v>0.8</v>
          </cell>
          <cell r="AD455">
            <v>0.1</v>
          </cell>
          <cell r="AE455">
            <v>1258.4000000000001</v>
          </cell>
        </row>
        <row r="456">
          <cell r="A456" t="str">
            <v>0E2B659015</v>
          </cell>
          <cell r="B456">
            <v>2019</v>
          </cell>
          <cell r="C456" t="str">
            <v>Qtr 2</v>
          </cell>
          <cell r="D456" t="str">
            <v>April</v>
          </cell>
          <cell r="E456">
            <v>12</v>
          </cell>
          <cell r="F456" t="str">
            <v>CORRECTIVO</v>
          </cell>
          <cell r="G456">
            <v>2.6166670000000001</v>
          </cell>
          <cell r="H456" t="str">
            <v>Entry Production Color Low/Mid</v>
          </cell>
          <cell r="I456">
            <v>803</v>
          </cell>
          <cell r="J456">
            <v>1573</v>
          </cell>
          <cell r="K456">
            <v>0.2</v>
          </cell>
          <cell r="L456">
            <v>0.6</v>
          </cell>
          <cell r="M456">
            <v>0.8</v>
          </cell>
          <cell r="N456">
            <v>1.05</v>
          </cell>
          <cell r="O456">
            <v>1.1000000000000001</v>
          </cell>
          <cell r="P456">
            <v>1.1499999999999999</v>
          </cell>
          <cell r="Q456" t="str">
            <v>INTERIOR</v>
          </cell>
          <cell r="R456">
            <v>4</v>
          </cell>
          <cell r="S456">
            <v>6</v>
          </cell>
          <cell r="T456" t="str">
            <v>Ciudad principal</v>
          </cell>
          <cell r="U456" t="str">
            <v>Entry Production Color Low/Mid</v>
          </cell>
          <cell r="V456" t="str">
            <v>XEROX MEXICANA SA DE CV / XEROX MEXICANA</v>
          </cell>
          <cell r="W456" t="str">
            <v>JALISCO</v>
          </cell>
          <cell r="X456">
            <v>2019</v>
          </cell>
          <cell r="Y456" t="str">
            <v>Qtr 2</v>
          </cell>
          <cell r="Z456" t="str">
            <v>April</v>
          </cell>
          <cell r="AA456">
            <v>12</v>
          </cell>
          <cell r="AB456">
            <v>7</v>
          </cell>
          <cell r="AC456">
            <v>0.8</v>
          </cell>
          <cell r="AD456">
            <v>0.65416675000000002</v>
          </cell>
          <cell r="AE456">
            <v>1258.4000000000001</v>
          </cell>
        </row>
        <row r="457">
          <cell r="A457" t="str">
            <v>0EX7387236</v>
          </cell>
          <cell r="B457">
            <v>2019</v>
          </cell>
          <cell r="C457" t="str">
            <v>Qtr 2</v>
          </cell>
          <cell r="D457" t="str">
            <v>April</v>
          </cell>
          <cell r="E457">
            <v>12</v>
          </cell>
          <cell r="F457" t="str">
            <v>CORRECTIVO</v>
          </cell>
          <cell r="G457">
            <v>0</v>
          </cell>
          <cell r="H457" t="str">
            <v>Departmental Digital</v>
          </cell>
          <cell r="I457">
            <v>655</v>
          </cell>
          <cell r="J457">
            <v>1365</v>
          </cell>
          <cell r="K457">
            <v>0</v>
          </cell>
          <cell r="L457">
            <v>0</v>
          </cell>
          <cell r="M457">
            <v>0.6</v>
          </cell>
          <cell r="N457">
            <v>0.8</v>
          </cell>
          <cell r="O457">
            <v>1.05</v>
          </cell>
          <cell r="P457">
            <v>1.1000000000000001</v>
          </cell>
          <cell r="Q457" t="str">
            <v>INTERIOR</v>
          </cell>
          <cell r="R457">
            <v>5</v>
          </cell>
          <cell r="S457">
            <v>9</v>
          </cell>
          <cell r="T457" t="str">
            <v>Ciudad principal</v>
          </cell>
          <cell r="U457" t="str">
            <v>Departmental Digital</v>
          </cell>
          <cell r="V457" t="str">
            <v>XEROX MEXICANA SA DE CV / XEROX MEXICANA</v>
          </cell>
          <cell r="W457" t="str">
            <v>CHIHUAHUA</v>
          </cell>
          <cell r="X457">
            <v>2019</v>
          </cell>
          <cell r="Y457" t="str">
            <v>Qtr 2</v>
          </cell>
          <cell r="Z457" t="str">
            <v>April</v>
          </cell>
          <cell r="AA457">
            <v>12</v>
          </cell>
          <cell r="AB457">
            <v>11</v>
          </cell>
          <cell r="AC457">
            <v>0.6</v>
          </cell>
          <cell r="AD457">
            <v>0</v>
          </cell>
          <cell r="AE457">
            <v>819</v>
          </cell>
        </row>
        <row r="458">
          <cell r="A458" t="str">
            <v>0EX9293419</v>
          </cell>
          <cell r="B458">
            <v>2019</v>
          </cell>
          <cell r="C458" t="str">
            <v>Qtr 2</v>
          </cell>
          <cell r="D458" t="str">
            <v>April</v>
          </cell>
          <cell r="E458">
            <v>12</v>
          </cell>
          <cell r="F458" t="str">
            <v>CORRECTIVO</v>
          </cell>
          <cell r="G458">
            <v>0.66666669999999995</v>
          </cell>
          <cell r="H458" t="str">
            <v>Departmental Digital</v>
          </cell>
          <cell r="I458">
            <v>655</v>
          </cell>
          <cell r="J458">
            <v>1365</v>
          </cell>
          <cell r="K458">
            <v>0</v>
          </cell>
          <cell r="L458">
            <v>0</v>
          </cell>
          <cell r="M458">
            <v>0.6</v>
          </cell>
          <cell r="N458">
            <v>0.8</v>
          </cell>
          <cell r="O458">
            <v>1.05</v>
          </cell>
          <cell r="P458">
            <v>1.1000000000000001</v>
          </cell>
          <cell r="Q458" t="str">
            <v>INTERIOR</v>
          </cell>
          <cell r="R458">
            <v>5</v>
          </cell>
          <cell r="S458">
            <v>9</v>
          </cell>
          <cell r="T458" t="str">
            <v>Ciudad principal</v>
          </cell>
          <cell r="U458" t="str">
            <v>Departmental Digital</v>
          </cell>
          <cell r="V458" t="str">
            <v>XEROX MEXICANA SA DE CV / XEROX MEXICANA</v>
          </cell>
          <cell r="W458" t="str">
            <v>NUEVO LEON</v>
          </cell>
          <cell r="X458">
            <v>2019</v>
          </cell>
          <cell r="Y458" t="str">
            <v>Qtr 2</v>
          </cell>
          <cell r="Z458" t="str">
            <v>April</v>
          </cell>
          <cell r="AA458">
            <v>17</v>
          </cell>
          <cell r="AB458">
            <v>15</v>
          </cell>
          <cell r="AC458">
            <v>0.6</v>
          </cell>
          <cell r="AD458">
            <v>0.13333333999999999</v>
          </cell>
          <cell r="AE458">
            <v>819</v>
          </cell>
        </row>
        <row r="459">
          <cell r="A459" t="str">
            <v>0EX9662181</v>
          </cell>
          <cell r="B459">
            <v>2019</v>
          </cell>
          <cell r="C459" t="str">
            <v>Qtr 2</v>
          </cell>
          <cell r="D459" t="str">
            <v>April</v>
          </cell>
          <cell r="E459">
            <v>12</v>
          </cell>
          <cell r="F459" t="str">
            <v>CORRECTIVO</v>
          </cell>
          <cell r="G459">
            <v>3.5</v>
          </cell>
          <cell r="H459" t="str">
            <v>Departmental Digital</v>
          </cell>
          <cell r="I459">
            <v>655</v>
          </cell>
          <cell r="J459">
            <v>1365</v>
          </cell>
          <cell r="K459">
            <v>0</v>
          </cell>
          <cell r="L459">
            <v>0</v>
          </cell>
          <cell r="M459">
            <v>0.6</v>
          </cell>
          <cell r="N459">
            <v>0.8</v>
          </cell>
          <cell r="O459">
            <v>1.05</v>
          </cell>
          <cell r="P459">
            <v>1.1000000000000001</v>
          </cell>
          <cell r="Q459" t="str">
            <v>INTERIOR</v>
          </cell>
          <cell r="R459">
            <v>5</v>
          </cell>
          <cell r="S459">
            <v>9</v>
          </cell>
          <cell r="T459" t="str">
            <v>Ciudad principal</v>
          </cell>
          <cell r="U459" t="str">
            <v>Departmental Digital</v>
          </cell>
          <cell r="V459" t="str">
            <v>XEROX MEXICANA SA DE CV / XEROX MEXICANA</v>
          </cell>
          <cell r="W459" t="str">
            <v>JALISCO</v>
          </cell>
          <cell r="X459">
            <v>2019</v>
          </cell>
          <cell r="Y459" t="str">
            <v>Qtr 2</v>
          </cell>
          <cell r="Z459" t="str">
            <v>April</v>
          </cell>
          <cell r="AA459">
            <v>12</v>
          </cell>
          <cell r="AB459">
            <v>8</v>
          </cell>
          <cell r="AC459">
            <v>0.6</v>
          </cell>
          <cell r="AD459">
            <v>0.7</v>
          </cell>
          <cell r="AE459">
            <v>819</v>
          </cell>
        </row>
        <row r="460">
          <cell r="A460" t="str">
            <v>0KPA018838</v>
          </cell>
          <cell r="B460">
            <v>2019</v>
          </cell>
          <cell r="C460" t="str">
            <v>Qtr 2</v>
          </cell>
          <cell r="D460" t="str">
            <v>April</v>
          </cell>
          <cell r="E460">
            <v>12</v>
          </cell>
          <cell r="F460" t="str">
            <v>MANTENIMIENTO PREVENTIVO</v>
          </cell>
          <cell r="G460">
            <v>0</v>
          </cell>
          <cell r="H460" t="str">
            <v>Entry Mono Printers</v>
          </cell>
          <cell r="I460">
            <v>468</v>
          </cell>
          <cell r="J460">
            <v>715</v>
          </cell>
          <cell r="K460">
            <v>0</v>
          </cell>
          <cell r="L460">
            <v>0</v>
          </cell>
          <cell r="M460">
            <v>0</v>
          </cell>
          <cell r="N460">
            <v>0.6</v>
          </cell>
          <cell r="O460">
            <v>0.8</v>
          </cell>
          <cell r="P460">
            <v>1.05</v>
          </cell>
          <cell r="Q460" t="str">
            <v>INTERIOR</v>
          </cell>
          <cell r="R460">
            <v>5</v>
          </cell>
          <cell r="S460">
            <v>9</v>
          </cell>
          <cell r="T460" t="str">
            <v>Ciudad principal</v>
          </cell>
          <cell r="U460" t="str">
            <v>Departmental Digital</v>
          </cell>
          <cell r="V460" t="str">
            <v>XEROX MEXICANA SA DE CV / XEROX MEXICANA</v>
          </cell>
          <cell r="W460" t="str">
            <v>CHIHUAHUA</v>
          </cell>
          <cell r="X460">
            <v>2019</v>
          </cell>
          <cell r="Y460" t="str">
            <v>Qtr 2</v>
          </cell>
          <cell r="Z460" t="str">
            <v>April</v>
          </cell>
          <cell r="AA460">
            <v>12</v>
          </cell>
          <cell r="AB460">
            <v>4</v>
          </cell>
          <cell r="AC460">
            <v>0</v>
          </cell>
          <cell r="AD460">
            <v>0</v>
          </cell>
          <cell r="AE460">
            <v>715</v>
          </cell>
        </row>
        <row r="461">
          <cell r="A461" t="str">
            <v>0MX1185934</v>
          </cell>
          <cell r="B461">
            <v>2019</v>
          </cell>
          <cell r="C461" t="str">
            <v>Qtr 2</v>
          </cell>
          <cell r="D461" t="str">
            <v>April</v>
          </cell>
          <cell r="E461">
            <v>12</v>
          </cell>
          <cell r="F461" t="str">
            <v>CORRECTIVO</v>
          </cell>
          <cell r="G461">
            <v>0.1833333</v>
          </cell>
          <cell r="H461" t="str">
            <v>A3 Office Color Laser MFPs</v>
          </cell>
          <cell r="I461">
            <v>655</v>
          </cell>
          <cell r="J461">
            <v>1365</v>
          </cell>
          <cell r="K461">
            <v>0</v>
          </cell>
          <cell r="L461">
            <v>0</v>
          </cell>
          <cell r="M461">
            <v>0.6</v>
          </cell>
          <cell r="N461">
            <v>0.8</v>
          </cell>
          <cell r="O461">
            <v>1.05</v>
          </cell>
          <cell r="P461">
            <v>1.1000000000000001</v>
          </cell>
          <cell r="Q461" t="str">
            <v>INTERIOR</v>
          </cell>
          <cell r="R461">
            <v>5</v>
          </cell>
          <cell r="S461">
            <v>9</v>
          </cell>
          <cell r="T461" t="str">
            <v>Ciudad principal</v>
          </cell>
          <cell r="U461" t="str">
            <v>A3 Office Color Laser MFPs</v>
          </cell>
          <cell r="V461" t="str">
            <v>XEROX MEXICANA SA DE CV / XEROX MEXICANA</v>
          </cell>
          <cell r="W461" t="str">
            <v>CHIHUAHUA</v>
          </cell>
          <cell r="X461">
            <v>2019</v>
          </cell>
          <cell r="Y461" t="str">
            <v>Qtr 2</v>
          </cell>
          <cell r="Z461" t="str">
            <v>April</v>
          </cell>
          <cell r="AA461">
            <v>15</v>
          </cell>
          <cell r="AB461">
            <v>10</v>
          </cell>
          <cell r="AC461">
            <v>0.6</v>
          </cell>
          <cell r="AD461">
            <v>3.6666659999999997E-2</v>
          </cell>
          <cell r="AE461">
            <v>819</v>
          </cell>
        </row>
        <row r="462">
          <cell r="A462" t="str">
            <v>0UHA001710</v>
          </cell>
          <cell r="B462">
            <v>2019</v>
          </cell>
          <cell r="C462" t="str">
            <v>Qtr 2</v>
          </cell>
          <cell r="D462" t="str">
            <v>April</v>
          </cell>
          <cell r="E462">
            <v>12</v>
          </cell>
          <cell r="F462" t="str">
            <v>MANTENIMIENTO PREVENTIVO</v>
          </cell>
          <cell r="G462">
            <v>0</v>
          </cell>
          <cell r="H462" t="str">
            <v>High End Cut Sheet</v>
          </cell>
          <cell r="I462">
            <v>1116</v>
          </cell>
          <cell r="J462">
            <v>2145</v>
          </cell>
          <cell r="K462">
            <v>0.6</v>
          </cell>
          <cell r="L462">
            <v>0.8</v>
          </cell>
          <cell r="M462">
            <v>1.05</v>
          </cell>
          <cell r="N462">
            <v>1.1000000000000001</v>
          </cell>
          <cell r="O462">
            <v>1.1499999999999999</v>
          </cell>
          <cell r="P462">
            <v>1.2</v>
          </cell>
          <cell r="Q462" t="str">
            <v>INTERIOR</v>
          </cell>
          <cell r="R462">
            <v>3</v>
          </cell>
          <cell r="S462">
            <v>6</v>
          </cell>
          <cell r="T462" t="str">
            <v>Ciudad principal</v>
          </cell>
          <cell r="U462" t="str">
            <v>High End Cut Sheet</v>
          </cell>
          <cell r="V462" t="str">
            <v>XEROX MEXICANA SA DE CV / XEROX MEXICANA</v>
          </cell>
          <cell r="W462" t="str">
            <v>NUEVO LEON</v>
          </cell>
          <cell r="X462">
            <v>2019</v>
          </cell>
          <cell r="Y462" t="str">
            <v>Qtr 2</v>
          </cell>
          <cell r="Z462" t="str">
            <v>April</v>
          </cell>
          <cell r="AA462">
            <v>12</v>
          </cell>
          <cell r="AB462">
            <v>10</v>
          </cell>
          <cell r="AC462">
            <v>0</v>
          </cell>
          <cell r="AD462">
            <v>0</v>
          </cell>
          <cell r="AE462">
            <v>2145</v>
          </cell>
        </row>
        <row r="463">
          <cell r="A463" t="str">
            <v>0VGW624391</v>
          </cell>
          <cell r="B463">
            <v>2019</v>
          </cell>
          <cell r="C463" t="str">
            <v>Qtr 2</v>
          </cell>
          <cell r="D463" t="str">
            <v>April</v>
          </cell>
          <cell r="E463">
            <v>12</v>
          </cell>
          <cell r="F463" t="str">
            <v>CORRECTIVO</v>
          </cell>
          <cell r="G463">
            <v>3.3333340000000003E-2</v>
          </cell>
          <cell r="H463" t="str">
            <v>Entry Production Color Low/Mid</v>
          </cell>
          <cell r="I463">
            <v>803</v>
          </cell>
          <cell r="J463">
            <v>1573</v>
          </cell>
          <cell r="K463">
            <v>0.2</v>
          </cell>
          <cell r="L463">
            <v>0.6</v>
          </cell>
          <cell r="M463">
            <v>0.8</v>
          </cell>
          <cell r="N463">
            <v>1.05</v>
          </cell>
          <cell r="O463">
            <v>1.1000000000000001</v>
          </cell>
          <cell r="P463">
            <v>1.1499999999999999</v>
          </cell>
          <cell r="Q463" t="str">
            <v>INTERIOR</v>
          </cell>
          <cell r="R463">
            <v>4</v>
          </cell>
          <cell r="S463">
            <v>6</v>
          </cell>
          <cell r="T463" t="str">
            <v>Ciudad principal</v>
          </cell>
          <cell r="U463" t="str">
            <v>Entry Production Color Low/Mid</v>
          </cell>
          <cell r="V463" t="str">
            <v>XEROX MEXICANA SA DE CV / XEROX MEXICANA</v>
          </cell>
          <cell r="W463" t="str">
            <v>CHIHUAHUA</v>
          </cell>
          <cell r="X463">
            <v>2019</v>
          </cell>
          <cell r="Y463" t="str">
            <v>Qtr 2</v>
          </cell>
          <cell r="Z463" t="str">
            <v>April</v>
          </cell>
          <cell r="AA463">
            <v>12</v>
          </cell>
          <cell r="AB463">
            <v>14</v>
          </cell>
          <cell r="AC463">
            <v>0.8</v>
          </cell>
          <cell r="AD463">
            <v>8.3333350000000007E-3</v>
          </cell>
          <cell r="AE463">
            <v>1258.4000000000001</v>
          </cell>
        </row>
        <row r="464">
          <cell r="A464" t="str">
            <v>0X76370965</v>
          </cell>
          <cell r="B464">
            <v>2019</v>
          </cell>
          <cell r="C464" t="str">
            <v>Qtr 2</v>
          </cell>
          <cell r="D464" t="str">
            <v>April</v>
          </cell>
          <cell r="E464">
            <v>12</v>
          </cell>
          <cell r="F464" t="str">
            <v>CORRECTIVO</v>
          </cell>
          <cell r="G464">
            <v>1.4666669999999999</v>
          </cell>
          <cell r="H464" t="str">
            <v>Office Digital</v>
          </cell>
          <cell r="I464">
            <v>655</v>
          </cell>
          <cell r="J464">
            <v>1365</v>
          </cell>
          <cell r="K464">
            <v>0</v>
          </cell>
          <cell r="L464">
            <v>0</v>
          </cell>
          <cell r="M464">
            <v>0.6</v>
          </cell>
          <cell r="N464">
            <v>0.8</v>
          </cell>
          <cell r="O464">
            <v>1.05</v>
          </cell>
          <cell r="P464">
            <v>1.1000000000000001</v>
          </cell>
          <cell r="Q464" t="str">
            <v>INTERIOR</v>
          </cell>
          <cell r="R464">
            <v>5</v>
          </cell>
          <cell r="S464">
            <v>9</v>
          </cell>
          <cell r="T464" t="str">
            <v>Ciudad principal</v>
          </cell>
          <cell r="U464" t="str">
            <v>Departmental Digital</v>
          </cell>
          <cell r="V464" t="str">
            <v>XEROX MEXICANA SA DE CV / XEROX MEXICANA</v>
          </cell>
          <cell r="W464" t="str">
            <v>CHIHUAHUA</v>
          </cell>
          <cell r="X464">
            <v>2019</v>
          </cell>
          <cell r="Y464" t="str">
            <v>Qtr 2</v>
          </cell>
          <cell r="Z464" t="str">
            <v>April</v>
          </cell>
          <cell r="AA464">
            <v>12</v>
          </cell>
          <cell r="AB464">
            <v>155</v>
          </cell>
          <cell r="AC464">
            <v>1.1000000000000001</v>
          </cell>
          <cell r="AD464">
            <v>0.29333340000000002</v>
          </cell>
          <cell r="AE464">
            <v>1501.5</v>
          </cell>
        </row>
        <row r="465">
          <cell r="A465" t="str">
            <v>0X76707644</v>
          </cell>
          <cell r="B465">
            <v>2019</v>
          </cell>
          <cell r="C465" t="str">
            <v>Qtr 2</v>
          </cell>
          <cell r="D465" t="str">
            <v>April</v>
          </cell>
          <cell r="E465">
            <v>12</v>
          </cell>
          <cell r="F465" t="str">
            <v>CORRECTIVO</v>
          </cell>
          <cell r="G465">
            <v>0.3333333</v>
          </cell>
          <cell r="H465" t="str">
            <v>Departmental Digital</v>
          </cell>
          <cell r="I465">
            <v>655</v>
          </cell>
          <cell r="J465">
            <v>1365</v>
          </cell>
          <cell r="K465">
            <v>0</v>
          </cell>
          <cell r="L465">
            <v>0</v>
          </cell>
          <cell r="M465">
            <v>0.6</v>
          </cell>
          <cell r="N465">
            <v>0.8</v>
          </cell>
          <cell r="O465">
            <v>1.05</v>
          </cell>
          <cell r="P465">
            <v>1.1000000000000001</v>
          </cell>
          <cell r="Q465" t="str">
            <v>INTERIOR</v>
          </cell>
          <cell r="R465">
            <v>5</v>
          </cell>
          <cell r="S465">
            <v>9</v>
          </cell>
          <cell r="T465" t="str">
            <v>Ciudad principal</v>
          </cell>
          <cell r="U465" t="str">
            <v>Departmental Digital</v>
          </cell>
          <cell r="V465" t="str">
            <v>XEROX MEXICANA SA DE CV / XEROX MEXICANA</v>
          </cell>
          <cell r="W465" t="str">
            <v>ESTADO DE MEXICO</v>
          </cell>
          <cell r="X465">
            <v>2019</v>
          </cell>
          <cell r="Y465" t="str">
            <v>Qtr 2</v>
          </cell>
          <cell r="Z465" t="str">
            <v>April</v>
          </cell>
          <cell r="AA465">
            <v>15</v>
          </cell>
          <cell r="AB465">
            <v>150</v>
          </cell>
          <cell r="AC465">
            <v>1.1000000000000001</v>
          </cell>
          <cell r="AD465">
            <v>6.6666660000000003E-2</v>
          </cell>
          <cell r="AE465">
            <v>1501.5</v>
          </cell>
        </row>
        <row r="466">
          <cell r="A466" t="str">
            <v>0XEH070338</v>
          </cell>
          <cell r="B466">
            <v>2019</v>
          </cell>
          <cell r="C466" t="str">
            <v>Qtr 2</v>
          </cell>
          <cell r="D466" t="str">
            <v>April</v>
          </cell>
          <cell r="E466">
            <v>12</v>
          </cell>
          <cell r="F466" t="str">
            <v>MANTENIMIENTO PREVENTIVO</v>
          </cell>
          <cell r="G466">
            <v>0</v>
          </cell>
          <cell r="H466" t="str">
            <v>Office Digital</v>
          </cell>
          <cell r="I466">
            <v>655</v>
          </cell>
          <cell r="J466">
            <v>1365</v>
          </cell>
          <cell r="K466">
            <v>0</v>
          </cell>
          <cell r="L466">
            <v>0</v>
          </cell>
          <cell r="M466">
            <v>0.6</v>
          </cell>
          <cell r="N466">
            <v>0.8</v>
          </cell>
          <cell r="O466">
            <v>1.05</v>
          </cell>
          <cell r="P466">
            <v>1.1000000000000001</v>
          </cell>
          <cell r="Q466" t="str">
            <v>INTERIOR</v>
          </cell>
          <cell r="R466">
            <v>5</v>
          </cell>
          <cell r="S466">
            <v>9</v>
          </cell>
          <cell r="T466" t="str">
            <v>Ciudad principal</v>
          </cell>
          <cell r="U466" t="str">
            <v>Departmental Digital</v>
          </cell>
          <cell r="V466" t="str">
            <v>XEROX MEXICANA SA DE CV / XEROX MEXICANA</v>
          </cell>
          <cell r="W466" t="str">
            <v>CHIHUAHUA</v>
          </cell>
          <cell r="X466">
            <v>2019</v>
          </cell>
          <cell r="Y466" t="str">
            <v>Qtr 2</v>
          </cell>
          <cell r="Z466" t="str">
            <v>April</v>
          </cell>
          <cell r="AA466">
            <v>15</v>
          </cell>
          <cell r="AB466">
            <v>28</v>
          </cell>
          <cell r="AC466">
            <v>0</v>
          </cell>
          <cell r="AD466">
            <v>0</v>
          </cell>
          <cell r="AE466">
            <v>1365</v>
          </cell>
        </row>
        <row r="467">
          <cell r="A467" t="str">
            <v>0XEL566166</v>
          </cell>
          <cell r="B467">
            <v>2019</v>
          </cell>
          <cell r="C467" t="str">
            <v>Qtr 2</v>
          </cell>
          <cell r="D467" t="str">
            <v>April</v>
          </cell>
          <cell r="E467">
            <v>12</v>
          </cell>
          <cell r="F467" t="str">
            <v>CORRECTIVO</v>
          </cell>
          <cell r="G467">
            <v>1.45</v>
          </cell>
          <cell r="H467" t="str">
            <v>Departmental Digital</v>
          </cell>
          <cell r="I467">
            <v>655</v>
          </cell>
          <cell r="J467">
            <v>1365</v>
          </cell>
          <cell r="K467">
            <v>0</v>
          </cell>
          <cell r="L467">
            <v>0</v>
          </cell>
          <cell r="M467">
            <v>0.6</v>
          </cell>
          <cell r="N467">
            <v>0.8</v>
          </cell>
          <cell r="O467">
            <v>1.05</v>
          </cell>
          <cell r="P467">
            <v>1.1000000000000001</v>
          </cell>
          <cell r="Q467" t="str">
            <v>INTERIOR</v>
          </cell>
          <cell r="R467">
            <v>5</v>
          </cell>
          <cell r="S467">
            <v>9</v>
          </cell>
          <cell r="T467" t="str">
            <v>Ciudad principal</v>
          </cell>
          <cell r="U467" t="str">
            <v>Departmental Digital</v>
          </cell>
          <cell r="V467" t="str">
            <v>XEROX MEXICANA SA DE CV / XEROX MEXICANA</v>
          </cell>
          <cell r="W467" t="str">
            <v>TAMAULIPAS</v>
          </cell>
          <cell r="X467">
            <v>2019</v>
          </cell>
          <cell r="Y467" t="str">
            <v>Qtr 2</v>
          </cell>
          <cell r="Z467" t="str">
            <v>April</v>
          </cell>
          <cell r="AA467">
            <v>12</v>
          </cell>
          <cell r="AB467">
            <v>22</v>
          </cell>
          <cell r="AC467">
            <v>0.8</v>
          </cell>
          <cell r="AD467">
            <v>0.28999999999999998</v>
          </cell>
          <cell r="AE467">
            <v>1092</v>
          </cell>
        </row>
        <row r="468">
          <cell r="A468" t="str">
            <v>0XKK398474</v>
          </cell>
          <cell r="B468">
            <v>2019</v>
          </cell>
          <cell r="C468" t="str">
            <v>Qtr 2</v>
          </cell>
          <cell r="D468" t="str">
            <v>April</v>
          </cell>
          <cell r="E468">
            <v>12</v>
          </cell>
          <cell r="F468" t="str">
            <v>CORRECTIVO</v>
          </cell>
          <cell r="G468">
            <v>0.35</v>
          </cell>
          <cell r="I468" t="str">
            <v>NA</v>
          </cell>
          <cell r="J468" t="str">
            <v>NA</v>
          </cell>
          <cell r="K468" t="str">
            <v>NA</v>
          </cell>
          <cell r="L468" t="str">
            <v>NA</v>
          </cell>
          <cell r="M468" t="str">
            <v>NA</v>
          </cell>
          <cell r="N468" t="str">
            <v>NA</v>
          </cell>
          <cell r="O468" t="str">
            <v>NA</v>
          </cell>
          <cell r="P468" t="str">
            <v>NA</v>
          </cell>
          <cell r="R468" t="str">
            <v>NA</v>
          </cell>
          <cell r="S468" t="str">
            <v>NA</v>
          </cell>
          <cell r="U468" t="str">
            <v>A3 Office Color Laser MFPs</v>
          </cell>
          <cell r="V468" t="str">
            <v>XEROX MEXICANA SA DE CV / XEROX MEXICANA</v>
          </cell>
          <cell r="W468" t="str">
            <v>COAHUILA</v>
          </cell>
          <cell r="X468">
            <v>2019</v>
          </cell>
          <cell r="Y468" t="str">
            <v>Qtr 2</v>
          </cell>
          <cell r="Z468" t="str">
            <v>April</v>
          </cell>
          <cell r="AA468">
            <v>17</v>
          </cell>
          <cell r="AB468">
            <v>21</v>
          </cell>
          <cell r="AC468">
            <v>1.1000000000000001</v>
          </cell>
          <cell r="AD468">
            <v>0</v>
          </cell>
          <cell r="AE468">
            <v>1092</v>
          </cell>
        </row>
        <row r="469">
          <cell r="A469" t="str">
            <v>0XLT861631</v>
          </cell>
          <cell r="B469">
            <v>2019</v>
          </cell>
          <cell r="C469" t="str">
            <v>Qtr 2</v>
          </cell>
          <cell r="D469" t="str">
            <v>April</v>
          </cell>
          <cell r="E469">
            <v>12</v>
          </cell>
          <cell r="F469" t="str">
            <v>MANTENIMIENTO PREVENTIVO</v>
          </cell>
          <cell r="G469">
            <v>0</v>
          </cell>
          <cell r="H469" t="str">
            <v>Entry Mono Printers</v>
          </cell>
          <cell r="I469">
            <v>468</v>
          </cell>
          <cell r="J469">
            <v>715</v>
          </cell>
          <cell r="K469">
            <v>0</v>
          </cell>
          <cell r="L469">
            <v>0</v>
          </cell>
          <cell r="M469">
            <v>0</v>
          </cell>
          <cell r="N469">
            <v>0.6</v>
          </cell>
          <cell r="O469">
            <v>0.8</v>
          </cell>
          <cell r="P469">
            <v>1.05</v>
          </cell>
          <cell r="Q469" t="str">
            <v>INTERIOR</v>
          </cell>
          <cell r="R469">
            <v>5</v>
          </cell>
          <cell r="S469">
            <v>9</v>
          </cell>
          <cell r="T469" t="str">
            <v>Ciudad principal</v>
          </cell>
          <cell r="U469" t="str">
            <v>Entry Mono Printers</v>
          </cell>
          <cell r="V469" t="str">
            <v>XEROX MEXICANA SA DE CV / XEROX MEXICANA</v>
          </cell>
          <cell r="W469" t="str">
            <v>CHIHUAHUA</v>
          </cell>
          <cell r="X469">
            <v>2019</v>
          </cell>
          <cell r="Y469" t="str">
            <v>Qtr 2</v>
          </cell>
          <cell r="Z469" t="str">
            <v>April</v>
          </cell>
          <cell r="AA469">
            <v>12</v>
          </cell>
          <cell r="AB469">
            <v>70</v>
          </cell>
          <cell r="AC469">
            <v>0</v>
          </cell>
          <cell r="AD469">
            <v>0</v>
          </cell>
          <cell r="AE469">
            <v>715</v>
          </cell>
        </row>
        <row r="470">
          <cell r="A470" t="str">
            <v>0XLT861820</v>
          </cell>
          <cell r="B470">
            <v>2019</v>
          </cell>
          <cell r="C470" t="str">
            <v>Qtr 2</v>
          </cell>
          <cell r="D470" t="str">
            <v>April</v>
          </cell>
          <cell r="E470">
            <v>12</v>
          </cell>
          <cell r="F470" t="str">
            <v>CORRECTIVO</v>
          </cell>
          <cell r="G470">
            <v>0</v>
          </cell>
          <cell r="H470" t="str">
            <v>Entry Mono Printers</v>
          </cell>
          <cell r="I470">
            <v>468</v>
          </cell>
          <cell r="J470">
            <v>715</v>
          </cell>
          <cell r="K470">
            <v>0</v>
          </cell>
          <cell r="L470">
            <v>0</v>
          </cell>
          <cell r="M470">
            <v>0</v>
          </cell>
          <cell r="N470">
            <v>0.6</v>
          </cell>
          <cell r="O470">
            <v>0.8</v>
          </cell>
          <cell r="P470">
            <v>1.05</v>
          </cell>
          <cell r="Q470" t="str">
            <v>INTERIOR</v>
          </cell>
          <cell r="R470">
            <v>5</v>
          </cell>
          <cell r="S470">
            <v>9</v>
          </cell>
          <cell r="T470" t="str">
            <v>Ciudad principal</v>
          </cell>
          <cell r="U470" t="str">
            <v>Entry Mono Printers</v>
          </cell>
          <cell r="V470" t="str">
            <v>XEROX MEXICANA SA DE CV / XEROX MEXICANA</v>
          </cell>
          <cell r="W470" t="str">
            <v>CHIHUAHUA</v>
          </cell>
          <cell r="X470">
            <v>2019</v>
          </cell>
          <cell r="Y470" t="str">
            <v>Qtr 2</v>
          </cell>
          <cell r="Z470" t="str">
            <v>April</v>
          </cell>
          <cell r="AA470">
            <v>17</v>
          </cell>
          <cell r="AB470">
            <v>178</v>
          </cell>
          <cell r="AC470">
            <v>1.05</v>
          </cell>
          <cell r="AD470">
            <v>0</v>
          </cell>
          <cell r="AE470">
            <v>750.75</v>
          </cell>
        </row>
        <row r="471">
          <cell r="A471" t="str">
            <v>0Y4X831638</v>
          </cell>
          <cell r="B471">
            <v>2019</v>
          </cell>
          <cell r="C471" t="str">
            <v>Qtr 2</v>
          </cell>
          <cell r="D471" t="str">
            <v>April</v>
          </cell>
          <cell r="E471">
            <v>12</v>
          </cell>
          <cell r="F471" t="str">
            <v>CORRECTIVO</v>
          </cell>
          <cell r="G471">
            <v>3.4333330000000002</v>
          </cell>
          <cell r="H471" t="str">
            <v>Departmental Digital</v>
          </cell>
          <cell r="I471">
            <v>655</v>
          </cell>
          <cell r="J471">
            <v>1365</v>
          </cell>
          <cell r="K471">
            <v>0</v>
          </cell>
          <cell r="L471">
            <v>0</v>
          </cell>
          <cell r="M471">
            <v>0.6</v>
          </cell>
          <cell r="N471">
            <v>0.8</v>
          </cell>
          <cell r="O471">
            <v>1.05</v>
          </cell>
          <cell r="P471">
            <v>1.1000000000000001</v>
          </cell>
          <cell r="Q471" t="str">
            <v>INTERIOR</v>
          </cell>
          <cell r="R471">
            <v>5</v>
          </cell>
          <cell r="S471">
            <v>9</v>
          </cell>
          <cell r="T471" t="str">
            <v>Otras</v>
          </cell>
          <cell r="U471" t="str">
            <v>Light Production Digital Business</v>
          </cell>
          <cell r="V471" t="str">
            <v>XEROX MEXICANA SA DE CV / XEROX MEXICANA</v>
          </cell>
          <cell r="W471" t="str">
            <v>CHIHUAHUA</v>
          </cell>
          <cell r="X471">
            <v>2019</v>
          </cell>
          <cell r="Y471" t="str">
            <v>Qtr 2</v>
          </cell>
          <cell r="Z471" t="str">
            <v>April</v>
          </cell>
          <cell r="AA471">
            <v>15</v>
          </cell>
          <cell r="AB471">
            <v>123</v>
          </cell>
          <cell r="AC471">
            <v>1.1000000000000001</v>
          </cell>
          <cell r="AD471">
            <v>0.38148144444444398</v>
          </cell>
          <cell r="AE471">
            <v>1501.5</v>
          </cell>
        </row>
        <row r="472">
          <cell r="A472" t="str">
            <v>0A1H020531</v>
          </cell>
          <cell r="B472">
            <v>2019</v>
          </cell>
          <cell r="C472" t="str">
            <v>Qtr 2</v>
          </cell>
          <cell r="D472" t="str">
            <v>April</v>
          </cell>
          <cell r="E472">
            <v>14</v>
          </cell>
          <cell r="F472" t="str">
            <v>MANTENIMIENTO PREVENTIVO</v>
          </cell>
          <cell r="G472">
            <v>0</v>
          </cell>
          <cell r="H472" t="str">
            <v>WF Mono Systems and Legacy Color</v>
          </cell>
          <cell r="I472">
            <v>803</v>
          </cell>
          <cell r="J472">
            <v>1573</v>
          </cell>
          <cell r="K472">
            <v>0.2</v>
          </cell>
          <cell r="L472">
            <v>0.6</v>
          </cell>
          <cell r="M472">
            <v>0.8</v>
          </cell>
          <cell r="N472">
            <v>1.05</v>
          </cell>
          <cell r="O472">
            <v>1.1000000000000001</v>
          </cell>
          <cell r="P472">
            <v>1.1499999999999999</v>
          </cell>
          <cell r="Q472" t="str">
            <v>INTERIOR</v>
          </cell>
          <cell r="R472">
            <v>4</v>
          </cell>
          <cell r="S472">
            <v>6</v>
          </cell>
          <cell r="T472" t="str">
            <v>Ciudad principal</v>
          </cell>
          <cell r="U472" t="str">
            <v>WF Mono Systems and Legacy Color</v>
          </cell>
          <cell r="V472" t="str">
            <v>XEROX MEXICANA SA DE CV / XEROX MEXICANA</v>
          </cell>
          <cell r="W472" t="str">
            <v>TAMAULIPAS</v>
          </cell>
          <cell r="X472">
            <v>2019</v>
          </cell>
          <cell r="Y472" t="str">
            <v>Qtr 2</v>
          </cell>
          <cell r="Z472" t="str">
            <v>April</v>
          </cell>
          <cell r="AA472">
            <v>15</v>
          </cell>
          <cell r="AB472">
            <v>398</v>
          </cell>
          <cell r="AC472">
            <v>0</v>
          </cell>
          <cell r="AD472">
            <v>0</v>
          </cell>
          <cell r="AE472">
            <v>1573</v>
          </cell>
        </row>
        <row r="473">
          <cell r="A473" t="str">
            <v>0BG2948799</v>
          </cell>
          <cell r="B473">
            <v>2019</v>
          </cell>
          <cell r="C473" t="str">
            <v>Qtr 2</v>
          </cell>
          <cell r="D473" t="str">
            <v>April</v>
          </cell>
          <cell r="E473">
            <v>14</v>
          </cell>
          <cell r="F473" t="str">
            <v>CORRECTIVO</v>
          </cell>
          <cell r="G473">
            <v>1.1499999999999999</v>
          </cell>
          <cell r="H473" t="str">
            <v>Light Production Digital Business</v>
          </cell>
          <cell r="I473">
            <v>803</v>
          </cell>
          <cell r="J473">
            <v>1573</v>
          </cell>
          <cell r="K473">
            <v>0.2</v>
          </cell>
          <cell r="L473">
            <v>0.6</v>
          </cell>
          <cell r="M473">
            <v>0.8</v>
          </cell>
          <cell r="N473">
            <v>1.05</v>
          </cell>
          <cell r="O473">
            <v>1.1000000000000001</v>
          </cell>
          <cell r="P473">
            <v>1.1499999999999999</v>
          </cell>
          <cell r="Q473" t="str">
            <v>INTERIOR</v>
          </cell>
          <cell r="R473">
            <v>4</v>
          </cell>
          <cell r="S473">
            <v>6</v>
          </cell>
          <cell r="T473" t="str">
            <v>Ciudad principal</v>
          </cell>
          <cell r="U473" t="str">
            <v>High End Cut Sheet</v>
          </cell>
          <cell r="V473" t="str">
            <v>XEROX MEXICANA SA DE CV / XEROX MEXICANA</v>
          </cell>
          <cell r="W473" t="str">
            <v>JALISCO</v>
          </cell>
          <cell r="X473">
            <v>2019</v>
          </cell>
          <cell r="Y473" t="str">
            <v>Qtr 2</v>
          </cell>
          <cell r="Z473" t="str">
            <v>April</v>
          </cell>
          <cell r="AA473">
            <v>17</v>
          </cell>
          <cell r="AB473">
            <v>31</v>
          </cell>
          <cell r="AC473">
            <v>1.1000000000000001</v>
          </cell>
          <cell r="AD473">
            <v>0.28749999999999998</v>
          </cell>
          <cell r="AE473">
            <v>1730.3</v>
          </cell>
        </row>
        <row r="474">
          <cell r="A474" t="str">
            <v>0BG2950141</v>
          </cell>
          <cell r="B474">
            <v>2019</v>
          </cell>
          <cell r="C474" t="str">
            <v>Qtr 2</v>
          </cell>
          <cell r="D474" t="str">
            <v>April</v>
          </cell>
          <cell r="E474">
            <v>14</v>
          </cell>
          <cell r="F474" t="str">
            <v>CORRECTIVO</v>
          </cell>
          <cell r="G474">
            <v>0.43333329999999998</v>
          </cell>
          <cell r="H474" t="str">
            <v>Light Production Digital Business</v>
          </cell>
          <cell r="I474">
            <v>803</v>
          </cell>
          <cell r="J474">
            <v>1573</v>
          </cell>
          <cell r="K474">
            <v>0.2</v>
          </cell>
          <cell r="L474">
            <v>0.6</v>
          </cell>
          <cell r="M474">
            <v>0.8</v>
          </cell>
          <cell r="N474">
            <v>1.05</v>
          </cell>
          <cell r="O474">
            <v>1.1000000000000001</v>
          </cell>
          <cell r="P474">
            <v>1.1499999999999999</v>
          </cell>
          <cell r="Q474" t="str">
            <v>INTERIOR</v>
          </cell>
          <cell r="R474">
            <v>4</v>
          </cell>
          <cell r="S474">
            <v>6</v>
          </cell>
          <cell r="T474" t="str">
            <v>Ciudad principal</v>
          </cell>
          <cell r="U474" t="str">
            <v>High End Cut Sheet</v>
          </cell>
          <cell r="V474" t="str">
            <v>XEROX MEXICANA SA DE CV / XEROX MEXICANA</v>
          </cell>
          <cell r="W474" t="str">
            <v>JALISCO</v>
          </cell>
          <cell r="X474">
            <v>2019</v>
          </cell>
          <cell r="Y474" t="str">
            <v>Qtr 2</v>
          </cell>
          <cell r="Z474" t="str">
            <v>April</v>
          </cell>
          <cell r="AA474">
            <v>15</v>
          </cell>
          <cell r="AB474">
            <v>38</v>
          </cell>
          <cell r="AC474">
            <v>1.1000000000000001</v>
          </cell>
          <cell r="AD474">
            <v>0.10833332499999999</v>
          </cell>
          <cell r="AE474">
            <v>1730.3</v>
          </cell>
        </row>
        <row r="475">
          <cell r="A475" t="str">
            <v>0BG2951480</v>
          </cell>
          <cell r="B475">
            <v>2019</v>
          </cell>
          <cell r="C475" t="str">
            <v>Qtr 2</v>
          </cell>
          <cell r="D475" t="str">
            <v>April</v>
          </cell>
          <cell r="E475">
            <v>14</v>
          </cell>
          <cell r="F475" t="str">
            <v>CORRECTIVO</v>
          </cell>
          <cell r="G475">
            <v>8.3333340000000006E-2</v>
          </cell>
          <cell r="H475" t="str">
            <v>Light Production Digital Business</v>
          </cell>
          <cell r="I475">
            <v>803</v>
          </cell>
          <cell r="J475">
            <v>1573</v>
          </cell>
          <cell r="K475">
            <v>0.2</v>
          </cell>
          <cell r="L475">
            <v>0.6</v>
          </cell>
          <cell r="M475">
            <v>0.8</v>
          </cell>
          <cell r="N475">
            <v>1.05</v>
          </cell>
          <cell r="O475">
            <v>1.1000000000000001</v>
          </cell>
          <cell r="P475">
            <v>1.1499999999999999</v>
          </cell>
          <cell r="Q475" t="str">
            <v>INTERIOR</v>
          </cell>
          <cell r="R475">
            <v>4</v>
          </cell>
          <cell r="S475">
            <v>6</v>
          </cell>
          <cell r="T475" t="str">
            <v>Ciudad principal</v>
          </cell>
          <cell r="U475" t="str">
            <v>High End Cut Sheet</v>
          </cell>
          <cell r="V475" t="str">
            <v>XEROX MEXICANA SA DE CV / XEROX MEXICANA</v>
          </cell>
          <cell r="W475" t="str">
            <v>SAN LUIS POTOSI</v>
          </cell>
          <cell r="X475">
            <v>2019</v>
          </cell>
          <cell r="Y475" t="str">
            <v>Qtr 2</v>
          </cell>
          <cell r="Z475" t="str">
            <v>April</v>
          </cell>
          <cell r="AA475">
            <v>15</v>
          </cell>
          <cell r="AB475">
            <v>6</v>
          </cell>
          <cell r="AC475">
            <v>0.6</v>
          </cell>
          <cell r="AD475">
            <v>2.0833335000000001E-2</v>
          </cell>
          <cell r="AE475">
            <v>943.8</v>
          </cell>
        </row>
        <row r="476">
          <cell r="A476" t="str">
            <v>0BG2951638</v>
          </cell>
          <cell r="B476">
            <v>2019</v>
          </cell>
          <cell r="C476" t="str">
            <v>Qtr 2</v>
          </cell>
          <cell r="D476" t="str">
            <v>April</v>
          </cell>
          <cell r="E476">
            <v>14</v>
          </cell>
          <cell r="F476" t="str">
            <v>CORRECTIVO</v>
          </cell>
          <cell r="G476">
            <v>1.5</v>
          </cell>
          <cell r="H476" t="str">
            <v>Light Production Digital Business</v>
          </cell>
          <cell r="I476">
            <v>803</v>
          </cell>
          <cell r="J476">
            <v>1573</v>
          </cell>
          <cell r="K476">
            <v>0.2</v>
          </cell>
          <cell r="L476">
            <v>0.6</v>
          </cell>
          <cell r="M476">
            <v>0.8</v>
          </cell>
          <cell r="N476">
            <v>1.05</v>
          </cell>
          <cell r="O476">
            <v>1.1000000000000001</v>
          </cell>
          <cell r="P476">
            <v>1.1499999999999999</v>
          </cell>
          <cell r="Q476" t="str">
            <v>INTERIOR</v>
          </cell>
          <cell r="R476">
            <v>4</v>
          </cell>
          <cell r="S476">
            <v>6</v>
          </cell>
          <cell r="T476" t="str">
            <v>Ciudad principal</v>
          </cell>
          <cell r="U476" t="str">
            <v>High End Cut Sheet</v>
          </cell>
          <cell r="V476" t="str">
            <v>XEROX MEXICANA SA DE CV / XEROX MEXICANA</v>
          </cell>
          <cell r="W476" t="str">
            <v>JALISCO</v>
          </cell>
          <cell r="X476">
            <v>2019</v>
          </cell>
          <cell r="Y476" t="str">
            <v>Qtr 2</v>
          </cell>
          <cell r="Z476" t="str">
            <v>April</v>
          </cell>
          <cell r="AA476">
            <v>15</v>
          </cell>
          <cell r="AB476">
            <v>6</v>
          </cell>
          <cell r="AC476">
            <v>0.6</v>
          </cell>
          <cell r="AD476">
            <v>0.375</v>
          </cell>
          <cell r="AE476">
            <v>943.8</v>
          </cell>
        </row>
        <row r="477">
          <cell r="A477" t="str">
            <v>0MX4465075</v>
          </cell>
          <cell r="B477">
            <v>2019</v>
          </cell>
          <cell r="C477" t="str">
            <v>Qtr 2</v>
          </cell>
          <cell r="D477" t="str">
            <v>April</v>
          </cell>
          <cell r="E477">
            <v>14</v>
          </cell>
          <cell r="F477" t="str">
            <v>CORRECTIVO</v>
          </cell>
          <cell r="G477">
            <v>0.2</v>
          </cell>
          <cell r="I477" t="str">
            <v>NA</v>
          </cell>
          <cell r="J477" t="str">
            <v>NA</v>
          </cell>
          <cell r="K477" t="str">
            <v>NA</v>
          </cell>
          <cell r="L477" t="str">
            <v>NA</v>
          </cell>
          <cell r="M477" t="str">
            <v>NA</v>
          </cell>
          <cell r="N477" t="str">
            <v>NA</v>
          </cell>
          <cell r="O477" t="str">
            <v>NA</v>
          </cell>
          <cell r="P477" t="str">
            <v>NA</v>
          </cell>
          <cell r="R477" t="str">
            <v>NA</v>
          </cell>
          <cell r="S477" t="str">
            <v>NA</v>
          </cell>
          <cell r="U477" t="str">
            <v>A3 Office Color Laser MFPs</v>
          </cell>
          <cell r="V477" t="str">
            <v>XEROX MEXICANA SA DE CV / XEROX MEXICANA</v>
          </cell>
          <cell r="W477" t="str">
            <v>GUANAJUATO</v>
          </cell>
          <cell r="X477">
            <v>2019</v>
          </cell>
          <cell r="Y477" t="str">
            <v>Qtr 2</v>
          </cell>
          <cell r="Z477" t="str">
            <v>April</v>
          </cell>
          <cell r="AA477">
            <v>23</v>
          </cell>
          <cell r="AB477">
            <v>13</v>
          </cell>
          <cell r="AC477">
            <v>1.1000000000000001</v>
          </cell>
          <cell r="AD477">
            <v>0</v>
          </cell>
          <cell r="AE477">
            <v>819</v>
          </cell>
        </row>
        <row r="478">
          <cell r="A478" t="str">
            <v>0VGW624391</v>
          </cell>
          <cell r="B478">
            <v>2019</v>
          </cell>
          <cell r="C478" t="str">
            <v>Qtr 2</v>
          </cell>
          <cell r="D478" t="str">
            <v>April</v>
          </cell>
          <cell r="E478">
            <v>14</v>
          </cell>
          <cell r="F478" t="str">
            <v>CORRECTIVO</v>
          </cell>
          <cell r="G478">
            <v>0.25</v>
          </cell>
          <cell r="H478" t="str">
            <v>Entry Production Color Low/Mid</v>
          </cell>
          <cell r="I478">
            <v>803</v>
          </cell>
          <cell r="J478">
            <v>1573</v>
          </cell>
          <cell r="K478">
            <v>0.2</v>
          </cell>
          <cell r="L478">
            <v>0.6</v>
          </cell>
          <cell r="M478">
            <v>0.8</v>
          </cell>
          <cell r="N478">
            <v>1.05</v>
          </cell>
          <cell r="O478">
            <v>1.1000000000000001</v>
          </cell>
          <cell r="P478">
            <v>1.1499999999999999</v>
          </cell>
          <cell r="Q478" t="str">
            <v>INTERIOR</v>
          </cell>
          <cell r="R478">
            <v>4</v>
          </cell>
          <cell r="S478">
            <v>6</v>
          </cell>
          <cell r="T478" t="str">
            <v>Ciudad principal</v>
          </cell>
          <cell r="U478" t="str">
            <v>Entry Production Color Low/Mid</v>
          </cell>
          <cell r="V478" t="str">
            <v>XEROX MEXICANA SA DE CV / XEROX MEXICANA</v>
          </cell>
          <cell r="W478" t="str">
            <v>CHIHUAHUA</v>
          </cell>
          <cell r="X478">
            <v>2019</v>
          </cell>
          <cell r="Y478" t="str">
            <v>Qtr 2</v>
          </cell>
          <cell r="Z478" t="str">
            <v>April</v>
          </cell>
          <cell r="AA478">
            <v>17</v>
          </cell>
          <cell r="AB478">
            <v>2</v>
          </cell>
          <cell r="AC478">
            <v>0.2</v>
          </cell>
          <cell r="AD478">
            <v>6.25E-2</v>
          </cell>
          <cell r="AE478">
            <v>314.60000000000002</v>
          </cell>
        </row>
        <row r="479">
          <cell r="A479" t="str">
            <v>0XPN548352</v>
          </cell>
          <cell r="B479">
            <v>2019</v>
          </cell>
          <cell r="C479" t="str">
            <v>Qtr 2</v>
          </cell>
          <cell r="D479" t="str">
            <v>April</v>
          </cell>
          <cell r="E479">
            <v>14</v>
          </cell>
          <cell r="F479" t="str">
            <v>CORRECTIVO</v>
          </cell>
          <cell r="G479">
            <v>0.43333329999999998</v>
          </cell>
          <cell r="H479" t="str">
            <v>Entry Production Color Low/Mid</v>
          </cell>
          <cell r="I479">
            <v>803</v>
          </cell>
          <cell r="J479">
            <v>1573</v>
          </cell>
          <cell r="K479">
            <v>0.2</v>
          </cell>
          <cell r="L479">
            <v>0.6</v>
          </cell>
          <cell r="M479">
            <v>0.8</v>
          </cell>
          <cell r="N479">
            <v>1.05</v>
          </cell>
          <cell r="O479">
            <v>1.1000000000000001</v>
          </cell>
          <cell r="P479">
            <v>1.1499999999999999</v>
          </cell>
          <cell r="Q479" t="str">
            <v>INTERIOR</v>
          </cell>
          <cell r="R479">
            <v>4</v>
          </cell>
          <cell r="S479">
            <v>6</v>
          </cell>
          <cell r="T479" t="str">
            <v>Ciudad principal</v>
          </cell>
          <cell r="U479" t="str">
            <v>Entry Production Color Low/Mid</v>
          </cell>
          <cell r="V479" t="str">
            <v>XEROX MEXICANA SA DE CV / XEROX MEXICANA</v>
          </cell>
          <cell r="W479" t="str">
            <v>JALISCO</v>
          </cell>
          <cell r="X479">
            <v>2019</v>
          </cell>
          <cell r="Y479" t="str">
            <v>Qtr 2</v>
          </cell>
          <cell r="Z479" t="str">
            <v>April</v>
          </cell>
          <cell r="AA479">
            <v>17</v>
          </cell>
          <cell r="AB479">
            <v>30</v>
          </cell>
          <cell r="AC479">
            <v>1.05</v>
          </cell>
          <cell r="AD479">
            <v>0.10833332499999999</v>
          </cell>
          <cell r="AE479">
            <v>1651.65</v>
          </cell>
        </row>
        <row r="480">
          <cell r="A480" t="str">
            <v>03AG880297</v>
          </cell>
          <cell r="B480">
            <v>2019</v>
          </cell>
          <cell r="C480" t="str">
            <v>Qtr 2</v>
          </cell>
          <cell r="D480" t="str">
            <v>April</v>
          </cell>
          <cell r="E480">
            <v>15</v>
          </cell>
          <cell r="F480" t="str">
            <v>CORRECTIVO</v>
          </cell>
          <cell r="G480">
            <v>2.5833330000000001</v>
          </cell>
          <cell r="H480" t="str">
            <v>Departmental Digital</v>
          </cell>
          <cell r="I480">
            <v>655</v>
          </cell>
          <cell r="J480">
            <v>1365</v>
          </cell>
          <cell r="K480">
            <v>0</v>
          </cell>
          <cell r="L480">
            <v>0</v>
          </cell>
          <cell r="M480">
            <v>0.6</v>
          </cell>
          <cell r="N480">
            <v>0.8</v>
          </cell>
          <cell r="O480">
            <v>1.05</v>
          </cell>
          <cell r="P480">
            <v>1.1000000000000001</v>
          </cell>
          <cell r="Q480" t="str">
            <v>INTERIOR</v>
          </cell>
          <cell r="R480">
            <v>5</v>
          </cell>
          <cell r="S480">
            <v>9</v>
          </cell>
          <cell r="T480" t="str">
            <v>Ciudad principal</v>
          </cell>
          <cell r="U480" t="str">
            <v>Light Production Digital Business</v>
          </cell>
          <cell r="V480" t="str">
            <v>XEROX MEXICANA SA DE CV / XEROX MEXICANA</v>
          </cell>
          <cell r="W480" t="str">
            <v>JALISCO</v>
          </cell>
          <cell r="X480">
            <v>2019</v>
          </cell>
          <cell r="Y480" t="str">
            <v>Qtr 2</v>
          </cell>
          <cell r="Z480" t="str">
            <v>April</v>
          </cell>
          <cell r="AA480">
            <v>18</v>
          </cell>
          <cell r="AB480">
            <v>41</v>
          </cell>
          <cell r="AC480">
            <v>1.05</v>
          </cell>
          <cell r="AD480">
            <v>0.51666659999999998</v>
          </cell>
          <cell r="AE480">
            <v>1433.25</v>
          </cell>
        </row>
        <row r="481">
          <cell r="A481" t="str">
            <v>03AG880355</v>
          </cell>
          <cell r="B481">
            <v>2019</v>
          </cell>
          <cell r="C481" t="str">
            <v>Qtr 2</v>
          </cell>
          <cell r="D481" t="str">
            <v>April</v>
          </cell>
          <cell r="E481">
            <v>15</v>
          </cell>
          <cell r="F481" t="str">
            <v>CORRECTIVO</v>
          </cell>
          <cell r="G481">
            <v>0.38333329999999999</v>
          </cell>
          <cell r="H481" t="str">
            <v>Departmental Digital</v>
          </cell>
          <cell r="I481">
            <v>655</v>
          </cell>
          <cell r="J481">
            <v>1365</v>
          </cell>
          <cell r="K481">
            <v>0</v>
          </cell>
          <cell r="L481">
            <v>0</v>
          </cell>
          <cell r="M481">
            <v>0.6</v>
          </cell>
          <cell r="N481">
            <v>0.8</v>
          </cell>
          <cell r="O481">
            <v>1.05</v>
          </cell>
          <cell r="P481">
            <v>1.1000000000000001</v>
          </cell>
          <cell r="Q481" t="str">
            <v>INTERIOR</v>
          </cell>
          <cell r="R481">
            <v>5</v>
          </cell>
          <cell r="S481">
            <v>9</v>
          </cell>
          <cell r="T481" t="str">
            <v>Ciudad principal</v>
          </cell>
          <cell r="U481" t="str">
            <v>Light Production Digital Business</v>
          </cell>
          <cell r="V481" t="str">
            <v>XEROX MEXICANA SA DE CV / XEROX MEXICANA</v>
          </cell>
          <cell r="W481" t="str">
            <v>JALISCO</v>
          </cell>
          <cell r="X481">
            <v>2019</v>
          </cell>
          <cell r="Y481" t="str">
            <v>Qtr 2</v>
          </cell>
          <cell r="Z481" t="str">
            <v>April</v>
          </cell>
          <cell r="AA481">
            <v>15</v>
          </cell>
          <cell r="AB481">
            <v>8</v>
          </cell>
          <cell r="AC481">
            <v>0.6</v>
          </cell>
          <cell r="AD481">
            <v>7.6666659999999998E-2</v>
          </cell>
          <cell r="AE481">
            <v>819</v>
          </cell>
        </row>
        <row r="482">
          <cell r="A482" t="str">
            <v>07CX042311</v>
          </cell>
          <cell r="B482">
            <v>2019</v>
          </cell>
          <cell r="C482" t="str">
            <v>Qtr 2</v>
          </cell>
          <cell r="D482" t="str">
            <v>April</v>
          </cell>
          <cell r="E482">
            <v>15</v>
          </cell>
          <cell r="F482" t="str">
            <v>CORRECTIVO</v>
          </cell>
          <cell r="G482">
            <v>0.58333330000000005</v>
          </cell>
          <cell r="H482" t="str">
            <v>Office Digital</v>
          </cell>
          <cell r="I482">
            <v>655</v>
          </cell>
          <cell r="J482">
            <v>1365</v>
          </cell>
          <cell r="K482">
            <v>0</v>
          </cell>
          <cell r="L482">
            <v>0</v>
          </cell>
          <cell r="M482">
            <v>0.6</v>
          </cell>
          <cell r="N482">
            <v>0.8</v>
          </cell>
          <cell r="O482">
            <v>1.05</v>
          </cell>
          <cell r="P482">
            <v>1.1000000000000001</v>
          </cell>
          <cell r="Q482" t="str">
            <v>INTERIOR</v>
          </cell>
          <cell r="R482">
            <v>5</v>
          </cell>
          <cell r="S482">
            <v>9</v>
          </cell>
          <cell r="T482" t="str">
            <v>Ciudad principal</v>
          </cell>
          <cell r="U482" t="str">
            <v>Departmental Digital</v>
          </cell>
          <cell r="V482" t="str">
            <v>XEROX MEXICANA SA DE CV / XEROX MEXICANA</v>
          </cell>
          <cell r="W482" t="str">
            <v>NUEVO LEON</v>
          </cell>
          <cell r="X482">
            <v>2019</v>
          </cell>
          <cell r="Y482" t="str">
            <v>Qtr 2</v>
          </cell>
          <cell r="Z482" t="str">
            <v>April</v>
          </cell>
          <cell r="AA482">
            <v>15</v>
          </cell>
          <cell r="AB482">
            <v>368</v>
          </cell>
          <cell r="AC482">
            <v>1.1000000000000001</v>
          </cell>
          <cell r="AD482">
            <v>0.11666666000000001</v>
          </cell>
          <cell r="AE482">
            <v>1501.5</v>
          </cell>
        </row>
        <row r="483">
          <cell r="A483" t="str">
            <v>09HB328042</v>
          </cell>
          <cell r="B483">
            <v>2019</v>
          </cell>
          <cell r="C483" t="str">
            <v>Qtr 2</v>
          </cell>
          <cell r="D483" t="str">
            <v>April</v>
          </cell>
          <cell r="E483">
            <v>15</v>
          </cell>
          <cell r="F483" t="str">
            <v>CORRECTIVO</v>
          </cell>
          <cell r="G483">
            <v>3.3333340000000003E-2</v>
          </cell>
          <cell r="H483" t="str">
            <v>A4 Mono MFPs</v>
          </cell>
          <cell r="I483">
            <v>468</v>
          </cell>
          <cell r="J483">
            <v>715</v>
          </cell>
          <cell r="K483">
            <v>0</v>
          </cell>
          <cell r="L483">
            <v>0</v>
          </cell>
          <cell r="M483">
            <v>0</v>
          </cell>
          <cell r="N483">
            <v>0.6</v>
          </cell>
          <cell r="O483">
            <v>0.8</v>
          </cell>
          <cell r="P483">
            <v>1.05</v>
          </cell>
          <cell r="Q483" t="str">
            <v>INTERIOR</v>
          </cell>
          <cell r="R483">
            <v>5</v>
          </cell>
          <cell r="S483">
            <v>9</v>
          </cell>
          <cell r="T483" t="str">
            <v>Otras</v>
          </cell>
          <cell r="U483" t="str">
            <v>A4 Mono MFPs</v>
          </cell>
          <cell r="V483" t="str">
            <v>XEROX MEXICANA SA DE CV / XEROX MEXICANA</v>
          </cell>
          <cell r="W483" t="str">
            <v>NUEVO LEON</v>
          </cell>
          <cell r="X483">
            <v>2019</v>
          </cell>
          <cell r="Y483" t="str">
            <v>Qtr 2</v>
          </cell>
          <cell r="Z483" t="str">
            <v>April</v>
          </cell>
          <cell r="AA483">
            <v>15</v>
          </cell>
          <cell r="AB483">
            <v>103</v>
          </cell>
          <cell r="AC483">
            <v>1.05</v>
          </cell>
          <cell r="AD483">
            <v>3.70370444444444E-3</v>
          </cell>
          <cell r="AE483">
            <v>750.75</v>
          </cell>
        </row>
        <row r="484">
          <cell r="A484" t="str">
            <v>09HB333253</v>
          </cell>
          <cell r="B484">
            <v>2019</v>
          </cell>
          <cell r="C484" t="str">
            <v>Qtr 2</v>
          </cell>
          <cell r="D484" t="str">
            <v>April</v>
          </cell>
          <cell r="E484">
            <v>15</v>
          </cell>
          <cell r="F484" t="str">
            <v>CORRECTIVO</v>
          </cell>
          <cell r="G484">
            <v>2.766667</v>
          </cell>
          <cell r="H484" t="str">
            <v>A4 Mono MFPs</v>
          </cell>
          <cell r="I484">
            <v>468</v>
          </cell>
          <cell r="J484">
            <v>715</v>
          </cell>
          <cell r="K484">
            <v>0</v>
          </cell>
          <cell r="L484">
            <v>0</v>
          </cell>
          <cell r="M484">
            <v>0</v>
          </cell>
          <cell r="N484">
            <v>0.6</v>
          </cell>
          <cell r="O484">
            <v>0.8</v>
          </cell>
          <cell r="P484">
            <v>1.05</v>
          </cell>
          <cell r="Q484" t="str">
            <v>INTERIOR</v>
          </cell>
          <cell r="R484">
            <v>5</v>
          </cell>
          <cell r="S484">
            <v>9</v>
          </cell>
          <cell r="T484" t="str">
            <v>Ciudad principal</v>
          </cell>
          <cell r="U484" t="str">
            <v>A4 Mono MFPs</v>
          </cell>
          <cell r="V484" t="str">
            <v>XEROX MEXICANA SA DE CV / XEROX MEXICANA</v>
          </cell>
          <cell r="W484" t="str">
            <v>QUERETARO</v>
          </cell>
          <cell r="X484">
            <v>2019</v>
          </cell>
          <cell r="Y484" t="str">
            <v>Qtr 2</v>
          </cell>
          <cell r="Z484" t="str">
            <v>April</v>
          </cell>
          <cell r="AA484">
            <v>17</v>
          </cell>
          <cell r="AB484">
            <v>21</v>
          </cell>
          <cell r="AC484">
            <v>0.6</v>
          </cell>
          <cell r="AD484">
            <v>0.55333339999999998</v>
          </cell>
          <cell r="AE484">
            <v>429</v>
          </cell>
        </row>
        <row r="485">
          <cell r="A485" t="str">
            <v>0A1H020600</v>
          </cell>
          <cell r="B485">
            <v>2019</v>
          </cell>
          <cell r="C485" t="str">
            <v>Qtr 2</v>
          </cell>
          <cell r="D485" t="str">
            <v>April</v>
          </cell>
          <cell r="E485">
            <v>15</v>
          </cell>
          <cell r="F485" t="str">
            <v>CORRECTIVO</v>
          </cell>
          <cell r="G485">
            <v>0</v>
          </cell>
          <cell r="H485" t="str">
            <v>WF Mono Systems and Legacy Color</v>
          </cell>
          <cell r="I485">
            <v>803</v>
          </cell>
          <cell r="J485">
            <v>1573</v>
          </cell>
          <cell r="K485">
            <v>0.2</v>
          </cell>
          <cell r="L485">
            <v>0.6</v>
          </cell>
          <cell r="M485">
            <v>0.8</v>
          </cell>
          <cell r="N485">
            <v>1.05</v>
          </cell>
          <cell r="O485">
            <v>1.1000000000000001</v>
          </cell>
          <cell r="P485">
            <v>1.1499999999999999</v>
          </cell>
          <cell r="Q485" t="str">
            <v>INTERIOR</v>
          </cell>
          <cell r="R485">
            <v>4</v>
          </cell>
          <cell r="S485">
            <v>6</v>
          </cell>
          <cell r="T485" t="str">
            <v>Ciudad principal</v>
          </cell>
          <cell r="U485" t="str">
            <v>WF Mono Systems and Legacy Color</v>
          </cell>
          <cell r="V485" t="str">
            <v>XEROX MEXICANA SA DE CV / XEROX MEXICANA</v>
          </cell>
          <cell r="W485" t="str">
            <v>GUANAJUATO</v>
          </cell>
          <cell r="X485">
            <v>2019</v>
          </cell>
          <cell r="Y485" t="str">
            <v>Qtr 2</v>
          </cell>
          <cell r="Z485" t="str">
            <v>April</v>
          </cell>
          <cell r="AA485">
            <v>16</v>
          </cell>
          <cell r="AB485">
            <v>118</v>
          </cell>
          <cell r="AC485">
            <v>1.1499999999999999</v>
          </cell>
          <cell r="AD485">
            <v>0</v>
          </cell>
          <cell r="AE485">
            <v>1808.95</v>
          </cell>
        </row>
        <row r="486">
          <cell r="A486" t="str">
            <v>0A1H022210</v>
          </cell>
          <cell r="B486">
            <v>2019</v>
          </cell>
          <cell r="C486" t="str">
            <v>Qtr 2</v>
          </cell>
          <cell r="D486" t="str">
            <v>April</v>
          </cell>
          <cell r="E486">
            <v>15</v>
          </cell>
          <cell r="F486" t="str">
            <v>CORRECTIVO</v>
          </cell>
          <cell r="G486">
            <v>1.183333</v>
          </cell>
          <cell r="H486" t="str">
            <v>WF Mono Systems and Legacy Color</v>
          </cell>
          <cell r="I486">
            <v>803</v>
          </cell>
          <cell r="J486">
            <v>1573</v>
          </cell>
          <cell r="K486">
            <v>0.2</v>
          </cell>
          <cell r="L486">
            <v>0.6</v>
          </cell>
          <cell r="M486">
            <v>0.8</v>
          </cell>
          <cell r="N486">
            <v>1.05</v>
          </cell>
          <cell r="O486">
            <v>1.1000000000000001</v>
          </cell>
          <cell r="P486">
            <v>1.1499999999999999</v>
          </cell>
          <cell r="Q486" t="str">
            <v>INTERIOR</v>
          </cell>
          <cell r="R486">
            <v>4</v>
          </cell>
          <cell r="S486">
            <v>6</v>
          </cell>
          <cell r="T486" t="str">
            <v>Ciudad principal</v>
          </cell>
          <cell r="U486" t="str">
            <v>WF Mono Systems and Legacy Color</v>
          </cell>
          <cell r="V486" t="str">
            <v>XEROX MEXICANA SA DE CV / XEROX MEXICANA</v>
          </cell>
          <cell r="W486" t="str">
            <v>JALISCO</v>
          </cell>
          <cell r="X486">
            <v>2019</v>
          </cell>
          <cell r="Y486" t="str">
            <v>Qtr 2</v>
          </cell>
          <cell r="Z486" t="str">
            <v>April</v>
          </cell>
          <cell r="AA486">
            <v>15</v>
          </cell>
          <cell r="AB486">
            <v>251</v>
          </cell>
          <cell r="AC486">
            <v>1.1499999999999999</v>
          </cell>
          <cell r="AD486">
            <v>0.29583324999999999</v>
          </cell>
          <cell r="AE486">
            <v>1808.95</v>
          </cell>
        </row>
        <row r="487">
          <cell r="A487" t="str">
            <v>0A1H022530</v>
          </cell>
          <cell r="B487">
            <v>2019</v>
          </cell>
          <cell r="C487" t="str">
            <v>Qtr 2</v>
          </cell>
          <cell r="D487" t="str">
            <v>April</v>
          </cell>
          <cell r="E487">
            <v>15</v>
          </cell>
          <cell r="F487" t="str">
            <v>CORRECTIVO</v>
          </cell>
          <cell r="G487">
            <v>1.1166670000000001</v>
          </cell>
          <cell r="H487" t="str">
            <v>WF Mono Systems and Legacy Color</v>
          </cell>
          <cell r="I487">
            <v>803</v>
          </cell>
          <cell r="J487">
            <v>1573</v>
          </cell>
          <cell r="K487">
            <v>0.2</v>
          </cell>
          <cell r="L487">
            <v>0.6</v>
          </cell>
          <cell r="M487">
            <v>0.8</v>
          </cell>
          <cell r="N487">
            <v>1.05</v>
          </cell>
          <cell r="O487">
            <v>1.1000000000000001</v>
          </cell>
          <cell r="P487">
            <v>1.1499999999999999</v>
          </cell>
          <cell r="Q487" t="str">
            <v>INTERIOR</v>
          </cell>
          <cell r="R487">
            <v>4</v>
          </cell>
          <cell r="S487">
            <v>6</v>
          </cell>
          <cell r="T487" t="str">
            <v>Ciudad principal</v>
          </cell>
          <cell r="U487" t="str">
            <v>WF Mono Systems and Legacy Color</v>
          </cell>
          <cell r="V487" t="str">
            <v>XEROX MEXICANA SA DE CV / XEROX MEXICANA</v>
          </cell>
          <cell r="W487" t="str">
            <v>JALISCO</v>
          </cell>
          <cell r="X487">
            <v>2019</v>
          </cell>
          <cell r="Y487" t="str">
            <v>Qtr 2</v>
          </cell>
          <cell r="Z487" t="str">
            <v>April</v>
          </cell>
          <cell r="AA487">
            <v>15</v>
          </cell>
          <cell r="AB487">
            <v>34</v>
          </cell>
          <cell r="AC487">
            <v>1.1000000000000001</v>
          </cell>
          <cell r="AD487">
            <v>0.27916675000000002</v>
          </cell>
          <cell r="AE487">
            <v>1730.3</v>
          </cell>
        </row>
        <row r="488">
          <cell r="A488" t="str">
            <v>0AGD461521</v>
          </cell>
          <cell r="B488">
            <v>2019</v>
          </cell>
          <cell r="C488" t="str">
            <v>Qtr 2</v>
          </cell>
          <cell r="D488" t="str">
            <v>April</v>
          </cell>
          <cell r="E488">
            <v>15</v>
          </cell>
          <cell r="F488" t="str">
            <v>CORRECTIVO</v>
          </cell>
          <cell r="G488">
            <v>1.733333</v>
          </cell>
          <cell r="H488" t="str">
            <v>WF Mono Systems and Legacy Color</v>
          </cell>
          <cell r="I488">
            <v>803</v>
          </cell>
          <cell r="J488">
            <v>1573</v>
          </cell>
          <cell r="K488">
            <v>0.2</v>
          </cell>
          <cell r="L488">
            <v>0.6</v>
          </cell>
          <cell r="M488">
            <v>0.8</v>
          </cell>
          <cell r="N488">
            <v>1.05</v>
          </cell>
          <cell r="O488">
            <v>1.1000000000000001</v>
          </cell>
          <cell r="P488">
            <v>1.1499999999999999</v>
          </cell>
          <cell r="Q488" t="str">
            <v>INTERIOR</v>
          </cell>
          <cell r="R488">
            <v>4</v>
          </cell>
          <cell r="S488">
            <v>6</v>
          </cell>
          <cell r="T488" t="str">
            <v>Ciudad principal</v>
          </cell>
          <cell r="U488" t="str">
            <v>WF Mono Systems and Legacy Color</v>
          </cell>
          <cell r="V488" t="str">
            <v>XEROX MEXICANA SA DE CV / XEROX MEXICANA</v>
          </cell>
          <cell r="W488" t="str">
            <v>DURANGO</v>
          </cell>
          <cell r="X488">
            <v>2019</v>
          </cell>
          <cell r="Y488" t="str">
            <v>Qtr 2</v>
          </cell>
          <cell r="Z488" t="str">
            <v>April</v>
          </cell>
          <cell r="AA488">
            <v>15</v>
          </cell>
          <cell r="AB488">
            <v>35</v>
          </cell>
          <cell r="AC488">
            <v>1.1000000000000001</v>
          </cell>
          <cell r="AD488">
            <v>0.43333325</v>
          </cell>
          <cell r="AE488">
            <v>1730.3</v>
          </cell>
        </row>
        <row r="489">
          <cell r="A489" t="str">
            <v>0AGE474522</v>
          </cell>
          <cell r="B489">
            <v>2019</v>
          </cell>
          <cell r="C489" t="str">
            <v>Qtr 2</v>
          </cell>
          <cell r="D489" t="str">
            <v>April</v>
          </cell>
          <cell r="E489">
            <v>15</v>
          </cell>
          <cell r="F489" t="str">
            <v>MANTENIMIENTO PREVENTIVO</v>
          </cell>
          <cell r="G489">
            <v>0</v>
          </cell>
          <cell r="H489" t="str">
            <v>WF Mono Systems and Legacy Color</v>
          </cell>
          <cell r="I489">
            <v>803</v>
          </cell>
          <cell r="J489">
            <v>1573</v>
          </cell>
          <cell r="K489">
            <v>0.2</v>
          </cell>
          <cell r="L489">
            <v>0.6</v>
          </cell>
          <cell r="M489">
            <v>0.8</v>
          </cell>
          <cell r="N489">
            <v>1.05</v>
          </cell>
          <cell r="O489">
            <v>1.1000000000000001</v>
          </cell>
          <cell r="P489">
            <v>1.1499999999999999</v>
          </cell>
          <cell r="Q489" t="str">
            <v>INTERIOR</v>
          </cell>
          <cell r="R489">
            <v>4</v>
          </cell>
          <cell r="S489">
            <v>6</v>
          </cell>
          <cell r="T489" t="str">
            <v>Ciudad principal</v>
          </cell>
          <cell r="U489" t="str">
            <v>WF Mono Systems and Legacy Color</v>
          </cell>
          <cell r="V489" t="str">
            <v>XEROX MEXICANA SA DE CV / XEROX MEXICANA</v>
          </cell>
          <cell r="W489" t="str">
            <v>TAMAULIPAS</v>
          </cell>
          <cell r="X489">
            <v>2019</v>
          </cell>
          <cell r="Y489" t="str">
            <v>Qtr 2</v>
          </cell>
          <cell r="Z489" t="str">
            <v>April</v>
          </cell>
          <cell r="AA489">
            <v>15</v>
          </cell>
          <cell r="AB489">
            <v>11</v>
          </cell>
          <cell r="AC489">
            <v>0</v>
          </cell>
          <cell r="AD489">
            <v>0</v>
          </cell>
          <cell r="AE489">
            <v>1573</v>
          </cell>
        </row>
        <row r="490">
          <cell r="A490" t="str">
            <v>0BG0966745</v>
          </cell>
          <cell r="B490">
            <v>2019</v>
          </cell>
          <cell r="C490" t="str">
            <v>Qtr 2</v>
          </cell>
          <cell r="D490" t="str">
            <v>April</v>
          </cell>
          <cell r="E490">
            <v>15</v>
          </cell>
          <cell r="F490" t="str">
            <v>CORRECTIVO</v>
          </cell>
          <cell r="G490">
            <v>6.6666669999999997E-2</v>
          </cell>
          <cell r="H490" t="str">
            <v>Light Production Digital Business</v>
          </cell>
          <cell r="I490">
            <v>803</v>
          </cell>
          <cell r="J490">
            <v>1573</v>
          </cell>
          <cell r="K490">
            <v>0.2</v>
          </cell>
          <cell r="L490">
            <v>0.6</v>
          </cell>
          <cell r="M490">
            <v>0.8</v>
          </cell>
          <cell r="N490">
            <v>1.05</v>
          </cell>
          <cell r="O490">
            <v>1.1000000000000001</v>
          </cell>
          <cell r="P490">
            <v>1.1499999999999999</v>
          </cell>
          <cell r="Q490" t="str">
            <v>INTERIOR</v>
          </cell>
          <cell r="R490">
            <v>4</v>
          </cell>
          <cell r="S490">
            <v>6</v>
          </cell>
          <cell r="T490" t="str">
            <v>Ciudad principal</v>
          </cell>
          <cell r="U490" t="str">
            <v>High End Cut Sheet</v>
          </cell>
          <cell r="V490" t="str">
            <v>XEROX MEXICANA SA DE CV / XEROX MEXICANA</v>
          </cell>
          <cell r="W490" t="str">
            <v>JALISCO</v>
          </cell>
          <cell r="X490">
            <v>2019</v>
          </cell>
          <cell r="Y490" t="str">
            <v>Qtr 2</v>
          </cell>
          <cell r="Z490" t="str">
            <v>April</v>
          </cell>
          <cell r="AA490">
            <v>17</v>
          </cell>
          <cell r="AB490">
            <v>18</v>
          </cell>
          <cell r="AC490">
            <v>1.05</v>
          </cell>
          <cell r="AD490">
            <v>1.6666667499999999E-2</v>
          </cell>
          <cell r="AE490">
            <v>1651.65</v>
          </cell>
        </row>
        <row r="491">
          <cell r="A491" t="str">
            <v>0BG0973607</v>
          </cell>
          <cell r="B491">
            <v>2019</v>
          </cell>
          <cell r="C491" t="str">
            <v>Qtr 2</v>
          </cell>
          <cell r="D491" t="str">
            <v>April</v>
          </cell>
          <cell r="E491">
            <v>15</v>
          </cell>
          <cell r="F491" t="str">
            <v>CORRECTIVO</v>
          </cell>
          <cell r="G491">
            <v>1.433333</v>
          </cell>
          <cell r="H491" t="str">
            <v>Light Production Digital Business</v>
          </cell>
          <cell r="I491">
            <v>803</v>
          </cell>
          <cell r="J491">
            <v>1573</v>
          </cell>
          <cell r="K491">
            <v>0.2</v>
          </cell>
          <cell r="L491">
            <v>0.6</v>
          </cell>
          <cell r="M491">
            <v>0.8</v>
          </cell>
          <cell r="N491">
            <v>1.05</v>
          </cell>
          <cell r="O491">
            <v>1.1000000000000001</v>
          </cell>
          <cell r="P491">
            <v>1.1499999999999999</v>
          </cell>
          <cell r="Q491" t="str">
            <v>INTERIOR</v>
          </cell>
          <cell r="R491">
            <v>4</v>
          </cell>
          <cell r="S491">
            <v>6</v>
          </cell>
          <cell r="T491" t="str">
            <v>Ciudad principal</v>
          </cell>
          <cell r="U491" t="str">
            <v>High End Cut Sheet</v>
          </cell>
          <cell r="V491" t="str">
            <v>XEROX MEXICANA SA DE CV / XEROX MEXICANA</v>
          </cell>
          <cell r="W491" t="str">
            <v>ESTADO DE MEXICO</v>
          </cell>
          <cell r="X491">
            <v>2019</v>
          </cell>
          <cell r="Y491" t="str">
            <v>Qtr 2</v>
          </cell>
          <cell r="Z491" t="str">
            <v>April</v>
          </cell>
          <cell r="AA491">
            <v>15</v>
          </cell>
          <cell r="AB491">
            <v>26</v>
          </cell>
          <cell r="AC491">
            <v>1.05</v>
          </cell>
          <cell r="AD491">
            <v>0.35833324999999999</v>
          </cell>
          <cell r="AE491">
            <v>1651.65</v>
          </cell>
        </row>
        <row r="492">
          <cell r="A492" t="str">
            <v>0BG2941133</v>
          </cell>
          <cell r="B492">
            <v>2019</v>
          </cell>
          <cell r="C492" t="str">
            <v>Qtr 2</v>
          </cell>
          <cell r="D492" t="str">
            <v>April</v>
          </cell>
          <cell r="E492">
            <v>15</v>
          </cell>
          <cell r="F492" t="str">
            <v>CORRECTIVO</v>
          </cell>
          <cell r="G492">
            <v>1.05</v>
          </cell>
          <cell r="H492" t="str">
            <v>Light Production Digital Business</v>
          </cell>
          <cell r="I492">
            <v>803</v>
          </cell>
          <cell r="J492">
            <v>1573</v>
          </cell>
          <cell r="K492">
            <v>0.2</v>
          </cell>
          <cell r="L492">
            <v>0.6</v>
          </cell>
          <cell r="M492">
            <v>0.8</v>
          </cell>
          <cell r="N492">
            <v>1.05</v>
          </cell>
          <cell r="O492">
            <v>1.1000000000000001</v>
          </cell>
          <cell r="P492">
            <v>1.1499999999999999</v>
          </cell>
          <cell r="Q492" t="str">
            <v>INTERIOR</v>
          </cell>
          <cell r="R492">
            <v>4</v>
          </cell>
          <cell r="S492">
            <v>6</v>
          </cell>
          <cell r="T492" t="str">
            <v>Ciudad principal</v>
          </cell>
          <cell r="U492" t="str">
            <v>High End Cut Sheet</v>
          </cell>
          <cell r="V492" t="str">
            <v>XEROX MEXICANA SA DE CV / XEROX MEXICANA</v>
          </cell>
          <cell r="W492" t="str">
            <v>TAMAULIPAS</v>
          </cell>
          <cell r="X492">
            <v>2019</v>
          </cell>
          <cell r="Y492" t="str">
            <v>Qtr 2</v>
          </cell>
          <cell r="Z492" t="str">
            <v>April</v>
          </cell>
          <cell r="AA492">
            <v>24</v>
          </cell>
          <cell r="AB492">
            <v>81</v>
          </cell>
          <cell r="AC492">
            <v>1.1499999999999999</v>
          </cell>
          <cell r="AD492">
            <v>0.26250000000000001</v>
          </cell>
          <cell r="AE492">
            <v>1808.95</v>
          </cell>
        </row>
        <row r="493">
          <cell r="A493" t="str">
            <v>0BG2941143</v>
          </cell>
          <cell r="B493">
            <v>2019</v>
          </cell>
          <cell r="C493" t="str">
            <v>Qtr 2</v>
          </cell>
          <cell r="D493" t="str">
            <v>April</v>
          </cell>
          <cell r="E493">
            <v>15</v>
          </cell>
          <cell r="F493" t="str">
            <v>CORRECTIVO</v>
          </cell>
          <cell r="G493">
            <v>1.0833330000000001</v>
          </cell>
          <cell r="H493" t="str">
            <v>Light Production Digital Business</v>
          </cell>
          <cell r="I493">
            <v>803</v>
          </cell>
          <cell r="J493">
            <v>1573</v>
          </cell>
          <cell r="K493">
            <v>0.2</v>
          </cell>
          <cell r="L493">
            <v>0.6</v>
          </cell>
          <cell r="M493">
            <v>0.8</v>
          </cell>
          <cell r="N493">
            <v>1.05</v>
          </cell>
          <cell r="O493">
            <v>1.1000000000000001</v>
          </cell>
          <cell r="P493">
            <v>1.1499999999999999</v>
          </cell>
          <cell r="Q493" t="str">
            <v>INTERIOR</v>
          </cell>
          <cell r="R493">
            <v>4</v>
          </cell>
          <cell r="S493">
            <v>6</v>
          </cell>
          <cell r="T493" t="str">
            <v>Ciudad principal</v>
          </cell>
          <cell r="U493" t="str">
            <v>High End Cut Sheet</v>
          </cell>
          <cell r="V493" t="str">
            <v>XEROX MEXICANA SA DE CV / XEROX MEXICANA</v>
          </cell>
          <cell r="W493" t="str">
            <v>TAMAULIPAS</v>
          </cell>
          <cell r="X493">
            <v>2019</v>
          </cell>
          <cell r="Y493" t="str">
            <v>Qtr 2</v>
          </cell>
          <cell r="Z493" t="str">
            <v>April</v>
          </cell>
          <cell r="AA493">
            <v>17</v>
          </cell>
          <cell r="AB493">
            <v>7</v>
          </cell>
          <cell r="AC493">
            <v>0.8</v>
          </cell>
          <cell r="AD493">
            <v>0.27083325000000003</v>
          </cell>
          <cell r="AE493">
            <v>1258.4000000000001</v>
          </cell>
        </row>
        <row r="494">
          <cell r="A494" t="str">
            <v>0BG2943221</v>
          </cell>
          <cell r="B494">
            <v>2019</v>
          </cell>
          <cell r="C494" t="str">
            <v>Qtr 2</v>
          </cell>
          <cell r="D494" t="str">
            <v>April</v>
          </cell>
          <cell r="E494">
            <v>15</v>
          </cell>
          <cell r="F494" t="str">
            <v>CORRECTIVO</v>
          </cell>
          <cell r="G494">
            <v>0.98333329999999997</v>
          </cell>
          <cell r="H494" t="str">
            <v>Light Production Digital Business</v>
          </cell>
          <cell r="I494">
            <v>803</v>
          </cell>
          <cell r="J494">
            <v>1573</v>
          </cell>
          <cell r="K494">
            <v>0.2</v>
          </cell>
          <cell r="L494">
            <v>0.6</v>
          </cell>
          <cell r="M494">
            <v>0.8</v>
          </cell>
          <cell r="N494">
            <v>1.05</v>
          </cell>
          <cell r="O494">
            <v>1.1000000000000001</v>
          </cell>
          <cell r="P494">
            <v>1.1499999999999999</v>
          </cell>
          <cell r="Q494" t="str">
            <v>INTERIOR</v>
          </cell>
          <cell r="R494">
            <v>4</v>
          </cell>
          <cell r="S494">
            <v>6</v>
          </cell>
          <cell r="T494" t="str">
            <v>Ciudad principal</v>
          </cell>
          <cell r="U494" t="str">
            <v>High End Cut Sheet</v>
          </cell>
          <cell r="V494" t="str">
            <v>XEROX MEXICANA SA DE CV / XEROX MEXICANA</v>
          </cell>
          <cell r="W494" t="str">
            <v>ESTADO DE MEXICO</v>
          </cell>
          <cell r="X494">
            <v>2019</v>
          </cell>
          <cell r="Y494" t="str">
            <v>Qtr 2</v>
          </cell>
          <cell r="Z494" t="str">
            <v>April</v>
          </cell>
          <cell r="AA494">
            <v>15</v>
          </cell>
          <cell r="AB494">
            <v>8</v>
          </cell>
          <cell r="AC494">
            <v>0.8</v>
          </cell>
          <cell r="AD494">
            <v>0.24583332499999999</v>
          </cell>
          <cell r="AE494">
            <v>1258.4000000000001</v>
          </cell>
        </row>
        <row r="495">
          <cell r="A495" t="str">
            <v>0BG2946876</v>
          </cell>
          <cell r="B495">
            <v>2019</v>
          </cell>
          <cell r="C495" t="str">
            <v>Qtr 2</v>
          </cell>
          <cell r="D495" t="str">
            <v>April</v>
          </cell>
          <cell r="E495">
            <v>15</v>
          </cell>
          <cell r="F495" t="str">
            <v>CORRECTIVO</v>
          </cell>
          <cell r="G495">
            <v>7.6166669999999996</v>
          </cell>
          <cell r="H495" t="str">
            <v>Light Production Digital Business</v>
          </cell>
          <cell r="I495">
            <v>803</v>
          </cell>
          <cell r="J495">
            <v>1573</v>
          </cell>
          <cell r="K495">
            <v>0.2</v>
          </cell>
          <cell r="L495">
            <v>0.6</v>
          </cell>
          <cell r="M495">
            <v>0.8</v>
          </cell>
          <cell r="N495">
            <v>1.05</v>
          </cell>
          <cell r="O495">
            <v>1.1000000000000001</v>
          </cell>
          <cell r="P495">
            <v>1.1499999999999999</v>
          </cell>
          <cell r="Q495" t="str">
            <v>INTERIOR</v>
          </cell>
          <cell r="R495">
            <v>4</v>
          </cell>
          <cell r="S495">
            <v>6</v>
          </cell>
          <cell r="T495" t="str">
            <v>Ciudad principal</v>
          </cell>
          <cell r="U495" t="str">
            <v>High End Cut Sheet</v>
          </cell>
          <cell r="V495" t="str">
            <v>XEROX MEXICANA SA DE CV / XEROX MEXICANA</v>
          </cell>
          <cell r="W495" t="str">
            <v>GUANAJUATO</v>
          </cell>
          <cell r="X495">
            <v>2019</v>
          </cell>
          <cell r="Y495" t="str">
            <v>Qtr 2</v>
          </cell>
          <cell r="Z495" t="str">
            <v>April</v>
          </cell>
          <cell r="AA495">
            <v>22</v>
          </cell>
          <cell r="AB495">
            <v>5</v>
          </cell>
          <cell r="AC495">
            <v>0.6</v>
          </cell>
          <cell r="AD495">
            <v>1.9041667499999999</v>
          </cell>
          <cell r="AE495">
            <v>588.23642556250002</v>
          </cell>
        </row>
        <row r="496">
          <cell r="A496" t="str">
            <v>0BG2947147</v>
          </cell>
          <cell r="B496">
            <v>2019</v>
          </cell>
          <cell r="C496" t="str">
            <v>Qtr 2</v>
          </cell>
          <cell r="D496" t="str">
            <v>April</v>
          </cell>
          <cell r="E496">
            <v>15</v>
          </cell>
          <cell r="F496" t="str">
            <v>CORRECTIVO</v>
          </cell>
          <cell r="G496">
            <v>1.1666669999999999</v>
          </cell>
          <cell r="H496" t="str">
            <v>Light Production Digital Business</v>
          </cell>
          <cell r="I496">
            <v>803</v>
          </cell>
          <cell r="J496">
            <v>1573</v>
          </cell>
          <cell r="K496">
            <v>0.2</v>
          </cell>
          <cell r="L496">
            <v>0.6</v>
          </cell>
          <cell r="M496">
            <v>0.8</v>
          </cell>
          <cell r="N496">
            <v>1.05</v>
          </cell>
          <cell r="O496">
            <v>1.1000000000000001</v>
          </cell>
          <cell r="P496">
            <v>1.1499999999999999</v>
          </cell>
          <cell r="Q496" t="str">
            <v>INTERIOR</v>
          </cell>
          <cell r="R496">
            <v>4</v>
          </cell>
          <cell r="S496">
            <v>6</v>
          </cell>
          <cell r="T496" t="str">
            <v>Ciudad principal</v>
          </cell>
          <cell r="U496" t="str">
            <v>High End Cut Sheet</v>
          </cell>
          <cell r="V496" t="str">
            <v>XEROX MEXICANA SA DE CV / XEROX MEXICANA</v>
          </cell>
          <cell r="W496" t="str">
            <v>GUANAJUATO</v>
          </cell>
          <cell r="X496">
            <v>2019</v>
          </cell>
          <cell r="Y496" t="str">
            <v>Qtr 2</v>
          </cell>
          <cell r="Z496" t="str">
            <v>April</v>
          </cell>
          <cell r="AA496">
            <v>15</v>
          </cell>
          <cell r="AB496">
            <v>82</v>
          </cell>
          <cell r="AC496">
            <v>1.1499999999999999</v>
          </cell>
          <cell r="AD496">
            <v>0.29166674999999997</v>
          </cell>
          <cell r="AE496">
            <v>1808.95</v>
          </cell>
        </row>
        <row r="497">
          <cell r="A497" t="str">
            <v>0BG2947509</v>
          </cell>
          <cell r="B497">
            <v>2019</v>
          </cell>
          <cell r="C497" t="str">
            <v>Qtr 2</v>
          </cell>
          <cell r="D497" t="str">
            <v>April</v>
          </cell>
          <cell r="E497">
            <v>15</v>
          </cell>
          <cell r="F497" t="str">
            <v>CORRECTIVO</v>
          </cell>
          <cell r="G497">
            <v>0.85</v>
          </cell>
          <cell r="H497" t="str">
            <v>Light Production Digital Business</v>
          </cell>
          <cell r="I497">
            <v>803</v>
          </cell>
          <cell r="J497">
            <v>1573</v>
          </cell>
          <cell r="K497">
            <v>0.2</v>
          </cell>
          <cell r="L497">
            <v>0.6</v>
          </cell>
          <cell r="M497">
            <v>0.8</v>
          </cell>
          <cell r="N497">
            <v>1.05</v>
          </cell>
          <cell r="O497">
            <v>1.1000000000000001</v>
          </cell>
          <cell r="P497">
            <v>1.1499999999999999</v>
          </cell>
          <cell r="Q497" t="str">
            <v>INTERIOR</v>
          </cell>
          <cell r="R497">
            <v>4</v>
          </cell>
          <cell r="S497">
            <v>6</v>
          </cell>
          <cell r="T497" t="str">
            <v>Ciudad principal</v>
          </cell>
          <cell r="U497" t="str">
            <v>High End Cut Sheet</v>
          </cell>
          <cell r="V497" t="str">
            <v>XEROX MEXICANA SA DE CV / XEROX MEXICANA</v>
          </cell>
          <cell r="W497" t="str">
            <v>JALISCO</v>
          </cell>
          <cell r="X497">
            <v>2019</v>
          </cell>
          <cell r="Y497" t="str">
            <v>Qtr 2</v>
          </cell>
          <cell r="Z497" t="str">
            <v>April</v>
          </cell>
          <cell r="AA497">
            <v>15</v>
          </cell>
          <cell r="AB497">
            <v>39</v>
          </cell>
          <cell r="AC497">
            <v>1.1000000000000001</v>
          </cell>
          <cell r="AD497">
            <v>0.21249999999999999</v>
          </cell>
          <cell r="AE497">
            <v>1730.3</v>
          </cell>
        </row>
        <row r="498">
          <cell r="A498" t="str">
            <v>0BG2951498</v>
          </cell>
          <cell r="B498">
            <v>2019</v>
          </cell>
          <cell r="C498" t="str">
            <v>Qtr 2</v>
          </cell>
          <cell r="D498" t="str">
            <v>April</v>
          </cell>
          <cell r="E498">
            <v>15</v>
          </cell>
          <cell r="F498" t="str">
            <v>CORRECTIVO</v>
          </cell>
          <cell r="G498">
            <v>0.88333329999999999</v>
          </cell>
          <cell r="H498" t="str">
            <v>Light Production Digital Business</v>
          </cell>
          <cell r="I498">
            <v>803</v>
          </cell>
          <cell r="J498">
            <v>1573</v>
          </cell>
          <cell r="K498">
            <v>0.2</v>
          </cell>
          <cell r="L498">
            <v>0.6</v>
          </cell>
          <cell r="M498">
            <v>0.8</v>
          </cell>
          <cell r="N498">
            <v>1.05</v>
          </cell>
          <cell r="O498">
            <v>1.1000000000000001</v>
          </cell>
          <cell r="P498">
            <v>1.1499999999999999</v>
          </cell>
          <cell r="Q498" t="str">
            <v>INTERIOR</v>
          </cell>
          <cell r="R498">
            <v>4</v>
          </cell>
          <cell r="S498">
            <v>6</v>
          </cell>
          <cell r="T498" t="str">
            <v>Ciudad principal</v>
          </cell>
          <cell r="U498" t="str">
            <v>High End Cut Sheet</v>
          </cell>
          <cell r="V498" t="str">
            <v>XEROX MEXICANA SA DE CV / XEROX MEXICANA</v>
          </cell>
          <cell r="W498" t="str">
            <v>DURANGO</v>
          </cell>
          <cell r="X498">
            <v>2019</v>
          </cell>
          <cell r="Y498" t="str">
            <v>Qtr 2</v>
          </cell>
          <cell r="Z498" t="str">
            <v>April</v>
          </cell>
          <cell r="AA498">
            <v>23</v>
          </cell>
          <cell r="AB498">
            <v>80</v>
          </cell>
          <cell r="AC498">
            <v>1.1499999999999999</v>
          </cell>
          <cell r="AD498">
            <v>0.220833325</v>
          </cell>
          <cell r="AE498">
            <v>1808.95</v>
          </cell>
        </row>
        <row r="499">
          <cell r="A499" t="str">
            <v>0C4X011365</v>
          </cell>
          <cell r="B499">
            <v>2019</v>
          </cell>
          <cell r="C499" t="str">
            <v>Qtr 2</v>
          </cell>
          <cell r="D499" t="str">
            <v>April</v>
          </cell>
          <cell r="E499">
            <v>15</v>
          </cell>
          <cell r="F499" t="str">
            <v>CORRECTIVO</v>
          </cell>
          <cell r="G499">
            <v>2.8666670000000001</v>
          </cell>
          <cell r="H499" t="str">
            <v>A4 Mono MFPs</v>
          </cell>
          <cell r="I499">
            <v>468</v>
          </cell>
          <cell r="J499">
            <v>715</v>
          </cell>
          <cell r="K499">
            <v>0</v>
          </cell>
          <cell r="L499">
            <v>0</v>
          </cell>
          <cell r="M499">
            <v>0</v>
          </cell>
          <cell r="N499">
            <v>0.6</v>
          </cell>
          <cell r="O499">
            <v>0.8</v>
          </cell>
          <cell r="P499">
            <v>1.05</v>
          </cell>
          <cell r="Q499" t="str">
            <v>INTERIOR</v>
          </cell>
          <cell r="R499">
            <v>5</v>
          </cell>
          <cell r="S499">
            <v>9</v>
          </cell>
          <cell r="T499" t="str">
            <v>Ciudad principal</v>
          </cell>
          <cell r="U499" t="str">
            <v>A4 Mono MFPs</v>
          </cell>
          <cell r="V499" t="str">
            <v>XEROX MEXICANA SA DE CV / XEROX MEXICANA</v>
          </cell>
          <cell r="W499" t="str">
            <v>JALISCO</v>
          </cell>
          <cell r="X499">
            <v>2019</v>
          </cell>
          <cell r="Y499" t="str">
            <v>Qtr 2</v>
          </cell>
          <cell r="Z499" t="str">
            <v>April</v>
          </cell>
          <cell r="AA499">
            <v>16</v>
          </cell>
          <cell r="AB499">
            <v>46</v>
          </cell>
          <cell r="AC499">
            <v>0.8</v>
          </cell>
          <cell r="AD499">
            <v>0.57333339999999999</v>
          </cell>
          <cell r="AE499">
            <v>572</v>
          </cell>
        </row>
        <row r="500">
          <cell r="A500" t="str">
            <v>0C7X246698</v>
          </cell>
          <cell r="B500">
            <v>2019</v>
          </cell>
          <cell r="C500" t="str">
            <v>Qtr 2</v>
          </cell>
          <cell r="D500" t="str">
            <v>April</v>
          </cell>
          <cell r="E500">
            <v>15</v>
          </cell>
          <cell r="F500" t="str">
            <v>CORRECTIVO</v>
          </cell>
          <cell r="G500">
            <v>0.93333330000000003</v>
          </cell>
          <cell r="H500" t="str">
            <v>A4 Mono MFPs</v>
          </cell>
          <cell r="I500">
            <v>468</v>
          </cell>
          <cell r="J500">
            <v>715</v>
          </cell>
          <cell r="K500">
            <v>0</v>
          </cell>
          <cell r="L500">
            <v>0</v>
          </cell>
          <cell r="M500">
            <v>0</v>
          </cell>
          <cell r="N500">
            <v>0.6</v>
          </cell>
          <cell r="O500">
            <v>0.8</v>
          </cell>
          <cell r="P500">
            <v>1.05</v>
          </cell>
          <cell r="Q500" t="str">
            <v>INTERIOR</v>
          </cell>
          <cell r="R500">
            <v>5</v>
          </cell>
          <cell r="S500">
            <v>9</v>
          </cell>
          <cell r="T500" t="str">
            <v>Ciudad principal</v>
          </cell>
          <cell r="U500" t="str">
            <v>A4 Mono MFPs</v>
          </cell>
          <cell r="V500" t="str">
            <v>XEROX MEXICANA SA DE CV / XEROX MEXICANA</v>
          </cell>
          <cell r="W500" t="str">
            <v>JALISCO</v>
          </cell>
          <cell r="X500">
            <v>2019</v>
          </cell>
          <cell r="Y500" t="str">
            <v>Qtr 2</v>
          </cell>
          <cell r="Z500" t="str">
            <v>April</v>
          </cell>
          <cell r="AA500">
            <v>16</v>
          </cell>
          <cell r="AB500">
            <v>40</v>
          </cell>
          <cell r="AC500">
            <v>0.8</v>
          </cell>
          <cell r="AD500">
            <v>0.18666666000000001</v>
          </cell>
          <cell r="AE500">
            <v>572</v>
          </cell>
        </row>
        <row r="501">
          <cell r="A501" t="str">
            <v>0C7X246857</v>
          </cell>
          <cell r="B501">
            <v>2019</v>
          </cell>
          <cell r="C501" t="str">
            <v>Qtr 2</v>
          </cell>
          <cell r="D501" t="str">
            <v>April</v>
          </cell>
          <cell r="E501">
            <v>15</v>
          </cell>
          <cell r="F501" t="str">
            <v>CORRECTIVO</v>
          </cell>
          <cell r="G501">
            <v>1.516667</v>
          </cell>
          <cell r="H501" t="str">
            <v>A4 Mono MFPs</v>
          </cell>
          <cell r="I501">
            <v>468</v>
          </cell>
          <cell r="J501">
            <v>715</v>
          </cell>
          <cell r="K501">
            <v>0</v>
          </cell>
          <cell r="L501">
            <v>0</v>
          </cell>
          <cell r="M501">
            <v>0</v>
          </cell>
          <cell r="N501">
            <v>0.6</v>
          </cell>
          <cell r="O501">
            <v>0.8</v>
          </cell>
          <cell r="P501">
            <v>1.05</v>
          </cell>
          <cell r="Q501" t="str">
            <v>INTERIOR</v>
          </cell>
          <cell r="R501">
            <v>5</v>
          </cell>
          <cell r="S501">
            <v>9</v>
          </cell>
          <cell r="T501" t="str">
            <v>Ciudad principal</v>
          </cell>
          <cell r="U501" t="str">
            <v>A4 Mono MFPs</v>
          </cell>
          <cell r="V501" t="str">
            <v>XEROX MEXICANA SA DE CV / XEROX MEXICANA</v>
          </cell>
          <cell r="W501" t="str">
            <v>JALISCO</v>
          </cell>
          <cell r="X501">
            <v>2019</v>
          </cell>
          <cell r="Y501" t="str">
            <v>Qtr 2</v>
          </cell>
          <cell r="Z501" t="str">
            <v>April</v>
          </cell>
          <cell r="AA501">
            <v>15</v>
          </cell>
          <cell r="AB501">
            <v>42</v>
          </cell>
          <cell r="AC501">
            <v>0.8</v>
          </cell>
          <cell r="AD501">
            <v>0.30333339999999998</v>
          </cell>
          <cell r="AE501">
            <v>572</v>
          </cell>
        </row>
        <row r="502">
          <cell r="A502" t="str">
            <v>0C7X246884</v>
          </cell>
          <cell r="B502">
            <v>2019</v>
          </cell>
          <cell r="C502" t="str">
            <v>Qtr 2</v>
          </cell>
          <cell r="D502" t="str">
            <v>April</v>
          </cell>
          <cell r="E502">
            <v>15</v>
          </cell>
          <cell r="F502" t="str">
            <v>CORRECTIVO</v>
          </cell>
          <cell r="G502">
            <v>1.1499999999999999</v>
          </cell>
          <cell r="H502" t="str">
            <v>A4 Mono MFPs</v>
          </cell>
          <cell r="I502">
            <v>468</v>
          </cell>
          <cell r="J502">
            <v>715</v>
          </cell>
          <cell r="K502">
            <v>0</v>
          </cell>
          <cell r="L502">
            <v>0</v>
          </cell>
          <cell r="M502">
            <v>0</v>
          </cell>
          <cell r="N502">
            <v>0.6</v>
          </cell>
          <cell r="O502">
            <v>0.8</v>
          </cell>
          <cell r="P502">
            <v>1.05</v>
          </cell>
          <cell r="Q502" t="str">
            <v>INTERIOR</v>
          </cell>
          <cell r="R502">
            <v>5</v>
          </cell>
          <cell r="S502">
            <v>9</v>
          </cell>
          <cell r="T502" t="str">
            <v>Ciudad principal</v>
          </cell>
          <cell r="U502" t="str">
            <v>A4 Mono MFPs</v>
          </cell>
          <cell r="V502" t="str">
            <v>XEROX MEXICANA SA DE CV / XEROX MEXICANA</v>
          </cell>
          <cell r="W502" t="str">
            <v>JALISCO</v>
          </cell>
          <cell r="X502">
            <v>2019</v>
          </cell>
          <cell r="Y502" t="str">
            <v>Qtr 2</v>
          </cell>
          <cell r="Z502" t="str">
            <v>April</v>
          </cell>
          <cell r="AA502">
            <v>15</v>
          </cell>
          <cell r="AB502">
            <v>230</v>
          </cell>
          <cell r="AC502">
            <v>1.05</v>
          </cell>
          <cell r="AD502">
            <v>0.23</v>
          </cell>
          <cell r="AE502">
            <v>750.75</v>
          </cell>
        </row>
        <row r="503">
          <cell r="A503" t="str">
            <v>0C7X246888</v>
          </cell>
          <cell r="B503">
            <v>2019</v>
          </cell>
          <cell r="C503" t="str">
            <v>Qtr 2</v>
          </cell>
          <cell r="D503" t="str">
            <v>April</v>
          </cell>
          <cell r="E503">
            <v>15</v>
          </cell>
          <cell r="F503" t="str">
            <v>CORRECTIVO</v>
          </cell>
          <cell r="G503">
            <v>2.8333330000000001</v>
          </cell>
          <cell r="H503" t="str">
            <v>A4 Mono MFPs</v>
          </cell>
          <cell r="I503">
            <v>468</v>
          </cell>
          <cell r="J503">
            <v>715</v>
          </cell>
          <cell r="K503">
            <v>0</v>
          </cell>
          <cell r="L503">
            <v>0</v>
          </cell>
          <cell r="M503">
            <v>0</v>
          </cell>
          <cell r="N503">
            <v>0.6</v>
          </cell>
          <cell r="O503">
            <v>0.8</v>
          </cell>
          <cell r="P503">
            <v>1.05</v>
          </cell>
          <cell r="Q503" t="str">
            <v>INTERIOR</v>
          </cell>
          <cell r="R503">
            <v>5</v>
          </cell>
          <cell r="S503">
            <v>9</v>
          </cell>
          <cell r="T503" t="str">
            <v>Ciudad principal</v>
          </cell>
          <cell r="U503" t="str">
            <v>A4 Mono MFPs</v>
          </cell>
          <cell r="V503" t="str">
            <v>XEROX MEXICANA SA DE CV / XEROX MEXICANA</v>
          </cell>
          <cell r="W503" t="str">
            <v>JALISCO</v>
          </cell>
          <cell r="X503">
            <v>2019</v>
          </cell>
          <cell r="Y503" t="str">
            <v>Qtr 2</v>
          </cell>
          <cell r="Z503" t="str">
            <v>April</v>
          </cell>
          <cell r="AA503">
            <v>16</v>
          </cell>
          <cell r="AB503">
            <v>19</v>
          </cell>
          <cell r="AC503">
            <v>0.6</v>
          </cell>
          <cell r="AD503">
            <v>0.56666660000000002</v>
          </cell>
          <cell r="AE503">
            <v>429</v>
          </cell>
        </row>
        <row r="504">
          <cell r="A504" t="str">
            <v>0C7X371958</v>
          </cell>
          <cell r="B504">
            <v>2019</v>
          </cell>
          <cell r="C504" t="str">
            <v>Qtr 2</v>
          </cell>
          <cell r="D504" t="str">
            <v>April</v>
          </cell>
          <cell r="E504">
            <v>15</v>
          </cell>
          <cell r="F504" t="str">
            <v>CORRECTIVO</v>
          </cell>
          <cell r="G504">
            <v>4.1833330000000002</v>
          </cell>
          <cell r="H504" t="str">
            <v>A4 Mono MFPs</v>
          </cell>
          <cell r="I504">
            <v>468</v>
          </cell>
          <cell r="J504">
            <v>715</v>
          </cell>
          <cell r="K504">
            <v>0</v>
          </cell>
          <cell r="L504">
            <v>0</v>
          </cell>
          <cell r="M504">
            <v>0</v>
          </cell>
          <cell r="N504">
            <v>0.6</v>
          </cell>
          <cell r="O504">
            <v>0.8</v>
          </cell>
          <cell r="P504">
            <v>1.05</v>
          </cell>
          <cell r="Q504" t="str">
            <v>INTERIOR</v>
          </cell>
          <cell r="R504">
            <v>5</v>
          </cell>
          <cell r="S504">
            <v>9</v>
          </cell>
          <cell r="T504" t="str">
            <v>Otras</v>
          </cell>
          <cell r="U504" t="str">
            <v>A4 Mono MFPs</v>
          </cell>
          <cell r="V504" t="str">
            <v>XEROX MEXICANA SA DE CV / XEROX MEXICANA</v>
          </cell>
          <cell r="W504" t="str">
            <v>COAHUILA</v>
          </cell>
          <cell r="X504">
            <v>2019</v>
          </cell>
          <cell r="Y504" t="str">
            <v>Qtr 2</v>
          </cell>
          <cell r="Z504" t="str">
            <v>April</v>
          </cell>
          <cell r="AA504">
            <v>30</v>
          </cell>
          <cell r="AB504">
            <v>12</v>
          </cell>
          <cell r="AC504">
            <v>0</v>
          </cell>
          <cell r="AD504">
            <v>0.46481477777777802</v>
          </cell>
          <cell r="AE504">
            <v>0</v>
          </cell>
        </row>
        <row r="505">
          <cell r="A505" t="str">
            <v>0D6X451648</v>
          </cell>
          <cell r="B505">
            <v>2019</v>
          </cell>
          <cell r="C505" t="str">
            <v>Qtr 2</v>
          </cell>
          <cell r="D505" t="str">
            <v>April</v>
          </cell>
          <cell r="E505">
            <v>15</v>
          </cell>
          <cell r="F505" t="str">
            <v>MANTENIMIENTO PREVENTIVO</v>
          </cell>
          <cell r="G505">
            <v>0</v>
          </cell>
          <cell r="H505" t="str">
            <v>Entry Mono Printers</v>
          </cell>
          <cell r="I505">
            <v>468</v>
          </cell>
          <cell r="J505">
            <v>715</v>
          </cell>
          <cell r="K505">
            <v>0</v>
          </cell>
          <cell r="L505">
            <v>0</v>
          </cell>
          <cell r="M505">
            <v>0</v>
          </cell>
          <cell r="N505">
            <v>0.6</v>
          </cell>
          <cell r="O505">
            <v>0.8</v>
          </cell>
          <cell r="P505">
            <v>1.05</v>
          </cell>
          <cell r="Q505" t="str">
            <v>INTERIOR</v>
          </cell>
          <cell r="R505">
            <v>5</v>
          </cell>
          <cell r="S505">
            <v>9</v>
          </cell>
          <cell r="T505" t="str">
            <v>Ciudad principal</v>
          </cell>
          <cell r="U505" t="str">
            <v>Entry Mono Printers</v>
          </cell>
          <cell r="V505" t="str">
            <v>XEROX MEXICANA SA DE CV / XEROX MEXICANA</v>
          </cell>
          <cell r="W505" t="str">
            <v>CHIHUAHUA</v>
          </cell>
          <cell r="X505">
            <v>2019</v>
          </cell>
          <cell r="Y505" t="str">
            <v>Qtr 2</v>
          </cell>
          <cell r="Z505" t="str">
            <v>April</v>
          </cell>
          <cell r="AA505">
            <v>15</v>
          </cell>
          <cell r="AB505">
            <v>7</v>
          </cell>
          <cell r="AC505">
            <v>0</v>
          </cell>
          <cell r="AD505">
            <v>0</v>
          </cell>
          <cell r="AE505">
            <v>715</v>
          </cell>
        </row>
        <row r="506">
          <cell r="A506" t="str">
            <v>0D6X459986</v>
          </cell>
          <cell r="B506">
            <v>2019</v>
          </cell>
          <cell r="C506" t="str">
            <v>Qtr 2</v>
          </cell>
          <cell r="D506" t="str">
            <v>April</v>
          </cell>
          <cell r="E506">
            <v>15</v>
          </cell>
          <cell r="F506" t="str">
            <v>CORRECTIVO</v>
          </cell>
          <cell r="G506">
            <v>2.5499999999999998</v>
          </cell>
          <cell r="I506" t="str">
            <v>NA</v>
          </cell>
          <cell r="J506" t="str">
            <v>NA</v>
          </cell>
          <cell r="K506" t="str">
            <v>NA</v>
          </cell>
          <cell r="L506" t="str">
            <v>NA</v>
          </cell>
          <cell r="M506" t="str">
            <v>NA</v>
          </cell>
          <cell r="N506" t="str">
            <v>NA</v>
          </cell>
          <cell r="O506" t="str">
            <v>NA</v>
          </cell>
          <cell r="P506" t="str">
            <v>NA</v>
          </cell>
          <cell r="R506" t="str">
            <v>NA</v>
          </cell>
          <cell r="S506" t="str">
            <v>NA</v>
          </cell>
          <cell r="U506" t="str">
            <v>Entry Mono Printers</v>
          </cell>
          <cell r="V506" t="str">
            <v>XEROX MEXICANA SA DE CV / XEROX MEXICANA</v>
          </cell>
          <cell r="W506" t="str">
            <v>TAMAULIPAS</v>
          </cell>
          <cell r="X506">
            <v>2019</v>
          </cell>
          <cell r="Y506" t="str">
            <v>Qtr 2</v>
          </cell>
          <cell r="Z506" t="str">
            <v>April</v>
          </cell>
          <cell r="AA506">
            <v>16</v>
          </cell>
          <cell r="AB506">
            <v>0</v>
          </cell>
          <cell r="AC506">
            <v>1.1000000000000001</v>
          </cell>
          <cell r="AD506">
            <v>0</v>
          </cell>
          <cell r="AE506">
            <v>482.625</v>
          </cell>
        </row>
        <row r="507">
          <cell r="A507" t="str">
            <v>0D6X459991</v>
          </cell>
          <cell r="B507">
            <v>2019</v>
          </cell>
          <cell r="C507" t="str">
            <v>Qtr 2</v>
          </cell>
          <cell r="D507" t="str">
            <v>April</v>
          </cell>
          <cell r="E507">
            <v>15</v>
          </cell>
          <cell r="F507" t="str">
            <v>CORRECTIVO</v>
          </cell>
          <cell r="G507">
            <v>1.3</v>
          </cell>
          <cell r="H507" t="str">
            <v>Entry Mono Printers</v>
          </cell>
          <cell r="I507">
            <v>468</v>
          </cell>
          <cell r="J507">
            <v>715</v>
          </cell>
          <cell r="K507">
            <v>0</v>
          </cell>
          <cell r="L507">
            <v>0</v>
          </cell>
          <cell r="M507">
            <v>0</v>
          </cell>
          <cell r="N507">
            <v>0.6</v>
          </cell>
          <cell r="O507">
            <v>0.8</v>
          </cell>
          <cell r="P507">
            <v>1.05</v>
          </cell>
          <cell r="Q507" t="str">
            <v>INTERIOR</v>
          </cell>
          <cell r="R507">
            <v>5</v>
          </cell>
          <cell r="S507">
            <v>9</v>
          </cell>
          <cell r="T507" t="str">
            <v>Ciudad principal</v>
          </cell>
          <cell r="U507" t="str">
            <v>Entry Mono Printers</v>
          </cell>
          <cell r="V507" t="str">
            <v>XEROX MEXICANA SA DE CV / XEROX MEXICANA</v>
          </cell>
          <cell r="W507" t="str">
            <v>TAMAULIPAS</v>
          </cell>
          <cell r="X507">
            <v>2019</v>
          </cell>
          <cell r="Y507" t="str">
            <v>Qtr 2</v>
          </cell>
          <cell r="Z507" t="str">
            <v>April</v>
          </cell>
          <cell r="AA507">
            <v>16</v>
          </cell>
          <cell r="AB507">
            <v>152</v>
          </cell>
          <cell r="AC507">
            <v>1.05</v>
          </cell>
          <cell r="AD507">
            <v>0.26</v>
          </cell>
          <cell r="AE507">
            <v>750.75</v>
          </cell>
        </row>
        <row r="508">
          <cell r="A508" t="str">
            <v>0D6X463381</v>
          </cell>
          <cell r="B508">
            <v>2019</v>
          </cell>
          <cell r="C508" t="str">
            <v>Qtr 2</v>
          </cell>
          <cell r="D508" t="str">
            <v>April</v>
          </cell>
          <cell r="E508">
            <v>15</v>
          </cell>
          <cell r="F508" t="str">
            <v>CORRECTIVO</v>
          </cell>
          <cell r="G508">
            <v>1.4</v>
          </cell>
          <cell r="H508" t="str">
            <v>Entry Mono Printers</v>
          </cell>
          <cell r="I508">
            <v>468</v>
          </cell>
          <cell r="J508">
            <v>715</v>
          </cell>
          <cell r="K508">
            <v>0</v>
          </cell>
          <cell r="L508">
            <v>0</v>
          </cell>
          <cell r="M508">
            <v>0</v>
          </cell>
          <cell r="N508">
            <v>0.6</v>
          </cell>
          <cell r="O508">
            <v>0.8</v>
          </cell>
          <cell r="P508">
            <v>1.05</v>
          </cell>
          <cell r="Q508" t="str">
            <v>INTERIOR</v>
          </cell>
          <cell r="R508">
            <v>5</v>
          </cell>
          <cell r="S508">
            <v>9</v>
          </cell>
          <cell r="T508" t="str">
            <v>Otras</v>
          </cell>
          <cell r="U508" t="str">
            <v>Entry Mono Printers</v>
          </cell>
          <cell r="V508" t="str">
            <v>XEROX MEXICANA SA DE CV / XEROX MEXICANA</v>
          </cell>
          <cell r="W508" t="str">
            <v>NUEVO LEON</v>
          </cell>
          <cell r="X508">
            <v>2019</v>
          </cell>
          <cell r="Y508" t="str">
            <v>Qtr 2</v>
          </cell>
          <cell r="Z508" t="str">
            <v>April</v>
          </cell>
          <cell r="AA508">
            <v>15</v>
          </cell>
          <cell r="AB508">
            <v>63</v>
          </cell>
          <cell r="AC508">
            <v>1.05</v>
          </cell>
          <cell r="AD508">
            <v>0.155555555555556</v>
          </cell>
          <cell r="AE508">
            <v>750.75</v>
          </cell>
        </row>
        <row r="509">
          <cell r="A509" t="str">
            <v>0E2B646633</v>
          </cell>
          <cell r="B509">
            <v>2019</v>
          </cell>
          <cell r="C509" t="str">
            <v>Qtr 2</v>
          </cell>
          <cell r="D509" t="str">
            <v>April</v>
          </cell>
          <cell r="E509">
            <v>15</v>
          </cell>
          <cell r="F509" t="str">
            <v>CORRECTIVO</v>
          </cell>
          <cell r="G509">
            <v>0.66666669999999995</v>
          </cell>
          <cell r="H509" t="str">
            <v>Entry Production Color Low/Mid</v>
          </cell>
          <cell r="I509">
            <v>803</v>
          </cell>
          <cell r="J509">
            <v>1573</v>
          </cell>
          <cell r="K509">
            <v>0.2</v>
          </cell>
          <cell r="L509">
            <v>0.6</v>
          </cell>
          <cell r="M509">
            <v>0.8</v>
          </cell>
          <cell r="N509">
            <v>1.05</v>
          </cell>
          <cell r="O509">
            <v>1.1000000000000001</v>
          </cell>
          <cell r="P509">
            <v>1.1499999999999999</v>
          </cell>
          <cell r="Q509" t="str">
            <v>INTERIOR</v>
          </cell>
          <cell r="R509">
            <v>4</v>
          </cell>
          <cell r="S509">
            <v>6</v>
          </cell>
          <cell r="T509" t="str">
            <v>Ciudad principal</v>
          </cell>
          <cell r="U509" t="str">
            <v>Entry Production Color Low/Mid</v>
          </cell>
          <cell r="V509" t="str">
            <v>XEROX MEXICANA SA DE CV / XEROX MEXICANA</v>
          </cell>
          <cell r="W509" t="str">
            <v>TAMAULIPAS</v>
          </cell>
          <cell r="X509">
            <v>2019</v>
          </cell>
          <cell r="Y509" t="str">
            <v>Qtr 2</v>
          </cell>
          <cell r="Z509" t="str">
            <v>April</v>
          </cell>
          <cell r="AA509">
            <v>17</v>
          </cell>
          <cell r="AB509">
            <v>11</v>
          </cell>
          <cell r="AC509">
            <v>0.8</v>
          </cell>
          <cell r="AD509">
            <v>0.16666667499999999</v>
          </cell>
          <cell r="AE509">
            <v>1258.4000000000001</v>
          </cell>
        </row>
        <row r="510">
          <cell r="A510" t="str">
            <v>0EX9283991</v>
          </cell>
          <cell r="B510">
            <v>2019</v>
          </cell>
          <cell r="C510" t="str">
            <v>Qtr 2</v>
          </cell>
          <cell r="D510" t="str">
            <v>April</v>
          </cell>
          <cell r="E510">
            <v>15</v>
          </cell>
          <cell r="F510" t="str">
            <v>MANTENIMIENTO PREVENTIVO</v>
          </cell>
          <cell r="G510">
            <v>0</v>
          </cell>
          <cell r="H510" t="str">
            <v>Departmental Digital</v>
          </cell>
          <cell r="I510">
            <v>655</v>
          </cell>
          <cell r="J510">
            <v>1365</v>
          </cell>
          <cell r="K510">
            <v>0</v>
          </cell>
          <cell r="L510">
            <v>0</v>
          </cell>
          <cell r="M510">
            <v>0.6</v>
          </cell>
          <cell r="N510">
            <v>0.8</v>
          </cell>
          <cell r="O510">
            <v>1.05</v>
          </cell>
          <cell r="P510">
            <v>1.1000000000000001</v>
          </cell>
          <cell r="Q510" t="str">
            <v>INTERIOR</v>
          </cell>
          <cell r="R510">
            <v>5</v>
          </cell>
          <cell r="S510">
            <v>9</v>
          </cell>
          <cell r="T510" t="str">
            <v>Ciudad principal</v>
          </cell>
          <cell r="U510" t="str">
            <v>Departmental Digital</v>
          </cell>
          <cell r="V510" t="str">
            <v>XEROX MEXICANA SA DE CV / XEROX MEXICANA</v>
          </cell>
          <cell r="W510" t="str">
            <v>TAMAULIPAS</v>
          </cell>
          <cell r="X510">
            <v>2019</v>
          </cell>
          <cell r="Y510" t="str">
            <v>Qtr 2</v>
          </cell>
          <cell r="Z510" t="str">
            <v>April</v>
          </cell>
          <cell r="AA510">
            <v>16</v>
          </cell>
          <cell r="AB510">
            <v>12</v>
          </cell>
          <cell r="AC510">
            <v>0</v>
          </cell>
          <cell r="AD510">
            <v>0</v>
          </cell>
          <cell r="AE510">
            <v>1365</v>
          </cell>
        </row>
        <row r="511">
          <cell r="A511" t="str">
            <v>0EX9293159</v>
          </cell>
          <cell r="B511">
            <v>2019</v>
          </cell>
          <cell r="C511" t="str">
            <v>Qtr 2</v>
          </cell>
          <cell r="D511" t="str">
            <v>April</v>
          </cell>
          <cell r="E511">
            <v>15</v>
          </cell>
          <cell r="F511" t="str">
            <v>CORRECTIVO</v>
          </cell>
          <cell r="G511">
            <v>2.9</v>
          </cell>
          <cell r="H511" t="str">
            <v>Departmental Digital</v>
          </cell>
          <cell r="I511">
            <v>655</v>
          </cell>
          <cell r="J511">
            <v>1365</v>
          </cell>
          <cell r="K511">
            <v>0</v>
          </cell>
          <cell r="L511">
            <v>0</v>
          </cell>
          <cell r="M511">
            <v>0.6</v>
          </cell>
          <cell r="N511">
            <v>0.8</v>
          </cell>
          <cell r="O511">
            <v>1.05</v>
          </cell>
          <cell r="P511">
            <v>1.1000000000000001</v>
          </cell>
          <cell r="Q511" t="str">
            <v>INTERIOR</v>
          </cell>
          <cell r="R511">
            <v>5</v>
          </cell>
          <cell r="S511">
            <v>9</v>
          </cell>
          <cell r="T511" t="str">
            <v>Ciudad principal</v>
          </cell>
          <cell r="U511" t="str">
            <v>Departmental Digital</v>
          </cell>
          <cell r="V511" t="str">
            <v>XEROX MEXICANA SA DE CV / XEROX MEXICANA</v>
          </cell>
          <cell r="W511" t="str">
            <v>GUANAJUATO</v>
          </cell>
          <cell r="X511">
            <v>2019</v>
          </cell>
          <cell r="Y511" t="str">
            <v>Qtr 2</v>
          </cell>
          <cell r="Z511" t="str">
            <v>April</v>
          </cell>
          <cell r="AA511">
            <v>15</v>
          </cell>
          <cell r="AB511">
            <v>11</v>
          </cell>
          <cell r="AC511">
            <v>0.6</v>
          </cell>
          <cell r="AD511">
            <v>0.57999999999999996</v>
          </cell>
          <cell r="AE511">
            <v>819</v>
          </cell>
        </row>
        <row r="512">
          <cell r="A512" t="str">
            <v>0EX9293168</v>
          </cell>
          <cell r="B512">
            <v>2019</v>
          </cell>
          <cell r="C512" t="str">
            <v>Qtr 2</v>
          </cell>
          <cell r="D512" t="str">
            <v>April</v>
          </cell>
          <cell r="E512">
            <v>15</v>
          </cell>
          <cell r="F512" t="str">
            <v>MANTENIMIENTO PREVENTIVO</v>
          </cell>
          <cell r="G512">
            <v>0</v>
          </cell>
          <cell r="H512" t="str">
            <v>Departmental Digital</v>
          </cell>
          <cell r="I512">
            <v>655</v>
          </cell>
          <cell r="J512">
            <v>1365</v>
          </cell>
          <cell r="K512">
            <v>0</v>
          </cell>
          <cell r="L512">
            <v>0</v>
          </cell>
          <cell r="M512">
            <v>0.6</v>
          </cell>
          <cell r="N512">
            <v>0.8</v>
          </cell>
          <cell r="O512">
            <v>1.05</v>
          </cell>
          <cell r="P512">
            <v>1.1000000000000001</v>
          </cell>
          <cell r="Q512" t="str">
            <v>INTERIOR</v>
          </cell>
          <cell r="R512">
            <v>5</v>
          </cell>
          <cell r="S512">
            <v>9</v>
          </cell>
          <cell r="T512" t="str">
            <v>Ciudad principal</v>
          </cell>
          <cell r="U512" t="str">
            <v>Departmental Digital</v>
          </cell>
          <cell r="V512" t="str">
            <v>XEROX MEXICANA SA DE CV / XEROX MEXICANA</v>
          </cell>
          <cell r="W512" t="str">
            <v>GUANAJUATO</v>
          </cell>
          <cell r="X512">
            <v>2019</v>
          </cell>
          <cell r="Y512" t="str">
            <v>Qtr 2</v>
          </cell>
          <cell r="Z512" t="str">
            <v>April</v>
          </cell>
          <cell r="AA512">
            <v>15</v>
          </cell>
          <cell r="AB512">
            <v>5</v>
          </cell>
          <cell r="AC512">
            <v>0</v>
          </cell>
          <cell r="AD512">
            <v>0</v>
          </cell>
          <cell r="AE512">
            <v>1365</v>
          </cell>
        </row>
        <row r="513">
          <cell r="A513" t="str">
            <v>0EX9293386</v>
          </cell>
          <cell r="B513">
            <v>2019</v>
          </cell>
          <cell r="C513" t="str">
            <v>Qtr 2</v>
          </cell>
          <cell r="D513" t="str">
            <v>April</v>
          </cell>
          <cell r="E513">
            <v>15</v>
          </cell>
          <cell r="F513" t="str">
            <v>CORRECTIVO</v>
          </cell>
          <cell r="G513">
            <v>3.75</v>
          </cell>
          <cell r="H513" t="str">
            <v>Departmental Digital</v>
          </cell>
          <cell r="I513">
            <v>655</v>
          </cell>
          <cell r="J513">
            <v>1365</v>
          </cell>
          <cell r="K513">
            <v>0</v>
          </cell>
          <cell r="L513">
            <v>0</v>
          </cell>
          <cell r="M513">
            <v>0.6</v>
          </cell>
          <cell r="N513">
            <v>0.8</v>
          </cell>
          <cell r="O513">
            <v>1.05</v>
          </cell>
          <cell r="P513">
            <v>1.1000000000000001</v>
          </cell>
          <cell r="Q513" t="str">
            <v>INTERIOR</v>
          </cell>
          <cell r="R513">
            <v>5</v>
          </cell>
          <cell r="S513">
            <v>9</v>
          </cell>
          <cell r="T513" t="str">
            <v>Ciudad principal</v>
          </cell>
          <cell r="U513" t="str">
            <v>Departmental Digital</v>
          </cell>
          <cell r="V513" t="str">
            <v>XEROX MEXICANA SA DE CV / XEROX MEXICANA</v>
          </cell>
          <cell r="W513" t="str">
            <v>GUANAJUATO</v>
          </cell>
          <cell r="X513">
            <v>2019</v>
          </cell>
          <cell r="Y513" t="str">
            <v>Qtr 2</v>
          </cell>
          <cell r="Z513" t="str">
            <v>April</v>
          </cell>
          <cell r="AA513">
            <v>15</v>
          </cell>
          <cell r="AB513">
            <v>17</v>
          </cell>
          <cell r="AC513">
            <v>0.8</v>
          </cell>
          <cell r="AD513">
            <v>0.75</v>
          </cell>
          <cell r="AE513">
            <v>1092</v>
          </cell>
        </row>
        <row r="514">
          <cell r="A514" t="str">
            <v>0EX9293387</v>
          </cell>
          <cell r="B514">
            <v>2019</v>
          </cell>
          <cell r="C514" t="str">
            <v>Qtr 2</v>
          </cell>
          <cell r="D514" t="str">
            <v>April</v>
          </cell>
          <cell r="E514">
            <v>15</v>
          </cell>
          <cell r="F514" t="str">
            <v>CORRECTIVO</v>
          </cell>
          <cell r="G514">
            <v>5.266667</v>
          </cell>
          <cell r="H514" t="str">
            <v>Departmental Digital</v>
          </cell>
          <cell r="I514">
            <v>655</v>
          </cell>
          <cell r="J514">
            <v>1365</v>
          </cell>
          <cell r="K514">
            <v>0</v>
          </cell>
          <cell r="L514">
            <v>0</v>
          </cell>
          <cell r="M514">
            <v>0.6</v>
          </cell>
          <cell r="N514">
            <v>0.8</v>
          </cell>
          <cell r="O514">
            <v>1.05</v>
          </cell>
          <cell r="P514">
            <v>1.1000000000000001</v>
          </cell>
          <cell r="Q514" t="str">
            <v>INTERIOR</v>
          </cell>
          <cell r="R514">
            <v>5</v>
          </cell>
          <cell r="S514">
            <v>9</v>
          </cell>
          <cell r="T514" t="str">
            <v>Ciudad principal</v>
          </cell>
          <cell r="U514" t="str">
            <v>Departmental Digital</v>
          </cell>
          <cell r="V514" t="str">
            <v>XEROX MEXICANA SA DE CV / XEROX MEXICANA</v>
          </cell>
          <cell r="W514" t="str">
            <v>GUANAJUATO</v>
          </cell>
          <cell r="X514">
            <v>2019</v>
          </cell>
          <cell r="Y514" t="str">
            <v>Qtr 2</v>
          </cell>
          <cell r="Z514" t="str">
            <v>April</v>
          </cell>
          <cell r="AA514">
            <v>15</v>
          </cell>
          <cell r="AB514">
            <v>41</v>
          </cell>
          <cell r="AC514">
            <v>1.05</v>
          </cell>
          <cell r="AD514">
            <v>1.0533334000000001</v>
          </cell>
          <cell r="AE514">
            <v>1415.04997725</v>
          </cell>
        </row>
        <row r="515">
          <cell r="A515" t="str">
            <v>0EX9297582</v>
          </cell>
          <cell r="B515">
            <v>2019</v>
          </cell>
          <cell r="C515" t="str">
            <v>Qtr 2</v>
          </cell>
          <cell r="D515" t="str">
            <v>April</v>
          </cell>
          <cell r="E515">
            <v>15</v>
          </cell>
          <cell r="F515" t="str">
            <v>MANTENIMIENTO PREVENTIVO</v>
          </cell>
          <cell r="G515">
            <v>0</v>
          </cell>
          <cell r="H515" t="str">
            <v>Departmental Digital</v>
          </cell>
          <cell r="I515">
            <v>655</v>
          </cell>
          <cell r="J515">
            <v>1365</v>
          </cell>
          <cell r="K515">
            <v>0</v>
          </cell>
          <cell r="L515">
            <v>0</v>
          </cell>
          <cell r="M515">
            <v>0.6</v>
          </cell>
          <cell r="N515">
            <v>0.8</v>
          </cell>
          <cell r="O515">
            <v>1.05</v>
          </cell>
          <cell r="P515">
            <v>1.1000000000000001</v>
          </cell>
          <cell r="Q515" t="str">
            <v>INTERIOR</v>
          </cell>
          <cell r="R515">
            <v>5</v>
          </cell>
          <cell r="S515">
            <v>9</v>
          </cell>
          <cell r="T515" t="str">
            <v>Otras</v>
          </cell>
          <cell r="U515" t="str">
            <v>Departmental Digital</v>
          </cell>
          <cell r="V515" t="str">
            <v>XEROX MEXICANA SA DE CV / XEROX MEXICANA</v>
          </cell>
          <cell r="W515" t="str">
            <v>COAHUILA</v>
          </cell>
          <cell r="X515">
            <v>2019</v>
          </cell>
          <cell r="Y515" t="str">
            <v>Qtr 2</v>
          </cell>
          <cell r="Z515" t="str">
            <v>April</v>
          </cell>
          <cell r="AA515">
            <v>16</v>
          </cell>
          <cell r="AB515">
            <v>8</v>
          </cell>
          <cell r="AC515">
            <v>0</v>
          </cell>
          <cell r="AD515">
            <v>0</v>
          </cell>
          <cell r="AE515">
            <v>1365</v>
          </cell>
        </row>
        <row r="516">
          <cell r="A516" t="str">
            <v>0PW4980265</v>
          </cell>
          <cell r="B516">
            <v>2019</v>
          </cell>
          <cell r="C516" t="str">
            <v>Qtr 2</v>
          </cell>
          <cell r="D516" t="str">
            <v>April</v>
          </cell>
          <cell r="E516">
            <v>15</v>
          </cell>
          <cell r="F516" t="str">
            <v>CORRECTIVO</v>
          </cell>
          <cell r="G516">
            <v>2.4333330000000002</v>
          </cell>
          <cell r="H516" t="str">
            <v>WF Mono Systems and Legacy Color</v>
          </cell>
          <cell r="I516">
            <v>803</v>
          </cell>
          <cell r="J516">
            <v>1573</v>
          </cell>
          <cell r="K516">
            <v>0.2</v>
          </cell>
          <cell r="L516">
            <v>0.6</v>
          </cell>
          <cell r="M516">
            <v>0.8</v>
          </cell>
          <cell r="N516">
            <v>1.05</v>
          </cell>
          <cell r="O516">
            <v>1.1000000000000001</v>
          </cell>
          <cell r="P516">
            <v>1.1499999999999999</v>
          </cell>
          <cell r="Q516" t="str">
            <v>INTERIOR</v>
          </cell>
          <cell r="R516">
            <v>4</v>
          </cell>
          <cell r="S516">
            <v>6</v>
          </cell>
          <cell r="T516" t="str">
            <v>Ciudad principal</v>
          </cell>
          <cell r="U516" t="str">
            <v>WF Mono Systems and Legacy Color</v>
          </cell>
          <cell r="V516" t="str">
            <v>XEROX MEXICANA SA DE CV / XEROX MEXICANA</v>
          </cell>
          <cell r="W516" t="str">
            <v>JALISCO</v>
          </cell>
          <cell r="X516">
            <v>2019</v>
          </cell>
          <cell r="Y516" t="str">
            <v>Qtr 2</v>
          </cell>
          <cell r="Z516" t="str">
            <v>April</v>
          </cell>
          <cell r="AA516">
            <v>17</v>
          </cell>
          <cell r="AB516">
            <v>10</v>
          </cell>
          <cell r="AC516">
            <v>0.8</v>
          </cell>
          <cell r="AD516">
            <v>0.60833325000000005</v>
          </cell>
          <cell r="AE516">
            <v>1258.4000000000001</v>
          </cell>
        </row>
        <row r="517">
          <cell r="A517" t="str">
            <v>0VGW686533</v>
          </cell>
          <cell r="B517">
            <v>2019</v>
          </cell>
          <cell r="C517" t="str">
            <v>Qtr 2</v>
          </cell>
          <cell r="D517" t="str">
            <v>April</v>
          </cell>
          <cell r="E517">
            <v>15</v>
          </cell>
          <cell r="F517" t="str">
            <v>CORRECTIVO</v>
          </cell>
          <cell r="G517">
            <v>0.4</v>
          </cell>
          <cell r="H517" t="str">
            <v>A3 Professional Color Laser MFPs</v>
          </cell>
          <cell r="I517">
            <v>655</v>
          </cell>
          <cell r="J517">
            <v>1365</v>
          </cell>
          <cell r="K517">
            <v>0</v>
          </cell>
          <cell r="L517">
            <v>0</v>
          </cell>
          <cell r="M517">
            <v>0.6</v>
          </cell>
          <cell r="N517">
            <v>0.8</v>
          </cell>
          <cell r="O517">
            <v>1.05</v>
          </cell>
          <cell r="P517">
            <v>1.1000000000000001</v>
          </cell>
          <cell r="Q517" t="str">
            <v>INTERIOR</v>
          </cell>
          <cell r="R517">
            <v>5</v>
          </cell>
          <cell r="S517">
            <v>9</v>
          </cell>
          <cell r="T517" t="str">
            <v>Ciudad principal</v>
          </cell>
          <cell r="U517" t="str">
            <v>Entry Production Color Low/Mid</v>
          </cell>
          <cell r="V517" t="str">
            <v>XEROX MEXICANA SA DE CV / XEROX MEXICANA</v>
          </cell>
          <cell r="W517" t="str">
            <v>CHIHUAHUA</v>
          </cell>
          <cell r="X517">
            <v>2019</v>
          </cell>
          <cell r="Y517" t="str">
            <v>Qtr 2</v>
          </cell>
          <cell r="Z517" t="str">
            <v>April</v>
          </cell>
          <cell r="AA517">
            <v>15</v>
          </cell>
          <cell r="AB517">
            <v>31</v>
          </cell>
          <cell r="AC517">
            <v>1.05</v>
          </cell>
          <cell r="AD517">
            <v>0.08</v>
          </cell>
          <cell r="AE517">
            <v>1433.25</v>
          </cell>
        </row>
        <row r="518">
          <cell r="A518" t="str">
            <v>0X76093349</v>
          </cell>
          <cell r="B518">
            <v>2019</v>
          </cell>
          <cell r="C518" t="str">
            <v>Qtr 2</v>
          </cell>
          <cell r="D518" t="str">
            <v>April</v>
          </cell>
          <cell r="E518">
            <v>15</v>
          </cell>
          <cell r="F518" t="str">
            <v>CORRECTIVO</v>
          </cell>
          <cell r="G518">
            <v>0.61666670000000001</v>
          </cell>
          <cell r="H518" t="str">
            <v>Departmental Digital</v>
          </cell>
          <cell r="I518">
            <v>655</v>
          </cell>
          <cell r="J518">
            <v>1365</v>
          </cell>
          <cell r="K518">
            <v>0</v>
          </cell>
          <cell r="L518">
            <v>0</v>
          </cell>
          <cell r="M518">
            <v>0.6</v>
          </cell>
          <cell r="N518">
            <v>0.8</v>
          </cell>
          <cell r="O518">
            <v>1.05</v>
          </cell>
          <cell r="P518">
            <v>1.1000000000000001</v>
          </cell>
          <cell r="Q518" t="str">
            <v>INTERIOR</v>
          </cell>
          <cell r="R518">
            <v>5</v>
          </cell>
          <cell r="S518">
            <v>9</v>
          </cell>
          <cell r="T518" t="str">
            <v>Ciudad principal</v>
          </cell>
          <cell r="U518" t="str">
            <v>Departmental Digital</v>
          </cell>
          <cell r="V518" t="str">
            <v>XEROX MEXICANA SA DE CV / XEROX MEXICANA</v>
          </cell>
          <cell r="W518" t="str">
            <v>TAMAULIPAS</v>
          </cell>
          <cell r="X518">
            <v>2019</v>
          </cell>
          <cell r="Y518" t="str">
            <v>Qtr 2</v>
          </cell>
          <cell r="Z518" t="str">
            <v>April</v>
          </cell>
          <cell r="AA518">
            <v>17</v>
          </cell>
          <cell r="AB518">
            <v>68</v>
          </cell>
          <cell r="AC518">
            <v>1.1000000000000001</v>
          </cell>
          <cell r="AD518">
            <v>0.12333334</v>
          </cell>
          <cell r="AE518">
            <v>1501.5</v>
          </cell>
        </row>
        <row r="519">
          <cell r="A519" t="str">
            <v>0XFN116939</v>
          </cell>
          <cell r="B519">
            <v>2019</v>
          </cell>
          <cell r="C519" t="str">
            <v>Qtr 2</v>
          </cell>
          <cell r="D519" t="str">
            <v>April</v>
          </cell>
          <cell r="E519">
            <v>15</v>
          </cell>
          <cell r="F519" t="str">
            <v>MANTENIMIENTO PREVENTIVO</v>
          </cell>
          <cell r="G519">
            <v>0</v>
          </cell>
          <cell r="H519" t="str">
            <v>Color Solid Ink Printers</v>
          </cell>
          <cell r="I519">
            <v>468</v>
          </cell>
          <cell r="J519">
            <v>715</v>
          </cell>
          <cell r="K519">
            <v>0</v>
          </cell>
          <cell r="L519">
            <v>0</v>
          </cell>
          <cell r="M519">
            <v>0</v>
          </cell>
          <cell r="N519">
            <v>0.6</v>
          </cell>
          <cell r="O519">
            <v>0.8</v>
          </cell>
          <cell r="P519">
            <v>1.05</v>
          </cell>
          <cell r="Q519" t="str">
            <v>INTERIOR</v>
          </cell>
          <cell r="R519">
            <v>5</v>
          </cell>
          <cell r="S519">
            <v>9</v>
          </cell>
          <cell r="T519" t="str">
            <v>Ciudad principal</v>
          </cell>
          <cell r="U519" t="str">
            <v>Color Solid Ink Printers</v>
          </cell>
          <cell r="V519" t="str">
            <v>XEROX MEXICANA SA DE CV / XEROX MEXICANA</v>
          </cell>
          <cell r="W519" t="str">
            <v>CHIHUAHUA</v>
          </cell>
          <cell r="X519">
            <v>2019</v>
          </cell>
          <cell r="Y519" t="str">
            <v>Qtr 2</v>
          </cell>
          <cell r="Z519" t="str">
            <v>April</v>
          </cell>
          <cell r="AA519">
            <v>16</v>
          </cell>
          <cell r="AB519">
            <v>127</v>
          </cell>
          <cell r="AC519">
            <v>0</v>
          </cell>
          <cell r="AD519">
            <v>0</v>
          </cell>
          <cell r="AE519">
            <v>715</v>
          </cell>
        </row>
        <row r="520">
          <cell r="A520" t="str">
            <v>0XLT278481</v>
          </cell>
          <cell r="B520">
            <v>2019</v>
          </cell>
          <cell r="C520" t="str">
            <v>Qtr 2</v>
          </cell>
          <cell r="D520" t="str">
            <v>April</v>
          </cell>
          <cell r="E520">
            <v>15</v>
          </cell>
          <cell r="F520" t="str">
            <v>CORRECTIVO</v>
          </cell>
          <cell r="G520">
            <v>1.266667</v>
          </cell>
          <cell r="H520" t="str">
            <v>Entry Mono Printers</v>
          </cell>
          <cell r="I520">
            <v>468</v>
          </cell>
          <cell r="J520">
            <v>715</v>
          </cell>
          <cell r="K520">
            <v>0</v>
          </cell>
          <cell r="L520">
            <v>0</v>
          </cell>
          <cell r="M520">
            <v>0</v>
          </cell>
          <cell r="N520">
            <v>0.6</v>
          </cell>
          <cell r="O520">
            <v>0.8</v>
          </cell>
          <cell r="P520">
            <v>1.05</v>
          </cell>
          <cell r="Q520" t="str">
            <v>INTERIOR</v>
          </cell>
          <cell r="R520">
            <v>5</v>
          </cell>
          <cell r="S520">
            <v>9</v>
          </cell>
          <cell r="T520" t="str">
            <v>Ciudad principal</v>
          </cell>
          <cell r="U520" t="str">
            <v>Entry Mono Printers</v>
          </cell>
          <cell r="V520" t="str">
            <v>XEROX MEXICANA SA DE CV / XEROX MEXICANA</v>
          </cell>
          <cell r="W520" t="str">
            <v>CHIHUAHUA</v>
          </cell>
          <cell r="X520">
            <v>2019</v>
          </cell>
          <cell r="Y520" t="str">
            <v>Qtr 2</v>
          </cell>
          <cell r="Z520" t="str">
            <v>April</v>
          </cell>
          <cell r="AA520">
            <v>16</v>
          </cell>
          <cell r="AB520">
            <v>6</v>
          </cell>
          <cell r="AC520">
            <v>0</v>
          </cell>
          <cell r="AD520">
            <v>0.25333339999999999</v>
          </cell>
          <cell r="AE520">
            <v>0</v>
          </cell>
        </row>
        <row r="521">
          <cell r="A521" t="str">
            <v>0XPN397749</v>
          </cell>
          <cell r="B521">
            <v>2019</v>
          </cell>
          <cell r="C521" t="str">
            <v>Qtr 2</v>
          </cell>
          <cell r="D521" t="str">
            <v>April</v>
          </cell>
          <cell r="E521">
            <v>15</v>
          </cell>
          <cell r="F521" t="str">
            <v>CORRECTIVO</v>
          </cell>
          <cell r="G521">
            <v>1.5833330000000001</v>
          </cell>
          <cell r="H521" t="str">
            <v>Entry Production Color Low/Mid</v>
          </cell>
          <cell r="I521">
            <v>803</v>
          </cell>
          <cell r="J521">
            <v>1573</v>
          </cell>
          <cell r="K521">
            <v>0.2</v>
          </cell>
          <cell r="L521">
            <v>0.6</v>
          </cell>
          <cell r="M521">
            <v>0.8</v>
          </cell>
          <cell r="N521">
            <v>1.05</v>
          </cell>
          <cell r="O521">
            <v>1.1000000000000001</v>
          </cell>
          <cell r="P521">
            <v>1.1499999999999999</v>
          </cell>
          <cell r="Q521" t="str">
            <v>INTERIOR</v>
          </cell>
          <cell r="R521">
            <v>4</v>
          </cell>
          <cell r="S521">
            <v>6</v>
          </cell>
          <cell r="T521" t="str">
            <v>Ciudad principal</v>
          </cell>
          <cell r="U521" t="str">
            <v>Entry Production Color Low/Mid</v>
          </cell>
          <cell r="V521" t="str">
            <v>XEROX MEXICANA SA DE CV / XEROX MEXICANA</v>
          </cell>
          <cell r="W521" t="str">
            <v>GUANAJUATO</v>
          </cell>
          <cell r="X521">
            <v>2019</v>
          </cell>
          <cell r="Y521" t="str">
            <v>Qtr 2</v>
          </cell>
          <cell r="Z521" t="str">
            <v>April</v>
          </cell>
          <cell r="AA521">
            <v>16</v>
          </cell>
          <cell r="AB521">
            <v>180</v>
          </cell>
          <cell r="AC521">
            <v>1.1499999999999999</v>
          </cell>
          <cell r="AD521">
            <v>0.39583325000000003</v>
          </cell>
          <cell r="AE521">
            <v>1808.95</v>
          </cell>
        </row>
        <row r="522">
          <cell r="A522" t="str">
            <v>0XPN397750</v>
          </cell>
          <cell r="B522">
            <v>2019</v>
          </cell>
          <cell r="C522" t="str">
            <v>Qtr 2</v>
          </cell>
          <cell r="D522" t="str">
            <v>April</v>
          </cell>
          <cell r="E522">
            <v>15</v>
          </cell>
          <cell r="F522" t="str">
            <v>CORRECTIVO</v>
          </cell>
          <cell r="G522">
            <v>1.066667</v>
          </cell>
          <cell r="H522" t="str">
            <v>Entry Production Color Low/Mid</v>
          </cell>
          <cell r="I522">
            <v>803</v>
          </cell>
          <cell r="J522">
            <v>1573</v>
          </cell>
          <cell r="K522">
            <v>0.2</v>
          </cell>
          <cell r="L522">
            <v>0.6</v>
          </cell>
          <cell r="M522">
            <v>0.8</v>
          </cell>
          <cell r="N522">
            <v>1.05</v>
          </cell>
          <cell r="O522">
            <v>1.1000000000000001</v>
          </cell>
          <cell r="P522">
            <v>1.1499999999999999</v>
          </cell>
          <cell r="Q522" t="str">
            <v>INTERIOR</v>
          </cell>
          <cell r="R522">
            <v>4</v>
          </cell>
          <cell r="S522">
            <v>6</v>
          </cell>
          <cell r="T522" t="str">
            <v>Otras</v>
          </cell>
          <cell r="U522" t="str">
            <v>Entry Production Color Low/Mid</v>
          </cell>
          <cell r="V522" t="str">
            <v>XEROX MEXICANA SA DE CV / XEROX MEXICANA</v>
          </cell>
          <cell r="W522" t="str">
            <v>QUERETARO</v>
          </cell>
          <cell r="X522">
            <v>2019</v>
          </cell>
          <cell r="Y522" t="str">
            <v>Qtr 2</v>
          </cell>
          <cell r="Z522" t="str">
            <v>April</v>
          </cell>
          <cell r="AA522">
            <v>16</v>
          </cell>
          <cell r="AB522">
            <v>96</v>
          </cell>
          <cell r="AC522">
            <v>1.1499999999999999</v>
          </cell>
          <cell r="AD522">
            <v>0.177777833333333</v>
          </cell>
          <cell r="AE522">
            <v>1808.95</v>
          </cell>
        </row>
        <row r="523">
          <cell r="A523" t="str">
            <v>0Y4X842970</v>
          </cell>
          <cell r="B523">
            <v>2019</v>
          </cell>
          <cell r="C523" t="str">
            <v>Qtr 2</v>
          </cell>
          <cell r="D523" t="str">
            <v>April</v>
          </cell>
          <cell r="E523">
            <v>15</v>
          </cell>
          <cell r="F523" t="str">
            <v>CORRECTIVO</v>
          </cell>
          <cell r="G523">
            <v>1.683333</v>
          </cell>
          <cell r="H523" t="str">
            <v>Office Digital</v>
          </cell>
          <cell r="I523">
            <v>655</v>
          </cell>
          <cell r="J523">
            <v>1365</v>
          </cell>
          <cell r="K523">
            <v>0</v>
          </cell>
          <cell r="L523">
            <v>0</v>
          </cell>
          <cell r="M523">
            <v>0.6</v>
          </cell>
          <cell r="N523">
            <v>0.8</v>
          </cell>
          <cell r="O523">
            <v>1.05</v>
          </cell>
          <cell r="P523">
            <v>1.1000000000000001</v>
          </cell>
          <cell r="Q523" t="str">
            <v>INTERIOR</v>
          </cell>
          <cell r="R523">
            <v>5</v>
          </cell>
          <cell r="S523">
            <v>9</v>
          </cell>
          <cell r="T523" t="str">
            <v>Ciudad principal</v>
          </cell>
          <cell r="U523" t="str">
            <v>Light Production Digital Business</v>
          </cell>
          <cell r="V523" t="str">
            <v>XEROX MEXICANA SA DE CV / XEROX MEXICANA</v>
          </cell>
          <cell r="W523" t="str">
            <v>GUANAJUATO</v>
          </cell>
          <cell r="X523">
            <v>2019</v>
          </cell>
          <cell r="Y523" t="str">
            <v>Qtr 2</v>
          </cell>
          <cell r="Z523" t="str">
            <v>April</v>
          </cell>
          <cell r="AA523">
            <v>16</v>
          </cell>
          <cell r="AB523">
            <v>26</v>
          </cell>
          <cell r="AC523">
            <v>0.8</v>
          </cell>
          <cell r="AD523">
            <v>0.33666659999999998</v>
          </cell>
          <cell r="AE523">
            <v>1092</v>
          </cell>
        </row>
        <row r="524">
          <cell r="A524" t="str">
            <v>03AG879544</v>
          </cell>
          <cell r="B524">
            <v>2019</v>
          </cell>
          <cell r="C524" t="str">
            <v>Qtr 2</v>
          </cell>
          <cell r="D524" t="str">
            <v>April</v>
          </cell>
          <cell r="E524">
            <v>16</v>
          </cell>
          <cell r="F524" t="str">
            <v>MANTENIMIENTO PREVENTIVO</v>
          </cell>
          <cell r="G524">
            <v>0</v>
          </cell>
          <cell r="H524" t="str">
            <v>Departmental Digital</v>
          </cell>
          <cell r="I524">
            <v>655</v>
          </cell>
          <cell r="J524">
            <v>1365</v>
          </cell>
          <cell r="K524">
            <v>0</v>
          </cell>
          <cell r="L524">
            <v>0</v>
          </cell>
          <cell r="M524">
            <v>0.6</v>
          </cell>
          <cell r="N524">
            <v>0.8</v>
          </cell>
          <cell r="O524">
            <v>1.05</v>
          </cell>
          <cell r="P524">
            <v>1.1000000000000001</v>
          </cell>
          <cell r="Q524" t="str">
            <v>INTERIOR</v>
          </cell>
          <cell r="R524">
            <v>5</v>
          </cell>
          <cell r="S524">
            <v>9</v>
          </cell>
          <cell r="T524" t="str">
            <v>Ciudad principal</v>
          </cell>
          <cell r="U524" t="str">
            <v>Light Production Digital Business</v>
          </cell>
          <cell r="V524" t="str">
            <v>XEROX MEXICANA SA DE CV / XEROX MEXICANA</v>
          </cell>
          <cell r="W524" t="str">
            <v>JALISCO</v>
          </cell>
          <cell r="X524">
            <v>2019</v>
          </cell>
          <cell r="Y524" t="str">
            <v>Qtr 2</v>
          </cell>
          <cell r="Z524" t="str">
            <v>April</v>
          </cell>
          <cell r="AA524">
            <v>16</v>
          </cell>
          <cell r="AB524">
            <v>4</v>
          </cell>
          <cell r="AC524">
            <v>0</v>
          </cell>
          <cell r="AD524">
            <v>0</v>
          </cell>
          <cell r="AE524">
            <v>1365</v>
          </cell>
        </row>
        <row r="525">
          <cell r="A525" t="str">
            <v>06HB014103</v>
          </cell>
          <cell r="B525">
            <v>2019</v>
          </cell>
          <cell r="C525" t="str">
            <v>Qtr 2</v>
          </cell>
          <cell r="D525" t="str">
            <v>April</v>
          </cell>
          <cell r="E525">
            <v>16</v>
          </cell>
          <cell r="F525" t="str">
            <v>CORRECTIVO</v>
          </cell>
          <cell r="G525">
            <v>0.78333339999999996</v>
          </cell>
          <cell r="H525" t="str">
            <v>Entry Mono Printers</v>
          </cell>
          <cell r="I525">
            <v>468</v>
          </cell>
          <cell r="J525">
            <v>715</v>
          </cell>
          <cell r="K525">
            <v>0</v>
          </cell>
          <cell r="L525">
            <v>0</v>
          </cell>
          <cell r="M525">
            <v>0</v>
          </cell>
          <cell r="N525">
            <v>0.6</v>
          </cell>
          <cell r="O525">
            <v>0.8</v>
          </cell>
          <cell r="P525">
            <v>1.05</v>
          </cell>
          <cell r="Q525" t="str">
            <v>INTERIOR</v>
          </cell>
          <cell r="R525">
            <v>5</v>
          </cell>
          <cell r="S525">
            <v>9</v>
          </cell>
          <cell r="T525" t="str">
            <v>Ciudad principal</v>
          </cell>
          <cell r="U525" t="str">
            <v>A4 Mono MFPs</v>
          </cell>
          <cell r="V525" t="str">
            <v>XEROX MEXICANA SA DE CV / XEROX MEXICANA</v>
          </cell>
          <cell r="W525" t="str">
            <v>NUEVO LEON</v>
          </cell>
          <cell r="X525">
            <v>2019</v>
          </cell>
          <cell r="Y525" t="str">
            <v>Qtr 2</v>
          </cell>
          <cell r="Z525" t="str">
            <v>April</v>
          </cell>
          <cell r="AA525">
            <v>16</v>
          </cell>
          <cell r="AB525">
            <v>126</v>
          </cell>
          <cell r="AC525">
            <v>1.05</v>
          </cell>
          <cell r="AD525">
            <v>0.15666668</v>
          </cell>
          <cell r="AE525">
            <v>750.75</v>
          </cell>
        </row>
        <row r="526">
          <cell r="A526" t="str">
            <v>0A1H021115</v>
          </cell>
          <cell r="B526">
            <v>2019</v>
          </cell>
          <cell r="C526" t="str">
            <v>Qtr 2</v>
          </cell>
          <cell r="D526" t="str">
            <v>April</v>
          </cell>
          <cell r="E526">
            <v>16</v>
          </cell>
          <cell r="F526" t="str">
            <v>CORRECTIVO</v>
          </cell>
          <cell r="G526">
            <v>2.4500000000000002</v>
          </cell>
          <cell r="H526" t="str">
            <v>WF Mono Systems and Legacy Color</v>
          </cell>
          <cell r="I526">
            <v>803</v>
          </cell>
          <cell r="J526">
            <v>1573</v>
          </cell>
          <cell r="K526">
            <v>0.2</v>
          </cell>
          <cell r="L526">
            <v>0.6</v>
          </cell>
          <cell r="M526">
            <v>0.8</v>
          </cell>
          <cell r="N526">
            <v>1.05</v>
          </cell>
          <cell r="O526">
            <v>1.1000000000000001</v>
          </cell>
          <cell r="P526">
            <v>1.1499999999999999</v>
          </cell>
          <cell r="Q526" t="str">
            <v>INTERIOR</v>
          </cell>
          <cell r="R526">
            <v>4</v>
          </cell>
          <cell r="S526">
            <v>6</v>
          </cell>
          <cell r="T526" t="str">
            <v>Ciudad principal</v>
          </cell>
          <cell r="U526" t="str">
            <v>WF Mono Systems and Legacy Color</v>
          </cell>
          <cell r="V526" t="str">
            <v>XEROX MEXICANA SA DE CV / XEROX MEXICANA</v>
          </cell>
          <cell r="W526" t="str">
            <v>COAHUILA</v>
          </cell>
          <cell r="X526">
            <v>2019</v>
          </cell>
          <cell r="Y526" t="str">
            <v>Qtr 2</v>
          </cell>
          <cell r="Z526" t="str">
            <v>April</v>
          </cell>
          <cell r="AA526">
            <v>24</v>
          </cell>
          <cell r="AB526">
            <v>50</v>
          </cell>
          <cell r="AC526">
            <v>1.1000000000000001</v>
          </cell>
          <cell r="AD526">
            <v>0.61250000000000004</v>
          </cell>
          <cell r="AE526">
            <v>1730.3</v>
          </cell>
        </row>
        <row r="527">
          <cell r="A527" t="str">
            <v>0A4T554111</v>
          </cell>
          <cell r="B527">
            <v>2019</v>
          </cell>
          <cell r="C527" t="str">
            <v>Qtr 2</v>
          </cell>
          <cell r="D527" t="str">
            <v>April</v>
          </cell>
          <cell r="E527">
            <v>16</v>
          </cell>
          <cell r="F527" t="str">
            <v>CORRECTIVO</v>
          </cell>
          <cell r="G527">
            <v>1.2833330000000001</v>
          </cell>
          <cell r="H527" t="str">
            <v>Entry Mono Printers</v>
          </cell>
          <cell r="I527">
            <v>468</v>
          </cell>
          <cell r="J527">
            <v>715</v>
          </cell>
          <cell r="K527">
            <v>0</v>
          </cell>
          <cell r="L527">
            <v>0</v>
          </cell>
          <cell r="M527">
            <v>0</v>
          </cell>
          <cell r="N527">
            <v>0.6</v>
          </cell>
          <cell r="O527">
            <v>0.8</v>
          </cell>
          <cell r="P527">
            <v>1.05</v>
          </cell>
          <cell r="Q527" t="str">
            <v>INTERIOR</v>
          </cell>
          <cell r="R527">
            <v>5</v>
          </cell>
          <cell r="S527">
            <v>9</v>
          </cell>
          <cell r="T527" t="str">
            <v>Ciudad principal</v>
          </cell>
          <cell r="U527" t="str">
            <v>A4 Mono MFPs</v>
          </cell>
          <cell r="V527" t="str">
            <v>XEROX MEXICANA SA DE CV / XEROX MEXICANA</v>
          </cell>
          <cell r="W527" t="str">
            <v>CHIHUAHUA</v>
          </cell>
          <cell r="X527">
            <v>2019</v>
          </cell>
          <cell r="Y527" t="str">
            <v>Qtr 2</v>
          </cell>
          <cell r="Z527" t="str">
            <v>April</v>
          </cell>
          <cell r="AA527">
            <v>16</v>
          </cell>
          <cell r="AB527">
            <v>62</v>
          </cell>
          <cell r="AC527">
            <v>1.05</v>
          </cell>
          <cell r="AD527">
            <v>0.25666660000000002</v>
          </cell>
          <cell r="AE527">
            <v>750.75</v>
          </cell>
        </row>
        <row r="528">
          <cell r="A528" t="str">
            <v>0A4T558879</v>
          </cell>
          <cell r="B528">
            <v>2019</v>
          </cell>
          <cell r="C528" t="str">
            <v>Qtr 2</v>
          </cell>
          <cell r="D528" t="str">
            <v>April</v>
          </cell>
          <cell r="E528">
            <v>16</v>
          </cell>
          <cell r="F528" t="str">
            <v>CORRECTIVO</v>
          </cell>
          <cell r="G528">
            <v>2.1666669999999999</v>
          </cell>
          <cell r="H528" t="str">
            <v>Entry Mono Printers</v>
          </cell>
          <cell r="I528">
            <v>468</v>
          </cell>
          <cell r="J528">
            <v>715</v>
          </cell>
          <cell r="K528">
            <v>0</v>
          </cell>
          <cell r="L528">
            <v>0</v>
          </cell>
          <cell r="M528">
            <v>0</v>
          </cell>
          <cell r="N528">
            <v>0.6</v>
          </cell>
          <cell r="O528">
            <v>0.8</v>
          </cell>
          <cell r="P528">
            <v>1.05</v>
          </cell>
          <cell r="Q528" t="str">
            <v>INTERIOR</v>
          </cell>
          <cell r="R528">
            <v>5</v>
          </cell>
          <cell r="S528">
            <v>9</v>
          </cell>
          <cell r="T528" t="str">
            <v>Ciudad principal</v>
          </cell>
          <cell r="U528" t="str">
            <v>A4 Mono MFPs</v>
          </cell>
          <cell r="V528" t="str">
            <v>XEROX MEXICANA SA DE CV / XEROX MEXICANA</v>
          </cell>
          <cell r="W528" t="str">
            <v>JALISCO</v>
          </cell>
          <cell r="X528">
            <v>2019</v>
          </cell>
          <cell r="Y528" t="str">
            <v>Qtr 2</v>
          </cell>
          <cell r="Z528" t="str">
            <v>April</v>
          </cell>
          <cell r="AA528">
            <v>22</v>
          </cell>
          <cell r="AB528">
            <v>61</v>
          </cell>
          <cell r="AC528">
            <v>1.05</v>
          </cell>
          <cell r="AD528">
            <v>0.43333339999999998</v>
          </cell>
          <cell r="AE528">
            <v>750.75</v>
          </cell>
        </row>
        <row r="529">
          <cell r="A529" t="str">
            <v>0AB9779149</v>
          </cell>
          <cell r="B529">
            <v>2019</v>
          </cell>
          <cell r="C529" t="str">
            <v>Qtr 2</v>
          </cell>
          <cell r="D529" t="str">
            <v>April</v>
          </cell>
          <cell r="E529">
            <v>16</v>
          </cell>
          <cell r="F529" t="str">
            <v>CORRECTIVO</v>
          </cell>
          <cell r="G529">
            <v>0.13333329999999999</v>
          </cell>
          <cell r="H529" t="str">
            <v>Color Laser Printers</v>
          </cell>
          <cell r="I529">
            <v>468</v>
          </cell>
          <cell r="J529">
            <v>715</v>
          </cell>
          <cell r="K529">
            <v>0</v>
          </cell>
          <cell r="L529">
            <v>0</v>
          </cell>
          <cell r="M529">
            <v>0</v>
          </cell>
          <cell r="N529">
            <v>0.6</v>
          </cell>
          <cell r="O529">
            <v>0.8</v>
          </cell>
          <cell r="P529">
            <v>1.05</v>
          </cell>
          <cell r="Q529" t="str">
            <v>INTERIOR</v>
          </cell>
          <cell r="R529">
            <v>5</v>
          </cell>
          <cell r="S529">
            <v>9</v>
          </cell>
          <cell r="T529" t="str">
            <v>Ciudad principal</v>
          </cell>
          <cell r="U529" t="str">
            <v>Departmental Digital</v>
          </cell>
          <cell r="V529" t="str">
            <v>XEROX MEXICANA SA DE CV / XEROX MEXICANA</v>
          </cell>
          <cell r="W529" t="str">
            <v>QUERETARO</v>
          </cell>
          <cell r="X529">
            <v>2019</v>
          </cell>
          <cell r="Y529" t="str">
            <v>Qtr 2</v>
          </cell>
          <cell r="Z529" t="str">
            <v>April</v>
          </cell>
          <cell r="AA529">
            <v>17</v>
          </cell>
          <cell r="AB529">
            <v>22</v>
          </cell>
          <cell r="AC529">
            <v>0.6</v>
          </cell>
          <cell r="AD529">
            <v>2.6666659999999998E-2</v>
          </cell>
          <cell r="AE529">
            <v>429</v>
          </cell>
        </row>
        <row r="530">
          <cell r="A530" t="str">
            <v>0BB1564112</v>
          </cell>
          <cell r="B530">
            <v>2019</v>
          </cell>
          <cell r="C530" t="str">
            <v>Qtr 2</v>
          </cell>
          <cell r="D530" t="str">
            <v>April</v>
          </cell>
          <cell r="E530">
            <v>16</v>
          </cell>
          <cell r="F530" t="str">
            <v>MANTENIMIENTO PREVENTIVO</v>
          </cell>
          <cell r="G530">
            <v>0</v>
          </cell>
          <cell r="H530" t="str">
            <v>A4 Mono MFPs</v>
          </cell>
          <cell r="I530">
            <v>468</v>
          </cell>
          <cell r="J530">
            <v>715</v>
          </cell>
          <cell r="K530">
            <v>0</v>
          </cell>
          <cell r="L530">
            <v>0</v>
          </cell>
          <cell r="M530">
            <v>0</v>
          </cell>
          <cell r="N530">
            <v>0.6</v>
          </cell>
          <cell r="O530">
            <v>0.8</v>
          </cell>
          <cell r="P530">
            <v>1.05</v>
          </cell>
          <cell r="Q530" t="str">
            <v>INTERIOR</v>
          </cell>
          <cell r="R530">
            <v>5</v>
          </cell>
          <cell r="S530">
            <v>9</v>
          </cell>
          <cell r="T530" t="str">
            <v>Ciudad principal</v>
          </cell>
          <cell r="U530" t="str">
            <v>A4 Mono MFPs</v>
          </cell>
          <cell r="V530" t="str">
            <v>XEROX MEXICANA SA DE CV / XEROX MEXICANA</v>
          </cell>
          <cell r="W530" t="str">
            <v>CHIHUAHUA</v>
          </cell>
          <cell r="X530">
            <v>2019</v>
          </cell>
          <cell r="Y530" t="str">
            <v>Qtr 2</v>
          </cell>
          <cell r="Z530" t="str">
            <v>April</v>
          </cell>
          <cell r="AA530">
            <v>23</v>
          </cell>
          <cell r="AB530">
            <v>41</v>
          </cell>
          <cell r="AC530">
            <v>0</v>
          </cell>
          <cell r="AD530">
            <v>0</v>
          </cell>
          <cell r="AE530">
            <v>715</v>
          </cell>
        </row>
        <row r="531">
          <cell r="A531" t="str">
            <v>0C4X003106</v>
          </cell>
          <cell r="B531">
            <v>2019</v>
          </cell>
          <cell r="C531" t="str">
            <v>Qtr 2</v>
          </cell>
          <cell r="D531" t="str">
            <v>April</v>
          </cell>
          <cell r="E531">
            <v>16</v>
          </cell>
          <cell r="F531" t="str">
            <v>CORRECTIVO</v>
          </cell>
          <cell r="G531">
            <v>0</v>
          </cell>
          <cell r="H531" t="str">
            <v>A4 Mono MFPs</v>
          </cell>
          <cell r="I531">
            <v>468</v>
          </cell>
          <cell r="J531">
            <v>715</v>
          </cell>
          <cell r="K531">
            <v>0</v>
          </cell>
          <cell r="L531">
            <v>0</v>
          </cell>
          <cell r="M531">
            <v>0</v>
          </cell>
          <cell r="N531">
            <v>0.6</v>
          </cell>
          <cell r="O531">
            <v>0.8</v>
          </cell>
          <cell r="P531">
            <v>1.05</v>
          </cell>
          <cell r="Q531" t="str">
            <v>INTERIOR</v>
          </cell>
          <cell r="R531">
            <v>5</v>
          </cell>
          <cell r="S531">
            <v>9</v>
          </cell>
          <cell r="T531" t="str">
            <v>Ciudad principal</v>
          </cell>
          <cell r="U531" t="str">
            <v>A4 Mono MFPs</v>
          </cell>
          <cell r="V531" t="str">
            <v>XEROX MEXICANA SA DE CV / XEROX MEXICANA</v>
          </cell>
          <cell r="W531" t="str">
            <v>CHIHUAHUA</v>
          </cell>
          <cell r="X531">
            <v>2019</v>
          </cell>
          <cell r="Y531" t="str">
            <v>Qtr 2</v>
          </cell>
          <cell r="Z531" t="str">
            <v>April</v>
          </cell>
          <cell r="AA531">
            <v>16</v>
          </cell>
          <cell r="AB531">
            <v>223</v>
          </cell>
          <cell r="AC531">
            <v>1.05</v>
          </cell>
          <cell r="AD531">
            <v>0</v>
          </cell>
          <cell r="AE531">
            <v>750.75</v>
          </cell>
        </row>
        <row r="532">
          <cell r="A532" t="str">
            <v>0C4X011365</v>
          </cell>
          <cell r="B532">
            <v>2019</v>
          </cell>
          <cell r="C532" t="str">
            <v>Qtr 2</v>
          </cell>
          <cell r="D532" t="str">
            <v>April</v>
          </cell>
          <cell r="E532">
            <v>16</v>
          </cell>
          <cell r="F532" t="str">
            <v>MANTENIMIENTO PREVENTIVO</v>
          </cell>
          <cell r="G532">
            <v>0</v>
          </cell>
          <cell r="H532" t="str">
            <v>A4 Mono MFPs</v>
          </cell>
          <cell r="I532">
            <v>468</v>
          </cell>
          <cell r="J532">
            <v>715</v>
          </cell>
          <cell r="K532">
            <v>0</v>
          </cell>
          <cell r="L532">
            <v>0</v>
          </cell>
          <cell r="M532">
            <v>0</v>
          </cell>
          <cell r="N532">
            <v>0.6</v>
          </cell>
          <cell r="O532">
            <v>0.8</v>
          </cell>
          <cell r="P532">
            <v>1.05</v>
          </cell>
          <cell r="Q532" t="str">
            <v>INTERIOR</v>
          </cell>
          <cell r="R532">
            <v>5</v>
          </cell>
          <cell r="S532">
            <v>9</v>
          </cell>
          <cell r="T532" t="str">
            <v>Ciudad principal</v>
          </cell>
          <cell r="U532" t="str">
            <v>A4 Mono MFPs</v>
          </cell>
          <cell r="V532" t="str">
            <v>XEROX MEXICANA SA DE CV / XEROX MEXICANA</v>
          </cell>
          <cell r="W532" t="str">
            <v>JALISCO</v>
          </cell>
          <cell r="X532">
            <v>2019</v>
          </cell>
          <cell r="Y532" t="str">
            <v>Qtr 2</v>
          </cell>
          <cell r="Z532" t="str">
            <v>April</v>
          </cell>
          <cell r="AA532">
            <v>16</v>
          </cell>
          <cell r="AB532">
            <v>1</v>
          </cell>
          <cell r="AC532">
            <v>0</v>
          </cell>
          <cell r="AD532">
            <v>0</v>
          </cell>
          <cell r="AE532">
            <v>715</v>
          </cell>
        </row>
        <row r="533">
          <cell r="A533" t="str">
            <v>0C7X371958</v>
          </cell>
          <cell r="B533">
            <v>2019</v>
          </cell>
          <cell r="C533" t="str">
            <v>Qtr 2</v>
          </cell>
          <cell r="D533" t="str">
            <v>April</v>
          </cell>
          <cell r="E533">
            <v>16</v>
          </cell>
          <cell r="F533" t="str">
            <v>MANTENIMIENTO PREVENTIVO</v>
          </cell>
          <cell r="G533">
            <v>0</v>
          </cell>
          <cell r="H533" t="str">
            <v>A4 Mono MFPs</v>
          </cell>
          <cell r="I533">
            <v>468</v>
          </cell>
          <cell r="J533">
            <v>715</v>
          </cell>
          <cell r="K533">
            <v>0</v>
          </cell>
          <cell r="L533">
            <v>0</v>
          </cell>
          <cell r="M533">
            <v>0</v>
          </cell>
          <cell r="N533">
            <v>0.6</v>
          </cell>
          <cell r="O533">
            <v>0.8</v>
          </cell>
          <cell r="P533">
            <v>1.05</v>
          </cell>
          <cell r="Q533" t="str">
            <v>INTERIOR</v>
          </cell>
          <cell r="R533">
            <v>5</v>
          </cell>
          <cell r="S533">
            <v>9</v>
          </cell>
          <cell r="T533" t="str">
            <v>Otras</v>
          </cell>
          <cell r="U533" t="str">
            <v>A4 Mono MFPs</v>
          </cell>
          <cell r="V533" t="str">
            <v>XEROX MEXICANA SA DE CV / XEROX MEXICANA</v>
          </cell>
          <cell r="W533" t="str">
            <v>COAHUILA</v>
          </cell>
          <cell r="X533">
            <v>2019</v>
          </cell>
          <cell r="Y533" t="str">
            <v>Qtr 2</v>
          </cell>
          <cell r="Z533" t="str">
            <v>April</v>
          </cell>
          <cell r="AA533">
            <v>16</v>
          </cell>
          <cell r="AB533">
            <v>1</v>
          </cell>
          <cell r="AC533">
            <v>0</v>
          </cell>
          <cell r="AD533">
            <v>0</v>
          </cell>
          <cell r="AE533">
            <v>715</v>
          </cell>
        </row>
        <row r="534">
          <cell r="A534" t="str">
            <v>0D6X469486</v>
          </cell>
          <cell r="B534">
            <v>2019</v>
          </cell>
          <cell r="C534" t="str">
            <v>Qtr 2</v>
          </cell>
          <cell r="D534" t="str">
            <v>April</v>
          </cell>
          <cell r="E534">
            <v>16</v>
          </cell>
          <cell r="F534" t="str">
            <v>CORRECTIVO</v>
          </cell>
          <cell r="G534">
            <v>0.38333329999999999</v>
          </cell>
          <cell r="H534" t="str">
            <v>Entry Mono Printers</v>
          </cell>
          <cell r="I534">
            <v>468</v>
          </cell>
          <cell r="J534">
            <v>715</v>
          </cell>
          <cell r="K534">
            <v>0</v>
          </cell>
          <cell r="L534">
            <v>0</v>
          </cell>
          <cell r="M534">
            <v>0</v>
          </cell>
          <cell r="N534">
            <v>0.6</v>
          </cell>
          <cell r="O534">
            <v>0.8</v>
          </cell>
          <cell r="P534">
            <v>1.05</v>
          </cell>
          <cell r="Q534" t="str">
            <v>INTERIOR</v>
          </cell>
          <cell r="R534">
            <v>5</v>
          </cell>
          <cell r="S534">
            <v>9</v>
          </cell>
          <cell r="T534" t="str">
            <v>Ciudad principal</v>
          </cell>
          <cell r="U534" t="str">
            <v>Entry Mono Printers</v>
          </cell>
          <cell r="V534" t="str">
            <v>XEROX MEXICANA SA DE CV / XEROX MEXICANA</v>
          </cell>
          <cell r="W534" t="str">
            <v>DURANGO</v>
          </cell>
          <cell r="X534">
            <v>2019</v>
          </cell>
          <cell r="Y534" t="str">
            <v>Qtr 2</v>
          </cell>
          <cell r="Z534" t="str">
            <v>April</v>
          </cell>
          <cell r="AA534">
            <v>17</v>
          </cell>
          <cell r="AB534">
            <v>50</v>
          </cell>
          <cell r="AC534">
            <v>0.8</v>
          </cell>
          <cell r="AD534">
            <v>7.6666659999999998E-2</v>
          </cell>
          <cell r="AE534">
            <v>572</v>
          </cell>
        </row>
        <row r="535">
          <cell r="A535" t="str">
            <v>0E2B666252</v>
          </cell>
          <cell r="B535">
            <v>2019</v>
          </cell>
          <cell r="C535" t="str">
            <v>Qtr 2</v>
          </cell>
          <cell r="D535" t="str">
            <v>April</v>
          </cell>
          <cell r="E535">
            <v>16</v>
          </cell>
          <cell r="F535" t="str">
            <v>CORRECTIVO</v>
          </cell>
          <cell r="G535">
            <v>1.3333330000000001</v>
          </cell>
          <cell r="H535" t="str">
            <v>Entry Production Color Low/Mid</v>
          </cell>
          <cell r="I535">
            <v>803</v>
          </cell>
          <cell r="J535">
            <v>1573</v>
          </cell>
          <cell r="K535">
            <v>0.2</v>
          </cell>
          <cell r="L535">
            <v>0.6</v>
          </cell>
          <cell r="M535">
            <v>0.8</v>
          </cell>
          <cell r="N535">
            <v>1.05</v>
          </cell>
          <cell r="O535">
            <v>1.1000000000000001</v>
          </cell>
          <cell r="P535">
            <v>1.1499999999999999</v>
          </cell>
          <cell r="Q535" t="str">
            <v>INTERIOR</v>
          </cell>
          <cell r="R535">
            <v>4</v>
          </cell>
          <cell r="S535">
            <v>6</v>
          </cell>
          <cell r="T535" t="str">
            <v>Ciudad principal</v>
          </cell>
          <cell r="U535" t="str">
            <v>Entry Production Color Low/Mid</v>
          </cell>
          <cell r="V535" t="str">
            <v>XEROX MEXICANA SA DE CV / XEROX MEXICANA</v>
          </cell>
          <cell r="W535" t="str">
            <v>GUANAJUATO</v>
          </cell>
          <cell r="X535">
            <v>2019</v>
          </cell>
          <cell r="Y535" t="str">
            <v>Qtr 2</v>
          </cell>
          <cell r="Z535" t="str">
            <v>April</v>
          </cell>
          <cell r="AA535">
            <v>16</v>
          </cell>
          <cell r="AB535">
            <v>133</v>
          </cell>
          <cell r="AC535">
            <v>1.1499999999999999</v>
          </cell>
          <cell r="AD535">
            <v>0.33333325000000003</v>
          </cell>
          <cell r="AE535">
            <v>1808.95</v>
          </cell>
        </row>
        <row r="536">
          <cell r="A536" t="str">
            <v>0EX9283410</v>
          </cell>
          <cell r="B536">
            <v>2019</v>
          </cell>
          <cell r="C536" t="str">
            <v>Qtr 2</v>
          </cell>
          <cell r="D536" t="str">
            <v>April</v>
          </cell>
          <cell r="E536">
            <v>16</v>
          </cell>
          <cell r="F536" t="str">
            <v>CORRECTIVO</v>
          </cell>
          <cell r="G536">
            <v>2.1666669999999999</v>
          </cell>
          <cell r="H536" t="str">
            <v>Departmental Digital</v>
          </cell>
          <cell r="I536">
            <v>655</v>
          </cell>
          <cell r="J536">
            <v>1365</v>
          </cell>
          <cell r="K536">
            <v>0</v>
          </cell>
          <cell r="L536">
            <v>0</v>
          </cell>
          <cell r="M536">
            <v>0.6</v>
          </cell>
          <cell r="N536">
            <v>0.8</v>
          </cell>
          <cell r="O536">
            <v>1.05</v>
          </cell>
          <cell r="P536">
            <v>1.1000000000000001</v>
          </cell>
          <cell r="Q536" t="str">
            <v>INTERIOR</v>
          </cell>
          <cell r="R536">
            <v>5</v>
          </cell>
          <cell r="S536">
            <v>9</v>
          </cell>
          <cell r="T536" t="str">
            <v>Ciudad principal</v>
          </cell>
          <cell r="U536" t="str">
            <v>Departmental Digital</v>
          </cell>
          <cell r="V536" t="str">
            <v>XEROX MEXICANA SA DE CV / XEROX MEXICANA</v>
          </cell>
          <cell r="W536" t="str">
            <v>GUANAJUATO</v>
          </cell>
          <cell r="X536">
            <v>2019</v>
          </cell>
          <cell r="Y536" t="str">
            <v>Qtr 2</v>
          </cell>
          <cell r="Z536" t="str">
            <v>April</v>
          </cell>
          <cell r="AA536">
            <v>18</v>
          </cell>
          <cell r="AB536">
            <v>36</v>
          </cell>
          <cell r="AC536">
            <v>1.05</v>
          </cell>
          <cell r="AD536">
            <v>0.43333339999999998</v>
          </cell>
          <cell r="AE536">
            <v>1433.25</v>
          </cell>
        </row>
        <row r="537">
          <cell r="A537" t="str">
            <v>0EX9293121</v>
          </cell>
          <cell r="B537">
            <v>2019</v>
          </cell>
          <cell r="C537" t="str">
            <v>Qtr 2</v>
          </cell>
          <cell r="D537" t="str">
            <v>April</v>
          </cell>
          <cell r="E537">
            <v>16</v>
          </cell>
          <cell r="F537" t="str">
            <v>CORRECTIVO</v>
          </cell>
          <cell r="G537">
            <v>3.1166670000000001</v>
          </cell>
          <cell r="H537" t="str">
            <v>Departmental Digital</v>
          </cell>
          <cell r="I537">
            <v>655</v>
          </cell>
          <cell r="J537">
            <v>1365</v>
          </cell>
          <cell r="K537">
            <v>0</v>
          </cell>
          <cell r="L537">
            <v>0</v>
          </cell>
          <cell r="M537">
            <v>0.6</v>
          </cell>
          <cell r="N537">
            <v>0.8</v>
          </cell>
          <cell r="O537">
            <v>1.05</v>
          </cell>
          <cell r="P537">
            <v>1.1000000000000001</v>
          </cell>
          <cell r="Q537" t="str">
            <v>INTERIOR</v>
          </cell>
          <cell r="R537">
            <v>5</v>
          </cell>
          <cell r="S537">
            <v>9</v>
          </cell>
          <cell r="T537" t="str">
            <v>Ciudad principal</v>
          </cell>
          <cell r="U537" t="str">
            <v>Departmental Digital</v>
          </cell>
          <cell r="V537" t="str">
            <v>XEROX MEXICANA SA DE CV / XEROX MEXICANA</v>
          </cell>
          <cell r="W537" t="str">
            <v>NUEVO LEON</v>
          </cell>
          <cell r="X537">
            <v>2019</v>
          </cell>
          <cell r="Y537" t="str">
            <v>Qtr 2</v>
          </cell>
          <cell r="Z537" t="str">
            <v>April</v>
          </cell>
          <cell r="AA537">
            <v>16</v>
          </cell>
          <cell r="AB537">
            <v>25</v>
          </cell>
          <cell r="AC537">
            <v>0.8</v>
          </cell>
          <cell r="AD537">
            <v>0.62333340000000004</v>
          </cell>
          <cell r="AE537">
            <v>1092</v>
          </cell>
        </row>
        <row r="538">
          <cell r="A538" t="str">
            <v>0EX9664404</v>
          </cell>
          <cell r="B538">
            <v>2019</v>
          </cell>
          <cell r="C538" t="str">
            <v>Qtr 2</v>
          </cell>
          <cell r="D538" t="str">
            <v>April</v>
          </cell>
          <cell r="E538">
            <v>16</v>
          </cell>
          <cell r="F538" t="str">
            <v>CORRECTIVO</v>
          </cell>
          <cell r="G538">
            <v>1.4</v>
          </cell>
          <cell r="H538" t="str">
            <v>Departmental Digital</v>
          </cell>
          <cell r="I538">
            <v>655</v>
          </cell>
          <cell r="J538">
            <v>1365</v>
          </cell>
          <cell r="K538">
            <v>0</v>
          </cell>
          <cell r="L538">
            <v>0</v>
          </cell>
          <cell r="M538">
            <v>0.6</v>
          </cell>
          <cell r="N538">
            <v>0.8</v>
          </cell>
          <cell r="O538">
            <v>1.05</v>
          </cell>
          <cell r="P538">
            <v>1.1000000000000001</v>
          </cell>
          <cell r="Q538" t="str">
            <v>INTERIOR</v>
          </cell>
          <cell r="R538">
            <v>5</v>
          </cell>
          <cell r="S538">
            <v>9</v>
          </cell>
          <cell r="T538" t="str">
            <v>Ciudad principal</v>
          </cell>
          <cell r="U538" t="str">
            <v>Departmental Digital</v>
          </cell>
          <cell r="V538" t="str">
            <v>XEROX MEXICANA SA DE CV / XEROX MEXICANA</v>
          </cell>
          <cell r="W538" t="str">
            <v>JALISCO</v>
          </cell>
          <cell r="X538">
            <v>2019</v>
          </cell>
          <cell r="Y538" t="str">
            <v>Qtr 2</v>
          </cell>
          <cell r="Z538" t="str">
            <v>April</v>
          </cell>
          <cell r="AA538">
            <v>16</v>
          </cell>
          <cell r="AB538">
            <v>49</v>
          </cell>
          <cell r="AC538">
            <v>1.05</v>
          </cell>
          <cell r="AD538">
            <v>0.28000000000000003</v>
          </cell>
          <cell r="AE538">
            <v>1433.25</v>
          </cell>
        </row>
        <row r="539">
          <cell r="A539" t="str">
            <v>0EX9665193</v>
          </cell>
          <cell r="B539">
            <v>2019</v>
          </cell>
          <cell r="C539" t="str">
            <v>Qtr 2</v>
          </cell>
          <cell r="D539" t="str">
            <v>April</v>
          </cell>
          <cell r="E539">
            <v>16</v>
          </cell>
          <cell r="F539" t="str">
            <v>CORRECTIVO</v>
          </cell>
          <cell r="G539">
            <v>1.8</v>
          </cell>
          <cell r="H539" t="str">
            <v>Departmental Digital</v>
          </cell>
          <cell r="I539">
            <v>655</v>
          </cell>
          <cell r="J539">
            <v>1365</v>
          </cell>
          <cell r="K539">
            <v>0</v>
          </cell>
          <cell r="L539">
            <v>0</v>
          </cell>
          <cell r="M539">
            <v>0.6</v>
          </cell>
          <cell r="N539">
            <v>0.8</v>
          </cell>
          <cell r="O539">
            <v>1.05</v>
          </cell>
          <cell r="P539">
            <v>1.1000000000000001</v>
          </cell>
          <cell r="Q539" t="str">
            <v>INTERIOR</v>
          </cell>
          <cell r="R539">
            <v>5</v>
          </cell>
          <cell r="S539">
            <v>9</v>
          </cell>
          <cell r="T539" t="str">
            <v>Ciudad principal</v>
          </cell>
          <cell r="U539" t="str">
            <v>Departmental Digital</v>
          </cell>
          <cell r="V539" t="str">
            <v>XEROX MEXICANA SA DE CV / XEROX MEXICANA</v>
          </cell>
          <cell r="W539" t="str">
            <v>NUEVO LEON</v>
          </cell>
          <cell r="X539">
            <v>2019</v>
          </cell>
          <cell r="Y539" t="str">
            <v>Qtr 2</v>
          </cell>
          <cell r="Z539" t="str">
            <v>April</v>
          </cell>
          <cell r="AA539">
            <v>17</v>
          </cell>
          <cell r="AB539">
            <v>71</v>
          </cell>
          <cell r="AC539">
            <v>1.1000000000000001</v>
          </cell>
          <cell r="AD539">
            <v>0.36</v>
          </cell>
          <cell r="AE539">
            <v>1501.5</v>
          </cell>
        </row>
        <row r="540">
          <cell r="A540" t="str">
            <v>0EX9665373</v>
          </cell>
          <cell r="B540">
            <v>2019</v>
          </cell>
          <cell r="C540" t="str">
            <v>Qtr 2</v>
          </cell>
          <cell r="D540" t="str">
            <v>April</v>
          </cell>
          <cell r="E540">
            <v>16</v>
          </cell>
          <cell r="F540" t="str">
            <v>CORRECTIVO</v>
          </cell>
          <cell r="G540">
            <v>3.9666670000000002</v>
          </cell>
          <cell r="H540" t="str">
            <v>Departmental Digital</v>
          </cell>
          <cell r="I540">
            <v>655</v>
          </cell>
          <cell r="J540">
            <v>1365</v>
          </cell>
          <cell r="K540">
            <v>0</v>
          </cell>
          <cell r="L540">
            <v>0</v>
          </cell>
          <cell r="M540">
            <v>0.6</v>
          </cell>
          <cell r="N540">
            <v>0.8</v>
          </cell>
          <cell r="O540">
            <v>1.05</v>
          </cell>
          <cell r="P540">
            <v>1.1000000000000001</v>
          </cell>
          <cell r="Q540" t="str">
            <v>INTERIOR</v>
          </cell>
          <cell r="R540">
            <v>5</v>
          </cell>
          <cell r="S540">
            <v>9</v>
          </cell>
          <cell r="T540" t="str">
            <v>Ciudad principal</v>
          </cell>
          <cell r="U540" t="str">
            <v>Departmental Digital</v>
          </cell>
          <cell r="V540" t="str">
            <v>XEROX MEXICANA SA DE CV / XEROX MEXICANA</v>
          </cell>
          <cell r="W540" t="str">
            <v>GUANAJUATO</v>
          </cell>
          <cell r="X540">
            <v>2019</v>
          </cell>
          <cell r="Y540" t="str">
            <v>Qtr 2</v>
          </cell>
          <cell r="Z540" t="str">
            <v>April</v>
          </cell>
          <cell r="AA540">
            <v>16</v>
          </cell>
          <cell r="AB540">
            <v>27</v>
          </cell>
          <cell r="AC540">
            <v>0.8</v>
          </cell>
          <cell r="AD540">
            <v>0.79333339999999997</v>
          </cell>
          <cell r="AE540">
            <v>1092</v>
          </cell>
        </row>
        <row r="541">
          <cell r="A541" t="str">
            <v>0PW4111396</v>
          </cell>
          <cell r="B541">
            <v>2019</v>
          </cell>
          <cell r="C541" t="str">
            <v>Qtr 2</v>
          </cell>
          <cell r="D541" t="str">
            <v>April</v>
          </cell>
          <cell r="E541">
            <v>16</v>
          </cell>
          <cell r="F541" t="str">
            <v>CORRECTIVO</v>
          </cell>
          <cell r="G541">
            <v>2.4</v>
          </cell>
          <cell r="H541" t="str">
            <v>WF Mono Systems and Legacy Color</v>
          </cell>
          <cell r="I541">
            <v>803</v>
          </cell>
          <cell r="J541">
            <v>1573</v>
          </cell>
          <cell r="K541">
            <v>0.2</v>
          </cell>
          <cell r="L541">
            <v>0.6</v>
          </cell>
          <cell r="M541">
            <v>0.8</v>
          </cell>
          <cell r="N541">
            <v>1.05</v>
          </cell>
          <cell r="O541">
            <v>1.1000000000000001</v>
          </cell>
          <cell r="P541">
            <v>1.1499999999999999</v>
          </cell>
          <cell r="Q541" t="str">
            <v>INTERIOR</v>
          </cell>
          <cell r="R541">
            <v>4</v>
          </cell>
          <cell r="S541">
            <v>6</v>
          </cell>
          <cell r="T541" t="str">
            <v>Ciudad principal</v>
          </cell>
          <cell r="U541" t="str">
            <v>WF Mono Systems and Legacy Color</v>
          </cell>
          <cell r="V541" t="str">
            <v>XEROX MEXICANA SA DE CV / XEROX MEXICANA</v>
          </cell>
          <cell r="W541" t="str">
            <v>COAHUILA</v>
          </cell>
          <cell r="X541">
            <v>2019</v>
          </cell>
          <cell r="Y541" t="str">
            <v>Qtr 2</v>
          </cell>
          <cell r="Z541" t="str">
            <v>April</v>
          </cell>
          <cell r="AA541">
            <v>16</v>
          </cell>
          <cell r="AB541">
            <v>19</v>
          </cell>
          <cell r="AC541">
            <v>1.05</v>
          </cell>
          <cell r="AD541">
            <v>0.6</v>
          </cell>
          <cell r="AE541">
            <v>1651.65</v>
          </cell>
        </row>
        <row r="542">
          <cell r="A542" t="str">
            <v>0RXD138972</v>
          </cell>
          <cell r="B542">
            <v>2019</v>
          </cell>
          <cell r="C542" t="str">
            <v>Qtr 2</v>
          </cell>
          <cell r="D542" t="str">
            <v>April</v>
          </cell>
          <cell r="E542">
            <v>16</v>
          </cell>
          <cell r="F542" t="str">
            <v>CORRECTIVO</v>
          </cell>
          <cell r="G542">
            <v>0.63333329999999999</v>
          </cell>
          <cell r="H542" t="str">
            <v>Color Laser Printers</v>
          </cell>
          <cell r="I542">
            <v>468</v>
          </cell>
          <cell r="J542">
            <v>715</v>
          </cell>
          <cell r="K542">
            <v>0</v>
          </cell>
          <cell r="L542">
            <v>0</v>
          </cell>
          <cell r="M542">
            <v>0</v>
          </cell>
          <cell r="N542">
            <v>0.6</v>
          </cell>
          <cell r="O542">
            <v>0.8</v>
          </cell>
          <cell r="P542">
            <v>1.05</v>
          </cell>
          <cell r="Q542" t="str">
            <v>INTERIOR</v>
          </cell>
          <cell r="R542">
            <v>5</v>
          </cell>
          <cell r="S542">
            <v>9</v>
          </cell>
          <cell r="T542" t="str">
            <v>Ciudad principal</v>
          </cell>
          <cell r="U542" t="str">
            <v>A3 Office Color Laser MFPs</v>
          </cell>
          <cell r="V542" t="str">
            <v>XEROX MEXICANA SA DE CV / XEROX MEXICANA</v>
          </cell>
          <cell r="W542" t="str">
            <v>DURANGO</v>
          </cell>
          <cell r="X542">
            <v>2019</v>
          </cell>
          <cell r="Y542" t="str">
            <v>Qtr 2</v>
          </cell>
          <cell r="Z542" t="str">
            <v>April</v>
          </cell>
          <cell r="AA542">
            <v>25</v>
          </cell>
          <cell r="AB542">
            <v>55</v>
          </cell>
          <cell r="AC542">
            <v>0.8</v>
          </cell>
          <cell r="AD542">
            <v>0.12666665999999999</v>
          </cell>
          <cell r="AE542">
            <v>572</v>
          </cell>
        </row>
        <row r="543">
          <cell r="A543" t="str">
            <v>0UHA002009</v>
          </cell>
          <cell r="B543">
            <v>2019</v>
          </cell>
          <cell r="C543" t="str">
            <v>Qtr 2</v>
          </cell>
          <cell r="D543" t="str">
            <v>April</v>
          </cell>
          <cell r="E543">
            <v>16</v>
          </cell>
          <cell r="F543" t="str">
            <v>CORRECTIVO</v>
          </cell>
          <cell r="G543">
            <v>6.7166670000000002</v>
          </cell>
          <cell r="H543" t="str">
            <v>High End Cut Sheet</v>
          </cell>
          <cell r="I543">
            <v>1116</v>
          </cell>
          <cell r="J543">
            <v>2145</v>
          </cell>
          <cell r="K543">
            <v>0.6</v>
          </cell>
          <cell r="L543">
            <v>0.8</v>
          </cell>
          <cell r="M543">
            <v>1.05</v>
          </cell>
          <cell r="N543">
            <v>1.1000000000000001</v>
          </cell>
          <cell r="O543">
            <v>1.1499999999999999</v>
          </cell>
          <cell r="P543">
            <v>1.2</v>
          </cell>
          <cell r="Q543" t="str">
            <v>INTERIOR</v>
          </cell>
          <cell r="R543">
            <v>3</v>
          </cell>
          <cell r="S543">
            <v>6</v>
          </cell>
          <cell r="T543" t="str">
            <v>Ciudad principal</v>
          </cell>
          <cell r="U543" t="str">
            <v>High End Cut Sheet</v>
          </cell>
          <cell r="V543" t="str">
            <v>XEROX MEXICANA SA DE CV / XEROX MEXICANA</v>
          </cell>
          <cell r="W543" t="str">
            <v>JALISCO</v>
          </cell>
          <cell r="X543">
            <v>2019</v>
          </cell>
          <cell r="Y543" t="str">
            <v>Qtr 2</v>
          </cell>
          <cell r="Z543" t="str">
            <v>April</v>
          </cell>
          <cell r="AA543">
            <v>22</v>
          </cell>
          <cell r="AB543">
            <v>53</v>
          </cell>
          <cell r="AC543">
            <v>1.1499999999999999</v>
          </cell>
          <cell r="AD543">
            <v>2.2388889999999999</v>
          </cell>
          <cell r="AE543">
            <v>1802.39577375</v>
          </cell>
        </row>
        <row r="544">
          <cell r="A544" t="str">
            <v>0X76371424</v>
          </cell>
          <cell r="B544">
            <v>2019</v>
          </cell>
          <cell r="C544" t="str">
            <v>Qtr 2</v>
          </cell>
          <cell r="D544" t="str">
            <v>April</v>
          </cell>
          <cell r="E544">
            <v>16</v>
          </cell>
          <cell r="F544" t="str">
            <v>CORRECTIVO</v>
          </cell>
          <cell r="G544">
            <v>1.3666670000000001</v>
          </cell>
          <cell r="H544" t="str">
            <v>Departmental Digital</v>
          </cell>
          <cell r="I544">
            <v>655</v>
          </cell>
          <cell r="J544">
            <v>1365</v>
          </cell>
          <cell r="K544">
            <v>0</v>
          </cell>
          <cell r="L544">
            <v>0</v>
          </cell>
          <cell r="M544">
            <v>0.6</v>
          </cell>
          <cell r="N544">
            <v>0.8</v>
          </cell>
          <cell r="O544">
            <v>1.05</v>
          </cell>
          <cell r="P544">
            <v>1.1000000000000001</v>
          </cell>
          <cell r="Q544" t="str">
            <v>INTERIOR</v>
          </cell>
          <cell r="R544">
            <v>5</v>
          </cell>
          <cell r="S544">
            <v>9</v>
          </cell>
          <cell r="T544" t="str">
            <v>Ciudad principal</v>
          </cell>
          <cell r="U544" t="str">
            <v>Departmental Digital</v>
          </cell>
          <cell r="V544" t="str">
            <v>XEROX MEXICANA SA DE CV / XEROX MEXICANA</v>
          </cell>
          <cell r="W544" t="str">
            <v>JALISCO</v>
          </cell>
          <cell r="X544">
            <v>2019</v>
          </cell>
          <cell r="Y544" t="str">
            <v>Qtr 2</v>
          </cell>
          <cell r="Z544" t="str">
            <v>April</v>
          </cell>
          <cell r="AA544">
            <v>16</v>
          </cell>
          <cell r="AB544">
            <v>40</v>
          </cell>
          <cell r="AC544">
            <v>1.05</v>
          </cell>
          <cell r="AD544">
            <v>0.2733334</v>
          </cell>
          <cell r="AE544">
            <v>1433.25</v>
          </cell>
        </row>
        <row r="545">
          <cell r="A545" t="str">
            <v>0Y4X820694</v>
          </cell>
          <cell r="B545">
            <v>2019</v>
          </cell>
          <cell r="C545" t="str">
            <v>Qtr 2</v>
          </cell>
          <cell r="D545" t="str">
            <v>April</v>
          </cell>
          <cell r="E545">
            <v>16</v>
          </cell>
          <cell r="F545" t="str">
            <v>CORRECTIVO</v>
          </cell>
          <cell r="G545">
            <v>0</v>
          </cell>
          <cell r="H545" t="str">
            <v>Office Digital</v>
          </cell>
          <cell r="I545">
            <v>655</v>
          </cell>
          <cell r="J545">
            <v>1365</v>
          </cell>
          <cell r="K545">
            <v>0</v>
          </cell>
          <cell r="L545">
            <v>0</v>
          </cell>
          <cell r="M545">
            <v>0.6</v>
          </cell>
          <cell r="N545">
            <v>0.8</v>
          </cell>
          <cell r="O545">
            <v>1.05</v>
          </cell>
          <cell r="P545">
            <v>1.1000000000000001</v>
          </cell>
          <cell r="Q545" t="str">
            <v>INTERIOR</v>
          </cell>
          <cell r="R545">
            <v>5</v>
          </cell>
          <cell r="S545">
            <v>9</v>
          </cell>
          <cell r="T545" t="str">
            <v>Ciudad principal</v>
          </cell>
          <cell r="U545" t="str">
            <v>Light Production Digital Business</v>
          </cell>
          <cell r="V545" t="str">
            <v>XEROX MEXICANA SA DE CV / XEROX MEXICANA</v>
          </cell>
          <cell r="W545" t="str">
            <v>CHIHUAHUA</v>
          </cell>
          <cell r="X545">
            <v>2019</v>
          </cell>
          <cell r="Y545" t="str">
            <v>Qtr 2</v>
          </cell>
          <cell r="Z545" t="str">
            <v>April</v>
          </cell>
          <cell r="AA545">
            <v>24</v>
          </cell>
          <cell r="AB545">
            <v>39</v>
          </cell>
          <cell r="AC545">
            <v>1.05</v>
          </cell>
          <cell r="AD545">
            <v>0</v>
          </cell>
          <cell r="AE545">
            <v>1433.25</v>
          </cell>
        </row>
        <row r="546">
          <cell r="A546" t="str">
            <v>3RB705952</v>
          </cell>
          <cell r="B546">
            <v>2019</v>
          </cell>
          <cell r="C546" t="str">
            <v>Qtr 2</v>
          </cell>
          <cell r="D546" t="str">
            <v>April</v>
          </cell>
          <cell r="E546">
            <v>16</v>
          </cell>
          <cell r="F546" t="str">
            <v>CORRECTIVO</v>
          </cell>
          <cell r="G546">
            <v>1.8333330000000001</v>
          </cell>
          <cell r="H546" t="str">
            <v>A4 Color Laser MFPs</v>
          </cell>
          <cell r="I546">
            <v>468</v>
          </cell>
          <cell r="J546">
            <v>715</v>
          </cell>
          <cell r="K546">
            <v>0</v>
          </cell>
          <cell r="L546">
            <v>0</v>
          </cell>
          <cell r="M546">
            <v>0</v>
          </cell>
          <cell r="N546">
            <v>0.6</v>
          </cell>
          <cell r="O546">
            <v>0.8</v>
          </cell>
          <cell r="P546">
            <v>1.05</v>
          </cell>
          <cell r="Q546" t="str">
            <v>INTERIOR</v>
          </cell>
          <cell r="R546">
            <v>5</v>
          </cell>
          <cell r="S546">
            <v>9</v>
          </cell>
          <cell r="T546" t="str">
            <v>Otras</v>
          </cell>
          <cell r="U546" t="str">
            <v>A4 Color Laser MFPs</v>
          </cell>
          <cell r="V546" t="str">
            <v>XEROX MEXICANA SA DE CV / XEROX MEXICANA</v>
          </cell>
          <cell r="W546" t="str">
            <v>NUEVO LEON</v>
          </cell>
          <cell r="X546">
            <v>2019</v>
          </cell>
          <cell r="Y546" t="str">
            <v>Qtr 2</v>
          </cell>
          <cell r="Z546" t="str">
            <v>April</v>
          </cell>
          <cell r="AA546">
            <v>17</v>
          </cell>
          <cell r="AB546">
            <v>33</v>
          </cell>
          <cell r="AC546">
            <v>0.8</v>
          </cell>
          <cell r="AD546">
            <v>0.203703666666667</v>
          </cell>
          <cell r="AE546">
            <v>572</v>
          </cell>
        </row>
        <row r="547">
          <cell r="A547" t="str">
            <v>09HB321648</v>
          </cell>
          <cell r="B547">
            <v>2019</v>
          </cell>
          <cell r="C547" t="str">
            <v>Qtr 2</v>
          </cell>
          <cell r="D547" t="str">
            <v>April</v>
          </cell>
          <cell r="E547">
            <v>17</v>
          </cell>
          <cell r="F547" t="str">
            <v>CORRECTIVO</v>
          </cell>
          <cell r="G547">
            <v>1.266667</v>
          </cell>
          <cell r="H547" t="str">
            <v>A4 Mono MFPs</v>
          </cell>
          <cell r="I547">
            <v>468</v>
          </cell>
          <cell r="J547">
            <v>715</v>
          </cell>
          <cell r="K547">
            <v>0</v>
          </cell>
          <cell r="L547">
            <v>0</v>
          </cell>
          <cell r="M547">
            <v>0</v>
          </cell>
          <cell r="N547">
            <v>0.6</v>
          </cell>
          <cell r="O547">
            <v>0.8</v>
          </cell>
          <cell r="P547">
            <v>1.05</v>
          </cell>
          <cell r="Q547" t="str">
            <v>INTERIOR</v>
          </cell>
          <cell r="R547">
            <v>5</v>
          </cell>
          <cell r="S547">
            <v>9</v>
          </cell>
          <cell r="T547" t="str">
            <v>Ciudad principal</v>
          </cell>
          <cell r="U547" t="str">
            <v>A4 Mono MFPs</v>
          </cell>
          <cell r="V547" t="str">
            <v>XEROX MEXICANA SA DE CV / XEROX MEXICANA</v>
          </cell>
          <cell r="W547" t="str">
            <v>NUEVO LEON</v>
          </cell>
          <cell r="X547">
            <v>2019</v>
          </cell>
          <cell r="Y547" t="str">
            <v>Qtr 2</v>
          </cell>
          <cell r="Z547" t="str">
            <v>April</v>
          </cell>
          <cell r="AA547">
            <v>17</v>
          </cell>
          <cell r="AB547">
            <v>295</v>
          </cell>
          <cell r="AC547">
            <v>1.05</v>
          </cell>
          <cell r="AD547">
            <v>0.25333339999999999</v>
          </cell>
          <cell r="AE547">
            <v>750.75</v>
          </cell>
        </row>
        <row r="548">
          <cell r="A548" t="str">
            <v>09HB325909</v>
          </cell>
          <cell r="B548">
            <v>2019</v>
          </cell>
          <cell r="C548" t="str">
            <v>Qtr 2</v>
          </cell>
          <cell r="D548" t="str">
            <v>April</v>
          </cell>
          <cell r="E548">
            <v>17</v>
          </cell>
          <cell r="F548" t="str">
            <v>CORRECTIVO</v>
          </cell>
          <cell r="G548">
            <v>2.2000000000000002</v>
          </cell>
          <cell r="H548" t="str">
            <v>A4 Mono MFPs</v>
          </cell>
          <cell r="I548">
            <v>468</v>
          </cell>
          <cell r="J548">
            <v>715</v>
          </cell>
          <cell r="K548">
            <v>0</v>
          </cell>
          <cell r="L548">
            <v>0</v>
          </cell>
          <cell r="M548">
            <v>0</v>
          </cell>
          <cell r="N548">
            <v>0.6</v>
          </cell>
          <cell r="O548">
            <v>0.8</v>
          </cell>
          <cell r="P548">
            <v>1.05</v>
          </cell>
          <cell r="Q548" t="str">
            <v>INTERIOR</v>
          </cell>
          <cell r="R548">
            <v>5</v>
          </cell>
          <cell r="S548">
            <v>9</v>
          </cell>
          <cell r="T548" t="str">
            <v>Otras</v>
          </cell>
          <cell r="U548" t="str">
            <v>A4 Mono MFPs</v>
          </cell>
          <cell r="V548" t="str">
            <v>XEROX MEXICANA SA DE CV / XEROX MEXICANA</v>
          </cell>
          <cell r="W548" t="str">
            <v>NUEVO LEON</v>
          </cell>
          <cell r="X548">
            <v>2019</v>
          </cell>
          <cell r="Y548" t="str">
            <v>Qtr 2</v>
          </cell>
          <cell r="Z548" t="str">
            <v>April</v>
          </cell>
          <cell r="AA548">
            <v>17</v>
          </cell>
          <cell r="AB548">
            <v>91</v>
          </cell>
          <cell r="AC548">
            <v>1.05</v>
          </cell>
          <cell r="AD548">
            <v>0.24444444444444399</v>
          </cell>
          <cell r="AE548">
            <v>750.75</v>
          </cell>
        </row>
        <row r="549">
          <cell r="A549" t="str">
            <v>0A1H020675</v>
          </cell>
          <cell r="B549">
            <v>2019</v>
          </cell>
          <cell r="C549" t="str">
            <v>Qtr 2</v>
          </cell>
          <cell r="D549" t="str">
            <v>April</v>
          </cell>
          <cell r="E549">
            <v>17</v>
          </cell>
          <cell r="F549" t="str">
            <v>CORRECTIVO</v>
          </cell>
          <cell r="G549">
            <v>4.6333330000000004</v>
          </cell>
          <cell r="H549" t="str">
            <v>WF Mono Systems and Legacy Color</v>
          </cell>
          <cell r="I549">
            <v>803</v>
          </cell>
          <cell r="J549">
            <v>1573</v>
          </cell>
          <cell r="K549">
            <v>0.2</v>
          </cell>
          <cell r="L549">
            <v>0.6</v>
          </cell>
          <cell r="M549">
            <v>0.8</v>
          </cell>
          <cell r="N549">
            <v>1.05</v>
          </cell>
          <cell r="O549">
            <v>1.1000000000000001</v>
          </cell>
          <cell r="P549">
            <v>1.1499999999999999</v>
          </cell>
          <cell r="Q549" t="str">
            <v>INTERIOR</v>
          </cell>
          <cell r="R549">
            <v>4</v>
          </cell>
          <cell r="S549">
            <v>6</v>
          </cell>
          <cell r="T549" t="str">
            <v>Ciudad principal</v>
          </cell>
          <cell r="U549" t="str">
            <v>WF Mono Systems and Legacy Color</v>
          </cell>
          <cell r="V549" t="str">
            <v>XEROX MEXICANA SA DE CV / XEROX MEXICANA</v>
          </cell>
          <cell r="W549" t="str">
            <v>TAMAULIPAS</v>
          </cell>
          <cell r="X549">
            <v>2019</v>
          </cell>
          <cell r="Y549" t="str">
            <v>Qtr 2</v>
          </cell>
          <cell r="Z549" t="str">
            <v>April</v>
          </cell>
          <cell r="AA549">
            <v>18</v>
          </cell>
          <cell r="AB549">
            <v>8</v>
          </cell>
          <cell r="AC549">
            <v>0.8</v>
          </cell>
          <cell r="AD549">
            <v>1.1583332500000001</v>
          </cell>
          <cell r="AE549">
            <v>1196.1354494375</v>
          </cell>
        </row>
        <row r="550">
          <cell r="A550" t="str">
            <v>0A2T200060</v>
          </cell>
          <cell r="B550">
            <v>2019</v>
          </cell>
          <cell r="C550" t="str">
            <v>Qtr 2</v>
          </cell>
          <cell r="D550" t="str">
            <v>April</v>
          </cell>
          <cell r="E550">
            <v>17</v>
          </cell>
          <cell r="F550" t="str">
            <v>CORRECTIVO</v>
          </cell>
          <cell r="G550">
            <v>3.1333329999999999</v>
          </cell>
          <cell r="H550" t="str">
            <v>A4 Mono MFPs</v>
          </cell>
          <cell r="I550">
            <v>468</v>
          </cell>
          <cell r="J550">
            <v>715</v>
          </cell>
          <cell r="K550">
            <v>0</v>
          </cell>
          <cell r="L550">
            <v>0</v>
          </cell>
          <cell r="M550">
            <v>0</v>
          </cell>
          <cell r="N550">
            <v>0.6</v>
          </cell>
          <cell r="O550">
            <v>0.8</v>
          </cell>
          <cell r="P550">
            <v>1.05</v>
          </cell>
          <cell r="Q550" t="str">
            <v>INTERIOR</v>
          </cell>
          <cell r="R550">
            <v>5</v>
          </cell>
          <cell r="S550">
            <v>9</v>
          </cell>
          <cell r="T550" t="str">
            <v>Ciudad principal</v>
          </cell>
          <cell r="U550" t="str">
            <v>A4 Mono MFPs</v>
          </cell>
          <cell r="V550" t="str">
            <v>XEROX MEXICANA SA DE CV / XEROX MEXICANA</v>
          </cell>
          <cell r="W550" t="str">
            <v>JALISCO</v>
          </cell>
          <cell r="X550">
            <v>2019</v>
          </cell>
          <cell r="Y550" t="str">
            <v>Qtr 2</v>
          </cell>
          <cell r="Z550" t="str">
            <v>April</v>
          </cell>
          <cell r="AA550">
            <v>17</v>
          </cell>
          <cell r="AB550">
            <v>167</v>
          </cell>
          <cell r="AC550">
            <v>1.05</v>
          </cell>
          <cell r="AD550">
            <v>0.62666659999999996</v>
          </cell>
          <cell r="AE550">
            <v>750.75</v>
          </cell>
        </row>
        <row r="551">
          <cell r="A551" t="str">
            <v>0A4T037736</v>
          </cell>
          <cell r="B551">
            <v>2019</v>
          </cell>
          <cell r="C551" t="str">
            <v>Qtr 2</v>
          </cell>
          <cell r="D551" t="str">
            <v>April</v>
          </cell>
          <cell r="E551">
            <v>17</v>
          </cell>
          <cell r="F551" t="str">
            <v>CORRECTIVO</v>
          </cell>
          <cell r="G551">
            <v>3.75</v>
          </cell>
          <cell r="I551" t="str">
            <v>NA</v>
          </cell>
          <cell r="J551" t="str">
            <v>NA</v>
          </cell>
          <cell r="K551" t="str">
            <v>NA</v>
          </cell>
          <cell r="L551" t="str">
            <v>NA</v>
          </cell>
          <cell r="M551" t="str">
            <v>NA</v>
          </cell>
          <cell r="N551" t="str">
            <v>NA</v>
          </cell>
          <cell r="O551" t="str">
            <v>NA</v>
          </cell>
          <cell r="P551" t="str">
            <v>NA</v>
          </cell>
          <cell r="R551" t="str">
            <v>NA</v>
          </cell>
          <cell r="S551" t="str">
            <v>NA</v>
          </cell>
          <cell r="U551" t="str">
            <v>A4 Mono MFPs</v>
          </cell>
          <cell r="V551" t="str">
            <v>XEROX MEXICANA SA DE CV / XEROX MEXICANA</v>
          </cell>
          <cell r="W551" t="str">
            <v>JALISCO</v>
          </cell>
          <cell r="X551">
            <v>2019</v>
          </cell>
          <cell r="Y551" t="str">
            <v>Qtr 2</v>
          </cell>
          <cell r="Z551" t="str">
            <v>April</v>
          </cell>
          <cell r="AA551">
            <v>17</v>
          </cell>
          <cell r="AB551">
            <v>119</v>
          </cell>
          <cell r="AC551">
            <v>1.1000000000000001</v>
          </cell>
          <cell r="AD551">
            <v>0</v>
          </cell>
          <cell r="AE551">
            <v>750.75</v>
          </cell>
        </row>
        <row r="552">
          <cell r="A552" t="str">
            <v>0A4T558166</v>
          </cell>
          <cell r="B552">
            <v>2019</v>
          </cell>
          <cell r="C552" t="str">
            <v>Qtr 2</v>
          </cell>
          <cell r="D552" t="str">
            <v>April</v>
          </cell>
          <cell r="E552">
            <v>17</v>
          </cell>
          <cell r="F552" t="str">
            <v>CORRECTIVO</v>
          </cell>
          <cell r="G552">
            <v>3.6833330000000002</v>
          </cell>
          <cell r="H552" t="str">
            <v>Entry Mono Printers</v>
          </cell>
          <cell r="I552">
            <v>468</v>
          </cell>
          <cell r="J552">
            <v>715</v>
          </cell>
          <cell r="K552">
            <v>0</v>
          </cell>
          <cell r="L552">
            <v>0</v>
          </cell>
          <cell r="M552">
            <v>0</v>
          </cell>
          <cell r="N552">
            <v>0.6</v>
          </cell>
          <cell r="O552">
            <v>0.8</v>
          </cell>
          <cell r="P552">
            <v>1.05</v>
          </cell>
          <cell r="Q552" t="str">
            <v>INTERIOR</v>
          </cell>
          <cell r="R552">
            <v>5</v>
          </cell>
          <cell r="S552">
            <v>9</v>
          </cell>
          <cell r="T552" t="str">
            <v>Ciudad principal</v>
          </cell>
          <cell r="U552" t="str">
            <v>A4 Mono MFPs</v>
          </cell>
          <cell r="V552" t="str">
            <v>XEROX MEXICANA SA DE CV / XEROX MEXICANA</v>
          </cell>
          <cell r="W552" t="str">
            <v>JALISCO</v>
          </cell>
          <cell r="X552">
            <v>2019</v>
          </cell>
          <cell r="Y552" t="str">
            <v>Qtr 2</v>
          </cell>
          <cell r="Z552" t="str">
            <v>April</v>
          </cell>
          <cell r="AA552">
            <v>17</v>
          </cell>
          <cell r="AB552">
            <v>7</v>
          </cell>
          <cell r="AC552">
            <v>0</v>
          </cell>
          <cell r="AD552">
            <v>0.73666659999999995</v>
          </cell>
          <cell r="AE552">
            <v>0</v>
          </cell>
        </row>
        <row r="553">
          <cell r="A553" t="str">
            <v>0B2R090061</v>
          </cell>
          <cell r="B553">
            <v>2019</v>
          </cell>
          <cell r="C553" t="str">
            <v>Qtr 2</v>
          </cell>
          <cell r="D553" t="str">
            <v>April</v>
          </cell>
          <cell r="E553">
            <v>17</v>
          </cell>
          <cell r="F553" t="str">
            <v>CORRECTIVO</v>
          </cell>
          <cell r="G553">
            <v>1.233333</v>
          </cell>
          <cell r="H553" t="str">
            <v>Entry Production Color Low/Mid</v>
          </cell>
          <cell r="I553">
            <v>803</v>
          </cell>
          <cell r="J553">
            <v>1573</v>
          </cell>
          <cell r="K553">
            <v>0.2</v>
          </cell>
          <cell r="L553">
            <v>0.6</v>
          </cell>
          <cell r="M553">
            <v>0.8</v>
          </cell>
          <cell r="N553">
            <v>1.05</v>
          </cell>
          <cell r="O553">
            <v>1.1000000000000001</v>
          </cell>
          <cell r="P553">
            <v>1.1499999999999999</v>
          </cell>
          <cell r="Q553" t="str">
            <v>INTERIOR</v>
          </cell>
          <cell r="R553">
            <v>4</v>
          </cell>
          <cell r="S553">
            <v>6</v>
          </cell>
          <cell r="T553" t="str">
            <v>Ciudad principal</v>
          </cell>
          <cell r="U553" t="str">
            <v>High End Cut Sheet</v>
          </cell>
          <cell r="V553" t="str">
            <v>XEROX MEXICANA SA DE CV / XEROX MEXICANA</v>
          </cell>
          <cell r="W553" t="str">
            <v>NUEVO LEON</v>
          </cell>
          <cell r="X553">
            <v>2019</v>
          </cell>
          <cell r="Y553" t="str">
            <v>Qtr 2</v>
          </cell>
          <cell r="Z553" t="str">
            <v>April</v>
          </cell>
          <cell r="AA553">
            <v>17</v>
          </cell>
          <cell r="AB553">
            <v>9</v>
          </cell>
          <cell r="AC553">
            <v>0.8</v>
          </cell>
          <cell r="AD553">
            <v>0.30833325</v>
          </cell>
          <cell r="AE553">
            <v>1258.4000000000001</v>
          </cell>
        </row>
        <row r="554">
          <cell r="A554" t="str">
            <v>0BB1265406</v>
          </cell>
          <cell r="B554">
            <v>2019</v>
          </cell>
          <cell r="C554" t="str">
            <v>Qtr 2</v>
          </cell>
          <cell r="D554" t="str">
            <v>April</v>
          </cell>
          <cell r="E554">
            <v>17</v>
          </cell>
          <cell r="F554" t="str">
            <v>CORRECTIVO</v>
          </cell>
          <cell r="G554">
            <v>2.0499999999999998</v>
          </cell>
          <cell r="H554" t="str">
            <v>A4 Mono MFPs</v>
          </cell>
          <cell r="I554">
            <v>468</v>
          </cell>
          <cell r="J554">
            <v>715</v>
          </cell>
          <cell r="K554">
            <v>0</v>
          </cell>
          <cell r="L554">
            <v>0</v>
          </cell>
          <cell r="M554">
            <v>0</v>
          </cell>
          <cell r="N554">
            <v>0.6</v>
          </cell>
          <cell r="O554">
            <v>0.8</v>
          </cell>
          <cell r="P554">
            <v>1.05</v>
          </cell>
          <cell r="Q554" t="str">
            <v>INTERIOR</v>
          </cell>
          <cell r="R554">
            <v>5</v>
          </cell>
          <cell r="S554">
            <v>9</v>
          </cell>
          <cell r="T554" t="str">
            <v>Ciudad principal</v>
          </cell>
          <cell r="U554" t="str">
            <v>A4 Mono MFPs</v>
          </cell>
          <cell r="V554" t="str">
            <v>XEROX MEXICANA SA DE CV / XEROX MEXICANA</v>
          </cell>
          <cell r="W554" t="str">
            <v>GUANAJUATO</v>
          </cell>
          <cell r="X554">
            <v>2019</v>
          </cell>
          <cell r="Y554" t="str">
            <v>Qtr 2</v>
          </cell>
          <cell r="Z554" t="str">
            <v>April</v>
          </cell>
          <cell r="AA554">
            <v>17</v>
          </cell>
          <cell r="AB554">
            <v>47</v>
          </cell>
          <cell r="AC554">
            <v>0.8</v>
          </cell>
          <cell r="AD554">
            <v>0.41</v>
          </cell>
          <cell r="AE554">
            <v>572</v>
          </cell>
        </row>
        <row r="555">
          <cell r="A555" t="str">
            <v>0BG0972374</v>
          </cell>
          <cell r="B555">
            <v>2019</v>
          </cell>
          <cell r="C555" t="str">
            <v>Qtr 2</v>
          </cell>
          <cell r="D555" t="str">
            <v>April</v>
          </cell>
          <cell r="E555">
            <v>17</v>
          </cell>
          <cell r="F555" t="str">
            <v>INSTALACION NUEVA</v>
          </cell>
          <cell r="G555">
            <v>0</v>
          </cell>
          <cell r="H555" t="str">
            <v>Light Production Digital Business</v>
          </cell>
          <cell r="I555">
            <v>803</v>
          </cell>
          <cell r="J555">
            <v>1573</v>
          </cell>
          <cell r="K555">
            <v>0.2</v>
          </cell>
          <cell r="L555">
            <v>0.6</v>
          </cell>
          <cell r="M555">
            <v>0.8</v>
          </cell>
          <cell r="N555">
            <v>1.05</v>
          </cell>
          <cell r="O555">
            <v>1.1000000000000001</v>
          </cell>
          <cell r="P555">
            <v>1.1499999999999999</v>
          </cell>
          <cell r="Q555" t="str">
            <v>INTERIOR</v>
          </cell>
          <cell r="R555">
            <v>4</v>
          </cell>
          <cell r="S555">
            <v>6</v>
          </cell>
          <cell r="T555" t="str">
            <v>Ciudad principal</v>
          </cell>
          <cell r="U555" t="str">
            <v>High End Cut Sheet</v>
          </cell>
          <cell r="V555" t="str">
            <v>XEROX MEXICANA SA DE CV / XEROX MEXICANA</v>
          </cell>
          <cell r="W555" t="str">
            <v>JALISCO</v>
          </cell>
          <cell r="X555">
            <v>2019</v>
          </cell>
          <cell r="Y555" t="str">
            <v>Qtr 2</v>
          </cell>
          <cell r="Z555" t="str">
            <v>April</v>
          </cell>
          <cell r="AA555">
            <v>23</v>
          </cell>
          <cell r="AB555">
            <v>58</v>
          </cell>
          <cell r="AC555">
            <v>0</v>
          </cell>
          <cell r="AD555">
            <v>0</v>
          </cell>
          <cell r="AE555">
            <v>1573</v>
          </cell>
        </row>
        <row r="556">
          <cell r="A556" t="str">
            <v>0BG2940928</v>
          </cell>
          <cell r="B556">
            <v>2019</v>
          </cell>
          <cell r="C556" t="str">
            <v>Qtr 2</v>
          </cell>
          <cell r="D556" t="str">
            <v>April</v>
          </cell>
          <cell r="E556">
            <v>17</v>
          </cell>
          <cell r="F556" t="str">
            <v>CORRECTIVO</v>
          </cell>
          <cell r="G556">
            <v>14.966670000000001</v>
          </cell>
          <cell r="H556" t="str">
            <v>Light Production Digital Business</v>
          </cell>
          <cell r="I556">
            <v>803</v>
          </cell>
          <cell r="J556">
            <v>1573</v>
          </cell>
          <cell r="K556">
            <v>0.2</v>
          </cell>
          <cell r="L556">
            <v>0.6</v>
          </cell>
          <cell r="M556">
            <v>0.8</v>
          </cell>
          <cell r="N556">
            <v>1.05</v>
          </cell>
          <cell r="O556">
            <v>1.1000000000000001</v>
          </cell>
          <cell r="P556">
            <v>1.1499999999999999</v>
          </cell>
          <cell r="Q556" t="str">
            <v>INTERIOR</v>
          </cell>
          <cell r="R556">
            <v>4</v>
          </cell>
          <cell r="S556">
            <v>6</v>
          </cell>
          <cell r="T556" t="str">
            <v>Ciudad principal</v>
          </cell>
          <cell r="U556" t="str">
            <v>High End Cut Sheet</v>
          </cell>
          <cell r="V556" t="str">
            <v>XEROX MEXICANA SA DE CV / XEROX MEXICANA</v>
          </cell>
          <cell r="W556" t="str">
            <v>JALISCO</v>
          </cell>
          <cell r="X556">
            <v>2019</v>
          </cell>
          <cell r="Y556" t="str">
            <v>Qtr 2</v>
          </cell>
          <cell r="Z556" t="str">
            <v>April</v>
          </cell>
          <cell r="AA556">
            <v>22</v>
          </cell>
          <cell r="AB556">
            <v>24</v>
          </cell>
          <cell r="AC556">
            <v>1.05</v>
          </cell>
          <cell r="AD556">
            <v>3.7416675000000001</v>
          </cell>
          <cell r="AE556">
            <v>78.650000000000105</v>
          </cell>
        </row>
        <row r="557">
          <cell r="A557" t="str">
            <v>0BG2945237</v>
          </cell>
          <cell r="B557">
            <v>2019</v>
          </cell>
          <cell r="C557" t="str">
            <v>Qtr 2</v>
          </cell>
          <cell r="D557" t="str">
            <v>April</v>
          </cell>
          <cell r="E557">
            <v>17</v>
          </cell>
          <cell r="F557" t="str">
            <v>CORRECTIVO</v>
          </cell>
          <cell r="G557">
            <v>1.183333</v>
          </cell>
          <cell r="H557" t="str">
            <v>Light Production Digital Business</v>
          </cell>
          <cell r="I557">
            <v>803</v>
          </cell>
          <cell r="J557">
            <v>1573</v>
          </cell>
          <cell r="K557">
            <v>0.2</v>
          </cell>
          <cell r="L557">
            <v>0.6</v>
          </cell>
          <cell r="M557">
            <v>0.8</v>
          </cell>
          <cell r="N557">
            <v>1.05</v>
          </cell>
          <cell r="O557">
            <v>1.1000000000000001</v>
          </cell>
          <cell r="P557">
            <v>1.1499999999999999</v>
          </cell>
          <cell r="Q557" t="str">
            <v>INTERIOR</v>
          </cell>
          <cell r="R557">
            <v>4</v>
          </cell>
          <cell r="S557">
            <v>6</v>
          </cell>
          <cell r="T557" t="str">
            <v>Ciudad principal</v>
          </cell>
          <cell r="U557" t="str">
            <v>High End Cut Sheet</v>
          </cell>
          <cell r="V557" t="str">
            <v>XEROX MEXICANA SA DE CV / XEROX MEXICANA</v>
          </cell>
          <cell r="W557" t="str">
            <v>TAMAULIPAS</v>
          </cell>
          <cell r="X557">
            <v>2019</v>
          </cell>
          <cell r="Y557" t="str">
            <v>Qtr 2</v>
          </cell>
          <cell r="Z557" t="str">
            <v>April</v>
          </cell>
          <cell r="AA557">
            <v>17</v>
          </cell>
          <cell r="AB557">
            <v>43</v>
          </cell>
          <cell r="AC557">
            <v>1.1000000000000001</v>
          </cell>
          <cell r="AD557">
            <v>0.29583324999999999</v>
          </cell>
          <cell r="AE557">
            <v>1730.3</v>
          </cell>
        </row>
        <row r="558">
          <cell r="A558" t="str">
            <v>0BG2948912</v>
          </cell>
          <cell r="B558">
            <v>2019</v>
          </cell>
          <cell r="C558" t="str">
            <v>Qtr 2</v>
          </cell>
          <cell r="D558" t="str">
            <v>April</v>
          </cell>
          <cell r="E558">
            <v>17</v>
          </cell>
          <cell r="F558" t="str">
            <v>CORRECTIVO</v>
          </cell>
          <cell r="G558">
            <v>1.983333</v>
          </cell>
          <cell r="H558" t="str">
            <v>Light Production Digital Business</v>
          </cell>
          <cell r="I558">
            <v>803</v>
          </cell>
          <cell r="J558">
            <v>1573</v>
          </cell>
          <cell r="K558">
            <v>0.2</v>
          </cell>
          <cell r="L558">
            <v>0.6</v>
          </cell>
          <cell r="M558">
            <v>0.8</v>
          </cell>
          <cell r="N558">
            <v>1.05</v>
          </cell>
          <cell r="O558">
            <v>1.1000000000000001</v>
          </cell>
          <cell r="P558">
            <v>1.1499999999999999</v>
          </cell>
          <cell r="Q558" t="str">
            <v>INTERIOR</v>
          </cell>
          <cell r="R558">
            <v>4</v>
          </cell>
          <cell r="S558">
            <v>6</v>
          </cell>
          <cell r="T558" t="str">
            <v>Ciudad principal</v>
          </cell>
          <cell r="U558" t="str">
            <v>High End Cut Sheet</v>
          </cell>
          <cell r="V558" t="str">
            <v>XEROX MEXICANA SA DE CV / XEROX MEXICANA</v>
          </cell>
          <cell r="W558" t="str">
            <v>TAMAULIPAS</v>
          </cell>
          <cell r="X558">
            <v>2019</v>
          </cell>
          <cell r="Y558" t="str">
            <v>Qtr 2</v>
          </cell>
          <cell r="Z558" t="str">
            <v>April</v>
          </cell>
          <cell r="AA558">
            <v>18</v>
          </cell>
          <cell r="AB558">
            <v>9</v>
          </cell>
          <cell r="AC558">
            <v>0.8</v>
          </cell>
          <cell r="AD558">
            <v>0.49583325</v>
          </cell>
          <cell r="AE558">
            <v>1258.4000000000001</v>
          </cell>
        </row>
        <row r="559">
          <cell r="A559" t="str">
            <v>0BG2949227</v>
          </cell>
          <cell r="B559">
            <v>2019</v>
          </cell>
          <cell r="C559" t="str">
            <v>Qtr 2</v>
          </cell>
          <cell r="D559" t="str">
            <v>April</v>
          </cell>
          <cell r="E559">
            <v>17</v>
          </cell>
          <cell r="F559" t="str">
            <v>CORRECTIVO</v>
          </cell>
          <cell r="G559">
            <v>1.2</v>
          </cell>
          <cell r="H559" t="str">
            <v>Light Production Digital Business</v>
          </cell>
          <cell r="I559">
            <v>803</v>
          </cell>
          <cell r="J559">
            <v>1573</v>
          </cell>
          <cell r="K559">
            <v>0.2</v>
          </cell>
          <cell r="L559">
            <v>0.6</v>
          </cell>
          <cell r="M559">
            <v>0.8</v>
          </cell>
          <cell r="N559">
            <v>1.05</v>
          </cell>
          <cell r="O559">
            <v>1.1000000000000001</v>
          </cell>
          <cell r="P559">
            <v>1.1499999999999999</v>
          </cell>
          <cell r="Q559" t="str">
            <v>INTERIOR</v>
          </cell>
          <cell r="R559">
            <v>4</v>
          </cell>
          <cell r="S559">
            <v>6</v>
          </cell>
          <cell r="T559" t="str">
            <v>Ciudad principal</v>
          </cell>
          <cell r="U559" t="str">
            <v>High End Cut Sheet</v>
          </cell>
          <cell r="V559" t="str">
            <v>XEROX MEXICANA SA DE CV / XEROX MEXICANA</v>
          </cell>
          <cell r="W559" t="str">
            <v>ESTADO DE MEXICO</v>
          </cell>
          <cell r="X559">
            <v>2019</v>
          </cell>
          <cell r="Y559" t="str">
            <v>Qtr 2</v>
          </cell>
          <cell r="Z559" t="str">
            <v>April</v>
          </cell>
          <cell r="AA559">
            <v>22</v>
          </cell>
          <cell r="AB559">
            <v>55</v>
          </cell>
          <cell r="AC559">
            <v>1.1000000000000001</v>
          </cell>
          <cell r="AD559">
            <v>0.3</v>
          </cell>
          <cell r="AE559">
            <v>1730.3</v>
          </cell>
        </row>
        <row r="560">
          <cell r="A560" t="str">
            <v>0BG2951623</v>
          </cell>
          <cell r="B560">
            <v>2019</v>
          </cell>
          <cell r="C560" t="str">
            <v>Qtr 2</v>
          </cell>
          <cell r="D560" t="str">
            <v>April</v>
          </cell>
          <cell r="E560">
            <v>17</v>
          </cell>
          <cell r="F560" t="str">
            <v>MANTENIMIENTO PREVENTIVO</v>
          </cell>
          <cell r="G560">
            <v>0</v>
          </cell>
          <cell r="H560" t="str">
            <v>Light Production Digital Business</v>
          </cell>
          <cell r="I560">
            <v>803</v>
          </cell>
          <cell r="J560">
            <v>1573</v>
          </cell>
          <cell r="K560">
            <v>0.2</v>
          </cell>
          <cell r="L560">
            <v>0.6</v>
          </cell>
          <cell r="M560">
            <v>0.8</v>
          </cell>
          <cell r="N560">
            <v>1.05</v>
          </cell>
          <cell r="O560">
            <v>1.1000000000000001</v>
          </cell>
          <cell r="P560">
            <v>1.1499999999999999</v>
          </cell>
          <cell r="Q560" t="str">
            <v>INTERIOR</v>
          </cell>
          <cell r="R560">
            <v>4</v>
          </cell>
          <cell r="S560">
            <v>6</v>
          </cell>
          <cell r="T560" t="str">
            <v>Ciudad principal</v>
          </cell>
          <cell r="U560" t="str">
            <v>High End Cut Sheet</v>
          </cell>
          <cell r="V560" t="str">
            <v>XEROX MEXICANA SA DE CV / XEROX MEXICANA</v>
          </cell>
          <cell r="W560" t="str">
            <v>TAMAULIPAS</v>
          </cell>
          <cell r="X560">
            <v>2019</v>
          </cell>
          <cell r="Y560" t="str">
            <v>Qtr 2</v>
          </cell>
          <cell r="Z560" t="str">
            <v>April</v>
          </cell>
          <cell r="AA560">
            <v>17</v>
          </cell>
          <cell r="AB560">
            <v>12</v>
          </cell>
          <cell r="AC560">
            <v>0</v>
          </cell>
          <cell r="AD560">
            <v>0</v>
          </cell>
          <cell r="AE560">
            <v>1573</v>
          </cell>
        </row>
        <row r="561">
          <cell r="A561" t="str">
            <v>0C7X273155</v>
          </cell>
          <cell r="B561">
            <v>2019</v>
          </cell>
          <cell r="C561" t="str">
            <v>Qtr 2</v>
          </cell>
          <cell r="D561" t="str">
            <v>April</v>
          </cell>
          <cell r="E561">
            <v>17</v>
          </cell>
          <cell r="F561" t="str">
            <v>CORRECTIVO</v>
          </cell>
          <cell r="G561">
            <v>0.71666660000000004</v>
          </cell>
          <cell r="H561" t="str">
            <v>A4 Mono MFPs</v>
          </cell>
          <cell r="I561">
            <v>468</v>
          </cell>
          <cell r="J561">
            <v>715</v>
          </cell>
          <cell r="K561">
            <v>0</v>
          </cell>
          <cell r="L561">
            <v>0</v>
          </cell>
          <cell r="M561">
            <v>0</v>
          </cell>
          <cell r="N561">
            <v>0.6</v>
          </cell>
          <cell r="O561">
            <v>0.8</v>
          </cell>
          <cell r="P561">
            <v>1.05</v>
          </cell>
          <cell r="Q561" t="str">
            <v>INTERIOR</v>
          </cell>
          <cell r="R561">
            <v>5</v>
          </cell>
          <cell r="S561">
            <v>9</v>
          </cell>
          <cell r="T561" t="str">
            <v>Ciudad principal</v>
          </cell>
          <cell r="U561" t="str">
            <v>A4 Mono MFPs</v>
          </cell>
          <cell r="V561" t="str">
            <v>XEROX MEXICANA SA DE CV / XEROX MEXICANA</v>
          </cell>
          <cell r="W561" t="str">
            <v>QUERETARO</v>
          </cell>
          <cell r="X561">
            <v>2019</v>
          </cell>
          <cell r="Y561" t="str">
            <v>Qtr 2</v>
          </cell>
          <cell r="Z561" t="str">
            <v>April</v>
          </cell>
          <cell r="AA561">
            <v>23</v>
          </cell>
          <cell r="AB561">
            <v>216</v>
          </cell>
          <cell r="AC561">
            <v>1.05</v>
          </cell>
          <cell r="AD561">
            <v>0.14333331999999999</v>
          </cell>
          <cell r="AE561">
            <v>750.75</v>
          </cell>
        </row>
        <row r="562">
          <cell r="A562" t="str">
            <v>0E2B106647</v>
          </cell>
          <cell r="B562">
            <v>2019</v>
          </cell>
          <cell r="C562" t="str">
            <v>Qtr 2</v>
          </cell>
          <cell r="D562" t="str">
            <v>April</v>
          </cell>
          <cell r="E562">
            <v>17</v>
          </cell>
          <cell r="F562" t="str">
            <v>CORRECTIVO</v>
          </cell>
          <cell r="G562">
            <v>2.233333</v>
          </cell>
          <cell r="H562" t="str">
            <v>Entry Production Color Low/Mid</v>
          </cell>
          <cell r="I562">
            <v>803</v>
          </cell>
          <cell r="J562">
            <v>1573</v>
          </cell>
          <cell r="K562">
            <v>0.2</v>
          </cell>
          <cell r="L562">
            <v>0.6</v>
          </cell>
          <cell r="M562">
            <v>0.8</v>
          </cell>
          <cell r="N562">
            <v>1.05</v>
          </cell>
          <cell r="O562">
            <v>1.1000000000000001</v>
          </cell>
          <cell r="P562">
            <v>1.1499999999999999</v>
          </cell>
          <cell r="Q562" t="str">
            <v>INTERIOR</v>
          </cell>
          <cell r="R562">
            <v>4</v>
          </cell>
          <cell r="S562">
            <v>6</v>
          </cell>
          <cell r="T562" t="str">
            <v>Ciudad principal</v>
          </cell>
          <cell r="U562" t="str">
            <v>Entry Production Color Low/Mid</v>
          </cell>
          <cell r="V562" t="str">
            <v>XEROX MEXICANA SA DE CV / XEROX MEXICANA</v>
          </cell>
          <cell r="W562" t="str">
            <v>JALISCO</v>
          </cell>
          <cell r="X562">
            <v>2019</v>
          </cell>
          <cell r="Y562" t="str">
            <v>Qtr 2</v>
          </cell>
          <cell r="Z562" t="str">
            <v>April</v>
          </cell>
          <cell r="AA562">
            <v>22</v>
          </cell>
          <cell r="AB562">
            <v>152</v>
          </cell>
          <cell r="AC562">
            <v>1.1499999999999999</v>
          </cell>
          <cell r="AD562">
            <v>0.55833325</v>
          </cell>
          <cell r="AE562">
            <v>1808.95</v>
          </cell>
        </row>
        <row r="563">
          <cell r="A563" t="str">
            <v>0E2B654080</v>
          </cell>
          <cell r="B563">
            <v>2019</v>
          </cell>
          <cell r="C563" t="str">
            <v>Qtr 2</v>
          </cell>
          <cell r="D563" t="str">
            <v>April</v>
          </cell>
          <cell r="E563">
            <v>17</v>
          </cell>
          <cell r="F563" t="str">
            <v>INSTALACION NUEVA</v>
          </cell>
          <cell r="G563">
            <v>0</v>
          </cell>
          <cell r="H563" t="str">
            <v>Entry Production Color Low/Mid</v>
          </cell>
          <cell r="I563">
            <v>803</v>
          </cell>
          <cell r="J563">
            <v>1573</v>
          </cell>
          <cell r="K563">
            <v>0.2</v>
          </cell>
          <cell r="L563">
            <v>0.6</v>
          </cell>
          <cell r="M563">
            <v>0.8</v>
          </cell>
          <cell r="N563">
            <v>1.05</v>
          </cell>
          <cell r="O563">
            <v>1.1000000000000001</v>
          </cell>
          <cell r="P563">
            <v>1.1499999999999999</v>
          </cell>
          <cell r="Q563" t="str">
            <v>INTERIOR</v>
          </cell>
          <cell r="R563">
            <v>4</v>
          </cell>
          <cell r="S563">
            <v>6</v>
          </cell>
          <cell r="T563" t="str">
            <v>Ciudad principal</v>
          </cell>
          <cell r="U563" t="str">
            <v>Entry Production Color Low/Mid</v>
          </cell>
          <cell r="V563" t="str">
            <v>XEROX MEXICANA SA DE CV / XEROX MEXICANA</v>
          </cell>
          <cell r="W563" t="str">
            <v>QUERETARO</v>
          </cell>
          <cell r="X563">
            <v>2019</v>
          </cell>
          <cell r="Y563" t="str">
            <v>Qtr 2</v>
          </cell>
          <cell r="Z563" t="str">
            <v>April</v>
          </cell>
          <cell r="AA563">
            <v>17</v>
          </cell>
          <cell r="AB563">
            <v>47</v>
          </cell>
          <cell r="AC563">
            <v>0</v>
          </cell>
          <cell r="AD563">
            <v>0</v>
          </cell>
          <cell r="AE563">
            <v>1573</v>
          </cell>
        </row>
        <row r="564">
          <cell r="A564" t="str">
            <v>0E2B656917</v>
          </cell>
          <cell r="B564">
            <v>2019</v>
          </cell>
          <cell r="C564" t="str">
            <v>Qtr 2</v>
          </cell>
          <cell r="D564" t="str">
            <v>April</v>
          </cell>
          <cell r="E564">
            <v>17</v>
          </cell>
          <cell r="F564" t="str">
            <v>CORRECTIVO</v>
          </cell>
          <cell r="G564">
            <v>1.05</v>
          </cell>
          <cell r="H564" t="str">
            <v>Entry Production Color Low/Mid</v>
          </cell>
          <cell r="I564">
            <v>803</v>
          </cell>
          <cell r="J564">
            <v>1573</v>
          </cell>
          <cell r="K564">
            <v>0.2</v>
          </cell>
          <cell r="L564">
            <v>0.6</v>
          </cell>
          <cell r="M564">
            <v>0.8</v>
          </cell>
          <cell r="N564">
            <v>1.05</v>
          </cell>
          <cell r="O564">
            <v>1.1000000000000001</v>
          </cell>
          <cell r="P564">
            <v>1.1499999999999999</v>
          </cell>
          <cell r="Q564" t="str">
            <v>INTERIOR</v>
          </cell>
          <cell r="R564">
            <v>4</v>
          </cell>
          <cell r="S564">
            <v>6</v>
          </cell>
          <cell r="T564" t="str">
            <v>Ciudad principal</v>
          </cell>
          <cell r="U564" t="str">
            <v>Entry Production Color Low/Mid</v>
          </cell>
          <cell r="V564" t="str">
            <v>XEROX MEXICANA SA DE CV / XEROX MEXICANA</v>
          </cell>
          <cell r="W564" t="str">
            <v>DURANGO</v>
          </cell>
          <cell r="X564">
            <v>2019</v>
          </cell>
          <cell r="Y564" t="str">
            <v>Qtr 2</v>
          </cell>
          <cell r="Z564" t="str">
            <v>April</v>
          </cell>
          <cell r="AA564">
            <v>17</v>
          </cell>
          <cell r="AB564">
            <v>43</v>
          </cell>
          <cell r="AC564">
            <v>1.1000000000000001</v>
          </cell>
          <cell r="AD564">
            <v>0.26250000000000001</v>
          </cell>
          <cell r="AE564">
            <v>1730.3</v>
          </cell>
        </row>
        <row r="565">
          <cell r="A565" t="str">
            <v>0E2B656929</v>
          </cell>
          <cell r="B565">
            <v>2019</v>
          </cell>
          <cell r="C565" t="str">
            <v>Qtr 2</v>
          </cell>
          <cell r="D565" t="str">
            <v>April</v>
          </cell>
          <cell r="E565">
            <v>17</v>
          </cell>
          <cell r="F565" t="str">
            <v>CORRECTIVO</v>
          </cell>
          <cell r="G565">
            <v>2.1333329999999999</v>
          </cell>
          <cell r="H565" t="str">
            <v>Entry Production Color Low/Mid</v>
          </cell>
          <cell r="I565">
            <v>803</v>
          </cell>
          <cell r="J565">
            <v>1573</v>
          </cell>
          <cell r="K565">
            <v>0.2</v>
          </cell>
          <cell r="L565">
            <v>0.6</v>
          </cell>
          <cell r="M565">
            <v>0.8</v>
          </cell>
          <cell r="N565">
            <v>1.05</v>
          </cell>
          <cell r="O565">
            <v>1.1000000000000001</v>
          </cell>
          <cell r="P565">
            <v>1.1499999999999999</v>
          </cell>
          <cell r="Q565" t="str">
            <v>INTERIOR</v>
          </cell>
          <cell r="R565">
            <v>4</v>
          </cell>
          <cell r="S565">
            <v>6</v>
          </cell>
          <cell r="T565" t="str">
            <v>Otras</v>
          </cell>
          <cell r="U565" t="str">
            <v>Entry Production Color Low/Mid</v>
          </cell>
          <cell r="V565" t="str">
            <v>XEROX MEXICANA SA DE CV / XEROX MEXICANA</v>
          </cell>
          <cell r="W565" t="str">
            <v>ESTADO DE MEXICO</v>
          </cell>
          <cell r="X565">
            <v>2019</v>
          </cell>
          <cell r="Y565" t="str">
            <v>Qtr 2</v>
          </cell>
          <cell r="Z565" t="str">
            <v>April</v>
          </cell>
          <cell r="AA565">
            <v>23</v>
          </cell>
          <cell r="AB565">
            <v>55</v>
          </cell>
          <cell r="AC565">
            <v>1.1000000000000001</v>
          </cell>
          <cell r="AD565">
            <v>0.35555550000000002</v>
          </cell>
          <cell r="AE565">
            <v>1730.3</v>
          </cell>
        </row>
        <row r="566">
          <cell r="A566" t="str">
            <v>0E2B665653</v>
          </cell>
          <cell r="B566">
            <v>2019</v>
          </cell>
          <cell r="C566" t="str">
            <v>Qtr 2</v>
          </cell>
          <cell r="D566" t="str">
            <v>April</v>
          </cell>
          <cell r="E566">
            <v>17</v>
          </cell>
          <cell r="F566" t="str">
            <v>INSTALACION NUEVA</v>
          </cell>
          <cell r="G566">
            <v>0</v>
          </cell>
          <cell r="H566" t="str">
            <v>Entry Production Color Low/Mid</v>
          </cell>
          <cell r="I566">
            <v>803</v>
          </cell>
          <cell r="J566">
            <v>1573</v>
          </cell>
          <cell r="K566">
            <v>0.2</v>
          </cell>
          <cell r="L566">
            <v>0.6</v>
          </cell>
          <cell r="M566">
            <v>0.8</v>
          </cell>
          <cell r="N566">
            <v>1.05</v>
          </cell>
          <cell r="O566">
            <v>1.1000000000000001</v>
          </cell>
          <cell r="P566">
            <v>1.1499999999999999</v>
          </cell>
          <cell r="Q566" t="str">
            <v>INTERIOR</v>
          </cell>
          <cell r="R566">
            <v>4</v>
          </cell>
          <cell r="S566">
            <v>6</v>
          </cell>
          <cell r="T566" t="str">
            <v>Ciudad principal</v>
          </cell>
          <cell r="U566" t="str">
            <v>Entry Production Color Low/Mid</v>
          </cell>
          <cell r="V566" t="str">
            <v>XEROX MEXICANA SA DE CV / XEROX MEXICANA</v>
          </cell>
          <cell r="W566" t="str">
            <v>JALISCO</v>
          </cell>
          <cell r="X566">
            <v>2019</v>
          </cell>
          <cell r="Y566" t="str">
            <v>Qtr 2</v>
          </cell>
          <cell r="Z566" t="str">
            <v>April</v>
          </cell>
          <cell r="AA566">
            <v>22</v>
          </cell>
          <cell r="AB566">
            <v>13</v>
          </cell>
          <cell r="AC566">
            <v>0</v>
          </cell>
          <cell r="AD566">
            <v>0</v>
          </cell>
          <cell r="AE566">
            <v>1573</v>
          </cell>
        </row>
        <row r="567">
          <cell r="A567" t="str">
            <v>0EX9293515</v>
          </cell>
          <cell r="B567">
            <v>2019</v>
          </cell>
          <cell r="C567" t="str">
            <v>Qtr 2</v>
          </cell>
          <cell r="D567" t="str">
            <v>April</v>
          </cell>
          <cell r="E567">
            <v>17</v>
          </cell>
          <cell r="F567" t="str">
            <v>CORRECTIVO</v>
          </cell>
          <cell r="G567">
            <v>0.98333329999999997</v>
          </cell>
          <cell r="H567" t="str">
            <v>Departmental Digital</v>
          </cell>
          <cell r="I567">
            <v>655</v>
          </cell>
          <cell r="J567">
            <v>1365</v>
          </cell>
          <cell r="K567">
            <v>0</v>
          </cell>
          <cell r="L567">
            <v>0</v>
          </cell>
          <cell r="M567">
            <v>0.6</v>
          </cell>
          <cell r="N567">
            <v>0.8</v>
          </cell>
          <cell r="O567">
            <v>1.05</v>
          </cell>
          <cell r="P567">
            <v>1.1000000000000001</v>
          </cell>
          <cell r="Q567" t="str">
            <v>INTERIOR</v>
          </cell>
          <cell r="R567">
            <v>5</v>
          </cell>
          <cell r="S567">
            <v>9</v>
          </cell>
          <cell r="T567" t="str">
            <v>Ciudad principal</v>
          </cell>
          <cell r="U567" t="str">
            <v>Departmental Digital</v>
          </cell>
          <cell r="V567" t="str">
            <v>XEROX MEXICANA SA DE CV / XEROX MEXICANA</v>
          </cell>
          <cell r="W567" t="str">
            <v>JALISCO</v>
          </cell>
          <cell r="X567">
            <v>2019</v>
          </cell>
          <cell r="Y567" t="str">
            <v>Qtr 2</v>
          </cell>
          <cell r="Z567" t="str">
            <v>April</v>
          </cell>
          <cell r="AA567">
            <v>17</v>
          </cell>
          <cell r="AB567">
            <v>6</v>
          </cell>
          <cell r="AC567">
            <v>0</v>
          </cell>
          <cell r="AD567">
            <v>0.19666665999999999</v>
          </cell>
          <cell r="AE567">
            <v>0</v>
          </cell>
        </row>
        <row r="568">
          <cell r="A568" t="str">
            <v>0EX9664404</v>
          </cell>
          <cell r="B568">
            <v>2019</v>
          </cell>
          <cell r="C568" t="str">
            <v>Qtr 2</v>
          </cell>
          <cell r="D568" t="str">
            <v>April</v>
          </cell>
          <cell r="E568">
            <v>17</v>
          </cell>
          <cell r="F568" t="str">
            <v>CORRECTIVO</v>
          </cell>
          <cell r="G568">
            <v>0.21666669999999999</v>
          </cell>
          <cell r="H568" t="str">
            <v>Departmental Digital</v>
          </cell>
          <cell r="I568">
            <v>655</v>
          </cell>
          <cell r="J568">
            <v>1365</v>
          </cell>
          <cell r="K568">
            <v>0</v>
          </cell>
          <cell r="L568">
            <v>0</v>
          </cell>
          <cell r="M568">
            <v>0.6</v>
          </cell>
          <cell r="N568">
            <v>0.8</v>
          </cell>
          <cell r="O568">
            <v>1.05</v>
          </cell>
          <cell r="P568">
            <v>1.1000000000000001</v>
          </cell>
          <cell r="Q568" t="str">
            <v>INTERIOR</v>
          </cell>
          <cell r="R568">
            <v>5</v>
          </cell>
          <cell r="S568">
            <v>9</v>
          </cell>
          <cell r="T568" t="str">
            <v>Ciudad principal</v>
          </cell>
          <cell r="U568" t="str">
            <v>Departmental Digital</v>
          </cell>
          <cell r="V568" t="str">
            <v>XEROX MEXICANA SA DE CV / XEROX MEXICANA</v>
          </cell>
          <cell r="W568" t="str">
            <v>JALISCO</v>
          </cell>
          <cell r="X568">
            <v>2019</v>
          </cell>
          <cell r="Y568" t="str">
            <v>Qtr 2</v>
          </cell>
          <cell r="Z568" t="str">
            <v>April</v>
          </cell>
          <cell r="AA568">
            <v>23</v>
          </cell>
          <cell r="AB568">
            <v>1</v>
          </cell>
          <cell r="AC568">
            <v>0</v>
          </cell>
          <cell r="AD568">
            <v>4.3333339999999998E-2</v>
          </cell>
          <cell r="AE568">
            <v>0</v>
          </cell>
        </row>
        <row r="569">
          <cell r="A569" t="str">
            <v>0LBP256981</v>
          </cell>
          <cell r="B569">
            <v>2019</v>
          </cell>
          <cell r="C569" t="str">
            <v>Qtr 2</v>
          </cell>
          <cell r="D569" t="str">
            <v>April</v>
          </cell>
          <cell r="E569">
            <v>17</v>
          </cell>
          <cell r="F569" t="str">
            <v>CORRECTIVO</v>
          </cell>
          <cell r="G569">
            <v>0.95</v>
          </cell>
          <cell r="H569" t="str">
            <v>A4 Mono MFPs</v>
          </cell>
          <cell r="I569">
            <v>468</v>
          </cell>
          <cell r="J569">
            <v>715</v>
          </cell>
          <cell r="K569">
            <v>0</v>
          </cell>
          <cell r="L569">
            <v>0</v>
          </cell>
          <cell r="M569">
            <v>0</v>
          </cell>
          <cell r="N569">
            <v>0.6</v>
          </cell>
          <cell r="O569">
            <v>0.8</v>
          </cell>
          <cell r="P569">
            <v>1.05</v>
          </cell>
          <cell r="Q569" t="str">
            <v>INTERIOR</v>
          </cell>
          <cell r="R569">
            <v>5</v>
          </cell>
          <cell r="S569">
            <v>9</v>
          </cell>
          <cell r="T569" t="str">
            <v>Ciudad principal</v>
          </cell>
          <cell r="U569" t="str">
            <v>A4 Mono MFPs</v>
          </cell>
          <cell r="V569" t="str">
            <v>XEROX MEXICANA SA DE CV / XEROX MEXICANA</v>
          </cell>
          <cell r="W569" t="str">
            <v>QUERETARO</v>
          </cell>
          <cell r="X569">
            <v>2019</v>
          </cell>
          <cell r="Y569" t="str">
            <v>Qtr 2</v>
          </cell>
          <cell r="Z569" t="str">
            <v>April</v>
          </cell>
          <cell r="AA569">
            <v>25</v>
          </cell>
          <cell r="AB569">
            <v>68</v>
          </cell>
          <cell r="AC569">
            <v>1.05</v>
          </cell>
          <cell r="AD569">
            <v>0.19</v>
          </cell>
          <cell r="AE569">
            <v>750.75</v>
          </cell>
        </row>
        <row r="570">
          <cell r="A570" t="str">
            <v>0X76092639</v>
          </cell>
          <cell r="B570">
            <v>2019</v>
          </cell>
          <cell r="C570" t="str">
            <v>Qtr 2</v>
          </cell>
          <cell r="D570" t="str">
            <v>April</v>
          </cell>
          <cell r="E570">
            <v>17</v>
          </cell>
          <cell r="F570" t="str">
            <v>CORRECTIVO</v>
          </cell>
          <cell r="G570">
            <v>2.8666670000000001</v>
          </cell>
          <cell r="I570" t="str">
            <v>NA</v>
          </cell>
          <cell r="J570" t="str">
            <v>NA</v>
          </cell>
          <cell r="K570" t="str">
            <v>NA</v>
          </cell>
          <cell r="L570" t="str">
            <v>NA</v>
          </cell>
          <cell r="M570" t="str">
            <v>NA</v>
          </cell>
          <cell r="N570" t="str">
            <v>NA</v>
          </cell>
          <cell r="O570" t="str">
            <v>NA</v>
          </cell>
          <cell r="P570" t="str">
            <v>NA</v>
          </cell>
          <cell r="R570" t="str">
            <v>NA</v>
          </cell>
          <cell r="S570" t="str">
            <v>NA</v>
          </cell>
          <cell r="U570" t="str">
            <v>Departmental Digital</v>
          </cell>
          <cell r="V570" t="str">
            <v>XEROX MEXICANA SA DE CV / XEROX MEXICANA</v>
          </cell>
          <cell r="W570" t="str">
            <v>JALISCO</v>
          </cell>
          <cell r="X570">
            <v>2019</v>
          </cell>
          <cell r="Y570" t="str">
            <v>Qtr 2</v>
          </cell>
          <cell r="Z570" t="str">
            <v>April</v>
          </cell>
          <cell r="AA570">
            <v>30</v>
          </cell>
          <cell r="AB570">
            <v>0</v>
          </cell>
          <cell r="AC570">
            <v>1.1000000000000001</v>
          </cell>
          <cell r="AD570">
            <v>0</v>
          </cell>
          <cell r="AE570">
            <v>1030.25</v>
          </cell>
        </row>
        <row r="571">
          <cell r="A571" t="str">
            <v>0X76092842</v>
          </cell>
          <cell r="B571">
            <v>2019</v>
          </cell>
          <cell r="C571" t="str">
            <v>Qtr 2</v>
          </cell>
          <cell r="D571" t="str">
            <v>April</v>
          </cell>
          <cell r="E571">
            <v>17</v>
          </cell>
          <cell r="F571" t="str">
            <v>CORRECTIVO</v>
          </cell>
          <cell r="G571">
            <v>1.5</v>
          </cell>
          <cell r="H571" t="str">
            <v>Departmental Digital</v>
          </cell>
          <cell r="I571">
            <v>655</v>
          </cell>
          <cell r="J571">
            <v>1365</v>
          </cell>
          <cell r="K571">
            <v>0</v>
          </cell>
          <cell r="L571">
            <v>0</v>
          </cell>
          <cell r="M571">
            <v>0.6</v>
          </cell>
          <cell r="N571">
            <v>0.8</v>
          </cell>
          <cell r="O571">
            <v>1.05</v>
          </cell>
          <cell r="P571">
            <v>1.1000000000000001</v>
          </cell>
          <cell r="Q571" t="str">
            <v>INTERIOR</v>
          </cell>
          <cell r="R571">
            <v>5</v>
          </cell>
          <cell r="S571">
            <v>9</v>
          </cell>
          <cell r="T571" t="str">
            <v>Ciudad principal</v>
          </cell>
          <cell r="U571" t="str">
            <v>Departmental Digital</v>
          </cell>
          <cell r="V571" t="str">
            <v>XEROX MEXICANA SA DE CV / XEROX MEXICANA</v>
          </cell>
          <cell r="W571" t="str">
            <v>JALISCO</v>
          </cell>
          <cell r="X571">
            <v>2019</v>
          </cell>
          <cell r="Y571" t="str">
            <v>Qtr 2</v>
          </cell>
          <cell r="Z571" t="str">
            <v>April</v>
          </cell>
          <cell r="AA571">
            <v>17</v>
          </cell>
          <cell r="AB571">
            <v>180</v>
          </cell>
          <cell r="AC571">
            <v>1.1000000000000001</v>
          </cell>
          <cell r="AD571">
            <v>0.3</v>
          </cell>
          <cell r="AE571">
            <v>1501.5</v>
          </cell>
        </row>
        <row r="572">
          <cell r="A572" t="str">
            <v>03AG880355</v>
          </cell>
          <cell r="B572">
            <v>2019</v>
          </cell>
          <cell r="C572" t="str">
            <v>Qtr 2</v>
          </cell>
          <cell r="D572" t="str">
            <v>April</v>
          </cell>
          <cell r="E572">
            <v>18</v>
          </cell>
          <cell r="F572" t="str">
            <v>CORRECTIVO</v>
          </cell>
          <cell r="G572">
            <v>1.1499999999999999</v>
          </cell>
          <cell r="H572" t="str">
            <v>Departmental Digital</v>
          </cell>
          <cell r="I572">
            <v>655</v>
          </cell>
          <cell r="J572">
            <v>1365</v>
          </cell>
          <cell r="K572">
            <v>0</v>
          </cell>
          <cell r="L572">
            <v>0</v>
          </cell>
          <cell r="M572">
            <v>0.6</v>
          </cell>
          <cell r="N572">
            <v>0.8</v>
          </cell>
          <cell r="O572">
            <v>1.05</v>
          </cell>
          <cell r="P572">
            <v>1.1000000000000001</v>
          </cell>
          <cell r="Q572" t="str">
            <v>INTERIOR</v>
          </cell>
          <cell r="R572">
            <v>5</v>
          </cell>
          <cell r="S572">
            <v>9</v>
          </cell>
          <cell r="T572" t="str">
            <v>Ciudad principal</v>
          </cell>
          <cell r="U572" t="str">
            <v>Light Production Digital Business</v>
          </cell>
          <cell r="V572" t="str">
            <v>XEROX MEXICANA SA DE CV / XEROX MEXICANA</v>
          </cell>
          <cell r="W572" t="str">
            <v>JALISCO</v>
          </cell>
          <cell r="X572">
            <v>2019</v>
          </cell>
          <cell r="Y572" t="str">
            <v>Qtr 2</v>
          </cell>
          <cell r="Z572" t="str">
            <v>April</v>
          </cell>
          <cell r="AA572">
            <v>18</v>
          </cell>
          <cell r="AB572">
            <v>3</v>
          </cell>
          <cell r="AC572">
            <v>0</v>
          </cell>
          <cell r="AD572">
            <v>0.23</v>
          </cell>
          <cell r="AE572">
            <v>0</v>
          </cell>
        </row>
        <row r="573">
          <cell r="A573" t="str">
            <v>06HB014103</v>
          </cell>
          <cell r="B573">
            <v>2019</v>
          </cell>
          <cell r="C573" t="str">
            <v>Qtr 2</v>
          </cell>
          <cell r="D573" t="str">
            <v>April</v>
          </cell>
          <cell r="E573">
            <v>18</v>
          </cell>
          <cell r="F573" t="str">
            <v>CORRECTIVO</v>
          </cell>
          <cell r="G573">
            <v>2.4500000000000002</v>
          </cell>
          <cell r="H573" t="str">
            <v>Entry Mono Printers</v>
          </cell>
          <cell r="I573">
            <v>468</v>
          </cell>
          <cell r="J573">
            <v>715</v>
          </cell>
          <cell r="K573">
            <v>0</v>
          </cell>
          <cell r="L573">
            <v>0</v>
          </cell>
          <cell r="M573">
            <v>0</v>
          </cell>
          <cell r="N573">
            <v>0.6</v>
          </cell>
          <cell r="O573">
            <v>0.8</v>
          </cell>
          <cell r="P573">
            <v>1.05</v>
          </cell>
          <cell r="Q573" t="str">
            <v>INTERIOR</v>
          </cell>
          <cell r="R573">
            <v>5</v>
          </cell>
          <cell r="S573">
            <v>9</v>
          </cell>
          <cell r="T573" t="str">
            <v>Ciudad principal</v>
          </cell>
          <cell r="U573" t="str">
            <v>A4 Mono MFPs</v>
          </cell>
          <cell r="V573" t="str">
            <v>XEROX MEXICANA SA DE CV / XEROX MEXICANA</v>
          </cell>
          <cell r="W573" t="str">
            <v>NUEVO LEON</v>
          </cell>
          <cell r="X573">
            <v>2019</v>
          </cell>
          <cell r="Y573" t="str">
            <v>Qtr 2</v>
          </cell>
          <cell r="Z573" t="str">
            <v>April</v>
          </cell>
          <cell r="AA573">
            <v>19</v>
          </cell>
          <cell r="AB573">
            <v>2</v>
          </cell>
          <cell r="AC573">
            <v>0</v>
          </cell>
          <cell r="AD573">
            <v>0.49</v>
          </cell>
          <cell r="AE573">
            <v>0</v>
          </cell>
        </row>
        <row r="574">
          <cell r="A574" t="str">
            <v>06TB449258</v>
          </cell>
          <cell r="B574">
            <v>2019</v>
          </cell>
          <cell r="C574" t="str">
            <v>Qtr 2</v>
          </cell>
          <cell r="D574" t="str">
            <v>April</v>
          </cell>
          <cell r="E574">
            <v>18</v>
          </cell>
          <cell r="F574" t="str">
            <v>CORRECTIVO</v>
          </cell>
          <cell r="G574">
            <v>0.65</v>
          </cell>
          <cell r="H574" t="str">
            <v>A3 Office Color Laser MFPs</v>
          </cell>
          <cell r="I574">
            <v>655</v>
          </cell>
          <cell r="J574">
            <v>1365</v>
          </cell>
          <cell r="K574">
            <v>0</v>
          </cell>
          <cell r="L574">
            <v>0</v>
          </cell>
          <cell r="M574">
            <v>0.6</v>
          </cell>
          <cell r="N574">
            <v>0.8</v>
          </cell>
          <cell r="O574">
            <v>1.05</v>
          </cell>
          <cell r="P574">
            <v>1.1000000000000001</v>
          </cell>
          <cell r="Q574" t="str">
            <v>INTERIOR</v>
          </cell>
          <cell r="R574">
            <v>5</v>
          </cell>
          <cell r="S574">
            <v>9</v>
          </cell>
          <cell r="T574" t="str">
            <v>Ciudad principal</v>
          </cell>
          <cell r="U574" t="str">
            <v>A3 Office Color Laser MFPs</v>
          </cell>
          <cell r="V574" t="str">
            <v>XEROX MEXICANA SA DE CV / XEROX MEXICANA</v>
          </cell>
          <cell r="W574" t="str">
            <v>TAMAULIPAS</v>
          </cell>
          <cell r="X574">
            <v>2019</v>
          </cell>
          <cell r="Y574" t="str">
            <v>Qtr 2</v>
          </cell>
          <cell r="Z574" t="str">
            <v>April</v>
          </cell>
          <cell r="AA574">
            <v>18</v>
          </cell>
          <cell r="AB574">
            <v>58</v>
          </cell>
          <cell r="AC574">
            <v>1.05</v>
          </cell>
          <cell r="AD574">
            <v>0.13</v>
          </cell>
          <cell r="AE574">
            <v>1433.25</v>
          </cell>
        </row>
        <row r="575">
          <cell r="A575" t="str">
            <v>0A1H020591</v>
          </cell>
          <cell r="B575">
            <v>2019</v>
          </cell>
          <cell r="C575" t="str">
            <v>Qtr 2</v>
          </cell>
          <cell r="D575" t="str">
            <v>April</v>
          </cell>
          <cell r="E575">
            <v>18</v>
          </cell>
          <cell r="F575" t="str">
            <v>CORRECTIVO</v>
          </cell>
          <cell r="G575">
            <v>3.1833330000000002</v>
          </cell>
          <cell r="H575" t="str">
            <v>WF Mono Systems and Legacy Color</v>
          </cell>
          <cell r="I575">
            <v>803</v>
          </cell>
          <cell r="J575">
            <v>1573</v>
          </cell>
          <cell r="K575">
            <v>0.2</v>
          </cell>
          <cell r="L575">
            <v>0.6</v>
          </cell>
          <cell r="M575">
            <v>0.8</v>
          </cell>
          <cell r="N575">
            <v>1.05</v>
          </cell>
          <cell r="O575">
            <v>1.1000000000000001</v>
          </cell>
          <cell r="P575">
            <v>1.1499999999999999</v>
          </cell>
          <cell r="Q575" t="str">
            <v>INTERIOR</v>
          </cell>
          <cell r="R575">
            <v>4</v>
          </cell>
          <cell r="S575">
            <v>6</v>
          </cell>
          <cell r="T575" t="str">
            <v>Ciudad principal</v>
          </cell>
          <cell r="U575" t="str">
            <v>WF Mono Systems and Legacy Color</v>
          </cell>
          <cell r="V575" t="str">
            <v>XEROX MEXICANA SA DE CV / XEROX MEXICANA</v>
          </cell>
          <cell r="W575" t="str">
            <v>MICHOACAN</v>
          </cell>
          <cell r="X575">
            <v>2019</v>
          </cell>
          <cell r="Y575" t="str">
            <v>Qtr 2</v>
          </cell>
          <cell r="Z575" t="str">
            <v>April</v>
          </cell>
          <cell r="AA575">
            <v>18</v>
          </cell>
          <cell r="AB575">
            <v>66</v>
          </cell>
          <cell r="AC575">
            <v>1.1499999999999999</v>
          </cell>
          <cell r="AD575">
            <v>0.79583325000000005</v>
          </cell>
          <cell r="AE575">
            <v>1808.95</v>
          </cell>
        </row>
        <row r="576">
          <cell r="A576" t="str">
            <v>0BG2939611</v>
          </cell>
          <cell r="B576">
            <v>2019</v>
          </cell>
          <cell r="C576" t="str">
            <v>Qtr 2</v>
          </cell>
          <cell r="D576" t="str">
            <v>April</v>
          </cell>
          <cell r="E576">
            <v>18</v>
          </cell>
          <cell r="F576" t="str">
            <v>MANTENIMIENTO PREVENTIVO</v>
          </cell>
          <cell r="G576">
            <v>0</v>
          </cell>
          <cell r="H576" t="str">
            <v>Light Production Digital Business</v>
          </cell>
          <cell r="I576">
            <v>803</v>
          </cell>
          <cell r="J576">
            <v>1573</v>
          </cell>
          <cell r="K576">
            <v>0.2</v>
          </cell>
          <cell r="L576">
            <v>0.6</v>
          </cell>
          <cell r="M576">
            <v>0.8</v>
          </cell>
          <cell r="N576">
            <v>1.05</v>
          </cell>
          <cell r="O576">
            <v>1.1000000000000001</v>
          </cell>
          <cell r="P576">
            <v>1.1499999999999999</v>
          </cell>
          <cell r="Q576" t="str">
            <v>INTERIOR</v>
          </cell>
          <cell r="R576">
            <v>4</v>
          </cell>
          <cell r="S576">
            <v>6</v>
          </cell>
          <cell r="T576" t="str">
            <v>Ciudad principal</v>
          </cell>
          <cell r="U576" t="str">
            <v>High End Cut Sheet</v>
          </cell>
          <cell r="V576" t="str">
            <v>XEROX MEXICANA SA DE CV / XEROX MEXICANA</v>
          </cell>
          <cell r="W576" t="str">
            <v>TAMAULIPAS</v>
          </cell>
          <cell r="X576">
            <v>2019</v>
          </cell>
          <cell r="Y576" t="str">
            <v>Qtr 2</v>
          </cell>
          <cell r="Z576" t="str">
            <v>April</v>
          </cell>
          <cell r="AA576">
            <v>18</v>
          </cell>
          <cell r="AB576">
            <v>7</v>
          </cell>
          <cell r="AC576">
            <v>0</v>
          </cell>
          <cell r="AD576">
            <v>0</v>
          </cell>
          <cell r="AE576">
            <v>1573</v>
          </cell>
        </row>
        <row r="577">
          <cell r="A577" t="str">
            <v>0BG2947152</v>
          </cell>
          <cell r="B577">
            <v>2019</v>
          </cell>
          <cell r="C577" t="str">
            <v>Qtr 2</v>
          </cell>
          <cell r="D577" t="str">
            <v>April</v>
          </cell>
          <cell r="E577">
            <v>18</v>
          </cell>
          <cell r="F577" t="str">
            <v>CORRECTIVO</v>
          </cell>
          <cell r="G577">
            <v>1.75</v>
          </cell>
          <cell r="H577" t="str">
            <v>Light Production Digital Business</v>
          </cell>
          <cell r="I577">
            <v>803</v>
          </cell>
          <cell r="J577">
            <v>1573</v>
          </cell>
          <cell r="K577">
            <v>0.2</v>
          </cell>
          <cell r="L577">
            <v>0.6</v>
          </cell>
          <cell r="M577">
            <v>0.8</v>
          </cell>
          <cell r="N577">
            <v>1.05</v>
          </cell>
          <cell r="O577">
            <v>1.1000000000000001</v>
          </cell>
          <cell r="P577">
            <v>1.1499999999999999</v>
          </cell>
          <cell r="Q577" t="str">
            <v>INTERIOR</v>
          </cell>
          <cell r="R577">
            <v>4</v>
          </cell>
          <cell r="S577">
            <v>6</v>
          </cell>
          <cell r="T577" t="str">
            <v>Ciudad principal</v>
          </cell>
          <cell r="U577" t="str">
            <v>High End Cut Sheet</v>
          </cell>
          <cell r="V577" t="str">
            <v>XEROX MEXICANA SA DE CV / XEROX MEXICANA</v>
          </cell>
          <cell r="W577" t="str">
            <v>JALISCO</v>
          </cell>
          <cell r="X577">
            <v>2019</v>
          </cell>
          <cell r="Y577" t="str">
            <v>Qtr 2</v>
          </cell>
          <cell r="Z577" t="str">
            <v>April</v>
          </cell>
          <cell r="AA577">
            <v>18</v>
          </cell>
          <cell r="AB577">
            <v>8</v>
          </cell>
          <cell r="AC577">
            <v>0.8</v>
          </cell>
          <cell r="AD577">
            <v>0.4375</v>
          </cell>
          <cell r="AE577">
            <v>1258.4000000000001</v>
          </cell>
        </row>
        <row r="578">
          <cell r="A578" t="str">
            <v>0BG2947926</v>
          </cell>
          <cell r="B578">
            <v>2019</v>
          </cell>
          <cell r="C578" t="str">
            <v>Qtr 2</v>
          </cell>
          <cell r="D578" t="str">
            <v>April</v>
          </cell>
          <cell r="E578">
            <v>18</v>
          </cell>
          <cell r="F578" t="str">
            <v>CORRECTIVO</v>
          </cell>
          <cell r="G578">
            <v>1.9166669999999999</v>
          </cell>
          <cell r="H578" t="str">
            <v>Light Production Digital Business</v>
          </cell>
          <cell r="I578">
            <v>803</v>
          </cell>
          <cell r="J578">
            <v>1573</v>
          </cell>
          <cell r="K578">
            <v>0.2</v>
          </cell>
          <cell r="L578">
            <v>0.6</v>
          </cell>
          <cell r="M578">
            <v>0.8</v>
          </cell>
          <cell r="N578">
            <v>1.05</v>
          </cell>
          <cell r="O578">
            <v>1.1000000000000001</v>
          </cell>
          <cell r="P578">
            <v>1.1499999999999999</v>
          </cell>
          <cell r="Q578" t="str">
            <v>INTERIOR</v>
          </cell>
          <cell r="R578">
            <v>4</v>
          </cell>
          <cell r="S578">
            <v>6</v>
          </cell>
          <cell r="T578" t="str">
            <v>Ciudad principal</v>
          </cell>
          <cell r="U578" t="str">
            <v>High End Cut Sheet</v>
          </cell>
          <cell r="V578" t="str">
            <v>XEROX MEXICANA SA DE CV / XEROX MEXICANA</v>
          </cell>
          <cell r="W578" t="str">
            <v>NUEVO LEON</v>
          </cell>
          <cell r="X578">
            <v>2019</v>
          </cell>
          <cell r="Y578" t="str">
            <v>Qtr 2</v>
          </cell>
          <cell r="Z578" t="str">
            <v>April</v>
          </cell>
          <cell r="AA578">
            <v>19</v>
          </cell>
          <cell r="AB578">
            <v>13</v>
          </cell>
          <cell r="AC578">
            <v>0.8</v>
          </cell>
          <cell r="AD578">
            <v>0.47916674999999997</v>
          </cell>
          <cell r="AE578">
            <v>1258.4000000000001</v>
          </cell>
        </row>
        <row r="579">
          <cell r="A579" t="str">
            <v>0XPN396544</v>
          </cell>
          <cell r="B579">
            <v>2019</v>
          </cell>
          <cell r="C579" t="str">
            <v>Qtr 2</v>
          </cell>
          <cell r="D579" t="str">
            <v>April</v>
          </cell>
          <cell r="E579">
            <v>18</v>
          </cell>
          <cell r="F579" t="str">
            <v>CORRECTIVO</v>
          </cell>
          <cell r="G579">
            <v>1.6666669999999999</v>
          </cell>
          <cell r="H579" t="str">
            <v>Entry Production Color Low/Mid</v>
          </cell>
          <cell r="I579">
            <v>803</v>
          </cell>
          <cell r="J579">
            <v>1573</v>
          </cell>
          <cell r="K579">
            <v>0.2</v>
          </cell>
          <cell r="L579">
            <v>0.6</v>
          </cell>
          <cell r="M579">
            <v>0.8</v>
          </cell>
          <cell r="N579">
            <v>1.05</v>
          </cell>
          <cell r="O579">
            <v>1.1000000000000001</v>
          </cell>
          <cell r="P579">
            <v>1.1499999999999999</v>
          </cell>
          <cell r="Q579" t="str">
            <v>INTERIOR</v>
          </cell>
          <cell r="R579">
            <v>4</v>
          </cell>
          <cell r="S579">
            <v>6</v>
          </cell>
          <cell r="T579" t="str">
            <v>Ciudad principal</v>
          </cell>
          <cell r="U579" t="str">
            <v>Entry Production Color Low/Mid</v>
          </cell>
          <cell r="V579" t="str">
            <v>XEROX MEXICANA SA DE CV / XEROX MEXICANA</v>
          </cell>
          <cell r="W579" t="str">
            <v>JALISCO</v>
          </cell>
          <cell r="X579">
            <v>2019</v>
          </cell>
          <cell r="Y579" t="str">
            <v>Qtr 2</v>
          </cell>
          <cell r="Z579" t="str">
            <v>April</v>
          </cell>
          <cell r="AA579">
            <v>23</v>
          </cell>
          <cell r="AB579">
            <v>42</v>
          </cell>
          <cell r="AC579">
            <v>1.1000000000000001</v>
          </cell>
          <cell r="AD579">
            <v>0.41666674999999997</v>
          </cell>
          <cell r="AE579">
            <v>1730.3</v>
          </cell>
        </row>
        <row r="580">
          <cell r="A580" t="str">
            <v>0E2B658299</v>
          </cell>
          <cell r="B580">
            <v>2019</v>
          </cell>
          <cell r="C580" t="str">
            <v>Qtr 2</v>
          </cell>
          <cell r="D580" t="str">
            <v>April</v>
          </cell>
          <cell r="E580">
            <v>19</v>
          </cell>
          <cell r="F580" t="str">
            <v>CORRECTIVO</v>
          </cell>
          <cell r="G580">
            <v>0.9</v>
          </cell>
          <cell r="H580" t="str">
            <v>Entry Production Color Low/Mid</v>
          </cell>
          <cell r="I580">
            <v>803</v>
          </cell>
          <cell r="J580">
            <v>1573</v>
          </cell>
          <cell r="K580">
            <v>0.2</v>
          </cell>
          <cell r="L580">
            <v>0.6</v>
          </cell>
          <cell r="M580">
            <v>0.8</v>
          </cell>
          <cell r="N580">
            <v>1.05</v>
          </cell>
          <cell r="O580">
            <v>1.1000000000000001</v>
          </cell>
          <cell r="P580">
            <v>1.1499999999999999</v>
          </cell>
          <cell r="Q580" t="str">
            <v>INTERIOR</v>
          </cell>
          <cell r="R580">
            <v>4</v>
          </cell>
          <cell r="S580">
            <v>6</v>
          </cell>
          <cell r="T580" t="str">
            <v>Ciudad principal</v>
          </cell>
          <cell r="U580" t="str">
            <v>Entry Production Color Low/Mid</v>
          </cell>
          <cell r="V580" t="str">
            <v>XEROX MEXICANA SA DE CV / XEROX MEXICANA</v>
          </cell>
          <cell r="W580" t="str">
            <v>NUEVO LEON</v>
          </cell>
          <cell r="X580">
            <v>2019</v>
          </cell>
          <cell r="Y580" t="str">
            <v>Qtr 2</v>
          </cell>
          <cell r="Z580" t="str">
            <v>April</v>
          </cell>
          <cell r="AA580">
            <v>19</v>
          </cell>
          <cell r="AB580">
            <v>9</v>
          </cell>
          <cell r="AC580">
            <v>0.8</v>
          </cell>
          <cell r="AD580">
            <v>0.22500000000000001</v>
          </cell>
          <cell r="AE580">
            <v>1258.4000000000001</v>
          </cell>
        </row>
        <row r="581">
          <cell r="A581" t="str">
            <v>0MX4766757</v>
          </cell>
          <cell r="B581">
            <v>2019</v>
          </cell>
          <cell r="C581" t="str">
            <v>Qtr 2</v>
          </cell>
          <cell r="D581" t="str">
            <v>April</v>
          </cell>
          <cell r="E581">
            <v>19</v>
          </cell>
          <cell r="F581" t="str">
            <v>CORRECTIVO</v>
          </cell>
          <cell r="G581">
            <v>0.3</v>
          </cell>
          <cell r="H581" t="str">
            <v>A3 Office Color Laser MFPs</v>
          </cell>
          <cell r="I581">
            <v>655</v>
          </cell>
          <cell r="J581">
            <v>1365</v>
          </cell>
          <cell r="K581">
            <v>0</v>
          </cell>
          <cell r="L581">
            <v>0</v>
          </cell>
          <cell r="M581">
            <v>0.6</v>
          </cell>
          <cell r="N581">
            <v>0.8</v>
          </cell>
          <cell r="O581">
            <v>1.05</v>
          </cell>
          <cell r="P581">
            <v>1.1000000000000001</v>
          </cell>
          <cell r="Q581" t="str">
            <v>INTERIOR</v>
          </cell>
          <cell r="R581">
            <v>5</v>
          </cell>
          <cell r="S581">
            <v>9</v>
          </cell>
          <cell r="T581" t="str">
            <v>Ciudad principal</v>
          </cell>
          <cell r="U581" t="str">
            <v>A3 Office Color Laser MFPs</v>
          </cell>
          <cell r="V581" t="str">
            <v>XEROX MEXICANA SA DE CV / XEROX MEXICANA</v>
          </cell>
          <cell r="W581" t="str">
            <v>CHIHUAHUA</v>
          </cell>
          <cell r="X581">
            <v>2019</v>
          </cell>
          <cell r="Y581" t="str">
            <v>Qtr 2</v>
          </cell>
          <cell r="Z581" t="str">
            <v>April</v>
          </cell>
          <cell r="AA581">
            <v>22</v>
          </cell>
          <cell r="AB581">
            <v>9</v>
          </cell>
          <cell r="AC581">
            <v>0.6</v>
          </cell>
          <cell r="AD581">
            <v>0.06</v>
          </cell>
          <cell r="AE581">
            <v>819</v>
          </cell>
        </row>
        <row r="582">
          <cell r="A582" t="str">
            <v>0XPN395024</v>
          </cell>
          <cell r="B582">
            <v>2019</v>
          </cell>
          <cell r="C582" t="str">
            <v>Qtr 2</v>
          </cell>
          <cell r="D582" t="str">
            <v>April</v>
          </cell>
          <cell r="E582">
            <v>19</v>
          </cell>
          <cell r="F582" t="str">
            <v>CORRECTIVO</v>
          </cell>
          <cell r="G582">
            <v>1.2</v>
          </cell>
          <cell r="H582" t="str">
            <v>Entry Production Color Low/Mid</v>
          </cell>
          <cell r="I582">
            <v>803</v>
          </cell>
          <cell r="J582">
            <v>1573</v>
          </cell>
          <cell r="K582">
            <v>0.2</v>
          </cell>
          <cell r="L582">
            <v>0.6</v>
          </cell>
          <cell r="M582">
            <v>0.8</v>
          </cell>
          <cell r="N582">
            <v>1.05</v>
          </cell>
          <cell r="O582">
            <v>1.1000000000000001</v>
          </cell>
          <cell r="P582">
            <v>1.1499999999999999</v>
          </cell>
          <cell r="Q582" t="str">
            <v>INTERIOR</v>
          </cell>
          <cell r="R582">
            <v>4</v>
          </cell>
          <cell r="S582">
            <v>6</v>
          </cell>
          <cell r="T582" t="str">
            <v>Ciudad principal</v>
          </cell>
          <cell r="U582" t="str">
            <v>Entry Production Color Low/Mid</v>
          </cell>
          <cell r="V582" t="str">
            <v>XEROX MEXICANA SA DE CV / XEROX MEXICANA</v>
          </cell>
          <cell r="W582" t="str">
            <v>JALISCO</v>
          </cell>
          <cell r="X582">
            <v>2019</v>
          </cell>
          <cell r="Y582" t="str">
            <v>Qtr 2</v>
          </cell>
          <cell r="Z582" t="str">
            <v>April</v>
          </cell>
          <cell r="AA582">
            <v>19</v>
          </cell>
          <cell r="AB582">
            <v>57</v>
          </cell>
          <cell r="AC582">
            <v>1.1000000000000001</v>
          </cell>
          <cell r="AD582">
            <v>0.3</v>
          </cell>
          <cell r="AE582">
            <v>1730.3</v>
          </cell>
        </row>
        <row r="583">
          <cell r="A583" t="str">
            <v>0BG2947627</v>
          </cell>
          <cell r="B583">
            <v>2019</v>
          </cell>
          <cell r="C583" t="str">
            <v>Qtr 2</v>
          </cell>
          <cell r="D583" t="str">
            <v>April</v>
          </cell>
          <cell r="E583">
            <v>21</v>
          </cell>
          <cell r="F583" t="str">
            <v>CORRECTIVO</v>
          </cell>
          <cell r="G583">
            <v>0</v>
          </cell>
          <cell r="H583" t="str">
            <v>Light Production Digital Business</v>
          </cell>
          <cell r="I583">
            <v>803</v>
          </cell>
          <cell r="J583">
            <v>1573</v>
          </cell>
          <cell r="K583">
            <v>0.2</v>
          </cell>
          <cell r="L583">
            <v>0.6</v>
          </cell>
          <cell r="M583">
            <v>0.8</v>
          </cell>
          <cell r="N583">
            <v>1.05</v>
          </cell>
          <cell r="O583">
            <v>1.1000000000000001</v>
          </cell>
          <cell r="P583">
            <v>1.1499999999999999</v>
          </cell>
          <cell r="Q583" t="str">
            <v>INTERIOR</v>
          </cell>
          <cell r="R583">
            <v>4</v>
          </cell>
          <cell r="S583">
            <v>6</v>
          </cell>
          <cell r="T583" t="str">
            <v>Ciudad principal</v>
          </cell>
          <cell r="U583" t="str">
            <v>High End Cut Sheet</v>
          </cell>
          <cell r="V583" t="str">
            <v>XEROX MEXICANA SA DE CV / XEROX MEXICANA</v>
          </cell>
          <cell r="W583" t="str">
            <v>GUANAJUATO</v>
          </cell>
          <cell r="X583">
            <v>2019</v>
          </cell>
          <cell r="Y583" t="str">
            <v>Qtr 2</v>
          </cell>
          <cell r="Z583" t="str">
            <v>April</v>
          </cell>
          <cell r="AA583">
            <v>22</v>
          </cell>
          <cell r="AB583">
            <v>30</v>
          </cell>
          <cell r="AC583">
            <v>1.05</v>
          </cell>
          <cell r="AD583">
            <v>0</v>
          </cell>
          <cell r="AE583">
            <v>1651.65</v>
          </cell>
        </row>
        <row r="584">
          <cell r="A584" t="str">
            <v>0BG2956722</v>
          </cell>
          <cell r="B584">
            <v>2019</v>
          </cell>
          <cell r="C584" t="str">
            <v>Qtr 2</v>
          </cell>
          <cell r="D584" t="str">
            <v>April</v>
          </cell>
          <cell r="E584">
            <v>21</v>
          </cell>
          <cell r="F584" t="str">
            <v>MANTENIMIENTO PREVENTIVO</v>
          </cell>
          <cell r="G584">
            <v>0</v>
          </cell>
          <cell r="H584" t="str">
            <v>Light Production Digital Business</v>
          </cell>
          <cell r="I584">
            <v>803</v>
          </cell>
          <cell r="J584">
            <v>1573</v>
          </cell>
          <cell r="K584">
            <v>0.2</v>
          </cell>
          <cell r="L584">
            <v>0.6</v>
          </cell>
          <cell r="M584">
            <v>0.8</v>
          </cell>
          <cell r="N584">
            <v>1.05</v>
          </cell>
          <cell r="O584">
            <v>1.1000000000000001</v>
          </cell>
          <cell r="P584">
            <v>1.1499999999999999</v>
          </cell>
          <cell r="Q584" t="str">
            <v>INTERIOR</v>
          </cell>
          <cell r="R584">
            <v>4</v>
          </cell>
          <cell r="S584">
            <v>6</v>
          </cell>
          <cell r="T584" t="str">
            <v>Ciudad principal</v>
          </cell>
          <cell r="U584" t="str">
            <v>High End Cut Sheet</v>
          </cell>
          <cell r="V584" t="str">
            <v>XEROX MEXICANA SA DE CV / XEROX MEXICANA</v>
          </cell>
          <cell r="W584" t="str">
            <v>QUERETARO</v>
          </cell>
          <cell r="X584">
            <v>2019</v>
          </cell>
          <cell r="Y584" t="str">
            <v>Qtr 2</v>
          </cell>
          <cell r="Z584" t="str">
            <v>April</v>
          </cell>
          <cell r="AA584">
            <v>23</v>
          </cell>
          <cell r="AB584">
            <v>30</v>
          </cell>
          <cell r="AC584">
            <v>0</v>
          </cell>
          <cell r="AD584">
            <v>0</v>
          </cell>
          <cell r="AE584">
            <v>1573</v>
          </cell>
        </row>
        <row r="585">
          <cell r="A585" t="str">
            <v>0C7X273155</v>
          </cell>
          <cell r="B585">
            <v>2019</v>
          </cell>
          <cell r="C585" t="str">
            <v>Qtr 2</v>
          </cell>
          <cell r="D585" t="str">
            <v>April</v>
          </cell>
          <cell r="E585">
            <v>21</v>
          </cell>
          <cell r="F585" t="str">
            <v>MANTENIMIENTO PREVENTIVO</v>
          </cell>
          <cell r="G585">
            <v>0</v>
          </cell>
          <cell r="H585" t="str">
            <v>A4 Mono MFPs</v>
          </cell>
          <cell r="I585">
            <v>468</v>
          </cell>
          <cell r="J585">
            <v>715</v>
          </cell>
          <cell r="K585">
            <v>0</v>
          </cell>
          <cell r="L585">
            <v>0</v>
          </cell>
          <cell r="M585">
            <v>0</v>
          </cell>
          <cell r="N585">
            <v>0.6</v>
          </cell>
          <cell r="O585">
            <v>0.8</v>
          </cell>
          <cell r="P585">
            <v>1.05</v>
          </cell>
          <cell r="Q585" t="str">
            <v>INTERIOR</v>
          </cell>
          <cell r="R585">
            <v>5</v>
          </cell>
          <cell r="S585">
            <v>9</v>
          </cell>
          <cell r="T585" t="str">
            <v>Ciudad principal</v>
          </cell>
          <cell r="U585" t="str">
            <v>A4 Mono MFPs</v>
          </cell>
          <cell r="V585" t="str">
            <v>XEROX MEXICANA SA DE CV / XEROX MEXICANA</v>
          </cell>
          <cell r="W585" t="str">
            <v>QUERETARO</v>
          </cell>
          <cell r="X585">
            <v>2019</v>
          </cell>
          <cell r="Y585" t="str">
            <v>Qtr 2</v>
          </cell>
          <cell r="Z585" t="str">
            <v>April</v>
          </cell>
          <cell r="AA585">
            <v>23</v>
          </cell>
          <cell r="AB585">
            <v>4</v>
          </cell>
          <cell r="AC585">
            <v>0</v>
          </cell>
          <cell r="AD585">
            <v>0</v>
          </cell>
          <cell r="AE585">
            <v>715</v>
          </cell>
        </row>
        <row r="586">
          <cell r="A586" t="str">
            <v>0D6X463381</v>
          </cell>
          <cell r="B586">
            <v>2019</v>
          </cell>
          <cell r="C586" t="str">
            <v>Qtr 2</v>
          </cell>
          <cell r="D586" t="str">
            <v>April</v>
          </cell>
          <cell r="E586">
            <v>21</v>
          </cell>
          <cell r="F586" t="str">
            <v>CORRECTIVO</v>
          </cell>
          <cell r="G586">
            <v>0.13333329999999999</v>
          </cell>
          <cell r="H586" t="str">
            <v>Entry Mono Printers</v>
          </cell>
          <cell r="I586">
            <v>468</v>
          </cell>
          <cell r="J586">
            <v>715</v>
          </cell>
          <cell r="K586">
            <v>0</v>
          </cell>
          <cell r="L586">
            <v>0</v>
          </cell>
          <cell r="M586">
            <v>0</v>
          </cell>
          <cell r="N586">
            <v>0.6</v>
          </cell>
          <cell r="O586">
            <v>0.8</v>
          </cell>
          <cell r="P586">
            <v>1.05</v>
          </cell>
          <cell r="Q586" t="str">
            <v>INTERIOR</v>
          </cell>
          <cell r="R586">
            <v>5</v>
          </cell>
          <cell r="S586">
            <v>9</v>
          </cell>
          <cell r="T586" t="str">
            <v>Otras</v>
          </cell>
          <cell r="U586" t="str">
            <v>Entry Mono Printers</v>
          </cell>
          <cell r="V586" t="str">
            <v>XEROX MEXICANA SA DE CV / XEROX MEXICANA</v>
          </cell>
          <cell r="W586" t="str">
            <v>NUEVO LEON</v>
          </cell>
          <cell r="X586">
            <v>2019</v>
          </cell>
          <cell r="Y586" t="str">
            <v>Qtr 2</v>
          </cell>
          <cell r="Z586" t="str">
            <v>April</v>
          </cell>
          <cell r="AA586">
            <v>22</v>
          </cell>
          <cell r="AB586">
            <v>6</v>
          </cell>
          <cell r="AC586">
            <v>0</v>
          </cell>
          <cell r="AD586">
            <v>1.48148111111111E-2</v>
          </cell>
          <cell r="AE586">
            <v>0</v>
          </cell>
        </row>
        <row r="587">
          <cell r="A587" t="str">
            <v>0X76372692</v>
          </cell>
          <cell r="B587">
            <v>2019</v>
          </cell>
          <cell r="C587" t="str">
            <v>Qtr 2</v>
          </cell>
          <cell r="D587" t="str">
            <v>April</v>
          </cell>
          <cell r="E587">
            <v>21</v>
          </cell>
          <cell r="F587" t="str">
            <v>MANTENIMIENTO PREVENTIVO</v>
          </cell>
          <cell r="G587">
            <v>0</v>
          </cell>
          <cell r="H587" t="str">
            <v>Office Digital</v>
          </cell>
          <cell r="I587">
            <v>655</v>
          </cell>
          <cell r="J587">
            <v>1365</v>
          </cell>
          <cell r="K587">
            <v>0</v>
          </cell>
          <cell r="L587">
            <v>0</v>
          </cell>
          <cell r="M587">
            <v>0.6</v>
          </cell>
          <cell r="N587">
            <v>0.8</v>
          </cell>
          <cell r="O587">
            <v>1.05</v>
          </cell>
          <cell r="P587">
            <v>1.1000000000000001</v>
          </cell>
          <cell r="Q587" t="str">
            <v>INTERIOR</v>
          </cell>
          <cell r="R587">
            <v>5</v>
          </cell>
          <cell r="S587">
            <v>9</v>
          </cell>
          <cell r="T587" t="str">
            <v>Ciudad principal</v>
          </cell>
          <cell r="U587" t="str">
            <v>Departmental Digital</v>
          </cell>
          <cell r="V587" t="str">
            <v>XEROX MEXICANA SA DE CV / XEROX MEXICANA</v>
          </cell>
          <cell r="W587" t="str">
            <v>QUERETARO</v>
          </cell>
          <cell r="X587">
            <v>2019</v>
          </cell>
          <cell r="Y587" t="str">
            <v>Qtr 2</v>
          </cell>
          <cell r="Z587" t="str">
            <v>April</v>
          </cell>
          <cell r="AA587">
            <v>23</v>
          </cell>
          <cell r="AB587">
            <v>11</v>
          </cell>
          <cell r="AC587">
            <v>0</v>
          </cell>
          <cell r="AD587">
            <v>0</v>
          </cell>
          <cell r="AE587">
            <v>1365</v>
          </cell>
        </row>
        <row r="588">
          <cell r="A588" t="str">
            <v>0XPN396574</v>
          </cell>
          <cell r="B588">
            <v>2019</v>
          </cell>
          <cell r="C588" t="str">
            <v>Qtr 2</v>
          </cell>
          <cell r="D588" t="str">
            <v>April</v>
          </cell>
          <cell r="E588">
            <v>21</v>
          </cell>
          <cell r="F588" t="str">
            <v>CORRECTIVO</v>
          </cell>
          <cell r="G588">
            <v>0.55000000000000004</v>
          </cell>
          <cell r="H588" t="str">
            <v>Entry Production Color Low/Mid</v>
          </cell>
          <cell r="I588">
            <v>803</v>
          </cell>
          <cell r="J588">
            <v>1573</v>
          </cell>
          <cell r="K588">
            <v>0.2</v>
          </cell>
          <cell r="L588">
            <v>0.6</v>
          </cell>
          <cell r="M588">
            <v>0.8</v>
          </cell>
          <cell r="N588">
            <v>1.05</v>
          </cell>
          <cell r="O588">
            <v>1.1000000000000001</v>
          </cell>
          <cell r="P588">
            <v>1.1499999999999999</v>
          </cell>
          <cell r="Q588" t="str">
            <v>INTERIOR</v>
          </cell>
          <cell r="R588">
            <v>4</v>
          </cell>
          <cell r="S588">
            <v>6</v>
          </cell>
          <cell r="T588" t="str">
            <v>Ciudad principal</v>
          </cell>
          <cell r="U588" t="str">
            <v>Entry Production Color Low/Mid</v>
          </cell>
          <cell r="V588" t="str">
            <v>XEROX MEXICANA SA DE CV / XEROX MEXICANA</v>
          </cell>
          <cell r="W588" t="str">
            <v>JALISCO</v>
          </cell>
          <cell r="X588">
            <v>2019</v>
          </cell>
          <cell r="Y588" t="str">
            <v>Qtr 2</v>
          </cell>
          <cell r="Z588" t="str">
            <v>April</v>
          </cell>
          <cell r="AA588">
            <v>22</v>
          </cell>
          <cell r="AB588">
            <v>14</v>
          </cell>
          <cell r="AC588">
            <v>0.8</v>
          </cell>
          <cell r="AD588">
            <v>0.13750000000000001</v>
          </cell>
          <cell r="AE588">
            <v>1258.4000000000001</v>
          </cell>
        </row>
        <row r="589">
          <cell r="A589" t="str">
            <v>0Y4X821876</v>
          </cell>
          <cell r="B589">
            <v>2019</v>
          </cell>
          <cell r="C589" t="str">
            <v>Qtr 2</v>
          </cell>
          <cell r="D589" t="str">
            <v>April</v>
          </cell>
          <cell r="E589">
            <v>21</v>
          </cell>
          <cell r="F589" t="str">
            <v>MANTENIMIENTO PREVENTIVO</v>
          </cell>
          <cell r="G589">
            <v>0</v>
          </cell>
          <cell r="H589" t="str">
            <v>Departmental Digital</v>
          </cell>
          <cell r="I589">
            <v>655</v>
          </cell>
          <cell r="J589">
            <v>1365</v>
          </cell>
          <cell r="K589">
            <v>0</v>
          </cell>
          <cell r="L589">
            <v>0</v>
          </cell>
          <cell r="M589">
            <v>0.6</v>
          </cell>
          <cell r="N589">
            <v>0.8</v>
          </cell>
          <cell r="O589">
            <v>1.05</v>
          </cell>
          <cell r="P589">
            <v>1.1000000000000001</v>
          </cell>
          <cell r="Q589" t="str">
            <v>INTERIOR</v>
          </cell>
          <cell r="R589">
            <v>5</v>
          </cell>
          <cell r="S589">
            <v>9</v>
          </cell>
          <cell r="T589" t="str">
            <v>Ciudad principal</v>
          </cell>
          <cell r="U589" t="str">
            <v>Light Production Digital Business</v>
          </cell>
          <cell r="V589" t="str">
            <v>XEROX MEXICANA SA DE CV / XEROX MEXICANA</v>
          </cell>
          <cell r="W589" t="str">
            <v>CHIHUAHUA</v>
          </cell>
          <cell r="X589">
            <v>2019</v>
          </cell>
          <cell r="Y589" t="str">
            <v>Qtr 2</v>
          </cell>
          <cell r="Z589" t="str">
            <v>April</v>
          </cell>
          <cell r="AA589">
            <v>22</v>
          </cell>
          <cell r="AB589">
            <v>44</v>
          </cell>
          <cell r="AC589">
            <v>0</v>
          </cell>
          <cell r="AD589">
            <v>0</v>
          </cell>
          <cell r="AE589">
            <v>1365</v>
          </cell>
        </row>
        <row r="590">
          <cell r="A590" t="str">
            <v>03AG877899</v>
          </cell>
          <cell r="B590">
            <v>2019</v>
          </cell>
          <cell r="C590" t="str">
            <v>Qtr 2</v>
          </cell>
          <cell r="D590" t="str">
            <v>April</v>
          </cell>
          <cell r="E590">
            <v>22</v>
          </cell>
          <cell r="F590" t="str">
            <v>CORRECTIVO</v>
          </cell>
          <cell r="G590">
            <v>1.75</v>
          </cell>
          <cell r="H590" t="str">
            <v>Departmental Digital</v>
          </cell>
          <cell r="I590">
            <v>655</v>
          </cell>
          <cell r="J590">
            <v>1365</v>
          </cell>
          <cell r="K590">
            <v>0</v>
          </cell>
          <cell r="L590">
            <v>0</v>
          </cell>
          <cell r="M590">
            <v>0.6</v>
          </cell>
          <cell r="N590">
            <v>0.8</v>
          </cell>
          <cell r="O590">
            <v>1.05</v>
          </cell>
          <cell r="P590">
            <v>1.1000000000000001</v>
          </cell>
          <cell r="Q590" t="str">
            <v>INTERIOR</v>
          </cell>
          <cell r="R590">
            <v>5</v>
          </cell>
          <cell r="S590">
            <v>9</v>
          </cell>
          <cell r="T590" t="str">
            <v>Ciudad principal</v>
          </cell>
          <cell r="U590" t="str">
            <v>Light Production Digital Business</v>
          </cell>
          <cell r="V590" t="str">
            <v>XEROX MEXICANA SA DE CV / XEROX MEXICANA</v>
          </cell>
          <cell r="W590" t="str">
            <v>TAMAULIPAS</v>
          </cell>
          <cell r="X590">
            <v>2019</v>
          </cell>
          <cell r="Y590" t="str">
            <v>Qtr 2</v>
          </cell>
          <cell r="Z590" t="str">
            <v>April</v>
          </cell>
          <cell r="AA590">
            <v>22</v>
          </cell>
          <cell r="AB590">
            <v>60</v>
          </cell>
          <cell r="AC590">
            <v>1.1000000000000001</v>
          </cell>
          <cell r="AD590">
            <v>0.35</v>
          </cell>
          <cell r="AE590">
            <v>1501.5</v>
          </cell>
        </row>
        <row r="591">
          <cell r="A591" t="str">
            <v>07CX043423</v>
          </cell>
          <cell r="B591">
            <v>2019</v>
          </cell>
          <cell r="C591" t="str">
            <v>Qtr 2</v>
          </cell>
          <cell r="D591" t="str">
            <v>April</v>
          </cell>
          <cell r="E591">
            <v>22</v>
          </cell>
          <cell r="F591" t="str">
            <v>CORRECTIVO</v>
          </cell>
          <cell r="G591">
            <v>2.95</v>
          </cell>
          <cell r="H591" t="str">
            <v>Office Digital</v>
          </cell>
          <cell r="I591">
            <v>655</v>
          </cell>
          <cell r="J591">
            <v>1365</v>
          </cell>
          <cell r="K591">
            <v>0</v>
          </cell>
          <cell r="L591">
            <v>0</v>
          </cell>
          <cell r="M591">
            <v>0.6</v>
          </cell>
          <cell r="N591">
            <v>0.8</v>
          </cell>
          <cell r="O591">
            <v>1.05</v>
          </cell>
          <cell r="P591">
            <v>1.1000000000000001</v>
          </cell>
          <cell r="Q591" t="str">
            <v>INTERIOR</v>
          </cell>
          <cell r="R591">
            <v>5</v>
          </cell>
          <cell r="S591">
            <v>9</v>
          </cell>
          <cell r="T591" t="str">
            <v>Ciudad principal</v>
          </cell>
          <cell r="U591" t="str">
            <v>A3 Office Color Laser MFPs</v>
          </cell>
          <cell r="V591" t="str">
            <v>XEROX MEXICANA SA DE CV / XEROX MEXICANA</v>
          </cell>
          <cell r="W591" t="str">
            <v>TAMAULIPAS</v>
          </cell>
          <cell r="X591">
            <v>2019</v>
          </cell>
          <cell r="Y591" t="str">
            <v>Qtr 2</v>
          </cell>
          <cell r="Z591" t="str">
            <v>April</v>
          </cell>
          <cell r="AA591">
            <v>22</v>
          </cell>
          <cell r="AB591">
            <v>28</v>
          </cell>
          <cell r="AC591">
            <v>0.8</v>
          </cell>
          <cell r="AD591">
            <v>0.59</v>
          </cell>
          <cell r="AE591">
            <v>1092</v>
          </cell>
        </row>
        <row r="592">
          <cell r="A592" t="str">
            <v>0A1H020675</v>
          </cell>
          <cell r="B592">
            <v>2019</v>
          </cell>
          <cell r="C592" t="str">
            <v>Qtr 2</v>
          </cell>
          <cell r="D592" t="str">
            <v>April</v>
          </cell>
          <cell r="E592">
            <v>22</v>
          </cell>
          <cell r="F592" t="str">
            <v>CORRECTIVO</v>
          </cell>
          <cell r="G592">
            <v>3.4</v>
          </cell>
          <cell r="H592" t="str">
            <v>WF Mono Systems and Legacy Color</v>
          </cell>
          <cell r="I592">
            <v>803</v>
          </cell>
          <cell r="J592">
            <v>1573</v>
          </cell>
          <cell r="K592">
            <v>0.2</v>
          </cell>
          <cell r="L592">
            <v>0.6</v>
          </cell>
          <cell r="M592">
            <v>0.8</v>
          </cell>
          <cell r="N592">
            <v>1.05</v>
          </cell>
          <cell r="O592">
            <v>1.1000000000000001</v>
          </cell>
          <cell r="P592">
            <v>1.1499999999999999</v>
          </cell>
          <cell r="Q592" t="str">
            <v>INTERIOR</v>
          </cell>
          <cell r="R592">
            <v>4</v>
          </cell>
          <cell r="S592">
            <v>6</v>
          </cell>
          <cell r="T592" t="str">
            <v>Ciudad principal</v>
          </cell>
          <cell r="U592" t="str">
            <v>WF Mono Systems and Legacy Color</v>
          </cell>
          <cell r="V592" t="str">
            <v>XEROX MEXICANA SA DE CV / XEROX MEXICANA</v>
          </cell>
          <cell r="W592" t="str">
            <v>TAMAULIPAS</v>
          </cell>
          <cell r="X592">
            <v>2019</v>
          </cell>
          <cell r="Y592" t="str">
            <v>Qtr 2</v>
          </cell>
          <cell r="Z592" t="str">
            <v>April</v>
          </cell>
          <cell r="AA592">
            <v>22</v>
          </cell>
          <cell r="AB592">
            <v>5</v>
          </cell>
          <cell r="AC592">
            <v>0.6</v>
          </cell>
          <cell r="AD592">
            <v>0.85</v>
          </cell>
          <cell r="AE592">
            <v>943.8</v>
          </cell>
        </row>
        <row r="593">
          <cell r="A593" t="str">
            <v>0AGD461848</v>
          </cell>
          <cell r="B593">
            <v>2019</v>
          </cell>
          <cell r="C593" t="str">
            <v>Qtr 2</v>
          </cell>
          <cell r="D593" t="str">
            <v>April</v>
          </cell>
          <cell r="E593">
            <v>22</v>
          </cell>
          <cell r="F593" t="str">
            <v>CORRECTIVO</v>
          </cell>
          <cell r="G593">
            <v>1.683333</v>
          </cell>
          <cell r="H593" t="str">
            <v>WF Mono Systems and Legacy Color</v>
          </cell>
          <cell r="I593">
            <v>803</v>
          </cell>
          <cell r="J593">
            <v>1573</v>
          </cell>
          <cell r="K593">
            <v>0.2</v>
          </cell>
          <cell r="L593">
            <v>0.6</v>
          </cell>
          <cell r="M593">
            <v>0.8</v>
          </cell>
          <cell r="N593">
            <v>1.05</v>
          </cell>
          <cell r="O593">
            <v>1.1000000000000001</v>
          </cell>
          <cell r="P593">
            <v>1.1499999999999999</v>
          </cell>
          <cell r="Q593" t="str">
            <v>INTERIOR</v>
          </cell>
          <cell r="R593">
            <v>4</v>
          </cell>
          <cell r="S593">
            <v>6</v>
          </cell>
          <cell r="T593" t="str">
            <v>Ciudad principal</v>
          </cell>
          <cell r="U593" t="str">
            <v>WF Mono Systems and Legacy Color</v>
          </cell>
          <cell r="V593" t="str">
            <v>XEROX MEXICANA SA DE CV / XEROX MEXICANA</v>
          </cell>
          <cell r="W593" t="str">
            <v>JALISCO</v>
          </cell>
          <cell r="X593">
            <v>2019</v>
          </cell>
          <cell r="Y593" t="str">
            <v>Qtr 2</v>
          </cell>
          <cell r="Z593" t="str">
            <v>April</v>
          </cell>
          <cell r="AA593">
            <v>22</v>
          </cell>
          <cell r="AB593">
            <v>32</v>
          </cell>
          <cell r="AC593">
            <v>1.1000000000000001</v>
          </cell>
          <cell r="AD593">
            <v>0.42083324999999999</v>
          </cell>
          <cell r="AE593">
            <v>1730.3</v>
          </cell>
        </row>
        <row r="594">
          <cell r="A594" t="str">
            <v>0B2E530304</v>
          </cell>
          <cell r="B594">
            <v>2019</v>
          </cell>
          <cell r="C594" t="str">
            <v>Qtr 2</v>
          </cell>
          <cell r="D594" t="str">
            <v>April</v>
          </cell>
          <cell r="E594">
            <v>22</v>
          </cell>
          <cell r="F594" t="str">
            <v>CORRECTIVO</v>
          </cell>
          <cell r="G594">
            <v>1.6666670000000001E-2</v>
          </cell>
          <cell r="H594" t="str">
            <v>Entry Production Color Mid</v>
          </cell>
          <cell r="I594">
            <v>803</v>
          </cell>
          <cell r="J594">
            <v>1573</v>
          </cell>
          <cell r="K594">
            <v>0.2</v>
          </cell>
          <cell r="L594">
            <v>0.6</v>
          </cell>
          <cell r="M594">
            <v>0.8</v>
          </cell>
          <cell r="N594">
            <v>1.05</v>
          </cell>
          <cell r="O594">
            <v>1.1000000000000001</v>
          </cell>
          <cell r="P594">
            <v>1.1499999999999999</v>
          </cell>
          <cell r="Q594" t="str">
            <v>INTERIOR</v>
          </cell>
          <cell r="R594">
            <v>4</v>
          </cell>
          <cell r="S594">
            <v>6</v>
          </cell>
          <cell r="T594" t="str">
            <v>Ciudad principal</v>
          </cell>
          <cell r="U594" t="str">
            <v>High End Cut Sheet</v>
          </cell>
          <cell r="V594" t="str">
            <v>XEROX MEXICANA SA DE CV / XEROX MEXICANA</v>
          </cell>
          <cell r="W594" t="str">
            <v>NUEVO LEON</v>
          </cell>
          <cell r="X594">
            <v>2019</v>
          </cell>
          <cell r="Y594" t="str">
            <v>Qtr 2</v>
          </cell>
          <cell r="Z594" t="str">
            <v>April</v>
          </cell>
          <cell r="AA594">
            <v>23</v>
          </cell>
          <cell r="AB594">
            <v>31</v>
          </cell>
          <cell r="AC594">
            <v>1.1000000000000001</v>
          </cell>
          <cell r="AD594">
            <v>4.1666675000000004E-3</v>
          </cell>
          <cell r="AE594">
            <v>1730.3</v>
          </cell>
        </row>
        <row r="595">
          <cell r="A595" t="str">
            <v>0BB1564131</v>
          </cell>
          <cell r="B595">
            <v>2019</v>
          </cell>
          <cell r="C595" t="str">
            <v>Qtr 2</v>
          </cell>
          <cell r="D595" t="str">
            <v>April</v>
          </cell>
          <cell r="E595">
            <v>22</v>
          </cell>
          <cell r="F595" t="str">
            <v>CORRECTIVO</v>
          </cell>
          <cell r="G595">
            <v>2.233333</v>
          </cell>
          <cell r="H595" t="str">
            <v>A4 Mono MFPs</v>
          </cell>
          <cell r="I595">
            <v>468</v>
          </cell>
          <cell r="J595">
            <v>715</v>
          </cell>
          <cell r="K595">
            <v>0</v>
          </cell>
          <cell r="L595">
            <v>0</v>
          </cell>
          <cell r="M595">
            <v>0</v>
          </cell>
          <cell r="N595">
            <v>0.6</v>
          </cell>
          <cell r="O595">
            <v>0.8</v>
          </cell>
          <cell r="P595">
            <v>1.05</v>
          </cell>
          <cell r="Q595" t="str">
            <v>INTERIOR</v>
          </cell>
          <cell r="R595">
            <v>5</v>
          </cell>
          <cell r="S595">
            <v>9</v>
          </cell>
          <cell r="T595" t="str">
            <v>Ciudad principal</v>
          </cell>
          <cell r="U595" t="str">
            <v>A4 Mono MFPs</v>
          </cell>
          <cell r="V595" t="str">
            <v>XEROX MEXICANA SA DE CV / XEROX MEXICANA</v>
          </cell>
          <cell r="W595" t="str">
            <v>GUANAJUATO</v>
          </cell>
          <cell r="X595">
            <v>2019</v>
          </cell>
          <cell r="Y595" t="str">
            <v>Qtr 2</v>
          </cell>
          <cell r="Z595" t="str">
            <v>April</v>
          </cell>
          <cell r="AA595">
            <v>26</v>
          </cell>
          <cell r="AB595">
            <v>131</v>
          </cell>
          <cell r="AC595">
            <v>1.05</v>
          </cell>
          <cell r="AD595">
            <v>0.44666660000000002</v>
          </cell>
          <cell r="AE595">
            <v>750.75</v>
          </cell>
        </row>
        <row r="596">
          <cell r="A596" t="str">
            <v>0BG0972350</v>
          </cell>
          <cell r="B596">
            <v>2019</v>
          </cell>
          <cell r="C596" t="str">
            <v>Qtr 2</v>
          </cell>
          <cell r="D596" t="str">
            <v>April</v>
          </cell>
          <cell r="E596">
            <v>22</v>
          </cell>
          <cell r="F596" t="str">
            <v>CORRECTIVO</v>
          </cell>
          <cell r="G596">
            <v>2.6833330000000002</v>
          </cell>
          <cell r="H596" t="str">
            <v>Light Production Digital Business</v>
          </cell>
          <cell r="I596">
            <v>803</v>
          </cell>
          <cell r="J596">
            <v>1573</v>
          </cell>
          <cell r="K596">
            <v>0.2</v>
          </cell>
          <cell r="L596">
            <v>0.6</v>
          </cell>
          <cell r="M596">
            <v>0.8</v>
          </cell>
          <cell r="N596">
            <v>1.05</v>
          </cell>
          <cell r="O596">
            <v>1.1000000000000001</v>
          </cell>
          <cell r="P596">
            <v>1.1499999999999999</v>
          </cell>
          <cell r="Q596" t="str">
            <v>INTERIOR</v>
          </cell>
          <cell r="R596">
            <v>4</v>
          </cell>
          <cell r="S596">
            <v>6</v>
          </cell>
          <cell r="T596" t="str">
            <v>Ciudad principal</v>
          </cell>
          <cell r="U596" t="str">
            <v>High End Cut Sheet</v>
          </cell>
          <cell r="V596" t="str">
            <v>XEROX MEXICANA SA DE CV / XEROX MEXICANA</v>
          </cell>
          <cell r="W596" t="str">
            <v>NUEVO LEON</v>
          </cell>
          <cell r="X596">
            <v>2019</v>
          </cell>
          <cell r="Y596" t="str">
            <v>Qtr 2</v>
          </cell>
          <cell r="Z596" t="str">
            <v>April</v>
          </cell>
          <cell r="AA596">
            <v>22</v>
          </cell>
          <cell r="AB596">
            <v>10</v>
          </cell>
          <cell r="AC596">
            <v>0.8</v>
          </cell>
          <cell r="AD596">
            <v>0.67083325000000005</v>
          </cell>
          <cell r="AE596">
            <v>1258.4000000000001</v>
          </cell>
        </row>
        <row r="597">
          <cell r="A597" t="str">
            <v>0BG2939661</v>
          </cell>
          <cell r="B597">
            <v>2019</v>
          </cell>
          <cell r="C597" t="str">
            <v>Qtr 2</v>
          </cell>
          <cell r="D597" t="str">
            <v>April</v>
          </cell>
          <cell r="E597">
            <v>22</v>
          </cell>
          <cell r="F597" t="str">
            <v>CORRECTIVO</v>
          </cell>
          <cell r="G597">
            <v>7.65</v>
          </cell>
          <cell r="H597" t="str">
            <v>Light Production Digital Business</v>
          </cell>
          <cell r="I597">
            <v>803</v>
          </cell>
          <cell r="J597">
            <v>1573</v>
          </cell>
          <cell r="K597">
            <v>0.2</v>
          </cell>
          <cell r="L597">
            <v>0.6</v>
          </cell>
          <cell r="M597">
            <v>0.8</v>
          </cell>
          <cell r="N597">
            <v>1.05</v>
          </cell>
          <cell r="O597">
            <v>1.1000000000000001</v>
          </cell>
          <cell r="P597">
            <v>1.1499999999999999</v>
          </cell>
          <cell r="Q597" t="str">
            <v>INTERIOR</v>
          </cell>
          <cell r="R597">
            <v>4</v>
          </cell>
          <cell r="S597">
            <v>6</v>
          </cell>
          <cell r="T597" t="str">
            <v>Otras</v>
          </cell>
          <cell r="U597" t="str">
            <v>High End Cut Sheet</v>
          </cell>
          <cell r="V597" t="str">
            <v>XEROX MEXICANA SA DE CV / XEROX MEXICANA</v>
          </cell>
          <cell r="W597" t="str">
            <v>MICHOACAN</v>
          </cell>
          <cell r="X597">
            <v>2019</v>
          </cell>
          <cell r="Y597" t="str">
            <v>Qtr 2</v>
          </cell>
          <cell r="Z597" t="str">
            <v>April</v>
          </cell>
          <cell r="AA597">
            <v>25</v>
          </cell>
          <cell r="AB597">
            <v>42</v>
          </cell>
          <cell r="AC597">
            <v>1.1000000000000001</v>
          </cell>
          <cell r="AD597">
            <v>1.2749999999999999</v>
          </cell>
          <cell r="AE597">
            <v>1622.15625</v>
          </cell>
        </row>
        <row r="598">
          <cell r="A598" t="str">
            <v>0BG2945237</v>
          </cell>
          <cell r="B598">
            <v>2019</v>
          </cell>
          <cell r="C598" t="str">
            <v>Qtr 2</v>
          </cell>
          <cell r="D598" t="str">
            <v>April</v>
          </cell>
          <cell r="E598">
            <v>22</v>
          </cell>
          <cell r="F598" t="str">
            <v>CORRECTIVO</v>
          </cell>
          <cell r="G598">
            <v>1.433333</v>
          </cell>
          <cell r="H598" t="str">
            <v>Light Production Digital Business</v>
          </cell>
          <cell r="I598">
            <v>803</v>
          </cell>
          <cell r="J598">
            <v>1573</v>
          </cell>
          <cell r="K598">
            <v>0.2</v>
          </cell>
          <cell r="L598">
            <v>0.6</v>
          </cell>
          <cell r="M598">
            <v>0.8</v>
          </cell>
          <cell r="N598">
            <v>1.05</v>
          </cell>
          <cell r="O598">
            <v>1.1000000000000001</v>
          </cell>
          <cell r="P598">
            <v>1.1499999999999999</v>
          </cell>
          <cell r="Q598" t="str">
            <v>INTERIOR</v>
          </cell>
          <cell r="R598">
            <v>4</v>
          </cell>
          <cell r="S598">
            <v>6</v>
          </cell>
          <cell r="T598" t="str">
            <v>Ciudad principal</v>
          </cell>
          <cell r="U598" t="str">
            <v>High End Cut Sheet</v>
          </cell>
          <cell r="V598" t="str">
            <v>XEROX MEXICANA SA DE CV / XEROX MEXICANA</v>
          </cell>
          <cell r="W598" t="str">
            <v>TAMAULIPAS</v>
          </cell>
          <cell r="X598">
            <v>2019</v>
          </cell>
          <cell r="Y598" t="str">
            <v>Qtr 2</v>
          </cell>
          <cell r="Z598" t="str">
            <v>April</v>
          </cell>
          <cell r="AA598">
            <v>22</v>
          </cell>
          <cell r="AB598">
            <v>5</v>
          </cell>
          <cell r="AC598">
            <v>0.6</v>
          </cell>
          <cell r="AD598">
            <v>0.35833324999999999</v>
          </cell>
          <cell r="AE598">
            <v>943.8</v>
          </cell>
        </row>
        <row r="599">
          <cell r="A599" t="str">
            <v>0BG2947152</v>
          </cell>
          <cell r="B599">
            <v>2019</v>
          </cell>
          <cell r="C599" t="str">
            <v>Qtr 2</v>
          </cell>
          <cell r="D599" t="str">
            <v>April</v>
          </cell>
          <cell r="E599">
            <v>22</v>
          </cell>
          <cell r="F599" t="str">
            <v>CORRECTIVO</v>
          </cell>
          <cell r="G599">
            <v>0.83333330000000005</v>
          </cell>
          <cell r="H599" t="str">
            <v>Light Production Digital Business</v>
          </cell>
          <cell r="I599">
            <v>803</v>
          </cell>
          <cell r="J599">
            <v>1573</v>
          </cell>
          <cell r="K599">
            <v>0.2</v>
          </cell>
          <cell r="L599">
            <v>0.6</v>
          </cell>
          <cell r="M599">
            <v>0.8</v>
          </cell>
          <cell r="N599">
            <v>1.05</v>
          </cell>
          <cell r="O599">
            <v>1.1000000000000001</v>
          </cell>
          <cell r="P599">
            <v>1.1499999999999999</v>
          </cell>
          <cell r="Q599" t="str">
            <v>INTERIOR</v>
          </cell>
          <cell r="R599">
            <v>4</v>
          </cell>
          <cell r="S599">
            <v>6</v>
          </cell>
          <cell r="T599" t="str">
            <v>Ciudad principal</v>
          </cell>
          <cell r="U599" t="str">
            <v>High End Cut Sheet</v>
          </cell>
          <cell r="V599" t="str">
            <v>XEROX MEXICANA SA DE CV / XEROX MEXICANA</v>
          </cell>
          <cell r="W599" t="str">
            <v>JALISCO</v>
          </cell>
          <cell r="X599">
            <v>2019</v>
          </cell>
          <cell r="Y599" t="str">
            <v>Qtr 2</v>
          </cell>
          <cell r="Z599" t="str">
            <v>April</v>
          </cell>
          <cell r="AA599">
            <v>23</v>
          </cell>
          <cell r="AB599">
            <v>4</v>
          </cell>
          <cell r="AC599">
            <v>0.6</v>
          </cell>
          <cell r="AD599">
            <v>0.20833332500000001</v>
          </cell>
          <cell r="AE599">
            <v>943.8</v>
          </cell>
        </row>
        <row r="600">
          <cell r="A600" t="str">
            <v>0BG2947501</v>
          </cell>
          <cell r="B600">
            <v>2019</v>
          </cell>
          <cell r="C600" t="str">
            <v>Qtr 2</v>
          </cell>
          <cell r="D600" t="str">
            <v>April</v>
          </cell>
          <cell r="E600">
            <v>22</v>
          </cell>
          <cell r="F600" t="str">
            <v>CORRECTIVO</v>
          </cell>
          <cell r="G600">
            <v>3.8833329999999999</v>
          </cell>
          <cell r="H600" t="str">
            <v>Light Production Digital Business</v>
          </cell>
          <cell r="I600">
            <v>803</v>
          </cell>
          <cell r="J600">
            <v>1573</v>
          </cell>
          <cell r="K600">
            <v>0.2</v>
          </cell>
          <cell r="L600">
            <v>0.6</v>
          </cell>
          <cell r="M600">
            <v>0.8</v>
          </cell>
          <cell r="N600">
            <v>1.05</v>
          </cell>
          <cell r="O600">
            <v>1.1000000000000001</v>
          </cell>
          <cell r="P600">
            <v>1.1499999999999999</v>
          </cell>
          <cell r="Q600" t="str">
            <v>INTERIOR</v>
          </cell>
          <cell r="R600">
            <v>4</v>
          </cell>
          <cell r="S600">
            <v>6</v>
          </cell>
          <cell r="T600" t="str">
            <v>Ciudad principal</v>
          </cell>
          <cell r="U600" t="str">
            <v>High End Cut Sheet</v>
          </cell>
          <cell r="V600" t="str">
            <v>XEROX MEXICANA SA DE CV / XEROX MEXICANA</v>
          </cell>
          <cell r="W600" t="str">
            <v>MICHOACAN</v>
          </cell>
          <cell r="X600">
            <v>2019</v>
          </cell>
          <cell r="Y600" t="str">
            <v>Qtr 2</v>
          </cell>
          <cell r="Z600" t="str">
            <v>April</v>
          </cell>
          <cell r="AA600">
            <v>26</v>
          </cell>
          <cell r="AB600">
            <v>70</v>
          </cell>
          <cell r="AC600">
            <v>1.1499999999999999</v>
          </cell>
          <cell r="AD600">
            <v>0.97083324999999998</v>
          </cell>
          <cell r="AE600">
            <v>1808.95</v>
          </cell>
        </row>
        <row r="601">
          <cell r="A601" t="str">
            <v>0BG2948808</v>
          </cell>
          <cell r="B601">
            <v>2019</v>
          </cell>
          <cell r="C601" t="str">
            <v>Qtr 2</v>
          </cell>
          <cell r="D601" t="str">
            <v>April</v>
          </cell>
          <cell r="E601">
            <v>22</v>
          </cell>
          <cell r="F601" t="str">
            <v>CORRECTIVO</v>
          </cell>
          <cell r="G601">
            <v>1.5333330000000001</v>
          </cell>
          <cell r="H601" t="str">
            <v>Light Production Digital Business</v>
          </cell>
          <cell r="I601">
            <v>803</v>
          </cell>
          <cell r="J601">
            <v>1573</v>
          </cell>
          <cell r="K601">
            <v>0.2</v>
          </cell>
          <cell r="L601">
            <v>0.6</v>
          </cell>
          <cell r="M601">
            <v>0.8</v>
          </cell>
          <cell r="N601">
            <v>1.05</v>
          </cell>
          <cell r="O601">
            <v>1.1000000000000001</v>
          </cell>
          <cell r="P601">
            <v>1.1499999999999999</v>
          </cell>
          <cell r="Q601" t="str">
            <v>INTERIOR</v>
          </cell>
          <cell r="R601">
            <v>4</v>
          </cell>
          <cell r="S601">
            <v>6</v>
          </cell>
          <cell r="T601" t="str">
            <v>Ciudad principal</v>
          </cell>
          <cell r="U601" t="str">
            <v>High End Cut Sheet</v>
          </cell>
          <cell r="V601" t="str">
            <v>XEROX MEXICANA SA DE CV / XEROX MEXICANA</v>
          </cell>
          <cell r="W601" t="str">
            <v>ESTADO DE MEXICO</v>
          </cell>
          <cell r="X601">
            <v>2019</v>
          </cell>
          <cell r="Y601" t="str">
            <v>Qtr 2</v>
          </cell>
          <cell r="Z601" t="str">
            <v>April</v>
          </cell>
          <cell r="AA601">
            <v>22</v>
          </cell>
          <cell r="AB601">
            <v>11</v>
          </cell>
          <cell r="AC601">
            <v>0.8</v>
          </cell>
          <cell r="AD601">
            <v>0.38333325000000001</v>
          </cell>
          <cell r="AE601">
            <v>1258.4000000000001</v>
          </cell>
        </row>
        <row r="602">
          <cell r="A602" t="str">
            <v>0BG2948912</v>
          </cell>
          <cell r="B602">
            <v>2019</v>
          </cell>
          <cell r="C602" t="str">
            <v>Qtr 2</v>
          </cell>
          <cell r="D602" t="str">
            <v>April</v>
          </cell>
          <cell r="E602">
            <v>22</v>
          </cell>
          <cell r="F602" t="str">
            <v>CORRECTIVO</v>
          </cell>
          <cell r="G602">
            <v>3.4333330000000002</v>
          </cell>
          <cell r="H602" t="str">
            <v>Light Production Digital Business</v>
          </cell>
          <cell r="I602">
            <v>803</v>
          </cell>
          <cell r="J602">
            <v>1573</v>
          </cell>
          <cell r="K602">
            <v>0.2</v>
          </cell>
          <cell r="L602">
            <v>0.6</v>
          </cell>
          <cell r="M602">
            <v>0.8</v>
          </cell>
          <cell r="N602">
            <v>1.05</v>
          </cell>
          <cell r="O602">
            <v>1.1000000000000001</v>
          </cell>
          <cell r="P602">
            <v>1.1499999999999999</v>
          </cell>
          <cell r="Q602" t="str">
            <v>INTERIOR</v>
          </cell>
          <cell r="R602">
            <v>4</v>
          </cell>
          <cell r="S602">
            <v>6</v>
          </cell>
          <cell r="T602" t="str">
            <v>Ciudad principal</v>
          </cell>
          <cell r="U602" t="str">
            <v>High End Cut Sheet</v>
          </cell>
          <cell r="V602" t="str">
            <v>XEROX MEXICANA SA DE CV / XEROX MEXICANA</v>
          </cell>
          <cell r="W602" t="str">
            <v>TAMAULIPAS</v>
          </cell>
          <cell r="X602">
            <v>2019</v>
          </cell>
          <cell r="Y602" t="str">
            <v>Qtr 2</v>
          </cell>
          <cell r="Z602" t="str">
            <v>April</v>
          </cell>
          <cell r="AA602">
            <v>22</v>
          </cell>
          <cell r="AB602">
            <v>5</v>
          </cell>
          <cell r="AC602">
            <v>0.6</v>
          </cell>
          <cell r="AD602">
            <v>0.85833325000000005</v>
          </cell>
          <cell r="AE602">
            <v>943.8</v>
          </cell>
        </row>
        <row r="603">
          <cell r="A603" t="str">
            <v>0BG2950042</v>
          </cell>
          <cell r="B603">
            <v>2019</v>
          </cell>
          <cell r="C603" t="str">
            <v>Qtr 2</v>
          </cell>
          <cell r="D603" t="str">
            <v>April</v>
          </cell>
          <cell r="E603">
            <v>22</v>
          </cell>
          <cell r="F603" t="str">
            <v>CORRECTIVO</v>
          </cell>
          <cell r="G603">
            <v>1.4166669999999999</v>
          </cell>
          <cell r="H603" t="str">
            <v>Light Production Digital Business</v>
          </cell>
          <cell r="I603">
            <v>803</v>
          </cell>
          <cell r="J603">
            <v>1573</v>
          </cell>
          <cell r="K603">
            <v>0.2</v>
          </cell>
          <cell r="L603">
            <v>0.6</v>
          </cell>
          <cell r="M603">
            <v>0.8</v>
          </cell>
          <cell r="N603">
            <v>1.05</v>
          </cell>
          <cell r="O603">
            <v>1.1000000000000001</v>
          </cell>
          <cell r="P603">
            <v>1.1499999999999999</v>
          </cell>
          <cell r="Q603" t="str">
            <v>INTERIOR</v>
          </cell>
          <cell r="R603">
            <v>4</v>
          </cell>
          <cell r="S603">
            <v>6</v>
          </cell>
          <cell r="T603" t="str">
            <v>Ciudad principal</v>
          </cell>
          <cell r="U603" t="str">
            <v>High End Cut Sheet</v>
          </cell>
          <cell r="V603" t="str">
            <v>XEROX MEXICANA SA DE CV / XEROX MEXICANA</v>
          </cell>
          <cell r="W603" t="str">
            <v>NUEVO LEON</v>
          </cell>
          <cell r="X603">
            <v>2019</v>
          </cell>
          <cell r="Y603" t="str">
            <v>Qtr 2</v>
          </cell>
          <cell r="Z603" t="str">
            <v>April</v>
          </cell>
          <cell r="AA603">
            <v>22</v>
          </cell>
          <cell r="AB603">
            <v>17</v>
          </cell>
          <cell r="AC603">
            <v>1.05</v>
          </cell>
          <cell r="AD603">
            <v>0.35416674999999997</v>
          </cell>
          <cell r="AE603">
            <v>1651.65</v>
          </cell>
        </row>
        <row r="604">
          <cell r="A604" t="str">
            <v>0BG2951676</v>
          </cell>
          <cell r="B604">
            <v>2019</v>
          </cell>
          <cell r="C604" t="str">
            <v>Qtr 2</v>
          </cell>
          <cell r="D604" t="str">
            <v>April</v>
          </cell>
          <cell r="E604">
            <v>22</v>
          </cell>
          <cell r="F604" t="str">
            <v>MANTENIMIENTO PREVENTIVO</v>
          </cell>
          <cell r="G604">
            <v>0</v>
          </cell>
          <cell r="H604" t="str">
            <v>Light Production Digital Business</v>
          </cell>
          <cell r="I604">
            <v>803</v>
          </cell>
          <cell r="J604">
            <v>1573</v>
          </cell>
          <cell r="K604">
            <v>0.2</v>
          </cell>
          <cell r="L604">
            <v>0.6</v>
          </cell>
          <cell r="M604">
            <v>0.8</v>
          </cell>
          <cell r="N604">
            <v>1.05</v>
          </cell>
          <cell r="O604">
            <v>1.1000000000000001</v>
          </cell>
          <cell r="P604">
            <v>1.1499999999999999</v>
          </cell>
          <cell r="Q604" t="str">
            <v>INTERIOR</v>
          </cell>
          <cell r="R604">
            <v>4</v>
          </cell>
          <cell r="S604">
            <v>6</v>
          </cell>
          <cell r="T604" t="str">
            <v>Ciudad principal</v>
          </cell>
          <cell r="U604" t="str">
            <v>High End Cut Sheet</v>
          </cell>
          <cell r="V604" t="str">
            <v>XEROX MEXICANA SA DE CV / XEROX MEXICANA</v>
          </cell>
          <cell r="W604" t="str">
            <v>TAMAULIPAS</v>
          </cell>
          <cell r="X604">
            <v>2019</v>
          </cell>
          <cell r="Y604" t="str">
            <v>Qtr 2</v>
          </cell>
          <cell r="Z604" t="str">
            <v>April</v>
          </cell>
          <cell r="AA604">
            <v>22</v>
          </cell>
          <cell r="AB604">
            <v>21</v>
          </cell>
          <cell r="AC604">
            <v>0</v>
          </cell>
          <cell r="AD604">
            <v>0</v>
          </cell>
          <cell r="AE604">
            <v>1573</v>
          </cell>
        </row>
        <row r="605">
          <cell r="A605" t="str">
            <v>0C4X006409</v>
          </cell>
          <cell r="B605">
            <v>2019</v>
          </cell>
          <cell r="C605" t="str">
            <v>Qtr 2</v>
          </cell>
          <cell r="D605" t="str">
            <v>April</v>
          </cell>
          <cell r="E605">
            <v>22</v>
          </cell>
          <cell r="F605" t="str">
            <v>CORRECTIVO</v>
          </cell>
          <cell r="G605">
            <v>1.3833329999999999</v>
          </cell>
          <cell r="H605" t="str">
            <v>A4 Mono MFPs</v>
          </cell>
          <cell r="I605">
            <v>468</v>
          </cell>
          <cell r="J605">
            <v>715</v>
          </cell>
          <cell r="K605">
            <v>0</v>
          </cell>
          <cell r="L605">
            <v>0</v>
          </cell>
          <cell r="M605">
            <v>0</v>
          </cell>
          <cell r="N605">
            <v>0.6</v>
          </cell>
          <cell r="O605">
            <v>0.8</v>
          </cell>
          <cell r="P605">
            <v>1.05</v>
          </cell>
          <cell r="Q605" t="str">
            <v>INTERIOR</v>
          </cell>
          <cell r="R605">
            <v>5</v>
          </cell>
          <cell r="S605">
            <v>9</v>
          </cell>
          <cell r="T605" t="str">
            <v>Ciudad principal</v>
          </cell>
          <cell r="U605" t="str">
            <v>A4 Mono MFPs</v>
          </cell>
          <cell r="V605" t="str">
            <v>XEROX MEXICANA SA DE CV / XEROX MEXICANA</v>
          </cell>
          <cell r="W605" t="str">
            <v>CHIHUAHUA</v>
          </cell>
          <cell r="X605">
            <v>2019</v>
          </cell>
          <cell r="Y605" t="str">
            <v>Qtr 2</v>
          </cell>
          <cell r="Z605" t="str">
            <v>April</v>
          </cell>
          <cell r="AA605">
            <v>24</v>
          </cell>
          <cell r="AB605">
            <v>80</v>
          </cell>
          <cell r="AC605">
            <v>1.05</v>
          </cell>
          <cell r="AD605">
            <v>0.27666659999999998</v>
          </cell>
          <cell r="AE605">
            <v>750.75</v>
          </cell>
        </row>
        <row r="606">
          <cell r="A606" t="str">
            <v>0C7X238362</v>
          </cell>
          <cell r="B606">
            <v>2019</v>
          </cell>
          <cell r="C606" t="str">
            <v>Qtr 2</v>
          </cell>
          <cell r="D606" t="str">
            <v>April</v>
          </cell>
          <cell r="E606">
            <v>22</v>
          </cell>
          <cell r="F606" t="str">
            <v>CORRECTIVO</v>
          </cell>
          <cell r="G606">
            <v>4.7833329999999998</v>
          </cell>
          <cell r="H606" t="str">
            <v>A4 Mono MFPs</v>
          </cell>
          <cell r="I606">
            <v>468</v>
          </cell>
          <cell r="J606">
            <v>715</v>
          </cell>
          <cell r="K606">
            <v>0</v>
          </cell>
          <cell r="L606">
            <v>0</v>
          </cell>
          <cell r="M606">
            <v>0</v>
          </cell>
          <cell r="N606">
            <v>0.6</v>
          </cell>
          <cell r="O606">
            <v>0.8</v>
          </cell>
          <cell r="P606">
            <v>1.05</v>
          </cell>
          <cell r="Q606" t="str">
            <v>INTERIOR</v>
          </cell>
          <cell r="R606">
            <v>5</v>
          </cell>
          <cell r="S606">
            <v>9</v>
          </cell>
          <cell r="T606" t="str">
            <v>Ciudad principal</v>
          </cell>
          <cell r="U606" t="str">
            <v>A4 Mono MFPs</v>
          </cell>
          <cell r="V606" t="str">
            <v>XEROX MEXICANA SA DE CV / XEROX MEXICANA</v>
          </cell>
          <cell r="W606" t="str">
            <v>JALISCO</v>
          </cell>
          <cell r="X606">
            <v>2019</v>
          </cell>
          <cell r="Y606" t="str">
            <v>Qtr 2</v>
          </cell>
          <cell r="Z606" t="str">
            <v>April</v>
          </cell>
          <cell r="AA606">
            <v>24</v>
          </cell>
          <cell r="AB606">
            <v>83</v>
          </cell>
          <cell r="AC606">
            <v>1.05</v>
          </cell>
          <cell r="AD606">
            <v>0.95666660000000003</v>
          </cell>
          <cell r="AE606">
            <v>750.75</v>
          </cell>
        </row>
        <row r="607">
          <cell r="A607" t="str">
            <v>0E2B649503</v>
          </cell>
          <cell r="B607">
            <v>2019</v>
          </cell>
          <cell r="C607" t="str">
            <v>Qtr 2</v>
          </cell>
          <cell r="D607" t="str">
            <v>April</v>
          </cell>
          <cell r="E607">
            <v>22</v>
          </cell>
          <cell r="F607" t="str">
            <v>CORRECTIVO</v>
          </cell>
          <cell r="G607">
            <v>1.4666669999999999</v>
          </cell>
          <cell r="H607" t="str">
            <v>Entry Production Color Low/Mid</v>
          </cell>
          <cell r="I607">
            <v>803</v>
          </cell>
          <cell r="J607">
            <v>1573</v>
          </cell>
          <cell r="K607">
            <v>0.2</v>
          </cell>
          <cell r="L607">
            <v>0.6</v>
          </cell>
          <cell r="M607">
            <v>0.8</v>
          </cell>
          <cell r="N607">
            <v>1.05</v>
          </cell>
          <cell r="O607">
            <v>1.1000000000000001</v>
          </cell>
          <cell r="P607">
            <v>1.1499999999999999</v>
          </cell>
          <cell r="Q607" t="str">
            <v>INTERIOR</v>
          </cell>
          <cell r="R607">
            <v>4</v>
          </cell>
          <cell r="S607">
            <v>6</v>
          </cell>
          <cell r="T607" t="str">
            <v>Ciudad principal</v>
          </cell>
          <cell r="U607" t="str">
            <v>Entry Production Color Low/Mid</v>
          </cell>
          <cell r="V607" t="str">
            <v>XEROX MEXICANA SA DE CV / XEROX MEXICANA</v>
          </cell>
          <cell r="W607" t="str">
            <v>SAN LUIS POTOSI</v>
          </cell>
          <cell r="X607">
            <v>2019</v>
          </cell>
          <cell r="Y607" t="str">
            <v>Qtr 2</v>
          </cell>
          <cell r="Z607" t="str">
            <v>April</v>
          </cell>
          <cell r="AA607">
            <v>22</v>
          </cell>
          <cell r="AB607">
            <v>130</v>
          </cell>
          <cell r="AC607">
            <v>1.1499999999999999</v>
          </cell>
          <cell r="AD607">
            <v>0.36666674999999999</v>
          </cell>
          <cell r="AE607">
            <v>1808.95</v>
          </cell>
        </row>
        <row r="608">
          <cell r="A608" t="str">
            <v>0E2B663679</v>
          </cell>
          <cell r="B608">
            <v>2019</v>
          </cell>
          <cell r="C608" t="str">
            <v>Qtr 2</v>
          </cell>
          <cell r="D608" t="str">
            <v>April</v>
          </cell>
          <cell r="E608">
            <v>22</v>
          </cell>
          <cell r="F608" t="str">
            <v>CORRECTIVO</v>
          </cell>
          <cell r="G608">
            <v>1.5</v>
          </cell>
          <cell r="H608" t="str">
            <v>Entry Production Color Low/Mid</v>
          </cell>
          <cell r="I608">
            <v>803</v>
          </cell>
          <cell r="J608">
            <v>1573</v>
          </cell>
          <cell r="K608">
            <v>0.2</v>
          </cell>
          <cell r="L608">
            <v>0.6</v>
          </cell>
          <cell r="M608">
            <v>0.8</v>
          </cell>
          <cell r="N608">
            <v>1.05</v>
          </cell>
          <cell r="O608">
            <v>1.1000000000000001</v>
          </cell>
          <cell r="P608">
            <v>1.1499999999999999</v>
          </cell>
          <cell r="Q608" t="str">
            <v>INTERIOR</v>
          </cell>
          <cell r="R608">
            <v>4</v>
          </cell>
          <cell r="S608">
            <v>6</v>
          </cell>
          <cell r="T608" t="str">
            <v>Ciudad principal</v>
          </cell>
          <cell r="U608" t="str">
            <v>Entry Production Color Low/Mid</v>
          </cell>
          <cell r="V608" t="str">
            <v>XEROX MEXICANA SA DE CV / XEROX MEXICANA</v>
          </cell>
          <cell r="W608" t="str">
            <v>GUANAJUATO</v>
          </cell>
          <cell r="X608">
            <v>2019</v>
          </cell>
          <cell r="Y608" t="str">
            <v>Qtr 2</v>
          </cell>
          <cell r="Z608" t="str">
            <v>April</v>
          </cell>
          <cell r="AA608">
            <v>25</v>
          </cell>
          <cell r="AB608">
            <v>45</v>
          </cell>
          <cell r="AC608">
            <v>1.1000000000000001</v>
          </cell>
          <cell r="AD608">
            <v>0.375</v>
          </cell>
          <cell r="AE608">
            <v>1730.3</v>
          </cell>
        </row>
        <row r="609">
          <cell r="A609" t="str">
            <v>0EX9293026</v>
          </cell>
          <cell r="B609">
            <v>2019</v>
          </cell>
          <cell r="C609" t="str">
            <v>Qtr 2</v>
          </cell>
          <cell r="D609" t="str">
            <v>April</v>
          </cell>
          <cell r="E609">
            <v>22</v>
          </cell>
          <cell r="F609" t="str">
            <v>CORRECTIVO</v>
          </cell>
          <cell r="G609">
            <v>0.88333329999999999</v>
          </cell>
          <cell r="H609" t="str">
            <v>Departmental Digital</v>
          </cell>
          <cell r="I609">
            <v>655</v>
          </cell>
          <cell r="J609">
            <v>1365</v>
          </cell>
          <cell r="K609">
            <v>0</v>
          </cell>
          <cell r="L609">
            <v>0</v>
          </cell>
          <cell r="M609">
            <v>0.6</v>
          </cell>
          <cell r="N609">
            <v>0.8</v>
          </cell>
          <cell r="O609">
            <v>1.05</v>
          </cell>
          <cell r="P609">
            <v>1.1000000000000001</v>
          </cell>
          <cell r="Q609" t="str">
            <v>INTERIOR</v>
          </cell>
          <cell r="R609">
            <v>5</v>
          </cell>
          <cell r="S609">
            <v>9</v>
          </cell>
          <cell r="T609" t="str">
            <v>Otras</v>
          </cell>
          <cell r="U609" t="str">
            <v>Departmental Digital</v>
          </cell>
          <cell r="V609" t="str">
            <v>XEROX MEXICANA SA DE CV / XEROX MEXICANA</v>
          </cell>
          <cell r="W609" t="str">
            <v>ESTADO DE MEXICO</v>
          </cell>
          <cell r="X609">
            <v>2019</v>
          </cell>
          <cell r="Y609" t="str">
            <v>Qtr 2</v>
          </cell>
          <cell r="Z609" t="str">
            <v>April</v>
          </cell>
          <cell r="AA609">
            <v>22</v>
          </cell>
          <cell r="AB609">
            <v>48</v>
          </cell>
          <cell r="AC609">
            <v>1.05</v>
          </cell>
          <cell r="AD609">
            <v>9.8148144444444405E-2</v>
          </cell>
          <cell r="AE609">
            <v>1433.25</v>
          </cell>
        </row>
        <row r="610">
          <cell r="A610" t="str">
            <v>0EX9293145</v>
          </cell>
          <cell r="B610">
            <v>2019</v>
          </cell>
          <cell r="C610" t="str">
            <v>Qtr 2</v>
          </cell>
          <cell r="D610" t="str">
            <v>April</v>
          </cell>
          <cell r="E610">
            <v>22</v>
          </cell>
          <cell r="F610" t="str">
            <v>CORRECTIVO</v>
          </cell>
          <cell r="G610">
            <v>1.183333</v>
          </cell>
          <cell r="H610" t="str">
            <v>Departmental Digital</v>
          </cell>
          <cell r="I610">
            <v>655</v>
          </cell>
          <cell r="J610">
            <v>1365</v>
          </cell>
          <cell r="K610">
            <v>0</v>
          </cell>
          <cell r="L610">
            <v>0</v>
          </cell>
          <cell r="M610">
            <v>0.6</v>
          </cell>
          <cell r="N610">
            <v>0.8</v>
          </cell>
          <cell r="O610">
            <v>1.05</v>
          </cell>
          <cell r="P610">
            <v>1.1000000000000001</v>
          </cell>
          <cell r="Q610" t="str">
            <v>INTERIOR</v>
          </cell>
          <cell r="R610">
            <v>5</v>
          </cell>
          <cell r="S610">
            <v>9</v>
          </cell>
          <cell r="T610" t="str">
            <v>Ciudad principal</v>
          </cell>
          <cell r="U610" t="str">
            <v>Departmental Digital</v>
          </cell>
          <cell r="V610" t="str">
            <v>XEROX MEXICANA SA DE CV / XEROX MEXICANA</v>
          </cell>
          <cell r="W610" t="str">
            <v>JALISCO</v>
          </cell>
          <cell r="X610">
            <v>2019</v>
          </cell>
          <cell r="Y610" t="str">
            <v>Qtr 2</v>
          </cell>
          <cell r="Z610" t="str">
            <v>April</v>
          </cell>
          <cell r="AA610">
            <v>22</v>
          </cell>
          <cell r="AB610">
            <v>18</v>
          </cell>
          <cell r="AC610">
            <v>0.8</v>
          </cell>
          <cell r="AD610">
            <v>0.2366666</v>
          </cell>
          <cell r="AE610">
            <v>1092</v>
          </cell>
        </row>
        <row r="611">
          <cell r="A611" t="str">
            <v>0RXD109069</v>
          </cell>
          <cell r="B611">
            <v>2019</v>
          </cell>
          <cell r="C611" t="str">
            <v>Qtr 2</v>
          </cell>
          <cell r="D611" t="str">
            <v>April</v>
          </cell>
          <cell r="E611">
            <v>22</v>
          </cell>
          <cell r="F611" t="str">
            <v>MANTENIMIENTO PREVENTIVO</v>
          </cell>
          <cell r="G611">
            <v>0</v>
          </cell>
          <cell r="H611" t="str">
            <v>Color Laser Printers</v>
          </cell>
          <cell r="I611">
            <v>468</v>
          </cell>
          <cell r="J611">
            <v>715</v>
          </cell>
          <cell r="K611">
            <v>0</v>
          </cell>
          <cell r="L611">
            <v>0</v>
          </cell>
          <cell r="M611">
            <v>0</v>
          </cell>
          <cell r="N611">
            <v>0.6</v>
          </cell>
          <cell r="O611">
            <v>0.8</v>
          </cell>
          <cell r="P611">
            <v>1.05</v>
          </cell>
          <cell r="Q611" t="str">
            <v>INTERIOR</v>
          </cell>
          <cell r="R611">
            <v>5</v>
          </cell>
          <cell r="S611">
            <v>9</v>
          </cell>
          <cell r="T611" t="str">
            <v>Ciudad principal</v>
          </cell>
          <cell r="U611" t="str">
            <v>Departmental Digital</v>
          </cell>
          <cell r="V611" t="str">
            <v>XEROX MEXICANA SA DE CV / XEROX MEXICANA</v>
          </cell>
          <cell r="W611" t="str">
            <v>CHIHUAHUA</v>
          </cell>
          <cell r="X611">
            <v>2019</v>
          </cell>
          <cell r="Y611" t="str">
            <v>Qtr 2</v>
          </cell>
          <cell r="Z611" t="str">
            <v>April</v>
          </cell>
          <cell r="AA611">
            <v>22</v>
          </cell>
          <cell r="AB611">
            <v>21</v>
          </cell>
          <cell r="AC611">
            <v>0</v>
          </cell>
          <cell r="AD611">
            <v>0</v>
          </cell>
          <cell r="AE611">
            <v>715</v>
          </cell>
        </row>
        <row r="612">
          <cell r="A612" t="str">
            <v>0RXD143457</v>
          </cell>
          <cell r="B612">
            <v>2019</v>
          </cell>
          <cell r="C612" t="str">
            <v>Qtr 2</v>
          </cell>
          <cell r="D612" t="str">
            <v>April</v>
          </cell>
          <cell r="E612">
            <v>22</v>
          </cell>
          <cell r="F612" t="str">
            <v>MANTENIMIENTO PREVENTIVO</v>
          </cell>
          <cell r="G612">
            <v>0</v>
          </cell>
          <cell r="H612" t="str">
            <v>Color Laser Printers</v>
          </cell>
          <cell r="I612">
            <v>468</v>
          </cell>
          <cell r="J612">
            <v>715</v>
          </cell>
          <cell r="K612">
            <v>0</v>
          </cell>
          <cell r="L612">
            <v>0</v>
          </cell>
          <cell r="M612">
            <v>0</v>
          </cell>
          <cell r="N612">
            <v>0.6</v>
          </cell>
          <cell r="O612">
            <v>0.8</v>
          </cell>
          <cell r="P612">
            <v>1.05</v>
          </cell>
          <cell r="Q612" t="str">
            <v>INTERIOR</v>
          </cell>
          <cell r="R612">
            <v>5</v>
          </cell>
          <cell r="S612">
            <v>9</v>
          </cell>
          <cell r="T612" t="str">
            <v>Ciudad principal</v>
          </cell>
          <cell r="U612" t="str">
            <v>Departmental Digital</v>
          </cell>
          <cell r="V612" t="str">
            <v>XEROX MEXICANA SA DE CV / XEROX MEXICANA</v>
          </cell>
          <cell r="W612" t="str">
            <v>CHIHUAHUA</v>
          </cell>
          <cell r="X612">
            <v>2019</v>
          </cell>
          <cell r="Y612" t="str">
            <v>Qtr 2</v>
          </cell>
          <cell r="Z612" t="str">
            <v>April</v>
          </cell>
          <cell r="AA612">
            <v>23</v>
          </cell>
          <cell r="AB612">
            <v>17</v>
          </cell>
          <cell r="AC612">
            <v>0</v>
          </cell>
          <cell r="AD612">
            <v>0</v>
          </cell>
          <cell r="AE612">
            <v>715</v>
          </cell>
        </row>
        <row r="613">
          <cell r="A613" t="str">
            <v>0X76370965</v>
          </cell>
          <cell r="B613">
            <v>2019</v>
          </cell>
          <cell r="C613" t="str">
            <v>Qtr 2</v>
          </cell>
          <cell r="D613" t="str">
            <v>April</v>
          </cell>
          <cell r="E613">
            <v>22</v>
          </cell>
          <cell r="F613" t="str">
            <v>CORRECTIVO</v>
          </cell>
          <cell r="G613">
            <v>0.35</v>
          </cell>
          <cell r="H613" t="str">
            <v>Office Digital</v>
          </cell>
          <cell r="I613">
            <v>655</v>
          </cell>
          <cell r="J613">
            <v>1365</v>
          </cell>
          <cell r="K613">
            <v>0</v>
          </cell>
          <cell r="L613">
            <v>0</v>
          </cell>
          <cell r="M613">
            <v>0.6</v>
          </cell>
          <cell r="N613">
            <v>0.8</v>
          </cell>
          <cell r="O613">
            <v>1.05</v>
          </cell>
          <cell r="P613">
            <v>1.1000000000000001</v>
          </cell>
          <cell r="Q613" t="str">
            <v>INTERIOR</v>
          </cell>
          <cell r="R613">
            <v>5</v>
          </cell>
          <cell r="S613">
            <v>9</v>
          </cell>
          <cell r="T613" t="str">
            <v>Ciudad principal</v>
          </cell>
          <cell r="U613" t="str">
            <v>Departmental Digital</v>
          </cell>
          <cell r="V613" t="str">
            <v>XEROX MEXICANA SA DE CV / XEROX MEXICANA</v>
          </cell>
          <cell r="W613" t="str">
            <v>CHIHUAHUA</v>
          </cell>
          <cell r="X613">
            <v>2019</v>
          </cell>
          <cell r="Y613" t="str">
            <v>Qtr 2</v>
          </cell>
          <cell r="Z613" t="str">
            <v>April</v>
          </cell>
          <cell r="AA613">
            <v>24</v>
          </cell>
          <cell r="AB613">
            <v>10</v>
          </cell>
          <cell r="AC613">
            <v>0.6</v>
          </cell>
          <cell r="AD613">
            <v>7.0000000000000007E-2</v>
          </cell>
          <cell r="AE613">
            <v>819</v>
          </cell>
        </row>
        <row r="614">
          <cell r="A614" t="str">
            <v>0X76371386</v>
          </cell>
          <cell r="B614">
            <v>2019</v>
          </cell>
          <cell r="C614" t="str">
            <v>Qtr 2</v>
          </cell>
          <cell r="D614" t="str">
            <v>April</v>
          </cell>
          <cell r="E614">
            <v>22</v>
          </cell>
          <cell r="F614" t="str">
            <v>CORRECTIVO</v>
          </cell>
          <cell r="G614">
            <v>1.35</v>
          </cell>
          <cell r="H614" t="str">
            <v>Departmental Digital</v>
          </cell>
          <cell r="I614">
            <v>655</v>
          </cell>
          <cell r="J614">
            <v>1365</v>
          </cell>
          <cell r="K614">
            <v>0</v>
          </cell>
          <cell r="L614">
            <v>0</v>
          </cell>
          <cell r="M614">
            <v>0.6</v>
          </cell>
          <cell r="N614">
            <v>0.8</v>
          </cell>
          <cell r="O614">
            <v>1.05</v>
          </cell>
          <cell r="P614">
            <v>1.1000000000000001</v>
          </cell>
          <cell r="Q614" t="str">
            <v>INTERIOR</v>
          </cell>
          <cell r="R614">
            <v>5</v>
          </cell>
          <cell r="S614">
            <v>9</v>
          </cell>
          <cell r="T614" t="str">
            <v>Ciudad principal</v>
          </cell>
          <cell r="U614" t="str">
            <v>Departmental Digital</v>
          </cell>
          <cell r="V614" t="str">
            <v>XEROX MEXICANA SA DE CV / XEROX MEXICANA</v>
          </cell>
          <cell r="W614" t="str">
            <v>NUEVO LEON</v>
          </cell>
          <cell r="X614">
            <v>2019</v>
          </cell>
          <cell r="Y614" t="str">
            <v>Qtr 2</v>
          </cell>
          <cell r="Z614" t="str">
            <v>April</v>
          </cell>
          <cell r="AA614">
            <v>22</v>
          </cell>
          <cell r="AB614">
            <v>60</v>
          </cell>
          <cell r="AC614">
            <v>1.1000000000000001</v>
          </cell>
          <cell r="AD614">
            <v>0.27</v>
          </cell>
          <cell r="AE614">
            <v>1501.5</v>
          </cell>
        </row>
        <row r="615">
          <cell r="A615" t="str">
            <v>0X76703816</v>
          </cell>
          <cell r="B615">
            <v>2019</v>
          </cell>
          <cell r="C615" t="str">
            <v>Qtr 2</v>
          </cell>
          <cell r="D615" t="str">
            <v>April</v>
          </cell>
          <cell r="E615">
            <v>22</v>
          </cell>
          <cell r="F615" t="str">
            <v>CORRECTIVO</v>
          </cell>
          <cell r="G615">
            <v>0.1833333</v>
          </cell>
          <cell r="H615" t="str">
            <v>Departmental Digital</v>
          </cell>
          <cell r="I615">
            <v>655</v>
          </cell>
          <cell r="J615">
            <v>1365</v>
          </cell>
          <cell r="K615">
            <v>0</v>
          </cell>
          <cell r="L615">
            <v>0</v>
          </cell>
          <cell r="M615">
            <v>0.6</v>
          </cell>
          <cell r="N615">
            <v>0.8</v>
          </cell>
          <cell r="O615">
            <v>1.05</v>
          </cell>
          <cell r="P615">
            <v>1.1000000000000001</v>
          </cell>
          <cell r="Q615" t="str">
            <v>INTERIOR</v>
          </cell>
          <cell r="R615">
            <v>5</v>
          </cell>
          <cell r="S615">
            <v>9</v>
          </cell>
          <cell r="T615" t="str">
            <v>Ciudad principal</v>
          </cell>
          <cell r="U615" t="str">
            <v>Departmental Digital</v>
          </cell>
          <cell r="V615" t="str">
            <v>XEROX MEXICANA SA DE CV / XEROX MEXICANA</v>
          </cell>
          <cell r="W615" t="str">
            <v>CHIHUAHUA</v>
          </cell>
          <cell r="X615">
            <v>2019</v>
          </cell>
          <cell r="Y615" t="str">
            <v>Qtr 2</v>
          </cell>
          <cell r="Z615" t="str">
            <v>April</v>
          </cell>
          <cell r="AA615">
            <v>22</v>
          </cell>
          <cell r="AB615">
            <v>84</v>
          </cell>
          <cell r="AC615">
            <v>1.1000000000000001</v>
          </cell>
          <cell r="AD615">
            <v>3.6666659999999997E-2</v>
          </cell>
          <cell r="AE615">
            <v>1501.5</v>
          </cell>
        </row>
        <row r="616">
          <cell r="A616" t="str">
            <v>0X76707836</v>
          </cell>
          <cell r="B616">
            <v>2019</v>
          </cell>
          <cell r="C616" t="str">
            <v>Qtr 2</v>
          </cell>
          <cell r="D616" t="str">
            <v>April</v>
          </cell>
          <cell r="E616">
            <v>22</v>
          </cell>
          <cell r="F616" t="str">
            <v>CORRECTIVO</v>
          </cell>
          <cell r="G616">
            <v>1.066667</v>
          </cell>
          <cell r="H616" t="str">
            <v>Office Digital</v>
          </cell>
          <cell r="I616">
            <v>655</v>
          </cell>
          <cell r="J616">
            <v>1365</v>
          </cell>
          <cell r="K616">
            <v>0</v>
          </cell>
          <cell r="L616">
            <v>0</v>
          </cell>
          <cell r="M616">
            <v>0.6</v>
          </cell>
          <cell r="N616">
            <v>0.8</v>
          </cell>
          <cell r="O616">
            <v>1.05</v>
          </cell>
          <cell r="P616">
            <v>1.1000000000000001</v>
          </cell>
          <cell r="Q616" t="str">
            <v>INTERIOR</v>
          </cell>
          <cell r="R616">
            <v>5</v>
          </cell>
          <cell r="S616">
            <v>9</v>
          </cell>
          <cell r="T616" t="str">
            <v>Ciudad principal</v>
          </cell>
          <cell r="U616" t="str">
            <v>Departmental Digital</v>
          </cell>
          <cell r="V616" t="str">
            <v>XEROX MEXICANA SA DE CV / XEROX MEXICANA</v>
          </cell>
          <cell r="W616" t="str">
            <v>DURANGO</v>
          </cell>
          <cell r="X616">
            <v>2019</v>
          </cell>
          <cell r="Y616" t="str">
            <v>Qtr 2</v>
          </cell>
          <cell r="Z616" t="str">
            <v>April</v>
          </cell>
          <cell r="AA616">
            <v>23</v>
          </cell>
          <cell r="AB616">
            <v>48</v>
          </cell>
          <cell r="AC616">
            <v>1.05</v>
          </cell>
          <cell r="AD616">
            <v>0.21333340000000001</v>
          </cell>
          <cell r="AE616">
            <v>1433.25</v>
          </cell>
        </row>
        <row r="617">
          <cell r="A617" t="str">
            <v>0XEH805292</v>
          </cell>
          <cell r="B617">
            <v>2019</v>
          </cell>
          <cell r="C617" t="str">
            <v>Qtr 2</v>
          </cell>
          <cell r="D617" t="str">
            <v>April</v>
          </cell>
          <cell r="E617">
            <v>22</v>
          </cell>
          <cell r="F617" t="str">
            <v>CORRECTIVO</v>
          </cell>
          <cell r="G617">
            <v>1.816667</v>
          </cell>
          <cell r="I617" t="str">
            <v>NA</v>
          </cell>
          <cell r="J617" t="str">
            <v>NA</v>
          </cell>
          <cell r="K617" t="str">
            <v>NA</v>
          </cell>
          <cell r="L617" t="str">
            <v>NA</v>
          </cell>
          <cell r="M617" t="str">
            <v>NA</v>
          </cell>
          <cell r="N617" t="str">
            <v>NA</v>
          </cell>
          <cell r="O617" t="str">
            <v>NA</v>
          </cell>
          <cell r="P617" t="str">
            <v>NA</v>
          </cell>
          <cell r="R617" t="str">
            <v>NA</v>
          </cell>
          <cell r="S617" t="str">
            <v>NA</v>
          </cell>
          <cell r="U617" t="str">
            <v>Departmental Digital</v>
          </cell>
          <cell r="V617" t="str">
            <v>XEROX MEXICANA SA DE CV / XEROX MEXICANA</v>
          </cell>
          <cell r="W617" t="str">
            <v>CHIHUAHUA</v>
          </cell>
          <cell r="X617">
            <v>2019</v>
          </cell>
          <cell r="Y617" t="str">
            <v>Qtr 2</v>
          </cell>
          <cell r="Z617" t="str">
            <v>April</v>
          </cell>
          <cell r="AA617">
            <v>22</v>
          </cell>
          <cell r="AB617">
            <v>0</v>
          </cell>
          <cell r="AC617">
            <v>1.1000000000000001</v>
          </cell>
          <cell r="AD617">
            <v>0</v>
          </cell>
          <cell r="AE617">
            <v>1030.25</v>
          </cell>
        </row>
        <row r="618">
          <cell r="A618" t="str">
            <v>0XEL562732</v>
          </cell>
          <cell r="B618">
            <v>2019</v>
          </cell>
          <cell r="C618" t="str">
            <v>Qtr 2</v>
          </cell>
          <cell r="D618" t="str">
            <v>April</v>
          </cell>
          <cell r="E618">
            <v>22</v>
          </cell>
          <cell r="F618" t="str">
            <v>CORRECTIVO</v>
          </cell>
          <cell r="G618">
            <v>10.283329999999999</v>
          </cell>
          <cell r="H618" t="str">
            <v>Departmental Digital</v>
          </cell>
          <cell r="I618">
            <v>655</v>
          </cell>
          <cell r="J618">
            <v>1365</v>
          </cell>
          <cell r="K618">
            <v>0</v>
          </cell>
          <cell r="L618">
            <v>0</v>
          </cell>
          <cell r="M618">
            <v>0.6</v>
          </cell>
          <cell r="N618">
            <v>0.8</v>
          </cell>
          <cell r="O618">
            <v>1.05</v>
          </cell>
          <cell r="P618">
            <v>1.1000000000000001</v>
          </cell>
          <cell r="Q618" t="str">
            <v>INTERIOR</v>
          </cell>
          <cell r="R618">
            <v>5</v>
          </cell>
          <cell r="S618">
            <v>9</v>
          </cell>
          <cell r="T618" t="str">
            <v>Otras</v>
          </cell>
          <cell r="U618" t="str">
            <v>Departmental Digital</v>
          </cell>
          <cell r="V618" t="str">
            <v>XEROX MEXICANA SA DE CV / XEROX MEXICANA</v>
          </cell>
          <cell r="W618" t="str">
            <v>MICHOACAN</v>
          </cell>
          <cell r="X618">
            <v>2019</v>
          </cell>
          <cell r="Y618" t="str">
            <v>Qtr 2</v>
          </cell>
          <cell r="Z618" t="str">
            <v>April</v>
          </cell>
          <cell r="AA618">
            <v>23</v>
          </cell>
          <cell r="AB618">
            <v>20</v>
          </cell>
          <cell r="AC618">
            <v>0.8</v>
          </cell>
          <cell r="AD618">
            <v>1.14259222222222</v>
          </cell>
          <cell r="AE618">
            <v>1043.3404041666699</v>
          </cell>
        </row>
        <row r="619">
          <cell r="A619" t="str">
            <v>0XL3583788</v>
          </cell>
          <cell r="B619">
            <v>2019</v>
          </cell>
          <cell r="C619" t="str">
            <v>Qtr 2</v>
          </cell>
          <cell r="D619" t="str">
            <v>April</v>
          </cell>
          <cell r="E619">
            <v>22</v>
          </cell>
          <cell r="F619" t="str">
            <v>CORRECTIVO</v>
          </cell>
          <cell r="G619">
            <v>1.183333</v>
          </cell>
          <cell r="H619" t="str">
            <v>A4 Color Laser MFPs</v>
          </cell>
          <cell r="I619">
            <v>468</v>
          </cell>
          <cell r="J619">
            <v>715</v>
          </cell>
          <cell r="K619">
            <v>0</v>
          </cell>
          <cell r="L619">
            <v>0</v>
          </cell>
          <cell r="M619">
            <v>0</v>
          </cell>
          <cell r="N619">
            <v>0.6</v>
          </cell>
          <cell r="O619">
            <v>0.8</v>
          </cell>
          <cell r="P619">
            <v>1.05</v>
          </cell>
          <cell r="Q619" t="str">
            <v>INTERIOR</v>
          </cell>
          <cell r="R619">
            <v>5</v>
          </cell>
          <cell r="S619">
            <v>9</v>
          </cell>
          <cell r="T619" t="str">
            <v>Ciudad principal</v>
          </cell>
          <cell r="U619" t="str">
            <v>A4 Mono MFPs</v>
          </cell>
          <cell r="V619" t="str">
            <v>XEROX MEXICANA SA DE CV / XEROX MEXICANA</v>
          </cell>
          <cell r="W619" t="str">
            <v>CHIHUAHUA</v>
          </cell>
          <cell r="X619">
            <v>2019</v>
          </cell>
          <cell r="Y619" t="str">
            <v>Qtr 2</v>
          </cell>
          <cell r="Z619" t="str">
            <v>April</v>
          </cell>
          <cell r="AA619">
            <v>25</v>
          </cell>
          <cell r="AB619">
            <v>369</v>
          </cell>
          <cell r="AC619">
            <v>1.05</v>
          </cell>
          <cell r="AD619">
            <v>0.2366666</v>
          </cell>
          <cell r="AE619">
            <v>750.75</v>
          </cell>
        </row>
        <row r="620">
          <cell r="A620" t="str">
            <v>0XLT280687</v>
          </cell>
          <cell r="B620">
            <v>2019</v>
          </cell>
          <cell r="C620" t="str">
            <v>Qtr 2</v>
          </cell>
          <cell r="D620" t="str">
            <v>April</v>
          </cell>
          <cell r="E620">
            <v>22</v>
          </cell>
          <cell r="F620" t="str">
            <v>MANTENIMIENTO PREVENTIVO</v>
          </cell>
          <cell r="G620">
            <v>0</v>
          </cell>
          <cell r="I620" t="str">
            <v>NA</v>
          </cell>
          <cell r="J620" t="str">
            <v>NA</v>
          </cell>
          <cell r="K620" t="str">
            <v>NA</v>
          </cell>
          <cell r="L620" t="str">
            <v>NA</v>
          </cell>
          <cell r="M620" t="str">
            <v>NA</v>
          </cell>
          <cell r="N620" t="str">
            <v>NA</v>
          </cell>
          <cell r="O620" t="str">
            <v>NA</v>
          </cell>
          <cell r="P620" t="str">
            <v>NA</v>
          </cell>
          <cell r="R620" t="str">
            <v>NA</v>
          </cell>
          <cell r="S620" t="str">
            <v>NA</v>
          </cell>
          <cell r="U620" t="str">
            <v>Entry Mono Printers</v>
          </cell>
          <cell r="V620" t="str">
            <v>XEROX MEXICANA SA DE CV / XEROX MEXICANA</v>
          </cell>
          <cell r="W620" t="str">
            <v>CHIHUAHUA</v>
          </cell>
          <cell r="X620">
            <v>2019</v>
          </cell>
          <cell r="Y620" t="str">
            <v>Qtr 2</v>
          </cell>
          <cell r="Z620" t="str">
            <v>April</v>
          </cell>
          <cell r="AA620">
            <v>22</v>
          </cell>
          <cell r="AB620">
            <v>176</v>
          </cell>
          <cell r="AC620">
            <v>1.1000000000000001</v>
          </cell>
          <cell r="AD620">
            <v>0</v>
          </cell>
          <cell r="AE620">
            <v>715</v>
          </cell>
        </row>
        <row r="621">
          <cell r="A621" t="str">
            <v>0XLT282436</v>
          </cell>
          <cell r="B621">
            <v>2019</v>
          </cell>
          <cell r="C621" t="str">
            <v>Qtr 2</v>
          </cell>
          <cell r="D621" t="str">
            <v>April</v>
          </cell>
          <cell r="E621">
            <v>22</v>
          </cell>
          <cell r="F621" t="str">
            <v>MANTENIMIENTO PREVENTIVO</v>
          </cell>
          <cell r="G621">
            <v>0</v>
          </cell>
          <cell r="H621" t="str">
            <v>Entry Mono Printers</v>
          </cell>
          <cell r="I621">
            <v>468</v>
          </cell>
          <cell r="J621">
            <v>715</v>
          </cell>
          <cell r="K621">
            <v>0</v>
          </cell>
          <cell r="L621">
            <v>0</v>
          </cell>
          <cell r="M621">
            <v>0</v>
          </cell>
          <cell r="N621">
            <v>0.6</v>
          </cell>
          <cell r="O621">
            <v>0.8</v>
          </cell>
          <cell r="P621">
            <v>1.05</v>
          </cell>
          <cell r="Q621" t="str">
            <v>INTERIOR</v>
          </cell>
          <cell r="R621">
            <v>5</v>
          </cell>
          <cell r="S621">
            <v>9</v>
          </cell>
          <cell r="T621" t="str">
            <v>Ciudad principal</v>
          </cell>
          <cell r="U621" t="str">
            <v>Entry Mono Printers</v>
          </cell>
          <cell r="V621" t="str">
            <v>XEROX MEXICANA SA DE CV / XEROX MEXICANA</v>
          </cell>
          <cell r="W621" t="str">
            <v>CHIHUAHUA</v>
          </cell>
          <cell r="X621">
            <v>2019</v>
          </cell>
          <cell r="Y621" t="str">
            <v>Qtr 2</v>
          </cell>
          <cell r="Z621" t="str">
            <v>April</v>
          </cell>
          <cell r="AA621">
            <v>22</v>
          </cell>
          <cell r="AB621">
            <v>14</v>
          </cell>
          <cell r="AC621">
            <v>0</v>
          </cell>
          <cell r="AD621">
            <v>0</v>
          </cell>
          <cell r="AE621">
            <v>715</v>
          </cell>
        </row>
        <row r="622">
          <cell r="A622" t="str">
            <v>0XPN548347</v>
          </cell>
          <cell r="B622">
            <v>2019</v>
          </cell>
          <cell r="C622" t="str">
            <v>Qtr 2</v>
          </cell>
          <cell r="D622" t="str">
            <v>April</v>
          </cell>
          <cell r="E622">
            <v>22</v>
          </cell>
          <cell r="F622" t="str">
            <v>CORRECTIVO</v>
          </cell>
          <cell r="G622">
            <v>2.9</v>
          </cell>
          <cell r="H622" t="str">
            <v>Entry Production Color Low/Mid</v>
          </cell>
          <cell r="I622">
            <v>803</v>
          </cell>
          <cell r="J622">
            <v>1573</v>
          </cell>
          <cell r="K622">
            <v>0.2</v>
          </cell>
          <cell r="L622">
            <v>0.6</v>
          </cell>
          <cell r="M622">
            <v>0.8</v>
          </cell>
          <cell r="N622">
            <v>1.05</v>
          </cell>
          <cell r="O622">
            <v>1.1000000000000001</v>
          </cell>
          <cell r="P622">
            <v>1.1499999999999999</v>
          </cell>
          <cell r="Q622" t="str">
            <v>INTERIOR</v>
          </cell>
          <cell r="R622">
            <v>4</v>
          </cell>
          <cell r="S622">
            <v>6</v>
          </cell>
          <cell r="T622" t="str">
            <v>Ciudad principal</v>
          </cell>
          <cell r="U622" t="str">
            <v>Entry Production Color Low/Mid</v>
          </cell>
          <cell r="V622" t="str">
            <v>XEROX MEXICANA SA DE CV / XEROX MEXICANA</v>
          </cell>
          <cell r="W622" t="str">
            <v>TAMAULIPAS</v>
          </cell>
          <cell r="X622">
            <v>2019</v>
          </cell>
          <cell r="Y622" t="str">
            <v>Qtr 2</v>
          </cell>
          <cell r="Z622" t="str">
            <v>April</v>
          </cell>
          <cell r="AA622">
            <v>24</v>
          </cell>
          <cell r="AB622">
            <v>125</v>
          </cell>
          <cell r="AC622">
            <v>1.1499999999999999</v>
          </cell>
          <cell r="AD622">
            <v>0.72499999999999998</v>
          </cell>
          <cell r="AE622">
            <v>1808.95</v>
          </cell>
        </row>
        <row r="623">
          <cell r="A623" t="str">
            <v>0Y4X842481</v>
          </cell>
          <cell r="B623">
            <v>2019</v>
          </cell>
          <cell r="C623" t="str">
            <v>Qtr 2</v>
          </cell>
          <cell r="D623" t="str">
            <v>April</v>
          </cell>
          <cell r="E623">
            <v>22</v>
          </cell>
          <cell r="F623" t="str">
            <v>CORRECTIVO</v>
          </cell>
          <cell r="G623">
            <v>1.9</v>
          </cell>
          <cell r="H623" t="str">
            <v>Office Digital</v>
          </cell>
          <cell r="I623">
            <v>655</v>
          </cell>
          <cell r="J623">
            <v>1365</v>
          </cell>
          <cell r="K623">
            <v>0</v>
          </cell>
          <cell r="L623">
            <v>0</v>
          </cell>
          <cell r="M623">
            <v>0.6</v>
          </cell>
          <cell r="N623">
            <v>0.8</v>
          </cell>
          <cell r="O623">
            <v>1.05</v>
          </cell>
          <cell r="P623">
            <v>1.1000000000000001</v>
          </cell>
          <cell r="Q623" t="str">
            <v>INTERIOR</v>
          </cell>
          <cell r="R623">
            <v>5</v>
          </cell>
          <cell r="S623">
            <v>9</v>
          </cell>
          <cell r="T623" t="str">
            <v>Ciudad principal</v>
          </cell>
          <cell r="U623" t="str">
            <v>Light Production Digital Business</v>
          </cell>
          <cell r="V623" t="str">
            <v>XEROX MEXICANA SA DE CV / XEROX MEXICANA</v>
          </cell>
          <cell r="W623" t="str">
            <v>NUEVO LEON</v>
          </cell>
          <cell r="X623">
            <v>2019</v>
          </cell>
          <cell r="Y623" t="str">
            <v>Qtr 2</v>
          </cell>
          <cell r="Z623" t="str">
            <v>April</v>
          </cell>
          <cell r="AA623">
            <v>25</v>
          </cell>
          <cell r="AB623">
            <v>314</v>
          </cell>
          <cell r="AC623">
            <v>1.1000000000000001</v>
          </cell>
          <cell r="AD623">
            <v>0.38</v>
          </cell>
          <cell r="AE623">
            <v>1501.5</v>
          </cell>
        </row>
        <row r="624">
          <cell r="A624" t="str">
            <v>0Y4X846822</v>
          </cell>
          <cell r="B624">
            <v>2019</v>
          </cell>
          <cell r="C624" t="str">
            <v>Qtr 2</v>
          </cell>
          <cell r="D624" t="str">
            <v>April</v>
          </cell>
          <cell r="E624">
            <v>22</v>
          </cell>
          <cell r="F624" t="str">
            <v>CORRECTIVO</v>
          </cell>
          <cell r="G624">
            <v>0</v>
          </cell>
          <cell r="H624" t="str">
            <v>Departmental Digital</v>
          </cell>
          <cell r="I624">
            <v>655</v>
          </cell>
          <cell r="J624">
            <v>1365</v>
          </cell>
          <cell r="K624">
            <v>0</v>
          </cell>
          <cell r="L624">
            <v>0</v>
          </cell>
          <cell r="M624">
            <v>0.6</v>
          </cell>
          <cell r="N624">
            <v>0.8</v>
          </cell>
          <cell r="O624">
            <v>1.05</v>
          </cell>
          <cell r="P624">
            <v>1.1000000000000001</v>
          </cell>
          <cell r="Q624" t="str">
            <v>INTERIOR</v>
          </cell>
          <cell r="R624">
            <v>5</v>
          </cell>
          <cell r="S624">
            <v>9</v>
          </cell>
          <cell r="T624" t="str">
            <v>Ciudad principal</v>
          </cell>
          <cell r="U624" t="str">
            <v>Light Production Digital Business</v>
          </cell>
          <cell r="V624" t="str">
            <v>XEROX MEXICANA SA DE CV / XEROX MEXICANA</v>
          </cell>
          <cell r="W624" t="str">
            <v>CHIHUAHUA</v>
          </cell>
          <cell r="X624">
            <v>2019</v>
          </cell>
          <cell r="Y624" t="str">
            <v>Qtr 2</v>
          </cell>
          <cell r="Z624" t="str">
            <v>April</v>
          </cell>
          <cell r="AA624">
            <v>24</v>
          </cell>
          <cell r="AB624">
            <v>160</v>
          </cell>
          <cell r="AC624">
            <v>1.1000000000000001</v>
          </cell>
          <cell r="AD624">
            <v>0</v>
          </cell>
          <cell r="AE624">
            <v>1501.5</v>
          </cell>
        </row>
        <row r="625">
          <cell r="A625" t="str">
            <v>5AV814873</v>
          </cell>
          <cell r="B625">
            <v>2019</v>
          </cell>
          <cell r="C625" t="str">
            <v>Qtr 2</v>
          </cell>
          <cell r="D625" t="str">
            <v>April</v>
          </cell>
          <cell r="E625">
            <v>22</v>
          </cell>
          <cell r="F625" t="str">
            <v>CORRECTIVO</v>
          </cell>
          <cell r="G625">
            <v>1.6666670000000001E-2</v>
          </cell>
          <cell r="H625" t="str">
            <v>A4 Color Laser MFPs</v>
          </cell>
          <cell r="I625">
            <v>468</v>
          </cell>
          <cell r="J625">
            <v>715</v>
          </cell>
          <cell r="K625">
            <v>0</v>
          </cell>
          <cell r="L625">
            <v>0</v>
          </cell>
          <cell r="M625">
            <v>0</v>
          </cell>
          <cell r="N625">
            <v>0.6</v>
          </cell>
          <cell r="O625">
            <v>0.8</v>
          </cell>
          <cell r="P625">
            <v>1.05</v>
          </cell>
          <cell r="Q625" t="str">
            <v>INTERIOR</v>
          </cell>
          <cell r="R625">
            <v>5</v>
          </cell>
          <cell r="S625">
            <v>9</v>
          </cell>
          <cell r="T625" t="str">
            <v>Ciudad principal</v>
          </cell>
          <cell r="U625" t="str">
            <v>A4 Color Laser MFPs</v>
          </cell>
          <cell r="V625" t="str">
            <v>XEROX MEXICANA SA DE CV / XEROX MEXICANA</v>
          </cell>
          <cell r="W625" t="str">
            <v>GUANAJUATO</v>
          </cell>
          <cell r="X625">
            <v>2019</v>
          </cell>
          <cell r="Y625" t="str">
            <v>Qtr 2</v>
          </cell>
          <cell r="Z625" t="str">
            <v>April</v>
          </cell>
          <cell r="AA625">
            <v>23</v>
          </cell>
          <cell r="AB625">
            <v>71</v>
          </cell>
          <cell r="AC625">
            <v>1.05</v>
          </cell>
          <cell r="AD625">
            <v>3.3333339999999999E-3</v>
          </cell>
          <cell r="AE625">
            <v>750.75</v>
          </cell>
        </row>
        <row r="626">
          <cell r="A626" t="str">
            <v>03AG873545</v>
          </cell>
          <cell r="B626">
            <v>2019</v>
          </cell>
          <cell r="C626" t="str">
            <v>Qtr 2</v>
          </cell>
          <cell r="D626" t="str">
            <v>April</v>
          </cell>
          <cell r="E626">
            <v>23</v>
          </cell>
          <cell r="F626" t="str">
            <v>CORRECTIVO</v>
          </cell>
          <cell r="G626">
            <v>0.71666660000000004</v>
          </cell>
          <cell r="H626" t="str">
            <v>Departmental Digital</v>
          </cell>
          <cell r="I626">
            <v>655</v>
          </cell>
          <cell r="J626">
            <v>1365</v>
          </cell>
          <cell r="K626">
            <v>0</v>
          </cell>
          <cell r="L626">
            <v>0</v>
          </cell>
          <cell r="M626">
            <v>0.6</v>
          </cell>
          <cell r="N626">
            <v>0.8</v>
          </cell>
          <cell r="O626">
            <v>1.05</v>
          </cell>
          <cell r="P626">
            <v>1.1000000000000001</v>
          </cell>
          <cell r="Q626" t="str">
            <v>INTERIOR</v>
          </cell>
          <cell r="R626">
            <v>5</v>
          </cell>
          <cell r="S626">
            <v>9</v>
          </cell>
          <cell r="T626" t="str">
            <v>Ciudad principal</v>
          </cell>
          <cell r="U626" t="str">
            <v>Light Production Digital Business</v>
          </cell>
          <cell r="V626" t="str">
            <v>XEROX MEXICANA SA DE CV / XEROX MEXICANA</v>
          </cell>
          <cell r="W626" t="str">
            <v>QUERETARO</v>
          </cell>
          <cell r="X626">
            <v>2019</v>
          </cell>
          <cell r="Y626" t="str">
            <v>Qtr 2</v>
          </cell>
          <cell r="Z626" t="str">
            <v>April</v>
          </cell>
          <cell r="AA626">
            <v>23</v>
          </cell>
          <cell r="AB626">
            <v>14</v>
          </cell>
          <cell r="AC626">
            <v>0.6</v>
          </cell>
          <cell r="AD626">
            <v>0.14333331999999999</v>
          </cell>
          <cell r="AE626">
            <v>819</v>
          </cell>
        </row>
        <row r="627">
          <cell r="A627" t="str">
            <v>06HB014103</v>
          </cell>
          <cell r="B627">
            <v>2019</v>
          </cell>
          <cell r="C627" t="str">
            <v>Qtr 2</v>
          </cell>
          <cell r="D627" t="str">
            <v>April</v>
          </cell>
          <cell r="E627">
            <v>23</v>
          </cell>
          <cell r="F627" t="str">
            <v>CORRECTIVO</v>
          </cell>
          <cell r="G627">
            <v>2.1</v>
          </cell>
          <cell r="H627" t="str">
            <v>Entry Mono Printers</v>
          </cell>
          <cell r="I627">
            <v>468</v>
          </cell>
          <cell r="J627">
            <v>715</v>
          </cell>
          <cell r="K627">
            <v>0</v>
          </cell>
          <cell r="L627">
            <v>0</v>
          </cell>
          <cell r="M627">
            <v>0</v>
          </cell>
          <cell r="N627">
            <v>0.6</v>
          </cell>
          <cell r="O627">
            <v>0.8</v>
          </cell>
          <cell r="P627">
            <v>1.05</v>
          </cell>
          <cell r="Q627" t="str">
            <v>INTERIOR</v>
          </cell>
          <cell r="R627">
            <v>5</v>
          </cell>
          <cell r="S627">
            <v>9</v>
          </cell>
          <cell r="T627" t="str">
            <v>Ciudad principal</v>
          </cell>
          <cell r="U627" t="str">
            <v>A4 Mono MFPs</v>
          </cell>
          <cell r="V627" t="str">
            <v>XEROX MEXICANA SA DE CV / XEROX MEXICANA</v>
          </cell>
          <cell r="W627" t="str">
            <v>NUEVO LEON</v>
          </cell>
          <cell r="X627">
            <v>2019</v>
          </cell>
          <cell r="Y627" t="str">
            <v>Qtr 2</v>
          </cell>
          <cell r="Z627" t="str">
            <v>April</v>
          </cell>
          <cell r="AA627">
            <v>23</v>
          </cell>
          <cell r="AB627">
            <v>5</v>
          </cell>
          <cell r="AC627">
            <v>0</v>
          </cell>
          <cell r="AD627">
            <v>0.42</v>
          </cell>
          <cell r="AE627">
            <v>0</v>
          </cell>
        </row>
        <row r="628">
          <cell r="A628" t="str">
            <v>09HB317209</v>
          </cell>
          <cell r="B628">
            <v>2019</v>
          </cell>
          <cell r="C628" t="str">
            <v>Qtr 2</v>
          </cell>
          <cell r="D628" t="str">
            <v>April</v>
          </cell>
          <cell r="E628">
            <v>23</v>
          </cell>
          <cell r="F628" t="str">
            <v>CORRECTIVO</v>
          </cell>
          <cell r="G628">
            <v>0.88333329999999999</v>
          </cell>
          <cell r="H628" t="str">
            <v>A4 Mono MFPs</v>
          </cell>
          <cell r="I628">
            <v>468</v>
          </cell>
          <cell r="J628">
            <v>715</v>
          </cell>
          <cell r="K628">
            <v>0</v>
          </cell>
          <cell r="L628">
            <v>0</v>
          </cell>
          <cell r="M628">
            <v>0</v>
          </cell>
          <cell r="N628">
            <v>0.6</v>
          </cell>
          <cell r="O628">
            <v>0.8</v>
          </cell>
          <cell r="P628">
            <v>1.05</v>
          </cell>
          <cell r="Q628" t="str">
            <v>INTERIOR</v>
          </cell>
          <cell r="R628">
            <v>5</v>
          </cell>
          <cell r="S628">
            <v>9</v>
          </cell>
          <cell r="T628" t="str">
            <v>Ciudad principal</v>
          </cell>
          <cell r="U628" t="str">
            <v>A4 Mono MFPs</v>
          </cell>
          <cell r="V628" t="str">
            <v>XEROX MEXICANA SA DE CV / XEROX MEXICANA</v>
          </cell>
          <cell r="W628" t="str">
            <v>NUEVO LEON</v>
          </cell>
          <cell r="X628">
            <v>2019</v>
          </cell>
          <cell r="Y628" t="str">
            <v>Qtr 2</v>
          </cell>
          <cell r="Z628" t="str">
            <v>April</v>
          </cell>
          <cell r="AA628">
            <v>23</v>
          </cell>
          <cell r="AB628">
            <v>189</v>
          </cell>
          <cell r="AC628">
            <v>1.05</v>
          </cell>
          <cell r="AD628">
            <v>0.17666666</v>
          </cell>
          <cell r="AE628">
            <v>750.75</v>
          </cell>
        </row>
        <row r="629">
          <cell r="A629" t="str">
            <v>0A1H020600</v>
          </cell>
          <cell r="B629">
            <v>2019</v>
          </cell>
          <cell r="C629" t="str">
            <v>Qtr 2</v>
          </cell>
          <cell r="D629" t="str">
            <v>April</v>
          </cell>
          <cell r="E629">
            <v>23</v>
          </cell>
          <cell r="F629" t="str">
            <v>CORRECTIVO</v>
          </cell>
          <cell r="G629">
            <v>0.46666669999999999</v>
          </cell>
          <cell r="H629" t="str">
            <v>WF Mono Systems and Legacy Color</v>
          </cell>
          <cell r="I629">
            <v>803</v>
          </cell>
          <cell r="J629">
            <v>1573</v>
          </cell>
          <cell r="K629">
            <v>0.2</v>
          </cell>
          <cell r="L629">
            <v>0.6</v>
          </cell>
          <cell r="M629">
            <v>0.8</v>
          </cell>
          <cell r="N629">
            <v>1.05</v>
          </cell>
          <cell r="O629">
            <v>1.1000000000000001</v>
          </cell>
          <cell r="P629">
            <v>1.1499999999999999</v>
          </cell>
          <cell r="Q629" t="str">
            <v>INTERIOR</v>
          </cell>
          <cell r="R629">
            <v>4</v>
          </cell>
          <cell r="S629">
            <v>6</v>
          </cell>
          <cell r="T629" t="str">
            <v>Ciudad principal</v>
          </cell>
          <cell r="U629" t="str">
            <v>WF Mono Systems and Legacy Color</v>
          </cell>
          <cell r="V629" t="str">
            <v>XEROX MEXICANA SA DE CV / XEROX MEXICANA</v>
          </cell>
          <cell r="W629" t="str">
            <v>GUANAJUATO</v>
          </cell>
          <cell r="X629">
            <v>2019</v>
          </cell>
          <cell r="Y629" t="str">
            <v>Qtr 2</v>
          </cell>
          <cell r="Z629" t="str">
            <v>April</v>
          </cell>
          <cell r="AA629">
            <v>24</v>
          </cell>
          <cell r="AB629">
            <v>8</v>
          </cell>
          <cell r="AC629">
            <v>0.8</v>
          </cell>
          <cell r="AD629">
            <v>0.116666675</v>
          </cell>
          <cell r="AE629">
            <v>1258.4000000000001</v>
          </cell>
        </row>
        <row r="630">
          <cell r="A630" t="str">
            <v>0A1H021675</v>
          </cell>
          <cell r="B630">
            <v>2019</v>
          </cell>
          <cell r="C630" t="str">
            <v>Qtr 2</v>
          </cell>
          <cell r="D630" t="str">
            <v>April</v>
          </cell>
          <cell r="E630">
            <v>23</v>
          </cell>
          <cell r="F630" t="str">
            <v>CORRECTIVO</v>
          </cell>
          <cell r="G630">
            <v>2.2166670000000002</v>
          </cell>
          <cell r="H630" t="str">
            <v>WF Mono Systems and Legacy Color</v>
          </cell>
          <cell r="I630">
            <v>803</v>
          </cell>
          <cell r="J630">
            <v>1573</v>
          </cell>
          <cell r="K630">
            <v>0.2</v>
          </cell>
          <cell r="L630">
            <v>0.6</v>
          </cell>
          <cell r="M630">
            <v>0.8</v>
          </cell>
          <cell r="N630">
            <v>1.05</v>
          </cell>
          <cell r="O630">
            <v>1.1000000000000001</v>
          </cell>
          <cell r="P630">
            <v>1.1499999999999999</v>
          </cell>
          <cell r="Q630" t="str">
            <v>INTERIOR</v>
          </cell>
          <cell r="R630">
            <v>4</v>
          </cell>
          <cell r="S630">
            <v>6</v>
          </cell>
          <cell r="T630" t="str">
            <v>Ciudad principal</v>
          </cell>
          <cell r="U630" t="str">
            <v>WF Mono Systems and Legacy Color</v>
          </cell>
          <cell r="V630" t="str">
            <v>XEROX MEXICANA SA DE CV / XEROX MEXICANA</v>
          </cell>
          <cell r="W630" t="str">
            <v>SAN LUIS POTOSI</v>
          </cell>
          <cell r="X630">
            <v>2019</v>
          </cell>
          <cell r="Y630" t="str">
            <v>Qtr 2</v>
          </cell>
          <cell r="Z630" t="str">
            <v>April</v>
          </cell>
          <cell r="AA630">
            <v>23</v>
          </cell>
          <cell r="AB630">
            <v>337</v>
          </cell>
          <cell r="AC630">
            <v>1.1499999999999999</v>
          </cell>
          <cell r="AD630">
            <v>0.55416675000000004</v>
          </cell>
          <cell r="AE630">
            <v>1808.95</v>
          </cell>
        </row>
        <row r="631">
          <cell r="A631" t="str">
            <v>0A2T382396</v>
          </cell>
          <cell r="B631">
            <v>2019</v>
          </cell>
          <cell r="C631" t="str">
            <v>Qtr 2</v>
          </cell>
          <cell r="D631" t="str">
            <v>April</v>
          </cell>
          <cell r="E631">
            <v>23</v>
          </cell>
          <cell r="F631" t="str">
            <v>MANTENIMIENTO PREVENTIVO</v>
          </cell>
          <cell r="G631">
            <v>0</v>
          </cell>
          <cell r="H631" t="str">
            <v>A4 Mono MFPs</v>
          </cell>
          <cell r="I631">
            <v>468</v>
          </cell>
          <cell r="J631">
            <v>715</v>
          </cell>
          <cell r="K631">
            <v>0</v>
          </cell>
          <cell r="L631">
            <v>0</v>
          </cell>
          <cell r="M631">
            <v>0</v>
          </cell>
          <cell r="N631">
            <v>0.6</v>
          </cell>
          <cell r="O631">
            <v>0.8</v>
          </cell>
          <cell r="P631">
            <v>1.05</v>
          </cell>
          <cell r="Q631" t="str">
            <v>INTERIOR</v>
          </cell>
          <cell r="R631">
            <v>5</v>
          </cell>
          <cell r="S631">
            <v>9</v>
          </cell>
          <cell r="T631" t="str">
            <v>Ciudad principal</v>
          </cell>
          <cell r="U631" t="str">
            <v>A4 Mono MFPs</v>
          </cell>
          <cell r="V631" t="str">
            <v>XEROX MEXICANA SA DE CV / XEROX MEXICANA</v>
          </cell>
          <cell r="W631" t="str">
            <v>CHIHUAHUA</v>
          </cell>
          <cell r="X631">
            <v>2019</v>
          </cell>
          <cell r="Y631" t="str">
            <v>Qtr 2</v>
          </cell>
          <cell r="Z631" t="str">
            <v>April</v>
          </cell>
          <cell r="AA631">
            <v>24</v>
          </cell>
          <cell r="AB631">
            <v>35</v>
          </cell>
          <cell r="AC631">
            <v>0</v>
          </cell>
          <cell r="AD631">
            <v>0</v>
          </cell>
          <cell r="AE631">
            <v>715</v>
          </cell>
        </row>
        <row r="632">
          <cell r="A632" t="str">
            <v>0AE9566035</v>
          </cell>
          <cell r="B632">
            <v>2019</v>
          </cell>
          <cell r="C632" t="str">
            <v>Qtr 2</v>
          </cell>
          <cell r="D632" t="str">
            <v>April</v>
          </cell>
          <cell r="E632">
            <v>23</v>
          </cell>
          <cell r="F632" t="str">
            <v>CORRECTIVO</v>
          </cell>
          <cell r="G632">
            <v>0</v>
          </cell>
          <cell r="H632" t="str">
            <v>Office Digital</v>
          </cell>
          <cell r="I632">
            <v>655</v>
          </cell>
          <cell r="J632">
            <v>1365</v>
          </cell>
          <cell r="K632">
            <v>0</v>
          </cell>
          <cell r="L632">
            <v>0</v>
          </cell>
          <cell r="M632">
            <v>0.6</v>
          </cell>
          <cell r="N632">
            <v>0.8</v>
          </cell>
          <cell r="O632">
            <v>1.05</v>
          </cell>
          <cell r="P632">
            <v>1.1000000000000001</v>
          </cell>
          <cell r="Q632" t="str">
            <v>INTERIOR</v>
          </cell>
          <cell r="R632">
            <v>5</v>
          </cell>
          <cell r="S632">
            <v>9</v>
          </cell>
          <cell r="T632" t="str">
            <v>Ciudad principal</v>
          </cell>
          <cell r="U632" t="str">
            <v>Departmental Digital</v>
          </cell>
          <cell r="V632" t="str">
            <v>XEROX MEXICANA SA DE CV / XEROX MEXICANA</v>
          </cell>
          <cell r="W632" t="str">
            <v>CHIHUAHUA</v>
          </cell>
          <cell r="X632">
            <v>2019</v>
          </cell>
          <cell r="Y632" t="str">
            <v>Qtr 2</v>
          </cell>
          <cell r="Z632" t="str">
            <v>April</v>
          </cell>
          <cell r="AA632">
            <v>24</v>
          </cell>
          <cell r="AB632">
            <v>110</v>
          </cell>
          <cell r="AC632">
            <v>1.1000000000000001</v>
          </cell>
          <cell r="AD632">
            <v>0</v>
          </cell>
          <cell r="AE632">
            <v>1501.5</v>
          </cell>
        </row>
        <row r="633">
          <cell r="A633" t="str">
            <v>0AGD461919</v>
          </cell>
          <cell r="B633">
            <v>2019</v>
          </cell>
          <cell r="C633" t="str">
            <v>Qtr 2</v>
          </cell>
          <cell r="D633" t="str">
            <v>April</v>
          </cell>
          <cell r="E633">
            <v>23</v>
          </cell>
          <cell r="F633" t="str">
            <v>CORRECTIVO</v>
          </cell>
          <cell r="G633">
            <v>0.71666660000000004</v>
          </cell>
          <cell r="H633" t="str">
            <v>WF Mono Systems and Legacy Color</v>
          </cell>
          <cell r="I633">
            <v>803</v>
          </cell>
          <cell r="J633">
            <v>1573</v>
          </cell>
          <cell r="K633">
            <v>0.2</v>
          </cell>
          <cell r="L633">
            <v>0.6</v>
          </cell>
          <cell r="M633">
            <v>0.8</v>
          </cell>
          <cell r="N633">
            <v>1.05</v>
          </cell>
          <cell r="O633">
            <v>1.1000000000000001</v>
          </cell>
          <cell r="P633">
            <v>1.1499999999999999</v>
          </cell>
          <cell r="Q633" t="str">
            <v>INTERIOR</v>
          </cell>
          <cell r="R633">
            <v>4</v>
          </cell>
          <cell r="S633">
            <v>6</v>
          </cell>
          <cell r="T633" t="str">
            <v>Ciudad principal</v>
          </cell>
          <cell r="U633" t="str">
            <v>WF Mono Systems and Legacy Color</v>
          </cell>
          <cell r="V633" t="str">
            <v>XEROX MEXICANA SA DE CV / XEROX MEXICANA</v>
          </cell>
          <cell r="W633" t="str">
            <v>JALISCO</v>
          </cell>
          <cell r="X633">
            <v>2019</v>
          </cell>
          <cell r="Y633" t="str">
            <v>Qtr 2</v>
          </cell>
          <cell r="Z633" t="str">
            <v>April</v>
          </cell>
          <cell r="AA633">
            <v>23</v>
          </cell>
          <cell r="AB633">
            <v>48</v>
          </cell>
          <cell r="AC633">
            <v>1.1000000000000001</v>
          </cell>
          <cell r="AD633">
            <v>0.17916665000000001</v>
          </cell>
          <cell r="AE633">
            <v>1730.3</v>
          </cell>
        </row>
        <row r="634">
          <cell r="A634" t="str">
            <v>0BB1564112</v>
          </cell>
          <cell r="B634">
            <v>2019</v>
          </cell>
          <cell r="C634" t="str">
            <v>Qtr 2</v>
          </cell>
          <cell r="D634" t="str">
            <v>April</v>
          </cell>
          <cell r="E634">
            <v>23</v>
          </cell>
          <cell r="F634" t="str">
            <v>CORRECTIVO</v>
          </cell>
          <cell r="G634">
            <v>0</v>
          </cell>
          <cell r="H634" t="str">
            <v>A4 Mono MFPs</v>
          </cell>
          <cell r="I634">
            <v>468</v>
          </cell>
          <cell r="J634">
            <v>715</v>
          </cell>
          <cell r="K634">
            <v>0</v>
          </cell>
          <cell r="L634">
            <v>0</v>
          </cell>
          <cell r="M634">
            <v>0</v>
          </cell>
          <cell r="N634">
            <v>0.6</v>
          </cell>
          <cell r="O634">
            <v>0.8</v>
          </cell>
          <cell r="P634">
            <v>1.05</v>
          </cell>
          <cell r="Q634" t="str">
            <v>INTERIOR</v>
          </cell>
          <cell r="R634">
            <v>5</v>
          </cell>
          <cell r="S634">
            <v>9</v>
          </cell>
          <cell r="T634" t="str">
            <v>Ciudad principal</v>
          </cell>
          <cell r="U634" t="str">
            <v>A4 Mono MFPs</v>
          </cell>
          <cell r="V634" t="str">
            <v>XEROX MEXICANA SA DE CV / XEROX MEXICANA</v>
          </cell>
          <cell r="W634" t="str">
            <v>CHIHUAHUA</v>
          </cell>
          <cell r="X634">
            <v>2019</v>
          </cell>
          <cell r="Y634" t="str">
            <v>Qtr 2</v>
          </cell>
          <cell r="Z634" t="str">
            <v>April</v>
          </cell>
          <cell r="AA634">
            <v>23</v>
          </cell>
          <cell r="AB634">
            <v>7</v>
          </cell>
          <cell r="AC634">
            <v>0</v>
          </cell>
          <cell r="AD634">
            <v>0</v>
          </cell>
          <cell r="AE634">
            <v>0</v>
          </cell>
        </row>
        <row r="635">
          <cell r="A635" t="str">
            <v>0BG1001361</v>
          </cell>
          <cell r="B635">
            <v>2019</v>
          </cell>
          <cell r="C635" t="str">
            <v>Qtr 2</v>
          </cell>
          <cell r="D635" t="str">
            <v>April</v>
          </cell>
          <cell r="E635">
            <v>23</v>
          </cell>
          <cell r="F635" t="str">
            <v>CORRECTIVO</v>
          </cell>
          <cell r="G635">
            <v>0.9</v>
          </cell>
          <cell r="H635" t="str">
            <v>Light Production Digital Business</v>
          </cell>
          <cell r="I635">
            <v>803</v>
          </cell>
          <cell r="J635">
            <v>1573</v>
          </cell>
          <cell r="K635">
            <v>0.2</v>
          </cell>
          <cell r="L635">
            <v>0.6</v>
          </cell>
          <cell r="M635">
            <v>0.8</v>
          </cell>
          <cell r="N635">
            <v>1.05</v>
          </cell>
          <cell r="O635">
            <v>1.1000000000000001</v>
          </cell>
          <cell r="P635">
            <v>1.1499999999999999</v>
          </cell>
          <cell r="Q635" t="str">
            <v>INTERIOR</v>
          </cell>
          <cell r="R635">
            <v>4</v>
          </cell>
          <cell r="S635">
            <v>6</v>
          </cell>
          <cell r="T635" t="str">
            <v>Ciudad principal</v>
          </cell>
          <cell r="U635" t="str">
            <v>High End Cut Sheet</v>
          </cell>
          <cell r="V635" t="str">
            <v>XEROX MEXICANA SA DE CV / XEROX MEXICANA</v>
          </cell>
          <cell r="W635" t="str">
            <v>CHIHUAHUA</v>
          </cell>
          <cell r="X635">
            <v>2019</v>
          </cell>
          <cell r="Y635" t="str">
            <v>Qtr 2</v>
          </cell>
          <cell r="Z635" t="str">
            <v>April</v>
          </cell>
          <cell r="AA635">
            <v>24</v>
          </cell>
          <cell r="AB635">
            <v>39</v>
          </cell>
          <cell r="AC635">
            <v>1.1000000000000001</v>
          </cell>
          <cell r="AD635">
            <v>0.22500000000000001</v>
          </cell>
          <cell r="AE635">
            <v>1730.3</v>
          </cell>
        </row>
        <row r="636">
          <cell r="A636" t="str">
            <v>0BG2939611</v>
          </cell>
          <cell r="B636">
            <v>2019</v>
          </cell>
          <cell r="C636" t="str">
            <v>Qtr 2</v>
          </cell>
          <cell r="D636" t="str">
            <v>April</v>
          </cell>
          <cell r="E636">
            <v>23</v>
          </cell>
          <cell r="F636" t="str">
            <v>MANTENIMIENTO PREVENTIVO</v>
          </cell>
          <cell r="G636">
            <v>0</v>
          </cell>
          <cell r="H636" t="str">
            <v>Light Production Digital Business</v>
          </cell>
          <cell r="I636">
            <v>803</v>
          </cell>
          <cell r="J636">
            <v>1573</v>
          </cell>
          <cell r="K636">
            <v>0.2</v>
          </cell>
          <cell r="L636">
            <v>0.6</v>
          </cell>
          <cell r="M636">
            <v>0.8</v>
          </cell>
          <cell r="N636">
            <v>1.05</v>
          </cell>
          <cell r="O636">
            <v>1.1000000000000001</v>
          </cell>
          <cell r="P636">
            <v>1.1499999999999999</v>
          </cell>
          <cell r="Q636" t="str">
            <v>INTERIOR</v>
          </cell>
          <cell r="R636">
            <v>4</v>
          </cell>
          <cell r="S636">
            <v>6</v>
          </cell>
          <cell r="T636" t="str">
            <v>Ciudad principal</v>
          </cell>
          <cell r="U636" t="str">
            <v>High End Cut Sheet</v>
          </cell>
          <cell r="V636" t="str">
            <v>XEROX MEXICANA SA DE CV / XEROX MEXICANA</v>
          </cell>
          <cell r="W636" t="str">
            <v>TAMAULIPAS</v>
          </cell>
          <cell r="X636">
            <v>2019</v>
          </cell>
          <cell r="Y636" t="str">
            <v>Qtr 2</v>
          </cell>
          <cell r="Z636" t="str">
            <v>April</v>
          </cell>
          <cell r="AA636">
            <v>23</v>
          </cell>
          <cell r="AB636">
            <v>5</v>
          </cell>
          <cell r="AC636">
            <v>0</v>
          </cell>
          <cell r="AD636">
            <v>0</v>
          </cell>
          <cell r="AE636">
            <v>1573</v>
          </cell>
        </row>
        <row r="637">
          <cell r="A637" t="str">
            <v>0BG2946876</v>
          </cell>
          <cell r="B637">
            <v>2019</v>
          </cell>
          <cell r="C637" t="str">
            <v>Qtr 2</v>
          </cell>
          <cell r="D637" t="str">
            <v>April</v>
          </cell>
          <cell r="E637">
            <v>23</v>
          </cell>
          <cell r="F637" t="str">
            <v>CORRECTIVO</v>
          </cell>
          <cell r="G637">
            <v>0.53333339999999996</v>
          </cell>
          <cell r="H637" t="str">
            <v>Light Production Digital Business</v>
          </cell>
          <cell r="I637">
            <v>803</v>
          </cell>
          <cell r="J637">
            <v>1573</v>
          </cell>
          <cell r="K637">
            <v>0.2</v>
          </cell>
          <cell r="L637">
            <v>0.6</v>
          </cell>
          <cell r="M637">
            <v>0.8</v>
          </cell>
          <cell r="N637">
            <v>1.05</v>
          </cell>
          <cell r="O637">
            <v>1.1000000000000001</v>
          </cell>
          <cell r="P637">
            <v>1.1499999999999999</v>
          </cell>
          <cell r="Q637" t="str">
            <v>INTERIOR</v>
          </cell>
          <cell r="R637">
            <v>4</v>
          </cell>
          <cell r="S637">
            <v>6</v>
          </cell>
          <cell r="T637" t="str">
            <v>Ciudad principal</v>
          </cell>
          <cell r="U637" t="str">
            <v>High End Cut Sheet</v>
          </cell>
          <cell r="V637" t="str">
            <v>XEROX MEXICANA SA DE CV / XEROX MEXICANA</v>
          </cell>
          <cell r="W637" t="str">
            <v>GUANAJUATO</v>
          </cell>
          <cell r="X637">
            <v>2019</v>
          </cell>
          <cell r="Y637" t="str">
            <v>Qtr 2</v>
          </cell>
          <cell r="Z637" t="str">
            <v>April</v>
          </cell>
          <cell r="AA637">
            <v>24</v>
          </cell>
          <cell r="AB637">
            <v>8</v>
          </cell>
          <cell r="AC637">
            <v>0.8</v>
          </cell>
          <cell r="AD637">
            <v>0.13333334999999999</v>
          </cell>
          <cell r="AE637">
            <v>1258.4000000000001</v>
          </cell>
        </row>
        <row r="638">
          <cell r="A638" t="str">
            <v>0BG2947153</v>
          </cell>
          <cell r="B638">
            <v>2019</v>
          </cell>
          <cell r="C638" t="str">
            <v>Qtr 2</v>
          </cell>
          <cell r="D638" t="str">
            <v>April</v>
          </cell>
          <cell r="E638">
            <v>23</v>
          </cell>
          <cell r="F638" t="str">
            <v>MANTENIMIENTO PREVENTIVO</v>
          </cell>
          <cell r="G638">
            <v>0</v>
          </cell>
          <cell r="H638" t="str">
            <v>Light Production Digital Business</v>
          </cell>
          <cell r="I638">
            <v>803</v>
          </cell>
          <cell r="J638">
            <v>1573</v>
          </cell>
          <cell r="K638">
            <v>0.2</v>
          </cell>
          <cell r="L638">
            <v>0.6</v>
          </cell>
          <cell r="M638">
            <v>0.8</v>
          </cell>
          <cell r="N638">
            <v>1.05</v>
          </cell>
          <cell r="O638">
            <v>1.1000000000000001</v>
          </cell>
          <cell r="P638">
            <v>1.1499999999999999</v>
          </cell>
          <cell r="Q638" t="str">
            <v>INTERIOR</v>
          </cell>
          <cell r="R638">
            <v>4</v>
          </cell>
          <cell r="S638">
            <v>6</v>
          </cell>
          <cell r="T638" t="str">
            <v>Ciudad principal</v>
          </cell>
          <cell r="U638" t="str">
            <v>High End Cut Sheet</v>
          </cell>
          <cell r="V638" t="str">
            <v>XEROX MEXICANA SA DE CV / XEROX MEXICANA</v>
          </cell>
          <cell r="W638" t="str">
            <v>CHIHUAHUA</v>
          </cell>
          <cell r="X638">
            <v>2019</v>
          </cell>
          <cell r="Y638" t="str">
            <v>Qtr 2</v>
          </cell>
          <cell r="Z638" t="str">
            <v>April</v>
          </cell>
          <cell r="AA638">
            <v>23</v>
          </cell>
          <cell r="AB638">
            <v>25</v>
          </cell>
          <cell r="AC638">
            <v>0</v>
          </cell>
          <cell r="AD638">
            <v>0</v>
          </cell>
          <cell r="AE638">
            <v>1573</v>
          </cell>
        </row>
        <row r="639">
          <cell r="A639" t="str">
            <v>0BG2947925</v>
          </cell>
          <cell r="B639">
            <v>2019</v>
          </cell>
          <cell r="C639" t="str">
            <v>Qtr 2</v>
          </cell>
          <cell r="D639" t="str">
            <v>April</v>
          </cell>
          <cell r="E639">
            <v>23</v>
          </cell>
          <cell r="F639" t="str">
            <v>MANTENIMIENTO PREVENTIVO</v>
          </cell>
          <cell r="G639">
            <v>0</v>
          </cell>
          <cell r="H639" t="str">
            <v>Light Production Digital Business</v>
          </cell>
          <cell r="I639">
            <v>803</v>
          </cell>
          <cell r="J639">
            <v>1573</v>
          </cell>
          <cell r="K639">
            <v>0.2</v>
          </cell>
          <cell r="L639">
            <v>0.6</v>
          </cell>
          <cell r="M639">
            <v>0.8</v>
          </cell>
          <cell r="N639">
            <v>1.05</v>
          </cell>
          <cell r="O639">
            <v>1.1000000000000001</v>
          </cell>
          <cell r="P639">
            <v>1.1499999999999999</v>
          </cell>
          <cell r="Q639" t="str">
            <v>INTERIOR</v>
          </cell>
          <cell r="R639">
            <v>4</v>
          </cell>
          <cell r="S639">
            <v>6</v>
          </cell>
          <cell r="T639" t="str">
            <v>Ciudad principal</v>
          </cell>
          <cell r="U639" t="str">
            <v>High End Cut Sheet</v>
          </cell>
          <cell r="V639" t="str">
            <v>XEROX MEXICANA SA DE CV / XEROX MEXICANA</v>
          </cell>
          <cell r="W639" t="str">
            <v>GUANAJUATO</v>
          </cell>
          <cell r="X639">
            <v>2019</v>
          </cell>
          <cell r="Y639" t="str">
            <v>Qtr 2</v>
          </cell>
          <cell r="Z639" t="str">
            <v>April</v>
          </cell>
          <cell r="AA639">
            <v>23</v>
          </cell>
          <cell r="AB639">
            <v>21</v>
          </cell>
          <cell r="AC639">
            <v>0</v>
          </cell>
          <cell r="AD639">
            <v>0</v>
          </cell>
          <cell r="AE639">
            <v>1573</v>
          </cell>
        </row>
        <row r="640">
          <cell r="A640" t="str">
            <v>0BPB110653</v>
          </cell>
          <cell r="B640">
            <v>2019</v>
          </cell>
          <cell r="C640" t="str">
            <v>Qtr 2</v>
          </cell>
          <cell r="D640" t="str">
            <v>April</v>
          </cell>
          <cell r="E640">
            <v>23</v>
          </cell>
          <cell r="F640" t="str">
            <v>CORRECTIVO</v>
          </cell>
          <cell r="G640">
            <v>3.6833330000000002</v>
          </cell>
          <cell r="I640" t="str">
            <v>NA</v>
          </cell>
          <cell r="J640" t="str">
            <v>NA</v>
          </cell>
          <cell r="K640" t="str">
            <v>NA</v>
          </cell>
          <cell r="L640" t="str">
            <v>NA</v>
          </cell>
          <cell r="M640" t="str">
            <v>NA</v>
          </cell>
          <cell r="N640" t="str">
            <v>NA</v>
          </cell>
          <cell r="O640" t="str">
            <v>NA</v>
          </cell>
          <cell r="P640" t="str">
            <v>NA</v>
          </cell>
          <cell r="R640" t="str">
            <v>NA</v>
          </cell>
          <cell r="S640" t="str">
            <v>NA</v>
          </cell>
          <cell r="U640" t="str">
            <v>High End Cut Sheet</v>
          </cell>
          <cell r="V640" t="str">
            <v>XEROX MEXICANA SA DE CV / XEROX MEXICANA</v>
          </cell>
          <cell r="W640" t="str">
            <v>JALISCO</v>
          </cell>
          <cell r="X640">
            <v>2019</v>
          </cell>
          <cell r="Y640" t="str">
            <v>Qtr 2</v>
          </cell>
          <cell r="Z640" t="str">
            <v>April</v>
          </cell>
          <cell r="AA640">
            <v>24</v>
          </cell>
          <cell r="AB640">
            <v>41</v>
          </cell>
          <cell r="AC640">
            <v>1.1000000000000001</v>
          </cell>
          <cell r="AD640">
            <v>0</v>
          </cell>
          <cell r="AE640">
            <v>321.75</v>
          </cell>
        </row>
        <row r="641">
          <cell r="A641" t="str">
            <v>0C4X008138</v>
          </cell>
          <cell r="B641">
            <v>2019</v>
          </cell>
          <cell r="C641" t="str">
            <v>Qtr 2</v>
          </cell>
          <cell r="D641" t="str">
            <v>April</v>
          </cell>
          <cell r="E641">
            <v>23</v>
          </cell>
          <cell r="F641" t="str">
            <v>CORRECTIVO</v>
          </cell>
          <cell r="G641">
            <v>4.0666669999999998</v>
          </cell>
          <cell r="I641" t="str">
            <v>NA</v>
          </cell>
          <cell r="J641" t="str">
            <v>NA</v>
          </cell>
          <cell r="K641" t="str">
            <v>NA</v>
          </cell>
          <cell r="L641" t="str">
            <v>NA</v>
          </cell>
          <cell r="M641" t="str">
            <v>NA</v>
          </cell>
          <cell r="N641" t="str">
            <v>NA</v>
          </cell>
          <cell r="O641" t="str">
            <v>NA</v>
          </cell>
          <cell r="P641" t="str">
            <v>NA</v>
          </cell>
          <cell r="R641" t="str">
            <v>NA</v>
          </cell>
          <cell r="S641" t="str">
            <v>NA</v>
          </cell>
          <cell r="U641" t="str">
            <v>A4 Mono MFPs</v>
          </cell>
          <cell r="V641" t="str">
            <v>XEROX MEXICANA SA DE CV / XEROX MEXICANA</v>
          </cell>
          <cell r="W641" t="str">
            <v>MICHOACAN</v>
          </cell>
          <cell r="X641">
            <v>2019</v>
          </cell>
          <cell r="Y641" t="str">
            <v>Qtr 2</v>
          </cell>
          <cell r="Z641" t="str">
            <v>April</v>
          </cell>
          <cell r="AA641">
            <v>23</v>
          </cell>
          <cell r="AB641">
            <v>342</v>
          </cell>
          <cell r="AC641">
            <v>1.1000000000000001</v>
          </cell>
          <cell r="AD641">
            <v>0</v>
          </cell>
          <cell r="AE641">
            <v>750.75</v>
          </cell>
        </row>
        <row r="642">
          <cell r="A642" t="str">
            <v>0C4X011068</v>
          </cell>
          <cell r="B642">
            <v>2019</v>
          </cell>
          <cell r="C642" t="str">
            <v>Qtr 2</v>
          </cell>
          <cell r="D642" t="str">
            <v>April</v>
          </cell>
          <cell r="E642">
            <v>23</v>
          </cell>
          <cell r="F642" t="str">
            <v>MANTENIMIENTO PREVENTIVO</v>
          </cell>
          <cell r="G642">
            <v>0</v>
          </cell>
          <cell r="H642" t="str">
            <v>A4 Mono MFPs</v>
          </cell>
          <cell r="I642">
            <v>468</v>
          </cell>
          <cell r="J642">
            <v>715</v>
          </cell>
          <cell r="K642">
            <v>0</v>
          </cell>
          <cell r="L642">
            <v>0</v>
          </cell>
          <cell r="M642">
            <v>0</v>
          </cell>
          <cell r="N642">
            <v>0.6</v>
          </cell>
          <cell r="O642">
            <v>0.8</v>
          </cell>
          <cell r="P642">
            <v>1.05</v>
          </cell>
          <cell r="Q642" t="str">
            <v>INTERIOR</v>
          </cell>
          <cell r="R642">
            <v>5</v>
          </cell>
          <cell r="S642">
            <v>9</v>
          </cell>
          <cell r="T642" t="str">
            <v>Ciudad principal</v>
          </cell>
          <cell r="U642" t="str">
            <v>A4 Mono MFPs</v>
          </cell>
          <cell r="V642" t="str">
            <v>XEROX MEXICANA SA DE CV / XEROX MEXICANA</v>
          </cell>
          <cell r="W642" t="str">
            <v>TAMAULIPAS</v>
          </cell>
          <cell r="X642">
            <v>2019</v>
          </cell>
          <cell r="Y642" t="str">
            <v>Qtr 2</v>
          </cell>
          <cell r="Z642" t="str">
            <v>April</v>
          </cell>
          <cell r="AA642">
            <v>23</v>
          </cell>
          <cell r="AB642">
            <v>23</v>
          </cell>
          <cell r="AC642">
            <v>0</v>
          </cell>
          <cell r="AD642">
            <v>0</v>
          </cell>
          <cell r="AE642">
            <v>715</v>
          </cell>
        </row>
        <row r="643">
          <cell r="A643" t="str">
            <v>0C7X225095</v>
          </cell>
          <cell r="B643">
            <v>2019</v>
          </cell>
          <cell r="C643" t="str">
            <v>Qtr 2</v>
          </cell>
          <cell r="D643" t="str">
            <v>April</v>
          </cell>
          <cell r="E643">
            <v>23</v>
          </cell>
          <cell r="F643" t="str">
            <v>CORRECTIVO</v>
          </cell>
          <cell r="G643">
            <v>2.4333330000000002</v>
          </cell>
          <cell r="H643" t="str">
            <v>A4 Mono MFPs</v>
          </cell>
          <cell r="I643">
            <v>468</v>
          </cell>
          <cell r="J643">
            <v>715</v>
          </cell>
          <cell r="K643">
            <v>0</v>
          </cell>
          <cell r="L643">
            <v>0</v>
          </cell>
          <cell r="M643">
            <v>0</v>
          </cell>
          <cell r="N643">
            <v>0.6</v>
          </cell>
          <cell r="O643">
            <v>0.8</v>
          </cell>
          <cell r="P643">
            <v>1.05</v>
          </cell>
          <cell r="Q643" t="str">
            <v>INTERIOR</v>
          </cell>
          <cell r="R643">
            <v>5</v>
          </cell>
          <cell r="S643">
            <v>9</v>
          </cell>
          <cell r="T643" t="str">
            <v>Ciudad principal</v>
          </cell>
          <cell r="U643" t="str">
            <v>A4 Mono MFPs</v>
          </cell>
          <cell r="V643" t="str">
            <v>XEROX MEXICANA SA DE CV / XEROX MEXICANA</v>
          </cell>
          <cell r="W643" t="str">
            <v>ESTADO DE MEXICO</v>
          </cell>
          <cell r="X643">
            <v>2019</v>
          </cell>
          <cell r="Y643" t="str">
            <v>Qtr 2</v>
          </cell>
          <cell r="Z643" t="str">
            <v>April</v>
          </cell>
          <cell r="AA643">
            <v>25</v>
          </cell>
          <cell r="AB643">
            <v>69</v>
          </cell>
          <cell r="AC643">
            <v>1.05</v>
          </cell>
          <cell r="AD643">
            <v>0.4866666</v>
          </cell>
          <cell r="AE643">
            <v>750.75</v>
          </cell>
        </row>
        <row r="644">
          <cell r="A644" t="str">
            <v>0C7X246862</v>
          </cell>
          <cell r="B644">
            <v>2019</v>
          </cell>
          <cell r="C644" t="str">
            <v>Qtr 2</v>
          </cell>
          <cell r="D644" t="str">
            <v>April</v>
          </cell>
          <cell r="E644">
            <v>23</v>
          </cell>
          <cell r="F644" t="str">
            <v>CORRECTIVO</v>
          </cell>
          <cell r="G644">
            <v>1.4666669999999999</v>
          </cell>
          <cell r="H644" t="str">
            <v>A4 Mono MFPs</v>
          </cell>
          <cell r="I644">
            <v>468</v>
          </cell>
          <cell r="J644">
            <v>715</v>
          </cell>
          <cell r="K644">
            <v>0</v>
          </cell>
          <cell r="L644">
            <v>0</v>
          </cell>
          <cell r="M644">
            <v>0</v>
          </cell>
          <cell r="N644">
            <v>0.6</v>
          </cell>
          <cell r="O644">
            <v>0.8</v>
          </cell>
          <cell r="P644">
            <v>1.05</v>
          </cell>
          <cell r="Q644" t="str">
            <v>INTERIOR</v>
          </cell>
          <cell r="R644">
            <v>5</v>
          </cell>
          <cell r="S644">
            <v>9</v>
          </cell>
          <cell r="T644" t="str">
            <v>Ciudad principal</v>
          </cell>
          <cell r="U644" t="str">
            <v>A4 Mono MFPs</v>
          </cell>
          <cell r="V644" t="str">
            <v>XEROX MEXICANA SA DE CV / XEROX MEXICANA</v>
          </cell>
          <cell r="W644" t="str">
            <v>CHIHUAHUA</v>
          </cell>
          <cell r="X644">
            <v>2019</v>
          </cell>
          <cell r="Y644" t="str">
            <v>Qtr 2</v>
          </cell>
          <cell r="Z644" t="str">
            <v>April</v>
          </cell>
          <cell r="AA644">
            <v>25</v>
          </cell>
          <cell r="AB644">
            <v>85</v>
          </cell>
          <cell r="AC644">
            <v>1.05</v>
          </cell>
          <cell r="AD644">
            <v>0.29333340000000002</v>
          </cell>
          <cell r="AE644">
            <v>750.75</v>
          </cell>
        </row>
        <row r="645">
          <cell r="A645" t="str">
            <v>0D6X452141</v>
          </cell>
          <cell r="B645">
            <v>2019</v>
          </cell>
          <cell r="C645" t="str">
            <v>Qtr 2</v>
          </cell>
          <cell r="D645" t="str">
            <v>April</v>
          </cell>
          <cell r="E645">
            <v>23</v>
          </cell>
          <cell r="F645" t="str">
            <v>CORRECTIVO</v>
          </cell>
          <cell r="G645">
            <v>0.1166667</v>
          </cell>
          <cell r="H645" t="str">
            <v>Entry Mono Printers</v>
          </cell>
          <cell r="I645">
            <v>468</v>
          </cell>
          <cell r="J645">
            <v>715</v>
          </cell>
          <cell r="K645">
            <v>0</v>
          </cell>
          <cell r="L645">
            <v>0</v>
          </cell>
          <cell r="M645">
            <v>0</v>
          </cell>
          <cell r="N645">
            <v>0.6</v>
          </cell>
          <cell r="O645">
            <v>0.8</v>
          </cell>
          <cell r="P645">
            <v>1.05</v>
          </cell>
          <cell r="Q645" t="str">
            <v>INTERIOR</v>
          </cell>
          <cell r="R645">
            <v>5</v>
          </cell>
          <cell r="S645">
            <v>9</v>
          </cell>
          <cell r="T645" t="str">
            <v>Ciudad principal</v>
          </cell>
          <cell r="U645" t="str">
            <v>Entry Mono Printers</v>
          </cell>
          <cell r="V645" t="str">
            <v>XEROX MEXICANA SA DE CV / XEROX MEXICANA</v>
          </cell>
          <cell r="W645" t="str">
            <v>CHIHUAHUA</v>
          </cell>
          <cell r="X645">
            <v>2019</v>
          </cell>
          <cell r="Y645" t="str">
            <v>Qtr 2</v>
          </cell>
          <cell r="Z645" t="str">
            <v>April</v>
          </cell>
          <cell r="AA645">
            <v>24</v>
          </cell>
          <cell r="AB645">
            <v>28</v>
          </cell>
          <cell r="AC645">
            <v>0.6</v>
          </cell>
          <cell r="AD645">
            <v>2.3333340000000001E-2</v>
          </cell>
          <cell r="AE645">
            <v>429</v>
          </cell>
        </row>
        <row r="646">
          <cell r="A646" t="str">
            <v>0D6X470918</v>
          </cell>
          <cell r="B646">
            <v>2019</v>
          </cell>
          <cell r="C646" t="str">
            <v>Qtr 2</v>
          </cell>
          <cell r="D646" t="str">
            <v>April</v>
          </cell>
          <cell r="E646">
            <v>23</v>
          </cell>
          <cell r="F646" t="str">
            <v>MANTENIMIENTO PREVENTIVO</v>
          </cell>
          <cell r="G646">
            <v>0</v>
          </cell>
          <cell r="I646" t="str">
            <v>NA</v>
          </cell>
          <cell r="J646" t="str">
            <v>NA</v>
          </cell>
          <cell r="K646" t="str">
            <v>NA</v>
          </cell>
          <cell r="L646" t="str">
            <v>NA</v>
          </cell>
          <cell r="M646" t="str">
            <v>NA</v>
          </cell>
          <cell r="N646" t="str">
            <v>NA</v>
          </cell>
          <cell r="O646" t="str">
            <v>NA</v>
          </cell>
          <cell r="P646" t="str">
            <v>NA</v>
          </cell>
          <cell r="R646" t="str">
            <v>NA</v>
          </cell>
          <cell r="S646" t="str">
            <v>NA</v>
          </cell>
          <cell r="U646" t="str">
            <v>Entry Mono Printers</v>
          </cell>
          <cell r="V646" t="str">
            <v>XEROX MEXICANA SA DE CV / XEROX MEXICANA</v>
          </cell>
          <cell r="W646" t="str">
            <v>COAHUILA</v>
          </cell>
          <cell r="X646">
            <v>2019</v>
          </cell>
          <cell r="Y646" t="str">
            <v>Qtr 2</v>
          </cell>
          <cell r="Z646" t="str">
            <v>April</v>
          </cell>
          <cell r="AA646">
            <v>23</v>
          </cell>
          <cell r="AB646">
            <v>33</v>
          </cell>
          <cell r="AC646">
            <v>1.1000000000000001</v>
          </cell>
          <cell r="AD646">
            <v>0</v>
          </cell>
          <cell r="AE646">
            <v>715</v>
          </cell>
        </row>
        <row r="647">
          <cell r="A647" t="str">
            <v>0EX9293087</v>
          </cell>
          <cell r="B647">
            <v>2019</v>
          </cell>
          <cell r="C647" t="str">
            <v>Qtr 2</v>
          </cell>
          <cell r="D647" t="str">
            <v>April</v>
          </cell>
          <cell r="E647">
            <v>23</v>
          </cell>
          <cell r="F647" t="str">
            <v>CORRECTIVO</v>
          </cell>
          <cell r="G647">
            <v>2.8</v>
          </cell>
          <cell r="H647" t="str">
            <v>Departmental Digital</v>
          </cell>
          <cell r="I647">
            <v>655</v>
          </cell>
          <cell r="J647">
            <v>1365</v>
          </cell>
          <cell r="K647">
            <v>0</v>
          </cell>
          <cell r="L647">
            <v>0</v>
          </cell>
          <cell r="M647">
            <v>0.6</v>
          </cell>
          <cell r="N647">
            <v>0.8</v>
          </cell>
          <cell r="O647">
            <v>1.05</v>
          </cell>
          <cell r="P647">
            <v>1.1000000000000001</v>
          </cell>
          <cell r="Q647" t="str">
            <v>INTERIOR</v>
          </cell>
          <cell r="R647">
            <v>5</v>
          </cell>
          <cell r="S647">
            <v>9</v>
          </cell>
          <cell r="T647" t="str">
            <v>Ciudad principal</v>
          </cell>
          <cell r="U647" t="str">
            <v>Departmental Digital</v>
          </cell>
          <cell r="V647" t="str">
            <v>XEROX MEXICANA SA DE CV / XEROX MEXICANA</v>
          </cell>
          <cell r="W647" t="str">
            <v>NUEVO LEON</v>
          </cell>
          <cell r="X647">
            <v>2019</v>
          </cell>
          <cell r="Y647" t="str">
            <v>Qtr 2</v>
          </cell>
          <cell r="Z647" t="str">
            <v>April</v>
          </cell>
          <cell r="AA647">
            <v>23</v>
          </cell>
          <cell r="AB647">
            <v>32</v>
          </cell>
          <cell r="AC647">
            <v>1.05</v>
          </cell>
          <cell r="AD647">
            <v>0.56000000000000005</v>
          </cell>
          <cell r="AE647">
            <v>1433.25</v>
          </cell>
        </row>
        <row r="648">
          <cell r="A648" t="str">
            <v>0EX9293121</v>
          </cell>
          <cell r="B648">
            <v>2019</v>
          </cell>
          <cell r="C648" t="str">
            <v>Qtr 2</v>
          </cell>
          <cell r="D648" t="str">
            <v>April</v>
          </cell>
          <cell r="E648">
            <v>23</v>
          </cell>
          <cell r="F648" t="str">
            <v>CORRECTIVO</v>
          </cell>
          <cell r="G648">
            <v>3.4166669999999999</v>
          </cell>
          <cell r="H648" t="str">
            <v>Departmental Digital</v>
          </cell>
          <cell r="I648">
            <v>655</v>
          </cell>
          <cell r="J648">
            <v>1365</v>
          </cell>
          <cell r="K648">
            <v>0</v>
          </cell>
          <cell r="L648">
            <v>0</v>
          </cell>
          <cell r="M648">
            <v>0.6</v>
          </cell>
          <cell r="N648">
            <v>0.8</v>
          </cell>
          <cell r="O648">
            <v>1.05</v>
          </cell>
          <cell r="P648">
            <v>1.1000000000000001</v>
          </cell>
          <cell r="Q648" t="str">
            <v>INTERIOR</v>
          </cell>
          <cell r="R648">
            <v>5</v>
          </cell>
          <cell r="S648">
            <v>9</v>
          </cell>
          <cell r="T648" t="str">
            <v>Ciudad principal</v>
          </cell>
          <cell r="U648" t="str">
            <v>Departmental Digital</v>
          </cell>
          <cell r="V648" t="str">
            <v>XEROX MEXICANA SA DE CV / XEROX MEXICANA</v>
          </cell>
          <cell r="W648" t="str">
            <v>NUEVO LEON</v>
          </cell>
          <cell r="X648">
            <v>2019</v>
          </cell>
          <cell r="Y648" t="str">
            <v>Qtr 2</v>
          </cell>
          <cell r="Z648" t="str">
            <v>April</v>
          </cell>
          <cell r="AA648">
            <v>23</v>
          </cell>
          <cell r="AB648">
            <v>7</v>
          </cell>
          <cell r="AC648">
            <v>0.6</v>
          </cell>
          <cell r="AD648">
            <v>0.68333339999999998</v>
          </cell>
          <cell r="AE648">
            <v>819</v>
          </cell>
        </row>
        <row r="649">
          <cell r="A649" t="str">
            <v>0EX9293351</v>
          </cell>
          <cell r="B649">
            <v>2019</v>
          </cell>
          <cell r="C649" t="str">
            <v>Qtr 2</v>
          </cell>
          <cell r="D649" t="str">
            <v>April</v>
          </cell>
          <cell r="E649">
            <v>23</v>
          </cell>
          <cell r="F649" t="str">
            <v>CORRECTIVO</v>
          </cell>
          <cell r="G649">
            <v>1.933333</v>
          </cell>
          <cell r="H649" t="str">
            <v>Departmental Digital</v>
          </cell>
          <cell r="I649">
            <v>655</v>
          </cell>
          <cell r="J649">
            <v>1365</v>
          </cell>
          <cell r="K649">
            <v>0</v>
          </cell>
          <cell r="L649">
            <v>0</v>
          </cell>
          <cell r="M649">
            <v>0.6</v>
          </cell>
          <cell r="N649">
            <v>0.8</v>
          </cell>
          <cell r="O649">
            <v>1.05</v>
          </cell>
          <cell r="P649">
            <v>1.1000000000000001</v>
          </cell>
          <cell r="Q649" t="str">
            <v>INTERIOR</v>
          </cell>
          <cell r="R649">
            <v>5</v>
          </cell>
          <cell r="S649">
            <v>9</v>
          </cell>
          <cell r="T649" t="str">
            <v>Ciudad principal</v>
          </cell>
          <cell r="U649" t="str">
            <v>Departmental Digital</v>
          </cell>
          <cell r="V649" t="str">
            <v>XEROX MEXICANA SA DE CV / XEROX MEXICANA</v>
          </cell>
          <cell r="W649" t="str">
            <v>NUEVO LEON</v>
          </cell>
          <cell r="X649">
            <v>2019</v>
          </cell>
          <cell r="Y649" t="str">
            <v>Qtr 2</v>
          </cell>
          <cell r="Z649" t="str">
            <v>April</v>
          </cell>
          <cell r="AA649">
            <v>23</v>
          </cell>
          <cell r="AB649">
            <v>64</v>
          </cell>
          <cell r="AC649">
            <v>1.1000000000000001</v>
          </cell>
          <cell r="AD649">
            <v>0.38666660000000003</v>
          </cell>
          <cell r="AE649">
            <v>1501.5</v>
          </cell>
        </row>
        <row r="650">
          <cell r="A650" t="str">
            <v>0EX9293385</v>
          </cell>
          <cell r="B650">
            <v>2019</v>
          </cell>
          <cell r="C650" t="str">
            <v>Qtr 2</v>
          </cell>
          <cell r="D650" t="str">
            <v>April</v>
          </cell>
          <cell r="E650">
            <v>23</v>
          </cell>
          <cell r="F650" t="str">
            <v>CORRECTIVO</v>
          </cell>
          <cell r="G650">
            <v>1.566667</v>
          </cell>
          <cell r="H650" t="str">
            <v>Departmental Digital</v>
          </cell>
          <cell r="I650">
            <v>655</v>
          </cell>
          <cell r="J650">
            <v>1365</v>
          </cell>
          <cell r="K650">
            <v>0</v>
          </cell>
          <cell r="L650">
            <v>0</v>
          </cell>
          <cell r="M650">
            <v>0.6</v>
          </cell>
          <cell r="N650">
            <v>0.8</v>
          </cell>
          <cell r="O650">
            <v>1.05</v>
          </cell>
          <cell r="P650">
            <v>1.1000000000000001</v>
          </cell>
          <cell r="Q650" t="str">
            <v>INTERIOR</v>
          </cell>
          <cell r="R650">
            <v>5</v>
          </cell>
          <cell r="S650">
            <v>9</v>
          </cell>
          <cell r="T650" t="str">
            <v>Ciudad principal</v>
          </cell>
          <cell r="U650" t="str">
            <v>Departmental Digital</v>
          </cell>
          <cell r="V650" t="str">
            <v>XEROX MEXICANA SA DE CV / XEROX MEXICANA</v>
          </cell>
          <cell r="W650" t="str">
            <v>QUERETARO</v>
          </cell>
          <cell r="X650">
            <v>2019</v>
          </cell>
          <cell r="Y650" t="str">
            <v>Qtr 2</v>
          </cell>
          <cell r="Z650" t="str">
            <v>April</v>
          </cell>
          <cell r="AA650">
            <v>23</v>
          </cell>
          <cell r="AB650">
            <v>20</v>
          </cell>
          <cell r="AC650">
            <v>0.8</v>
          </cell>
          <cell r="AD650">
            <v>0.31333339999999998</v>
          </cell>
          <cell r="AE650">
            <v>1092</v>
          </cell>
        </row>
        <row r="651">
          <cell r="A651" t="str">
            <v>0EX9293386</v>
          </cell>
          <cell r="B651">
            <v>2019</v>
          </cell>
          <cell r="C651" t="str">
            <v>Qtr 2</v>
          </cell>
          <cell r="D651" t="str">
            <v>April</v>
          </cell>
          <cell r="E651">
            <v>23</v>
          </cell>
          <cell r="F651" t="str">
            <v>CORRECTIVO</v>
          </cell>
          <cell r="G651">
            <v>0.71666660000000004</v>
          </cell>
          <cell r="H651" t="str">
            <v>Departmental Digital</v>
          </cell>
          <cell r="I651">
            <v>655</v>
          </cell>
          <cell r="J651">
            <v>1365</v>
          </cell>
          <cell r="K651">
            <v>0</v>
          </cell>
          <cell r="L651">
            <v>0</v>
          </cell>
          <cell r="M651">
            <v>0.6</v>
          </cell>
          <cell r="N651">
            <v>0.8</v>
          </cell>
          <cell r="O651">
            <v>1.05</v>
          </cell>
          <cell r="P651">
            <v>1.1000000000000001</v>
          </cell>
          <cell r="Q651" t="str">
            <v>INTERIOR</v>
          </cell>
          <cell r="R651">
            <v>5</v>
          </cell>
          <cell r="S651">
            <v>9</v>
          </cell>
          <cell r="T651" t="str">
            <v>Ciudad principal</v>
          </cell>
          <cell r="U651" t="str">
            <v>Departmental Digital</v>
          </cell>
          <cell r="V651" t="str">
            <v>XEROX MEXICANA SA DE CV / XEROX MEXICANA</v>
          </cell>
          <cell r="W651" t="str">
            <v>GUANAJUATO</v>
          </cell>
          <cell r="X651">
            <v>2019</v>
          </cell>
          <cell r="Y651" t="str">
            <v>Qtr 2</v>
          </cell>
          <cell r="Z651" t="str">
            <v>April</v>
          </cell>
          <cell r="AA651">
            <v>23</v>
          </cell>
          <cell r="AB651">
            <v>8</v>
          </cell>
          <cell r="AC651">
            <v>0.6</v>
          </cell>
          <cell r="AD651">
            <v>0.14333331999999999</v>
          </cell>
          <cell r="AE651">
            <v>819</v>
          </cell>
        </row>
        <row r="652">
          <cell r="A652" t="str">
            <v>0EX9293387</v>
          </cell>
          <cell r="B652">
            <v>2019</v>
          </cell>
          <cell r="C652" t="str">
            <v>Qtr 2</v>
          </cell>
          <cell r="D652" t="str">
            <v>April</v>
          </cell>
          <cell r="E652">
            <v>23</v>
          </cell>
          <cell r="F652" t="str">
            <v>CORRECTIVO</v>
          </cell>
          <cell r="G652">
            <v>0.83333330000000005</v>
          </cell>
          <cell r="H652" t="str">
            <v>Departmental Digital</v>
          </cell>
          <cell r="I652">
            <v>655</v>
          </cell>
          <cell r="J652">
            <v>1365</v>
          </cell>
          <cell r="K652">
            <v>0</v>
          </cell>
          <cell r="L652">
            <v>0</v>
          </cell>
          <cell r="M652">
            <v>0.6</v>
          </cell>
          <cell r="N652">
            <v>0.8</v>
          </cell>
          <cell r="O652">
            <v>1.05</v>
          </cell>
          <cell r="P652">
            <v>1.1000000000000001</v>
          </cell>
          <cell r="Q652" t="str">
            <v>INTERIOR</v>
          </cell>
          <cell r="R652">
            <v>5</v>
          </cell>
          <cell r="S652">
            <v>9</v>
          </cell>
          <cell r="T652" t="str">
            <v>Ciudad principal</v>
          </cell>
          <cell r="U652" t="str">
            <v>Departmental Digital</v>
          </cell>
          <cell r="V652" t="str">
            <v>XEROX MEXICANA SA DE CV / XEROX MEXICANA</v>
          </cell>
          <cell r="W652" t="str">
            <v>GUANAJUATO</v>
          </cell>
          <cell r="X652">
            <v>2019</v>
          </cell>
          <cell r="Y652" t="str">
            <v>Qtr 2</v>
          </cell>
          <cell r="Z652" t="str">
            <v>April</v>
          </cell>
          <cell r="AA652">
            <v>26</v>
          </cell>
          <cell r="AB652">
            <v>8</v>
          </cell>
          <cell r="AC652">
            <v>0.6</v>
          </cell>
          <cell r="AD652">
            <v>0.16666665999999999</v>
          </cell>
          <cell r="AE652">
            <v>819</v>
          </cell>
        </row>
        <row r="653">
          <cell r="A653" t="str">
            <v>0EX9297293</v>
          </cell>
          <cell r="B653">
            <v>2019</v>
          </cell>
          <cell r="C653" t="str">
            <v>Qtr 2</v>
          </cell>
          <cell r="D653" t="str">
            <v>April</v>
          </cell>
          <cell r="E653">
            <v>23</v>
          </cell>
          <cell r="F653" t="str">
            <v>CORRECTIVO</v>
          </cell>
          <cell r="G653">
            <v>0.76666670000000003</v>
          </cell>
          <cell r="H653" t="str">
            <v>Departmental Digital</v>
          </cell>
          <cell r="I653">
            <v>655</v>
          </cell>
          <cell r="J653">
            <v>1365</v>
          </cell>
          <cell r="K653">
            <v>0</v>
          </cell>
          <cell r="L653">
            <v>0</v>
          </cell>
          <cell r="M653">
            <v>0.6</v>
          </cell>
          <cell r="N653">
            <v>0.8</v>
          </cell>
          <cell r="O653">
            <v>1.05</v>
          </cell>
          <cell r="P653">
            <v>1.1000000000000001</v>
          </cell>
          <cell r="Q653" t="str">
            <v>INTERIOR</v>
          </cell>
          <cell r="R653">
            <v>5</v>
          </cell>
          <cell r="S653">
            <v>9</v>
          </cell>
          <cell r="T653" t="str">
            <v>Ciudad principal</v>
          </cell>
          <cell r="U653" t="str">
            <v>Departmental Digital</v>
          </cell>
          <cell r="V653" t="str">
            <v>XEROX MEXICANA SA DE CV / XEROX MEXICANA</v>
          </cell>
          <cell r="W653" t="str">
            <v>COAHUILA</v>
          </cell>
          <cell r="X653">
            <v>2019</v>
          </cell>
          <cell r="Y653" t="str">
            <v>Qtr 2</v>
          </cell>
          <cell r="Z653" t="str">
            <v>April</v>
          </cell>
          <cell r="AA653">
            <v>24</v>
          </cell>
          <cell r="AB653">
            <v>25</v>
          </cell>
          <cell r="AC653">
            <v>0.8</v>
          </cell>
          <cell r="AD653">
            <v>0.15333334000000001</v>
          </cell>
          <cell r="AE653">
            <v>1092</v>
          </cell>
        </row>
        <row r="654">
          <cell r="A654" t="str">
            <v>0EX9297565</v>
          </cell>
          <cell r="B654">
            <v>2019</v>
          </cell>
          <cell r="C654" t="str">
            <v>Qtr 2</v>
          </cell>
          <cell r="D654" t="str">
            <v>April</v>
          </cell>
          <cell r="E654">
            <v>23</v>
          </cell>
          <cell r="F654" t="str">
            <v>CORRECTIVO</v>
          </cell>
          <cell r="G654">
            <v>0</v>
          </cell>
          <cell r="H654" t="str">
            <v>Departmental Digital</v>
          </cell>
          <cell r="I654">
            <v>655</v>
          </cell>
          <cell r="J654">
            <v>1365</v>
          </cell>
          <cell r="K654">
            <v>0</v>
          </cell>
          <cell r="L654">
            <v>0</v>
          </cell>
          <cell r="M654">
            <v>0.6</v>
          </cell>
          <cell r="N654">
            <v>0.8</v>
          </cell>
          <cell r="O654">
            <v>1.05</v>
          </cell>
          <cell r="P654">
            <v>1.1000000000000001</v>
          </cell>
          <cell r="Q654" t="str">
            <v>INTERIOR</v>
          </cell>
          <cell r="R654">
            <v>5</v>
          </cell>
          <cell r="S654">
            <v>9</v>
          </cell>
          <cell r="T654" t="str">
            <v>Ciudad principal</v>
          </cell>
          <cell r="U654" t="str">
            <v>Departmental Digital</v>
          </cell>
          <cell r="V654" t="str">
            <v>XEROX MEXICANA SA DE CV / XEROX MEXICANA</v>
          </cell>
          <cell r="W654" t="str">
            <v>CHIHUAHUA</v>
          </cell>
          <cell r="X654">
            <v>2019</v>
          </cell>
          <cell r="Y654" t="str">
            <v>Qtr 2</v>
          </cell>
          <cell r="Z654" t="str">
            <v>April</v>
          </cell>
          <cell r="AA654">
            <v>23</v>
          </cell>
          <cell r="AB654">
            <v>25</v>
          </cell>
          <cell r="AC654">
            <v>0.8</v>
          </cell>
          <cell r="AD654">
            <v>0</v>
          </cell>
          <cell r="AE654">
            <v>1092</v>
          </cell>
        </row>
        <row r="655">
          <cell r="A655" t="str">
            <v>0LA8444144</v>
          </cell>
          <cell r="B655">
            <v>2019</v>
          </cell>
          <cell r="C655" t="str">
            <v>Qtr 2</v>
          </cell>
          <cell r="D655" t="str">
            <v>April</v>
          </cell>
          <cell r="E655">
            <v>23</v>
          </cell>
          <cell r="F655" t="str">
            <v>MANTENIMIENTO PREVENTIVO</v>
          </cell>
          <cell r="G655">
            <v>0</v>
          </cell>
          <cell r="H655" t="str">
            <v>A4 Mono MFPs</v>
          </cell>
          <cell r="I655">
            <v>468</v>
          </cell>
          <cell r="J655">
            <v>715</v>
          </cell>
          <cell r="K655">
            <v>0</v>
          </cell>
          <cell r="L655">
            <v>0</v>
          </cell>
          <cell r="M655">
            <v>0</v>
          </cell>
          <cell r="N655">
            <v>0.6</v>
          </cell>
          <cell r="O655">
            <v>0.8</v>
          </cell>
          <cell r="P655">
            <v>1.05</v>
          </cell>
          <cell r="Q655" t="str">
            <v>INTERIOR</v>
          </cell>
          <cell r="R655">
            <v>5</v>
          </cell>
          <cell r="S655">
            <v>9</v>
          </cell>
          <cell r="T655" t="str">
            <v>Ciudad principal</v>
          </cell>
          <cell r="U655" t="str">
            <v>A4 Mono MFPs</v>
          </cell>
          <cell r="V655" t="str">
            <v>XEROX MEXICANA SA DE CV / XEROX MEXICANA</v>
          </cell>
          <cell r="W655" t="str">
            <v>CHIHUAHUA</v>
          </cell>
          <cell r="X655">
            <v>2019</v>
          </cell>
          <cell r="Y655" t="str">
            <v>Qtr 2</v>
          </cell>
          <cell r="Z655" t="str">
            <v>April</v>
          </cell>
          <cell r="AA655">
            <v>24</v>
          </cell>
          <cell r="AB655">
            <v>46</v>
          </cell>
          <cell r="AC655">
            <v>0</v>
          </cell>
          <cell r="AD655">
            <v>0</v>
          </cell>
          <cell r="AE655">
            <v>715</v>
          </cell>
        </row>
        <row r="656">
          <cell r="A656" t="str">
            <v>0LX5697800</v>
          </cell>
          <cell r="B656">
            <v>2019</v>
          </cell>
          <cell r="C656" t="str">
            <v>Qtr 2</v>
          </cell>
          <cell r="D656" t="str">
            <v>April</v>
          </cell>
          <cell r="E656">
            <v>23</v>
          </cell>
          <cell r="F656" t="str">
            <v>CORRECTIVO</v>
          </cell>
          <cell r="G656">
            <v>2.4666670000000002</v>
          </cell>
          <cell r="H656" t="str">
            <v>A3 Office Color Laser MFPs</v>
          </cell>
          <cell r="I656">
            <v>655</v>
          </cell>
          <cell r="J656">
            <v>1365</v>
          </cell>
          <cell r="K656">
            <v>0</v>
          </cell>
          <cell r="L656">
            <v>0</v>
          </cell>
          <cell r="M656">
            <v>0.6</v>
          </cell>
          <cell r="N656">
            <v>0.8</v>
          </cell>
          <cell r="O656">
            <v>1.05</v>
          </cell>
          <cell r="P656">
            <v>1.1000000000000001</v>
          </cell>
          <cell r="Q656" t="str">
            <v>INTERIOR</v>
          </cell>
          <cell r="R656">
            <v>5</v>
          </cell>
          <cell r="S656">
            <v>9</v>
          </cell>
          <cell r="T656" t="str">
            <v>Ciudad principal</v>
          </cell>
          <cell r="U656" t="str">
            <v>A3 Office Color Laser MFPs</v>
          </cell>
          <cell r="V656" t="str">
            <v>XEROX MEXICANA SA DE CV / XEROX MEXICANA</v>
          </cell>
          <cell r="W656" t="str">
            <v>CHIHUAHUA</v>
          </cell>
          <cell r="X656">
            <v>2019</v>
          </cell>
          <cell r="Y656" t="str">
            <v>Qtr 2</v>
          </cell>
          <cell r="Z656" t="str">
            <v>April</v>
          </cell>
          <cell r="AA656">
            <v>26</v>
          </cell>
          <cell r="AB656">
            <v>32</v>
          </cell>
          <cell r="AC656">
            <v>1.05</v>
          </cell>
          <cell r="AD656">
            <v>0.49333339999999998</v>
          </cell>
          <cell r="AE656">
            <v>1433.25</v>
          </cell>
        </row>
        <row r="657">
          <cell r="A657" t="str">
            <v>0LX5822381</v>
          </cell>
          <cell r="B657">
            <v>2019</v>
          </cell>
          <cell r="C657" t="str">
            <v>Qtr 2</v>
          </cell>
          <cell r="D657" t="str">
            <v>April</v>
          </cell>
          <cell r="E657">
            <v>23</v>
          </cell>
          <cell r="F657" t="str">
            <v>CORRECTIVO</v>
          </cell>
          <cell r="G657">
            <v>0</v>
          </cell>
          <cell r="H657" t="str">
            <v>A3 Office Color Laser MFPs</v>
          </cell>
          <cell r="I657">
            <v>655</v>
          </cell>
          <cell r="J657">
            <v>1365</v>
          </cell>
          <cell r="K657">
            <v>0</v>
          </cell>
          <cell r="L657">
            <v>0</v>
          </cell>
          <cell r="M657">
            <v>0.6</v>
          </cell>
          <cell r="N657">
            <v>0.8</v>
          </cell>
          <cell r="O657">
            <v>1.05</v>
          </cell>
          <cell r="P657">
            <v>1.1000000000000001</v>
          </cell>
          <cell r="Q657" t="str">
            <v>INTERIOR</v>
          </cell>
          <cell r="R657">
            <v>5</v>
          </cell>
          <cell r="S657">
            <v>9</v>
          </cell>
          <cell r="T657" t="str">
            <v>Ciudad principal</v>
          </cell>
          <cell r="U657" t="str">
            <v>A3 Office Color Laser MFPs</v>
          </cell>
          <cell r="V657" t="str">
            <v>XEROX MEXICANA SA DE CV / XEROX MEXICANA</v>
          </cell>
          <cell r="W657" t="str">
            <v>CHIHUAHUA</v>
          </cell>
          <cell r="X657">
            <v>2019</v>
          </cell>
          <cell r="Y657" t="str">
            <v>Qtr 2</v>
          </cell>
          <cell r="Z657" t="str">
            <v>April</v>
          </cell>
          <cell r="AA657">
            <v>23</v>
          </cell>
          <cell r="AB657">
            <v>15</v>
          </cell>
          <cell r="AC657">
            <v>0.6</v>
          </cell>
          <cell r="AD657">
            <v>0</v>
          </cell>
          <cell r="AE657">
            <v>819</v>
          </cell>
        </row>
        <row r="658">
          <cell r="A658" t="str">
            <v>0VGW632064</v>
          </cell>
          <cell r="B658">
            <v>2019</v>
          </cell>
          <cell r="C658" t="str">
            <v>Qtr 2</v>
          </cell>
          <cell r="D658" t="str">
            <v>April</v>
          </cell>
          <cell r="E658">
            <v>23</v>
          </cell>
          <cell r="F658" t="str">
            <v>CORRECTIVO</v>
          </cell>
          <cell r="G658">
            <v>0</v>
          </cell>
          <cell r="H658" t="str">
            <v>A3 Professional Color Laser MFPs</v>
          </cell>
          <cell r="I658">
            <v>655</v>
          </cell>
          <cell r="J658">
            <v>1365</v>
          </cell>
          <cell r="K658">
            <v>0</v>
          </cell>
          <cell r="L658">
            <v>0</v>
          </cell>
          <cell r="M658">
            <v>0.6</v>
          </cell>
          <cell r="N658">
            <v>0.8</v>
          </cell>
          <cell r="O658">
            <v>1.05</v>
          </cell>
          <cell r="P658">
            <v>1.1000000000000001</v>
          </cell>
          <cell r="Q658" t="str">
            <v>INTERIOR</v>
          </cell>
          <cell r="R658">
            <v>5</v>
          </cell>
          <cell r="S658">
            <v>9</v>
          </cell>
          <cell r="T658" t="str">
            <v>Ciudad principal</v>
          </cell>
          <cell r="U658" t="str">
            <v>Entry Production Color Low/Mid</v>
          </cell>
          <cell r="V658" t="str">
            <v>XEROX MEXICANA SA DE CV / XEROX MEXICANA</v>
          </cell>
          <cell r="W658" t="str">
            <v>CHIHUAHUA</v>
          </cell>
          <cell r="X658">
            <v>2019</v>
          </cell>
          <cell r="Y658" t="str">
            <v>Qtr 2</v>
          </cell>
          <cell r="Z658" t="str">
            <v>April</v>
          </cell>
          <cell r="AA658">
            <v>23</v>
          </cell>
          <cell r="AB658">
            <v>14</v>
          </cell>
          <cell r="AC658">
            <v>0.6</v>
          </cell>
          <cell r="AD658">
            <v>0</v>
          </cell>
          <cell r="AE658">
            <v>819</v>
          </cell>
        </row>
        <row r="659">
          <cell r="A659" t="str">
            <v>0X76373202</v>
          </cell>
          <cell r="B659">
            <v>2019</v>
          </cell>
          <cell r="C659" t="str">
            <v>Qtr 2</v>
          </cell>
          <cell r="D659" t="str">
            <v>April</v>
          </cell>
          <cell r="E659">
            <v>23</v>
          </cell>
          <cell r="F659" t="str">
            <v>CORRECTIVO</v>
          </cell>
          <cell r="G659">
            <v>0</v>
          </cell>
          <cell r="H659" t="str">
            <v>Office Digital</v>
          </cell>
          <cell r="I659">
            <v>655</v>
          </cell>
          <cell r="J659">
            <v>1365</v>
          </cell>
          <cell r="K659">
            <v>0</v>
          </cell>
          <cell r="L659">
            <v>0</v>
          </cell>
          <cell r="M659">
            <v>0.6</v>
          </cell>
          <cell r="N659">
            <v>0.8</v>
          </cell>
          <cell r="O659">
            <v>1.05</v>
          </cell>
          <cell r="P659">
            <v>1.1000000000000001</v>
          </cell>
          <cell r="Q659" t="str">
            <v>INTERIOR</v>
          </cell>
          <cell r="R659">
            <v>5</v>
          </cell>
          <cell r="S659">
            <v>9</v>
          </cell>
          <cell r="T659" t="str">
            <v>Ciudad principal</v>
          </cell>
          <cell r="U659" t="str">
            <v>Departmental Digital</v>
          </cell>
          <cell r="V659" t="str">
            <v>XEROX MEXICANA SA DE CV / XEROX MEXICANA</v>
          </cell>
          <cell r="W659" t="str">
            <v>CHIHUAHUA</v>
          </cell>
          <cell r="X659">
            <v>2019</v>
          </cell>
          <cell r="Y659" t="str">
            <v>Qtr 2</v>
          </cell>
          <cell r="Z659" t="str">
            <v>April</v>
          </cell>
          <cell r="AA659">
            <v>23</v>
          </cell>
          <cell r="AB659">
            <v>104</v>
          </cell>
          <cell r="AC659">
            <v>1.1000000000000001</v>
          </cell>
          <cell r="AD659">
            <v>0</v>
          </cell>
          <cell r="AE659">
            <v>1501.5</v>
          </cell>
        </row>
        <row r="660">
          <cell r="A660" t="str">
            <v>0XEL555336</v>
          </cell>
          <cell r="B660">
            <v>2019</v>
          </cell>
          <cell r="C660" t="str">
            <v>Qtr 2</v>
          </cell>
          <cell r="D660" t="str">
            <v>April</v>
          </cell>
          <cell r="E660">
            <v>23</v>
          </cell>
          <cell r="F660" t="str">
            <v>CORRECTIVO</v>
          </cell>
          <cell r="G660">
            <v>0.86666670000000001</v>
          </cell>
          <cell r="H660" t="str">
            <v>Departmental Digital</v>
          </cell>
          <cell r="I660">
            <v>655</v>
          </cell>
          <cell r="J660">
            <v>1365</v>
          </cell>
          <cell r="K660">
            <v>0</v>
          </cell>
          <cell r="L660">
            <v>0</v>
          </cell>
          <cell r="M660">
            <v>0.6</v>
          </cell>
          <cell r="N660">
            <v>0.8</v>
          </cell>
          <cell r="O660">
            <v>1.05</v>
          </cell>
          <cell r="P660">
            <v>1.1000000000000001</v>
          </cell>
          <cell r="Q660" t="str">
            <v>INTERIOR</v>
          </cell>
          <cell r="R660">
            <v>5</v>
          </cell>
          <cell r="S660">
            <v>9</v>
          </cell>
          <cell r="T660" t="str">
            <v>Ciudad principal</v>
          </cell>
          <cell r="U660" t="str">
            <v>Departmental Digital</v>
          </cell>
          <cell r="V660" t="str">
            <v>XEROX MEXICANA SA DE CV / XEROX MEXICANA</v>
          </cell>
          <cell r="W660" t="str">
            <v>SAN LUIS POTOSI</v>
          </cell>
          <cell r="X660">
            <v>2019</v>
          </cell>
          <cell r="Y660" t="str">
            <v>Qtr 2</v>
          </cell>
          <cell r="Z660" t="str">
            <v>April</v>
          </cell>
          <cell r="AA660">
            <v>23</v>
          </cell>
          <cell r="AB660">
            <v>14</v>
          </cell>
          <cell r="AC660">
            <v>0.6</v>
          </cell>
          <cell r="AD660">
            <v>0.17333334</v>
          </cell>
          <cell r="AE660">
            <v>819</v>
          </cell>
        </row>
        <row r="661">
          <cell r="A661" t="str">
            <v>0XPN548251</v>
          </cell>
          <cell r="B661">
            <v>2019</v>
          </cell>
          <cell r="C661" t="str">
            <v>Qtr 2</v>
          </cell>
          <cell r="D661" t="str">
            <v>April</v>
          </cell>
          <cell r="E661">
            <v>23</v>
          </cell>
          <cell r="F661" t="str">
            <v>CORRECTIVO</v>
          </cell>
          <cell r="G661">
            <v>1.9</v>
          </cell>
          <cell r="H661" t="str">
            <v>Entry Production Color Low/Mid</v>
          </cell>
          <cell r="I661">
            <v>803</v>
          </cell>
          <cell r="J661">
            <v>1573</v>
          </cell>
          <cell r="K661">
            <v>0.2</v>
          </cell>
          <cell r="L661">
            <v>0.6</v>
          </cell>
          <cell r="M661">
            <v>0.8</v>
          </cell>
          <cell r="N661">
            <v>1.05</v>
          </cell>
          <cell r="O661">
            <v>1.1000000000000001</v>
          </cell>
          <cell r="P661">
            <v>1.1499999999999999</v>
          </cell>
          <cell r="Q661" t="str">
            <v>INTERIOR</v>
          </cell>
          <cell r="R661">
            <v>4</v>
          </cell>
          <cell r="S661">
            <v>6</v>
          </cell>
          <cell r="T661" t="str">
            <v>Ciudad principal</v>
          </cell>
          <cell r="U661" t="str">
            <v>Entry Production Color Low/Mid</v>
          </cell>
          <cell r="V661" t="str">
            <v>XEROX MEXICANA SA DE CV / XEROX MEXICANA</v>
          </cell>
          <cell r="W661" t="str">
            <v>NUEVO LEON</v>
          </cell>
          <cell r="X661">
            <v>2019</v>
          </cell>
          <cell r="Y661" t="str">
            <v>Qtr 2</v>
          </cell>
          <cell r="Z661" t="str">
            <v>April</v>
          </cell>
          <cell r="AA661">
            <v>23</v>
          </cell>
          <cell r="AB661">
            <v>68</v>
          </cell>
          <cell r="AC661">
            <v>1.1499999999999999</v>
          </cell>
          <cell r="AD661">
            <v>0.47499999999999998</v>
          </cell>
          <cell r="AE661">
            <v>1808.95</v>
          </cell>
        </row>
        <row r="662">
          <cell r="A662" t="str">
            <v>0Y4X826347</v>
          </cell>
          <cell r="B662">
            <v>2019</v>
          </cell>
          <cell r="C662" t="str">
            <v>Qtr 2</v>
          </cell>
          <cell r="D662" t="str">
            <v>April</v>
          </cell>
          <cell r="E662">
            <v>23</v>
          </cell>
          <cell r="F662" t="str">
            <v>CORRECTIVO</v>
          </cell>
          <cell r="G662">
            <v>1.85</v>
          </cell>
          <cell r="H662" t="str">
            <v>Office Digital</v>
          </cell>
          <cell r="I662">
            <v>655</v>
          </cell>
          <cell r="J662">
            <v>1365</v>
          </cell>
          <cell r="K662">
            <v>0</v>
          </cell>
          <cell r="L662">
            <v>0</v>
          </cell>
          <cell r="M662">
            <v>0.6</v>
          </cell>
          <cell r="N662">
            <v>0.8</v>
          </cell>
          <cell r="O662">
            <v>1.05</v>
          </cell>
          <cell r="P662">
            <v>1.1000000000000001</v>
          </cell>
          <cell r="Q662" t="str">
            <v>INTERIOR</v>
          </cell>
          <cell r="R662">
            <v>5</v>
          </cell>
          <cell r="S662">
            <v>9</v>
          </cell>
          <cell r="T662" t="str">
            <v>Ciudad principal</v>
          </cell>
          <cell r="U662" t="str">
            <v>Light Production Digital Business</v>
          </cell>
          <cell r="V662" t="str">
            <v>XEROX MEXICANA SA DE CV / XEROX MEXICANA</v>
          </cell>
          <cell r="W662" t="str">
            <v>TAMAULIPAS</v>
          </cell>
          <cell r="X662">
            <v>2019</v>
          </cell>
          <cell r="Y662" t="str">
            <v>Qtr 2</v>
          </cell>
          <cell r="Z662" t="str">
            <v>April</v>
          </cell>
          <cell r="AA662">
            <v>30</v>
          </cell>
          <cell r="AB662">
            <v>69</v>
          </cell>
          <cell r="AC662">
            <v>1.1000000000000001</v>
          </cell>
          <cell r="AD662">
            <v>0.37</v>
          </cell>
          <cell r="AE662">
            <v>1501.5</v>
          </cell>
        </row>
        <row r="663">
          <cell r="A663" t="str">
            <v>03AG876220</v>
          </cell>
          <cell r="B663">
            <v>2019</v>
          </cell>
          <cell r="C663" t="str">
            <v>Qtr 2</v>
          </cell>
          <cell r="D663" t="str">
            <v>April</v>
          </cell>
          <cell r="E663">
            <v>24</v>
          </cell>
          <cell r="F663" t="str">
            <v>CORRECTIVO</v>
          </cell>
          <cell r="G663">
            <v>1.683333</v>
          </cell>
          <cell r="H663" t="str">
            <v>Departmental Digital</v>
          </cell>
          <cell r="I663">
            <v>655</v>
          </cell>
          <cell r="J663">
            <v>1365</v>
          </cell>
          <cell r="K663">
            <v>0</v>
          </cell>
          <cell r="L663">
            <v>0</v>
          </cell>
          <cell r="M663">
            <v>0.6</v>
          </cell>
          <cell r="N663">
            <v>0.8</v>
          </cell>
          <cell r="O663">
            <v>1.05</v>
          </cell>
          <cell r="P663">
            <v>1.1000000000000001</v>
          </cell>
          <cell r="Q663" t="str">
            <v>METRO</v>
          </cell>
          <cell r="R663">
            <v>5</v>
          </cell>
          <cell r="S663">
            <v>9</v>
          </cell>
          <cell r="T663" t="str">
            <v>Ciudad principal</v>
          </cell>
          <cell r="U663" t="str">
            <v>Light Production Digital Business</v>
          </cell>
          <cell r="V663" t="str">
            <v>XEROX MEXICANA SA DE CV / XEROX MEXICANA</v>
          </cell>
          <cell r="W663" t="str">
            <v>CHIHUAHUA</v>
          </cell>
          <cell r="X663">
            <v>2019</v>
          </cell>
          <cell r="Y663" t="str">
            <v>Qtr 2</v>
          </cell>
          <cell r="Z663" t="str">
            <v>April</v>
          </cell>
          <cell r="AA663">
            <v>24</v>
          </cell>
          <cell r="AB663">
            <v>47</v>
          </cell>
          <cell r="AC663">
            <v>1.05</v>
          </cell>
          <cell r="AD663">
            <v>0.33666659999999998</v>
          </cell>
          <cell r="AE663">
            <v>687.75</v>
          </cell>
        </row>
        <row r="664">
          <cell r="A664" t="str">
            <v>03AG879962</v>
          </cell>
          <cell r="B664">
            <v>2019</v>
          </cell>
          <cell r="C664" t="str">
            <v>Qtr 2</v>
          </cell>
          <cell r="D664" t="str">
            <v>April</v>
          </cell>
          <cell r="E664">
            <v>24</v>
          </cell>
          <cell r="F664" t="str">
            <v>CORRECTIVO</v>
          </cell>
          <cell r="G664">
            <v>0.38333329999999999</v>
          </cell>
          <cell r="H664" t="str">
            <v>Departmental Digital</v>
          </cell>
          <cell r="I664">
            <v>655</v>
          </cell>
          <cell r="J664">
            <v>1365</v>
          </cell>
          <cell r="K664">
            <v>0</v>
          </cell>
          <cell r="L664">
            <v>0</v>
          </cell>
          <cell r="M664">
            <v>0.6</v>
          </cell>
          <cell r="N664">
            <v>0.8</v>
          </cell>
          <cell r="O664">
            <v>1.05</v>
          </cell>
          <cell r="P664">
            <v>1.1000000000000001</v>
          </cell>
          <cell r="Q664" t="str">
            <v>INTERIOR</v>
          </cell>
          <cell r="R664">
            <v>5</v>
          </cell>
          <cell r="S664">
            <v>9</v>
          </cell>
          <cell r="T664" t="str">
            <v>Ciudad principal</v>
          </cell>
          <cell r="U664" t="str">
            <v>Light Production Digital Business</v>
          </cell>
          <cell r="V664" t="str">
            <v>XEROX MEXICANA SA DE CV / XEROX MEXICANA</v>
          </cell>
          <cell r="W664" t="str">
            <v>CHIHUAHUA</v>
          </cell>
          <cell r="X664">
            <v>2019</v>
          </cell>
          <cell r="Y664" t="str">
            <v>Qtr 2</v>
          </cell>
          <cell r="Z664" t="str">
            <v>April</v>
          </cell>
          <cell r="AA664">
            <v>24</v>
          </cell>
          <cell r="AB664">
            <v>16</v>
          </cell>
          <cell r="AC664">
            <v>0.8</v>
          </cell>
          <cell r="AD664">
            <v>7.6666659999999998E-2</v>
          </cell>
          <cell r="AE664">
            <v>1092</v>
          </cell>
        </row>
        <row r="665">
          <cell r="A665" t="str">
            <v>03AG880350</v>
          </cell>
          <cell r="B665">
            <v>2019</v>
          </cell>
          <cell r="C665" t="str">
            <v>Qtr 2</v>
          </cell>
          <cell r="D665" t="str">
            <v>April</v>
          </cell>
          <cell r="E665">
            <v>24</v>
          </cell>
          <cell r="F665" t="str">
            <v>CORRECTIVO</v>
          </cell>
          <cell r="G665">
            <v>2.0833330000000001</v>
          </cell>
          <cell r="H665" t="str">
            <v>Departmental Digital</v>
          </cell>
          <cell r="I665">
            <v>655</v>
          </cell>
          <cell r="J665">
            <v>1365</v>
          </cell>
          <cell r="K665">
            <v>0</v>
          </cell>
          <cell r="L665">
            <v>0</v>
          </cell>
          <cell r="M665">
            <v>0.6</v>
          </cell>
          <cell r="N665">
            <v>0.8</v>
          </cell>
          <cell r="O665">
            <v>1.05</v>
          </cell>
          <cell r="P665">
            <v>1.1000000000000001</v>
          </cell>
          <cell r="Q665" t="str">
            <v>INTERIOR</v>
          </cell>
          <cell r="R665">
            <v>5</v>
          </cell>
          <cell r="S665">
            <v>9</v>
          </cell>
          <cell r="T665" t="str">
            <v>Ciudad principal</v>
          </cell>
          <cell r="U665" t="str">
            <v>Departmental Digital</v>
          </cell>
          <cell r="V665" t="str">
            <v>XEROX MEXICANA SA DE CV / XEROX MEXICANA</v>
          </cell>
          <cell r="W665" t="str">
            <v>JALISCO</v>
          </cell>
          <cell r="X665">
            <v>2019</v>
          </cell>
          <cell r="Y665" t="str">
            <v>Qtr 2</v>
          </cell>
          <cell r="Z665" t="str">
            <v>April</v>
          </cell>
          <cell r="AA665">
            <v>24</v>
          </cell>
          <cell r="AB665">
            <v>35</v>
          </cell>
          <cell r="AC665">
            <v>1.05</v>
          </cell>
          <cell r="AD665">
            <v>0.4166666</v>
          </cell>
          <cell r="AE665">
            <v>1433.25</v>
          </cell>
        </row>
        <row r="666">
          <cell r="A666" t="str">
            <v>09HB325846</v>
          </cell>
          <cell r="B666">
            <v>2019</v>
          </cell>
          <cell r="C666" t="str">
            <v>Qtr 2</v>
          </cell>
          <cell r="D666" t="str">
            <v>April</v>
          </cell>
          <cell r="E666">
            <v>24</v>
          </cell>
          <cell r="F666" t="str">
            <v>CORRECTIVO</v>
          </cell>
          <cell r="G666">
            <v>3.3333330000000001</v>
          </cell>
          <cell r="H666" t="str">
            <v>A4 Mono MFPs</v>
          </cell>
          <cell r="I666">
            <v>468</v>
          </cell>
          <cell r="J666">
            <v>715</v>
          </cell>
          <cell r="K666">
            <v>0</v>
          </cell>
          <cell r="L666">
            <v>0</v>
          </cell>
          <cell r="M666">
            <v>0</v>
          </cell>
          <cell r="N666">
            <v>0.6</v>
          </cell>
          <cell r="O666">
            <v>0.8</v>
          </cell>
          <cell r="P666">
            <v>1.05</v>
          </cell>
          <cell r="Q666" t="str">
            <v>INTERIOR</v>
          </cell>
          <cell r="R666">
            <v>5</v>
          </cell>
          <cell r="S666">
            <v>9</v>
          </cell>
          <cell r="T666" t="str">
            <v>Otras</v>
          </cell>
          <cell r="U666" t="str">
            <v>A4 Mono MFPs</v>
          </cell>
          <cell r="V666" t="str">
            <v>XEROX MEXICANA SA DE CV / XEROX MEXICANA</v>
          </cell>
          <cell r="W666" t="str">
            <v>TAMAULIPAS</v>
          </cell>
          <cell r="X666">
            <v>2019</v>
          </cell>
          <cell r="Y666" t="str">
            <v>Qtr 2</v>
          </cell>
          <cell r="Z666" t="str">
            <v>April</v>
          </cell>
          <cell r="AA666">
            <v>25</v>
          </cell>
          <cell r="AB666">
            <v>357</v>
          </cell>
          <cell r="AC666">
            <v>1.05</v>
          </cell>
          <cell r="AD666">
            <v>0.37037033333333302</v>
          </cell>
          <cell r="AE666">
            <v>750.75</v>
          </cell>
        </row>
        <row r="667">
          <cell r="A667" t="str">
            <v>0A1H020591</v>
          </cell>
          <cell r="B667">
            <v>2019</v>
          </cell>
          <cell r="C667" t="str">
            <v>Qtr 2</v>
          </cell>
          <cell r="D667" t="str">
            <v>April</v>
          </cell>
          <cell r="E667">
            <v>24</v>
          </cell>
          <cell r="F667" t="str">
            <v>CORRECTIVO</v>
          </cell>
          <cell r="G667">
            <v>1.75</v>
          </cell>
          <cell r="H667" t="str">
            <v>WF Mono Systems and Legacy Color</v>
          </cell>
          <cell r="I667">
            <v>803</v>
          </cell>
          <cell r="J667">
            <v>1573</v>
          </cell>
          <cell r="K667">
            <v>0.2</v>
          </cell>
          <cell r="L667">
            <v>0.6</v>
          </cell>
          <cell r="M667">
            <v>0.8</v>
          </cell>
          <cell r="N667">
            <v>1.05</v>
          </cell>
          <cell r="O667">
            <v>1.1000000000000001</v>
          </cell>
          <cell r="P667">
            <v>1.1499999999999999</v>
          </cell>
          <cell r="Q667" t="str">
            <v>INTERIOR</v>
          </cell>
          <cell r="R667">
            <v>4</v>
          </cell>
          <cell r="S667">
            <v>6</v>
          </cell>
          <cell r="T667" t="str">
            <v>Ciudad principal</v>
          </cell>
          <cell r="U667" t="str">
            <v>WF Mono Systems and Legacy Color</v>
          </cell>
          <cell r="V667" t="str">
            <v>XEROX MEXICANA SA DE CV / XEROX MEXICANA</v>
          </cell>
          <cell r="W667" t="str">
            <v>MICHOACAN</v>
          </cell>
          <cell r="X667">
            <v>2019</v>
          </cell>
          <cell r="Y667" t="str">
            <v>Qtr 2</v>
          </cell>
          <cell r="Z667" t="str">
            <v>April</v>
          </cell>
          <cell r="AA667">
            <v>24</v>
          </cell>
          <cell r="AB667">
            <v>6</v>
          </cell>
          <cell r="AC667">
            <v>0.6</v>
          </cell>
          <cell r="AD667">
            <v>0.4375</v>
          </cell>
          <cell r="AE667">
            <v>943.8</v>
          </cell>
        </row>
        <row r="668">
          <cell r="A668" t="str">
            <v>0A1H021665</v>
          </cell>
          <cell r="B668">
            <v>2019</v>
          </cell>
          <cell r="C668" t="str">
            <v>Qtr 2</v>
          </cell>
          <cell r="D668" t="str">
            <v>April</v>
          </cell>
          <cell r="E668">
            <v>24</v>
          </cell>
          <cell r="F668" t="str">
            <v>CORRECTIVO</v>
          </cell>
          <cell r="G668">
            <v>1.566667</v>
          </cell>
          <cell r="H668" t="str">
            <v>WF Mono Systems and Legacy Color</v>
          </cell>
          <cell r="I668">
            <v>803</v>
          </cell>
          <cell r="J668">
            <v>1573</v>
          </cell>
          <cell r="K668">
            <v>0.2</v>
          </cell>
          <cell r="L668">
            <v>0.6</v>
          </cell>
          <cell r="M668">
            <v>0.8</v>
          </cell>
          <cell r="N668">
            <v>1.05</v>
          </cell>
          <cell r="O668">
            <v>1.1000000000000001</v>
          </cell>
          <cell r="P668">
            <v>1.1499999999999999</v>
          </cell>
          <cell r="Q668" t="str">
            <v>INTERIOR</v>
          </cell>
          <cell r="R668">
            <v>4</v>
          </cell>
          <cell r="S668">
            <v>6</v>
          </cell>
          <cell r="T668" t="str">
            <v>Ciudad principal</v>
          </cell>
          <cell r="U668" t="str">
            <v>WF Mono Systems and Legacy Color</v>
          </cell>
          <cell r="V668" t="str">
            <v>XEROX MEXICANA SA DE CV / XEROX MEXICANA</v>
          </cell>
          <cell r="W668" t="str">
            <v>QUERETARO</v>
          </cell>
          <cell r="X668">
            <v>2019</v>
          </cell>
          <cell r="Y668" t="str">
            <v>Qtr 2</v>
          </cell>
          <cell r="Z668" t="str">
            <v>April</v>
          </cell>
          <cell r="AA668">
            <v>24</v>
          </cell>
          <cell r="AB668">
            <v>29</v>
          </cell>
          <cell r="AC668">
            <v>1.05</v>
          </cell>
          <cell r="AD668">
            <v>0.39166675000000001</v>
          </cell>
          <cell r="AE668">
            <v>1651.65</v>
          </cell>
        </row>
        <row r="669">
          <cell r="A669" t="str">
            <v>0A2T382396</v>
          </cell>
          <cell r="B669">
            <v>2019</v>
          </cell>
          <cell r="C669" t="str">
            <v>Qtr 2</v>
          </cell>
          <cell r="D669" t="str">
            <v>April</v>
          </cell>
          <cell r="E669">
            <v>24</v>
          </cell>
          <cell r="F669" t="str">
            <v>CORRECTIVO</v>
          </cell>
          <cell r="G669">
            <v>0</v>
          </cell>
          <cell r="H669" t="str">
            <v>A4 Mono MFPs</v>
          </cell>
          <cell r="I669">
            <v>468</v>
          </cell>
          <cell r="J669">
            <v>715</v>
          </cell>
          <cell r="K669">
            <v>0</v>
          </cell>
          <cell r="L669">
            <v>0</v>
          </cell>
          <cell r="M669">
            <v>0</v>
          </cell>
          <cell r="N669">
            <v>0.6</v>
          </cell>
          <cell r="O669">
            <v>0.8</v>
          </cell>
          <cell r="P669">
            <v>1.05</v>
          </cell>
          <cell r="Q669" t="str">
            <v>INTERIOR</v>
          </cell>
          <cell r="R669">
            <v>5</v>
          </cell>
          <cell r="S669">
            <v>9</v>
          </cell>
          <cell r="T669" t="str">
            <v>Ciudad principal</v>
          </cell>
          <cell r="U669" t="str">
            <v>A4 Mono MFPs</v>
          </cell>
          <cell r="V669" t="str">
            <v>XEROX MEXICANA SA DE CV / XEROX MEXICANA</v>
          </cell>
          <cell r="W669" t="str">
            <v>CHIHUAHUA</v>
          </cell>
          <cell r="X669">
            <v>2019</v>
          </cell>
          <cell r="Y669" t="str">
            <v>Qtr 2</v>
          </cell>
          <cell r="Z669" t="str">
            <v>April</v>
          </cell>
          <cell r="AA669">
            <v>24</v>
          </cell>
          <cell r="AB669">
            <v>1</v>
          </cell>
          <cell r="AC669">
            <v>0</v>
          </cell>
          <cell r="AD669">
            <v>0</v>
          </cell>
          <cell r="AE669">
            <v>0</v>
          </cell>
        </row>
        <row r="670">
          <cell r="A670" t="str">
            <v>0AB9779577</v>
          </cell>
          <cell r="B670">
            <v>2019</v>
          </cell>
          <cell r="C670" t="str">
            <v>Qtr 2</v>
          </cell>
          <cell r="D670" t="str">
            <v>April</v>
          </cell>
          <cell r="E670">
            <v>24</v>
          </cell>
          <cell r="F670" t="str">
            <v>CORRECTIVO</v>
          </cell>
          <cell r="G670">
            <v>0</v>
          </cell>
          <cell r="H670" t="str">
            <v>Color Laser Printers</v>
          </cell>
          <cell r="I670">
            <v>468</v>
          </cell>
          <cell r="J670">
            <v>715</v>
          </cell>
          <cell r="K670">
            <v>0</v>
          </cell>
          <cell r="L670">
            <v>0</v>
          </cell>
          <cell r="M670">
            <v>0</v>
          </cell>
          <cell r="N670">
            <v>0.6</v>
          </cell>
          <cell r="O670">
            <v>0.8</v>
          </cell>
          <cell r="P670">
            <v>1.05</v>
          </cell>
          <cell r="Q670" t="str">
            <v>INTERIOR</v>
          </cell>
          <cell r="R670">
            <v>5</v>
          </cell>
          <cell r="S670">
            <v>9</v>
          </cell>
          <cell r="T670" t="str">
            <v>Ciudad principal</v>
          </cell>
          <cell r="U670" t="str">
            <v>Departmental Digital</v>
          </cell>
          <cell r="V670" t="str">
            <v>XEROX MEXICANA SA DE CV / XEROX MEXICANA</v>
          </cell>
          <cell r="W670" t="str">
            <v>CHIHUAHUA</v>
          </cell>
          <cell r="X670">
            <v>2019</v>
          </cell>
          <cell r="Y670" t="str">
            <v>Qtr 2</v>
          </cell>
          <cell r="Z670" t="str">
            <v>April</v>
          </cell>
          <cell r="AA670">
            <v>24</v>
          </cell>
          <cell r="AB670">
            <v>85</v>
          </cell>
          <cell r="AC670">
            <v>1.05</v>
          </cell>
          <cell r="AD670">
            <v>0</v>
          </cell>
          <cell r="AE670">
            <v>750.75</v>
          </cell>
        </row>
        <row r="671">
          <cell r="A671" t="str">
            <v>0AGD460903</v>
          </cell>
          <cell r="B671">
            <v>2019</v>
          </cell>
          <cell r="C671" t="str">
            <v>Qtr 2</v>
          </cell>
          <cell r="D671" t="str">
            <v>April</v>
          </cell>
          <cell r="E671">
            <v>24</v>
          </cell>
          <cell r="F671" t="str">
            <v>CORRECTIVO</v>
          </cell>
          <cell r="G671">
            <v>2.233333</v>
          </cell>
          <cell r="I671" t="str">
            <v>NA</v>
          </cell>
          <cell r="J671" t="str">
            <v>NA</v>
          </cell>
          <cell r="K671" t="str">
            <v>NA</v>
          </cell>
          <cell r="L671" t="str">
            <v>NA</v>
          </cell>
          <cell r="M671" t="str">
            <v>NA</v>
          </cell>
          <cell r="N671" t="str">
            <v>NA</v>
          </cell>
          <cell r="O671" t="str">
            <v>NA</v>
          </cell>
          <cell r="P671" t="str">
            <v>NA</v>
          </cell>
          <cell r="R671" t="str">
            <v>NA</v>
          </cell>
          <cell r="S671" t="str">
            <v>NA</v>
          </cell>
          <cell r="U671" t="str">
            <v>WF Mono Systems and Legacy Color</v>
          </cell>
          <cell r="V671" t="str">
            <v>XEROX MEXICANA SA DE CV / XEROX MEXICANA</v>
          </cell>
          <cell r="W671" t="str">
            <v>ESTADO DE MEXICO</v>
          </cell>
          <cell r="X671">
            <v>2019</v>
          </cell>
          <cell r="Y671" t="str">
            <v>Qtr 2</v>
          </cell>
          <cell r="Z671" t="str">
            <v>April</v>
          </cell>
          <cell r="AA671">
            <v>24</v>
          </cell>
          <cell r="AB671">
            <v>71</v>
          </cell>
          <cell r="AC671">
            <v>1.1000000000000001</v>
          </cell>
          <cell r="AD671">
            <v>0</v>
          </cell>
          <cell r="AE671">
            <v>235.95</v>
          </cell>
        </row>
        <row r="672">
          <cell r="A672" t="str">
            <v>0AGE474522</v>
          </cell>
          <cell r="B672">
            <v>2019</v>
          </cell>
          <cell r="C672" t="str">
            <v>Qtr 2</v>
          </cell>
          <cell r="D672" t="str">
            <v>April</v>
          </cell>
          <cell r="E672">
            <v>24</v>
          </cell>
          <cell r="F672" t="str">
            <v>MANTENIMIENTO PREVENTIVO</v>
          </cell>
          <cell r="G672">
            <v>0</v>
          </cell>
          <cell r="H672" t="str">
            <v>WF Mono Systems and Legacy Color</v>
          </cell>
          <cell r="I672">
            <v>803</v>
          </cell>
          <cell r="J672">
            <v>1573</v>
          </cell>
          <cell r="K672">
            <v>0.2</v>
          </cell>
          <cell r="L672">
            <v>0.6</v>
          </cell>
          <cell r="M672">
            <v>0.8</v>
          </cell>
          <cell r="N672">
            <v>1.05</v>
          </cell>
          <cell r="O672">
            <v>1.1000000000000001</v>
          </cell>
          <cell r="P672">
            <v>1.1499999999999999</v>
          </cell>
          <cell r="Q672" t="str">
            <v>INTERIOR</v>
          </cell>
          <cell r="R672">
            <v>4</v>
          </cell>
          <cell r="S672">
            <v>6</v>
          </cell>
          <cell r="T672" t="str">
            <v>Ciudad principal</v>
          </cell>
          <cell r="U672" t="str">
            <v>WF Mono Systems and Legacy Color</v>
          </cell>
          <cell r="V672" t="str">
            <v>XEROX MEXICANA SA DE CV / XEROX MEXICANA</v>
          </cell>
          <cell r="W672" t="str">
            <v>TAMAULIPAS</v>
          </cell>
          <cell r="X672">
            <v>2019</v>
          </cell>
          <cell r="Y672" t="str">
            <v>Qtr 2</v>
          </cell>
          <cell r="Z672" t="str">
            <v>April</v>
          </cell>
          <cell r="AA672">
            <v>24</v>
          </cell>
          <cell r="AB672">
            <v>9</v>
          </cell>
          <cell r="AC672">
            <v>0</v>
          </cell>
          <cell r="AD672">
            <v>0</v>
          </cell>
          <cell r="AE672">
            <v>1573</v>
          </cell>
        </row>
        <row r="673">
          <cell r="A673" t="str">
            <v>0B2R091016</v>
          </cell>
          <cell r="B673">
            <v>2019</v>
          </cell>
          <cell r="C673" t="str">
            <v>Qtr 2</v>
          </cell>
          <cell r="D673" t="str">
            <v>April</v>
          </cell>
          <cell r="E673">
            <v>24</v>
          </cell>
          <cell r="F673" t="str">
            <v>CORRECTIVO</v>
          </cell>
          <cell r="G673">
            <v>3.7</v>
          </cell>
          <cell r="H673" t="str">
            <v>Entry Production Color Low/Mid</v>
          </cell>
          <cell r="I673">
            <v>803</v>
          </cell>
          <cell r="J673">
            <v>1573</v>
          </cell>
          <cell r="K673">
            <v>0.2</v>
          </cell>
          <cell r="L673">
            <v>0.6</v>
          </cell>
          <cell r="M673">
            <v>0.8</v>
          </cell>
          <cell r="N673">
            <v>1.05</v>
          </cell>
          <cell r="O673">
            <v>1.1000000000000001</v>
          </cell>
          <cell r="P673">
            <v>1.1499999999999999</v>
          </cell>
          <cell r="Q673" t="str">
            <v>INTERIOR</v>
          </cell>
          <cell r="R673">
            <v>4</v>
          </cell>
          <cell r="S673">
            <v>6</v>
          </cell>
          <cell r="T673" t="str">
            <v>Ciudad principal</v>
          </cell>
          <cell r="U673" t="str">
            <v>High End Cut Sheet</v>
          </cell>
          <cell r="V673" t="str">
            <v>XEROX MEXICANA SA DE CV / XEROX MEXICANA</v>
          </cell>
          <cell r="W673" t="str">
            <v>NUEVO LEON</v>
          </cell>
          <cell r="X673">
            <v>2019</v>
          </cell>
          <cell r="Y673" t="str">
            <v>Qtr 2</v>
          </cell>
          <cell r="Z673" t="str">
            <v>April</v>
          </cell>
          <cell r="AA673">
            <v>24</v>
          </cell>
          <cell r="AB673">
            <v>22</v>
          </cell>
          <cell r="AC673">
            <v>1.05</v>
          </cell>
          <cell r="AD673">
            <v>0.92500000000000004</v>
          </cell>
          <cell r="AE673">
            <v>1651.65</v>
          </cell>
        </row>
        <row r="674">
          <cell r="A674" t="str">
            <v>0BG1001037</v>
          </cell>
          <cell r="B674">
            <v>2019</v>
          </cell>
          <cell r="C674" t="str">
            <v>Qtr 2</v>
          </cell>
          <cell r="D674" t="str">
            <v>April</v>
          </cell>
          <cell r="E674">
            <v>24</v>
          </cell>
          <cell r="F674" t="str">
            <v>CORRECTIVO</v>
          </cell>
          <cell r="G674">
            <v>1.7166669999999999</v>
          </cell>
          <cell r="H674" t="str">
            <v>Light Production Digital Business</v>
          </cell>
          <cell r="I674">
            <v>803</v>
          </cell>
          <cell r="J674">
            <v>1573</v>
          </cell>
          <cell r="K674">
            <v>0.2</v>
          </cell>
          <cell r="L674">
            <v>0.6</v>
          </cell>
          <cell r="M674">
            <v>0.8</v>
          </cell>
          <cell r="N674">
            <v>1.05</v>
          </cell>
          <cell r="O674">
            <v>1.1000000000000001</v>
          </cell>
          <cell r="P674">
            <v>1.1499999999999999</v>
          </cell>
          <cell r="Q674" t="str">
            <v>INTERIOR</v>
          </cell>
          <cell r="R674">
            <v>4</v>
          </cell>
          <cell r="S674">
            <v>6</v>
          </cell>
          <cell r="T674" t="str">
            <v>Ciudad principal</v>
          </cell>
          <cell r="U674" t="str">
            <v>High End Cut Sheet</v>
          </cell>
          <cell r="V674" t="str">
            <v>XEROX MEXICANA SA DE CV / XEROX MEXICANA</v>
          </cell>
          <cell r="W674" t="str">
            <v>TAMAULIPAS</v>
          </cell>
          <cell r="X674">
            <v>2019</v>
          </cell>
          <cell r="Y674" t="str">
            <v>Qtr 2</v>
          </cell>
          <cell r="Z674" t="str">
            <v>April</v>
          </cell>
          <cell r="AA674">
            <v>26</v>
          </cell>
          <cell r="AB674">
            <v>50</v>
          </cell>
          <cell r="AC674">
            <v>1.1000000000000001</v>
          </cell>
          <cell r="AD674">
            <v>0.42916674999999999</v>
          </cell>
          <cell r="AE674">
            <v>1730.3</v>
          </cell>
        </row>
        <row r="675">
          <cell r="A675" t="str">
            <v>0BG2940370</v>
          </cell>
          <cell r="B675">
            <v>2019</v>
          </cell>
          <cell r="C675" t="str">
            <v>Qtr 2</v>
          </cell>
          <cell r="D675" t="str">
            <v>April</v>
          </cell>
          <cell r="E675">
            <v>24</v>
          </cell>
          <cell r="F675" t="str">
            <v>MANTENIMIENTO PREVENTIVO</v>
          </cell>
          <cell r="G675">
            <v>0</v>
          </cell>
          <cell r="H675" t="str">
            <v>Light Production Digital Business</v>
          </cell>
          <cell r="I675">
            <v>803</v>
          </cell>
          <cell r="J675">
            <v>1573</v>
          </cell>
          <cell r="K675">
            <v>0.2</v>
          </cell>
          <cell r="L675">
            <v>0.6</v>
          </cell>
          <cell r="M675">
            <v>0.8</v>
          </cell>
          <cell r="N675">
            <v>1.05</v>
          </cell>
          <cell r="O675">
            <v>1.1000000000000001</v>
          </cell>
          <cell r="P675">
            <v>1.1499999999999999</v>
          </cell>
          <cell r="Q675" t="str">
            <v>INTERIOR</v>
          </cell>
          <cell r="R675">
            <v>4</v>
          </cell>
          <cell r="S675">
            <v>6</v>
          </cell>
          <cell r="T675" t="str">
            <v>Ciudad principal</v>
          </cell>
          <cell r="U675" t="str">
            <v>High End Cut Sheet</v>
          </cell>
          <cell r="V675" t="str">
            <v>XEROX MEXICANA SA DE CV / XEROX MEXICANA</v>
          </cell>
          <cell r="W675" t="str">
            <v>CHIHUAHUA</v>
          </cell>
          <cell r="X675">
            <v>2019</v>
          </cell>
          <cell r="Y675" t="str">
            <v>Qtr 2</v>
          </cell>
          <cell r="Z675" t="str">
            <v>April</v>
          </cell>
          <cell r="AA675">
            <v>24</v>
          </cell>
          <cell r="AB675">
            <v>16</v>
          </cell>
          <cell r="AC675">
            <v>0</v>
          </cell>
          <cell r="AD675">
            <v>0</v>
          </cell>
          <cell r="AE675">
            <v>1573</v>
          </cell>
        </row>
        <row r="676">
          <cell r="A676" t="str">
            <v>0BG2940928</v>
          </cell>
          <cell r="B676">
            <v>2019</v>
          </cell>
          <cell r="C676" t="str">
            <v>Qtr 2</v>
          </cell>
          <cell r="D676" t="str">
            <v>April</v>
          </cell>
          <cell r="E676">
            <v>24</v>
          </cell>
          <cell r="F676" t="str">
            <v>CORRECTIVO</v>
          </cell>
          <cell r="G676">
            <v>3.9333330000000002</v>
          </cell>
          <cell r="H676" t="str">
            <v>Light Production Digital Business</v>
          </cell>
          <cell r="I676">
            <v>803</v>
          </cell>
          <cell r="J676">
            <v>1573</v>
          </cell>
          <cell r="K676">
            <v>0.2</v>
          </cell>
          <cell r="L676">
            <v>0.6</v>
          </cell>
          <cell r="M676">
            <v>0.8</v>
          </cell>
          <cell r="N676">
            <v>1.05</v>
          </cell>
          <cell r="O676">
            <v>1.1000000000000001</v>
          </cell>
          <cell r="P676">
            <v>1.1499999999999999</v>
          </cell>
          <cell r="Q676" t="str">
            <v>INTERIOR</v>
          </cell>
          <cell r="R676">
            <v>4</v>
          </cell>
          <cell r="S676">
            <v>6</v>
          </cell>
          <cell r="T676" t="str">
            <v>Ciudad principal</v>
          </cell>
          <cell r="U676" t="str">
            <v>High End Cut Sheet</v>
          </cell>
          <cell r="V676" t="str">
            <v>XEROX MEXICANA SA DE CV / XEROX MEXICANA</v>
          </cell>
          <cell r="W676" t="str">
            <v>JALISCO</v>
          </cell>
          <cell r="X676">
            <v>2019</v>
          </cell>
          <cell r="Y676" t="str">
            <v>Qtr 2</v>
          </cell>
          <cell r="Z676" t="str">
            <v>April</v>
          </cell>
          <cell r="AA676">
            <v>26</v>
          </cell>
          <cell r="AB676">
            <v>7</v>
          </cell>
          <cell r="AC676">
            <v>0.8</v>
          </cell>
          <cell r="AD676">
            <v>0.98333325000000005</v>
          </cell>
          <cell r="AE676">
            <v>1258.4000000000001</v>
          </cell>
        </row>
        <row r="677">
          <cell r="A677" t="str">
            <v>0BG2947161</v>
          </cell>
          <cell r="B677">
            <v>2019</v>
          </cell>
          <cell r="C677" t="str">
            <v>Qtr 2</v>
          </cell>
          <cell r="D677" t="str">
            <v>April</v>
          </cell>
          <cell r="E677">
            <v>24</v>
          </cell>
          <cell r="F677" t="str">
            <v>CORRECTIVO</v>
          </cell>
          <cell r="G677">
            <v>1.0833330000000001</v>
          </cell>
          <cell r="H677" t="str">
            <v>Light Production Digital Business</v>
          </cell>
          <cell r="I677">
            <v>803</v>
          </cell>
          <cell r="J677">
            <v>1573</v>
          </cell>
          <cell r="K677">
            <v>0.2</v>
          </cell>
          <cell r="L677">
            <v>0.6</v>
          </cell>
          <cell r="M677">
            <v>0.8</v>
          </cell>
          <cell r="N677">
            <v>1.05</v>
          </cell>
          <cell r="O677">
            <v>1.1000000000000001</v>
          </cell>
          <cell r="P677">
            <v>1.1499999999999999</v>
          </cell>
          <cell r="Q677" t="str">
            <v>INTERIOR</v>
          </cell>
          <cell r="R677">
            <v>4</v>
          </cell>
          <cell r="S677">
            <v>6</v>
          </cell>
          <cell r="T677" t="str">
            <v>Ciudad principal</v>
          </cell>
          <cell r="U677" t="str">
            <v>High End Cut Sheet</v>
          </cell>
          <cell r="V677" t="str">
            <v>XEROX MEXICANA SA DE CV / XEROX MEXICANA</v>
          </cell>
          <cell r="W677" t="str">
            <v>NUEVO LEON</v>
          </cell>
          <cell r="X677">
            <v>2019</v>
          </cell>
          <cell r="Y677" t="str">
            <v>Qtr 2</v>
          </cell>
          <cell r="Z677" t="str">
            <v>April</v>
          </cell>
          <cell r="AA677">
            <v>25</v>
          </cell>
          <cell r="AB677">
            <v>19</v>
          </cell>
          <cell r="AC677">
            <v>1.05</v>
          </cell>
          <cell r="AD677">
            <v>0.27083325000000003</v>
          </cell>
          <cell r="AE677">
            <v>1651.65</v>
          </cell>
        </row>
        <row r="678">
          <cell r="A678" t="str">
            <v>0BG2947468</v>
          </cell>
          <cell r="B678">
            <v>2019</v>
          </cell>
          <cell r="C678" t="str">
            <v>Qtr 2</v>
          </cell>
          <cell r="D678" t="str">
            <v>April</v>
          </cell>
          <cell r="E678">
            <v>24</v>
          </cell>
          <cell r="F678" t="str">
            <v>CORRECTIVO</v>
          </cell>
          <cell r="G678">
            <v>0.78333339999999996</v>
          </cell>
          <cell r="H678" t="str">
            <v>Light Production Digital Business</v>
          </cell>
          <cell r="I678">
            <v>803</v>
          </cell>
          <cell r="J678">
            <v>1573</v>
          </cell>
          <cell r="K678">
            <v>0.2</v>
          </cell>
          <cell r="L678">
            <v>0.6</v>
          </cell>
          <cell r="M678">
            <v>0.8</v>
          </cell>
          <cell r="N678">
            <v>1.05</v>
          </cell>
          <cell r="O678">
            <v>1.1000000000000001</v>
          </cell>
          <cell r="P678">
            <v>1.1499999999999999</v>
          </cell>
          <cell r="Q678" t="str">
            <v>INTERIOR</v>
          </cell>
          <cell r="R678">
            <v>4</v>
          </cell>
          <cell r="S678">
            <v>6</v>
          </cell>
          <cell r="T678" t="str">
            <v>Ciudad principal</v>
          </cell>
          <cell r="U678" t="str">
            <v>High End Cut Sheet</v>
          </cell>
          <cell r="V678" t="str">
            <v>XEROX MEXICANA SA DE CV / XEROX MEXICANA</v>
          </cell>
          <cell r="W678" t="str">
            <v>SAN LUIS POTOSI</v>
          </cell>
          <cell r="X678">
            <v>2019</v>
          </cell>
          <cell r="Y678" t="str">
            <v>Qtr 2</v>
          </cell>
          <cell r="Z678" t="str">
            <v>April</v>
          </cell>
          <cell r="AA678">
            <v>24</v>
          </cell>
          <cell r="AB678">
            <v>126</v>
          </cell>
          <cell r="AC678">
            <v>1.1499999999999999</v>
          </cell>
          <cell r="AD678">
            <v>0.19583334999999999</v>
          </cell>
          <cell r="AE678">
            <v>1808.95</v>
          </cell>
        </row>
        <row r="679">
          <cell r="A679" t="str">
            <v>0BG2948799</v>
          </cell>
          <cell r="B679">
            <v>2019</v>
          </cell>
          <cell r="C679" t="str">
            <v>Qtr 2</v>
          </cell>
          <cell r="D679" t="str">
            <v>April</v>
          </cell>
          <cell r="E679">
            <v>24</v>
          </cell>
          <cell r="F679" t="str">
            <v>CORRECTIVO</v>
          </cell>
          <cell r="G679">
            <v>2.0333329999999998</v>
          </cell>
          <cell r="H679" t="str">
            <v>Light Production Digital Business</v>
          </cell>
          <cell r="I679">
            <v>803</v>
          </cell>
          <cell r="J679">
            <v>1573</v>
          </cell>
          <cell r="K679">
            <v>0.2</v>
          </cell>
          <cell r="L679">
            <v>0.6</v>
          </cell>
          <cell r="M679">
            <v>0.8</v>
          </cell>
          <cell r="N679">
            <v>1.05</v>
          </cell>
          <cell r="O679">
            <v>1.1000000000000001</v>
          </cell>
          <cell r="P679">
            <v>1.1499999999999999</v>
          </cell>
          <cell r="Q679" t="str">
            <v>INTERIOR</v>
          </cell>
          <cell r="R679">
            <v>4</v>
          </cell>
          <cell r="S679">
            <v>6</v>
          </cell>
          <cell r="T679" t="str">
            <v>Ciudad principal</v>
          </cell>
          <cell r="U679" t="str">
            <v>High End Cut Sheet</v>
          </cell>
          <cell r="V679" t="str">
            <v>XEROX MEXICANA SA DE CV / XEROX MEXICANA</v>
          </cell>
          <cell r="W679" t="str">
            <v>JALISCO</v>
          </cell>
          <cell r="X679">
            <v>2019</v>
          </cell>
          <cell r="Y679" t="str">
            <v>Qtr 2</v>
          </cell>
          <cell r="Z679" t="str">
            <v>April</v>
          </cell>
          <cell r="AA679">
            <v>24</v>
          </cell>
          <cell r="AB679">
            <v>10</v>
          </cell>
          <cell r="AC679">
            <v>0.8</v>
          </cell>
          <cell r="AD679">
            <v>0.50833324999999996</v>
          </cell>
          <cell r="AE679">
            <v>1258.4000000000001</v>
          </cell>
        </row>
        <row r="680">
          <cell r="A680" t="str">
            <v>0BG2951481</v>
          </cell>
          <cell r="B680">
            <v>2019</v>
          </cell>
          <cell r="C680" t="str">
            <v>Qtr 2</v>
          </cell>
          <cell r="D680" t="str">
            <v>April</v>
          </cell>
          <cell r="E680">
            <v>24</v>
          </cell>
          <cell r="F680" t="str">
            <v>CORRECTIVO</v>
          </cell>
          <cell r="G680">
            <v>1.6333329999999999</v>
          </cell>
          <cell r="H680" t="str">
            <v>Light Production Digital Business</v>
          </cell>
          <cell r="I680">
            <v>803</v>
          </cell>
          <cell r="J680">
            <v>1573</v>
          </cell>
          <cell r="K680">
            <v>0.2</v>
          </cell>
          <cell r="L680">
            <v>0.6</v>
          </cell>
          <cell r="M680">
            <v>0.8</v>
          </cell>
          <cell r="N680">
            <v>1.05</v>
          </cell>
          <cell r="O680">
            <v>1.1000000000000001</v>
          </cell>
          <cell r="P680">
            <v>1.1499999999999999</v>
          </cell>
          <cell r="Q680" t="str">
            <v>INTERIOR</v>
          </cell>
          <cell r="R680">
            <v>4</v>
          </cell>
          <cell r="S680">
            <v>6</v>
          </cell>
          <cell r="T680" t="str">
            <v>Ciudad principal</v>
          </cell>
          <cell r="U680" t="str">
            <v>High End Cut Sheet</v>
          </cell>
          <cell r="V680" t="str">
            <v>XEROX MEXICANA SA DE CV / XEROX MEXICANA</v>
          </cell>
          <cell r="W680" t="str">
            <v>TAMAULIPAS</v>
          </cell>
          <cell r="X680">
            <v>2019</v>
          </cell>
          <cell r="Y680" t="str">
            <v>Qtr 2</v>
          </cell>
          <cell r="Z680" t="str">
            <v>April</v>
          </cell>
          <cell r="AA680">
            <v>29</v>
          </cell>
          <cell r="AB680">
            <v>35</v>
          </cell>
          <cell r="AC680">
            <v>1.1000000000000001</v>
          </cell>
          <cell r="AD680">
            <v>0.40833324999999998</v>
          </cell>
          <cell r="AE680">
            <v>1730.3</v>
          </cell>
        </row>
        <row r="681">
          <cell r="A681" t="str">
            <v>0C4X008636</v>
          </cell>
          <cell r="B681">
            <v>2019</v>
          </cell>
          <cell r="C681" t="str">
            <v>Qtr 2</v>
          </cell>
          <cell r="D681" t="str">
            <v>April</v>
          </cell>
          <cell r="E681">
            <v>24</v>
          </cell>
          <cell r="F681" t="str">
            <v>CORRECTIVO</v>
          </cell>
          <cell r="G681">
            <v>0.8</v>
          </cell>
          <cell r="H681" t="str">
            <v>A4 Mono MFPs</v>
          </cell>
          <cell r="I681">
            <v>468</v>
          </cell>
          <cell r="J681">
            <v>715</v>
          </cell>
          <cell r="K681">
            <v>0</v>
          </cell>
          <cell r="L681">
            <v>0</v>
          </cell>
          <cell r="M681">
            <v>0</v>
          </cell>
          <cell r="N681">
            <v>0.6</v>
          </cell>
          <cell r="O681">
            <v>0.8</v>
          </cell>
          <cell r="P681">
            <v>1.05</v>
          </cell>
          <cell r="Q681" t="str">
            <v>INTERIOR</v>
          </cell>
          <cell r="R681">
            <v>5</v>
          </cell>
          <cell r="S681">
            <v>9</v>
          </cell>
          <cell r="T681" t="str">
            <v>Ciudad principal</v>
          </cell>
          <cell r="U681" t="str">
            <v>A4 Mono MFPs</v>
          </cell>
          <cell r="V681" t="str">
            <v>XEROX MEXICANA SA DE CV / XEROX MEXICANA</v>
          </cell>
          <cell r="W681" t="str">
            <v>QUERETARO</v>
          </cell>
          <cell r="X681">
            <v>2019</v>
          </cell>
          <cell r="Y681" t="str">
            <v>Qtr 2</v>
          </cell>
          <cell r="Z681" t="str">
            <v>April</v>
          </cell>
          <cell r="AA681">
            <v>24</v>
          </cell>
          <cell r="AB681">
            <v>93</v>
          </cell>
          <cell r="AC681">
            <v>1.05</v>
          </cell>
          <cell r="AD681">
            <v>0.16</v>
          </cell>
          <cell r="AE681">
            <v>750.75</v>
          </cell>
        </row>
        <row r="682">
          <cell r="A682" t="str">
            <v>0C4X011834</v>
          </cell>
          <cell r="B682">
            <v>2019</v>
          </cell>
          <cell r="C682" t="str">
            <v>Qtr 2</v>
          </cell>
          <cell r="D682" t="str">
            <v>April</v>
          </cell>
          <cell r="E682">
            <v>24</v>
          </cell>
          <cell r="F682" t="str">
            <v>MANTENIMIENTO PREVENTIVO</v>
          </cell>
          <cell r="G682">
            <v>0</v>
          </cell>
          <cell r="H682" t="str">
            <v>A4 Mono MFPs</v>
          </cell>
          <cell r="I682">
            <v>468</v>
          </cell>
          <cell r="J682">
            <v>715</v>
          </cell>
          <cell r="K682">
            <v>0</v>
          </cell>
          <cell r="L682">
            <v>0</v>
          </cell>
          <cell r="M682">
            <v>0</v>
          </cell>
          <cell r="N682">
            <v>0.6</v>
          </cell>
          <cell r="O682">
            <v>0.8</v>
          </cell>
          <cell r="P682">
            <v>1.05</v>
          </cell>
          <cell r="Q682" t="str">
            <v>INTERIOR</v>
          </cell>
          <cell r="R682">
            <v>5</v>
          </cell>
          <cell r="S682">
            <v>9</v>
          </cell>
          <cell r="T682" t="str">
            <v>Otras</v>
          </cell>
          <cell r="U682" t="str">
            <v>A4 Mono MFPs</v>
          </cell>
          <cell r="V682" t="str">
            <v>XEROX MEXICANA SA DE CV / XEROX MEXICANA</v>
          </cell>
          <cell r="W682" t="str">
            <v>NUEVO LEON</v>
          </cell>
          <cell r="X682">
            <v>2019</v>
          </cell>
          <cell r="Y682" t="str">
            <v>Qtr 2</v>
          </cell>
          <cell r="Z682" t="str">
            <v>April</v>
          </cell>
          <cell r="AA682">
            <v>24</v>
          </cell>
          <cell r="AB682">
            <v>23</v>
          </cell>
          <cell r="AC682">
            <v>0</v>
          </cell>
          <cell r="AD682">
            <v>0</v>
          </cell>
          <cell r="AE682">
            <v>715</v>
          </cell>
        </row>
        <row r="683">
          <cell r="A683" t="str">
            <v>0C7X246854</v>
          </cell>
          <cell r="B683">
            <v>2019</v>
          </cell>
          <cell r="C683" t="str">
            <v>Qtr 2</v>
          </cell>
          <cell r="D683" t="str">
            <v>April</v>
          </cell>
          <cell r="E683">
            <v>24</v>
          </cell>
          <cell r="F683" t="str">
            <v>CORRECTIVO</v>
          </cell>
          <cell r="G683">
            <v>0.23333329999999999</v>
          </cell>
          <cell r="H683" t="str">
            <v>A4 Mono MFPs</v>
          </cell>
          <cell r="I683">
            <v>468</v>
          </cell>
          <cell r="J683">
            <v>715</v>
          </cell>
          <cell r="K683">
            <v>0</v>
          </cell>
          <cell r="L683">
            <v>0</v>
          </cell>
          <cell r="M683">
            <v>0</v>
          </cell>
          <cell r="N683">
            <v>0.6</v>
          </cell>
          <cell r="O683">
            <v>0.8</v>
          </cell>
          <cell r="P683">
            <v>1.05</v>
          </cell>
          <cell r="Q683" t="str">
            <v>INTERIOR</v>
          </cell>
          <cell r="R683">
            <v>5</v>
          </cell>
          <cell r="S683">
            <v>9</v>
          </cell>
          <cell r="T683" t="str">
            <v>Ciudad principal</v>
          </cell>
          <cell r="U683" t="str">
            <v>A4 Mono MFPs</v>
          </cell>
          <cell r="V683" t="str">
            <v>XEROX MEXICANA SA DE CV / XEROX MEXICANA</v>
          </cell>
          <cell r="W683" t="str">
            <v>GUANAJUATO</v>
          </cell>
          <cell r="X683">
            <v>2019</v>
          </cell>
          <cell r="Y683" t="str">
            <v>Qtr 2</v>
          </cell>
          <cell r="Z683" t="str">
            <v>April</v>
          </cell>
          <cell r="AA683">
            <v>24</v>
          </cell>
          <cell r="AB683">
            <v>279</v>
          </cell>
          <cell r="AC683">
            <v>1.05</v>
          </cell>
          <cell r="AD683">
            <v>4.6666659999999999E-2</v>
          </cell>
          <cell r="AE683">
            <v>750.75</v>
          </cell>
        </row>
        <row r="684">
          <cell r="A684" t="str">
            <v>0E2B665653</v>
          </cell>
          <cell r="B684">
            <v>2019</v>
          </cell>
          <cell r="C684" t="str">
            <v>Qtr 2</v>
          </cell>
          <cell r="D684" t="str">
            <v>April</v>
          </cell>
          <cell r="E684">
            <v>24</v>
          </cell>
          <cell r="F684" t="str">
            <v>CORRECTIVO</v>
          </cell>
          <cell r="G684">
            <v>3.1166670000000001</v>
          </cell>
          <cell r="H684" t="str">
            <v>Entry Production Color Low/Mid</v>
          </cell>
          <cell r="I684">
            <v>803</v>
          </cell>
          <cell r="J684">
            <v>1573</v>
          </cell>
          <cell r="K684">
            <v>0.2</v>
          </cell>
          <cell r="L684">
            <v>0.6</v>
          </cell>
          <cell r="M684">
            <v>0.8</v>
          </cell>
          <cell r="N684">
            <v>1.05</v>
          </cell>
          <cell r="O684">
            <v>1.1000000000000001</v>
          </cell>
          <cell r="P684">
            <v>1.1499999999999999</v>
          </cell>
          <cell r="Q684" t="str">
            <v>INTERIOR</v>
          </cell>
          <cell r="R684">
            <v>4</v>
          </cell>
          <cell r="S684">
            <v>6</v>
          </cell>
          <cell r="T684" t="str">
            <v>Ciudad principal</v>
          </cell>
          <cell r="U684" t="str">
            <v>Entry Production Color Low/Mid</v>
          </cell>
          <cell r="V684" t="str">
            <v>XEROX MEXICANA SA DE CV / XEROX MEXICANA</v>
          </cell>
          <cell r="W684" t="str">
            <v>JALISCO</v>
          </cell>
          <cell r="X684">
            <v>2019</v>
          </cell>
          <cell r="Y684" t="str">
            <v>Qtr 2</v>
          </cell>
          <cell r="Z684" t="str">
            <v>April</v>
          </cell>
          <cell r="AA684">
            <v>25</v>
          </cell>
          <cell r="AB684">
            <v>7</v>
          </cell>
          <cell r="AC684">
            <v>0.8</v>
          </cell>
          <cell r="AD684">
            <v>0.77916675000000002</v>
          </cell>
          <cell r="AE684">
            <v>1258.4000000000001</v>
          </cell>
        </row>
        <row r="685">
          <cell r="A685" t="str">
            <v>0EX9283118</v>
          </cell>
          <cell r="B685">
            <v>2019</v>
          </cell>
          <cell r="C685" t="str">
            <v>Qtr 2</v>
          </cell>
          <cell r="D685" t="str">
            <v>April</v>
          </cell>
          <cell r="E685">
            <v>24</v>
          </cell>
          <cell r="F685" t="str">
            <v>CORRECTIVO</v>
          </cell>
          <cell r="G685">
            <v>4.516667</v>
          </cell>
          <cell r="H685" t="str">
            <v>Departmental Digital</v>
          </cell>
          <cell r="I685">
            <v>655</v>
          </cell>
          <cell r="J685">
            <v>1365</v>
          </cell>
          <cell r="K685">
            <v>0</v>
          </cell>
          <cell r="L685">
            <v>0</v>
          </cell>
          <cell r="M685">
            <v>0.6</v>
          </cell>
          <cell r="N685">
            <v>0.8</v>
          </cell>
          <cell r="O685">
            <v>1.05</v>
          </cell>
          <cell r="P685">
            <v>1.1000000000000001</v>
          </cell>
          <cell r="Q685" t="str">
            <v>INTERIOR</v>
          </cell>
          <cell r="R685">
            <v>5</v>
          </cell>
          <cell r="S685">
            <v>9</v>
          </cell>
          <cell r="T685" t="str">
            <v>Ciudad principal</v>
          </cell>
          <cell r="U685" t="str">
            <v>Departmental Digital</v>
          </cell>
          <cell r="V685" t="str">
            <v>XEROX MEXICANA SA DE CV / XEROX MEXICANA</v>
          </cell>
          <cell r="W685" t="str">
            <v>MICHOACAN</v>
          </cell>
          <cell r="X685">
            <v>2019</v>
          </cell>
          <cell r="Y685" t="str">
            <v>Qtr 2</v>
          </cell>
          <cell r="Z685" t="str">
            <v>April</v>
          </cell>
          <cell r="AA685">
            <v>24</v>
          </cell>
          <cell r="AB685">
            <v>49</v>
          </cell>
          <cell r="AC685">
            <v>1.05</v>
          </cell>
          <cell r="AD685">
            <v>0.90333339999999995</v>
          </cell>
          <cell r="AE685">
            <v>1433.25</v>
          </cell>
        </row>
        <row r="686">
          <cell r="A686" t="str">
            <v>0EX9286123</v>
          </cell>
          <cell r="B686">
            <v>2019</v>
          </cell>
          <cell r="C686" t="str">
            <v>Qtr 2</v>
          </cell>
          <cell r="D686" t="str">
            <v>April</v>
          </cell>
          <cell r="E686">
            <v>24</v>
          </cell>
          <cell r="F686" t="str">
            <v>CORRECTIVO</v>
          </cell>
          <cell r="G686">
            <v>1.25</v>
          </cell>
          <cell r="H686" t="str">
            <v>Departmental Digital</v>
          </cell>
          <cell r="I686">
            <v>655</v>
          </cell>
          <cell r="J686">
            <v>1365</v>
          </cell>
          <cell r="K686">
            <v>0</v>
          </cell>
          <cell r="L686">
            <v>0</v>
          </cell>
          <cell r="M686">
            <v>0.6</v>
          </cell>
          <cell r="N686">
            <v>0.8</v>
          </cell>
          <cell r="O686">
            <v>1.05</v>
          </cell>
          <cell r="P686">
            <v>1.1000000000000001</v>
          </cell>
          <cell r="Q686" t="str">
            <v>INTERIOR</v>
          </cell>
          <cell r="R686">
            <v>5</v>
          </cell>
          <cell r="S686">
            <v>9</v>
          </cell>
          <cell r="T686" t="str">
            <v>Ciudad principal</v>
          </cell>
          <cell r="U686" t="str">
            <v>Departmental Digital</v>
          </cell>
          <cell r="V686" t="str">
            <v>XEROX MEXICANA SA DE CV / XEROX MEXICANA</v>
          </cell>
          <cell r="W686" t="str">
            <v>DURANGO</v>
          </cell>
          <cell r="X686">
            <v>2019</v>
          </cell>
          <cell r="Y686" t="str">
            <v>Qtr 2</v>
          </cell>
          <cell r="Z686" t="str">
            <v>April</v>
          </cell>
          <cell r="AA686">
            <v>24</v>
          </cell>
          <cell r="AB686">
            <v>21</v>
          </cell>
          <cell r="AC686">
            <v>0.8</v>
          </cell>
          <cell r="AD686">
            <v>0.25</v>
          </cell>
          <cell r="AE686">
            <v>1092</v>
          </cell>
        </row>
        <row r="687">
          <cell r="A687" t="str">
            <v>0EX9297582</v>
          </cell>
          <cell r="B687">
            <v>2019</v>
          </cell>
          <cell r="C687" t="str">
            <v>Qtr 2</v>
          </cell>
          <cell r="D687" t="str">
            <v>April</v>
          </cell>
          <cell r="E687">
            <v>24</v>
          </cell>
          <cell r="F687" t="str">
            <v>CORRECTIVO</v>
          </cell>
          <cell r="G687">
            <v>0.98333329999999997</v>
          </cell>
          <cell r="H687" t="str">
            <v>Departmental Digital</v>
          </cell>
          <cell r="I687">
            <v>655</v>
          </cell>
          <cell r="J687">
            <v>1365</v>
          </cell>
          <cell r="K687">
            <v>0</v>
          </cell>
          <cell r="L687">
            <v>0</v>
          </cell>
          <cell r="M687">
            <v>0.6</v>
          </cell>
          <cell r="N687">
            <v>0.8</v>
          </cell>
          <cell r="O687">
            <v>1.05</v>
          </cell>
          <cell r="P687">
            <v>1.1000000000000001</v>
          </cell>
          <cell r="Q687" t="str">
            <v>INTERIOR</v>
          </cell>
          <cell r="R687">
            <v>5</v>
          </cell>
          <cell r="S687">
            <v>9</v>
          </cell>
          <cell r="T687" t="str">
            <v>Otras</v>
          </cell>
          <cell r="U687" t="str">
            <v>Departmental Digital</v>
          </cell>
          <cell r="V687" t="str">
            <v>XEROX MEXICANA SA DE CV / XEROX MEXICANA</v>
          </cell>
          <cell r="W687" t="str">
            <v>COAHUILA</v>
          </cell>
          <cell r="X687">
            <v>2019</v>
          </cell>
          <cell r="Y687" t="str">
            <v>Qtr 2</v>
          </cell>
          <cell r="Z687" t="str">
            <v>April</v>
          </cell>
          <cell r="AA687">
            <v>25</v>
          </cell>
          <cell r="AB687">
            <v>9</v>
          </cell>
          <cell r="AC687">
            <v>0.6</v>
          </cell>
          <cell r="AD687">
            <v>0.109259255555556</v>
          </cell>
          <cell r="AE687">
            <v>819</v>
          </cell>
        </row>
        <row r="688">
          <cell r="A688" t="str">
            <v>0PW4111396</v>
          </cell>
          <cell r="B688">
            <v>2019</v>
          </cell>
          <cell r="C688" t="str">
            <v>Qtr 2</v>
          </cell>
          <cell r="D688" t="str">
            <v>April</v>
          </cell>
          <cell r="E688">
            <v>24</v>
          </cell>
          <cell r="F688" t="str">
            <v>MANTENIMIENTO PREVENTIVO</v>
          </cell>
          <cell r="G688">
            <v>0</v>
          </cell>
          <cell r="H688" t="str">
            <v>WF Mono Systems and Legacy Color</v>
          </cell>
          <cell r="I688">
            <v>803</v>
          </cell>
          <cell r="J688">
            <v>1573</v>
          </cell>
          <cell r="K688">
            <v>0.2</v>
          </cell>
          <cell r="L688">
            <v>0.6</v>
          </cell>
          <cell r="M688">
            <v>0.8</v>
          </cell>
          <cell r="N688">
            <v>1.05</v>
          </cell>
          <cell r="O688">
            <v>1.1000000000000001</v>
          </cell>
          <cell r="P688">
            <v>1.1499999999999999</v>
          </cell>
          <cell r="Q688" t="str">
            <v>INTERIOR</v>
          </cell>
          <cell r="R688">
            <v>4</v>
          </cell>
          <cell r="S688">
            <v>6</v>
          </cell>
          <cell r="T688" t="str">
            <v>Ciudad principal</v>
          </cell>
          <cell r="U688" t="str">
            <v>WF Mono Systems and Legacy Color</v>
          </cell>
          <cell r="V688" t="str">
            <v>XEROX MEXICANA SA DE CV / XEROX MEXICANA</v>
          </cell>
          <cell r="W688" t="str">
            <v>COAHUILA</v>
          </cell>
          <cell r="X688">
            <v>2019</v>
          </cell>
          <cell r="Y688" t="str">
            <v>Qtr 2</v>
          </cell>
          <cell r="Z688" t="str">
            <v>April</v>
          </cell>
          <cell r="AA688">
            <v>24</v>
          </cell>
          <cell r="AB688">
            <v>8</v>
          </cell>
          <cell r="AC688">
            <v>0</v>
          </cell>
          <cell r="AD688">
            <v>0</v>
          </cell>
          <cell r="AE688">
            <v>1573</v>
          </cell>
        </row>
        <row r="689">
          <cell r="A689" t="str">
            <v>0VGW686533</v>
          </cell>
          <cell r="B689">
            <v>2019</v>
          </cell>
          <cell r="C689" t="str">
            <v>Qtr 2</v>
          </cell>
          <cell r="D689" t="str">
            <v>April</v>
          </cell>
          <cell r="E689">
            <v>24</v>
          </cell>
          <cell r="F689" t="str">
            <v>CORRECTIVO</v>
          </cell>
          <cell r="G689">
            <v>1.3833329999999999</v>
          </cell>
          <cell r="H689" t="str">
            <v>A3 Professional Color Laser MFPs</v>
          </cell>
          <cell r="I689">
            <v>655</v>
          </cell>
          <cell r="J689">
            <v>1365</v>
          </cell>
          <cell r="K689">
            <v>0</v>
          </cell>
          <cell r="L689">
            <v>0</v>
          </cell>
          <cell r="M689">
            <v>0.6</v>
          </cell>
          <cell r="N689">
            <v>0.8</v>
          </cell>
          <cell r="O689">
            <v>1.05</v>
          </cell>
          <cell r="P689">
            <v>1.1000000000000001</v>
          </cell>
          <cell r="Q689" t="str">
            <v>INTERIOR</v>
          </cell>
          <cell r="R689">
            <v>5</v>
          </cell>
          <cell r="S689">
            <v>9</v>
          </cell>
          <cell r="T689" t="str">
            <v>Ciudad principal</v>
          </cell>
          <cell r="U689" t="str">
            <v>Entry Production Color Low/Mid</v>
          </cell>
          <cell r="V689" t="str">
            <v>XEROX MEXICANA SA DE CV / XEROX MEXICANA</v>
          </cell>
          <cell r="W689" t="str">
            <v>CHIHUAHUA</v>
          </cell>
          <cell r="X689">
            <v>2019</v>
          </cell>
          <cell r="Y689" t="str">
            <v>Qtr 2</v>
          </cell>
          <cell r="Z689" t="str">
            <v>April</v>
          </cell>
          <cell r="AA689">
            <v>29</v>
          </cell>
          <cell r="AB689">
            <v>9</v>
          </cell>
          <cell r="AC689">
            <v>0.6</v>
          </cell>
          <cell r="AD689">
            <v>0.27666659999999998</v>
          </cell>
          <cell r="AE689">
            <v>819</v>
          </cell>
        </row>
        <row r="690">
          <cell r="A690" t="str">
            <v>0WXP008416</v>
          </cell>
          <cell r="B690">
            <v>2019</v>
          </cell>
          <cell r="C690" t="str">
            <v>Qtr 2</v>
          </cell>
          <cell r="D690" t="str">
            <v>April</v>
          </cell>
          <cell r="E690">
            <v>24</v>
          </cell>
          <cell r="F690" t="str">
            <v>CORRECTIVO</v>
          </cell>
          <cell r="G690">
            <v>3.233333</v>
          </cell>
          <cell r="H690" t="str">
            <v>Xerox Color Press</v>
          </cell>
          <cell r="I690">
            <v>1116</v>
          </cell>
          <cell r="J690">
            <v>2145</v>
          </cell>
          <cell r="K690">
            <v>0.6</v>
          </cell>
          <cell r="L690">
            <v>0.8</v>
          </cell>
          <cell r="M690">
            <v>1.05</v>
          </cell>
          <cell r="N690">
            <v>1.1000000000000001</v>
          </cell>
          <cell r="O690">
            <v>1.1499999999999999</v>
          </cell>
          <cell r="P690">
            <v>1.2</v>
          </cell>
          <cell r="Q690" t="str">
            <v>INTERIOR</v>
          </cell>
          <cell r="R690">
            <v>4</v>
          </cell>
          <cell r="S690">
            <v>6</v>
          </cell>
          <cell r="T690" t="str">
            <v>Ciudad principal</v>
          </cell>
          <cell r="U690" t="str">
            <v>High End Cut Sheet</v>
          </cell>
          <cell r="V690" t="str">
            <v>XEROX MEXICANA SA DE CV / XEROX MEXICANA</v>
          </cell>
          <cell r="W690" t="str">
            <v>NUEVO LEON</v>
          </cell>
          <cell r="X690">
            <v>2019</v>
          </cell>
          <cell r="Y690" t="str">
            <v>Qtr 2</v>
          </cell>
          <cell r="Z690" t="str">
            <v>April</v>
          </cell>
          <cell r="AA690">
            <v>26</v>
          </cell>
          <cell r="AB690">
            <v>22</v>
          </cell>
          <cell r="AC690">
            <v>1.1000000000000001</v>
          </cell>
          <cell r="AD690">
            <v>0.80833325</v>
          </cell>
          <cell r="AE690">
            <v>2359.5</v>
          </cell>
        </row>
        <row r="691">
          <cell r="A691" t="str">
            <v>0X76703902</v>
          </cell>
          <cell r="B691">
            <v>2019</v>
          </cell>
          <cell r="C691" t="str">
            <v>Qtr 2</v>
          </cell>
          <cell r="D691" t="str">
            <v>April</v>
          </cell>
          <cell r="E691">
            <v>24</v>
          </cell>
          <cell r="F691" t="str">
            <v>CORRECTIVO</v>
          </cell>
          <cell r="G691">
            <v>3.6333329999999999</v>
          </cell>
          <cell r="H691" t="str">
            <v>Departmental Digital</v>
          </cell>
          <cell r="I691">
            <v>655</v>
          </cell>
          <cell r="J691">
            <v>1365</v>
          </cell>
          <cell r="K691">
            <v>0</v>
          </cell>
          <cell r="L691">
            <v>0</v>
          </cell>
          <cell r="M691">
            <v>0.6</v>
          </cell>
          <cell r="N691">
            <v>0.8</v>
          </cell>
          <cell r="O691">
            <v>1.05</v>
          </cell>
          <cell r="P691">
            <v>1.1000000000000001</v>
          </cell>
          <cell r="Q691" t="str">
            <v>INTERIOR</v>
          </cell>
          <cell r="R691">
            <v>5</v>
          </cell>
          <cell r="S691">
            <v>9</v>
          </cell>
          <cell r="T691" t="str">
            <v>Otras</v>
          </cell>
          <cell r="U691" t="str">
            <v>Departmental Digital</v>
          </cell>
          <cell r="V691" t="str">
            <v>XEROX MEXICANA SA DE CV / XEROX MEXICANA</v>
          </cell>
          <cell r="W691" t="str">
            <v>NUEVO LEON</v>
          </cell>
          <cell r="X691">
            <v>2019</v>
          </cell>
          <cell r="Y691" t="str">
            <v>Qtr 2</v>
          </cell>
          <cell r="Z691" t="str">
            <v>April</v>
          </cell>
          <cell r="AA691">
            <v>24</v>
          </cell>
          <cell r="AB691">
            <v>208</v>
          </cell>
          <cell r="AC691">
            <v>1.1000000000000001</v>
          </cell>
          <cell r="AD691">
            <v>0.40370366666666702</v>
          </cell>
          <cell r="AE691">
            <v>1501.5</v>
          </cell>
        </row>
        <row r="692">
          <cell r="A692" t="str">
            <v>0X76704334</v>
          </cell>
          <cell r="B692">
            <v>2019</v>
          </cell>
          <cell r="C692" t="str">
            <v>Qtr 2</v>
          </cell>
          <cell r="D692" t="str">
            <v>April</v>
          </cell>
          <cell r="E692">
            <v>24</v>
          </cell>
          <cell r="F692" t="str">
            <v>CORRECTIVO</v>
          </cell>
          <cell r="G692">
            <v>0.25</v>
          </cell>
          <cell r="H692" t="str">
            <v>Office Digital</v>
          </cell>
          <cell r="I692">
            <v>655</v>
          </cell>
          <cell r="J692">
            <v>1365</v>
          </cell>
          <cell r="K692">
            <v>0</v>
          </cell>
          <cell r="L692">
            <v>0</v>
          </cell>
          <cell r="M692">
            <v>0.6</v>
          </cell>
          <cell r="N692">
            <v>0.8</v>
          </cell>
          <cell r="O692">
            <v>1.05</v>
          </cell>
          <cell r="P692">
            <v>1.1000000000000001</v>
          </cell>
          <cell r="Q692" t="str">
            <v>INTERIOR</v>
          </cell>
          <cell r="R692">
            <v>5</v>
          </cell>
          <cell r="S692">
            <v>9</v>
          </cell>
          <cell r="T692" t="str">
            <v>Ciudad principal</v>
          </cell>
          <cell r="U692" t="str">
            <v>Departmental Digital</v>
          </cell>
          <cell r="V692" t="str">
            <v>XEROX MEXICANA SA DE CV / XEROX MEXICANA</v>
          </cell>
          <cell r="W692" t="str">
            <v>CHIHUAHUA</v>
          </cell>
          <cell r="X692">
            <v>2019</v>
          </cell>
          <cell r="Y692" t="str">
            <v>Qtr 2</v>
          </cell>
          <cell r="Z692" t="str">
            <v>April</v>
          </cell>
          <cell r="AA692">
            <v>25</v>
          </cell>
          <cell r="AB692">
            <v>86</v>
          </cell>
          <cell r="AC692">
            <v>1.1000000000000001</v>
          </cell>
          <cell r="AD692">
            <v>0.05</v>
          </cell>
          <cell r="AE692">
            <v>1501.5</v>
          </cell>
        </row>
        <row r="693">
          <cell r="A693" t="str">
            <v>0X76707825</v>
          </cell>
          <cell r="B693">
            <v>2019</v>
          </cell>
          <cell r="C693" t="str">
            <v>Qtr 2</v>
          </cell>
          <cell r="D693" t="str">
            <v>April</v>
          </cell>
          <cell r="E693">
            <v>24</v>
          </cell>
          <cell r="F693" t="str">
            <v>CORRECTIVO</v>
          </cell>
          <cell r="G693">
            <v>3.45</v>
          </cell>
          <cell r="H693" t="str">
            <v>Office Digital</v>
          </cell>
          <cell r="I693">
            <v>655</v>
          </cell>
          <cell r="J693">
            <v>1365</v>
          </cell>
          <cell r="K693">
            <v>0</v>
          </cell>
          <cell r="L693">
            <v>0</v>
          </cell>
          <cell r="M693">
            <v>0.6</v>
          </cell>
          <cell r="N693">
            <v>0.8</v>
          </cell>
          <cell r="O693">
            <v>1.05</v>
          </cell>
          <cell r="P693">
            <v>1.1000000000000001</v>
          </cell>
          <cell r="Q693" t="str">
            <v>INTERIOR</v>
          </cell>
          <cell r="R693">
            <v>5</v>
          </cell>
          <cell r="S693">
            <v>9</v>
          </cell>
          <cell r="T693" t="str">
            <v>Ciudad principal</v>
          </cell>
          <cell r="U693" t="str">
            <v>Departmental Digital</v>
          </cell>
          <cell r="V693" t="str">
            <v>XEROX MEXICANA SA DE CV / XEROX MEXICANA</v>
          </cell>
          <cell r="W693" t="str">
            <v>DURANGO</v>
          </cell>
          <cell r="X693">
            <v>2019</v>
          </cell>
          <cell r="Y693" t="str">
            <v>Qtr 2</v>
          </cell>
          <cell r="Z693" t="str">
            <v>April</v>
          </cell>
          <cell r="AA693">
            <v>26</v>
          </cell>
          <cell r="AB693">
            <v>47</v>
          </cell>
          <cell r="AC693">
            <v>1.05</v>
          </cell>
          <cell r="AD693">
            <v>0.69</v>
          </cell>
          <cell r="AE693">
            <v>1433.25</v>
          </cell>
        </row>
        <row r="694">
          <cell r="A694" t="str">
            <v>0X76708202</v>
          </cell>
          <cell r="B694">
            <v>2019</v>
          </cell>
          <cell r="C694" t="str">
            <v>Qtr 2</v>
          </cell>
          <cell r="D694" t="str">
            <v>April</v>
          </cell>
          <cell r="E694">
            <v>24</v>
          </cell>
          <cell r="F694" t="str">
            <v>CORRECTIVO</v>
          </cell>
          <cell r="G694">
            <v>0.1833333</v>
          </cell>
          <cell r="H694" t="str">
            <v>Office Digital</v>
          </cell>
          <cell r="I694">
            <v>655</v>
          </cell>
          <cell r="J694">
            <v>1365</v>
          </cell>
          <cell r="K694">
            <v>0</v>
          </cell>
          <cell r="L694">
            <v>0</v>
          </cell>
          <cell r="M694">
            <v>0.6</v>
          </cell>
          <cell r="N694">
            <v>0.8</v>
          </cell>
          <cell r="O694">
            <v>1.05</v>
          </cell>
          <cell r="P694">
            <v>1.1000000000000001</v>
          </cell>
          <cell r="Q694" t="str">
            <v>INTERIOR</v>
          </cell>
          <cell r="R694">
            <v>5</v>
          </cell>
          <cell r="S694">
            <v>9</v>
          </cell>
          <cell r="T694" t="str">
            <v>Ciudad principal</v>
          </cell>
          <cell r="U694" t="str">
            <v>Departmental Digital</v>
          </cell>
          <cell r="V694" t="str">
            <v>XEROX MEXICANA SA DE CV / XEROX MEXICANA</v>
          </cell>
          <cell r="W694" t="str">
            <v>DURANGO</v>
          </cell>
          <cell r="X694">
            <v>2019</v>
          </cell>
          <cell r="Y694" t="str">
            <v>Qtr 2</v>
          </cell>
          <cell r="Z694" t="str">
            <v>April</v>
          </cell>
          <cell r="AA694">
            <v>24</v>
          </cell>
          <cell r="AB694">
            <v>29</v>
          </cell>
          <cell r="AC694">
            <v>0.8</v>
          </cell>
          <cell r="AD694">
            <v>3.6666659999999997E-2</v>
          </cell>
          <cell r="AE694">
            <v>1092</v>
          </cell>
        </row>
        <row r="695">
          <cell r="A695" t="str">
            <v>0XLT278481</v>
          </cell>
          <cell r="B695">
            <v>2019</v>
          </cell>
          <cell r="C695" t="str">
            <v>Qtr 2</v>
          </cell>
          <cell r="D695" t="str">
            <v>April</v>
          </cell>
          <cell r="E695">
            <v>24</v>
          </cell>
          <cell r="F695" t="str">
            <v>MANTENIMIENTO PREVENTIVO</v>
          </cell>
          <cell r="G695">
            <v>0</v>
          </cell>
          <cell r="H695" t="str">
            <v>Entry Mono Printers</v>
          </cell>
          <cell r="I695">
            <v>468</v>
          </cell>
          <cell r="J695">
            <v>715</v>
          </cell>
          <cell r="K695">
            <v>0</v>
          </cell>
          <cell r="L695">
            <v>0</v>
          </cell>
          <cell r="M695">
            <v>0</v>
          </cell>
          <cell r="N695">
            <v>0.6</v>
          </cell>
          <cell r="O695">
            <v>0.8</v>
          </cell>
          <cell r="P695">
            <v>1.05</v>
          </cell>
          <cell r="Q695" t="str">
            <v>INTERIOR</v>
          </cell>
          <cell r="R695">
            <v>5</v>
          </cell>
          <cell r="S695">
            <v>9</v>
          </cell>
          <cell r="T695" t="str">
            <v>Ciudad principal</v>
          </cell>
          <cell r="U695" t="str">
            <v>Entry Mono Printers</v>
          </cell>
          <cell r="V695" t="str">
            <v>XEROX MEXICANA SA DE CV / XEROX MEXICANA</v>
          </cell>
          <cell r="W695" t="str">
            <v>CHIHUAHUA</v>
          </cell>
          <cell r="X695">
            <v>2019</v>
          </cell>
          <cell r="Y695" t="str">
            <v>Qtr 2</v>
          </cell>
          <cell r="Z695" t="str">
            <v>April</v>
          </cell>
          <cell r="AA695">
            <v>24</v>
          </cell>
          <cell r="AB695">
            <v>9</v>
          </cell>
          <cell r="AC695">
            <v>0</v>
          </cell>
          <cell r="AD695">
            <v>0</v>
          </cell>
          <cell r="AE695">
            <v>715</v>
          </cell>
        </row>
        <row r="696">
          <cell r="A696" t="str">
            <v>0XLT861338</v>
          </cell>
          <cell r="B696">
            <v>2019</v>
          </cell>
          <cell r="C696" t="str">
            <v>Qtr 2</v>
          </cell>
          <cell r="D696" t="str">
            <v>April</v>
          </cell>
          <cell r="E696">
            <v>24</v>
          </cell>
          <cell r="F696" t="str">
            <v>MANTENIMIENTO PREVENTIVO</v>
          </cell>
          <cell r="G696">
            <v>0.1166667</v>
          </cell>
          <cell r="H696" t="str">
            <v>Entry Mono Printers</v>
          </cell>
          <cell r="I696">
            <v>468</v>
          </cell>
          <cell r="J696">
            <v>715</v>
          </cell>
          <cell r="K696">
            <v>0</v>
          </cell>
          <cell r="L696">
            <v>0</v>
          </cell>
          <cell r="M696">
            <v>0</v>
          </cell>
          <cell r="N696">
            <v>0.6</v>
          </cell>
          <cell r="O696">
            <v>0.8</v>
          </cell>
          <cell r="P696">
            <v>1.05</v>
          </cell>
          <cell r="Q696" t="str">
            <v>INTERIOR</v>
          </cell>
          <cell r="R696">
            <v>5</v>
          </cell>
          <cell r="S696">
            <v>9</v>
          </cell>
          <cell r="T696" t="str">
            <v>Ciudad principal</v>
          </cell>
          <cell r="U696" t="str">
            <v>Entry Mono Printers</v>
          </cell>
          <cell r="V696" t="str">
            <v>XEROX MEXICANA SA DE CV / XEROX MEXICANA</v>
          </cell>
          <cell r="W696" t="str">
            <v>CHIHUAHUA</v>
          </cell>
          <cell r="X696">
            <v>2019</v>
          </cell>
          <cell r="Y696" t="str">
            <v>Qtr 2</v>
          </cell>
          <cell r="Z696" t="str">
            <v>April</v>
          </cell>
          <cell r="AA696">
            <v>25</v>
          </cell>
          <cell r="AB696">
            <v>146</v>
          </cell>
          <cell r="AC696">
            <v>0</v>
          </cell>
          <cell r="AD696">
            <v>0</v>
          </cell>
          <cell r="AE696">
            <v>715</v>
          </cell>
        </row>
        <row r="697">
          <cell r="A697" t="str">
            <v>0XLT993509</v>
          </cell>
          <cell r="B697">
            <v>2019</v>
          </cell>
          <cell r="C697" t="str">
            <v>Qtr 2</v>
          </cell>
          <cell r="D697" t="str">
            <v>April</v>
          </cell>
          <cell r="E697">
            <v>24</v>
          </cell>
          <cell r="F697" t="str">
            <v>CORRECTIVO</v>
          </cell>
          <cell r="G697">
            <v>0</v>
          </cell>
          <cell r="H697" t="str">
            <v>Entry Mono Printers</v>
          </cell>
          <cell r="I697">
            <v>468</v>
          </cell>
          <cell r="J697">
            <v>715</v>
          </cell>
          <cell r="K697">
            <v>0</v>
          </cell>
          <cell r="L697">
            <v>0</v>
          </cell>
          <cell r="M697">
            <v>0</v>
          </cell>
          <cell r="N697">
            <v>0.6</v>
          </cell>
          <cell r="O697">
            <v>0.8</v>
          </cell>
          <cell r="P697">
            <v>1.05</v>
          </cell>
          <cell r="Q697" t="str">
            <v>INTERIOR</v>
          </cell>
          <cell r="R697">
            <v>5</v>
          </cell>
          <cell r="S697">
            <v>9</v>
          </cell>
          <cell r="T697" t="str">
            <v>Ciudad principal</v>
          </cell>
          <cell r="U697" t="str">
            <v>Entry Mono Printers</v>
          </cell>
          <cell r="V697" t="str">
            <v>XEROX MEXICANA SA DE CV / XEROX MEXICANA</v>
          </cell>
          <cell r="W697" t="str">
            <v>CHIHUAHUA</v>
          </cell>
          <cell r="X697">
            <v>2019</v>
          </cell>
          <cell r="Y697" t="str">
            <v>Qtr 2</v>
          </cell>
          <cell r="Z697" t="str">
            <v>April</v>
          </cell>
          <cell r="AA697">
            <v>24</v>
          </cell>
          <cell r="AB697">
            <v>128</v>
          </cell>
          <cell r="AC697">
            <v>1.05</v>
          </cell>
          <cell r="AD697">
            <v>0</v>
          </cell>
          <cell r="AE697">
            <v>750.75</v>
          </cell>
        </row>
        <row r="698">
          <cell r="A698" t="str">
            <v>0XPN546684</v>
          </cell>
          <cell r="B698">
            <v>2019</v>
          </cell>
          <cell r="C698" t="str">
            <v>Qtr 2</v>
          </cell>
          <cell r="D698" t="str">
            <v>April</v>
          </cell>
          <cell r="E698">
            <v>24</v>
          </cell>
          <cell r="F698" t="str">
            <v>CORRECTIVO</v>
          </cell>
          <cell r="G698">
            <v>3.85</v>
          </cell>
          <cell r="H698" t="str">
            <v>Entry Production Color Low/Mid</v>
          </cell>
          <cell r="I698">
            <v>803</v>
          </cell>
          <cell r="J698">
            <v>1573</v>
          </cell>
          <cell r="K698">
            <v>0.2</v>
          </cell>
          <cell r="L698">
            <v>0.6</v>
          </cell>
          <cell r="M698">
            <v>0.8</v>
          </cell>
          <cell r="N698">
            <v>1.05</v>
          </cell>
          <cell r="O698">
            <v>1.1000000000000001</v>
          </cell>
          <cell r="P698">
            <v>1.1499999999999999</v>
          </cell>
          <cell r="Q698" t="str">
            <v>INTERIOR</v>
          </cell>
          <cell r="R698">
            <v>4</v>
          </cell>
          <cell r="S698">
            <v>6</v>
          </cell>
          <cell r="T698" t="str">
            <v>Ciudad principal</v>
          </cell>
          <cell r="U698" t="str">
            <v>Entry Production Color Low/Mid</v>
          </cell>
          <cell r="V698" t="str">
            <v>XEROX MEXICANA SA DE CV / XEROX MEXICANA</v>
          </cell>
          <cell r="W698" t="str">
            <v>MICHOACAN</v>
          </cell>
          <cell r="X698">
            <v>2019</v>
          </cell>
          <cell r="Y698" t="str">
            <v>Qtr 2</v>
          </cell>
          <cell r="Z698" t="str">
            <v>April</v>
          </cell>
          <cell r="AA698">
            <v>24</v>
          </cell>
          <cell r="AB698">
            <v>148</v>
          </cell>
          <cell r="AC698">
            <v>1.1499999999999999</v>
          </cell>
          <cell r="AD698">
            <v>0.96250000000000002</v>
          </cell>
          <cell r="AE698">
            <v>1808.95</v>
          </cell>
        </row>
        <row r="699">
          <cell r="A699" t="str">
            <v>0XPN547501</v>
          </cell>
          <cell r="B699">
            <v>2019</v>
          </cell>
          <cell r="C699" t="str">
            <v>Qtr 2</v>
          </cell>
          <cell r="D699" t="str">
            <v>April</v>
          </cell>
          <cell r="E699">
            <v>24</v>
          </cell>
          <cell r="F699" t="str">
            <v>CORRECTIVO</v>
          </cell>
          <cell r="G699">
            <v>2.4166669999999999</v>
          </cell>
          <cell r="H699" t="str">
            <v>Entry Production Color Low/Mid</v>
          </cell>
          <cell r="I699">
            <v>803</v>
          </cell>
          <cell r="J699">
            <v>1573</v>
          </cell>
          <cell r="K699">
            <v>0.2</v>
          </cell>
          <cell r="L699">
            <v>0.6</v>
          </cell>
          <cell r="M699">
            <v>0.8</v>
          </cell>
          <cell r="N699">
            <v>1.05</v>
          </cell>
          <cell r="O699">
            <v>1.1000000000000001</v>
          </cell>
          <cell r="P699">
            <v>1.1499999999999999</v>
          </cell>
          <cell r="Q699" t="str">
            <v>INTERIOR</v>
          </cell>
          <cell r="R699">
            <v>4</v>
          </cell>
          <cell r="S699">
            <v>6</v>
          </cell>
          <cell r="T699" t="str">
            <v>Ciudad principal</v>
          </cell>
          <cell r="U699" t="str">
            <v>Entry Production Color Low/Mid</v>
          </cell>
          <cell r="V699" t="str">
            <v>XEROX MEXICANA SA DE CV / XEROX MEXICANA</v>
          </cell>
          <cell r="W699" t="str">
            <v>SAN LUIS POTOSI</v>
          </cell>
          <cell r="X699">
            <v>2019</v>
          </cell>
          <cell r="Y699" t="str">
            <v>Qtr 2</v>
          </cell>
          <cell r="Z699" t="str">
            <v>April</v>
          </cell>
          <cell r="AA699">
            <v>24</v>
          </cell>
          <cell r="AB699">
            <v>29</v>
          </cell>
          <cell r="AC699">
            <v>1.05</v>
          </cell>
          <cell r="AD699">
            <v>0.60416674999999997</v>
          </cell>
          <cell r="AE699">
            <v>1651.65</v>
          </cell>
        </row>
        <row r="700">
          <cell r="A700" t="str">
            <v>03AG879434</v>
          </cell>
          <cell r="B700">
            <v>2019</v>
          </cell>
          <cell r="C700" t="str">
            <v>Qtr 2</v>
          </cell>
          <cell r="D700" t="str">
            <v>April</v>
          </cell>
          <cell r="E700">
            <v>25</v>
          </cell>
          <cell r="F700" t="str">
            <v>CORRECTIVO</v>
          </cell>
          <cell r="G700">
            <v>1.4166669999999999</v>
          </cell>
          <cell r="H700" t="str">
            <v>Departmental Digital</v>
          </cell>
          <cell r="I700">
            <v>655</v>
          </cell>
          <cell r="J700">
            <v>1365</v>
          </cell>
          <cell r="K700">
            <v>0</v>
          </cell>
          <cell r="L700">
            <v>0</v>
          </cell>
          <cell r="M700">
            <v>0.6</v>
          </cell>
          <cell r="N700">
            <v>0.8</v>
          </cell>
          <cell r="O700">
            <v>1.05</v>
          </cell>
          <cell r="P700">
            <v>1.1000000000000001</v>
          </cell>
          <cell r="Q700" t="str">
            <v>INTERIOR</v>
          </cell>
          <cell r="R700">
            <v>5</v>
          </cell>
          <cell r="S700">
            <v>9</v>
          </cell>
          <cell r="T700" t="str">
            <v>Ciudad principal</v>
          </cell>
          <cell r="U700" t="str">
            <v>Light Production Digital Business</v>
          </cell>
          <cell r="V700" t="str">
            <v>XEROX MEXICANA SA DE CV / XEROX MEXICANA</v>
          </cell>
          <cell r="W700" t="str">
            <v>QUERETARO</v>
          </cell>
          <cell r="X700">
            <v>2019</v>
          </cell>
          <cell r="Y700" t="str">
            <v>Qtr 2</v>
          </cell>
          <cell r="Z700" t="str">
            <v>April</v>
          </cell>
          <cell r="AA700">
            <v>25</v>
          </cell>
          <cell r="AB700">
            <v>31</v>
          </cell>
          <cell r="AC700">
            <v>1.05</v>
          </cell>
          <cell r="AD700">
            <v>0.28333340000000001</v>
          </cell>
          <cell r="AE700">
            <v>1433.25</v>
          </cell>
        </row>
        <row r="701">
          <cell r="A701" t="str">
            <v>03AG880377</v>
          </cell>
          <cell r="B701">
            <v>2019</v>
          </cell>
          <cell r="C701" t="str">
            <v>Qtr 2</v>
          </cell>
          <cell r="D701" t="str">
            <v>April</v>
          </cell>
          <cell r="E701">
            <v>25</v>
          </cell>
          <cell r="F701" t="str">
            <v>CORRECTIVO</v>
          </cell>
          <cell r="G701">
            <v>6.6666669999999997E-2</v>
          </cell>
          <cell r="H701" t="str">
            <v>Departmental Digital</v>
          </cell>
          <cell r="I701">
            <v>655</v>
          </cell>
          <cell r="J701">
            <v>1365</v>
          </cell>
          <cell r="K701">
            <v>0</v>
          </cell>
          <cell r="L701">
            <v>0</v>
          </cell>
          <cell r="M701">
            <v>0.6</v>
          </cell>
          <cell r="N701">
            <v>0.8</v>
          </cell>
          <cell r="O701">
            <v>1.05</v>
          </cell>
          <cell r="P701">
            <v>1.1000000000000001</v>
          </cell>
          <cell r="Q701" t="str">
            <v>INTERIOR</v>
          </cell>
          <cell r="R701">
            <v>5</v>
          </cell>
          <cell r="S701">
            <v>9</v>
          </cell>
          <cell r="T701" t="str">
            <v>Ciudad principal</v>
          </cell>
          <cell r="U701" t="str">
            <v>Light Production Digital Business</v>
          </cell>
          <cell r="V701" t="str">
            <v>XEROX MEXICANA SA DE CV / XEROX MEXICANA</v>
          </cell>
          <cell r="W701" t="str">
            <v>GUANAJUATO</v>
          </cell>
          <cell r="X701">
            <v>2019</v>
          </cell>
          <cell r="Y701" t="str">
            <v>Qtr 2</v>
          </cell>
          <cell r="Z701" t="str">
            <v>April</v>
          </cell>
          <cell r="AA701">
            <v>25</v>
          </cell>
          <cell r="AB701">
            <v>21</v>
          </cell>
          <cell r="AC701">
            <v>0.8</v>
          </cell>
          <cell r="AD701">
            <v>1.3333334000000001E-2</v>
          </cell>
          <cell r="AE701">
            <v>1092</v>
          </cell>
        </row>
        <row r="702">
          <cell r="A702" t="str">
            <v>03BT802359</v>
          </cell>
          <cell r="B702">
            <v>2019</v>
          </cell>
          <cell r="C702" t="str">
            <v>Qtr 2</v>
          </cell>
          <cell r="D702" t="str">
            <v>April</v>
          </cell>
          <cell r="E702">
            <v>25</v>
          </cell>
          <cell r="F702" t="str">
            <v>MANTENIMIENTO PREVENTIVO</v>
          </cell>
          <cell r="G702">
            <v>0</v>
          </cell>
          <cell r="H702" t="str">
            <v>A4 Mono MFPs</v>
          </cell>
          <cell r="I702">
            <v>468</v>
          </cell>
          <cell r="J702">
            <v>715</v>
          </cell>
          <cell r="K702">
            <v>0</v>
          </cell>
          <cell r="L702">
            <v>0</v>
          </cell>
          <cell r="M702">
            <v>0</v>
          </cell>
          <cell r="N702">
            <v>0.6</v>
          </cell>
          <cell r="O702">
            <v>0.8</v>
          </cell>
          <cell r="P702">
            <v>1.05</v>
          </cell>
          <cell r="Q702" t="str">
            <v>INTERIOR</v>
          </cell>
          <cell r="R702">
            <v>5</v>
          </cell>
          <cell r="S702">
            <v>9</v>
          </cell>
          <cell r="T702" t="str">
            <v>Ciudad principal</v>
          </cell>
          <cell r="U702" t="str">
            <v>A4 Mono MFPs</v>
          </cell>
          <cell r="V702" t="str">
            <v>XEROX MEXICANA SA DE CV / XEROX MEXICANA</v>
          </cell>
          <cell r="W702" t="str">
            <v>JALISCO</v>
          </cell>
          <cell r="X702">
            <v>2019</v>
          </cell>
          <cell r="Y702" t="str">
            <v>Qtr 2</v>
          </cell>
          <cell r="Z702" t="str">
            <v>April</v>
          </cell>
          <cell r="AA702">
            <v>25</v>
          </cell>
          <cell r="AB702">
            <v>28</v>
          </cell>
          <cell r="AC702">
            <v>0</v>
          </cell>
          <cell r="AD702">
            <v>0</v>
          </cell>
          <cell r="AE702">
            <v>715</v>
          </cell>
        </row>
        <row r="703">
          <cell r="A703" t="str">
            <v>09HB321576</v>
          </cell>
          <cell r="B703">
            <v>2019</v>
          </cell>
          <cell r="C703" t="str">
            <v>Qtr 2</v>
          </cell>
          <cell r="D703" t="str">
            <v>April</v>
          </cell>
          <cell r="E703">
            <v>25</v>
          </cell>
          <cell r="F703" t="str">
            <v>CORRECTIVO</v>
          </cell>
          <cell r="G703">
            <v>0.56666669999999997</v>
          </cell>
          <cell r="H703" t="str">
            <v>A4 Mono MFPs</v>
          </cell>
          <cell r="I703">
            <v>468</v>
          </cell>
          <cell r="J703">
            <v>715</v>
          </cell>
          <cell r="K703">
            <v>0</v>
          </cell>
          <cell r="L703">
            <v>0</v>
          </cell>
          <cell r="M703">
            <v>0</v>
          </cell>
          <cell r="N703">
            <v>0.6</v>
          </cell>
          <cell r="O703">
            <v>0.8</v>
          </cell>
          <cell r="P703">
            <v>1.05</v>
          </cell>
          <cell r="Q703" t="str">
            <v>INTERIOR</v>
          </cell>
          <cell r="R703">
            <v>5</v>
          </cell>
          <cell r="S703">
            <v>9</v>
          </cell>
          <cell r="T703" t="str">
            <v>Ciudad principal</v>
          </cell>
          <cell r="U703" t="str">
            <v>A4 Mono MFPs</v>
          </cell>
          <cell r="V703" t="str">
            <v>XEROX MEXICANA SA DE CV / XEROX MEXICANA</v>
          </cell>
          <cell r="W703" t="str">
            <v>NUEVO LEON</v>
          </cell>
          <cell r="X703">
            <v>2019</v>
          </cell>
          <cell r="Y703" t="str">
            <v>Qtr 2</v>
          </cell>
          <cell r="Z703" t="str">
            <v>April</v>
          </cell>
          <cell r="AA703">
            <v>26</v>
          </cell>
          <cell r="AB703">
            <v>94</v>
          </cell>
          <cell r="AC703">
            <v>1.05</v>
          </cell>
          <cell r="AD703">
            <v>0.11333334</v>
          </cell>
          <cell r="AE703">
            <v>750.75</v>
          </cell>
        </row>
        <row r="704">
          <cell r="A704" t="str">
            <v>0A1H022151</v>
          </cell>
          <cell r="B704">
            <v>2019</v>
          </cell>
          <cell r="C704" t="str">
            <v>Qtr 2</v>
          </cell>
          <cell r="D704" t="str">
            <v>April</v>
          </cell>
          <cell r="E704">
            <v>25</v>
          </cell>
          <cell r="F704" t="str">
            <v>CORRECTIVO</v>
          </cell>
          <cell r="G704">
            <v>0.26666669999999998</v>
          </cell>
          <cell r="H704" t="str">
            <v>WF Mono Systems and Legacy Color</v>
          </cell>
          <cell r="I704">
            <v>803</v>
          </cell>
          <cell r="J704">
            <v>1573</v>
          </cell>
          <cell r="K704">
            <v>0.2</v>
          </cell>
          <cell r="L704">
            <v>0.6</v>
          </cell>
          <cell r="M704">
            <v>0.8</v>
          </cell>
          <cell r="N704">
            <v>1.05</v>
          </cell>
          <cell r="O704">
            <v>1.1000000000000001</v>
          </cell>
          <cell r="P704">
            <v>1.1499999999999999</v>
          </cell>
          <cell r="Q704" t="str">
            <v>INTERIOR</v>
          </cell>
          <cell r="R704">
            <v>4</v>
          </cell>
          <cell r="S704">
            <v>6</v>
          </cell>
          <cell r="T704" t="str">
            <v>Ciudad principal</v>
          </cell>
          <cell r="U704" t="str">
            <v>WF Mono Systems and Legacy Color</v>
          </cell>
          <cell r="V704" t="str">
            <v>XEROX MEXICANA SA DE CV / XEROX MEXICANA</v>
          </cell>
          <cell r="W704" t="str">
            <v>GUANAJUATO</v>
          </cell>
          <cell r="X704">
            <v>2019</v>
          </cell>
          <cell r="Y704" t="str">
            <v>Qtr 2</v>
          </cell>
          <cell r="Z704" t="str">
            <v>April</v>
          </cell>
          <cell r="AA704">
            <v>26</v>
          </cell>
          <cell r="AB704">
            <v>64</v>
          </cell>
          <cell r="AC704">
            <v>1.1499999999999999</v>
          </cell>
          <cell r="AD704">
            <v>6.6666674999999995E-2</v>
          </cell>
          <cell r="AE704">
            <v>1808.95</v>
          </cell>
        </row>
        <row r="705">
          <cell r="A705" t="str">
            <v>0A1H022379</v>
          </cell>
          <cell r="B705">
            <v>2019</v>
          </cell>
          <cell r="C705" t="str">
            <v>Qtr 2</v>
          </cell>
          <cell r="D705" t="str">
            <v>April</v>
          </cell>
          <cell r="E705">
            <v>25</v>
          </cell>
          <cell r="F705" t="str">
            <v>CORRECTIVO</v>
          </cell>
          <cell r="G705">
            <v>1.4166669999999999</v>
          </cell>
          <cell r="H705" t="str">
            <v>WF Mono Systems and Legacy Color</v>
          </cell>
          <cell r="I705">
            <v>803</v>
          </cell>
          <cell r="J705">
            <v>1573</v>
          </cell>
          <cell r="K705">
            <v>0.2</v>
          </cell>
          <cell r="L705">
            <v>0.6</v>
          </cell>
          <cell r="M705">
            <v>0.8</v>
          </cell>
          <cell r="N705">
            <v>1.05</v>
          </cell>
          <cell r="O705">
            <v>1.1000000000000001</v>
          </cell>
          <cell r="P705">
            <v>1.1499999999999999</v>
          </cell>
          <cell r="Q705" t="str">
            <v>INTERIOR</v>
          </cell>
          <cell r="R705">
            <v>4</v>
          </cell>
          <cell r="S705">
            <v>6</v>
          </cell>
          <cell r="T705" t="str">
            <v>Ciudad principal</v>
          </cell>
          <cell r="U705" t="str">
            <v>WF Mono Systems and Legacy Color</v>
          </cell>
          <cell r="V705" t="str">
            <v>XEROX MEXICANA SA DE CV / XEROX MEXICANA</v>
          </cell>
          <cell r="W705" t="str">
            <v>CHIHUAHUA</v>
          </cell>
          <cell r="X705">
            <v>2019</v>
          </cell>
          <cell r="Y705" t="str">
            <v>Qtr 2</v>
          </cell>
          <cell r="Z705" t="str">
            <v>April</v>
          </cell>
          <cell r="AA705">
            <v>25</v>
          </cell>
          <cell r="AB705">
            <v>185</v>
          </cell>
          <cell r="AC705">
            <v>1.1499999999999999</v>
          </cell>
          <cell r="AD705">
            <v>0.35416674999999997</v>
          </cell>
          <cell r="AE705">
            <v>1808.95</v>
          </cell>
        </row>
        <row r="706">
          <cell r="A706" t="str">
            <v>0A1H022532</v>
          </cell>
          <cell r="B706">
            <v>2019</v>
          </cell>
          <cell r="C706" t="str">
            <v>Qtr 2</v>
          </cell>
          <cell r="D706" t="str">
            <v>April</v>
          </cell>
          <cell r="E706">
            <v>25</v>
          </cell>
          <cell r="F706" t="str">
            <v>MANTENIMIENTO PREVENTIVO</v>
          </cell>
          <cell r="G706">
            <v>0</v>
          </cell>
          <cell r="H706" t="str">
            <v>WF Mono Systems and Legacy Color</v>
          </cell>
          <cell r="I706">
            <v>803</v>
          </cell>
          <cell r="J706">
            <v>1573</v>
          </cell>
          <cell r="K706">
            <v>0.2</v>
          </cell>
          <cell r="L706">
            <v>0.6</v>
          </cell>
          <cell r="M706">
            <v>0.8</v>
          </cell>
          <cell r="N706">
            <v>1.05</v>
          </cell>
          <cell r="O706">
            <v>1.1000000000000001</v>
          </cell>
          <cell r="P706">
            <v>1.1499999999999999</v>
          </cell>
          <cell r="Q706" t="str">
            <v>INTERIOR</v>
          </cell>
          <cell r="R706">
            <v>4</v>
          </cell>
          <cell r="S706">
            <v>6</v>
          </cell>
          <cell r="T706" t="str">
            <v>Ciudad principal</v>
          </cell>
          <cell r="U706" t="str">
            <v>WF Mono Systems and Legacy Color</v>
          </cell>
          <cell r="V706" t="str">
            <v>XEROX MEXICANA SA DE CV / XEROX MEXICANA</v>
          </cell>
          <cell r="W706" t="str">
            <v>JALISCO</v>
          </cell>
          <cell r="X706">
            <v>2019</v>
          </cell>
          <cell r="Y706" t="str">
            <v>Qtr 2</v>
          </cell>
          <cell r="Z706" t="str">
            <v>April</v>
          </cell>
          <cell r="AA706">
            <v>25</v>
          </cell>
          <cell r="AB706">
            <v>246</v>
          </cell>
          <cell r="AC706">
            <v>0</v>
          </cell>
          <cell r="AD706">
            <v>0</v>
          </cell>
          <cell r="AE706">
            <v>1573</v>
          </cell>
        </row>
        <row r="707">
          <cell r="A707" t="str">
            <v>0A2T199725</v>
          </cell>
          <cell r="B707">
            <v>2019</v>
          </cell>
          <cell r="C707" t="str">
            <v>Qtr 2</v>
          </cell>
          <cell r="D707" t="str">
            <v>April</v>
          </cell>
          <cell r="E707">
            <v>25</v>
          </cell>
          <cell r="F707" t="str">
            <v>CORRECTIVO</v>
          </cell>
          <cell r="G707">
            <v>1.983333</v>
          </cell>
          <cell r="H707" t="str">
            <v>A4 Mono MFPs</v>
          </cell>
          <cell r="I707">
            <v>468</v>
          </cell>
          <cell r="J707">
            <v>715</v>
          </cell>
          <cell r="K707">
            <v>0</v>
          </cell>
          <cell r="L707">
            <v>0</v>
          </cell>
          <cell r="M707">
            <v>0</v>
          </cell>
          <cell r="N707">
            <v>0.6</v>
          </cell>
          <cell r="O707">
            <v>0.8</v>
          </cell>
          <cell r="P707">
            <v>1.05</v>
          </cell>
          <cell r="Q707" t="str">
            <v>INTERIOR</v>
          </cell>
          <cell r="R707">
            <v>5</v>
          </cell>
          <cell r="S707">
            <v>9</v>
          </cell>
          <cell r="T707" t="str">
            <v>Ciudad principal</v>
          </cell>
          <cell r="U707" t="str">
            <v>A4 Mono MFPs</v>
          </cell>
          <cell r="V707" t="str">
            <v>XEROX MEXICANA SA DE CV / XEROX MEXICANA</v>
          </cell>
          <cell r="W707" t="str">
            <v>JALISCO</v>
          </cell>
          <cell r="X707">
            <v>2019</v>
          </cell>
          <cell r="Y707" t="str">
            <v>Qtr 2</v>
          </cell>
          <cell r="Z707" t="str">
            <v>April</v>
          </cell>
          <cell r="AA707">
            <v>26</v>
          </cell>
          <cell r="AB707">
            <v>330</v>
          </cell>
          <cell r="AC707">
            <v>1.05</v>
          </cell>
          <cell r="AD707">
            <v>0.39666659999999998</v>
          </cell>
          <cell r="AE707">
            <v>750.75</v>
          </cell>
        </row>
        <row r="708">
          <cell r="A708" t="str">
            <v>0A2T382394</v>
          </cell>
          <cell r="B708">
            <v>2019</v>
          </cell>
          <cell r="C708" t="str">
            <v>Qtr 2</v>
          </cell>
          <cell r="D708" t="str">
            <v>April</v>
          </cell>
          <cell r="E708">
            <v>25</v>
          </cell>
          <cell r="F708" t="str">
            <v>MANTENIMIENTO PREVENTIVO</v>
          </cell>
          <cell r="G708">
            <v>0</v>
          </cell>
          <cell r="H708" t="str">
            <v>A4 Mono MFPs</v>
          </cell>
          <cell r="I708">
            <v>468</v>
          </cell>
          <cell r="J708">
            <v>715</v>
          </cell>
          <cell r="K708">
            <v>0</v>
          </cell>
          <cell r="L708">
            <v>0</v>
          </cell>
          <cell r="M708">
            <v>0</v>
          </cell>
          <cell r="N708">
            <v>0.6</v>
          </cell>
          <cell r="O708">
            <v>0.8</v>
          </cell>
          <cell r="P708">
            <v>1.05</v>
          </cell>
          <cell r="Q708" t="str">
            <v>INTERIOR</v>
          </cell>
          <cell r="R708">
            <v>5</v>
          </cell>
          <cell r="S708">
            <v>9</v>
          </cell>
          <cell r="T708" t="str">
            <v>Ciudad principal</v>
          </cell>
          <cell r="U708" t="str">
            <v>A4 Mono MFPs</v>
          </cell>
          <cell r="V708" t="str">
            <v>XEROX MEXICANA SA DE CV / XEROX MEXICANA</v>
          </cell>
          <cell r="W708" t="str">
            <v>CHIHUAHUA</v>
          </cell>
          <cell r="X708">
            <v>2019</v>
          </cell>
          <cell r="Y708" t="str">
            <v>Qtr 2</v>
          </cell>
          <cell r="Z708" t="str">
            <v>April</v>
          </cell>
          <cell r="AA708">
            <v>26</v>
          </cell>
          <cell r="AB708">
            <v>15</v>
          </cell>
          <cell r="AC708">
            <v>0</v>
          </cell>
          <cell r="AD708">
            <v>0</v>
          </cell>
          <cell r="AE708">
            <v>715</v>
          </cell>
        </row>
        <row r="709">
          <cell r="A709" t="str">
            <v>0A4T021931</v>
          </cell>
          <cell r="B709">
            <v>2019</v>
          </cell>
          <cell r="C709" t="str">
            <v>Qtr 2</v>
          </cell>
          <cell r="D709" t="str">
            <v>April</v>
          </cell>
          <cell r="E709">
            <v>25</v>
          </cell>
          <cell r="F709" t="str">
            <v>CORRECTIVO</v>
          </cell>
          <cell r="G709">
            <v>0.25</v>
          </cell>
          <cell r="H709" t="str">
            <v>Entry Mono Printers</v>
          </cell>
          <cell r="I709">
            <v>468</v>
          </cell>
          <cell r="J709">
            <v>715</v>
          </cell>
          <cell r="K709">
            <v>0</v>
          </cell>
          <cell r="L709">
            <v>0</v>
          </cell>
          <cell r="M709">
            <v>0</v>
          </cell>
          <cell r="N709">
            <v>0.6</v>
          </cell>
          <cell r="O709">
            <v>0.8</v>
          </cell>
          <cell r="P709">
            <v>1.05</v>
          </cell>
          <cell r="Q709" t="str">
            <v>INTERIOR</v>
          </cell>
          <cell r="R709">
            <v>5</v>
          </cell>
          <cell r="S709">
            <v>9</v>
          </cell>
          <cell r="T709" t="str">
            <v>Ciudad principal</v>
          </cell>
          <cell r="U709" t="str">
            <v>A4 Mono MFPs</v>
          </cell>
          <cell r="V709" t="str">
            <v>XEROX MEXICANA SA DE CV / XEROX MEXICANA</v>
          </cell>
          <cell r="W709" t="str">
            <v>CHIHUAHUA</v>
          </cell>
          <cell r="X709">
            <v>2019</v>
          </cell>
          <cell r="Y709" t="str">
            <v>Qtr 2</v>
          </cell>
          <cell r="Z709" t="str">
            <v>April</v>
          </cell>
          <cell r="AA709">
            <v>30</v>
          </cell>
          <cell r="AB709">
            <v>84</v>
          </cell>
          <cell r="AC709">
            <v>1.05</v>
          </cell>
          <cell r="AD709">
            <v>0.05</v>
          </cell>
          <cell r="AE709">
            <v>750.75</v>
          </cell>
        </row>
        <row r="710">
          <cell r="A710" t="str">
            <v>0BG2946876</v>
          </cell>
          <cell r="B710">
            <v>2019</v>
          </cell>
          <cell r="C710" t="str">
            <v>Qtr 2</v>
          </cell>
          <cell r="D710" t="str">
            <v>April</v>
          </cell>
          <cell r="E710">
            <v>25</v>
          </cell>
          <cell r="F710" t="str">
            <v>CORRECTIVO</v>
          </cell>
          <cell r="G710">
            <v>0.61666670000000001</v>
          </cell>
          <cell r="H710" t="str">
            <v>Light Production Digital Business</v>
          </cell>
          <cell r="I710">
            <v>803</v>
          </cell>
          <cell r="J710">
            <v>1573</v>
          </cell>
          <cell r="K710">
            <v>0.2</v>
          </cell>
          <cell r="L710">
            <v>0.6</v>
          </cell>
          <cell r="M710">
            <v>0.8</v>
          </cell>
          <cell r="N710">
            <v>1.05</v>
          </cell>
          <cell r="O710">
            <v>1.1000000000000001</v>
          </cell>
          <cell r="P710">
            <v>1.1499999999999999</v>
          </cell>
          <cell r="Q710" t="str">
            <v>INTERIOR</v>
          </cell>
          <cell r="R710">
            <v>4</v>
          </cell>
          <cell r="S710">
            <v>6</v>
          </cell>
          <cell r="T710" t="str">
            <v>Ciudad principal</v>
          </cell>
          <cell r="U710" t="str">
            <v>High End Cut Sheet</v>
          </cell>
          <cell r="V710" t="str">
            <v>XEROX MEXICANA SA DE CV / XEROX MEXICANA</v>
          </cell>
          <cell r="W710" t="str">
            <v>GUANAJUATO</v>
          </cell>
          <cell r="X710">
            <v>2019</v>
          </cell>
          <cell r="Y710" t="str">
            <v>Qtr 2</v>
          </cell>
          <cell r="Z710" t="str">
            <v>April</v>
          </cell>
          <cell r="AA710">
            <v>29</v>
          </cell>
          <cell r="AB710">
            <v>2</v>
          </cell>
          <cell r="AC710">
            <v>0.2</v>
          </cell>
          <cell r="AD710">
            <v>0.154166675</v>
          </cell>
          <cell r="AE710">
            <v>314.60000000000002</v>
          </cell>
        </row>
        <row r="711">
          <cell r="A711" t="str">
            <v>0BG2949291</v>
          </cell>
          <cell r="B711">
            <v>2019</v>
          </cell>
          <cell r="C711" t="str">
            <v>Qtr 2</v>
          </cell>
          <cell r="D711" t="str">
            <v>April</v>
          </cell>
          <cell r="E711">
            <v>25</v>
          </cell>
          <cell r="F711" t="str">
            <v>CORRECTIVO</v>
          </cell>
          <cell r="G711">
            <v>1.483333</v>
          </cell>
          <cell r="H711" t="str">
            <v>Light Production Digital Business</v>
          </cell>
          <cell r="I711">
            <v>803</v>
          </cell>
          <cell r="J711">
            <v>1573</v>
          </cell>
          <cell r="K711">
            <v>0.2</v>
          </cell>
          <cell r="L711">
            <v>0.6</v>
          </cell>
          <cell r="M711">
            <v>0.8</v>
          </cell>
          <cell r="N711">
            <v>1.05</v>
          </cell>
          <cell r="O711">
            <v>1.1000000000000001</v>
          </cell>
          <cell r="P711">
            <v>1.1499999999999999</v>
          </cell>
          <cell r="Q711" t="str">
            <v>INTERIOR</v>
          </cell>
          <cell r="R711">
            <v>4</v>
          </cell>
          <cell r="S711">
            <v>6</v>
          </cell>
          <cell r="T711" t="str">
            <v>Ciudad principal</v>
          </cell>
          <cell r="U711" t="str">
            <v>High End Cut Sheet</v>
          </cell>
          <cell r="V711" t="str">
            <v>XEROX MEXICANA SA DE CV / XEROX MEXICANA</v>
          </cell>
          <cell r="W711" t="str">
            <v>GUANAJUATO</v>
          </cell>
          <cell r="X711">
            <v>2019</v>
          </cell>
          <cell r="Y711" t="str">
            <v>Qtr 2</v>
          </cell>
          <cell r="Z711" t="str">
            <v>April</v>
          </cell>
          <cell r="AA711">
            <v>25</v>
          </cell>
          <cell r="AB711">
            <v>17</v>
          </cell>
          <cell r="AC711">
            <v>1.05</v>
          </cell>
          <cell r="AD711">
            <v>0.37083325</v>
          </cell>
          <cell r="AE711">
            <v>1651.65</v>
          </cell>
        </row>
        <row r="712">
          <cell r="A712" t="str">
            <v>0BG2951623</v>
          </cell>
          <cell r="B712">
            <v>2019</v>
          </cell>
          <cell r="C712" t="str">
            <v>Qtr 2</v>
          </cell>
          <cell r="D712" t="str">
            <v>April</v>
          </cell>
          <cell r="E712">
            <v>25</v>
          </cell>
          <cell r="F712" t="str">
            <v>MANTENIMIENTO PREVENTIVO</v>
          </cell>
          <cell r="G712">
            <v>0</v>
          </cell>
          <cell r="H712" t="str">
            <v>Light Production Digital Business</v>
          </cell>
          <cell r="I712">
            <v>803</v>
          </cell>
          <cell r="J712">
            <v>1573</v>
          </cell>
          <cell r="K712">
            <v>0.2</v>
          </cell>
          <cell r="L712">
            <v>0.6</v>
          </cell>
          <cell r="M712">
            <v>0.8</v>
          </cell>
          <cell r="N712">
            <v>1.05</v>
          </cell>
          <cell r="O712">
            <v>1.1000000000000001</v>
          </cell>
          <cell r="P712">
            <v>1.1499999999999999</v>
          </cell>
          <cell r="Q712" t="str">
            <v>INTERIOR</v>
          </cell>
          <cell r="R712">
            <v>4</v>
          </cell>
          <cell r="S712">
            <v>6</v>
          </cell>
          <cell r="T712" t="str">
            <v>Ciudad principal</v>
          </cell>
          <cell r="U712" t="str">
            <v>High End Cut Sheet</v>
          </cell>
          <cell r="V712" t="str">
            <v>XEROX MEXICANA SA DE CV / XEROX MEXICANA</v>
          </cell>
          <cell r="W712" t="str">
            <v>TAMAULIPAS</v>
          </cell>
          <cell r="X712">
            <v>2019</v>
          </cell>
          <cell r="Y712" t="str">
            <v>Qtr 2</v>
          </cell>
          <cell r="Z712" t="str">
            <v>April</v>
          </cell>
          <cell r="AA712">
            <v>25</v>
          </cell>
          <cell r="AB712">
            <v>8</v>
          </cell>
          <cell r="AC712">
            <v>0</v>
          </cell>
          <cell r="AD712">
            <v>0</v>
          </cell>
          <cell r="AE712">
            <v>1573</v>
          </cell>
        </row>
        <row r="713">
          <cell r="A713" t="str">
            <v>0BG2956972</v>
          </cell>
          <cell r="B713">
            <v>2019</v>
          </cell>
          <cell r="C713" t="str">
            <v>Qtr 2</v>
          </cell>
          <cell r="D713" t="str">
            <v>April</v>
          </cell>
          <cell r="E713">
            <v>25</v>
          </cell>
          <cell r="F713" t="str">
            <v>CORRECTIVO</v>
          </cell>
          <cell r="G713">
            <v>1.1166670000000001</v>
          </cell>
          <cell r="H713" t="str">
            <v>Light Production Digital Business</v>
          </cell>
          <cell r="I713">
            <v>803</v>
          </cell>
          <cell r="J713">
            <v>1573</v>
          </cell>
          <cell r="K713">
            <v>0.2</v>
          </cell>
          <cell r="L713">
            <v>0.6</v>
          </cell>
          <cell r="M713">
            <v>0.8</v>
          </cell>
          <cell r="N713">
            <v>1.05</v>
          </cell>
          <cell r="O713">
            <v>1.1000000000000001</v>
          </cell>
          <cell r="P713">
            <v>1.1499999999999999</v>
          </cell>
          <cell r="Q713" t="str">
            <v>INTERIOR</v>
          </cell>
          <cell r="R713">
            <v>4</v>
          </cell>
          <cell r="S713">
            <v>6</v>
          </cell>
          <cell r="T713" t="str">
            <v>Ciudad principal</v>
          </cell>
          <cell r="U713" t="str">
            <v>High End Cut Sheet</v>
          </cell>
          <cell r="V713" t="str">
            <v>XEROX MEXICANA SA DE CV / XEROX MEXICANA</v>
          </cell>
          <cell r="W713" t="str">
            <v>GUANAJUATO</v>
          </cell>
          <cell r="X713">
            <v>2019</v>
          </cell>
          <cell r="Y713" t="str">
            <v>Qtr 2</v>
          </cell>
          <cell r="Z713" t="str">
            <v>April</v>
          </cell>
          <cell r="AA713">
            <v>25</v>
          </cell>
          <cell r="AB713">
            <v>59</v>
          </cell>
          <cell r="AC713">
            <v>1.1000000000000001</v>
          </cell>
          <cell r="AD713">
            <v>0.27916675000000002</v>
          </cell>
          <cell r="AE713">
            <v>1730.3</v>
          </cell>
        </row>
        <row r="714">
          <cell r="A714" t="str">
            <v>0D6X452141</v>
          </cell>
          <cell r="B714">
            <v>2019</v>
          </cell>
          <cell r="C714" t="str">
            <v>Qtr 2</v>
          </cell>
          <cell r="D714" t="str">
            <v>April</v>
          </cell>
          <cell r="E714">
            <v>25</v>
          </cell>
          <cell r="F714" t="str">
            <v>CORRECTIVO</v>
          </cell>
          <cell r="G714">
            <v>0.83333330000000005</v>
          </cell>
          <cell r="H714" t="str">
            <v>Entry Mono Printers</v>
          </cell>
          <cell r="I714">
            <v>468</v>
          </cell>
          <cell r="J714">
            <v>715</v>
          </cell>
          <cell r="K714">
            <v>0</v>
          </cell>
          <cell r="L714">
            <v>0</v>
          </cell>
          <cell r="M714">
            <v>0</v>
          </cell>
          <cell r="N714">
            <v>0.6</v>
          </cell>
          <cell r="O714">
            <v>0.8</v>
          </cell>
          <cell r="P714">
            <v>1.05</v>
          </cell>
          <cell r="Q714" t="str">
            <v>INTERIOR</v>
          </cell>
          <cell r="R714">
            <v>5</v>
          </cell>
          <cell r="S714">
            <v>9</v>
          </cell>
          <cell r="T714" t="str">
            <v>Ciudad principal</v>
          </cell>
          <cell r="U714" t="str">
            <v>Entry Mono Printers</v>
          </cell>
          <cell r="V714" t="str">
            <v>XEROX MEXICANA SA DE CV / XEROX MEXICANA</v>
          </cell>
          <cell r="W714" t="str">
            <v>CHIHUAHUA</v>
          </cell>
          <cell r="X714">
            <v>2019</v>
          </cell>
          <cell r="Y714" t="str">
            <v>Qtr 2</v>
          </cell>
          <cell r="Z714" t="str">
            <v>April</v>
          </cell>
          <cell r="AA714">
            <v>26</v>
          </cell>
          <cell r="AB714">
            <v>2</v>
          </cell>
          <cell r="AC714">
            <v>0</v>
          </cell>
          <cell r="AD714">
            <v>0.16666665999999999</v>
          </cell>
          <cell r="AE714">
            <v>0</v>
          </cell>
        </row>
        <row r="715">
          <cell r="A715" t="str">
            <v>0D6X469471</v>
          </cell>
          <cell r="B715">
            <v>2019</v>
          </cell>
          <cell r="C715" t="str">
            <v>Qtr 2</v>
          </cell>
          <cell r="D715" t="str">
            <v>April</v>
          </cell>
          <cell r="E715">
            <v>25</v>
          </cell>
          <cell r="F715" t="str">
            <v>CORRECTIVO</v>
          </cell>
          <cell r="G715">
            <v>0</v>
          </cell>
          <cell r="H715" t="str">
            <v>Entry Mono Printers</v>
          </cell>
          <cell r="I715">
            <v>468</v>
          </cell>
          <cell r="J715">
            <v>715</v>
          </cell>
          <cell r="K715">
            <v>0</v>
          </cell>
          <cell r="L715">
            <v>0</v>
          </cell>
          <cell r="M715">
            <v>0</v>
          </cell>
          <cell r="N715">
            <v>0.6</v>
          </cell>
          <cell r="O715">
            <v>0.8</v>
          </cell>
          <cell r="P715">
            <v>1.05</v>
          </cell>
          <cell r="Q715" t="str">
            <v>INTERIOR</v>
          </cell>
          <cell r="R715">
            <v>5</v>
          </cell>
          <cell r="S715">
            <v>9</v>
          </cell>
          <cell r="T715" t="str">
            <v>Ciudad principal</v>
          </cell>
          <cell r="U715" t="str">
            <v>Entry Mono Printers</v>
          </cell>
          <cell r="V715" t="str">
            <v>XEROX MEXICANA SA DE CV / XEROX MEXICANA</v>
          </cell>
          <cell r="W715" t="str">
            <v>CHIHUAHUA</v>
          </cell>
          <cell r="X715">
            <v>2019</v>
          </cell>
          <cell r="Y715" t="str">
            <v>Qtr 2</v>
          </cell>
          <cell r="Z715" t="str">
            <v>April</v>
          </cell>
          <cell r="AA715">
            <v>25</v>
          </cell>
          <cell r="AB715">
            <v>336</v>
          </cell>
          <cell r="AC715">
            <v>1.05</v>
          </cell>
          <cell r="AD715">
            <v>0</v>
          </cell>
          <cell r="AE715">
            <v>750.75</v>
          </cell>
        </row>
        <row r="716">
          <cell r="A716" t="str">
            <v>0DUX271706</v>
          </cell>
          <cell r="B716">
            <v>2019</v>
          </cell>
          <cell r="C716" t="str">
            <v>Qtr 2</v>
          </cell>
          <cell r="D716" t="str">
            <v>April</v>
          </cell>
          <cell r="E716">
            <v>25</v>
          </cell>
          <cell r="F716" t="str">
            <v>CORRECTIVO</v>
          </cell>
          <cell r="G716">
            <v>0.28333330000000001</v>
          </cell>
          <cell r="H716" t="str">
            <v>Entry Production Color Low/Mid</v>
          </cell>
          <cell r="I716">
            <v>803</v>
          </cell>
          <cell r="J716">
            <v>1573</v>
          </cell>
          <cell r="K716">
            <v>0.2</v>
          </cell>
          <cell r="L716">
            <v>0.6</v>
          </cell>
          <cell r="M716">
            <v>0.8</v>
          </cell>
          <cell r="N716">
            <v>1.05</v>
          </cell>
          <cell r="O716">
            <v>1.1000000000000001</v>
          </cell>
          <cell r="P716">
            <v>1.1499999999999999</v>
          </cell>
          <cell r="Q716" t="str">
            <v>INTERIOR</v>
          </cell>
          <cell r="R716">
            <v>4</v>
          </cell>
          <cell r="S716">
            <v>6</v>
          </cell>
          <cell r="T716" t="str">
            <v>Ciudad principal</v>
          </cell>
          <cell r="U716" t="str">
            <v>Entry Production Color Low/Mid</v>
          </cell>
          <cell r="V716" t="str">
            <v>XEROX MEXICANA SA DE CV / XEROX MEXICANA</v>
          </cell>
          <cell r="W716" t="str">
            <v>QUERETARO</v>
          </cell>
          <cell r="X716">
            <v>2019</v>
          </cell>
          <cell r="Y716" t="str">
            <v>Qtr 2</v>
          </cell>
          <cell r="Z716" t="str">
            <v>April</v>
          </cell>
          <cell r="AA716">
            <v>30</v>
          </cell>
          <cell r="AB716">
            <v>31</v>
          </cell>
          <cell r="AC716">
            <v>1.1000000000000001</v>
          </cell>
          <cell r="AD716">
            <v>7.0833325000000003E-2</v>
          </cell>
          <cell r="AE716">
            <v>1730.3</v>
          </cell>
        </row>
        <row r="717">
          <cell r="A717" t="str">
            <v>0E2B664332</v>
          </cell>
          <cell r="B717">
            <v>2019</v>
          </cell>
          <cell r="C717" t="str">
            <v>Qtr 2</v>
          </cell>
          <cell r="D717" t="str">
            <v>April</v>
          </cell>
          <cell r="E717">
            <v>25</v>
          </cell>
          <cell r="F717" t="str">
            <v>CORRECTIVO</v>
          </cell>
          <cell r="G717">
            <v>0.43333329999999998</v>
          </cell>
          <cell r="H717" t="str">
            <v>Entry Production Color Low/Mid</v>
          </cell>
          <cell r="I717">
            <v>803</v>
          </cell>
          <cell r="J717">
            <v>1573</v>
          </cell>
          <cell r="K717">
            <v>0.2</v>
          </cell>
          <cell r="L717">
            <v>0.6</v>
          </cell>
          <cell r="M717">
            <v>0.8</v>
          </cell>
          <cell r="N717">
            <v>1.05</v>
          </cell>
          <cell r="O717">
            <v>1.1000000000000001</v>
          </cell>
          <cell r="P717">
            <v>1.1499999999999999</v>
          </cell>
          <cell r="Q717" t="str">
            <v>INTERIOR</v>
          </cell>
          <cell r="R717">
            <v>4</v>
          </cell>
          <cell r="S717">
            <v>6</v>
          </cell>
          <cell r="T717" t="str">
            <v>Ciudad principal</v>
          </cell>
          <cell r="U717" t="str">
            <v>Entry Production Color Low/Mid</v>
          </cell>
          <cell r="V717" t="str">
            <v>XEROX MEXICANA SA DE CV / XEROX MEXICANA</v>
          </cell>
          <cell r="W717" t="str">
            <v>GUANAJUATO</v>
          </cell>
          <cell r="X717">
            <v>2019</v>
          </cell>
          <cell r="Y717" t="str">
            <v>Qtr 2</v>
          </cell>
          <cell r="Z717" t="str">
            <v>April</v>
          </cell>
          <cell r="AA717">
            <v>26</v>
          </cell>
          <cell r="AB717">
            <v>44</v>
          </cell>
          <cell r="AC717">
            <v>1.1000000000000001</v>
          </cell>
          <cell r="AD717">
            <v>0.10833332499999999</v>
          </cell>
          <cell r="AE717">
            <v>1730.3</v>
          </cell>
        </row>
        <row r="718">
          <cell r="A718" t="str">
            <v>0EX7382605</v>
          </cell>
          <cell r="B718">
            <v>2019</v>
          </cell>
          <cell r="C718" t="str">
            <v>Qtr 2</v>
          </cell>
          <cell r="D718" t="str">
            <v>April</v>
          </cell>
          <cell r="E718">
            <v>25</v>
          </cell>
          <cell r="F718" t="str">
            <v>MANTENIMIENTO PREVENTIVO</v>
          </cell>
          <cell r="G718">
            <v>0</v>
          </cell>
          <cell r="H718" t="str">
            <v>Office Digital</v>
          </cell>
          <cell r="I718">
            <v>655</v>
          </cell>
          <cell r="J718">
            <v>1365</v>
          </cell>
          <cell r="K718">
            <v>0</v>
          </cell>
          <cell r="L718">
            <v>0</v>
          </cell>
          <cell r="M718">
            <v>0.6</v>
          </cell>
          <cell r="N718">
            <v>0.8</v>
          </cell>
          <cell r="O718">
            <v>1.05</v>
          </cell>
          <cell r="P718">
            <v>1.1000000000000001</v>
          </cell>
          <cell r="Q718" t="str">
            <v>INTERIOR</v>
          </cell>
          <cell r="R718">
            <v>5</v>
          </cell>
          <cell r="S718">
            <v>9</v>
          </cell>
          <cell r="T718" t="str">
            <v>Ciudad principal</v>
          </cell>
          <cell r="U718" t="str">
            <v>Departmental Digital</v>
          </cell>
          <cell r="V718" t="str">
            <v>XEROX MEXICANA SA DE CV / XEROX MEXICANA</v>
          </cell>
          <cell r="W718" t="str">
            <v>CHIHUAHUA</v>
          </cell>
          <cell r="X718">
            <v>2019</v>
          </cell>
          <cell r="Y718" t="str">
            <v>Qtr 2</v>
          </cell>
          <cell r="Z718" t="str">
            <v>April</v>
          </cell>
          <cell r="AA718">
            <v>25</v>
          </cell>
          <cell r="AB718">
            <v>17</v>
          </cell>
          <cell r="AC718">
            <v>0</v>
          </cell>
          <cell r="AD718">
            <v>0</v>
          </cell>
          <cell r="AE718">
            <v>1365</v>
          </cell>
        </row>
        <row r="719">
          <cell r="A719" t="str">
            <v>0EX9287045</v>
          </cell>
          <cell r="B719">
            <v>2019</v>
          </cell>
          <cell r="C719" t="str">
            <v>Qtr 2</v>
          </cell>
          <cell r="D719" t="str">
            <v>April</v>
          </cell>
          <cell r="E719">
            <v>25</v>
          </cell>
          <cell r="F719" t="str">
            <v>CORRECTIVO</v>
          </cell>
          <cell r="G719">
            <v>0.68333330000000003</v>
          </cell>
          <cell r="H719" t="str">
            <v>Departmental Digital</v>
          </cell>
          <cell r="I719">
            <v>655</v>
          </cell>
          <cell r="J719">
            <v>1365</v>
          </cell>
          <cell r="K719">
            <v>0</v>
          </cell>
          <cell r="L719">
            <v>0</v>
          </cell>
          <cell r="M719">
            <v>0.6</v>
          </cell>
          <cell r="N719">
            <v>0.8</v>
          </cell>
          <cell r="O719">
            <v>1.05</v>
          </cell>
          <cell r="P719">
            <v>1.1000000000000001</v>
          </cell>
          <cell r="Q719" t="str">
            <v>INTERIOR</v>
          </cell>
          <cell r="R719">
            <v>5</v>
          </cell>
          <cell r="S719">
            <v>9</v>
          </cell>
          <cell r="T719" t="str">
            <v>Ciudad principal</v>
          </cell>
          <cell r="U719" t="str">
            <v>Departmental Digital</v>
          </cell>
          <cell r="V719" t="str">
            <v>XEROX MEXICANA SA DE CV / XEROX MEXICANA</v>
          </cell>
          <cell r="W719" t="str">
            <v>QUERETARO</v>
          </cell>
          <cell r="X719">
            <v>2019</v>
          </cell>
          <cell r="Y719" t="str">
            <v>Qtr 2</v>
          </cell>
          <cell r="Z719" t="str">
            <v>April</v>
          </cell>
          <cell r="AA719">
            <v>25</v>
          </cell>
          <cell r="AB719">
            <v>35</v>
          </cell>
          <cell r="AC719">
            <v>1.05</v>
          </cell>
          <cell r="AD719">
            <v>0.13666666</v>
          </cell>
          <cell r="AE719">
            <v>1433.25</v>
          </cell>
        </row>
        <row r="720">
          <cell r="A720" t="str">
            <v>0EX9293159</v>
          </cell>
          <cell r="B720">
            <v>2019</v>
          </cell>
          <cell r="C720" t="str">
            <v>Qtr 2</v>
          </cell>
          <cell r="D720" t="str">
            <v>April</v>
          </cell>
          <cell r="E720">
            <v>25</v>
          </cell>
          <cell r="F720" t="str">
            <v>CORRECTIVO</v>
          </cell>
          <cell r="G720">
            <v>0.46666669999999999</v>
          </cell>
          <cell r="H720" t="str">
            <v>Departmental Digital</v>
          </cell>
          <cell r="I720">
            <v>655</v>
          </cell>
          <cell r="J720">
            <v>1365</v>
          </cell>
          <cell r="K720">
            <v>0</v>
          </cell>
          <cell r="L720">
            <v>0</v>
          </cell>
          <cell r="M720">
            <v>0.6</v>
          </cell>
          <cell r="N720">
            <v>0.8</v>
          </cell>
          <cell r="O720">
            <v>1.05</v>
          </cell>
          <cell r="P720">
            <v>1.1000000000000001</v>
          </cell>
          <cell r="Q720" t="str">
            <v>INTERIOR</v>
          </cell>
          <cell r="R720">
            <v>5</v>
          </cell>
          <cell r="S720">
            <v>9</v>
          </cell>
          <cell r="T720" t="str">
            <v>Ciudad principal</v>
          </cell>
          <cell r="U720" t="str">
            <v>Departmental Digital</v>
          </cell>
          <cell r="V720" t="str">
            <v>XEROX MEXICANA SA DE CV / XEROX MEXICANA</v>
          </cell>
          <cell r="W720" t="str">
            <v>GUANAJUATO</v>
          </cell>
          <cell r="X720">
            <v>2019</v>
          </cell>
          <cell r="Y720" t="str">
            <v>Qtr 2</v>
          </cell>
          <cell r="Z720" t="str">
            <v>April</v>
          </cell>
          <cell r="AA720">
            <v>26</v>
          </cell>
          <cell r="AB720">
            <v>10</v>
          </cell>
          <cell r="AC720">
            <v>0.6</v>
          </cell>
          <cell r="AD720">
            <v>9.3333340000000001E-2</v>
          </cell>
          <cell r="AE720">
            <v>819</v>
          </cell>
        </row>
        <row r="721">
          <cell r="A721" t="str">
            <v>0EX9293168</v>
          </cell>
          <cell r="B721">
            <v>2019</v>
          </cell>
          <cell r="C721" t="str">
            <v>Qtr 2</v>
          </cell>
          <cell r="D721" t="str">
            <v>April</v>
          </cell>
          <cell r="E721">
            <v>25</v>
          </cell>
          <cell r="F721" t="str">
            <v>MANTENIMIENTO PREVENTIVO</v>
          </cell>
          <cell r="G721">
            <v>0</v>
          </cell>
          <cell r="H721" t="str">
            <v>Departmental Digital</v>
          </cell>
          <cell r="I721">
            <v>655</v>
          </cell>
          <cell r="J721">
            <v>1365</v>
          </cell>
          <cell r="K721">
            <v>0</v>
          </cell>
          <cell r="L721">
            <v>0</v>
          </cell>
          <cell r="M721">
            <v>0.6</v>
          </cell>
          <cell r="N721">
            <v>0.8</v>
          </cell>
          <cell r="O721">
            <v>1.05</v>
          </cell>
          <cell r="P721">
            <v>1.1000000000000001</v>
          </cell>
          <cell r="Q721" t="str">
            <v>INTERIOR</v>
          </cell>
          <cell r="R721">
            <v>5</v>
          </cell>
          <cell r="S721">
            <v>9</v>
          </cell>
          <cell r="T721" t="str">
            <v>Ciudad principal</v>
          </cell>
          <cell r="U721" t="str">
            <v>Departmental Digital</v>
          </cell>
          <cell r="V721" t="str">
            <v>XEROX MEXICANA SA DE CV / XEROX MEXICANA</v>
          </cell>
          <cell r="W721" t="str">
            <v>GUANAJUATO</v>
          </cell>
          <cell r="X721">
            <v>2019</v>
          </cell>
          <cell r="Y721" t="str">
            <v>Qtr 2</v>
          </cell>
          <cell r="Z721" t="str">
            <v>April</v>
          </cell>
          <cell r="AA721">
            <v>25</v>
          </cell>
          <cell r="AB721">
            <v>10</v>
          </cell>
          <cell r="AC721">
            <v>0</v>
          </cell>
          <cell r="AD721">
            <v>0</v>
          </cell>
          <cell r="AE721">
            <v>1365</v>
          </cell>
        </row>
        <row r="722">
          <cell r="A722" t="str">
            <v>0LX7657929</v>
          </cell>
          <cell r="B722">
            <v>2019</v>
          </cell>
          <cell r="C722" t="str">
            <v>Qtr 2</v>
          </cell>
          <cell r="D722" t="str">
            <v>April</v>
          </cell>
          <cell r="E722">
            <v>25</v>
          </cell>
          <cell r="F722" t="str">
            <v>MANTENIMIENTO PREVENTIVO</v>
          </cell>
          <cell r="G722">
            <v>0</v>
          </cell>
          <cell r="H722" t="str">
            <v>A3 Office Color Laser MFPs</v>
          </cell>
          <cell r="I722">
            <v>655</v>
          </cell>
          <cell r="J722">
            <v>1365</v>
          </cell>
          <cell r="K722">
            <v>0</v>
          </cell>
          <cell r="L722">
            <v>0</v>
          </cell>
          <cell r="M722">
            <v>0.6</v>
          </cell>
          <cell r="N722">
            <v>0.8</v>
          </cell>
          <cell r="O722">
            <v>1.05</v>
          </cell>
          <cell r="P722">
            <v>1.1000000000000001</v>
          </cell>
          <cell r="Q722" t="str">
            <v>INTERIOR</v>
          </cell>
          <cell r="R722">
            <v>5</v>
          </cell>
          <cell r="S722">
            <v>9</v>
          </cell>
          <cell r="T722" t="str">
            <v>Ciudad principal</v>
          </cell>
          <cell r="U722" t="str">
            <v>A3 Office Color Laser MFPs</v>
          </cell>
          <cell r="V722" t="str">
            <v>XEROX MEXICANA SA DE CV / XEROX MEXICANA</v>
          </cell>
          <cell r="W722" t="str">
            <v>CHIHUAHUA</v>
          </cell>
          <cell r="X722">
            <v>2019</v>
          </cell>
          <cell r="Y722" t="str">
            <v>Qtr 2</v>
          </cell>
          <cell r="Z722" t="str">
            <v>April</v>
          </cell>
          <cell r="AA722">
            <v>25</v>
          </cell>
          <cell r="AB722">
            <v>246</v>
          </cell>
          <cell r="AC722">
            <v>0</v>
          </cell>
          <cell r="AD722">
            <v>0</v>
          </cell>
          <cell r="AE722">
            <v>1365</v>
          </cell>
        </row>
        <row r="723">
          <cell r="A723" t="str">
            <v>0MHB903219</v>
          </cell>
          <cell r="B723">
            <v>2019</v>
          </cell>
          <cell r="C723" t="str">
            <v>Qtr 2</v>
          </cell>
          <cell r="D723" t="str">
            <v>April</v>
          </cell>
          <cell r="E723">
            <v>25</v>
          </cell>
          <cell r="F723" t="str">
            <v>CORRECTIVO</v>
          </cell>
          <cell r="G723">
            <v>1.7166669999999999</v>
          </cell>
          <cell r="H723" t="str">
            <v>Entry Mono Printers</v>
          </cell>
          <cell r="I723">
            <v>468</v>
          </cell>
          <cell r="J723">
            <v>715</v>
          </cell>
          <cell r="K723">
            <v>0</v>
          </cell>
          <cell r="L723">
            <v>0</v>
          </cell>
          <cell r="M723">
            <v>0</v>
          </cell>
          <cell r="N723">
            <v>0.6</v>
          </cell>
          <cell r="O723">
            <v>0.8</v>
          </cell>
          <cell r="P723">
            <v>1.05</v>
          </cell>
          <cell r="Q723" t="str">
            <v>INTERIOR</v>
          </cell>
          <cell r="R723">
            <v>5</v>
          </cell>
          <cell r="S723">
            <v>9</v>
          </cell>
          <cell r="T723" t="str">
            <v>Ciudad principal</v>
          </cell>
          <cell r="U723" t="str">
            <v>A4 Mono MFPs</v>
          </cell>
          <cell r="V723" t="str">
            <v>XEROX MEXICANA SA DE CV / XEROX MEXICANA</v>
          </cell>
          <cell r="W723" t="str">
            <v>QUERETARO</v>
          </cell>
          <cell r="X723">
            <v>2019</v>
          </cell>
          <cell r="Y723" t="str">
            <v>Qtr 2</v>
          </cell>
          <cell r="Z723" t="str">
            <v>April</v>
          </cell>
          <cell r="AA723">
            <v>26</v>
          </cell>
          <cell r="AB723">
            <v>108</v>
          </cell>
          <cell r="AC723">
            <v>1.05</v>
          </cell>
          <cell r="AD723">
            <v>0.34333340000000001</v>
          </cell>
          <cell r="AE723">
            <v>750.75</v>
          </cell>
        </row>
        <row r="724">
          <cell r="A724" t="str">
            <v>0MX4777366</v>
          </cell>
          <cell r="B724">
            <v>2019</v>
          </cell>
          <cell r="C724" t="str">
            <v>Qtr 2</v>
          </cell>
          <cell r="D724" t="str">
            <v>April</v>
          </cell>
          <cell r="E724">
            <v>25</v>
          </cell>
          <cell r="F724" t="str">
            <v>CORRECTIVO</v>
          </cell>
          <cell r="G724">
            <v>0.75</v>
          </cell>
          <cell r="H724" t="str">
            <v>A3 Office Color Laser MFPs</v>
          </cell>
          <cell r="I724">
            <v>655</v>
          </cell>
          <cell r="J724">
            <v>1365</v>
          </cell>
          <cell r="K724">
            <v>0</v>
          </cell>
          <cell r="L724">
            <v>0</v>
          </cell>
          <cell r="M724">
            <v>0.6</v>
          </cell>
          <cell r="N724">
            <v>0.8</v>
          </cell>
          <cell r="O724">
            <v>1.05</v>
          </cell>
          <cell r="P724">
            <v>1.1000000000000001</v>
          </cell>
          <cell r="Q724" t="str">
            <v>INTERIOR</v>
          </cell>
          <cell r="R724">
            <v>5</v>
          </cell>
          <cell r="S724">
            <v>9</v>
          </cell>
          <cell r="T724" t="str">
            <v>Ciudad principal</v>
          </cell>
          <cell r="U724" t="str">
            <v>A3 Office Color Laser MFPs</v>
          </cell>
          <cell r="V724" t="str">
            <v>XEROX MEXICANA SA DE CV / XEROX MEXICANA</v>
          </cell>
          <cell r="W724" t="str">
            <v>CHIHUAHUA</v>
          </cell>
          <cell r="X724">
            <v>2019</v>
          </cell>
          <cell r="Y724" t="str">
            <v>Qtr 2</v>
          </cell>
          <cell r="Z724" t="str">
            <v>April</v>
          </cell>
          <cell r="AA724">
            <v>25</v>
          </cell>
          <cell r="AB724">
            <v>185</v>
          </cell>
          <cell r="AC724">
            <v>1.1000000000000001</v>
          </cell>
          <cell r="AD724">
            <v>0.15</v>
          </cell>
          <cell r="AE724">
            <v>1501.5</v>
          </cell>
        </row>
        <row r="725">
          <cell r="A725" t="str">
            <v>0PW4152292</v>
          </cell>
          <cell r="B725">
            <v>2019</v>
          </cell>
          <cell r="C725" t="str">
            <v>Qtr 2</v>
          </cell>
          <cell r="D725" t="str">
            <v>April</v>
          </cell>
          <cell r="E725">
            <v>25</v>
          </cell>
          <cell r="F725" t="str">
            <v>MANTENIMIENTO PREVENTIVO</v>
          </cell>
          <cell r="G725">
            <v>0</v>
          </cell>
          <cell r="H725" t="str">
            <v>WF Mono Systems and Legacy Color</v>
          </cell>
          <cell r="I725">
            <v>803</v>
          </cell>
          <cell r="J725">
            <v>1573</v>
          </cell>
          <cell r="K725">
            <v>0.2</v>
          </cell>
          <cell r="L725">
            <v>0.6</v>
          </cell>
          <cell r="M725">
            <v>0.8</v>
          </cell>
          <cell r="N725">
            <v>1.05</v>
          </cell>
          <cell r="O725">
            <v>1.1000000000000001</v>
          </cell>
          <cell r="P725">
            <v>1.1499999999999999</v>
          </cell>
          <cell r="Q725" t="str">
            <v>INTERIOR</v>
          </cell>
          <cell r="R725">
            <v>4</v>
          </cell>
          <cell r="S725">
            <v>6</v>
          </cell>
          <cell r="T725" t="str">
            <v>Ciudad principal</v>
          </cell>
          <cell r="U725" t="str">
            <v>WF Mono Systems and Legacy Color</v>
          </cell>
          <cell r="V725" t="str">
            <v>XEROX MEXICANA SA DE CV / XEROX MEXICANA</v>
          </cell>
          <cell r="W725" t="str">
            <v>JALISCO</v>
          </cell>
          <cell r="X725">
            <v>2019</v>
          </cell>
          <cell r="Y725" t="str">
            <v>Qtr 2</v>
          </cell>
          <cell r="Z725" t="str">
            <v>April</v>
          </cell>
          <cell r="AA725">
            <v>25</v>
          </cell>
          <cell r="AB725">
            <v>17</v>
          </cell>
          <cell r="AC725">
            <v>0</v>
          </cell>
          <cell r="AD725">
            <v>0</v>
          </cell>
          <cell r="AE725">
            <v>1573</v>
          </cell>
        </row>
        <row r="726">
          <cell r="A726" t="str">
            <v>0PW4792159</v>
          </cell>
          <cell r="B726">
            <v>2019</v>
          </cell>
          <cell r="C726" t="str">
            <v>Qtr 2</v>
          </cell>
          <cell r="D726" t="str">
            <v>April</v>
          </cell>
          <cell r="E726">
            <v>25</v>
          </cell>
          <cell r="F726" t="str">
            <v>CORRECTIVO</v>
          </cell>
          <cell r="G726">
            <v>1</v>
          </cell>
          <cell r="H726" t="str">
            <v>WF Mono Systems and Legacy Color</v>
          </cell>
          <cell r="I726">
            <v>803</v>
          </cell>
          <cell r="J726">
            <v>1573</v>
          </cell>
          <cell r="K726">
            <v>0.2</v>
          </cell>
          <cell r="L726">
            <v>0.6</v>
          </cell>
          <cell r="M726">
            <v>0.8</v>
          </cell>
          <cell r="N726">
            <v>1.05</v>
          </cell>
          <cell r="O726">
            <v>1.1000000000000001</v>
          </cell>
          <cell r="P726">
            <v>1.1499999999999999</v>
          </cell>
          <cell r="Q726" t="str">
            <v>INTERIOR</v>
          </cell>
          <cell r="R726">
            <v>4</v>
          </cell>
          <cell r="S726">
            <v>6</v>
          </cell>
          <cell r="T726" t="str">
            <v>Ciudad principal</v>
          </cell>
          <cell r="U726" t="str">
            <v>WF Mono Systems and Legacy Color</v>
          </cell>
          <cell r="V726" t="str">
            <v>XEROX MEXICANA SA DE CV / XEROX MEXICANA</v>
          </cell>
          <cell r="W726" t="str">
            <v>JALISCO</v>
          </cell>
          <cell r="X726">
            <v>2019</v>
          </cell>
          <cell r="Y726" t="str">
            <v>Qtr 2</v>
          </cell>
          <cell r="Z726" t="str">
            <v>April</v>
          </cell>
          <cell r="AA726">
            <v>28</v>
          </cell>
          <cell r="AB726">
            <v>31</v>
          </cell>
          <cell r="AC726">
            <v>1.1000000000000001</v>
          </cell>
          <cell r="AD726">
            <v>0.25</v>
          </cell>
          <cell r="AE726">
            <v>1730.3</v>
          </cell>
        </row>
        <row r="727">
          <cell r="A727" t="str">
            <v>0X76372785</v>
          </cell>
          <cell r="B727">
            <v>2019</v>
          </cell>
          <cell r="C727" t="str">
            <v>Qtr 2</v>
          </cell>
          <cell r="D727" t="str">
            <v>April</v>
          </cell>
          <cell r="E727">
            <v>25</v>
          </cell>
          <cell r="F727" t="str">
            <v>CORRECTIVO</v>
          </cell>
          <cell r="G727">
            <v>2.0333329999999998</v>
          </cell>
          <cell r="H727" t="str">
            <v>Office Digital</v>
          </cell>
          <cell r="I727">
            <v>655</v>
          </cell>
          <cell r="J727">
            <v>1365</v>
          </cell>
          <cell r="K727">
            <v>0</v>
          </cell>
          <cell r="L727">
            <v>0</v>
          </cell>
          <cell r="M727">
            <v>0.6</v>
          </cell>
          <cell r="N727">
            <v>0.8</v>
          </cell>
          <cell r="O727">
            <v>1.05</v>
          </cell>
          <cell r="P727">
            <v>1.1000000000000001</v>
          </cell>
          <cell r="Q727" t="str">
            <v>INTERIOR</v>
          </cell>
          <cell r="R727">
            <v>5</v>
          </cell>
          <cell r="S727">
            <v>9</v>
          </cell>
          <cell r="T727" t="str">
            <v>Ciudad principal</v>
          </cell>
          <cell r="U727" t="str">
            <v>Departmental Digital</v>
          </cell>
          <cell r="V727" t="str">
            <v>XEROX MEXICANA SA DE CV / XEROX MEXICANA</v>
          </cell>
          <cell r="W727" t="str">
            <v>TAMAULIPAS</v>
          </cell>
          <cell r="X727">
            <v>2019</v>
          </cell>
          <cell r="Y727" t="str">
            <v>Qtr 2</v>
          </cell>
          <cell r="Z727" t="str">
            <v>April</v>
          </cell>
          <cell r="AA727">
            <v>25</v>
          </cell>
          <cell r="AB727">
            <v>42</v>
          </cell>
          <cell r="AC727">
            <v>1.05</v>
          </cell>
          <cell r="AD727">
            <v>0.40666659999999999</v>
          </cell>
          <cell r="AE727">
            <v>1433.25</v>
          </cell>
        </row>
        <row r="728">
          <cell r="A728" t="str">
            <v>0XEL566484</v>
          </cell>
          <cell r="B728">
            <v>2019</v>
          </cell>
          <cell r="C728" t="str">
            <v>Qtr 2</v>
          </cell>
          <cell r="D728" t="str">
            <v>April</v>
          </cell>
          <cell r="E728">
            <v>25</v>
          </cell>
          <cell r="F728" t="str">
            <v>MANTENIMIENTO PREVENTIVO</v>
          </cell>
          <cell r="G728">
            <v>0</v>
          </cell>
          <cell r="H728" t="str">
            <v>Departmental Digital</v>
          </cell>
          <cell r="I728">
            <v>655</v>
          </cell>
          <cell r="J728">
            <v>1365</v>
          </cell>
          <cell r="K728">
            <v>0</v>
          </cell>
          <cell r="L728">
            <v>0</v>
          </cell>
          <cell r="M728">
            <v>0.6</v>
          </cell>
          <cell r="N728">
            <v>0.8</v>
          </cell>
          <cell r="O728">
            <v>1.05</v>
          </cell>
          <cell r="P728">
            <v>1.1000000000000001</v>
          </cell>
          <cell r="Q728" t="str">
            <v>INTERIOR</v>
          </cell>
          <cell r="R728">
            <v>5</v>
          </cell>
          <cell r="S728">
            <v>9</v>
          </cell>
          <cell r="T728" t="str">
            <v>Ciudad principal</v>
          </cell>
          <cell r="U728" t="str">
            <v>Departmental Digital</v>
          </cell>
          <cell r="V728" t="str">
            <v>XEROX MEXICANA SA DE CV / XEROX MEXICANA</v>
          </cell>
          <cell r="W728" t="str">
            <v>JALISCO</v>
          </cell>
          <cell r="X728">
            <v>2019</v>
          </cell>
          <cell r="Y728" t="str">
            <v>Qtr 2</v>
          </cell>
          <cell r="Z728" t="str">
            <v>April</v>
          </cell>
          <cell r="AA728">
            <v>26</v>
          </cell>
          <cell r="AB728">
            <v>36</v>
          </cell>
          <cell r="AC728">
            <v>0</v>
          </cell>
          <cell r="AD728">
            <v>0</v>
          </cell>
          <cell r="AE728">
            <v>1365</v>
          </cell>
        </row>
        <row r="729">
          <cell r="A729" t="str">
            <v>0XFN183642</v>
          </cell>
          <cell r="B729">
            <v>2019</v>
          </cell>
          <cell r="C729" t="str">
            <v>Qtr 2</v>
          </cell>
          <cell r="D729" t="str">
            <v>April</v>
          </cell>
          <cell r="E729">
            <v>25</v>
          </cell>
          <cell r="F729" t="str">
            <v>MANTENIMIENTO PREVENTIVO</v>
          </cell>
          <cell r="G729">
            <v>0</v>
          </cell>
          <cell r="H729" t="str">
            <v>Color Solid Ink Printers</v>
          </cell>
          <cell r="I729">
            <v>468</v>
          </cell>
          <cell r="J729">
            <v>715</v>
          </cell>
          <cell r="K729">
            <v>0</v>
          </cell>
          <cell r="L729">
            <v>0</v>
          </cell>
          <cell r="M729">
            <v>0</v>
          </cell>
          <cell r="N729">
            <v>0.6</v>
          </cell>
          <cell r="O729">
            <v>0.8</v>
          </cell>
          <cell r="P729">
            <v>1.05</v>
          </cell>
          <cell r="Q729" t="str">
            <v>INTERIOR</v>
          </cell>
          <cell r="R729">
            <v>5</v>
          </cell>
          <cell r="S729">
            <v>9</v>
          </cell>
          <cell r="T729" t="str">
            <v>Ciudad principal</v>
          </cell>
          <cell r="U729" t="str">
            <v>Color Solid Ink Printers</v>
          </cell>
          <cell r="V729" t="str">
            <v>XEROX MEXICANA SA DE CV / XEROX MEXICANA</v>
          </cell>
          <cell r="W729" t="str">
            <v>CHIHUAHUA</v>
          </cell>
          <cell r="X729">
            <v>2019</v>
          </cell>
          <cell r="Y729" t="str">
            <v>Qtr 2</v>
          </cell>
          <cell r="Z729" t="str">
            <v>April</v>
          </cell>
          <cell r="AA729">
            <v>26</v>
          </cell>
          <cell r="AB729">
            <v>45</v>
          </cell>
          <cell r="AC729">
            <v>0</v>
          </cell>
          <cell r="AD729">
            <v>0</v>
          </cell>
          <cell r="AE729">
            <v>715</v>
          </cell>
        </row>
        <row r="730">
          <cell r="A730" t="str">
            <v>0XLT861011</v>
          </cell>
          <cell r="B730">
            <v>2019</v>
          </cell>
          <cell r="C730" t="str">
            <v>Qtr 2</v>
          </cell>
          <cell r="D730" t="str">
            <v>April</v>
          </cell>
          <cell r="E730">
            <v>25</v>
          </cell>
          <cell r="F730" t="str">
            <v>MANTENIMIENTO PREVENTIVO</v>
          </cell>
          <cell r="G730">
            <v>0</v>
          </cell>
          <cell r="H730" t="str">
            <v>Entry Mono Printers</v>
          </cell>
          <cell r="I730">
            <v>468</v>
          </cell>
          <cell r="J730">
            <v>715</v>
          </cell>
          <cell r="K730">
            <v>0</v>
          </cell>
          <cell r="L730">
            <v>0</v>
          </cell>
          <cell r="M730">
            <v>0</v>
          </cell>
          <cell r="N730">
            <v>0.6</v>
          </cell>
          <cell r="O730">
            <v>0.8</v>
          </cell>
          <cell r="P730">
            <v>1.05</v>
          </cell>
          <cell r="Q730" t="str">
            <v>INTERIOR</v>
          </cell>
          <cell r="R730">
            <v>5</v>
          </cell>
          <cell r="S730">
            <v>9</v>
          </cell>
          <cell r="T730" t="str">
            <v>Ciudad principal</v>
          </cell>
          <cell r="U730" t="str">
            <v>Entry Mono Printers</v>
          </cell>
          <cell r="V730" t="str">
            <v>XEROX MEXICANA SA DE CV / XEROX MEXICANA</v>
          </cell>
          <cell r="W730" t="str">
            <v>CHIHUAHUA</v>
          </cell>
          <cell r="X730">
            <v>2019</v>
          </cell>
          <cell r="Y730" t="str">
            <v>Qtr 2</v>
          </cell>
          <cell r="Z730" t="str">
            <v>April</v>
          </cell>
          <cell r="AA730">
            <v>25</v>
          </cell>
          <cell r="AB730">
            <v>357</v>
          </cell>
          <cell r="AC730">
            <v>0</v>
          </cell>
          <cell r="AD730">
            <v>0</v>
          </cell>
          <cell r="AE730">
            <v>715</v>
          </cell>
        </row>
        <row r="731">
          <cell r="A731" t="str">
            <v>0XPN398415</v>
          </cell>
          <cell r="B731">
            <v>2019</v>
          </cell>
          <cell r="C731" t="str">
            <v>Qtr 2</v>
          </cell>
          <cell r="D731" t="str">
            <v>April</v>
          </cell>
          <cell r="E731">
            <v>25</v>
          </cell>
          <cell r="F731" t="str">
            <v>CORRECTIVO</v>
          </cell>
          <cell r="G731">
            <v>0.55000000000000004</v>
          </cell>
          <cell r="H731" t="str">
            <v>Entry Production Color Low/Mid</v>
          </cell>
          <cell r="I731">
            <v>803</v>
          </cell>
          <cell r="J731">
            <v>1573</v>
          </cell>
          <cell r="K731">
            <v>0.2</v>
          </cell>
          <cell r="L731">
            <v>0.6</v>
          </cell>
          <cell r="M731">
            <v>0.8</v>
          </cell>
          <cell r="N731">
            <v>1.05</v>
          </cell>
          <cell r="O731">
            <v>1.1000000000000001</v>
          </cell>
          <cell r="P731">
            <v>1.1499999999999999</v>
          </cell>
          <cell r="Q731" t="str">
            <v>INTERIOR</v>
          </cell>
          <cell r="R731">
            <v>4</v>
          </cell>
          <cell r="S731">
            <v>6</v>
          </cell>
          <cell r="T731" t="str">
            <v>Ciudad principal</v>
          </cell>
          <cell r="U731" t="str">
            <v>Entry Production Color Low/Mid</v>
          </cell>
          <cell r="V731" t="str">
            <v>XEROX MEXICANA SA DE CV / XEROX MEXICANA</v>
          </cell>
          <cell r="W731" t="str">
            <v>JALISCO</v>
          </cell>
          <cell r="X731">
            <v>2019</v>
          </cell>
          <cell r="Y731" t="str">
            <v>Qtr 2</v>
          </cell>
          <cell r="Z731" t="str">
            <v>April</v>
          </cell>
          <cell r="AA731">
            <v>30</v>
          </cell>
          <cell r="AB731">
            <v>56</v>
          </cell>
          <cell r="AC731">
            <v>1.1000000000000001</v>
          </cell>
          <cell r="AD731">
            <v>0.13750000000000001</v>
          </cell>
          <cell r="AE731">
            <v>1730.3</v>
          </cell>
        </row>
        <row r="732">
          <cell r="A732" t="str">
            <v>0XPN399178</v>
          </cell>
          <cell r="B732">
            <v>2019</v>
          </cell>
          <cell r="C732" t="str">
            <v>Qtr 2</v>
          </cell>
          <cell r="D732" t="str">
            <v>April</v>
          </cell>
          <cell r="E732">
            <v>25</v>
          </cell>
          <cell r="F732" t="str">
            <v>CORRECTIVO</v>
          </cell>
          <cell r="G732">
            <v>0.93333330000000003</v>
          </cell>
          <cell r="H732" t="str">
            <v>Entry Production Color Low/Mid</v>
          </cell>
          <cell r="I732">
            <v>803</v>
          </cell>
          <cell r="J732">
            <v>1573</v>
          </cell>
          <cell r="K732">
            <v>0.2</v>
          </cell>
          <cell r="L732">
            <v>0.6</v>
          </cell>
          <cell r="M732">
            <v>0.8</v>
          </cell>
          <cell r="N732">
            <v>1.05</v>
          </cell>
          <cell r="O732">
            <v>1.1000000000000001</v>
          </cell>
          <cell r="P732">
            <v>1.1499999999999999</v>
          </cell>
          <cell r="Q732" t="str">
            <v>INTERIOR</v>
          </cell>
          <cell r="R732">
            <v>4</v>
          </cell>
          <cell r="S732">
            <v>6</v>
          </cell>
          <cell r="T732" t="str">
            <v>Ciudad principal</v>
          </cell>
          <cell r="U732" t="str">
            <v>Entry Production Color Low/Mid</v>
          </cell>
          <cell r="V732" t="str">
            <v>XEROX MEXICANA SA DE CV / XEROX MEXICANA</v>
          </cell>
          <cell r="W732" t="str">
            <v>GUANAJUATO</v>
          </cell>
          <cell r="X732">
            <v>2019</v>
          </cell>
          <cell r="Y732" t="str">
            <v>Qtr 2</v>
          </cell>
          <cell r="Z732" t="str">
            <v>April</v>
          </cell>
          <cell r="AA732">
            <v>25</v>
          </cell>
          <cell r="AB732">
            <v>59</v>
          </cell>
          <cell r="AC732">
            <v>1.1000000000000001</v>
          </cell>
          <cell r="AD732">
            <v>0.23333332500000001</v>
          </cell>
          <cell r="AE732">
            <v>1730.3</v>
          </cell>
        </row>
        <row r="733">
          <cell r="A733" t="str">
            <v>0Y2B003348</v>
          </cell>
          <cell r="B733">
            <v>2019</v>
          </cell>
          <cell r="C733" t="str">
            <v>Qtr 2</v>
          </cell>
          <cell r="D733" t="str">
            <v>April</v>
          </cell>
          <cell r="E733">
            <v>25</v>
          </cell>
          <cell r="F733" t="str">
            <v>CORRECTIVO</v>
          </cell>
          <cell r="G733">
            <v>1.5</v>
          </cell>
          <cell r="H733" t="str">
            <v>Departmental Digital</v>
          </cell>
          <cell r="I733">
            <v>655</v>
          </cell>
          <cell r="J733">
            <v>1365</v>
          </cell>
          <cell r="K733">
            <v>0</v>
          </cell>
          <cell r="L733">
            <v>0</v>
          </cell>
          <cell r="M733">
            <v>0.6</v>
          </cell>
          <cell r="N733">
            <v>0.8</v>
          </cell>
          <cell r="O733">
            <v>1.05</v>
          </cell>
          <cell r="P733">
            <v>1.1000000000000001</v>
          </cell>
          <cell r="Q733" t="str">
            <v>INTERIOR</v>
          </cell>
          <cell r="R733">
            <v>5</v>
          </cell>
          <cell r="S733">
            <v>9</v>
          </cell>
          <cell r="T733" t="str">
            <v>Ciudad principal</v>
          </cell>
          <cell r="U733" t="str">
            <v>Departmental Digital</v>
          </cell>
          <cell r="V733" t="str">
            <v>XEROX MEXICANA SA DE CV / XEROX MEXICANA</v>
          </cell>
          <cell r="W733" t="str">
            <v>CHIHUAHUA</v>
          </cell>
          <cell r="X733">
            <v>2019</v>
          </cell>
          <cell r="Y733" t="str">
            <v>Qtr 2</v>
          </cell>
          <cell r="Z733" t="str">
            <v>April</v>
          </cell>
          <cell r="AA733">
            <v>25</v>
          </cell>
          <cell r="AB733">
            <v>42</v>
          </cell>
          <cell r="AC733">
            <v>1.05</v>
          </cell>
          <cell r="AD733">
            <v>0.3</v>
          </cell>
          <cell r="AE733">
            <v>1433.25</v>
          </cell>
        </row>
        <row r="734">
          <cell r="A734" t="str">
            <v>03AG879576</v>
          </cell>
          <cell r="B734">
            <v>2019</v>
          </cell>
          <cell r="C734" t="str">
            <v>Qtr 2</v>
          </cell>
          <cell r="D734" t="str">
            <v>April</v>
          </cell>
          <cell r="E734">
            <v>26</v>
          </cell>
          <cell r="F734" t="str">
            <v>CORRECTIVO</v>
          </cell>
          <cell r="G734">
            <v>0.86666670000000001</v>
          </cell>
          <cell r="H734" t="str">
            <v>Departmental Digital</v>
          </cell>
          <cell r="I734">
            <v>655</v>
          </cell>
          <cell r="J734">
            <v>1365</v>
          </cell>
          <cell r="K734">
            <v>0</v>
          </cell>
          <cell r="L734">
            <v>0</v>
          </cell>
          <cell r="M734">
            <v>0.6</v>
          </cell>
          <cell r="N734">
            <v>0.8</v>
          </cell>
          <cell r="O734">
            <v>1.05</v>
          </cell>
          <cell r="P734">
            <v>1.1000000000000001</v>
          </cell>
          <cell r="Q734" t="str">
            <v>INTERIOR</v>
          </cell>
          <cell r="R734">
            <v>5</v>
          </cell>
          <cell r="S734">
            <v>9</v>
          </cell>
          <cell r="T734" t="str">
            <v>Ciudad principal</v>
          </cell>
          <cell r="U734" t="str">
            <v>Light Production Digital Business</v>
          </cell>
          <cell r="V734" t="str">
            <v>XEROX MEXICANA SA DE CV / XEROX MEXICANA</v>
          </cell>
          <cell r="W734" t="str">
            <v>GUANAJUATO</v>
          </cell>
          <cell r="X734">
            <v>2019</v>
          </cell>
          <cell r="Y734" t="str">
            <v>Qtr 2</v>
          </cell>
          <cell r="Z734" t="str">
            <v>April</v>
          </cell>
          <cell r="AA734">
            <v>26</v>
          </cell>
          <cell r="AB734">
            <v>33</v>
          </cell>
          <cell r="AC734">
            <v>1.05</v>
          </cell>
          <cell r="AD734">
            <v>0.17333334</v>
          </cell>
          <cell r="AE734">
            <v>1433.25</v>
          </cell>
        </row>
        <row r="735">
          <cell r="A735" t="str">
            <v>03AG880297</v>
          </cell>
          <cell r="B735">
            <v>2019</v>
          </cell>
          <cell r="C735" t="str">
            <v>Qtr 2</v>
          </cell>
          <cell r="D735" t="str">
            <v>April</v>
          </cell>
          <cell r="E735">
            <v>26</v>
          </cell>
          <cell r="F735" t="str">
            <v>CORRECTIVO</v>
          </cell>
          <cell r="G735">
            <v>1.733333</v>
          </cell>
          <cell r="H735" t="str">
            <v>Departmental Digital</v>
          </cell>
          <cell r="I735">
            <v>655</v>
          </cell>
          <cell r="J735">
            <v>1365</v>
          </cell>
          <cell r="K735">
            <v>0</v>
          </cell>
          <cell r="L735">
            <v>0</v>
          </cell>
          <cell r="M735">
            <v>0.6</v>
          </cell>
          <cell r="N735">
            <v>0.8</v>
          </cell>
          <cell r="O735">
            <v>1.05</v>
          </cell>
          <cell r="P735">
            <v>1.1000000000000001</v>
          </cell>
          <cell r="Q735" t="str">
            <v>INTERIOR</v>
          </cell>
          <cell r="R735">
            <v>5</v>
          </cell>
          <cell r="S735">
            <v>9</v>
          </cell>
          <cell r="T735" t="str">
            <v>Ciudad principal</v>
          </cell>
          <cell r="U735" t="str">
            <v>Light Production Digital Business</v>
          </cell>
          <cell r="V735" t="str">
            <v>XEROX MEXICANA SA DE CV / XEROX MEXICANA</v>
          </cell>
          <cell r="W735" t="str">
            <v>JALISCO</v>
          </cell>
          <cell r="X735">
            <v>2019</v>
          </cell>
          <cell r="Y735" t="str">
            <v>Qtr 2</v>
          </cell>
          <cell r="Z735" t="str">
            <v>April</v>
          </cell>
          <cell r="AA735">
            <v>26</v>
          </cell>
          <cell r="AB735">
            <v>11</v>
          </cell>
          <cell r="AC735">
            <v>0.6</v>
          </cell>
          <cell r="AD735">
            <v>0.34666659999999999</v>
          </cell>
          <cell r="AE735">
            <v>819</v>
          </cell>
        </row>
        <row r="736">
          <cell r="A736" t="str">
            <v>07CX043423</v>
          </cell>
          <cell r="B736">
            <v>2019</v>
          </cell>
          <cell r="C736" t="str">
            <v>Qtr 2</v>
          </cell>
          <cell r="D736" t="str">
            <v>April</v>
          </cell>
          <cell r="E736">
            <v>26</v>
          </cell>
          <cell r="F736" t="str">
            <v>CORRECTIVO</v>
          </cell>
          <cell r="G736">
            <v>0.13333329999999999</v>
          </cell>
          <cell r="H736" t="str">
            <v>Office Digital</v>
          </cell>
          <cell r="I736">
            <v>655</v>
          </cell>
          <cell r="J736">
            <v>1365</v>
          </cell>
          <cell r="K736">
            <v>0</v>
          </cell>
          <cell r="L736">
            <v>0</v>
          </cell>
          <cell r="M736">
            <v>0.6</v>
          </cell>
          <cell r="N736">
            <v>0.8</v>
          </cell>
          <cell r="O736">
            <v>1.05</v>
          </cell>
          <cell r="P736">
            <v>1.1000000000000001</v>
          </cell>
          <cell r="Q736" t="str">
            <v>INTERIOR</v>
          </cell>
          <cell r="R736">
            <v>5</v>
          </cell>
          <cell r="S736">
            <v>9</v>
          </cell>
          <cell r="T736" t="str">
            <v>Ciudad principal</v>
          </cell>
          <cell r="U736" t="str">
            <v>A3 Office Color Laser MFPs</v>
          </cell>
          <cell r="V736" t="str">
            <v>XEROX MEXICANA SA DE CV / XEROX MEXICANA</v>
          </cell>
          <cell r="W736" t="str">
            <v>TAMAULIPAS</v>
          </cell>
          <cell r="X736">
            <v>2019</v>
          </cell>
          <cell r="Y736" t="str">
            <v>Qtr 2</v>
          </cell>
          <cell r="Z736" t="str">
            <v>April</v>
          </cell>
          <cell r="AA736">
            <v>29</v>
          </cell>
          <cell r="AB736">
            <v>4</v>
          </cell>
          <cell r="AC736">
            <v>0</v>
          </cell>
          <cell r="AD736">
            <v>2.6666659999999998E-2</v>
          </cell>
          <cell r="AE736">
            <v>0</v>
          </cell>
        </row>
        <row r="737">
          <cell r="A737" t="str">
            <v>09HB317209</v>
          </cell>
          <cell r="B737">
            <v>2019</v>
          </cell>
          <cell r="C737" t="str">
            <v>Qtr 2</v>
          </cell>
          <cell r="D737" t="str">
            <v>April</v>
          </cell>
          <cell r="E737">
            <v>26</v>
          </cell>
          <cell r="F737" t="str">
            <v>CORRECTIVO</v>
          </cell>
          <cell r="G737">
            <v>1.066667</v>
          </cell>
          <cell r="H737" t="str">
            <v>A4 Mono MFPs</v>
          </cell>
          <cell r="I737">
            <v>468</v>
          </cell>
          <cell r="J737">
            <v>715</v>
          </cell>
          <cell r="K737">
            <v>0</v>
          </cell>
          <cell r="L737">
            <v>0</v>
          </cell>
          <cell r="M737">
            <v>0</v>
          </cell>
          <cell r="N737">
            <v>0.6</v>
          </cell>
          <cell r="O737">
            <v>0.8</v>
          </cell>
          <cell r="P737">
            <v>1.05</v>
          </cell>
          <cell r="Q737" t="str">
            <v>INTERIOR</v>
          </cell>
          <cell r="R737">
            <v>5</v>
          </cell>
          <cell r="S737">
            <v>9</v>
          </cell>
          <cell r="T737" t="str">
            <v>Ciudad principal</v>
          </cell>
          <cell r="U737" t="str">
            <v>A4 Mono MFPs</v>
          </cell>
          <cell r="V737" t="str">
            <v>XEROX MEXICANA SA DE CV / XEROX MEXICANA</v>
          </cell>
          <cell r="W737" t="str">
            <v>NUEVO LEON</v>
          </cell>
          <cell r="X737">
            <v>2019</v>
          </cell>
          <cell r="Y737" t="str">
            <v>Qtr 2</v>
          </cell>
          <cell r="Z737" t="str">
            <v>April</v>
          </cell>
          <cell r="AA737">
            <v>26</v>
          </cell>
          <cell r="AB737">
            <v>3</v>
          </cell>
          <cell r="AC737">
            <v>0</v>
          </cell>
          <cell r="AD737">
            <v>0.21333340000000001</v>
          </cell>
          <cell r="AE737">
            <v>0</v>
          </cell>
        </row>
        <row r="738">
          <cell r="A738" t="str">
            <v>09HB321623</v>
          </cell>
          <cell r="B738">
            <v>2019</v>
          </cell>
          <cell r="C738" t="str">
            <v>Qtr 2</v>
          </cell>
          <cell r="D738" t="str">
            <v>April</v>
          </cell>
          <cell r="E738">
            <v>26</v>
          </cell>
          <cell r="F738" t="str">
            <v>CORRECTIVO</v>
          </cell>
          <cell r="G738">
            <v>0.76666670000000003</v>
          </cell>
          <cell r="H738" t="str">
            <v>A4 Mono MFPs</v>
          </cell>
          <cell r="I738">
            <v>468</v>
          </cell>
          <cell r="J738">
            <v>715</v>
          </cell>
          <cell r="K738">
            <v>0</v>
          </cell>
          <cell r="L738">
            <v>0</v>
          </cell>
          <cell r="M738">
            <v>0</v>
          </cell>
          <cell r="N738">
            <v>0.6</v>
          </cell>
          <cell r="O738">
            <v>0.8</v>
          </cell>
          <cell r="P738">
            <v>1.05</v>
          </cell>
          <cell r="Q738" t="str">
            <v>INTERIOR</v>
          </cell>
          <cell r="R738">
            <v>5</v>
          </cell>
          <cell r="S738">
            <v>9</v>
          </cell>
          <cell r="T738" t="str">
            <v>Ciudad principal</v>
          </cell>
          <cell r="U738" t="str">
            <v>A4 Mono MFPs</v>
          </cell>
          <cell r="V738" t="str">
            <v>XEROX MEXICANA SA DE CV / XEROX MEXICANA</v>
          </cell>
          <cell r="W738" t="str">
            <v>NUEVO LEON</v>
          </cell>
          <cell r="X738">
            <v>2019</v>
          </cell>
          <cell r="Y738" t="str">
            <v>Qtr 2</v>
          </cell>
          <cell r="Z738" t="str">
            <v>April</v>
          </cell>
          <cell r="AA738">
            <v>26</v>
          </cell>
          <cell r="AB738">
            <v>84</v>
          </cell>
          <cell r="AC738">
            <v>1.05</v>
          </cell>
          <cell r="AD738">
            <v>0.15333334000000001</v>
          </cell>
          <cell r="AE738">
            <v>750.75</v>
          </cell>
        </row>
        <row r="739">
          <cell r="A739" t="str">
            <v>0A4T557980</v>
          </cell>
          <cell r="B739">
            <v>2019</v>
          </cell>
          <cell r="C739" t="str">
            <v>Qtr 2</v>
          </cell>
          <cell r="D739" t="str">
            <v>April</v>
          </cell>
          <cell r="E739">
            <v>26</v>
          </cell>
          <cell r="F739" t="str">
            <v>CORRECTIVO</v>
          </cell>
          <cell r="G739">
            <v>0.28333330000000001</v>
          </cell>
          <cell r="H739" t="str">
            <v>Entry Mono Printers</v>
          </cell>
          <cell r="I739">
            <v>468</v>
          </cell>
          <cell r="J739">
            <v>715</v>
          </cell>
          <cell r="K739">
            <v>0</v>
          </cell>
          <cell r="L739">
            <v>0</v>
          </cell>
          <cell r="M739">
            <v>0</v>
          </cell>
          <cell r="N739">
            <v>0.6</v>
          </cell>
          <cell r="O739">
            <v>0.8</v>
          </cell>
          <cell r="P739">
            <v>1.05</v>
          </cell>
          <cell r="Q739" t="str">
            <v>INTERIOR</v>
          </cell>
          <cell r="R739">
            <v>5</v>
          </cell>
          <cell r="S739">
            <v>9</v>
          </cell>
          <cell r="T739" t="str">
            <v>Ciudad principal</v>
          </cell>
          <cell r="U739" t="str">
            <v>A4 Mono MFPs</v>
          </cell>
          <cell r="V739" t="str">
            <v>XEROX MEXICANA SA DE CV / XEROX MEXICANA</v>
          </cell>
          <cell r="W739" t="str">
            <v>JALISCO</v>
          </cell>
          <cell r="X739">
            <v>2019</v>
          </cell>
          <cell r="Y739" t="str">
            <v>Qtr 2</v>
          </cell>
          <cell r="Z739" t="str">
            <v>April</v>
          </cell>
          <cell r="AA739">
            <v>29</v>
          </cell>
          <cell r="AB739">
            <v>179</v>
          </cell>
          <cell r="AC739">
            <v>1.05</v>
          </cell>
          <cell r="AD739">
            <v>5.6666660000000001E-2</v>
          </cell>
          <cell r="AE739">
            <v>750.75</v>
          </cell>
        </row>
        <row r="740">
          <cell r="A740" t="str">
            <v>0A4T558519</v>
          </cell>
          <cell r="B740">
            <v>2019</v>
          </cell>
          <cell r="C740" t="str">
            <v>Qtr 2</v>
          </cell>
          <cell r="D740" t="str">
            <v>April</v>
          </cell>
          <cell r="E740">
            <v>26</v>
          </cell>
          <cell r="F740" t="str">
            <v>CORRECTIVO</v>
          </cell>
          <cell r="G740">
            <v>2.266667</v>
          </cell>
          <cell r="H740" t="str">
            <v>Entry Mono Printers</v>
          </cell>
          <cell r="I740">
            <v>468</v>
          </cell>
          <cell r="J740">
            <v>715</v>
          </cell>
          <cell r="K740">
            <v>0</v>
          </cell>
          <cell r="L740">
            <v>0</v>
          </cell>
          <cell r="M740">
            <v>0</v>
          </cell>
          <cell r="N740">
            <v>0.6</v>
          </cell>
          <cell r="O740">
            <v>0.8</v>
          </cell>
          <cell r="P740">
            <v>1.05</v>
          </cell>
          <cell r="Q740" t="str">
            <v>INTERIOR</v>
          </cell>
          <cell r="R740">
            <v>5</v>
          </cell>
          <cell r="S740">
            <v>9</v>
          </cell>
          <cell r="T740" t="str">
            <v>Ciudad principal</v>
          </cell>
          <cell r="U740" t="str">
            <v>A4 Mono MFPs</v>
          </cell>
          <cell r="V740" t="str">
            <v>XEROX MEXICANA SA DE CV / XEROX MEXICANA</v>
          </cell>
          <cell r="W740" t="str">
            <v>JALISCO</v>
          </cell>
          <cell r="X740">
            <v>2019</v>
          </cell>
          <cell r="Y740" t="str">
            <v>Qtr 2</v>
          </cell>
          <cell r="Z740" t="str">
            <v>April</v>
          </cell>
          <cell r="AA740">
            <v>29</v>
          </cell>
          <cell r="AB740">
            <v>395</v>
          </cell>
          <cell r="AC740">
            <v>1.05</v>
          </cell>
          <cell r="AD740">
            <v>0.4533334</v>
          </cell>
          <cell r="AE740">
            <v>750.75</v>
          </cell>
        </row>
        <row r="741">
          <cell r="A741" t="str">
            <v>0BG2939611</v>
          </cell>
          <cell r="B741">
            <v>2019</v>
          </cell>
          <cell r="C741" t="str">
            <v>Qtr 2</v>
          </cell>
          <cell r="D741" t="str">
            <v>April</v>
          </cell>
          <cell r="E741">
            <v>26</v>
          </cell>
          <cell r="F741" t="str">
            <v>MANTENIMIENTO PREVENTIVO</v>
          </cell>
          <cell r="G741">
            <v>0</v>
          </cell>
          <cell r="H741" t="str">
            <v>Light Production Digital Business</v>
          </cell>
          <cell r="I741">
            <v>803</v>
          </cell>
          <cell r="J741">
            <v>1573</v>
          </cell>
          <cell r="K741">
            <v>0.2</v>
          </cell>
          <cell r="L741">
            <v>0.6</v>
          </cell>
          <cell r="M741">
            <v>0.8</v>
          </cell>
          <cell r="N741">
            <v>1.05</v>
          </cell>
          <cell r="O741">
            <v>1.1000000000000001</v>
          </cell>
          <cell r="P741">
            <v>1.1499999999999999</v>
          </cell>
          <cell r="Q741" t="str">
            <v>INTERIOR</v>
          </cell>
          <cell r="R741">
            <v>4</v>
          </cell>
          <cell r="S741">
            <v>6</v>
          </cell>
          <cell r="T741" t="str">
            <v>Ciudad principal</v>
          </cell>
          <cell r="U741" t="str">
            <v>High End Cut Sheet</v>
          </cell>
          <cell r="V741" t="str">
            <v>XEROX MEXICANA SA DE CV / XEROX MEXICANA</v>
          </cell>
          <cell r="W741" t="str">
            <v>TAMAULIPAS</v>
          </cell>
          <cell r="X741">
            <v>2019</v>
          </cell>
          <cell r="Y741" t="str">
            <v>Qtr 2</v>
          </cell>
          <cell r="Z741" t="str">
            <v>April</v>
          </cell>
          <cell r="AA741">
            <v>26</v>
          </cell>
          <cell r="AB741">
            <v>3</v>
          </cell>
          <cell r="AC741">
            <v>0</v>
          </cell>
          <cell r="AD741">
            <v>0</v>
          </cell>
          <cell r="AE741">
            <v>1573</v>
          </cell>
        </row>
        <row r="742">
          <cell r="A742" t="str">
            <v>0BG2946393</v>
          </cell>
          <cell r="B742">
            <v>2019</v>
          </cell>
          <cell r="C742" t="str">
            <v>Qtr 2</v>
          </cell>
          <cell r="D742" t="str">
            <v>April</v>
          </cell>
          <cell r="E742">
            <v>26</v>
          </cell>
          <cell r="F742" t="str">
            <v>CORRECTIVO</v>
          </cell>
          <cell r="G742">
            <v>0.53333339999999996</v>
          </cell>
          <cell r="H742" t="str">
            <v>Light Production Digital Business</v>
          </cell>
          <cell r="I742">
            <v>803</v>
          </cell>
          <cell r="J742">
            <v>1573</v>
          </cell>
          <cell r="K742">
            <v>0.2</v>
          </cell>
          <cell r="L742">
            <v>0.6</v>
          </cell>
          <cell r="M742">
            <v>0.8</v>
          </cell>
          <cell r="N742">
            <v>1.05</v>
          </cell>
          <cell r="O742">
            <v>1.1000000000000001</v>
          </cell>
          <cell r="P742">
            <v>1.1499999999999999</v>
          </cell>
          <cell r="Q742" t="str">
            <v>INTERIOR</v>
          </cell>
          <cell r="R742">
            <v>4</v>
          </cell>
          <cell r="S742">
            <v>6</v>
          </cell>
          <cell r="T742" t="str">
            <v>Ciudad principal</v>
          </cell>
          <cell r="U742" t="str">
            <v>High End Cut Sheet</v>
          </cell>
          <cell r="V742" t="str">
            <v>XEROX MEXICANA SA DE CV / XEROX MEXICANA</v>
          </cell>
          <cell r="W742" t="str">
            <v>GUANAJUATO</v>
          </cell>
          <cell r="X742">
            <v>2019</v>
          </cell>
          <cell r="Y742" t="str">
            <v>Qtr 2</v>
          </cell>
          <cell r="Z742" t="str">
            <v>April</v>
          </cell>
          <cell r="AA742">
            <v>26</v>
          </cell>
          <cell r="AB742">
            <v>31</v>
          </cell>
          <cell r="AC742">
            <v>1.1000000000000001</v>
          </cell>
          <cell r="AD742">
            <v>0.13333334999999999</v>
          </cell>
          <cell r="AE742">
            <v>1730.3</v>
          </cell>
        </row>
        <row r="743">
          <cell r="A743" t="str">
            <v>0BG2948799</v>
          </cell>
          <cell r="B743">
            <v>2019</v>
          </cell>
          <cell r="C743" t="str">
            <v>Qtr 2</v>
          </cell>
          <cell r="D743" t="str">
            <v>April</v>
          </cell>
          <cell r="E743">
            <v>26</v>
          </cell>
          <cell r="F743" t="str">
            <v>CORRECTIVO</v>
          </cell>
          <cell r="G743">
            <v>2.95</v>
          </cell>
          <cell r="H743" t="str">
            <v>Light Production Digital Business</v>
          </cell>
          <cell r="I743">
            <v>803</v>
          </cell>
          <cell r="J743">
            <v>1573</v>
          </cell>
          <cell r="K743">
            <v>0.2</v>
          </cell>
          <cell r="L743">
            <v>0.6</v>
          </cell>
          <cell r="M743">
            <v>0.8</v>
          </cell>
          <cell r="N743">
            <v>1.05</v>
          </cell>
          <cell r="O743">
            <v>1.1000000000000001</v>
          </cell>
          <cell r="P743">
            <v>1.1499999999999999</v>
          </cell>
          <cell r="Q743" t="str">
            <v>INTERIOR</v>
          </cell>
          <cell r="R743">
            <v>4</v>
          </cell>
          <cell r="S743">
            <v>6</v>
          </cell>
          <cell r="T743" t="str">
            <v>Ciudad principal</v>
          </cell>
          <cell r="U743" t="str">
            <v>High End Cut Sheet</v>
          </cell>
          <cell r="V743" t="str">
            <v>XEROX MEXICANA SA DE CV / XEROX MEXICANA</v>
          </cell>
          <cell r="W743" t="str">
            <v>JALISCO</v>
          </cell>
          <cell r="X743">
            <v>2019</v>
          </cell>
          <cell r="Y743" t="str">
            <v>Qtr 2</v>
          </cell>
          <cell r="Z743" t="str">
            <v>April</v>
          </cell>
          <cell r="AA743">
            <v>26</v>
          </cell>
          <cell r="AB743">
            <v>2</v>
          </cell>
          <cell r="AC743">
            <v>0.2</v>
          </cell>
          <cell r="AD743">
            <v>0.73750000000000004</v>
          </cell>
          <cell r="AE743">
            <v>314.60000000000002</v>
          </cell>
        </row>
        <row r="744">
          <cell r="A744" t="str">
            <v>0BG2951498</v>
          </cell>
          <cell r="B744">
            <v>2019</v>
          </cell>
          <cell r="C744" t="str">
            <v>Qtr 2</v>
          </cell>
          <cell r="D744" t="str">
            <v>April</v>
          </cell>
          <cell r="E744">
            <v>26</v>
          </cell>
          <cell r="F744" t="str">
            <v>CORRECTIVO</v>
          </cell>
          <cell r="G744">
            <v>0.1833333</v>
          </cell>
          <cell r="H744" t="str">
            <v>Light Production Digital Business</v>
          </cell>
          <cell r="I744">
            <v>803</v>
          </cell>
          <cell r="J744">
            <v>1573</v>
          </cell>
          <cell r="K744">
            <v>0.2</v>
          </cell>
          <cell r="L744">
            <v>0.6</v>
          </cell>
          <cell r="M744">
            <v>0.8</v>
          </cell>
          <cell r="N744">
            <v>1.05</v>
          </cell>
          <cell r="O744">
            <v>1.1000000000000001</v>
          </cell>
          <cell r="P744">
            <v>1.1499999999999999</v>
          </cell>
          <cell r="Q744" t="str">
            <v>INTERIOR</v>
          </cell>
          <cell r="R744">
            <v>4</v>
          </cell>
          <cell r="S744">
            <v>6</v>
          </cell>
          <cell r="T744" t="str">
            <v>Ciudad principal</v>
          </cell>
          <cell r="U744" t="str">
            <v>High End Cut Sheet</v>
          </cell>
          <cell r="V744" t="str">
            <v>XEROX MEXICANA SA DE CV / XEROX MEXICANA</v>
          </cell>
          <cell r="W744" t="str">
            <v>DURANGO</v>
          </cell>
          <cell r="X744">
            <v>2019</v>
          </cell>
          <cell r="Y744" t="str">
            <v>Qtr 2</v>
          </cell>
          <cell r="Z744" t="str">
            <v>April</v>
          </cell>
          <cell r="AA744">
            <v>26</v>
          </cell>
          <cell r="AB744">
            <v>11</v>
          </cell>
          <cell r="AC744">
            <v>0.8</v>
          </cell>
          <cell r="AD744">
            <v>4.5833325000000001E-2</v>
          </cell>
          <cell r="AE744">
            <v>1258.4000000000001</v>
          </cell>
        </row>
        <row r="745">
          <cell r="A745" t="str">
            <v>0C4X011100</v>
          </cell>
          <cell r="B745">
            <v>2019</v>
          </cell>
          <cell r="C745" t="str">
            <v>Qtr 2</v>
          </cell>
          <cell r="D745" t="str">
            <v>April</v>
          </cell>
          <cell r="E745">
            <v>26</v>
          </cell>
          <cell r="F745" t="str">
            <v>CORRECTIVO</v>
          </cell>
          <cell r="G745">
            <v>3.266667</v>
          </cell>
          <cell r="H745" t="str">
            <v>A4 Mono MFPs</v>
          </cell>
          <cell r="I745">
            <v>468</v>
          </cell>
          <cell r="J745">
            <v>715</v>
          </cell>
          <cell r="K745">
            <v>0</v>
          </cell>
          <cell r="L745">
            <v>0</v>
          </cell>
          <cell r="M745">
            <v>0</v>
          </cell>
          <cell r="N745">
            <v>0.6</v>
          </cell>
          <cell r="O745">
            <v>0.8</v>
          </cell>
          <cell r="P745">
            <v>1.05</v>
          </cell>
          <cell r="Q745" t="str">
            <v>INTERIOR</v>
          </cell>
          <cell r="R745">
            <v>5</v>
          </cell>
          <cell r="S745">
            <v>9</v>
          </cell>
          <cell r="T745" t="str">
            <v>Ciudad principal</v>
          </cell>
          <cell r="U745" t="str">
            <v>A4 Mono MFPs</v>
          </cell>
          <cell r="V745" t="str">
            <v>XEROX MEXICANA SA DE CV / XEROX MEXICANA</v>
          </cell>
          <cell r="W745" t="str">
            <v>QUERETARO</v>
          </cell>
          <cell r="X745">
            <v>2019</v>
          </cell>
          <cell r="Y745" t="str">
            <v>Qtr 2</v>
          </cell>
          <cell r="Z745" t="str">
            <v>April</v>
          </cell>
          <cell r="AA745">
            <v>26</v>
          </cell>
          <cell r="AB745">
            <v>105</v>
          </cell>
          <cell r="AC745">
            <v>1.05</v>
          </cell>
          <cell r="AD745">
            <v>0.65333339999999995</v>
          </cell>
          <cell r="AE745">
            <v>750.75</v>
          </cell>
        </row>
        <row r="746">
          <cell r="A746" t="str">
            <v>0D6X463460</v>
          </cell>
          <cell r="B746">
            <v>2019</v>
          </cell>
          <cell r="C746" t="str">
            <v>Qtr 2</v>
          </cell>
          <cell r="D746" t="str">
            <v>April</v>
          </cell>
          <cell r="E746">
            <v>26</v>
          </cell>
          <cell r="F746" t="str">
            <v>CORRECTIVO</v>
          </cell>
          <cell r="G746">
            <v>0</v>
          </cell>
          <cell r="H746" t="str">
            <v>Entry Mono Printers</v>
          </cell>
          <cell r="I746">
            <v>468</v>
          </cell>
          <cell r="J746">
            <v>715</v>
          </cell>
          <cell r="K746">
            <v>0</v>
          </cell>
          <cell r="L746">
            <v>0</v>
          </cell>
          <cell r="M746">
            <v>0</v>
          </cell>
          <cell r="N746">
            <v>0.6</v>
          </cell>
          <cell r="O746">
            <v>0.8</v>
          </cell>
          <cell r="P746">
            <v>1.05</v>
          </cell>
          <cell r="Q746" t="str">
            <v>INTERIOR</v>
          </cell>
          <cell r="R746">
            <v>5</v>
          </cell>
          <cell r="S746">
            <v>9</v>
          </cell>
          <cell r="T746" t="str">
            <v>Ciudad principal</v>
          </cell>
          <cell r="U746" t="str">
            <v>Entry Mono Printers</v>
          </cell>
          <cell r="V746" t="str">
            <v>XEROX MEXICANA SA DE CV / XEROX MEXICANA</v>
          </cell>
          <cell r="W746" t="str">
            <v>CHIHUAHUA</v>
          </cell>
          <cell r="X746">
            <v>2019</v>
          </cell>
          <cell r="Y746" t="str">
            <v>Qtr 2</v>
          </cell>
          <cell r="Z746" t="str">
            <v>April</v>
          </cell>
          <cell r="AA746">
            <v>30</v>
          </cell>
          <cell r="AB746">
            <v>255</v>
          </cell>
          <cell r="AC746">
            <v>1.05</v>
          </cell>
          <cell r="AD746">
            <v>0</v>
          </cell>
          <cell r="AE746">
            <v>750.75</v>
          </cell>
        </row>
        <row r="747">
          <cell r="A747" t="str">
            <v>0E2B646616</v>
          </cell>
          <cell r="B747">
            <v>2019</v>
          </cell>
          <cell r="C747" t="str">
            <v>Qtr 2</v>
          </cell>
          <cell r="D747" t="str">
            <v>April</v>
          </cell>
          <cell r="E747">
            <v>26</v>
          </cell>
          <cell r="F747" t="str">
            <v>CORRECTIVO</v>
          </cell>
          <cell r="G747">
            <v>1.1666669999999999</v>
          </cell>
          <cell r="H747" t="str">
            <v>Entry Production Color Low/Mid</v>
          </cell>
          <cell r="I747">
            <v>803</v>
          </cell>
          <cell r="J747">
            <v>1573</v>
          </cell>
          <cell r="K747">
            <v>0.2</v>
          </cell>
          <cell r="L747">
            <v>0.6</v>
          </cell>
          <cell r="M747">
            <v>0.8</v>
          </cell>
          <cell r="N747">
            <v>1.05</v>
          </cell>
          <cell r="O747">
            <v>1.1000000000000001</v>
          </cell>
          <cell r="P747">
            <v>1.1499999999999999</v>
          </cell>
          <cell r="Q747" t="str">
            <v>INTERIOR</v>
          </cell>
          <cell r="R747">
            <v>4</v>
          </cell>
          <cell r="S747">
            <v>6</v>
          </cell>
          <cell r="T747" t="str">
            <v>Ciudad principal</v>
          </cell>
          <cell r="U747" t="str">
            <v>Entry Production Color Low/Mid</v>
          </cell>
          <cell r="V747" t="str">
            <v>XEROX MEXICANA SA DE CV / XEROX MEXICANA</v>
          </cell>
          <cell r="W747" t="str">
            <v>JALISCO</v>
          </cell>
          <cell r="X747">
            <v>2019</v>
          </cell>
          <cell r="Y747" t="str">
            <v>Qtr 2</v>
          </cell>
          <cell r="Z747" t="str">
            <v>April</v>
          </cell>
          <cell r="AA747">
            <v>29</v>
          </cell>
          <cell r="AB747">
            <v>24</v>
          </cell>
          <cell r="AC747">
            <v>1.05</v>
          </cell>
          <cell r="AD747">
            <v>0.29166674999999997</v>
          </cell>
          <cell r="AE747">
            <v>1651.65</v>
          </cell>
        </row>
        <row r="748">
          <cell r="A748" t="str">
            <v>0E2B665884</v>
          </cell>
          <cell r="B748">
            <v>2019</v>
          </cell>
          <cell r="C748" t="str">
            <v>Qtr 2</v>
          </cell>
          <cell r="D748" t="str">
            <v>April</v>
          </cell>
          <cell r="E748">
            <v>26</v>
          </cell>
          <cell r="F748" t="str">
            <v>CORRECTIVO</v>
          </cell>
          <cell r="G748">
            <v>2.8833329999999999</v>
          </cell>
          <cell r="H748" t="str">
            <v>Entry Production Color Low/Mid</v>
          </cell>
          <cell r="I748">
            <v>803</v>
          </cell>
          <cell r="J748">
            <v>1573</v>
          </cell>
          <cell r="K748">
            <v>0.2</v>
          </cell>
          <cell r="L748">
            <v>0.6</v>
          </cell>
          <cell r="M748">
            <v>0.8</v>
          </cell>
          <cell r="N748">
            <v>1.05</v>
          </cell>
          <cell r="O748">
            <v>1.1000000000000001</v>
          </cell>
          <cell r="P748">
            <v>1.1499999999999999</v>
          </cell>
          <cell r="Q748" t="str">
            <v>INTERIOR</v>
          </cell>
          <cell r="R748">
            <v>4</v>
          </cell>
          <cell r="S748">
            <v>6</v>
          </cell>
          <cell r="T748" t="str">
            <v>Ciudad principal</v>
          </cell>
          <cell r="U748" t="str">
            <v>Entry Production Color Low/Mid</v>
          </cell>
          <cell r="V748" t="str">
            <v>XEROX MEXICANA SA DE CV / XEROX MEXICANA</v>
          </cell>
          <cell r="W748" t="str">
            <v>JALISCO</v>
          </cell>
          <cell r="X748">
            <v>2019</v>
          </cell>
          <cell r="Y748" t="str">
            <v>Qtr 2</v>
          </cell>
          <cell r="Z748" t="str">
            <v>April</v>
          </cell>
          <cell r="AA748">
            <v>26</v>
          </cell>
          <cell r="AB748">
            <v>44</v>
          </cell>
          <cell r="AC748">
            <v>1.1000000000000001</v>
          </cell>
          <cell r="AD748">
            <v>0.72083324999999998</v>
          </cell>
          <cell r="AE748">
            <v>1730.3</v>
          </cell>
        </row>
        <row r="749">
          <cell r="A749" t="str">
            <v>0EX9286123</v>
          </cell>
          <cell r="B749">
            <v>2019</v>
          </cell>
          <cell r="C749" t="str">
            <v>Qtr 2</v>
          </cell>
          <cell r="D749" t="str">
            <v>April</v>
          </cell>
          <cell r="E749">
            <v>26</v>
          </cell>
          <cell r="F749" t="str">
            <v>CORRECTIVO</v>
          </cell>
          <cell r="G749">
            <v>0</v>
          </cell>
          <cell r="H749" t="str">
            <v>Departmental Digital</v>
          </cell>
          <cell r="I749">
            <v>655</v>
          </cell>
          <cell r="J749">
            <v>1365</v>
          </cell>
          <cell r="K749">
            <v>0</v>
          </cell>
          <cell r="L749">
            <v>0</v>
          </cell>
          <cell r="M749">
            <v>0.6</v>
          </cell>
          <cell r="N749">
            <v>0.8</v>
          </cell>
          <cell r="O749">
            <v>1.05</v>
          </cell>
          <cell r="P749">
            <v>1.1000000000000001</v>
          </cell>
          <cell r="Q749" t="str">
            <v>INTERIOR</v>
          </cell>
          <cell r="R749">
            <v>5</v>
          </cell>
          <cell r="S749">
            <v>9</v>
          </cell>
          <cell r="T749" t="str">
            <v>Ciudad principal</v>
          </cell>
          <cell r="U749" t="str">
            <v>Departmental Digital</v>
          </cell>
          <cell r="V749" t="str">
            <v>XEROX MEXICANA SA DE CV / XEROX MEXICANA</v>
          </cell>
          <cell r="W749" t="str">
            <v>DURANGO</v>
          </cell>
          <cell r="X749">
            <v>2019</v>
          </cell>
          <cell r="Y749" t="str">
            <v>Qtr 2</v>
          </cell>
          <cell r="Z749" t="str">
            <v>April</v>
          </cell>
          <cell r="AA749">
            <v>29</v>
          </cell>
          <cell r="AB749">
            <v>2</v>
          </cell>
          <cell r="AC749">
            <v>0</v>
          </cell>
          <cell r="AD749">
            <v>0</v>
          </cell>
          <cell r="AE749">
            <v>0</v>
          </cell>
        </row>
        <row r="750">
          <cell r="A750" t="str">
            <v>0EX9293515</v>
          </cell>
          <cell r="B750">
            <v>2019</v>
          </cell>
          <cell r="C750" t="str">
            <v>Qtr 2</v>
          </cell>
          <cell r="D750" t="str">
            <v>April</v>
          </cell>
          <cell r="E750">
            <v>26</v>
          </cell>
          <cell r="F750" t="str">
            <v>CORRECTIVO</v>
          </cell>
          <cell r="G750">
            <v>2.2000000000000002</v>
          </cell>
          <cell r="H750" t="str">
            <v>Departmental Digital</v>
          </cell>
          <cell r="I750">
            <v>655</v>
          </cell>
          <cell r="J750">
            <v>1365</v>
          </cell>
          <cell r="K750">
            <v>0</v>
          </cell>
          <cell r="L750">
            <v>0</v>
          </cell>
          <cell r="M750">
            <v>0.6</v>
          </cell>
          <cell r="N750">
            <v>0.8</v>
          </cell>
          <cell r="O750">
            <v>1.05</v>
          </cell>
          <cell r="P750">
            <v>1.1000000000000001</v>
          </cell>
          <cell r="Q750" t="str">
            <v>INTERIOR</v>
          </cell>
          <cell r="R750">
            <v>5</v>
          </cell>
          <cell r="S750">
            <v>9</v>
          </cell>
          <cell r="T750" t="str">
            <v>Ciudad principal</v>
          </cell>
          <cell r="U750" t="str">
            <v>Departmental Digital</v>
          </cell>
          <cell r="V750" t="str">
            <v>XEROX MEXICANA SA DE CV / XEROX MEXICANA</v>
          </cell>
          <cell r="W750" t="str">
            <v>JALISCO</v>
          </cell>
          <cell r="X750">
            <v>2019</v>
          </cell>
          <cell r="Y750" t="str">
            <v>Qtr 2</v>
          </cell>
          <cell r="Z750" t="str">
            <v>April</v>
          </cell>
          <cell r="AA750">
            <v>30</v>
          </cell>
          <cell r="AB750">
            <v>9</v>
          </cell>
          <cell r="AC750">
            <v>0.6</v>
          </cell>
          <cell r="AD750">
            <v>0.44</v>
          </cell>
          <cell r="AE750">
            <v>819</v>
          </cell>
        </row>
        <row r="751">
          <cell r="A751" t="str">
            <v>0EX9293999</v>
          </cell>
          <cell r="B751">
            <v>2019</v>
          </cell>
          <cell r="C751" t="str">
            <v>Qtr 2</v>
          </cell>
          <cell r="D751" t="str">
            <v>April</v>
          </cell>
          <cell r="E751">
            <v>26</v>
          </cell>
          <cell r="F751" t="str">
            <v>CORRECTIVO</v>
          </cell>
          <cell r="G751">
            <v>1.1333329999999999</v>
          </cell>
          <cell r="H751" t="str">
            <v>Departmental Digital</v>
          </cell>
          <cell r="I751">
            <v>655</v>
          </cell>
          <cell r="J751">
            <v>1365</v>
          </cell>
          <cell r="K751">
            <v>0</v>
          </cell>
          <cell r="L751">
            <v>0</v>
          </cell>
          <cell r="M751">
            <v>0.6</v>
          </cell>
          <cell r="N751">
            <v>0.8</v>
          </cell>
          <cell r="O751">
            <v>1.05</v>
          </cell>
          <cell r="P751">
            <v>1.1000000000000001</v>
          </cell>
          <cell r="Q751" t="str">
            <v>INTERIOR</v>
          </cell>
          <cell r="R751">
            <v>5</v>
          </cell>
          <cell r="S751">
            <v>9</v>
          </cell>
          <cell r="T751" t="str">
            <v>Ciudad principal</v>
          </cell>
          <cell r="U751" t="str">
            <v>Departmental Digital</v>
          </cell>
          <cell r="V751" t="str">
            <v>XEROX MEXICANA SA DE CV / XEROX MEXICANA</v>
          </cell>
          <cell r="W751" t="str">
            <v>GUANAJUATO</v>
          </cell>
          <cell r="X751">
            <v>2019</v>
          </cell>
          <cell r="Y751" t="str">
            <v>Qtr 2</v>
          </cell>
          <cell r="Z751" t="str">
            <v>April</v>
          </cell>
          <cell r="AA751">
            <v>26</v>
          </cell>
          <cell r="AB751">
            <v>30</v>
          </cell>
          <cell r="AC751">
            <v>0.8</v>
          </cell>
          <cell r="AD751">
            <v>0.2266666</v>
          </cell>
          <cell r="AE751">
            <v>1092</v>
          </cell>
        </row>
        <row r="752">
          <cell r="A752" t="str">
            <v>0KPA018636</v>
          </cell>
          <cell r="B752">
            <v>2019</v>
          </cell>
          <cell r="C752" t="str">
            <v>Qtr 2</v>
          </cell>
          <cell r="D752" t="str">
            <v>April</v>
          </cell>
          <cell r="E752">
            <v>26</v>
          </cell>
          <cell r="F752" t="str">
            <v>MANTENIMIENTO PREVENTIVO</v>
          </cell>
          <cell r="G752">
            <v>0</v>
          </cell>
          <cell r="H752" t="str">
            <v>Entry Mono Printers</v>
          </cell>
          <cell r="I752">
            <v>468</v>
          </cell>
          <cell r="J752">
            <v>715</v>
          </cell>
          <cell r="K752">
            <v>0</v>
          </cell>
          <cell r="L752">
            <v>0</v>
          </cell>
          <cell r="M752">
            <v>0</v>
          </cell>
          <cell r="N752">
            <v>0.6</v>
          </cell>
          <cell r="O752">
            <v>0.8</v>
          </cell>
          <cell r="P752">
            <v>1.05</v>
          </cell>
          <cell r="Q752" t="str">
            <v>INTERIOR</v>
          </cell>
          <cell r="R752">
            <v>5</v>
          </cell>
          <cell r="S752">
            <v>9</v>
          </cell>
          <cell r="T752" t="str">
            <v>Ciudad principal</v>
          </cell>
          <cell r="U752" t="str">
            <v>Departmental Digital</v>
          </cell>
          <cell r="V752" t="str">
            <v>XEROX MEXICANA SA DE CV / XEROX MEXICANA</v>
          </cell>
          <cell r="W752" t="str">
            <v>CHIHUAHUA</v>
          </cell>
          <cell r="X752">
            <v>2019</v>
          </cell>
          <cell r="Y752" t="str">
            <v>Qtr 2</v>
          </cell>
          <cell r="Z752" t="str">
            <v>April</v>
          </cell>
          <cell r="AA752">
            <v>26</v>
          </cell>
          <cell r="AB752">
            <v>23</v>
          </cell>
          <cell r="AC752">
            <v>0</v>
          </cell>
          <cell r="AD752">
            <v>0</v>
          </cell>
          <cell r="AE752">
            <v>715</v>
          </cell>
        </row>
        <row r="753">
          <cell r="A753" t="str">
            <v>0LX7658041</v>
          </cell>
          <cell r="B753">
            <v>2019</v>
          </cell>
          <cell r="C753" t="str">
            <v>Qtr 2</v>
          </cell>
          <cell r="D753" t="str">
            <v>April</v>
          </cell>
          <cell r="E753">
            <v>26</v>
          </cell>
          <cell r="F753" t="str">
            <v>MANTENIMIENTO PREVENTIVO</v>
          </cell>
          <cell r="G753">
            <v>0</v>
          </cell>
          <cell r="H753" t="str">
            <v>A3 Office Color Laser MFPs</v>
          </cell>
          <cell r="I753">
            <v>655</v>
          </cell>
          <cell r="J753">
            <v>1365</v>
          </cell>
          <cell r="K753">
            <v>0</v>
          </cell>
          <cell r="L753">
            <v>0</v>
          </cell>
          <cell r="M753">
            <v>0.6</v>
          </cell>
          <cell r="N753">
            <v>0.8</v>
          </cell>
          <cell r="O753">
            <v>1.05</v>
          </cell>
          <cell r="P753">
            <v>1.1000000000000001</v>
          </cell>
          <cell r="Q753" t="str">
            <v>INTERIOR</v>
          </cell>
          <cell r="R753">
            <v>5</v>
          </cell>
          <cell r="S753">
            <v>9</v>
          </cell>
          <cell r="T753" t="str">
            <v>Ciudad principal</v>
          </cell>
          <cell r="U753" t="str">
            <v>A3 Office Color Laser MFPs</v>
          </cell>
          <cell r="V753" t="str">
            <v>XEROX MEXICANA SA DE CV / XEROX MEXICANA</v>
          </cell>
          <cell r="W753" t="str">
            <v>CHIHUAHUA</v>
          </cell>
          <cell r="X753">
            <v>2019</v>
          </cell>
          <cell r="Y753" t="str">
            <v>Qtr 2</v>
          </cell>
          <cell r="Z753" t="str">
            <v>April</v>
          </cell>
          <cell r="AA753">
            <v>26</v>
          </cell>
          <cell r="AB753">
            <v>71</v>
          </cell>
          <cell r="AC753">
            <v>0</v>
          </cell>
          <cell r="AD753">
            <v>0</v>
          </cell>
          <cell r="AE753">
            <v>1365</v>
          </cell>
        </row>
        <row r="754">
          <cell r="A754" t="str">
            <v>0PW4000006</v>
          </cell>
          <cell r="B754">
            <v>2019</v>
          </cell>
          <cell r="C754" t="str">
            <v>Qtr 2</v>
          </cell>
          <cell r="D754" t="str">
            <v>April</v>
          </cell>
          <cell r="E754">
            <v>26</v>
          </cell>
          <cell r="F754" t="str">
            <v>CORRECTIVO</v>
          </cell>
          <cell r="G754">
            <v>1</v>
          </cell>
          <cell r="H754" t="str">
            <v>WF Mono Systems and Legacy Color</v>
          </cell>
          <cell r="I754">
            <v>803</v>
          </cell>
          <cell r="J754">
            <v>1573</v>
          </cell>
          <cell r="K754">
            <v>0.2</v>
          </cell>
          <cell r="L754">
            <v>0.6</v>
          </cell>
          <cell r="M754">
            <v>0.8</v>
          </cell>
          <cell r="N754">
            <v>1.05</v>
          </cell>
          <cell r="O754">
            <v>1.1000000000000001</v>
          </cell>
          <cell r="P754">
            <v>1.1499999999999999</v>
          </cell>
          <cell r="Q754" t="str">
            <v>INTERIOR</v>
          </cell>
          <cell r="R754">
            <v>4</v>
          </cell>
          <cell r="S754">
            <v>6</v>
          </cell>
          <cell r="T754" t="str">
            <v>Ciudad principal</v>
          </cell>
          <cell r="U754" t="str">
            <v>WF Mono Systems and Legacy Color</v>
          </cell>
          <cell r="V754" t="str">
            <v>XEROX MEXICANA SA DE CV / XEROX MEXICANA</v>
          </cell>
          <cell r="W754" t="str">
            <v>TAMAULIPAS</v>
          </cell>
          <cell r="X754">
            <v>2019</v>
          </cell>
          <cell r="Y754" t="str">
            <v>Qtr 2</v>
          </cell>
          <cell r="Z754" t="str">
            <v>April</v>
          </cell>
          <cell r="AA754">
            <v>29</v>
          </cell>
          <cell r="AB754">
            <v>98</v>
          </cell>
          <cell r="AC754">
            <v>1.1499999999999999</v>
          </cell>
          <cell r="AD754">
            <v>0.25</v>
          </cell>
          <cell r="AE754">
            <v>1808.95</v>
          </cell>
        </row>
        <row r="755">
          <cell r="A755" t="str">
            <v>0XLT279452</v>
          </cell>
          <cell r="B755">
            <v>2019</v>
          </cell>
          <cell r="C755" t="str">
            <v>Qtr 2</v>
          </cell>
          <cell r="D755" t="str">
            <v>April</v>
          </cell>
          <cell r="E755">
            <v>26</v>
          </cell>
          <cell r="F755" t="str">
            <v>MANTENIMIENTO PREVENTIVO</v>
          </cell>
          <cell r="G755">
            <v>0</v>
          </cell>
          <cell r="H755" t="str">
            <v>Entry Mono Printers</v>
          </cell>
          <cell r="I755">
            <v>468</v>
          </cell>
          <cell r="J755">
            <v>715</v>
          </cell>
          <cell r="K755">
            <v>0</v>
          </cell>
          <cell r="L755">
            <v>0</v>
          </cell>
          <cell r="M755">
            <v>0</v>
          </cell>
          <cell r="N755">
            <v>0.6</v>
          </cell>
          <cell r="O755">
            <v>0.8</v>
          </cell>
          <cell r="P755">
            <v>1.05</v>
          </cell>
          <cell r="Q755" t="str">
            <v>INTERIOR</v>
          </cell>
          <cell r="R755">
            <v>5</v>
          </cell>
          <cell r="S755">
            <v>9</v>
          </cell>
          <cell r="T755" t="str">
            <v>Ciudad principal</v>
          </cell>
          <cell r="U755" t="str">
            <v>Entry Mono Printers</v>
          </cell>
          <cell r="V755" t="str">
            <v>XEROX MEXICANA SA DE CV / XEROX MEXICANA</v>
          </cell>
          <cell r="W755" t="str">
            <v>CHIHUAHUA</v>
          </cell>
          <cell r="X755">
            <v>2019</v>
          </cell>
          <cell r="Y755" t="str">
            <v>Qtr 2</v>
          </cell>
          <cell r="Z755" t="str">
            <v>April</v>
          </cell>
          <cell r="AA755">
            <v>26</v>
          </cell>
          <cell r="AB755">
            <v>60</v>
          </cell>
          <cell r="AC755">
            <v>0</v>
          </cell>
          <cell r="AD755">
            <v>0</v>
          </cell>
          <cell r="AE755">
            <v>715</v>
          </cell>
        </row>
        <row r="756">
          <cell r="A756" t="str">
            <v>0XPN387885</v>
          </cell>
          <cell r="B756">
            <v>2019</v>
          </cell>
          <cell r="C756" t="str">
            <v>Qtr 2</v>
          </cell>
          <cell r="D756" t="str">
            <v>April</v>
          </cell>
          <cell r="E756">
            <v>26</v>
          </cell>
          <cell r="F756" t="str">
            <v>CORRECTIVO</v>
          </cell>
          <cell r="G756">
            <v>3.3333340000000003E-2</v>
          </cell>
          <cell r="H756" t="str">
            <v>Entry Production Color Low/Mid</v>
          </cell>
          <cell r="I756">
            <v>803</v>
          </cell>
          <cell r="J756">
            <v>1573</v>
          </cell>
          <cell r="K756">
            <v>0.2</v>
          </cell>
          <cell r="L756">
            <v>0.6</v>
          </cell>
          <cell r="M756">
            <v>0.8</v>
          </cell>
          <cell r="N756">
            <v>1.05</v>
          </cell>
          <cell r="O756">
            <v>1.1000000000000001</v>
          </cell>
          <cell r="P756">
            <v>1.1499999999999999</v>
          </cell>
          <cell r="Q756" t="str">
            <v>INTERIOR</v>
          </cell>
          <cell r="R756">
            <v>4</v>
          </cell>
          <cell r="S756">
            <v>6</v>
          </cell>
          <cell r="T756" t="str">
            <v>Ciudad principal</v>
          </cell>
          <cell r="U756" t="str">
            <v>Entry Production Color Low/Mid</v>
          </cell>
          <cell r="V756" t="str">
            <v>XEROX MEXICANA SA DE CV / XEROX MEXICANA</v>
          </cell>
          <cell r="W756" t="str">
            <v>JALISCO</v>
          </cell>
          <cell r="X756">
            <v>2019</v>
          </cell>
          <cell r="Y756" t="str">
            <v>Qtr 2</v>
          </cell>
          <cell r="Z756" t="str">
            <v>April</v>
          </cell>
          <cell r="AA756">
            <v>30</v>
          </cell>
          <cell r="AB756">
            <v>44</v>
          </cell>
          <cell r="AC756">
            <v>1.1000000000000001</v>
          </cell>
          <cell r="AD756">
            <v>8.3333350000000007E-3</v>
          </cell>
          <cell r="AE756">
            <v>1730.3</v>
          </cell>
        </row>
        <row r="757">
          <cell r="A757" t="str">
            <v>0AE7176589</v>
          </cell>
          <cell r="B757">
            <v>2019</v>
          </cell>
          <cell r="C757" t="str">
            <v>Qtr 2</v>
          </cell>
          <cell r="D757" t="str">
            <v>April</v>
          </cell>
          <cell r="E757">
            <v>28</v>
          </cell>
          <cell r="F757" t="str">
            <v>CORRECTIVO</v>
          </cell>
          <cell r="G757">
            <v>0.5</v>
          </cell>
          <cell r="H757" t="str">
            <v>Office Digital</v>
          </cell>
          <cell r="I757">
            <v>655</v>
          </cell>
          <cell r="J757">
            <v>1365</v>
          </cell>
          <cell r="K757">
            <v>0</v>
          </cell>
          <cell r="L757">
            <v>0</v>
          </cell>
          <cell r="M757">
            <v>0.6</v>
          </cell>
          <cell r="N757">
            <v>0.8</v>
          </cell>
          <cell r="O757">
            <v>1.05</v>
          </cell>
          <cell r="P757">
            <v>1.1000000000000001</v>
          </cell>
          <cell r="Q757" t="str">
            <v>INTERIOR</v>
          </cell>
          <cell r="R757">
            <v>5</v>
          </cell>
          <cell r="S757">
            <v>9</v>
          </cell>
          <cell r="T757" t="str">
            <v>Ciudad principal</v>
          </cell>
          <cell r="U757" t="str">
            <v>Departmental Digital</v>
          </cell>
          <cell r="V757" t="str">
            <v>XEROX MEXICANA SA DE CV / XEROX MEXICANA</v>
          </cell>
          <cell r="W757" t="str">
            <v>MICHOACAN</v>
          </cell>
          <cell r="X757">
            <v>2019</v>
          </cell>
          <cell r="Y757" t="str">
            <v>Qtr 2</v>
          </cell>
          <cell r="Z757" t="str">
            <v>April</v>
          </cell>
          <cell r="AA757">
            <v>29</v>
          </cell>
          <cell r="AB757">
            <v>103</v>
          </cell>
          <cell r="AC757">
            <v>1.1000000000000001</v>
          </cell>
          <cell r="AD757">
            <v>0.1</v>
          </cell>
          <cell r="AE757">
            <v>1501.5</v>
          </cell>
        </row>
        <row r="758">
          <cell r="A758" t="str">
            <v>0BG0966723</v>
          </cell>
          <cell r="B758">
            <v>2019</v>
          </cell>
          <cell r="C758" t="str">
            <v>Qtr 2</v>
          </cell>
          <cell r="D758" t="str">
            <v>April</v>
          </cell>
          <cell r="E758">
            <v>28</v>
          </cell>
          <cell r="F758" t="str">
            <v>CORRECTIVO</v>
          </cell>
          <cell r="G758">
            <v>2.9333330000000002</v>
          </cell>
          <cell r="H758" t="str">
            <v>Light Production Digital Business</v>
          </cell>
          <cell r="I758">
            <v>803</v>
          </cell>
          <cell r="J758">
            <v>1573</v>
          </cell>
          <cell r="K758">
            <v>0.2</v>
          </cell>
          <cell r="L758">
            <v>0.6</v>
          </cell>
          <cell r="M758">
            <v>0.8</v>
          </cell>
          <cell r="N758">
            <v>1.05</v>
          </cell>
          <cell r="O758">
            <v>1.1000000000000001</v>
          </cell>
          <cell r="P758">
            <v>1.1499999999999999</v>
          </cell>
          <cell r="Q758" t="str">
            <v>INTERIOR</v>
          </cell>
          <cell r="R758">
            <v>4</v>
          </cell>
          <cell r="S758">
            <v>6</v>
          </cell>
          <cell r="T758" t="str">
            <v>Ciudad principal</v>
          </cell>
          <cell r="U758" t="str">
            <v>High End Cut Sheet</v>
          </cell>
          <cell r="V758" t="str">
            <v>XEROX MEXICANA SA DE CV / XEROX MEXICANA</v>
          </cell>
          <cell r="W758" t="str">
            <v>JALISCO</v>
          </cell>
          <cell r="X758">
            <v>2019</v>
          </cell>
          <cell r="Y758" t="str">
            <v>Qtr 2</v>
          </cell>
          <cell r="Z758" t="str">
            <v>April</v>
          </cell>
          <cell r="AA758">
            <v>30</v>
          </cell>
          <cell r="AB758">
            <v>19</v>
          </cell>
          <cell r="AC758">
            <v>1.05</v>
          </cell>
          <cell r="AD758">
            <v>0.73333325000000005</v>
          </cell>
          <cell r="AE758">
            <v>1651.65</v>
          </cell>
        </row>
        <row r="759">
          <cell r="A759" t="str">
            <v>0KPA018838</v>
          </cell>
          <cell r="B759">
            <v>2019</v>
          </cell>
          <cell r="C759" t="str">
            <v>Qtr 2</v>
          </cell>
          <cell r="D759" t="str">
            <v>April</v>
          </cell>
          <cell r="E759">
            <v>28</v>
          </cell>
          <cell r="F759" t="str">
            <v>MANTENIMIENTO PREVENTIVO</v>
          </cell>
          <cell r="G759">
            <v>0</v>
          </cell>
          <cell r="H759" t="str">
            <v>Entry Mono Printers</v>
          </cell>
          <cell r="I759">
            <v>468</v>
          </cell>
          <cell r="J759">
            <v>715</v>
          </cell>
          <cell r="K759">
            <v>0</v>
          </cell>
          <cell r="L759">
            <v>0</v>
          </cell>
          <cell r="M759">
            <v>0</v>
          </cell>
          <cell r="N759">
            <v>0.6</v>
          </cell>
          <cell r="O759">
            <v>0.8</v>
          </cell>
          <cell r="P759">
            <v>1.05</v>
          </cell>
          <cell r="Q759" t="str">
            <v>INTERIOR</v>
          </cell>
          <cell r="R759">
            <v>5</v>
          </cell>
          <cell r="S759">
            <v>9</v>
          </cell>
          <cell r="T759" t="str">
            <v>Ciudad principal</v>
          </cell>
          <cell r="U759" t="str">
            <v>Departmental Digital</v>
          </cell>
          <cell r="V759" t="str">
            <v>XEROX MEXICANA SA DE CV / XEROX MEXICANA</v>
          </cell>
          <cell r="W759" t="str">
            <v>CHIHUAHUA</v>
          </cell>
          <cell r="X759">
            <v>2019</v>
          </cell>
          <cell r="Y759" t="str">
            <v>Qtr 2</v>
          </cell>
          <cell r="Z759" t="str">
            <v>April</v>
          </cell>
          <cell r="AA759">
            <v>29</v>
          </cell>
          <cell r="AB759">
            <v>16</v>
          </cell>
          <cell r="AC759">
            <v>0</v>
          </cell>
          <cell r="AD759">
            <v>0</v>
          </cell>
          <cell r="AE759">
            <v>715</v>
          </cell>
        </row>
        <row r="760">
          <cell r="A760" t="str">
            <v>0XPN394939</v>
          </cell>
          <cell r="B760">
            <v>2019</v>
          </cell>
          <cell r="C760" t="str">
            <v>Qtr 2</v>
          </cell>
          <cell r="D760" t="str">
            <v>April</v>
          </cell>
          <cell r="E760">
            <v>28</v>
          </cell>
          <cell r="F760" t="str">
            <v>CORRECTIVO</v>
          </cell>
          <cell r="G760">
            <v>2.6833330000000002</v>
          </cell>
          <cell r="H760" t="str">
            <v>Entry Production Color Low/Mid</v>
          </cell>
          <cell r="I760">
            <v>803</v>
          </cell>
          <cell r="J760">
            <v>1573</v>
          </cell>
          <cell r="K760">
            <v>0.2</v>
          </cell>
          <cell r="L760">
            <v>0.6</v>
          </cell>
          <cell r="M760">
            <v>0.8</v>
          </cell>
          <cell r="N760">
            <v>1.05</v>
          </cell>
          <cell r="O760">
            <v>1.1000000000000001</v>
          </cell>
          <cell r="P760">
            <v>1.1499999999999999</v>
          </cell>
          <cell r="Q760" t="str">
            <v>INTERIOR</v>
          </cell>
          <cell r="R760">
            <v>4</v>
          </cell>
          <cell r="S760">
            <v>6</v>
          </cell>
          <cell r="T760" t="str">
            <v>Ciudad principal</v>
          </cell>
          <cell r="U760" t="str">
            <v>Entry Production Color Low/Mid</v>
          </cell>
          <cell r="V760" t="str">
            <v>XEROX MEXICANA SA DE CV / XEROX MEXICANA</v>
          </cell>
          <cell r="W760" t="str">
            <v>JALISCO</v>
          </cell>
          <cell r="X760">
            <v>2019</v>
          </cell>
          <cell r="Y760" t="str">
            <v>Qtr 2</v>
          </cell>
          <cell r="Z760" t="str">
            <v>April</v>
          </cell>
          <cell r="AA760">
            <v>30</v>
          </cell>
          <cell r="AB760">
            <v>40</v>
          </cell>
          <cell r="AC760">
            <v>1.1000000000000001</v>
          </cell>
          <cell r="AD760">
            <v>0.67083325000000005</v>
          </cell>
          <cell r="AE760">
            <v>1730.3</v>
          </cell>
        </row>
        <row r="761">
          <cell r="A761" t="str">
            <v>03AG873545</v>
          </cell>
          <cell r="B761">
            <v>2019</v>
          </cell>
          <cell r="C761" t="str">
            <v>Qtr 2</v>
          </cell>
          <cell r="D761" t="str">
            <v>April</v>
          </cell>
          <cell r="E761">
            <v>29</v>
          </cell>
          <cell r="F761" t="str">
            <v>CORRECTIVO</v>
          </cell>
          <cell r="G761">
            <v>0.75</v>
          </cell>
          <cell r="H761" t="str">
            <v>Departmental Digital</v>
          </cell>
          <cell r="I761">
            <v>655</v>
          </cell>
          <cell r="J761">
            <v>1365</v>
          </cell>
          <cell r="K761">
            <v>0</v>
          </cell>
          <cell r="L761">
            <v>0</v>
          </cell>
          <cell r="M761">
            <v>0.6</v>
          </cell>
          <cell r="N761">
            <v>0.8</v>
          </cell>
          <cell r="O761">
            <v>1.05</v>
          </cell>
          <cell r="P761">
            <v>1.1000000000000001</v>
          </cell>
          <cell r="Q761" t="str">
            <v>INTERIOR</v>
          </cell>
          <cell r="R761">
            <v>5</v>
          </cell>
          <cell r="S761">
            <v>9</v>
          </cell>
          <cell r="T761" t="str">
            <v>Ciudad principal</v>
          </cell>
          <cell r="U761" t="str">
            <v>Light Production Digital Business</v>
          </cell>
          <cell r="V761" t="str">
            <v>XEROX MEXICANA SA DE CV / XEROX MEXICANA</v>
          </cell>
          <cell r="W761" t="str">
            <v>QUERETARO</v>
          </cell>
          <cell r="X761">
            <v>2019</v>
          </cell>
          <cell r="Y761" t="str">
            <v>Qtr 2</v>
          </cell>
          <cell r="Z761" t="str">
            <v>April</v>
          </cell>
          <cell r="AA761">
            <v>29</v>
          </cell>
          <cell r="AB761">
            <v>6</v>
          </cell>
          <cell r="AC761">
            <v>0</v>
          </cell>
          <cell r="AD761">
            <v>0.15</v>
          </cell>
          <cell r="AE761">
            <v>0</v>
          </cell>
        </row>
        <row r="762">
          <cell r="A762" t="str">
            <v>03AG880377</v>
          </cell>
          <cell r="B762">
            <v>2019</v>
          </cell>
          <cell r="C762" t="str">
            <v>Qtr 2</v>
          </cell>
          <cell r="D762" t="str">
            <v>April</v>
          </cell>
          <cell r="E762">
            <v>29</v>
          </cell>
          <cell r="F762" t="str">
            <v>CORRECTIVO</v>
          </cell>
          <cell r="G762">
            <v>0.5</v>
          </cell>
          <cell r="H762" t="str">
            <v>Departmental Digital</v>
          </cell>
          <cell r="I762">
            <v>655</v>
          </cell>
          <cell r="J762">
            <v>1365</v>
          </cell>
          <cell r="K762">
            <v>0</v>
          </cell>
          <cell r="L762">
            <v>0</v>
          </cell>
          <cell r="M762">
            <v>0.6</v>
          </cell>
          <cell r="N762">
            <v>0.8</v>
          </cell>
          <cell r="O762">
            <v>1.05</v>
          </cell>
          <cell r="P762">
            <v>1.1000000000000001</v>
          </cell>
          <cell r="Q762" t="str">
            <v>INTERIOR</v>
          </cell>
          <cell r="R762">
            <v>5</v>
          </cell>
          <cell r="S762">
            <v>9</v>
          </cell>
          <cell r="T762" t="str">
            <v>Ciudad principal</v>
          </cell>
          <cell r="U762" t="str">
            <v>Light Production Digital Business</v>
          </cell>
          <cell r="V762" t="str">
            <v>XEROX MEXICANA SA DE CV / XEROX MEXICANA</v>
          </cell>
          <cell r="W762" t="str">
            <v>GUANAJUATO</v>
          </cell>
          <cell r="X762">
            <v>2019</v>
          </cell>
          <cell r="Y762" t="str">
            <v>Qtr 2</v>
          </cell>
          <cell r="Z762" t="str">
            <v>April</v>
          </cell>
          <cell r="AA762">
            <v>29</v>
          </cell>
          <cell r="AB762">
            <v>4</v>
          </cell>
          <cell r="AC762">
            <v>0</v>
          </cell>
          <cell r="AD762">
            <v>0.1</v>
          </cell>
          <cell r="AE762">
            <v>0</v>
          </cell>
        </row>
        <row r="763">
          <cell r="A763" t="str">
            <v>03BT802246</v>
          </cell>
          <cell r="B763">
            <v>2019</v>
          </cell>
          <cell r="C763" t="str">
            <v>Qtr 2</v>
          </cell>
          <cell r="D763" t="str">
            <v>April</v>
          </cell>
          <cell r="E763">
            <v>29</v>
          </cell>
          <cell r="F763" t="str">
            <v>CORRECTIVO</v>
          </cell>
          <cell r="G763">
            <v>2.5</v>
          </cell>
          <cell r="H763" t="str">
            <v>A4 Mono MFPs</v>
          </cell>
          <cell r="I763">
            <v>468</v>
          </cell>
          <cell r="J763">
            <v>715</v>
          </cell>
          <cell r="K763">
            <v>0</v>
          </cell>
          <cell r="L763">
            <v>0</v>
          </cell>
          <cell r="M763">
            <v>0</v>
          </cell>
          <cell r="N763">
            <v>0.6</v>
          </cell>
          <cell r="O763">
            <v>0.8</v>
          </cell>
          <cell r="P763">
            <v>1.05</v>
          </cell>
          <cell r="Q763" t="str">
            <v>INTERIOR</v>
          </cell>
          <cell r="R763">
            <v>5</v>
          </cell>
          <cell r="S763">
            <v>9</v>
          </cell>
          <cell r="T763" t="str">
            <v>Ciudad principal</v>
          </cell>
          <cell r="U763" t="str">
            <v>A4 Mono MFPs</v>
          </cell>
          <cell r="V763" t="str">
            <v>XEROX MEXICANA SA DE CV / XEROX MEXICANA</v>
          </cell>
          <cell r="W763" t="str">
            <v>NUEVO LEON</v>
          </cell>
          <cell r="X763">
            <v>2019</v>
          </cell>
          <cell r="Y763" t="str">
            <v>Qtr 2</v>
          </cell>
          <cell r="Z763" t="str">
            <v>April</v>
          </cell>
          <cell r="AA763">
            <v>30</v>
          </cell>
          <cell r="AB763">
            <v>326</v>
          </cell>
          <cell r="AC763">
            <v>1.05</v>
          </cell>
          <cell r="AD763">
            <v>0.5</v>
          </cell>
          <cell r="AE763">
            <v>750.75</v>
          </cell>
        </row>
        <row r="764">
          <cell r="A764" t="str">
            <v>09HB333007</v>
          </cell>
          <cell r="B764">
            <v>2019</v>
          </cell>
          <cell r="C764" t="str">
            <v>Qtr 2</v>
          </cell>
          <cell r="D764" t="str">
            <v>April</v>
          </cell>
          <cell r="E764">
            <v>29</v>
          </cell>
          <cell r="F764" t="str">
            <v>CORRECTIVO</v>
          </cell>
          <cell r="G764">
            <v>0</v>
          </cell>
          <cell r="H764" t="str">
            <v>A4 Mono MFPs</v>
          </cell>
          <cell r="I764">
            <v>468</v>
          </cell>
          <cell r="J764">
            <v>715</v>
          </cell>
          <cell r="K764">
            <v>0</v>
          </cell>
          <cell r="L764">
            <v>0</v>
          </cell>
          <cell r="M764">
            <v>0</v>
          </cell>
          <cell r="N764">
            <v>0.6</v>
          </cell>
          <cell r="O764">
            <v>0.8</v>
          </cell>
          <cell r="P764">
            <v>1.05</v>
          </cell>
          <cell r="Q764" t="str">
            <v>INTERIOR</v>
          </cell>
          <cell r="R764">
            <v>5</v>
          </cell>
          <cell r="S764">
            <v>9</v>
          </cell>
          <cell r="T764" t="str">
            <v>Ciudad principal</v>
          </cell>
          <cell r="U764" t="str">
            <v>A4 Mono MFPs</v>
          </cell>
          <cell r="V764" t="str">
            <v>XEROX MEXICANA SA DE CV / XEROX MEXICANA</v>
          </cell>
          <cell r="W764" t="str">
            <v>NUEVO LEON</v>
          </cell>
          <cell r="X764">
            <v>2019</v>
          </cell>
          <cell r="Y764" t="str">
            <v>Qtr 2</v>
          </cell>
          <cell r="Z764" t="str">
            <v>April</v>
          </cell>
          <cell r="AA764">
            <v>30</v>
          </cell>
          <cell r="AB764">
            <v>24</v>
          </cell>
          <cell r="AC764">
            <v>0.6</v>
          </cell>
          <cell r="AD764">
            <v>0</v>
          </cell>
          <cell r="AE764">
            <v>429</v>
          </cell>
        </row>
        <row r="765">
          <cell r="A765" t="str">
            <v>0BB1564131</v>
          </cell>
          <cell r="B765">
            <v>2019</v>
          </cell>
          <cell r="C765" t="str">
            <v>Qtr 2</v>
          </cell>
          <cell r="D765" t="str">
            <v>April</v>
          </cell>
          <cell r="E765">
            <v>29</v>
          </cell>
          <cell r="F765" t="str">
            <v>CORRECTIVO</v>
          </cell>
          <cell r="G765">
            <v>2.85</v>
          </cell>
          <cell r="H765" t="str">
            <v>A4 Mono MFPs</v>
          </cell>
          <cell r="I765">
            <v>468</v>
          </cell>
          <cell r="J765">
            <v>715</v>
          </cell>
          <cell r="K765">
            <v>0</v>
          </cell>
          <cell r="L765">
            <v>0</v>
          </cell>
          <cell r="M765">
            <v>0</v>
          </cell>
          <cell r="N765">
            <v>0.6</v>
          </cell>
          <cell r="O765">
            <v>0.8</v>
          </cell>
          <cell r="P765">
            <v>1.05</v>
          </cell>
          <cell r="Q765" t="str">
            <v>INTERIOR</v>
          </cell>
          <cell r="R765">
            <v>5</v>
          </cell>
          <cell r="S765">
            <v>9</v>
          </cell>
          <cell r="T765" t="str">
            <v>Ciudad principal</v>
          </cell>
          <cell r="U765" t="str">
            <v>A4 Mono MFPs</v>
          </cell>
          <cell r="V765" t="str">
            <v>XEROX MEXICANA SA DE CV / XEROX MEXICANA</v>
          </cell>
          <cell r="W765" t="str">
            <v>GUANAJUATO</v>
          </cell>
          <cell r="X765">
            <v>2019</v>
          </cell>
          <cell r="Y765" t="str">
            <v>Qtr 2</v>
          </cell>
          <cell r="Z765" t="str">
            <v>April</v>
          </cell>
          <cell r="AA765">
            <v>30</v>
          </cell>
          <cell r="AB765">
            <v>7</v>
          </cell>
          <cell r="AC765">
            <v>0</v>
          </cell>
          <cell r="AD765">
            <v>0.56999999999999995</v>
          </cell>
          <cell r="AE765">
            <v>0</v>
          </cell>
        </row>
        <row r="766">
          <cell r="A766" t="str">
            <v>0BG0973687</v>
          </cell>
          <cell r="B766">
            <v>2019</v>
          </cell>
          <cell r="C766" t="str">
            <v>Qtr 2</v>
          </cell>
          <cell r="D766" t="str">
            <v>April</v>
          </cell>
          <cell r="E766">
            <v>29</v>
          </cell>
          <cell r="F766" t="str">
            <v>CORRECTIVO</v>
          </cell>
          <cell r="G766">
            <v>2.1166670000000001</v>
          </cell>
          <cell r="H766" t="str">
            <v>Light Production Digital Business</v>
          </cell>
          <cell r="I766">
            <v>803</v>
          </cell>
          <cell r="J766">
            <v>1573</v>
          </cell>
          <cell r="K766">
            <v>0.2</v>
          </cell>
          <cell r="L766">
            <v>0.6</v>
          </cell>
          <cell r="M766">
            <v>0.8</v>
          </cell>
          <cell r="N766">
            <v>1.05</v>
          </cell>
          <cell r="O766">
            <v>1.1000000000000001</v>
          </cell>
          <cell r="P766">
            <v>1.1499999999999999</v>
          </cell>
          <cell r="Q766" t="str">
            <v>INTERIOR</v>
          </cell>
          <cell r="R766">
            <v>4</v>
          </cell>
          <cell r="S766">
            <v>6</v>
          </cell>
          <cell r="T766" t="str">
            <v>Ciudad principal</v>
          </cell>
          <cell r="U766" t="str">
            <v>High End Cut Sheet</v>
          </cell>
          <cell r="V766" t="str">
            <v>XEROX MEXICANA SA DE CV / XEROX MEXICANA</v>
          </cell>
          <cell r="W766" t="str">
            <v>NUEVO LEON</v>
          </cell>
          <cell r="X766">
            <v>2019</v>
          </cell>
          <cell r="Y766" t="str">
            <v>Qtr 2</v>
          </cell>
          <cell r="Z766" t="str">
            <v>April</v>
          </cell>
          <cell r="AA766">
            <v>29</v>
          </cell>
          <cell r="AB766">
            <v>25</v>
          </cell>
          <cell r="AC766">
            <v>1.05</v>
          </cell>
          <cell r="AD766">
            <v>0.52916675000000002</v>
          </cell>
          <cell r="AE766">
            <v>1651.65</v>
          </cell>
        </row>
        <row r="767">
          <cell r="A767" t="str">
            <v>0BG2941143</v>
          </cell>
          <cell r="B767">
            <v>2019</v>
          </cell>
          <cell r="C767" t="str">
            <v>Qtr 2</v>
          </cell>
          <cell r="D767" t="str">
            <v>April</v>
          </cell>
          <cell r="E767">
            <v>29</v>
          </cell>
          <cell r="F767" t="str">
            <v>CORRECTIVO</v>
          </cell>
          <cell r="G767">
            <v>2.6666669999999999</v>
          </cell>
          <cell r="H767" t="str">
            <v>Light Production Digital Business</v>
          </cell>
          <cell r="I767">
            <v>803</v>
          </cell>
          <cell r="J767">
            <v>1573</v>
          </cell>
          <cell r="K767">
            <v>0.2</v>
          </cell>
          <cell r="L767">
            <v>0.6</v>
          </cell>
          <cell r="M767">
            <v>0.8</v>
          </cell>
          <cell r="N767">
            <v>1.05</v>
          </cell>
          <cell r="O767">
            <v>1.1000000000000001</v>
          </cell>
          <cell r="P767">
            <v>1.1499999999999999</v>
          </cell>
          <cell r="Q767" t="str">
            <v>INTERIOR</v>
          </cell>
          <cell r="R767">
            <v>4</v>
          </cell>
          <cell r="S767">
            <v>6</v>
          </cell>
          <cell r="T767" t="str">
            <v>Ciudad principal</v>
          </cell>
          <cell r="U767" t="str">
            <v>High End Cut Sheet</v>
          </cell>
          <cell r="V767" t="str">
            <v>XEROX MEXICANA SA DE CV / XEROX MEXICANA</v>
          </cell>
          <cell r="W767" t="str">
            <v>TAMAULIPAS</v>
          </cell>
          <cell r="X767">
            <v>2019</v>
          </cell>
          <cell r="Y767" t="str">
            <v>Qtr 2</v>
          </cell>
          <cell r="Z767" t="str">
            <v>April</v>
          </cell>
          <cell r="AA767">
            <v>29</v>
          </cell>
          <cell r="AB767">
            <v>14</v>
          </cell>
          <cell r="AC767">
            <v>0.8</v>
          </cell>
          <cell r="AD767">
            <v>0.66666674999999997</v>
          </cell>
          <cell r="AE767">
            <v>1258.4000000000001</v>
          </cell>
        </row>
        <row r="768">
          <cell r="A768" t="str">
            <v>0BG2949312</v>
          </cell>
          <cell r="B768">
            <v>2019</v>
          </cell>
          <cell r="C768" t="str">
            <v>Qtr 2</v>
          </cell>
          <cell r="D768" t="str">
            <v>April</v>
          </cell>
          <cell r="E768">
            <v>29</v>
          </cell>
          <cell r="F768" t="str">
            <v>CORRECTIVO</v>
          </cell>
          <cell r="G768">
            <v>1.1499999999999999</v>
          </cell>
          <cell r="H768" t="str">
            <v>Light Production Digital Business</v>
          </cell>
          <cell r="I768">
            <v>803</v>
          </cell>
          <cell r="J768">
            <v>1573</v>
          </cell>
          <cell r="K768">
            <v>0.2</v>
          </cell>
          <cell r="L768">
            <v>0.6</v>
          </cell>
          <cell r="M768">
            <v>0.8</v>
          </cell>
          <cell r="N768">
            <v>1.05</v>
          </cell>
          <cell r="O768">
            <v>1.1000000000000001</v>
          </cell>
          <cell r="P768">
            <v>1.1499999999999999</v>
          </cell>
          <cell r="Q768" t="str">
            <v>INTERIOR</v>
          </cell>
          <cell r="R768">
            <v>4</v>
          </cell>
          <cell r="S768">
            <v>6</v>
          </cell>
          <cell r="T768" t="str">
            <v>Ciudad principal</v>
          </cell>
          <cell r="U768" t="str">
            <v>High End Cut Sheet</v>
          </cell>
          <cell r="V768" t="str">
            <v>XEROX MEXICANA SA DE CV / XEROX MEXICANA</v>
          </cell>
          <cell r="W768" t="str">
            <v>ESTADO DE MEXICO</v>
          </cell>
          <cell r="X768">
            <v>2019</v>
          </cell>
          <cell r="Y768" t="str">
            <v>Qtr 2</v>
          </cell>
          <cell r="Z768" t="str">
            <v>April</v>
          </cell>
          <cell r="AA768">
            <v>29</v>
          </cell>
          <cell r="AB768">
            <v>22</v>
          </cell>
          <cell r="AC768">
            <v>1.05</v>
          </cell>
          <cell r="AD768">
            <v>0.28749999999999998</v>
          </cell>
          <cell r="AE768">
            <v>1651.65</v>
          </cell>
        </row>
        <row r="769">
          <cell r="A769" t="str">
            <v>0BG2951501</v>
          </cell>
          <cell r="B769">
            <v>2019</v>
          </cell>
          <cell r="C769" t="str">
            <v>Qtr 2</v>
          </cell>
          <cell r="D769" t="str">
            <v>April</v>
          </cell>
          <cell r="E769">
            <v>29</v>
          </cell>
          <cell r="F769" t="str">
            <v>CORRECTIVO</v>
          </cell>
          <cell r="G769">
            <v>0.5</v>
          </cell>
          <cell r="H769" t="str">
            <v>Light Production Digital Business</v>
          </cell>
          <cell r="I769">
            <v>803</v>
          </cell>
          <cell r="J769">
            <v>1573</v>
          </cell>
          <cell r="K769">
            <v>0.2</v>
          </cell>
          <cell r="L769">
            <v>0.6</v>
          </cell>
          <cell r="M769">
            <v>0.8</v>
          </cell>
          <cell r="N769">
            <v>1.05</v>
          </cell>
          <cell r="O769">
            <v>1.1000000000000001</v>
          </cell>
          <cell r="P769">
            <v>1.1499999999999999</v>
          </cell>
          <cell r="Q769" t="str">
            <v>INTERIOR</v>
          </cell>
          <cell r="R769">
            <v>4</v>
          </cell>
          <cell r="S769">
            <v>6</v>
          </cell>
          <cell r="T769" t="str">
            <v>Ciudad principal</v>
          </cell>
          <cell r="U769" t="str">
            <v>High End Cut Sheet</v>
          </cell>
          <cell r="V769" t="str">
            <v>XEROX MEXICANA SA DE CV / XEROX MEXICANA</v>
          </cell>
          <cell r="W769" t="str">
            <v>TAMAULIPAS</v>
          </cell>
          <cell r="X769">
            <v>2019</v>
          </cell>
          <cell r="Y769" t="str">
            <v>Qtr 2</v>
          </cell>
          <cell r="Z769" t="str">
            <v>April</v>
          </cell>
          <cell r="AA769">
            <v>29</v>
          </cell>
          <cell r="AB769">
            <v>88</v>
          </cell>
          <cell r="AC769">
            <v>1.1499999999999999</v>
          </cell>
          <cell r="AD769">
            <v>0.125</v>
          </cell>
          <cell r="AE769">
            <v>1808.95</v>
          </cell>
        </row>
        <row r="770">
          <cell r="A770" t="str">
            <v>0BG2951623</v>
          </cell>
          <cell r="B770">
            <v>2019</v>
          </cell>
          <cell r="C770" t="str">
            <v>Qtr 2</v>
          </cell>
          <cell r="D770" t="str">
            <v>April</v>
          </cell>
          <cell r="E770">
            <v>29</v>
          </cell>
          <cell r="F770" t="str">
            <v>MANTENIMIENTO PREVENTIVO</v>
          </cell>
          <cell r="G770">
            <v>0</v>
          </cell>
          <cell r="H770" t="str">
            <v>Light Production Digital Business</v>
          </cell>
          <cell r="I770">
            <v>803</v>
          </cell>
          <cell r="J770">
            <v>1573</v>
          </cell>
          <cell r="K770">
            <v>0.2</v>
          </cell>
          <cell r="L770">
            <v>0.6</v>
          </cell>
          <cell r="M770">
            <v>0.8</v>
          </cell>
          <cell r="N770">
            <v>1.05</v>
          </cell>
          <cell r="O770">
            <v>1.1000000000000001</v>
          </cell>
          <cell r="P770">
            <v>1.1499999999999999</v>
          </cell>
          <cell r="Q770" t="str">
            <v>INTERIOR</v>
          </cell>
          <cell r="R770">
            <v>4</v>
          </cell>
          <cell r="S770">
            <v>6</v>
          </cell>
          <cell r="T770" t="str">
            <v>Ciudad principal</v>
          </cell>
          <cell r="U770" t="str">
            <v>High End Cut Sheet</v>
          </cell>
          <cell r="V770" t="str">
            <v>XEROX MEXICANA SA DE CV / XEROX MEXICANA</v>
          </cell>
          <cell r="W770" t="str">
            <v>TAMAULIPAS</v>
          </cell>
          <cell r="X770">
            <v>2019</v>
          </cell>
          <cell r="Y770" t="str">
            <v>Qtr 2</v>
          </cell>
          <cell r="Z770" t="str">
            <v>April</v>
          </cell>
          <cell r="AA770">
            <v>29</v>
          </cell>
          <cell r="AB770">
            <v>4</v>
          </cell>
          <cell r="AC770">
            <v>0</v>
          </cell>
          <cell r="AD770">
            <v>0</v>
          </cell>
          <cell r="AE770">
            <v>1573</v>
          </cell>
        </row>
        <row r="771">
          <cell r="A771" t="str">
            <v>0BG2951627</v>
          </cell>
          <cell r="B771">
            <v>2019</v>
          </cell>
          <cell r="C771" t="str">
            <v>Qtr 2</v>
          </cell>
          <cell r="D771" t="str">
            <v>April</v>
          </cell>
          <cell r="E771">
            <v>29</v>
          </cell>
          <cell r="F771" t="str">
            <v>MANTENIMIENTO PREVENTIVO</v>
          </cell>
          <cell r="G771">
            <v>0.31666670000000002</v>
          </cell>
          <cell r="H771" t="str">
            <v>Light Production Digital Business</v>
          </cell>
          <cell r="I771">
            <v>803</v>
          </cell>
          <cell r="J771">
            <v>1573</v>
          </cell>
          <cell r="K771">
            <v>0.2</v>
          </cell>
          <cell r="L771">
            <v>0.6</v>
          </cell>
          <cell r="M771">
            <v>0.8</v>
          </cell>
          <cell r="N771">
            <v>1.05</v>
          </cell>
          <cell r="O771">
            <v>1.1000000000000001</v>
          </cell>
          <cell r="P771">
            <v>1.1499999999999999</v>
          </cell>
          <cell r="Q771" t="str">
            <v>INTERIOR</v>
          </cell>
          <cell r="R771">
            <v>4</v>
          </cell>
          <cell r="S771">
            <v>6</v>
          </cell>
          <cell r="T771" t="str">
            <v>Ciudad principal</v>
          </cell>
          <cell r="U771" t="str">
            <v>High End Cut Sheet</v>
          </cell>
          <cell r="V771" t="str">
            <v>XEROX MEXICANA SA DE CV / XEROX MEXICANA</v>
          </cell>
          <cell r="W771" t="str">
            <v>TAMAULIPAS</v>
          </cell>
          <cell r="X771">
            <v>2019</v>
          </cell>
          <cell r="Y771" t="str">
            <v>Qtr 2</v>
          </cell>
          <cell r="Z771" t="str">
            <v>April</v>
          </cell>
          <cell r="AA771">
            <v>30</v>
          </cell>
          <cell r="AB771">
            <v>32</v>
          </cell>
          <cell r="AC771">
            <v>0</v>
          </cell>
          <cell r="AD771">
            <v>0</v>
          </cell>
          <cell r="AE771">
            <v>1573</v>
          </cell>
        </row>
        <row r="772">
          <cell r="A772" t="str">
            <v>0C7X236617</v>
          </cell>
          <cell r="B772">
            <v>2019</v>
          </cell>
          <cell r="C772" t="str">
            <v>Qtr 2</v>
          </cell>
          <cell r="D772" t="str">
            <v>April</v>
          </cell>
          <cell r="E772">
            <v>29</v>
          </cell>
          <cell r="F772" t="str">
            <v>CORRECTIVO</v>
          </cell>
          <cell r="G772">
            <v>0.15</v>
          </cell>
          <cell r="H772" t="str">
            <v>A4 Mono MFPs</v>
          </cell>
          <cell r="I772">
            <v>468</v>
          </cell>
          <cell r="J772">
            <v>715</v>
          </cell>
          <cell r="K772">
            <v>0</v>
          </cell>
          <cell r="L772">
            <v>0</v>
          </cell>
          <cell r="M772">
            <v>0</v>
          </cell>
          <cell r="N772">
            <v>0.6</v>
          </cell>
          <cell r="O772">
            <v>0.8</v>
          </cell>
          <cell r="P772">
            <v>1.05</v>
          </cell>
          <cell r="Q772" t="str">
            <v>INTERIOR</v>
          </cell>
          <cell r="R772">
            <v>5</v>
          </cell>
          <cell r="S772">
            <v>9</v>
          </cell>
          <cell r="T772" t="str">
            <v>Ciudad principal</v>
          </cell>
          <cell r="U772" t="str">
            <v>A4 Mono MFPs</v>
          </cell>
          <cell r="V772" t="str">
            <v>XEROX MEXICANA SA DE CV / XEROX MEXICANA</v>
          </cell>
          <cell r="W772" t="str">
            <v>CHIHUAHUA</v>
          </cell>
          <cell r="X772">
            <v>2019</v>
          </cell>
          <cell r="Y772" t="str">
            <v>Qtr 2</v>
          </cell>
          <cell r="Z772" t="str">
            <v>April</v>
          </cell>
          <cell r="AA772">
            <v>29</v>
          </cell>
          <cell r="AB772">
            <v>83</v>
          </cell>
          <cell r="AC772">
            <v>1.05</v>
          </cell>
          <cell r="AD772">
            <v>0.03</v>
          </cell>
          <cell r="AE772">
            <v>750.75</v>
          </cell>
        </row>
        <row r="773">
          <cell r="A773" t="str">
            <v>0D6X462987</v>
          </cell>
          <cell r="B773">
            <v>2019</v>
          </cell>
          <cell r="C773" t="str">
            <v>Qtr 2</v>
          </cell>
          <cell r="D773" t="str">
            <v>April</v>
          </cell>
          <cell r="E773">
            <v>29</v>
          </cell>
          <cell r="F773" t="str">
            <v>CORRECTIVO</v>
          </cell>
          <cell r="G773">
            <v>0.36666670000000001</v>
          </cell>
          <cell r="H773" t="str">
            <v>Entry Mono Printers</v>
          </cell>
          <cell r="I773">
            <v>468</v>
          </cell>
          <cell r="J773">
            <v>715</v>
          </cell>
          <cell r="K773">
            <v>0</v>
          </cell>
          <cell r="L773">
            <v>0</v>
          </cell>
          <cell r="M773">
            <v>0</v>
          </cell>
          <cell r="N773">
            <v>0.6</v>
          </cell>
          <cell r="O773">
            <v>0.8</v>
          </cell>
          <cell r="P773">
            <v>1.05</v>
          </cell>
          <cell r="Q773" t="str">
            <v>INTERIOR</v>
          </cell>
          <cell r="R773">
            <v>5</v>
          </cell>
          <cell r="S773">
            <v>9</v>
          </cell>
          <cell r="T773" t="str">
            <v>Ciudad principal</v>
          </cell>
          <cell r="U773" t="str">
            <v>Entry Mono Printers</v>
          </cell>
          <cell r="V773" t="str">
            <v>XEROX MEXICANA SA DE CV / XEROX MEXICANA</v>
          </cell>
          <cell r="W773" t="str">
            <v>CHIHUAHUA</v>
          </cell>
          <cell r="X773">
            <v>2019</v>
          </cell>
          <cell r="Y773" t="str">
            <v>Qtr 2</v>
          </cell>
          <cell r="Z773" t="str">
            <v>April</v>
          </cell>
          <cell r="AA773">
            <v>29</v>
          </cell>
          <cell r="AB773">
            <v>32</v>
          </cell>
          <cell r="AC773">
            <v>0.8</v>
          </cell>
          <cell r="AD773">
            <v>7.3333339999999997E-2</v>
          </cell>
          <cell r="AE773">
            <v>572</v>
          </cell>
        </row>
        <row r="774">
          <cell r="A774" t="str">
            <v>0E2B665657</v>
          </cell>
          <cell r="B774">
            <v>2019</v>
          </cell>
          <cell r="C774" t="str">
            <v>Qtr 2</v>
          </cell>
          <cell r="D774" t="str">
            <v>April</v>
          </cell>
          <cell r="E774">
            <v>29</v>
          </cell>
          <cell r="F774" t="str">
            <v>CORRECTIVO</v>
          </cell>
          <cell r="G774">
            <v>3.1333329999999999</v>
          </cell>
          <cell r="H774" t="str">
            <v>Entry Production Color Low/Mid</v>
          </cell>
          <cell r="I774">
            <v>803</v>
          </cell>
          <cell r="J774">
            <v>1573</v>
          </cell>
          <cell r="K774">
            <v>0.2</v>
          </cell>
          <cell r="L774">
            <v>0.6</v>
          </cell>
          <cell r="M774">
            <v>0.8</v>
          </cell>
          <cell r="N774">
            <v>1.05</v>
          </cell>
          <cell r="O774">
            <v>1.1000000000000001</v>
          </cell>
          <cell r="P774">
            <v>1.1499999999999999</v>
          </cell>
          <cell r="Q774" t="str">
            <v>INTERIOR</v>
          </cell>
          <cell r="R774">
            <v>4</v>
          </cell>
          <cell r="S774">
            <v>6</v>
          </cell>
          <cell r="T774" t="str">
            <v>Ciudad principal</v>
          </cell>
          <cell r="U774" t="str">
            <v>Entry Production Color Low/Mid</v>
          </cell>
          <cell r="V774" t="str">
            <v>XEROX MEXICANA SA DE CV / XEROX MEXICANA</v>
          </cell>
          <cell r="W774" t="str">
            <v>NUEVO LEON</v>
          </cell>
          <cell r="X774">
            <v>2019</v>
          </cell>
          <cell r="Y774" t="str">
            <v>Qtr 2</v>
          </cell>
          <cell r="Z774" t="str">
            <v>April</v>
          </cell>
          <cell r="AA774">
            <v>29</v>
          </cell>
          <cell r="AB774">
            <v>70</v>
          </cell>
          <cell r="AC774">
            <v>1.1499999999999999</v>
          </cell>
          <cell r="AD774">
            <v>0.78333324999999998</v>
          </cell>
          <cell r="AE774">
            <v>1808.95</v>
          </cell>
        </row>
        <row r="775">
          <cell r="A775" t="str">
            <v>0EX9283410</v>
          </cell>
          <cell r="B775">
            <v>2019</v>
          </cell>
          <cell r="C775" t="str">
            <v>Qtr 2</v>
          </cell>
          <cell r="D775" t="str">
            <v>April</v>
          </cell>
          <cell r="E775">
            <v>29</v>
          </cell>
          <cell r="F775" t="str">
            <v>MANTENIMIENTO PREVENTIVO</v>
          </cell>
          <cell r="G775">
            <v>0</v>
          </cell>
          <cell r="H775" t="str">
            <v>Departmental Digital</v>
          </cell>
          <cell r="I775">
            <v>655</v>
          </cell>
          <cell r="J775">
            <v>1365</v>
          </cell>
          <cell r="K775">
            <v>0</v>
          </cell>
          <cell r="L775">
            <v>0</v>
          </cell>
          <cell r="M775">
            <v>0.6</v>
          </cell>
          <cell r="N775">
            <v>0.8</v>
          </cell>
          <cell r="O775">
            <v>1.05</v>
          </cell>
          <cell r="P775">
            <v>1.1000000000000001</v>
          </cell>
          <cell r="Q775" t="str">
            <v>INTERIOR</v>
          </cell>
          <cell r="R775">
            <v>5</v>
          </cell>
          <cell r="S775">
            <v>9</v>
          </cell>
          <cell r="T775" t="str">
            <v>Ciudad principal</v>
          </cell>
          <cell r="U775" t="str">
            <v>Departmental Digital</v>
          </cell>
          <cell r="V775" t="str">
            <v>XEROX MEXICANA SA DE CV / XEROX MEXICANA</v>
          </cell>
          <cell r="W775" t="str">
            <v>GUANAJUATO</v>
          </cell>
          <cell r="X775">
            <v>2019</v>
          </cell>
          <cell r="Y775" t="str">
            <v>Qtr 2</v>
          </cell>
          <cell r="Z775" t="str">
            <v>April</v>
          </cell>
          <cell r="AA775">
            <v>29</v>
          </cell>
          <cell r="AB775">
            <v>13</v>
          </cell>
          <cell r="AC775">
            <v>0</v>
          </cell>
          <cell r="AD775">
            <v>0</v>
          </cell>
          <cell r="AE775">
            <v>1365</v>
          </cell>
        </row>
        <row r="776">
          <cell r="A776" t="str">
            <v>0EX9293297</v>
          </cell>
          <cell r="B776">
            <v>2019</v>
          </cell>
          <cell r="C776" t="str">
            <v>Qtr 2</v>
          </cell>
          <cell r="D776" t="str">
            <v>April</v>
          </cell>
          <cell r="E776">
            <v>29</v>
          </cell>
          <cell r="F776" t="str">
            <v>CORRECTIVO</v>
          </cell>
          <cell r="G776">
            <v>1.1499999999999999</v>
          </cell>
          <cell r="H776" t="str">
            <v>Departmental Digital</v>
          </cell>
          <cell r="I776">
            <v>655</v>
          </cell>
          <cell r="J776">
            <v>1365</v>
          </cell>
          <cell r="K776">
            <v>0</v>
          </cell>
          <cell r="L776">
            <v>0</v>
          </cell>
          <cell r="M776">
            <v>0.6</v>
          </cell>
          <cell r="N776">
            <v>0.8</v>
          </cell>
          <cell r="O776">
            <v>1.05</v>
          </cell>
          <cell r="P776">
            <v>1.1000000000000001</v>
          </cell>
          <cell r="Q776" t="str">
            <v>INTERIOR</v>
          </cell>
          <cell r="R776">
            <v>5</v>
          </cell>
          <cell r="S776">
            <v>9</v>
          </cell>
          <cell r="T776" t="str">
            <v>Otras</v>
          </cell>
          <cell r="U776" t="str">
            <v>Departmental Digital</v>
          </cell>
          <cell r="V776" t="str">
            <v>XEROX MEXICANA SA DE CV / XEROX MEXICANA</v>
          </cell>
          <cell r="W776" t="str">
            <v>COAHUILA</v>
          </cell>
          <cell r="X776">
            <v>2019</v>
          </cell>
          <cell r="Y776" t="str">
            <v>Qtr 2</v>
          </cell>
          <cell r="Z776" t="str">
            <v>April</v>
          </cell>
          <cell r="AA776">
            <v>30</v>
          </cell>
          <cell r="AB776">
            <v>105</v>
          </cell>
          <cell r="AC776">
            <v>1.1000000000000001</v>
          </cell>
          <cell r="AD776">
            <v>0.12777777777777799</v>
          </cell>
          <cell r="AE776">
            <v>1501.5</v>
          </cell>
        </row>
        <row r="777">
          <cell r="A777" t="str">
            <v>0EX9293331</v>
          </cell>
          <cell r="B777">
            <v>2019</v>
          </cell>
          <cell r="C777" t="str">
            <v>Qtr 2</v>
          </cell>
          <cell r="D777" t="str">
            <v>April</v>
          </cell>
          <cell r="E777">
            <v>29</v>
          </cell>
          <cell r="F777" t="str">
            <v>CORRECTIVO</v>
          </cell>
          <cell r="G777">
            <v>1.5333330000000001</v>
          </cell>
          <cell r="H777" t="str">
            <v>Departmental Digital</v>
          </cell>
          <cell r="I777">
            <v>655</v>
          </cell>
          <cell r="J777">
            <v>1365</v>
          </cell>
          <cell r="K777">
            <v>0</v>
          </cell>
          <cell r="L777">
            <v>0</v>
          </cell>
          <cell r="M777">
            <v>0.6</v>
          </cell>
          <cell r="N777">
            <v>0.8</v>
          </cell>
          <cell r="O777">
            <v>1.05</v>
          </cell>
          <cell r="P777">
            <v>1.1000000000000001</v>
          </cell>
          <cell r="Q777" t="str">
            <v>INTERIOR</v>
          </cell>
          <cell r="R777">
            <v>5</v>
          </cell>
          <cell r="S777">
            <v>9</v>
          </cell>
          <cell r="T777" t="str">
            <v>Ciudad principal</v>
          </cell>
          <cell r="U777" t="str">
            <v>Departmental Digital</v>
          </cell>
          <cell r="V777" t="str">
            <v>XEROX MEXICANA SA DE CV / XEROX MEXICANA</v>
          </cell>
          <cell r="W777" t="str">
            <v>NUEVO LEON</v>
          </cell>
          <cell r="X777">
            <v>2019</v>
          </cell>
          <cell r="Y777" t="str">
            <v>Qtr 2</v>
          </cell>
          <cell r="Z777" t="str">
            <v>April</v>
          </cell>
          <cell r="AA777">
            <v>29</v>
          </cell>
          <cell r="AB777">
            <v>24</v>
          </cell>
          <cell r="AC777">
            <v>0.8</v>
          </cell>
          <cell r="AD777">
            <v>0.30666660000000001</v>
          </cell>
          <cell r="AE777">
            <v>1092</v>
          </cell>
        </row>
        <row r="778">
          <cell r="A778" t="str">
            <v>0EX9293351</v>
          </cell>
          <cell r="B778">
            <v>2019</v>
          </cell>
          <cell r="C778" t="str">
            <v>Qtr 2</v>
          </cell>
          <cell r="D778" t="str">
            <v>April</v>
          </cell>
          <cell r="E778">
            <v>29</v>
          </cell>
          <cell r="F778" t="str">
            <v>CORRECTIVO</v>
          </cell>
          <cell r="G778">
            <v>0.98333329999999997</v>
          </cell>
          <cell r="H778" t="str">
            <v>Departmental Digital</v>
          </cell>
          <cell r="I778">
            <v>655</v>
          </cell>
          <cell r="J778">
            <v>1365</v>
          </cell>
          <cell r="K778">
            <v>0</v>
          </cell>
          <cell r="L778">
            <v>0</v>
          </cell>
          <cell r="M778">
            <v>0.6</v>
          </cell>
          <cell r="N778">
            <v>0.8</v>
          </cell>
          <cell r="O778">
            <v>1.05</v>
          </cell>
          <cell r="P778">
            <v>1.1000000000000001</v>
          </cell>
          <cell r="Q778" t="str">
            <v>INTERIOR</v>
          </cell>
          <cell r="R778">
            <v>5</v>
          </cell>
          <cell r="S778">
            <v>9</v>
          </cell>
          <cell r="T778" t="str">
            <v>Ciudad principal</v>
          </cell>
          <cell r="U778" t="str">
            <v>Departmental Digital</v>
          </cell>
          <cell r="V778" t="str">
            <v>XEROX MEXICANA SA DE CV / XEROX MEXICANA</v>
          </cell>
          <cell r="W778" t="str">
            <v>NUEVO LEON</v>
          </cell>
          <cell r="X778">
            <v>2019</v>
          </cell>
          <cell r="Y778" t="str">
            <v>Qtr 2</v>
          </cell>
          <cell r="Z778" t="str">
            <v>April</v>
          </cell>
          <cell r="AA778">
            <v>29</v>
          </cell>
          <cell r="AB778">
            <v>6</v>
          </cell>
          <cell r="AC778">
            <v>0</v>
          </cell>
          <cell r="AD778">
            <v>0.19666665999999999</v>
          </cell>
          <cell r="AE778">
            <v>0</v>
          </cell>
        </row>
        <row r="779">
          <cell r="A779" t="str">
            <v>0EX9293483</v>
          </cell>
          <cell r="B779">
            <v>2019</v>
          </cell>
          <cell r="C779" t="str">
            <v>Qtr 2</v>
          </cell>
          <cell r="D779" t="str">
            <v>April</v>
          </cell>
          <cell r="E779">
            <v>29</v>
          </cell>
          <cell r="F779" t="str">
            <v>CORRECTIVO</v>
          </cell>
          <cell r="G779">
            <v>3.0666669999999998</v>
          </cell>
          <cell r="H779" t="str">
            <v>Departmental Digital</v>
          </cell>
          <cell r="I779">
            <v>655</v>
          </cell>
          <cell r="J779">
            <v>1365</v>
          </cell>
          <cell r="K779">
            <v>0</v>
          </cell>
          <cell r="L779">
            <v>0</v>
          </cell>
          <cell r="M779">
            <v>0.6</v>
          </cell>
          <cell r="N779">
            <v>0.8</v>
          </cell>
          <cell r="O779">
            <v>1.05</v>
          </cell>
          <cell r="P779">
            <v>1.1000000000000001</v>
          </cell>
          <cell r="Q779" t="str">
            <v>INTERIOR</v>
          </cell>
          <cell r="R779">
            <v>5</v>
          </cell>
          <cell r="S779">
            <v>9</v>
          </cell>
          <cell r="T779" t="str">
            <v>Ciudad principal</v>
          </cell>
          <cell r="U779" t="str">
            <v>Departmental Digital</v>
          </cell>
          <cell r="V779" t="str">
            <v>XEROX MEXICANA SA DE CV / XEROX MEXICANA</v>
          </cell>
          <cell r="W779" t="str">
            <v>SAN LUIS POTOSI</v>
          </cell>
          <cell r="X779">
            <v>2019</v>
          </cell>
          <cell r="Y779" t="str">
            <v>Qtr 2</v>
          </cell>
          <cell r="Z779" t="str">
            <v>April</v>
          </cell>
          <cell r="AA779">
            <v>30</v>
          </cell>
          <cell r="AB779">
            <v>18</v>
          </cell>
          <cell r="AC779">
            <v>0.8</v>
          </cell>
          <cell r="AD779">
            <v>0.61333340000000003</v>
          </cell>
          <cell r="AE779">
            <v>1092</v>
          </cell>
        </row>
        <row r="780">
          <cell r="A780" t="str">
            <v>0K3A708971</v>
          </cell>
          <cell r="B780">
            <v>2019</v>
          </cell>
          <cell r="C780" t="str">
            <v>Qtr 2</v>
          </cell>
          <cell r="D780" t="str">
            <v>April</v>
          </cell>
          <cell r="E780">
            <v>29</v>
          </cell>
          <cell r="F780" t="str">
            <v>MANTENIMIENTO PREVENTIVO</v>
          </cell>
          <cell r="G780">
            <v>0</v>
          </cell>
          <cell r="H780" t="str">
            <v>Entry Mono Printers</v>
          </cell>
          <cell r="I780">
            <v>468</v>
          </cell>
          <cell r="J780">
            <v>715</v>
          </cell>
          <cell r="K780">
            <v>0</v>
          </cell>
          <cell r="L780">
            <v>0</v>
          </cell>
          <cell r="M780">
            <v>0</v>
          </cell>
          <cell r="N780">
            <v>0.6</v>
          </cell>
          <cell r="O780">
            <v>0.8</v>
          </cell>
          <cell r="P780">
            <v>1.05</v>
          </cell>
          <cell r="Q780" t="str">
            <v>INTERIOR</v>
          </cell>
          <cell r="R780">
            <v>5</v>
          </cell>
          <cell r="S780">
            <v>9</v>
          </cell>
          <cell r="T780" t="str">
            <v>Ciudad principal</v>
          </cell>
          <cell r="U780" t="str">
            <v>A4 Mono MFPs</v>
          </cell>
          <cell r="V780" t="str">
            <v>XEROX MEXICANA SA DE CV / XEROX MEXICANA</v>
          </cell>
          <cell r="W780" t="str">
            <v>CHIHUAHUA</v>
          </cell>
          <cell r="X780">
            <v>2019</v>
          </cell>
          <cell r="Y780" t="str">
            <v>Qtr 2</v>
          </cell>
          <cell r="Z780" t="str">
            <v>April</v>
          </cell>
          <cell r="AA780">
            <v>30</v>
          </cell>
          <cell r="AB780">
            <v>96</v>
          </cell>
          <cell r="AC780">
            <v>0</v>
          </cell>
          <cell r="AD780">
            <v>0</v>
          </cell>
          <cell r="AE780">
            <v>715</v>
          </cell>
        </row>
        <row r="781">
          <cell r="A781" t="str">
            <v>0LX7658041</v>
          </cell>
          <cell r="B781">
            <v>2019</v>
          </cell>
          <cell r="C781" t="str">
            <v>Qtr 2</v>
          </cell>
          <cell r="D781" t="str">
            <v>April</v>
          </cell>
          <cell r="E781">
            <v>29</v>
          </cell>
          <cell r="F781" t="str">
            <v>MANTENIMIENTO PREVENTIVO</v>
          </cell>
          <cell r="G781">
            <v>0</v>
          </cell>
          <cell r="H781" t="str">
            <v>A3 Office Color Laser MFPs</v>
          </cell>
          <cell r="I781">
            <v>655</v>
          </cell>
          <cell r="J781">
            <v>1365</v>
          </cell>
          <cell r="K781">
            <v>0</v>
          </cell>
          <cell r="L781">
            <v>0</v>
          </cell>
          <cell r="M781">
            <v>0.6</v>
          </cell>
          <cell r="N781">
            <v>0.8</v>
          </cell>
          <cell r="O781">
            <v>1.05</v>
          </cell>
          <cell r="P781">
            <v>1.1000000000000001</v>
          </cell>
          <cell r="Q781" t="str">
            <v>INTERIOR</v>
          </cell>
          <cell r="R781">
            <v>5</v>
          </cell>
          <cell r="S781">
            <v>9</v>
          </cell>
          <cell r="T781" t="str">
            <v>Ciudad principal</v>
          </cell>
          <cell r="U781" t="str">
            <v>A3 Office Color Laser MFPs</v>
          </cell>
          <cell r="V781" t="str">
            <v>XEROX MEXICANA SA DE CV / XEROX MEXICANA</v>
          </cell>
          <cell r="W781" t="str">
            <v>CHIHUAHUA</v>
          </cell>
          <cell r="X781">
            <v>2019</v>
          </cell>
          <cell r="Y781" t="str">
            <v>Qtr 2</v>
          </cell>
          <cell r="Z781" t="str">
            <v>April</v>
          </cell>
          <cell r="AA781">
            <v>29</v>
          </cell>
          <cell r="AB781">
            <v>3</v>
          </cell>
          <cell r="AC781">
            <v>0</v>
          </cell>
          <cell r="AD781">
            <v>0</v>
          </cell>
          <cell r="AE781">
            <v>1365</v>
          </cell>
        </row>
        <row r="782">
          <cell r="A782" t="str">
            <v>0XLT280680</v>
          </cell>
          <cell r="B782">
            <v>2019</v>
          </cell>
          <cell r="C782" t="str">
            <v>Qtr 2</v>
          </cell>
          <cell r="D782" t="str">
            <v>April</v>
          </cell>
          <cell r="E782">
            <v>29</v>
          </cell>
          <cell r="F782" t="str">
            <v>MANTENIMIENTO PREVENTIVO</v>
          </cell>
          <cell r="G782">
            <v>0</v>
          </cell>
          <cell r="H782" t="str">
            <v>Entry Mono Printers</v>
          </cell>
          <cell r="I782">
            <v>468</v>
          </cell>
          <cell r="J782">
            <v>715</v>
          </cell>
          <cell r="K782">
            <v>0</v>
          </cell>
          <cell r="L782">
            <v>0</v>
          </cell>
          <cell r="M782">
            <v>0</v>
          </cell>
          <cell r="N782">
            <v>0.6</v>
          </cell>
          <cell r="O782">
            <v>0.8</v>
          </cell>
          <cell r="P782">
            <v>1.05</v>
          </cell>
          <cell r="Q782" t="str">
            <v>INTERIOR</v>
          </cell>
          <cell r="R782">
            <v>5</v>
          </cell>
          <cell r="S782">
            <v>9</v>
          </cell>
          <cell r="T782" t="str">
            <v>Ciudad principal</v>
          </cell>
          <cell r="U782" t="str">
            <v>Entry Mono Printers</v>
          </cell>
          <cell r="V782" t="str">
            <v>XEROX MEXICANA SA DE CV / XEROX MEXICANA</v>
          </cell>
          <cell r="W782" t="str">
            <v>CHIHUAHUA</v>
          </cell>
          <cell r="X782">
            <v>2019</v>
          </cell>
          <cell r="Y782" t="str">
            <v>Qtr 2</v>
          </cell>
          <cell r="Z782" t="str">
            <v>April</v>
          </cell>
          <cell r="AA782">
            <v>30</v>
          </cell>
          <cell r="AB782">
            <v>45</v>
          </cell>
          <cell r="AC782">
            <v>0</v>
          </cell>
          <cell r="AD782">
            <v>0</v>
          </cell>
          <cell r="AE782">
            <v>715</v>
          </cell>
        </row>
        <row r="783">
          <cell r="A783" t="str">
            <v>0XLT280681</v>
          </cell>
          <cell r="B783">
            <v>2019</v>
          </cell>
          <cell r="C783" t="str">
            <v>Qtr 2</v>
          </cell>
          <cell r="D783" t="str">
            <v>April</v>
          </cell>
          <cell r="E783">
            <v>29</v>
          </cell>
          <cell r="F783" t="str">
            <v>MANTENIMIENTO PREVENTIVO</v>
          </cell>
          <cell r="G783">
            <v>0</v>
          </cell>
          <cell r="H783" t="str">
            <v>Entry Mono Printers</v>
          </cell>
          <cell r="I783">
            <v>468</v>
          </cell>
          <cell r="J783">
            <v>715</v>
          </cell>
          <cell r="K783">
            <v>0</v>
          </cell>
          <cell r="L783">
            <v>0</v>
          </cell>
          <cell r="M783">
            <v>0</v>
          </cell>
          <cell r="N783">
            <v>0.6</v>
          </cell>
          <cell r="O783">
            <v>0.8</v>
          </cell>
          <cell r="P783">
            <v>1.05</v>
          </cell>
          <cell r="Q783" t="str">
            <v>INTERIOR</v>
          </cell>
          <cell r="R783">
            <v>5</v>
          </cell>
          <cell r="S783">
            <v>9</v>
          </cell>
          <cell r="T783" t="str">
            <v>Ciudad principal</v>
          </cell>
          <cell r="U783" t="str">
            <v>Entry Mono Printers</v>
          </cell>
          <cell r="V783" t="str">
            <v>XEROX MEXICANA SA DE CV / XEROX MEXICANA</v>
          </cell>
          <cell r="W783" t="str">
            <v>CHIHUAHUA</v>
          </cell>
          <cell r="X783">
            <v>2019</v>
          </cell>
          <cell r="Y783" t="str">
            <v>Qtr 2</v>
          </cell>
          <cell r="Z783" t="str">
            <v>April</v>
          </cell>
          <cell r="AA783">
            <v>29</v>
          </cell>
          <cell r="AB783">
            <v>49</v>
          </cell>
          <cell r="AC783">
            <v>0</v>
          </cell>
          <cell r="AD783">
            <v>0</v>
          </cell>
          <cell r="AE783">
            <v>715</v>
          </cell>
        </row>
        <row r="784">
          <cell r="A784" t="str">
            <v>0XPN392398</v>
          </cell>
          <cell r="B784">
            <v>2019</v>
          </cell>
          <cell r="C784" t="str">
            <v>Qtr 2</v>
          </cell>
          <cell r="D784" t="str">
            <v>April</v>
          </cell>
          <cell r="E784">
            <v>29</v>
          </cell>
          <cell r="F784" t="str">
            <v>CORRECTIVO</v>
          </cell>
          <cell r="G784">
            <v>0</v>
          </cell>
          <cell r="H784" t="str">
            <v>Entry Production Color Low/Mid</v>
          </cell>
          <cell r="I784">
            <v>803</v>
          </cell>
          <cell r="J784">
            <v>1573</v>
          </cell>
          <cell r="K784">
            <v>0.2</v>
          </cell>
          <cell r="L784">
            <v>0.6</v>
          </cell>
          <cell r="M784">
            <v>0.8</v>
          </cell>
          <cell r="N784">
            <v>1.05</v>
          </cell>
          <cell r="O784">
            <v>1.1000000000000001</v>
          </cell>
          <cell r="P784">
            <v>1.1499999999999999</v>
          </cell>
          <cell r="Q784" t="str">
            <v>INTERIOR</v>
          </cell>
          <cell r="R784">
            <v>4</v>
          </cell>
          <cell r="S784">
            <v>6</v>
          </cell>
          <cell r="T784" t="str">
            <v>Ciudad principal</v>
          </cell>
          <cell r="U784" t="str">
            <v>Entry Production Color Low/Mid</v>
          </cell>
          <cell r="V784" t="str">
            <v>XEROX MEXICANA SA DE CV / XEROX MEXICANA</v>
          </cell>
          <cell r="W784" t="str">
            <v>CHIHUAHUA</v>
          </cell>
          <cell r="X784">
            <v>2019</v>
          </cell>
          <cell r="Y784" t="str">
            <v>Qtr 2</v>
          </cell>
          <cell r="Z784" t="str">
            <v>April</v>
          </cell>
          <cell r="AA784">
            <v>30</v>
          </cell>
          <cell r="AB784">
            <v>75</v>
          </cell>
          <cell r="AC784">
            <v>1.1499999999999999</v>
          </cell>
          <cell r="AD784">
            <v>0</v>
          </cell>
          <cell r="AE784">
            <v>1808.95</v>
          </cell>
        </row>
        <row r="785">
          <cell r="A785" t="str">
            <v>0XPN395024</v>
          </cell>
          <cell r="B785">
            <v>2019</v>
          </cell>
          <cell r="C785" t="str">
            <v>Qtr 2</v>
          </cell>
          <cell r="D785" t="str">
            <v>April</v>
          </cell>
          <cell r="E785">
            <v>29</v>
          </cell>
          <cell r="F785" t="str">
            <v>CORRECTIVO</v>
          </cell>
          <cell r="G785">
            <v>0.96666660000000004</v>
          </cell>
          <cell r="H785" t="str">
            <v>Entry Production Color Low/Mid</v>
          </cell>
          <cell r="I785">
            <v>803</v>
          </cell>
          <cell r="J785">
            <v>1573</v>
          </cell>
          <cell r="K785">
            <v>0.2</v>
          </cell>
          <cell r="L785">
            <v>0.6</v>
          </cell>
          <cell r="M785">
            <v>0.8</v>
          </cell>
          <cell r="N785">
            <v>1.05</v>
          </cell>
          <cell r="O785">
            <v>1.1000000000000001</v>
          </cell>
          <cell r="P785">
            <v>1.1499999999999999</v>
          </cell>
          <cell r="Q785" t="str">
            <v>INTERIOR</v>
          </cell>
          <cell r="R785">
            <v>4</v>
          </cell>
          <cell r="S785">
            <v>6</v>
          </cell>
          <cell r="T785" t="str">
            <v>Ciudad principal</v>
          </cell>
          <cell r="U785" t="str">
            <v>Entry Production Color Low/Mid</v>
          </cell>
          <cell r="V785" t="str">
            <v>XEROX MEXICANA SA DE CV / XEROX MEXICANA</v>
          </cell>
          <cell r="W785" t="str">
            <v>JALISCO</v>
          </cell>
          <cell r="X785">
            <v>2019</v>
          </cell>
          <cell r="Y785" t="str">
            <v>Qtr 2</v>
          </cell>
          <cell r="Z785" t="str">
            <v>April</v>
          </cell>
          <cell r="AA785">
            <v>29</v>
          </cell>
          <cell r="AB785">
            <v>10</v>
          </cell>
          <cell r="AC785">
            <v>0.8</v>
          </cell>
          <cell r="AD785">
            <v>0.24166665000000001</v>
          </cell>
          <cell r="AE785">
            <v>1258.4000000000001</v>
          </cell>
        </row>
        <row r="786">
          <cell r="A786" t="str">
            <v>AAQ100563</v>
          </cell>
          <cell r="B786">
            <v>2019</v>
          </cell>
          <cell r="C786" t="str">
            <v>Qtr 2</v>
          </cell>
          <cell r="D786" t="str">
            <v>April</v>
          </cell>
          <cell r="E786">
            <v>29</v>
          </cell>
          <cell r="F786" t="str">
            <v>CORRECTIVO</v>
          </cell>
          <cell r="G786">
            <v>8.2333339999999993</v>
          </cell>
          <cell r="H786" t="str">
            <v>Office Digital</v>
          </cell>
          <cell r="I786">
            <v>655</v>
          </cell>
          <cell r="J786">
            <v>1365</v>
          </cell>
          <cell r="K786">
            <v>0</v>
          </cell>
          <cell r="L786">
            <v>0</v>
          </cell>
          <cell r="M786">
            <v>0.6</v>
          </cell>
          <cell r="N786">
            <v>0.8</v>
          </cell>
          <cell r="O786">
            <v>1.05</v>
          </cell>
          <cell r="P786">
            <v>1.1000000000000001</v>
          </cell>
          <cell r="Q786" t="str">
            <v>INTERIOR</v>
          </cell>
          <cell r="R786">
            <v>5</v>
          </cell>
          <cell r="S786">
            <v>9</v>
          </cell>
          <cell r="T786" t="str">
            <v>Ciudad principal</v>
          </cell>
          <cell r="U786" t="str">
            <v>A4 Mono MFPs</v>
          </cell>
          <cell r="V786" t="str">
            <v>XEROX MEXICANA SA DE CV / XEROX MEXICANA</v>
          </cell>
          <cell r="W786" t="str">
            <v>MICHOACAN</v>
          </cell>
          <cell r="X786">
            <v>2019</v>
          </cell>
          <cell r="Y786" t="str">
            <v>Qtr 2</v>
          </cell>
          <cell r="Z786" t="str">
            <v>April</v>
          </cell>
          <cell r="AA786">
            <v>30</v>
          </cell>
          <cell r="AB786">
            <v>20</v>
          </cell>
          <cell r="AC786">
            <v>0.8</v>
          </cell>
          <cell r="AD786">
            <v>1.6466668</v>
          </cell>
          <cell r="AE786">
            <v>871.32495449999999</v>
          </cell>
        </row>
        <row r="787">
          <cell r="A787" t="str">
            <v>K8B481298</v>
          </cell>
          <cell r="B787">
            <v>2019</v>
          </cell>
          <cell r="C787" t="str">
            <v>Qtr 2</v>
          </cell>
          <cell r="D787" t="str">
            <v>April</v>
          </cell>
          <cell r="E787">
            <v>29</v>
          </cell>
          <cell r="F787" t="str">
            <v>CORRECTIVO</v>
          </cell>
          <cell r="G787">
            <v>1.1166670000000001</v>
          </cell>
          <cell r="H787" t="str">
            <v>A4 Mono MFPs</v>
          </cell>
          <cell r="I787">
            <v>468</v>
          </cell>
          <cell r="J787">
            <v>715</v>
          </cell>
          <cell r="K787">
            <v>0</v>
          </cell>
          <cell r="L787">
            <v>0</v>
          </cell>
          <cell r="M787">
            <v>0</v>
          </cell>
          <cell r="N787">
            <v>0.6</v>
          </cell>
          <cell r="O787">
            <v>0.8</v>
          </cell>
          <cell r="P787">
            <v>1.05</v>
          </cell>
          <cell r="Q787" t="str">
            <v>INTERIOR</v>
          </cell>
          <cell r="R787">
            <v>5</v>
          </cell>
          <cell r="S787">
            <v>9</v>
          </cell>
          <cell r="T787" t="str">
            <v>Otras</v>
          </cell>
          <cell r="U787" t="str">
            <v>A4 Mono MFPs</v>
          </cell>
          <cell r="V787" t="str">
            <v>XEROX MEXICANA SA DE CV / XEROX MEXICANA</v>
          </cell>
          <cell r="W787" t="str">
            <v>NUEVO LEON</v>
          </cell>
          <cell r="X787">
            <v>2019</v>
          </cell>
          <cell r="Y787" t="str">
            <v>Qtr 2</v>
          </cell>
          <cell r="Z787" t="str">
            <v>April</v>
          </cell>
          <cell r="AA787">
            <v>29</v>
          </cell>
          <cell r="AB787">
            <v>362</v>
          </cell>
          <cell r="AC787">
            <v>1.05</v>
          </cell>
          <cell r="AD787">
            <v>0.124074111111111</v>
          </cell>
          <cell r="AE787">
            <v>750.75</v>
          </cell>
        </row>
        <row r="788">
          <cell r="A788" t="str">
            <v>03AG873545</v>
          </cell>
          <cell r="B788">
            <v>2019</v>
          </cell>
          <cell r="C788" t="str">
            <v>Qtr 2</v>
          </cell>
          <cell r="D788" t="str">
            <v>April</v>
          </cell>
          <cell r="E788">
            <v>30</v>
          </cell>
          <cell r="F788" t="str">
            <v>CORRECTIVO</v>
          </cell>
          <cell r="G788">
            <v>0.75</v>
          </cell>
          <cell r="H788" t="str">
            <v>Departmental Digital</v>
          </cell>
          <cell r="I788">
            <v>655</v>
          </cell>
          <cell r="J788">
            <v>1365</v>
          </cell>
          <cell r="K788">
            <v>0</v>
          </cell>
          <cell r="L788">
            <v>0</v>
          </cell>
          <cell r="M788">
            <v>0.6</v>
          </cell>
          <cell r="N788">
            <v>0.8</v>
          </cell>
          <cell r="O788">
            <v>1.05</v>
          </cell>
          <cell r="P788">
            <v>1.1000000000000001</v>
          </cell>
          <cell r="Q788" t="str">
            <v>INTERIOR</v>
          </cell>
          <cell r="R788">
            <v>5</v>
          </cell>
          <cell r="S788">
            <v>9</v>
          </cell>
          <cell r="T788" t="str">
            <v>Ciudad principal</v>
          </cell>
          <cell r="U788" t="str">
            <v>Light Production Digital Business</v>
          </cell>
          <cell r="V788" t="str">
            <v>XEROX MEXICANA SA DE CV / XEROX MEXICANA</v>
          </cell>
          <cell r="W788" t="str">
            <v>QUERETARO</v>
          </cell>
          <cell r="X788">
            <v>2019</v>
          </cell>
          <cell r="Y788" t="str">
            <v>Qtr 2</v>
          </cell>
          <cell r="Z788" t="str">
            <v>April</v>
          </cell>
          <cell r="AA788">
            <v>30</v>
          </cell>
          <cell r="AB788">
            <v>1</v>
          </cell>
          <cell r="AC788">
            <v>0</v>
          </cell>
          <cell r="AD788">
            <v>0.15</v>
          </cell>
          <cell r="AE788">
            <v>0</v>
          </cell>
        </row>
        <row r="789">
          <cell r="A789" t="str">
            <v>03AG873888</v>
          </cell>
          <cell r="B789">
            <v>2019</v>
          </cell>
          <cell r="C789" t="str">
            <v>Qtr 2</v>
          </cell>
          <cell r="D789" t="str">
            <v>April</v>
          </cell>
          <cell r="E789">
            <v>30</v>
          </cell>
          <cell r="F789" t="str">
            <v>CORRECTIVO</v>
          </cell>
          <cell r="G789">
            <v>2.0833330000000001</v>
          </cell>
          <cell r="H789" t="str">
            <v>Departmental Digital</v>
          </cell>
          <cell r="I789">
            <v>655</v>
          </cell>
          <cell r="J789">
            <v>1365</v>
          </cell>
          <cell r="K789">
            <v>0</v>
          </cell>
          <cell r="L789">
            <v>0</v>
          </cell>
          <cell r="M789">
            <v>0.6</v>
          </cell>
          <cell r="N789">
            <v>0.8</v>
          </cell>
          <cell r="O789">
            <v>1.05</v>
          </cell>
          <cell r="P789">
            <v>1.1000000000000001</v>
          </cell>
          <cell r="Q789" t="str">
            <v>INTERIOR</v>
          </cell>
          <cell r="R789">
            <v>5</v>
          </cell>
          <cell r="S789">
            <v>9</v>
          </cell>
          <cell r="T789" t="str">
            <v>Ciudad principal</v>
          </cell>
          <cell r="U789" t="str">
            <v>Light Production Digital Business</v>
          </cell>
          <cell r="V789" t="str">
            <v>XEROX MEXICANA SA DE CV / XEROX MEXICANA</v>
          </cell>
          <cell r="W789" t="str">
            <v>NUEVO LEON</v>
          </cell>
          <cell r="X789">
            <v>2019</v>
          </cell>
          <cell r="Y789" t="str">
            <v>Qtr 2</v>
          </cell>
          <cell r="Z789" t="str">
            <v>April</v>
          </cell>
          <cell r="AA789">
            <v>30</v>
          </cell>
          <cell r="AB789">
            <v>89</v>
          </cell>
          <cell r="AC789">
            <v>1.1000000000000001</v>
          </cell>
          <cell r="AD789">
            <v>0.4166666</v>
          </cell>
          <cell r="AE789">
            <v>1501.5</v>
          </cell>
        </row>
        <row r="790">
          <cell r="A790" t="str">
            <v>09HB320745</v>
          </cell>
          <cell r="B790">
            <v>2019</v>
          </cell>
          <cell r="C790" t="str">
            <v>Qtr 2</v>
          </cell>
          <cell r="D790" t="str">
            <v>April</v>
          </cell>
          <cell r="E790">
            <v>30</v>
          </cell>
          <cell r="F790" t="str">
            <v>CORRECTIVO</v>
          </cell>
          <cell r="G790">
            <v>1.6666669999999999</v>
          </cell>
          <cell r="H790" t="str">
            <v>A4 Mono MFPs</v>
          </cell>
          <cell r="I790">
            <v>468</v>
          </cell>
          <cell r="J790">
            <v>715</v>
          </cell>
          <cell r="K790">
            <v>0</v>
          </cell>
          <cell r="L790">
            <v>0</v>
          </cell>
          <cell r="M790">
            <v>0</v>
          </cell>
          <cell r="N790">
            <v>0.6</v>
          </cell>
          <cell r="O790">
            <v>0.8</v>
          </cell>
          <cell r="P790">
            <v>1.05</v>
          </cell>
          <cell r="Q790" t="str">
            <v>INTERIOR</v>
          </cell>
          <cell r="R790">
            <v>5</v>
          </cell>
          <cell r="S790">
            <v>9</v>
          </cell>
          <cell r="T790" t="str">
            <v>Ciudad principal</v>
          </cell>
          <cell r="U790" t="str">
            <v>A4 Mono MFPs</v>
          </cell>
          <cell r="V790" t="str">
            <v>XEROX MEXICANA SA DE CV / XEROX MEXICANA</v>
          </cell>
          <cell r="W790" t="str">
            <v>TAMAULIPAS</v>
          </cell>
          <cell r="X790">
            <v>2019</v>
          </cell>
          <cell r="Y790" t="str">
            <v>Qtr 2</v>
          </cell>
          <cell r="Z790" t="str">
            <v>April</v>
          </cell>
          <cell r="AA790">
            <v>30</v>
          </cell>
          <cell r="AB790">
            <v>36</v>
          </cell>
          <cell r="AC790">
            <v>0.8</v>
          </cell>
          <cell r="AD790">
            <v>0.3333334</v>
          </cell>
          <cell r="AE790">
            <v>572</v>
          </cell>
        </row>
        <row r="791">
          <cell r="A791" t="str">
            <v>0A1H021381</v>
          </cell>
          <cell r="B791">
            <v>2019</v>
          </cell>
          <cell r="C791" t="str">
            <v>Qtr 2</v>
          </cell>
          <cell r="D791" t="str">
            <v>April</v>
          </cell>
          <cell r="E791">
            <v>30</v>
          </cell>
          <cell r="F791" t="str">
            <v>CORRECTIVO</v>
          </cell>
          <cell r="G791">
            <v>1.55</v>
          </cell>
          <cell r="H791" t="str">
            <v>WF Mono Systems and Legacy Color</v>
          </cell>
          <cell r="I791">
            <v>803</v>
          </cell>
          <cell r="J791">
            <v>1573</v>
          </cell>
          <cell r="K791">
            <v>0.2</v>
          </cell>
          <cell r="L791">
            <v>0.6</v>
          </cell>
          <cell r="M791">
            <v>0.8</v>
          </cell>
          <cell r="N791">
            <v>1.05</v>
          </cell>
          <cell r="O791">
            <v>1.1000000000000001</v>
          </cell>
          <cell r="P791">
            <v>1.1499999999999999</v>
          </cell>
          <cell r="Q791" t="str">
            <v>INTERIOR</v>
          </cell>
          <cell r="R791">
            <v>4</v>
          </cell>
          <cell r="S791">
            <v>6</v>
          </cell>
          <cell r="T791" t="str">
            <v>Ciudad principal</v>
          </cell>
          <cell r="U791" t="str">
            <v>WF Mono Systems and Legacy Color</v>
          </cell>
          <cell r="V791" t="str">
            <v>XEROX MEXICANA SA DE CV / XEROX MEXICANA</v>
          </cell>
          <cell r="W791" t="str">
            <v>GUANAJUATO</v>
          </cell>
          <cell r="X791">
            <v>2019</v>
          </cell>
          <cell r="Y791" t="str">
            <v>Qtr 2</v>
          </cell>
          <cell r="Z791" t="str">
            <v>April</v>
          </cell>
          <cell r="AA791">
            <v>30</v>
          </cell>
          <cell r="AB791">
            <v>298</v>
          </cell>
          <cell r="AC791">
            <v>1.1499999999999999</v>
          </cell>
          <cell r="AD791">
            <v>0.38750000000000001</v>
          </cell>
          <cell r="AE791">
            <v>1808.95</v>
          </cell>
        </row>
        <row r="792">
          <cell r="A792" t="str">
            <v>0BG2939611</v>
          </cell>
          <cell r="B792">
            <v>2019</v>
          </cell>
          <cell r="C792" t="str">
            <v>Qtr 2</v>
          </cell>
          <cell r="D792" t="str">
            <v>April</v>
          </cell>
          <cell r="E792">
            <v>30</v>
          </cell>
          <cell r="F792" t="str">
            <v>MANTENIMIENTO PREVENTIVO</v>
          </cell>
          <cell r="G792">
            <v>0</v>
          </cell>
          <cell r="H792" t="str">
            <v>Light Production Digital Business</v>
          </cell>
          <cell r="I792">
            <v>803</v>
          </cell>
          <cell r="J792">
            <v>1573</v>
          </cell>
          <cell r="K792">
            <v>0.2</v>
          </cell>
          <cell r="L792">
            <v>0.6</v>
          </cell>
          <cell r="M792">
            <v>0.8</v>
          </cell>
          <cell r="N792">
            <v>1.05</v>
          </cell>
          <cell r="O792">
            <v>1.1000000000000001</v>
          </cell>
          <cell r="P792">
            <v>1.1499999999999999</v>
          </cell>
          <cell r="Q792" t="str">
            <v>INTERIOR</v>
          </cell>
          <cell r="R792">
            <v>4</v>
          </cell>
          <cell r="S792">
            <v>6</v>
          </cell>
          <cell r="T792" t="str">
            <v>Ciudad principal</v>
          </cell>
          <cell r="U792" t="str">
            <v>High End Cut Sheet</v>
          </cell>
          <cell r="V792" t="str">
            <v>XEROX MEXICANA SA DE CV / XEROX MEXICANA</v>
          </cell>
          <cell r="W792" t="str">
            <v>TAMAULIPAS</v>
          </cell>
          <cell r="X792">
            <v>2019</v>
          </cell>
          <cell r="Y792" t="str">
            <v>Qtr 2</v>
          </cell>
          <cell r="Z792" t="str">
            <v>April</v>
          </cell>
          <cell r="AA792">
            <v>30</v>
          </cell>
          <cell r="AB792">
            <v>4</v>
          </cell>
          <cell r="AC792">
            <v>0</v>
          </cell>
          <cell r="AD792">
            <v>0</v>
          </cell>
          <cell r="AE792">
            <v>1573</v>
          </cell>
        </row>
        <row r="793">
          <cell r="A793" t="str">
            <v>0BG2951526</v>
          </cell>
          <cell r="B793">
            <v>2019</v>
          </cell>
          <cell r="C793" t="str">
            <v>Qtr 2</v>
          </cell>
          <cell r="D793" t="str">
            <v>April</v>
          </cell>
          <cell r="E793">
            <v>30</v>
          </cell>
          <cell r="F793" t="str">
            <v>CORRECTIVO</v>
          </cell>
          <cell r="G793">
            <v>0.63333329999999999</v>
          </cell>
          <cell r="H793" t="str">
            <v>Light Production Digital Business</v>
          </cell>
          <cell r="I793">
            <v>803</v>
          </cell>
          <cell r="J793">
            <v>1573</v>
          </cell>
          <cell r="K793">
            <v>0.2</v>
          </cell>
          <cell r="L793">
            <v>0.6</v>
          </cell>
          <cell r="M793">
            <v>0.8</v>
          </cell>
          <cell r="N793">
            <v>1.05</v>
          </cell>
          <cell r="O793">
            <v>1.1000000000000001</v>
          </cell>
          <cell r="P793">
            <v>1.1499999999999999</v>
          </cell>
          <cell r="Q793" t="str">
            <v>INTERIOR</v>
          </cell>
          <cell r="R793">
            <v>4</v>
          </cell>
          <cell r="S793">
            <v>6</v>
          </cell>
          <cell r="T793" t="str">
            <v>Ciudad principal</v>
          </cell>
          <cell r="U793" t="str">
            <v>High End Cut Sheet</v>
          </cell>
          <cell r="V793" t="str">
            <v>XEROX MEXICANA SA DE CV / XEROX MEXICANA</v>
          </cell>
          <cell r="W793" t="str">
            <v>CHIHUAHUA</v>
          </cell>
          <cell r="X793">
            <v>2019</v>
          </cell>
          <cell r="Y793" t="str">
            <v>Qtr 2</v>
          </cell>
          <cell r="Z793" t="str">
            <v>April</v>
          </cell>
          <cell r="AA793">
            <v>30</v>
          </cell>
          <cell r="AB793">
            <v>33</v>
          </cell>
          <cell r="AC793">
            <v>1.1000000000000001</v>
          </cell>
          <cell r="AD793">
            <v>0.158333325</v>
          </cell>
          <cell r="AE793">
            <v>1730.3</v>
          </cell>
        </row>
        <row r="794">
          <cell r="A794" t="str">
            <v>0BG2951676</v>
          </cell>
          <cell r="B794">
            <v>2019</v>
          </cell>
          <cell r="C794" t="str">
            <v>Qtr 2</v>
          </cell>
          <cell r="D794" t="str">
            <v>April</v>
          </cell>
          <cell r="E794">
            <v>30</v>
          </cell>
          <cell r="F794" t="str">
            <v>CORRECTIVO</v>
          </cell>
          <cell r="G794">
            <v>1.3</v>
          </cell>
          <cell r="H794" t="str">
            <v>Light Production Digital Business</v>
          </cell>
          <cell r="I794">
            <v>803</v>
          </cell>
          <cell r="J794">
            <v>1573</v>
          </cell>
          <cell r="K794">
            <v>0.2</v>
          </cell>
          <cell r="L794">
            <v>0.6</v>
          </cell>
          <cell r="M794">
            <v>0.8</v>
          </cell>
          <cell r="N794">
            <v>1.05</v>
          </cell>
          <cell r="O794">
            <v>1.1000000000000001</v>
          </cell>
          <cell r="P794">
            <v>1.1499999999999999</v>
          </cell>
          <cell r="Q794" t="str">
            <v>INTERIOR</v>
          </cell>
          <cell r="R794">
            <v>4</v>
          </cell>
          <cell r="S794">
            <v>6</v>
          </cell>
          <cell r="T794" t="str">
            <v>Ciudad principal</v>
          </cell>
          <cell r="U794" t="str">
            <v>High End Cut Sheet</v>
          </cell>
          <cell r="V794" t="str">
            <v>XEROX MEXICANA SA DE CV / XEROX MEXICANA</v>
          </cell>
          <cell r="W794" t="str">
            <v>TAMAULIPAS</v>
          </cell>
          <cell r="X794">
            <v>2019</v>
          </cell>
          <cell r="Y794" t="str">
            <v>Qtr 2</v>
          </cell>
          <cell r="Z794" t="str">
            <v>April</v>
          </cell>
          <cell r="AA794">
            <v>30</v>
          </cell>
          <cell r="AB794">
            <v>8</v>
          </cell>
          <cell r="AC794">
            <v>0.8</v>
          </cell>
          <cell r="AD794">
            <v>0.32500000000000001</v>
          </cell>
          <cell r="AE794">
            <v>1258.4000000000001</v>
          </cell>
        </row>
        <row r="795">
          <cell r="A795" t="str">
            <v>0C4X003904</v>
          </cell>
          <cell r="B795">
            <v>2019</v>
          </cell>
          <cell r="C795" t="str">
            <v>Qtr 2</v>
          </cell>
          <cell r="D795" t="str">
            <v>April</v>
          </cell>
          <cell r="E795">
            <v>30</v>
          </cell>
          <cell r="F795" t="str">
            <v>CORRECTIVO</v>
          </cell>
          <cell r="G795">
            <v>0.96666660000000004</v>
          </cell>
          <cell r="H795" t="str">
            <v>A4 Mono MFPs</v>
          </cell>
          <cell r="I795">
            <v>468</v>
          </cell>
          <cell r="J795">
            <v>715</v>
          </cell>
          <cell r="K795">
            <v>0</v>
          </cell>
          <cell r="L795">
            <v>0</v>
          </cell>
          <cell r="M795">
            <v>0</v>
          </cell>
          <cell r="N795">
            <v>0.6</v>
          </cell>
          <cell r="O795">
            <v>0.8</v>
          </cell>
          <cell r="P795">
            <v>1.05</v>
          </cell>
          <cell r="Q795" t="str">
            <v>INTERIOR</v>
          </cell>
          <cell r="R795">
            <v>5</v>
          </cell>
          <cell r="S795">
            <v>9</v>
          </cell>
          <cell r="T795" t="str">
            <v>Ciudad principal</v>
          </cell>
          <cell r="U795" t="str">
            <v>A4 Mono MFPs</v>
          </cell>
          <cell r="V795" t="str">
            <v>XEROX MEXICANA SA DE CV / XEROX MEXICANA</v>
          </cell>
          <cell r="W795" t="str">
            <v>GUANAJUATO</v>
          </cell>
          <cell r="X795">
            <v>2019</v>
          </cell>
          <cell r="Y795" t="str">
            <v>Qtr 2</v>
          </cell>
          <cell r="Z795" t="str">
            <v>April</v>
          </cell>
          <cell r="AA795">
            <v>30</v>
          </cell>
          <cell r="AB795">
            <v>104</v>
          </cell>
          <cell r="AC795">
            <v>1.05</v>
          </cell>
          <cell r="AD795">
            <v>0.19333332</v>
          </cell>
          <cell r="AE795">
            <v>750.75</v>
          </cell>
        </row>
        <row r="796">
          <cell r="A796" t="str">
            <v>0C7X236617</v>
          </cell>
          <cell r="B796">
            <v>2019</v>
          </cell>
          <cell r="C796" t="str">
            <v>Qtr 2</v>
          </cell>
          <cell r="D796" t="str">
            <v>April</v>
          </cell>
          <cell r="E796">
            <v>30</v>
          </cell>
          <cell r="F796" t="str">
            <v>CORRECTIVO</v>
          </cell>
          <cell r="G796">
            <v>1.3666670000000001</v>
          </cell>
          <cell r="H796" t="str">
            <v>A4 Mono MFPs</v>
          </cell>
          <cell r="I796">
            <v>468</v>
          </cell>
          <cell r="J796">
            <v>715</v>
          </cell>
          <cell r="K796">
            <v>0</v>
          </cell>
          <cell r="L796">
            <v>0</v>
          </cell>
          <cell r="M796">
            <v>0</v>
          </cell>
          <cell r="N796">
            <v>0.6</v>
          </cell>
          <cell r="O796">
            <v>0.8</v>
          </cell>
          <cell r="P796">
            <v>1.05</v>
          </cell>
          <cell r="Q796" t="str">
            <v>INTERIOR</v>
          </cell>
          <cell r="R796">
            <v>5</v>
          </cell>
          <cell r="S796">
            <v>9</v>
          </cell>
          <cell r="T796" t="str">
            <v>Ciudad principal</v>
          </cell>
          <cell r="U796" t="str">
            <v>A4 Mono MFPs</v>
          </cell>
          <cell r="V796" t="str">
            <v>XEROX MEXICANA SA DE CV / XEROX MEXICANA</v>
          </cell>
          <cell r="W796" t="str">
            <v>CHIHUAHUA</v>
          </cell>
          <cell r="X796">
            <v>2019</v>
          </cell>
          <cell r="Y796" t="str">
            <v>Qtr 2</v>
          </cell>
          <cell r="Z796" t="str">
            <v>April</v>
          </cell>
          <cell r="AA796">
            <v>30</v>
          </cell>
          <cell r="AB796">
            <v>1</v>
          </cell>
          <cell r="AC796">
            <v>0</v>
          </cell>
          <cell r="AD796">
            <v>0.2733334</v>
          </cell>
          <cell r="AE796">
            <v>0</v>
          </cell>
        </row>
        <row r="797">
          <cell r="A797" t="str">
            <v>0E2B646616</v>
          </cell>
          <cell r="B797">
            <v>2019</v>
          </cell>
          <cell r="C797" t="str">
            <v>Qtr 2</v>
          </cell>
          <cell r="D797" t="str">
            <v>April</v>
          </cell>
          <cell r="E797">
            <v>30</v>
          </cell>
          <cell r="F797" t="str">
            <v>CORRECTIVO</v>
          </cell>
          <cell r="G797">
            <v>2.8666670000000001</v>
          </cell>
          <cell r="H797" t="str">
            <v>Entry Production Color Low/Mid</v>
          </cell>
          <cell r="I797">
            <v>803</v>
          </cell>
          <cell r="J797">
            <v>1573</v>
          </cell>
          <cell r="K797">
            <v>0.2</v>
          </cell>
          <cell r="L797">
            <v>0.6</v>
          </cell>
          <cell r="M797">
            <v>0.8</v>
          </cell>
          <cell r="N797">
            <v>1.05</v>
          </cell>
          <cell r="O797">
            <v>1.1000000000000001</v>
          </cell>
          <cell r="P797">
            <v>1.1499999999999999</v>
          </cell>
          <cell r="Q797" t="str">
            <v>INTERIOR</v>
          </cell>
          <cell r="R797">
            <v>4</v>
          </cell>
          <cell r="S797">
            <v>6</v>
          </cell>
          <cell r="T797" t="str">
            <v>Ciudad principal</v>
          </cell>
          <cell r="U797" t="str">
            <v>Entry Production Color Low/Mid</v>
          </cell>
          <cell r="V797" t="str">
            <v>XEROX MEXICANA SA DE CV / XEROX MEXICANA</v>
          </cell>
          <cell r="W797" t="str">
            <v>JALISCO</v>
          </cell>
          <cell r="X797">
            <v>2019</v>
          </cell>
          <cell r="Y797" t="str">
            <v>Qtr 2</v>
          </cell>
          <cell r="Z797" t="str">
            <v>April</v>
          </cell>
          <cell r="AA797">
            <v>30</v>
          </cell>
          <cell r="AB797">
            <v>4</v>
          </cell>
          <cell r="AC797">
            <v>0.6</v>
          </cell>
          <cell r="AD797">
            <v>0.71666675000000002</v>
          </cell>
          <cell r="AE797">
            <v>943.8</v>
          </cell>
        </row>
        <row r="798">
          <cell r="A798" t="str">
            <v>0E2B656382</v>
          </cell>
          <cell r="B798">
            <v>2019</v>
          </cell>
          <cell r="C798" t="str">
            <v>Qtr 2</v>
          </cell>
          <cell r="D798" t="str">
            <v>April</v>
          </cell>
          <cell r="E798">
            <v>30</v>
          </cell>
          <cell r="F798" t="str">
            <v>CORRECTIVO</v>
          </cell>
          <cell r="G798">
            <v>0.46666669999999999</v>
          </cell>
          <cell r="H798" t="str">
            <v>Entry Production Color Low/Mid</v>
          </cell>
          <cell r="I798">
            <v>803</v>
          </cell>
          <cell r="J798">
            <v>1573</v>
          </cell>
          <cell r="K798">
            <v>0.2</v>
          </cell>
          <cell r="L798">
            <v>0.6</v>
          </cell>
          <cell r="M798">
            <v>0.8</v>
          </cell>
          <cell r="N798">
            <v>1.05</v>
          </cell>
          <cell r="O798">
            <v>1.1000000000000001</v>
          </cell>
          <cell r="P798">
            <v>1.1499999999999999</v>
          </cell>
          <cell r="Q798" t="str">
            <v>INTERIOR</v>
          </cell>
          <cell r="R798">
            <v>4</v>
          </cell>
          <cell r="S798">
            <v>6</v>
          </cell>
          <cell r="T798" t="str">
            <v>Ciudad principal</v>
          </cell>
          <cell r="U798" t="str">
            <v>Entry Production Color Low/Mid</v>
          </cell>
          <cell r="V798" t="str">
            <v>XEROX MEXICANA SA DE CV / XEROX MEXICANA</v>
          </cell>
          <cell r="W798" t="str">
            <v>CHIHUAHUA</v>
          </cell>
          <cell r="X798">
            <v>2019</v>
          </cell>
          <cell r="Y798" t="str">
            <v>Qtr 2</v>
          </cell>
          <cell r="Z798" t="str">
            <v>April</v>
          </cell>
          <cell r="AA798">
            <v>30</v>
          </cell>
          <cell r="AB798">
            <v>49</v>
          </cell>
          <cell r="AC798">
            <v>1.1000000000000001</v>
          </cell>
          <cell r="AD798">
            <v>0.116666675</v>
          </cell>
          <cell r="AE798">
            <v>1730.3</v>
          </cell>
        </row>
        <row r="799">
          <cell r="A799" t="str">
            <v>0LA6296642</v>
          </cell>
          <cell r="B799">
            <v>2019</v>
          </cell>
          <cell r="C799" t="str">
            <v>Qtr 2</v>
          </cell>
          <cell r="D799" t="str">
            <v>April</v>
          </cell>
          <cell r="E799">
            <v>30</v>
          </cell>
          <cell r="F799" t="str">
            <v>CORRECTIVO</v>
          </cell>
          <cell r="G799">
            <v>2.9166669999999999</v>
          </cell>
          <cell r="H799" t="str">
            <v>A4 Mono MFPs</v>
          </cell>
          <cell r="I799">
            <v>468</v>
          </cell>
          <cell r="J799">
            <v>715</v>
          </cell>
          <cell r="K799">
            <v>0</v>
          </cell>
          <cell r="L799">
            <v>0</v>
          </cell>
          <cell r="M799">
            <v>0</v>
          </cell>
          <cell r="N799">
            <v>0.6</v>
          </cell>
          <cell r="O799">
            <v>0.8</v>
          </cell>
          <cell r="P799">
            <v>1.05</v>
          </cell>
          <cell r="Q799" t="str">
            <v>INTERIOR</v>
          </cell>
          <cell r="R799">
            <v>5</v>
          </cell>
          <cell r="S799">
            <v>9</v>
          </cell>
          <cell r="T799" t="str">
            <v>Ciudad principal</v>
          </cell>
          <cell r="U799" t="str">
            <v>A4 Mono MFPs</v>
          </cell>
          <cell r="V799" t="str">
            <v>XEROX MEXICANA SA DE CV / XEROX MEXICANA</v>
          </cell>
          <cell r="W799" t="str">
            <v>TAMAULIPAS</v>
          </cell>
          <cell r="X799">
            <v>2019</v>
          </cell>
          <cell r="Y799" t="str">
            <v>Qtr 2</v>
          </cell>
          <cell r="Z799" t="str">
            <v>April</v>
          </cell>
          <cell r="AA799">
            <v>30</v>
          </cell>
          <cell r="AB799">
            <v>105</v>
          </cell>
          <cell r="AC799">
            <v>1.05</v>
          </cell>
          <cell r="AD799">
            <v>0.5833334</v>
          </cell>
          <cell r="AE799">
            <v>750.75</v>
          </cell>
        </row>
        <row r="800">
          <cell r="A800" t="str">
            <v>0LBP345977</v>
          </cell>
          <cell r="B800">
            <v>2019</v>
          </cell>
          <cell r="C800" t="str">
            <v>Qtr 2</v>
          </cell>
          <cell r="D800" t="str">
            <v>April</v>
          </cell>
          <cell r="E800">
            <v>30</v>
          </cell>
          <cell r="F800" t="str">
            <v>CORRECTIVO</v>
          </cell>
          <cell r="G800">
            <v>2.0333329999999998</v>
          </cell>
          <cell r="I800" t="str">
            <v>NA</v>
          </cell>
          <cell r="J800" t="str">
            <v>NA</v>
          </cell>
          <cell r="K800" t="str">
            <v>NA</v>
          </cell>
          <cell r="L800" t="str">
            <v>NA</v>
          </cell>
          <cell r="M800" t="str">
            <v>NA</v>
          </cell>
          <cell r="N800" t="str">
            <v>NA</v>
          </cell>
          <cell r="O800" t="str">
            <v>NA</v>
          </cell>
          <cell r="P800" t="str">
            <v>NA</v>
          </cell>
          <cell r="R800" t="str">
            <v>NA</v>
          </cell>
          <cell r="S800" t="str">
            <v>NA</v>
          </cell>
          <cell r="U800" t="str">
            <v>A4 Mono MFPs</v>
          </cell>
          <cell r="V800" t="str">
            <v>XEROX MEXICANA SA DE CV / XEROX MEXICANA</v>
          </cell>
          <cell r="W800" t="str">
            <v>JALISCO</v>
          </cell>
          <cell r="X800">
            <v>2019</v>
          </cell>
          <cell r="Y800" t="str">
            <v>Qtr 2</v>
          </cell>
          <cell r="Z800" t="str">
            <v>April</v>
          </cell>
          <cell r="AA800">
            <v>30</v>
          </cell>
          <cell r="AB800">
            <v>27</v>
          </cell>
          <cell r="AC800">
            <v>1.1000000000000001</v>
          </cell>
          <cell r="AD800">
            <v>0</v>
          </cell>
          <cell r="AE800">
            <v>429</v>
          </cell>
        </row>
        <row r="801">
          <cell r="A801" t="str">
            <v>0VGW624391</v>
          </cell>
          <cell r="B801">
            <v>2019</v>
          </cell>
          <cell r="C801" t="str">
            <v>Qtr 2</v>
          </cell>
          <cell r="D801" t="str">
            <v>April</v>
          </cell>
          <cell r="E801">
            <v>30</v>
          </cell>
          <cell r="F801" t="str">
            <v>CORRECTIVO</v>
          </cell>
          <cell r="G801">
            <v>0.3333333</v>
          </cell>
          <cell r="H801" t="str">
            <v>Entry Production Color Low/Mid</v>
          </cell>
          <cell r="I801">
            <v>803</v>
          </cell>
          <cell r="J801">
            <v>1573</v>
          </cell>
          <cell r="K801">
            <v>0.2</v>
          </cell>
          <cell r="L801">
            <v>0.6</v>
          </cell>
          <cell r="M801">
            <v>0.8</v>
          </cell>
          <cell r="N801">
            <v>1.05</v>
          </cell>
          <cell r="O801">
            <v>1.1000000000000001</v>
          </cell>
          <cell r="P801">
            <v>1.1499999999999999</v>
          </cell>
          <cell r="Q801" t="str">
            <v>INTERIOR</v>
          </cell>
          <cell r="R801">
            <v>4</v>
          </cell>
          <cell r="S801">
            <v>6</v>
          </cell>
          <cell r="T801" t="str">
            <v>Ciudad principal</v>
          </cell>
          <cell r="U801" t="str">
            <v>Entry Production Color Low/Mid</v>
          </cell>
          <cell r="V801" t="str">
            <v>XEROX MEXICANA SA DE CV / XEROX MEXICANA</v>
          </cell>
          <cell r="W801" t="str">
            <v>CHIHUAHUA</v>
          </cell>
          <cell r="X801">
            <v>2019</v>
          </cell>
          <cell r="Y801" t="str">
            <v>Qtr 2</v>
          </cell>
          <cell r="Z801" t="str">
            <v>April</v>
          </cell>
          <cell r="AA801">
            <v>30</v>
          </cell>
          <cell r="AB801">
            <v>16</v>
          </cell>
          <cell r="AC801">
            <v>1.05</v>
          </cell>
          <cell r="AD801">
            <v>8.3333325E-2</v>
          </cell>
          <cell r="AE801">
            <v>1651.65</v>
          </cell>
        </row>
        <row r="802">
          <cell r="A802" t="str">
            <v>0WXP008416</v>
          </cell>
          <cell r="B802">
            <v>2019</v>
          </cell>
          <cell r="C802" t="str">
            <v>Qtr 2</v>
          </cell>
          <cell r="D802" t="str">
            <v>April</v>
          </cell>
          <cell r="E802">
            <v>30</v>
          </cell>
          <cell r="F802" t="str">
            <v>MANTENIMIENTO PREVENTIVO</v>
          </cell>
          <cell r="G802">
            <v>0</v>
          </cell>
          <cell r="H802" t="str">
            <v>Xerox Color Press</v>
          </cell>
          <cell r="I802">
            <v>1116</v>
          </cell>
          <cell r="J802">
            <v>2145</v>
          </cell>
          <cell r="K802">
            <v>0.6</v>
          </cell>
          <cell r="L802">
            <v>0.8</v>
          </cell>
          <cell r="M802">
            <v>1.05</v>
          </cell>
          <cell r="N802">
            <v>1.1000000000000001</v>
          </cell>
          <cell r="O802">
            <v>1.1499999999999999</v>
          </cell>
          <cell r="P802">
            <v>1.2</v>
          </cell>
          <cell r="Q802" t="str">
            <v>INTERIOR</v>
          </cell>
          <cell r="R802">
            <v>4</v>
          </cell>
          <cell r="S802">
            <v>6</v>
          </cell>
          <cell r="T802" t="str">
            <v>Ciudad principal</v>
          </cell>
          <cell r="U802" t="str">
            <v>High End Cut Sheet</v>
          </cell>
          <cell r="V802" t="str">
            <v>XEROX MEXICANA SA DE CV / XEROX MEXICANA</v>
          </cell>
          <cell r="W802" t="str">
            <v>NUEVO LEON</v>
          </cell>
          <cell r="X802">
            <v>2019</v>
          </cell>
          <cell r="Y802" t="str">
            <v>Qtr 2</v>
          </cell>
          <cell r="Z802" t="str">
            <v>April</v>
          </cell>
          <cell r="AA802">
            <v>30</v>
          </cell>
          <cell r="AB802">
            <v>6</v>
          </cell>
          <cell r="AC802">
            <v>0</v>
          </cell>
          <cell r="AD802">
            <v>0</v>
          </cell>
          <cell r="AE802">
            <v>2145</v>
          </cell>
        </row>
        <row r="803">
          <cell r="A803" t="str">
            <v>0X76705839</v>
          </cell>
          <cell r="B803">
            <v>2019</v>
          </cell>
          <cell r="C803" t="str">
            <v>Qtr 2</v>
          </cell>
          <cell r="D803" t="str">
            <v>April</v>
          </cell>
          <cell r="E803">
            <v>30</v>
          </cell>
          <cell r="F803" t="str">
            <v>CORRECTIVO</v>
          </cell>
          <cell r="G803">
            <v>0.61666670000000001</v>
          </cell>
          <cell r="H803" t="str">
            <v>Office Digital</v>
          </cell>
          <cell r="I803">
            <v>655</v>
          </cell>
          <cell r="J803">
            <v>1365</v>
          </cell>
          <cell r="K803">
            <v>0</v>
          </cell>
          <cell r="L803">
            <v>0</v>
          </cell>
          <cell r="M803">
            <v>0.6</v>
          </cell>
          <cell r="N803">
            <v>0.8</v>
          </cell>
          <cell r="O803">
            <v>1.05</v>
          </cell>
          <cell r="P803">
            <v>1.1000000000000001</v>
          </cell>
          <cell r="Q803" t="str">
            <v>INTERIOR</v>
          </cell>
          <cell r="R803">
            <v>5</v>
          </cell>
          <cell r="S803">
            <v>9</v>
          </cell>
          <cell r="T803" t="str">
            <v>Ciudad principal</v>
          </cell>
          <cell r="U803" t="str">
            <v>Departmental Digital</v>
          </cell>
          <cell r="V803" t="str">
            <v>XEROX MEXICANA SA DE CV / XEROX MEXICANA</v>
          </cell>
          <cell r="W803" t="str">
            <v>CHIHUAHUA</v>
          </cell>
          <cell r="X803">
            <v>2019</v>
          </cell>
          <cell r="Y803" t="str">
            <v>Qtr 2</v>
          </cell>
          <cell r="Z803" t="str">
            <v>April</v>
          </cell>
          <cell r="AA803">
            <v>30</v>
          </cell>
          <cell r="AB803">
            <v>19</v>
          </cell>
          <cell r="AC803">
            <v>0.8</v>
          </cell>
          <cell r="AD803">
            <v>0.12333334</v>
          </cell>
          <cell r="AE803">
            <v>1092</v>
          </cell>
        </row>
        <row r="804">
          <cell r="A804" t="str">
            <v>0XEL566484</v>
          </cell>
          <cell r="B804">
            <v>2019</v>
          </cell>
          <cell r="C804" t="str">
            <v>Qtr 2</v>
          </cell>
          <cell r="D804" t="str">
            <v>April</v>
          </cell>
          <cell r="E804">
            <v>30</v>
          </cell>
          <cell r="F804" t="str">
            <v>MANTENIMIENTO PREVENTIVO</v>
          </cell>
          <cell r="G804">
            <v>0</v>
          </cell>
          <cell r="H804" t="str">
            <v>Departmental Digital</v>
          </cell>
          <cell r="I804">
            <v>655</v>
          </cell>
          <cell r="J804">
            <v>1365</v>
          </cell>
          <cell r="K804">
            <v>0</v>
          </cell>
          <cell r="L804">
            <v>0</v>
          </cell>
          <cell r="M804">
            <v>0.6</v>
          </cell>
          <cell r="N804">
            <v>0.8</v>
          </cell>
          <cell r="O804">
            <v>1.05</v>
          </cell>
          <cell r="P804">
            <v>1.1000000000000001</v>
          </cell>
          <cell r="Q804" t="str">
            <v>INTERIOR</v>
          </cell>
          <cell r="R804">
            <v>5</v>
          </cell>
          <cell r="S804">
            <v>9</v>
          </cell>
          <cell r="T804" t="str">
            <v>Ciudad principal</v>
          </cell>
          <cell r="U804" t="str">
            <v>Departmental Digital</v>
          </cell>
          <cell r="V804" t="str">
            <v>XEROX MEXICANA SA DE CV / XEROX MEXICANA</v>
          </cell>
          <cell r="W804" t="str">
            <v>JALISCO</v>
          </cell>
          <cell r="X804">
            <v>2019</v>
          </cell>
          <cell r="Y804" t="str">
            <v>Qtr 2</v>
          </cell>
          <cell r="Z804" t="str">
            <v>April</v>
          </cell>
          <cell r="AA804">
            <v>30</v>
          </cell>
          <cell r="AB804">
            <v>5</v>
          </cell>
          <cell r="AC804">
            <v>0</v>
          </cell>
          <cell r="AD804">
            <v>0</v>
          </cell>
          <cell r="AE804">
            <v>1365</v>
          </cell>
        </row>
      </sheetData>
      <sheetData sheetId="3">
        <row r="1">
          <cell r="B1" t="str">
            <v>N° de serie</v>
          </cell>
          <cell r="C1" t="str">
            <v>Year</v>
          </cell>
          <cell r="D1" t="str">
            <v>Quarter</v>
          </cell>
          <cell r="E1" t="str">
            <v>Month</v>
          </cell>
          <cell r="F1" t="str">
            <v>Day</v>
          </cell>
          <cell r="G1" t="str">
            <v>Categoría</v>
          </cell>
          <cell r="H1" t="str">
            <v>T. respuesta</v>
          </cell>
          <cell r="I1" t="str">
            <v>Business Team</v>
          </cell>
          <cell r="J1" t="str">
            <v>Pago Base CDMX y área metropolitana</v>
          </cell>
          <cell r="K1" t="str">
            <v>Pago Base Interior</v>
          </cell>
          <cell r="L1" t="str">
            <v>menos de 3 días</v>
          </cell>
          <cell r="M1" t="str">
            <v>entre 3 y 6 días</v>
          </cell>
          <cell r="N1" t="str">
            <v>entre 7 y 15 días</v>
          </cell>
          <cell r="O1" t="str">
            <v>entre 16 y 30 días</v>
          </cell>
          <cell r="P1" t="str">
            <v>entre 31 y 59 días</v>
          </cell>
          <cell r="Q1" t="str">
            <v>60 días o más</v>
          </cell>
          <cell r="R1" t="str">
            <v>REGION</v>
          </cell>
          <cell r="S1" t="str">
            <v>TR Ciudades principales</v>
          </cell>
          <cell r="T1" t="str">
            <v>TR Otras ciudades</v>
          </cell>
          <cell r="U1" t="str">
            <v>Loc TR</v>
          </cell>
          <cell r="V1" t="str">
            <v>familia matriz global</v>
          </cell>
          <cell r="W1" t="str">
            <v>Ruta</v>
          </cell>
          <cell r="X1" t="str">
            <v>Year.1</v>
          </cell>
          <cell r="Y1" t="str">
            <v>Quarter.1</v>
          </cell>
          <cell r="Z1" t="str">
            <v>Month.1</v>
          </cell>
          <cell r="AA1" t="str">
            <v>Day.1</v>
          </cell>
          <cell r="AB1" t="str">
            <v>RESIDENTE/FIJO</v>
          </cell>
          <cell r="AC1" t="str">
            <v>time</v>
          </cell>
          <cell r="AD1" t="str">
            <v>viabilidad</v>
          </cell>
          <cell r="AE1" t="str">
            <v>veces_obj</v>
          </cell>
          <cell r="AF1" t="str">
            <v>pagofinal</v>
          </cell>
        </row>
        <row r="2">
          <cell r="B2" t="str">
            <v>9HB334888</v>
          </cell>
          <cell r="C2">
            <v>2019</v>
          </cell>
          <cell r="D2" t="str">
            <v>Qtr 1</v>
          </cell>
          <cell r="E2" t="str">
            <v>March</v>
          </cell>
          <cell r="F2">
            <v>4</v>
          </cell>
          <cell r="G2" t="str">
            <v>INSTALACION NUEVA</v>
          </cell>
          <cell r="H2">
            <v>0</v>
          </cell>
          <cell r="J2" t="str">
            <v>NA</v>
          </cell>
          <cell r="K2" t="str">
            <v>NA</v>
          </cell>
          <cell r="L2" t="str">
            <v>NA</v>
          </cell>
          <cell r="M2" t="str">
            <v>NA</v>
          </cell>
          <cell r="N2" t="str">
            <v>NA</v>
          </cell>
          <cell r="O2" t="str">
            <v>NA</v>
          </cell>
          <cell r="P2" t="str">
            <v>NA</v>
          </cell>
          <cell r="Q2" t="str">
            <v>NA</v>
          </cell>
          <cell r="S2" t="str">
            <v>NA</v>
          </cell>
          <cell r="T2" t="str">
            <v>NA</v>
          </cell>
          <cell r="V2" t="str">
            <v>A4 Mono MFPs</v>
          </cell>
          <cell r="W2" t="str">
            <v>ESTADO DE MEXICO</v>
          </cell>
          <cell r="X2">
            <v>2019</v>
          </cell>
          <cell r="Y2" t="str">
            <v>Qtr 2</v>
          </cell>
          <cell r="Z2" t="str">
            <v>April</v>
          </cell>
          <cell r="AA2">
            <v>4</v>
          </cell>
          <cell r="AB2" t="str">
            <v>NA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</row>
        <row r="3">
          <cell r="B3" t="str">
            <v>0AGD461524</v>
          </cell>
          <cell r="C3">
            <v>2019</v>
          </cell>
          <cell r="D3" t="str">
            <v>Qtr 1</v>
          </cell>
          <cell r="E3" t="str">
            <v>March</v>
          </cell>
          <cell r="F3">
            <v>5</v>
          </cell>
          <cell r="G3" t="str">
            <v>CORRECTIVO</v>
          </cell>
          <cell r="H3">
            <v>2.8666670000000001</v>
          </cell>
          <cell r="J3" t="str">
            <v>NA</v>
          </cell>
          <cell r="K3" t="str">
            <v>NA</v>
          </cell>
          <cell r="L3" t="str">
            <v>NA</v>
          </cell>
          <cell r="M3" t="str">
            <v>NA</v>
          </cell>
          <cell r="N3" t="str">
            <v>NA</v>
          </cell>
          <cell r="O3" t="str">
            <v>NA</v>
          </cell>
          <cell r="P3" t="str">
            <v>NA</v>
          </cell>
          <cell r="Q3" t="str">
            <v>NA</v>
          </cell>
          <cell r="S3" t="str">
            <v>NA</v>
          </cell>
          <cell r="T3" t="str">
            <v>NA</v>
          </cell>
          <cell r="V3" t="str">
            <v>A4 Color Laser MFPs</v>
          </cell>
          <cell r="W3" t="str">
            <v>NUEVO LEON</v>
          </cell>
          <cell r="X3">
            <v>2019</v>
          </cell>
          <cell r="Y3" t="str">
            <v>Qtr 2</v>
          </cell>
          <cell r="Z3" t="str">
            <v>April</v>
          </cell>
          <cell r="AA3">
            <v>22</v>
          </cell>
          <cell r="AB3" t="str">
            <v>NA</v>
          </cell>
          <cell r="AC3">
            <v>11</v>
          </cell>
          <cell r="AD3">
            <v>0</v>
          </cell>
          <cell r="AE3">
            <v>0</v>
          </cell>
          <cell r="AF3">
            <v>0</v>
          </cell>
        </row>
        <row r="4">
          <cell r="B4" t="str">
            <v>0BG2951668</v>
          </cell>
          <cell r="C4">
            <v>2019</v>
          </cell>
          <cell r="D4" t="str">
            <v>Qtr 1</v>
          </cell>
          <cell r="E4" t="str">
            <v>March</v>
          </cell>
          <cell r="F4">
            <v>11</v>
          </cell>
          <cell r="G4" t="str">
            <v>MANTENIMIENTO PREVENTIVO</v>
          </cell>
          <cell r="H4">
            <v>0</v>
          </cell>
          <cell r="I4" t="str">
            <v>Light Production Digital Business</v>
          </cell>
          <cell r="J4">
            <v>803</v>
          </cell>
          <cell r="K4">
            <v>1573</v>
          </cell>
          <cell r="L4">
            <v>0.2</v>
          </cell>
          <cell r="M4">
            <v>0.6</v>
          </cell>
          <cell r="N4">
            <v>0.8</v>
          </cell>
          <cell r="O4">
            <v>1.05</v>
          </cell>
          <cell r="P4">
            <v>1.1000000000000001</v>
          </cell>
          <cell r="Q4">
            <v>1.1499999999999999</v>
          </cell>
          <cell r="R4" t="str">
            <v>INTERIOR</v>
          </cell>
          <cell r="S4">
            <v>4</v>
          </cell>
          <cell r="T4">
            <v>6</v>
          </cell>
          <cell r="U4" t="str">
            <v>Ciudad principal</v>
          </cell>
          <cell r="V4" t="str">
            <v>High End Cut Sheet</v>
          </cell>
          <cell r="W4" t="str">
            <v>NUEVO LEON</v>
          </cell>
          <cell r="X4">
            <v>2019</v>
          </cell>
          <cell r="Y4" t="str">
            <v>Qtr 2</v>
          </cell>
          <cell r="Z4" t="str">
            <v>April</v>
          </cell>
          <cell r="AA4">
            <v>11</v>
          </cell>
          <cell r="AB4">
            <v>0</v>
          </cell>
          <cell r="AC4">
            <v>14</v>
          </cell>
          <cell r="AD4">
            <v>0</v>
          </cell>
          <cell r="AE4">
            <v>0</v>
          </cell>
          <cell r="AF4">
            <v>1573</v>
          </cell>
        </row>
        <row r="5">
          <cell r="B5" t="str">
            <v>0BPB110617</v>
          </cell>
          <cell r="C5">
            <v>2019</v>
          </cell>
          <cell r="D5" t="str">
            <v>Qtr 1</v>
          </cell>
          <cell r="E5" t="str">
            <v>March</v>
          </cell>
          <cell r="F5">
            <v>13</v>
          </cell>
          <cell r="G5" t="str">
            <v>CORRECTIVO</v>
          </cell>
          <cell r="H5">
            <v>2.2166670000000002</v>
          </cell>
          <cell r="J5" t="str">
            <v>NA</v>
          </cell>
          <cell r="K5" t="str">
            <v>NA</v>
          </cell>
          <cell r="L5" t="str">
            <v>NA</v>
          </cell>
          <cell r="M5" t="str">
            <v>NA</v>
          </cell>
          <cell r="N5" t="str">
            <v>NA</v>
          </cell>
          <cell r="O5" t="str">
            <v>NA</v>
          </cell>
          <cell r="P5" t="str">
            <v>NA</v>
          </cell>
          <cell r="Q5" t="str">
            <v>NA</v>
          </cell>
          <cell r="S5" t="str">
            <v>NA</v>
          </cell>
          <cell r="T5" t="str">
            <v>NA</v>
          </cell>
          <cell r="V5" t="str">
            <v>High End Cut Sheet</v>
          </cell>
          <cell r="W5" t="str">
            <v>JALISCO</v>
          </cell>
          <cell r="X5">
            <v>2019</v>
          </cell>
          <cell r="Y5" t="str">
            <v>Qtr 2</v>
          </cell>
          <cell r="Z5" t="str">
            <v>April</v>
          </cell>
          <cell r="AA5">
            <v>1</v>
          </cell>
          <cell r="AB5" t="str">
            <v>NA</v>
          </cell>
          <cell r="AC5">
            <v>9</v>
          </cell>
          <cell r="AD5">
            <v>0</v>
          </cell>
          <cell r="AE5">
            <v>0</v>
          </cell>
          <cell r="AF5">
            <v>0</v>
          </cell>
        </row>
        <row r="6">
          <cell r="B6" t="str">
            <v>0BPB110653</v>
          </cell>
          <cell r="C6">
            <v>2019</v>
          </cell>
          <cell r="D6" t="str">
            <v>Qtr 1</v>
          </cell>
          <cell r="E6" t="str">
            <v>March</v>
          </cell>
          <cell r="F6">
            <v>13</v>
          </cell>
          <cell r="G6" t="str">
            <v>CORRECTIVO</v>
          </cell>
          <cell r="H6">
            <v>4.233333</v>
          </cell>
          <cell r="J6" t="str">
            <v>NA</v>
          </cell>
          <cell r="K6" t="str">
            <v>NA</v>
          </cell>
          <cell r="L6" t="str">
            <v>NA</v>
          </cell>
          <cell r="M6" t="str">
            <v>NA</v>
          </cell>
          <cell r="N6" t="str">
            <v>NA</v>
          </cell>
          <cell r="O6" t="str">
            <v>NA</v>
          </cell>
          <cell r="P6" t="str">
            <v>NA</v>
          </cell>
          <cell r="Q6" t="str">
            <v>NA</v>
          </cell>
          <cell r="S6" t="str">
            <v>NA</v>
          </cell>
          <cell r="T6" t="str">
            <v>NA</v>
          </cell>
          <cell r="V6" t="str">
            <v>High End Cut Sheet</v>
          </cell>
          <cell r="W6" t="str">
            <v>JALISCO</v>
          </cell>
          <cell r="X6">
            <v>2019</v>
          </cell>
          <cell r="Y6" t="str">
            <v>Qtr 2</v>
          </cell>
          <cell r="Z6" t="str">
            <v>April</v>
          </cell>
          <cell r="AA6">
            <v>3</v>
          </cell>
          <cell r="AB6" t="str">
            <v>NA</v>
          </cell>
          <cell r="AC6">
            <v>26</v>
          </cell>
          <cell r="AD6">
            <v>0</v>
          </cell>
          <cell r="AE6">
            <v>0</v>
          </cell>
          <cell r="AF6">
            <v>0</v>
          </cell>
        </row>
        <row r="7">
          <cell r="B7" t="str">
            <v xml:space="preserve"> 09HB914002</v>
          </cell>
          <cell r="C7">
            <v>2019</v>
          </cell>
          <cell r="D7" t="str">
            <v>Qtr 1</v>
          </cell>
          <cell r="E7" t="str">
            <v>March</v>
          </cell>
          <cell r="F7">
            <v>14</v>
          </cell>
          <cell r="G7" t="str">
            <v>INSTALACION NUEVA</v>
          </cell>
          <cell r="H7">
            <v>0</v>
          </cell>
          <cell r="J7" t="str">
            <v>NA</v>
          </cell>
          <cell r="K7" t="str">
            <v>NA</v>
          </cell>
          <cell r="L7" t="str">
            <v>NA</v>
          </cell>
          <cell r="M7" t="str">
            <v>NA</v>
          </cell>
          <cell r="N7" t="str">
            <v>NA</v>
          </cell>
          <cell r="O7" t="str">
            <v>NA</v>
          </cell>
          <cell r="P7" t="str">
            <v>NA</v>
          </cell>
          <cell r="Q7" t="str">
            <v>NA</v>
          </cell>
          <cell r="S7" t="str">
            <v>NA</v>
          </cell>
          <cell r="T7" t="str">
            <v>NA</v>
          </cell>
          <cell r="V7" t="str">
            <v>A4 Mono MFPs</v>
          </cell>
          <cell r="W7" t="str">
            <v>CHIHUAHUA</v>
          </cell>
          <cell r="X7">
            <v>2019</v>
          </cell>
          <cell r="Y7" t="str">
            <v>Qtr 2</v>
          </cell>
          <cell r="Z7" t="str">
            <v>April</v>
          </cell>
          <cell r="AA7">
            <v>15</v>
          </cell>
          <cell r="AB7" t="str">
            <v>NA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</row>
        <row r="8">
          <cell r="B8" t="str">
            <v>0VGW686533</v>
          </cell>
          <cell r="C8">
            <v>2019</v>
          </cell>
          <cell r="D8" t="str">
            <v>Qtr 1</v>
          </cell>
          <cell r="E8" t="str">
            <v>March</v>
          </cell>
          <cell r="F8">
            <v>15</v>
          </cell>
          <cell r="G8" t="str">
            <v>CORRECTIVO</v>
          </cell>
          <cell r="H8">
            <v>0.25</v>
          </cell>
          <cell r="I8" t="str">
            <v>A3 Professional Color Laser MFPs</v>
          </cell>
          <cell r="J8">
            <v>655</v>
          </cell>
          <cell r="K8">
            <v>1365</v>
          </cell>
          <cell r="L8">
            <v>0</v>
          </cell>
          <cell r="M8">
            <v>0</v>
          </cell>
          <cell r="N8">
            <v>0.6</v>
          </cell>
          <cell r="O8">
            <v>0.8</v>
          </cell>
          <cell r="P8">
            <v>1.05</v>
          </cell>
          <cell r="Q8">
            <v>1.1000000000000001</v>
          </cell>
          <cell r="R8" t="str">
            <v>INTERIOR</v>
          </cell>
          <cell r="S8">
            <v>5</v>
          </cell>
          <cell r="T8">
            <v>9</v>
          </cell>
          <cell r="U8" t="str">
            <v>Ciudad principal</v>
          </cell>
          <cell r="V8" t="str">
            <v>Entry Production Color Low/Mid</v>
          </cell>
          <cell r="W8" t="str">
            <v>CHIHUAHUA</v>
          </cell>
          <cell r="X8">
            <v>2019</v>
          </cell>
          <cell r="Y8" t="str">
            <v>Qtr 2</v>
          </cell>
          <cell r="Z8" t="str">
            <v>April</v>
          </cell>
          <cell r="AA8">
            <v>9</v>
          </cell>
          <cell r="AB8">
            <v>0</v>
          </cell>
          <cell r="AC8">
            <v>15</v>
          </cell>
          <cell r="AD8">
            <v>0.6</v>
          </cell>
          <cell r="AE8">
            <v>0.05</v>
          </cell>
          <cell r="AF8">
            <v>819</v>
          </cell>
        </row>
        <row r="9">
          <cell r="B9" t="str">
            <v>C7X376533</v>
          </cell>
          <cell r="C9">
            <v>2019</v>
          </cell>
          <cell r="D9" t="str">
            <v>Qtr 1</v>
          </cell>
          <cell r="E9" t="str">
            <v>March</v>
          </cell>
          <cell r="F9">
            <v>19</v>
          </cell>
          <cell r="G9" t="str">
            <v>INSTALACION NUEVA</v>
          </cell>
          <cell r="H9">
            <v>0</v>
          </cell>
          <cell r="J9" t="str">
            <v>NA</v>
          </cell>
          <cell r="K9" t="str">
            <v>NA</v>
          </cell>
          <cell r="L9" t="str">
            <v>NA</v>
          </cell>
          <cell r="M9" t="str">
            <v>NA</v>
          </cell>
          <cell r="N9" t="str">
            <v>NA</v>
          </cell>
          <cell r="O9" t="str">
            <v>NA</v>
          </cell>
          <cell r="P9" t="str">
            <v>NA</v>
          </cell>
          <cell r="Q9" t="str">
            <v>NA</v>
          </cell>
          <cell r="S9" t="str">
            <v>NA</v>
          </cell>
          <cell r="T9" t="str">
            <v>NA</v>
          </cell>
          <cell r="V9" t="str">
            <v>A4 Mono MFPs</v>
          </cell>
          <cell r="W9" t="str">
            <v>COAHUILA</v>
          </cell>
          <cell r="X9">
            <v>2019</v>
          </cell>
          <cell r="Y9" t="str">
            <v>Qtr 2</v>
          </cell>
          <cell r="Z9" t="str">
            <v>April</v>
          </cell>
          <cell r="AA9">
            <v>5</v>
          </cell>
          <cell r="AB9" t="str">
            <v>NA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</row>
        <row r="10">
          <cell r="B10" t="str">
            <v>0BG0971716</v>
          </cell>
          <cell r="C10">
            <v>2019</v>
          </cell>
          <cell r="D10" t="str">
            <v>Qtr 1</v>
          </cell>
          <cell r="E10" t="str">
            <v>March</v>
          </cell>
          <cell r="F10">
            <v>20</v>
          </cell>
          <cell r="G10" t="str">
            <v>CORRECTIVO</v>
          </cell>
          <cell r="H10">
            <v>1.183333</v>
          </cell>
          <cell r="I10" t="str">
            <v>Light Production Digital Business</v>
          </cell>
          <cell r="J10">
            <v>803</v>
          </cell>
          <cell r="K10">
            <v>1573</v>
          </cell>
          <cell r="L10">
            <v>0.2</v>
          </cell>
          <cell r="M10">
            <v>0.6</v>
          </cell>
          <cell r="N10">
            <v>0.8</v>
          </cell>
          <cell r="O10">
            <v>1.05</v>
          </cell>
          <cell r="P10">
            <v>1.1000000000000001</v>
          </cell>
          <cell r="Q10">
            <v>1.1499999999999999</v>
          </cell>
          <cell r="R10" t="str">
            <v>INTERIOR</v>
          </cell>
          <cell r="S10">
            <v>4</v>
          </cell>
          <cell r="T10">
            <v>6</v>
          </cell>
          <cell r="U10" t="str">
            <v>Ciudad principal</v>
          </cell>
          <cell r="V10" t="str">
            <v>High End Cut Sheet</v>
          </cell>
          <cell r="W10" t="str">
            <v>NUEVO LEON</v>
          </cell>
          <cell r="X10">
            <v>2019</v>
          </cell>
          <cell r="Y10" t="str">
            <v>Qtr 2</v>
          </cell>
          <cell r="Z10" t="str">
            <v>April</v>
          </cell>
          <cell r="AA10">
            <v>3</v>
          </cell>
          <cell r="AB10">
            <v>0</v>
          </cell>
          <cell r="AC10">
            <v>49</v>
          </cell>
          <cell r="AD10">
            <v>1.1000000000000001</v>
          </cell>
          <cell r="AE10">
            <v>0.29583324999999999</v>
          </cell>
          <cell r="AF10">
            <v>1730.3</v>
          </cell>
        </row>
        <row r="11">
          <cell r="B11" t="str">
            <v>0EX9310036</v>
          </cell>
          <cell r="C11">
            <v>2019</v>
          </cell>
          <cell r="D11" t="str">
            <v>Qtr 1</v>
          </cell>
          <cell r="E11" t="str">
            <v>March</v>
          </cell>
          <cell r="F11">
            <v>21</v>
          </cell>
          <cell r="G11" t="str">
            <v>CORRECTIVO</v>
          </cell>
          <cell r="H11">
            <v>1.6666669999999999</v>
          </cell>
          <cell r="I11" t="str">
            <v>Departmental Digital</v>
          </cell>
          <cell r="J11">
            <v>655</v>
          </cell>
          <cell r="K11">
            <v>1365</v>
          </cell>
          <cell r="L11">
            <v>0</v>
          </cell>
          <cell r="M11">
            <v>0</v>
          </cell>
          <cell r="N11">
            <v>0.6</v>
          </cell>
          <cell r="O11">
            <v>0.8</v>
          </cell>
          <cell r="P11">
            <v>1.05</v>
          </cell>
          <cell r="Q11">
            <v>1.1000000000000001</v>
          </cell>
          <cell r="R11" t="str">
            <v>INTERIOR</v>
          </cell>
          <cell r="S11">
            <v>5</v>
          </cell>
          <cell r="T11">
            <v>9</v>
          </cell>
          <cell r="U11" t="str">
            <v>Ciudad principal</v>
          </cell>
          <cell r="V11" t="str">
            <v>Departmental Digital</v>
          </cell>
          <cell r="W11" t="str">
            <v>TAMAULIPAS</v>
          </cell>
          <cell r="X11">
            <v>2019</v>
          </cell>
          <cell r="Y11" t="str">
            <v>Qtr 2</v>
          </cell>
          <cell r="Z11" t="str">
            <v>April</v>
          </cell>
          <cell r="AA11">
            <v>5</v>
          </cell>
          <cell r="AB11">
            <v>0</v>
          </cell>
          <cell r="AC11">
            <v>43</v>
          </cell>
          <cell r="AD11">
            <v>1.05</v>
          </cell>
          <cell r="AE11">
            <v>0.3333334</v>
          </cell>
          <cell r="AF11">
            <v>1433.25</v>
          </cell>
        </row>
        <row r="12">
          <cell r="B12" t="str">
            <v>0RXD138712</v>
          </cell>
          <cell r="C12">
            <v>2019</v>
          </cell>
          <cell r="D12" t="str">
            <v>Qtr 1</v>
          </cell>
          <cell r="E12" t="str">
            <v>March</v>
          </cell>
          <cell r="F12">
            <v>21</v>
          </cell>
          <cell r="G12" t="str">
            <v>CORRECTIVO</v>
          </cell>
          <cell r="H12">
            <v>0.31666670000000002</v>
          </cell>
          <cell r="J12" t="str">
            <v>NA</v>
          </cell>
          <cell r="K12" t="str">
            <v>NA</v>
          </cell>
          <cell r="L12" t="str">
            <v>NA</v>
          </cell>
          <cell r="M12" t="str">
            <v>NA</v>
          </cell>
          <cell r="N12" t="str">
            <v>NA</v>
          </cell>
          <cell r="O12" t="str">
            <v>NA</v>
          </cell>
          <cell r="P12" t="str">
            <v>NA</v>
          </cell>
          <cell r="Q12" t="str">
            <v>NA</v>
          </cell>
          <cell r="S12" t="str">
            <v>NA</v>
          </cell>
          <cell r="T12" t="str">
            <v>NA</v>
          </cell>
          <cell r="V12" t="str">
            <v>Departmental Digital</v>
          </cell>
          <cell r="W12" t="str">
            <v>COAHUILA</v>
          </cell>
          <cell r="X12">
            <v>2019</v>
          </cell>
          <cell r="Y12" t="str">
            <v>Qtr 2</v>
          </cell>
          <cell r="Z12" t="str">
            <v>April</v>
          </cell>
          <cell r="AA12">
            <v>5</v>
          </cell>
          <cell r="AB12" t="str">
            <v>NA</v>
          </cell>
          <cell r="AC12">
            <v>55</v>
          </cell>
          <cell r="AD12">
            <v>0</v>
          </cell>
          <cell r="AE12">
            <v>0</v>
          </cell>
          <cell r="AF12">
            <v>0</v>
          </cell>
        </row>
        <row r="13">
          <cell r="B13" t="str">
            <v>08TB592525</v>
          </cell>
          <cell r="C13">
            <v>2019</v>
          </cell>
          <cell r="D13" t="str">
            <v>Qtr 1</v>
          </cell>
          <cell r="E13" t="str">
            <v>March</v>
          </cell>
          <cell r="F13">
            <v>21</v>
          </cell>
          <cell r="G13" t="str">
            <v>CORRECTIVO</v>
          </cell>
          <cell r="H13">
            <v>0.15</v>
          </cell>
          <cell r="I13" t="str">
            <v>A3 Office Color Laser MFPs</v>
          </cell>
          <cell r="J13">
            <v>655</v>
          </cell>
          <cell r="K13">
            <v>1365</v>
          </cell>
          <cell r="L13">
            <v>0</v>
          </cell>
          <cell r="M13">
            <v>0</v>
          </cell>
          <cell r="N13">
            <v>0.6</v>
          </cell>
          <cell r="O13">
            <v>0.8</v>
          </cell>
          <cell r="P13">
            <v>1.05</v>
          </cell>
          <cell r="Q13">
            <v>1.1000000000000001</v>
          </cell>
          <cell r="R13" t="str">
            <v>INTERIOR</v>
          </cell>
          <cell r="S13">
            <v>5</v>
          </cell>
          <cell r="T13">
            <v>9</v>
          </cell>
          <cell r="U13" t="str">
            <v>Ciudad principal</v>
          </cell>
          <cell r="V13" t="str">
            <v>A3 Office Color Laser MFPs</v>
          </cell>
          <cell r="W13" t="str">
            <v>CHIHUAHUA</v>
          </cell>
          <cell r="X13">
            <v>2019</v>
          </cell>
          <cell r="Y13" t="str">
            <v>Qtr 2</v>
          </cell>
          <cell r="Z13" t="str">
            <v>April</v>
          </cell>
          <cell r="AA13">
            <v>16</v>
          </cell>
          <cell r="AB13">
            <v>1</v>
          </cell>
          <cell r="AC13">
            <v>29</v>
          </cell>
          <cell r="AD13">
            <v>0</v>
          </cell>
          <cell r="AE13">
            <v>0</v>
          </cell>
          <cell r="AF13">
            <v>0</v>
          </cell>
        </row>
        <row r="14">
          <cell r="B14" t="str">
            <v>0BG2948893</v>
          </cell>
          <cell r="C14">
            <v>2019</v>
          </cell>
          <cell r="D14" t="str">
            <v>Qtr 1</v>
          </cell>
          <cell r="E14" t="str">
            <v>March</v>
          </cell>
          <cell r="F14">
            <v>22</v>
          </cell>
          <cell r="G14" t="str">
            <v>CORRECTIVO</v>
          </cell>
          <cell r="H14">
            <v>2.65</v>
          </cell>
          <cell r="I14" t="str">
            <v>Light Production Digital Business</v>
          </cell>
          <cell r="J14">
            <v>803</v>
          </cell>
          <cell r="K14">
            <v>1573</v>
          </cell>
          <cell r="L14">
            <v>0.2</v>
          </cell>
          <cell r="M14">
            <v>0.6</v>
          </cell>
          <cell r="N14">
            <v>0.8</v>
          </cell>
          <cell r="O14">
            <v>1.05</v>
          </cell>
          <cell r="P14">
            <v>1.1000000000000001</v>
          </cell>
          <cell r="Q14">
            <v>1.1499999999999999</v>
          </cell>
          <cell r="R14" t="str">
            <v>INTERIOR</v>
          </cell>
          <cell r="S14">
            <v>4</v>
          </cell>
          <cell r="T14">
            <v>6</v>
          </cell>
          <cell r="U14" t="str">
            <v>Ciudad principal</v>
          </cell>
          <cell r="V14" t="str">
            <v>High End Cut Sheet</v>
          </cell>
          <cell r="W14" t="str">
            <v>NUEVO LEON</v>
          </cell>
          <cell r="X14">
            <v>2019</v>
          </cell>
          <cell r="Y14" t="str">
            <v>Qtr 2</v>
          </cell>
          <cell r="Z14" t="str">
            <v>April</v>
          </cell>
          <cell r="AA14">
            <v>4</v>
          </cell>
          <cell r="AB14">
            <v>0</v>
          </cell>
          <cell r="AC14">
            <v>9</v>
          </cell>
          <cell r="AD14">
            <v>0.8</v>
          </cell>
          <cell r="AE14">
            <v>0.66249999999999998</v>
          </cell>
          <cell r="AF14">
            <v>1258.4000000000001</v>
          </cell>
        </row>
        <row r="15">
          <cell r="B15" t="str">
            <v>0LX5697800</v>
          </cell>
          <cell r="C15">
            <v>2019</v>
          </cell>
          <cell r="D15" t="str">
            <v>Qtr 1</v>
          </cell>
          <cell r="E15" t="str">
            <v>March</v>
          </cell>
          <cell r="F15">
            <v>22</v>
          </cell>
          <cell r="G15" t="str">
            <v>CORRECTIVO</v>
          </cell>
          <cell r="H15">
            <v>1.066667</v>
          </cell>
          <cell r="I15" t="str">
            <v>A3 Office Color Laser MFPs</v>
          </cell>
          <cell r="J15">
            <v>655</v>
          </cell>
          <cell r="K15">
            <v>1365</v>
          </cell>
          <cell r="L15">
            <v>0</v>
          </cell>
          <cell r="M15">
            <v>0</v>
          </cell>
          <cell r="N15">
            <v>0.6</v>
          </cell>
          <cell r="O15">
            <v>0.8</v>
          </cell>
          <cell r="P15">
            <v>1.05</v>
          </cell>
          <cell r="Q15">
            <v>1.1000000000000001</v>
          </cell>
          <cell r="R15" t="str">
            <v>INTERIOR</v>
          </cell>
          <cell r="S15">
            <v>5</v>
          </cell>
          <cell r="T15">
            <v>9</v>
          </cell>
          <cell r="U15" t="str">
            <v>Ciudad principal</v>
          </cell>
          <cell r="V15" t="str">
            <v>A3 Office Color Laser MFPs</v>
          </cell>
          <cell r="W15" t="str">
            <v>CHIHUAHUA</v>
          </cell>
          <cell r="X15">
            <v>2019</v>
          </cell>
          <cell r="Y15" t="str">
            <v>Qtr 2</v>
          </cell>
          <cell r="Z15" t="str">
            <v>April</v>
          </cell>
          <cell r="AA15">
            <v>4</v>
          </cell>
          <cell r="AB15">
            <v>0</v>
          </cell>
          <cell r="AC15">
            <v>17</v>
          </cell>
          <cell r="AD15">
            <v>0.8</v>
          </cell>
          <cell r="AE15">
            <v>0.21333340000000001</v>
          </cell>
          <cell r="AF15">
            <v>1092</v>
          </cell>
        </row>
        <row r="16">
          <cell r="B16" t="str">
            <v>0KPA018838</v>
          </cell>
          <cell r="C16">
            <v>2019</v>
          </cell>
          <cell r="D16" t="str">
            <v>Qtr 1</v>
          </cell>
          <cell r="E16" t="str">
            <v>March</v>
          </cell>
          <cell r="F16">
            <v>25</v>
          </cell>
          <cell r="G16" t="str">
            <v>MANTENIMIENTO PREVENTIVO</v>
          </cell>
          <cell r="H16">
            <v>0</v>
          </cell>
          <cell r="I16" t="str">
            <v>Entry Mono Printers</v>
          </cell>
          <cell r="J16">
            <v>468</v>
          </cell>
          <cell r="K16">
            <v>715</v>
          </cell>
          <cell r="L16">
            <v>0</v>
          </cell>
          <cell r="M16">
            <v>0</v>
          </cell>
          <cell r="N16">
            <v>0</v>
          </cell>
          <cell r="O16">
            <v>0.6</v>
          </cell>
          <cell r="P16">
            <v>0.8</v>
          </cell>
          <cell r="Q16">
            <v>1.05</v>
          </cell>
          <cell r="R16" t="str">
            <v>INTERIOR</v>
          </cell>
          <cell r="S16">
            <v>5</v>
          </cell>
          <cell r="T16">
            <v>9</v>
          </cell>
          <cell r="U16" t="str">
            <v>Ciudad principal</v>
          </cell>
          <cell r="V16" t="str">
            <v>Departmental Digital</v>
          </cell>
          <cell r="W16" t="str">
            <v>CHIHUAHUA</v>
          </cell>
          <cell r="X16">
            <v>2019</v>
          </cell>
          <cell r="Y16" t="str">
            <v>Qtr 2</v>
          </cell>
          <cell r="Z16" t="str">
            <v>April</v>
          </cell>
          <cell r="AA16">
            <v>1</v>
          </cell>
          <cell r="AB16">
            <v>0</v>
          </cell>
          <cell r="AC16">
            <v>11</v>
          </cell>
          <cell r="AD16">
            <v>0</v>
          </cell>
          <cell r="AE16">
            <v>0</v>
          </cell>
          <cell r="AF16">
            <v>715</v>
          </cell>
        </row>
        <row r="17">
          <cell r="B17" t="str">
            <v>09HB916006</v>
          </cell>
          <cell r="C17">
            <v>2019</v>
          </cell>
          <cell r="D17" t="str">
            <v>Qtr 1</v>
          </cell>
          <cell r="E17" t="str">
            <v>March</v>
          </cell>
          <cell r="F17">
            <v>25</v>
          </cell>
          <cell r="G17" t="str">
            <v>INSTALACION NUEVA</v>
          </cell>
          <cell r="H17">
            <v>0</v>
          </cell>
          <cell r="J17" t="str">
            <v>NA</v>
          </cell>
          <cell r="K17" t="str">
            <v>NA</v>
          </cell>
          <cell r="L17" t="str">
            <v>NA</v>
          </cell>
          <cell r="M17" t="str">
            <v>NA</v>
          </cell>
          <cell r="N17" t="str">
            <v>NA</v>
          </cell>
          <cell r="O17" t="str">
            <v>NA</v>
          </cell>
          <cell r="P17" t="str">
            <v>NA</v>
          </cell>
          <cell r="Q17" t="str">
            <v>NA</v>
          </cell>
          <cell r="S17" t="str">
            <v>NA</v>
          </cell>
          <cell r="T17" t="str">
            <v>NA</v>
          </cell>
          <cell r="V17" t="str">
            <v>A4 Mono MFPs</v>
          </cell>
          <cell r="W17" t="str">
            <v>QUERETARO</v>
          </cell>
          <cell r="X17">
            <v>2019</v>
          </cell>
          <cell r="Y17" t="str">
            <v>Qtr 2</v>
          </cell>
          <cell r="Z17" t="str">
            <v>April</v>
          </cell>
          <cell r="AA17">
            <v>12</v>
          </cell>
          <cell r="AB17" t="str">
            <v>NA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B18" t="str">
            <v>08TB610158</v>
          </cell>
          <cell r="C18">
            <v>2019</v>
          </cell>
          <cell r="D18" t="str">
            <v>Qtr 1</v>
          </cell>
          <cell r="E18" t="str">
            <v>March</v>
          </cell>
          <cell r="F18">
            <v>25</v>
          </cell>
          <cell r="G18" t="str">
            <v>INSTALACION NUEVA</v>
          </cell>
          <cell r="H18">
            <v>0</v>
          </cell>
          <cell r="J18" t="str">
            <v>NA</v>
          </cell>
          <cell r="K18" t="str">
            <v>NA</v>
          </cell>
          <cell r="L18" t="str">
            <v>NA</v>
          </cell>
          <cell r="M18" t="str">
            <v>NA</v>
          </cell>
          <cell r="N18" t="str">
            <v>NA</v>
          </cell>
          <cell r="O18" t="str">
            <v>NA</v>
          </cell>
          <cell r="P18" t="str">
            <v>NA</v>
          </cell>
          <cell r="Q18" t="str">
            <v>NA</v>
          </cell>
          <cell r="S18" t="str">
            <v>NA</v>
          </cell>
          <cell r="T18" t="str">
            <v>NA</v>
          </cell>
          <cell r="V18" t="str">
            <v>A3 Office Color Laser MFPs</v>
          </cell>
          <cell r="W18" t="str">
            <v>COAHUILA</v>
          </cell>
          <cell r="X18">
            <v>2019</v>
          </cell>
          <cell r="Y18" t="str">
            <v>Qtr 2</v>
          </cell>
          <cell r="Z18" t="str">
            <v>April</v>
          </cell>
          <cell r="AA18">
            <v>5</v>
          </cell>
          <cell r="AB18" t="str">
            <v>NA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B19" t="str">
            <v>0BG2949298</v>
          </cell>
          <cell r="C19">
            <v>2019</v>
          </cell>
          <cell r="D19" t="str">
            <v>Qtr 1</v>
          </cell>
          <cell r="E19" t="str">
            <v>March</v>
          </cell>
          <cell r="F19">
            <v>25</v>
          </cell>
          <cell r="G19" t="str">
            <v>CORRECTIVO</v>
          </cell>
          <cell r="H19">
            <v>2.733333</v>
          </cell>
          <cell r="I19" t="str">
            <v>Light Production Digital Business</v>
          </cell>
          <cell r="J19">
            <v>803</v>
          </cell>
          <cell r="K19">
            <v>1573</v>
          </cell>
          <cell r="L19">
            <v>0.2</v>
          </cell>
          <cell r="M19">
            <v>0.6</v>
          </cell>
          <cell r="N19">
            <v>0.8</v>
          </cell>
          <cell r="O19">
            <v>1.05</v>
          </cell>
          <cell r="P19">
            <v>1.1000000000000001</v>
          </cell>
          <cell r="Q19">
            <v>1.1499999999999999</v>
          </cell>
          <cell r="R19" t="str">
            <v>INTERIOR</v>
          </cell>
          <cell r="S19">
            <v>4</v>
          </cell>
          <cell r="T19">
            <v>6</v>
          </cell>
          <cell r="U19" t="str">
            <v>Ciudad principal</v>
          </cell>
          <cell r="V19" t="str">
            <v>High End Cut Sheet</v>
          </cell>
          <cell r="W19" t="str">
            <v>ESTADO DE MEXICO</v>
          </cell>
          <cell r="X19">
            <v>2019</v>
          </cell>
          <cell r="Y19" t="str">
            <v>Qtr 2</v>
          </cell>
          <cell r="Z19" t="str">
            <v>April</v>
          </cell>
          <cell r="AA19">
            <v>2</v>
          </cell>
          <cell r="AB19">
            <v>0</v>
          </cell>
          <cell r="AC19">
            <v>14</v>
          </cell>
          <cell r="AD19">
            <v>0.8</v>
          </cell>
          <cell r="AE19">
            <v>0.68333325</v>
          </cell>
          <cell r="AF19">
            <v>1258.4000000000001</v>
          </cell>
        </row>
        <row r="20">
          <cell r="B20" t="str">
            <v>0EX9299901</v>
          </cell>
          <cell r="C20">
            <v>2019</v>
          </cell>
          <cell r="D20" t="str">
            <v>Qtr 1</v>
          </cell>
          <cell r="E20" t="str">
            <v>March</v>
          </cell>
          <cell r="F20">
            <v>25</v>
          </cell>
          <cell r="G20" t="str">
            <v>CORRECTIVO</v>
          </cell>
          <cell r="H20">
            <v>2.7833329999999998</v>
          </cell>
          <cell r="I20" t="str">
            <v>Departmental Digital</v>
          </cell>
          <cell r="J20">
            <v>655</v>
          </cell>
          <cell r="K20">
            <v>1365</v>
          </cell>
          <cell r="L20">
            <v>0</v>
          </cell>
          <cell r="M20">
            <v>0</v>
          </cell>
          <cell r="N20">
            <v>0.6</v>
          </cell>
          <cell r="O20">
            <v>0.8</v>
          </cell>
          <cell r="P20">
            <v>1.05</v>
          </cell>
          <cell r="Q20">
            <v>1.1000000000000001</v>
          </cell>
          <cell r="R20" t="str">
            <v>INTERIOR</v>
          </cell>
          <cell r="S20">
            <v>5</v>
          </cell>
          <cell r="T20">
            <v>9</v>
          </cell>
          <cell r="U20" t="str">
            <v>Ciudad principal</v>
          </cell>
          <cell r="V20" t="str">
            <v>Departmental Digital</v>
          </cell>
          <cell r="W20" t="str">
            <v>TAMAULIPAS</v>
          </cell>
          <cell r="X20">
            <v>2019</v>
          </cell>
          <cell r="Y20" t="str">
            <v>Qtr 2</v>
          </cell>
          <cell r="Z20" t="str">
            <v>April</v>
          </cell>
          <cell r="AA20">
            <v>2</v>
          </cell>
          <cell r="AB20">
            <v>0</v>
          </cell>
          <cell r="AC20">
            <v>348</v>
          </cell>
          <cell r="AD20">
            <v>1.1000000000000001</v>
          </cell>
          <cell r="AE20">
            <v>0.55666660000000001</v>
          </cell>
          <cell r="AF20">
            <v>1501.5</v>
          </cell>
        </row>
        <row r="21">
          <cell r="B21" t="str">
            <v>0AB9779149</v>
          </cell>
          <cell r="C21">
            <v>2019</v>
          </cell>
          <cell r="D21" t="str">
            <v>Qtr 1</v>
          </cell>
          <cell r="E21" t="str">
            <v>March</v>
          </cell>
          <cell r="F21">
            <v>25</v>
          </cell>
          <cell r="G21" t="str">
            <v>CORRECTIVO</v>
          </cell>
          <cell r="H21">
            <v>0</v>
          </cell>
          <cell r="I21" t="str">
            <v>Color Laser Printers</v>
          </cell>
          <cell r="J21">
            <v>468</v>
          </cell>
          <cell r="K21">
            <v>715</v>
          </cell>
          <cell r="L21">
            <v>0</v>
          </cell>
          <cell r="M21">
            <v>0</v>
          </cell>
          <cell r="N21">
            <v>0</v>
          </cell>
          <cell r="O21">
            <v>0.6</v>
          </cell>
          <cell r="P21">
            <v>0.8</v>
          </cell>
          <cell r="Q21">
            <v>1.05</v>
          </cell>
          <cell r="R21" t="str">
            <v>INTERIOR</v>
          </cell>
          <cell r="S21">
            <v>5</v>
          </cell>
          <cell r="T21">
            <v>9</v>
          </cell>
          <cell r="U21" t="str">
            <v>Ciudad principal</v>
          </cell>
          <cell r="V21" t="str">
            <v>Departmental Digital</v>
          </cell>
          <cell r="W21" t="str">
            <v>QUERETARO</v>
          </cell>
          <cell r="X21">
            <v>2019</v>
          </cell>
          <cell r="Y21" t="str">
            <v>Qtr 2</v>
          </cell>
          <cell r="Z21" t="str">
            <v>April</v>
          </cell>
          <cell r="AA21">
            <v>8</v>
          </cell>
          <cell r="AB21">
            <v>0</v>
          </cell>
          <cell r="AC21">
            <v>193</v>
          </cell>
          <cell r="AD21">
            <v>1.05</v>
          </cell>
          <cell r="AE21">
            <v>0</v>
          </cell>
          <cell r="AF21">
            <v>750.75</v>
          </cell>
        </row>
        <row r="22">
          <cell r="B22" t="str">
            <v>0XKK418248</v>
          </cell>
          <cell r="C22">
            <v>2019</v>
          </cell>
          <cell r="D22" t="str">
            <v>Qtr 1</v>
          </cell>
          <cell r="E22" t="str">
            <v>March</v>
          </cell>
          <cell r="F22">
            <v>26</v>
          </cell>
          <cell r="G22" t="str">
            <v>CORRECTIVO</v>
          </cell>
          <cell r="H22">
            <v>0.35</v>
          </cell>
          <cell r="J22" t="str">
            <v>NA</v>
          </cell>
          <cell r="K22" t="str">
            <v>NA</v>
          </cell>
          <cell r="L22" t="str">
            <v>NA</v>
          </cell>
          <cell r="M22" t="str">
            <v>NA</v>
          </cell>
          <cell r="N22" t="str">
            <v>NA</v>
          </cell>
          <cell r="O22" t="str">
            <v>NA</v>
          </cell>
          <cell r="P22" t="str">
            <v>NA</v>
          </cell>
          <cell r="Q22" t="str">
            <v>NA</v>
          </cell>
          <cell r="S22" t="str">
            <v>NA</v>
          </cell>
          <cell r="T22" t="str">
            <v>NA</v>
          </cell>
          <cell r="V22" t="str">
            <v>A3 Office Color Laser MFPs</v>
          </cell>
          <cell r="W22" t="str">
            <v>COAHUILA</v>
          </cell>
          <cell r="X22">
            <v>2019</v>
          </cell>
          <cell r="Y22" t="str">
            <v>Qtr 2</v>
          </cell>
          <cell r="Z22" t="str">
            <v>April</v>
          </cell>
          <cell r="AA22">
            <v>1</v>
          </cell>
          <cell r="AB22" t="str">
            <v>NA</v>
          </cell>
          <cell r="AC22">
            <v>39</v>
          </cell>
          <cell r="AD22">
            <v>0</v>
          </cell>
          <cell r="AE22">
            <v>0</v>
          </cell>
          <cell r="AF22">
            <v>0</v>
          </cell>
        </row>
        <row r="23">
          <cell r="B23" t="str">
            <v>0BG2946876</v>
          </cell>
          <cell r="C23">
            <v>2019</v>
          </cell>
          <cell r="D23" t="str">
            <v>Qtr 1</v>
          </cell>
          <cell r="E23" t="str">
            <v>March</v>
          </cell>
          <cell r="F23">
            <v>26</v>
          </cell>
          <cell r="G23" t="str">
            <v>CORRECTIVO</v>
          </cell>
          <cell r="H23">
            <v>3.95</v>
          </cell>
          <cell r="I23" t="str">
            <v>Light Production Digital Business</v>
          </cell>
          <cell r="J23">
            <v>803</v>
          </cell>
          <cell r="K23">
            <v>1573</v>
          </cell>
          <cell r="L23">
            <v>0.2</v>
          </cell>
          <cell r="M23">
            <v>0.6</v>
          </cell>
          <cell r="N23">
            <v>0.8</v>
          </cell>
          <cell r="O23">
            <v>1.05</v>
          </cell>
          <cell r="P23">
            <v>1.1000000000000001</v>
          </cell>
          <cell r="Q23">
            <v>1.1499999999999999</v>
          </cell>
          <cell r="R23" t="str">
            <v>INTERIOR</v>
          </cell>
          <cell r="S23">
            <v>4</v>
          </cell>
          <cell r="T23">
            <v>6</v>
          </cell>
          <cell r="U23" t="str">
            <v>Ciudad principal</v>
          </cell>
          <cell r="V23" t="str">
            <v>High End Cut Sheet</v>
          </cell>
          <cell r="W23" t="str">
            <v>GUANAJUATO</v>
          </cell>
          <cell r="X23">
            <v>2019</v>
          </cell>
          <cell r="Y23" t="str">
            <v>Qtr 2</v>
          </cell>
          <cell r="Z23" t="str">
            <v>April</v>
          </cell>
          <cell r="AA23">
            <v>2</v>
          </cell>
          <cell r="AB23">
            <v>0</v>
          </cell>
          <cell r="AC23">
            <v>7</v>
          </cell>
          <cell r="AD23">
            <v>0.8</v>
          </cell>
          <cell r="AE23">
            <v>0.98750000000000004</v>
          </cell>
          <cell r="AF23">
            <v>1258.4000000000001</v>
          </cell>
        </row>
        <row r="24">
          <cell r="B24" t="str">
            <v>0Y4X859271</v>
          </cell>
          <cell r="C24">
            <v>2019</v>
          </cell>
          <cell r="D24" t="str">
            <v>Qtr 1</v>
          </cell>
          <cell r="E24" t="str">
            <v>March</v>
          </cell>
          <cell r="F24">
            <v>26</v>
          </cell>
          <cell r="G24" t="str">
            <v>INSTALACION NUEVA</v>
          </cell>
          <cell r="H24">
            <v>0</v>
          </cell>
          <cell r="J24" t="str">
            <v>NA</v>
          </cell>
          <cell r="K24" t="str">
            <v>NA</v>
          </cell>
          <cell r="L24" t="str">
            <v>NA</v>
          </cell>
          <cell r="M24" t="str">
            <v>NA</v>
          </cell>
          <cell r="N24" t="str">
            <v>NA</v>
          </cell>
          <cell r="O24" t="str">
            <v>NA</v>
          </cell>
          <cell r="P24" t="str">
            <v>NA</v>
          </cell>
          <cell r="Q24" t="str">
            <v>NA</v>
          </cell>
          <cell r="S24" t="str">
            <v>NA</v>
          </cell>
          <cell r="T24" t="str">
            <v>NA</v>
          </cell>
          <cell r="V24" t="str">
            <v>Light Production Digital Business</v>
          </cell>
          <cell r="W24" t="str">
            <v>CHIHUAHUA</v>
          </cell>
          <cell r="X24">
            <v>2019</v>
          </cell>
          <cell r="Y24" t="str">
            <v>Qtr 2</v>
          </cell>
          <cell r="Z24" t="str">
            <v>April</v>
          </cell>
          <cell r="AA24">
            <v>3</v>
          </cell>
          <cell r="AB24" t="str">
            <v>NA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5">
          <cell r="B25" t="str">
            <v>0DRB131260</v>
          </cell>
          <cell r="C25">
            <v>2019</v>
          </cell>
          <cell r="D25" t="str">
            <v>Qtr 1</v>
          </cell>
          <cell r="E25" t="str">
            <v>March</v>
          </cell>
          <cell r="F25">
            <v>26</v>
          </cell>
          <cell r="G25" t="str">
            <v>CORRECTIVO</v>
          </cell>
          <cell r="H25">
            <v>1.816667</v>
          </cell>
          <cell r="I25" t="str">
            <v>Entry Production Color Low/Mid</v>
          </cell>
          <cell r="J25">
            <v>803</v>
          </cell>
          <cell r="K25">
            <v>1573</v>
          </cell>
          <cell r="L25">
            <v>0.2</v>
          </cell>
          <cell r="M25">
            <v>0.6</v>
          </cell>
          <cell r="N25">
            <v>0.8</v>
          </cell>
          <cell r="O25">
            <v>1.05</v>
          </cell>
          <cell r="P25">
            <v>1.1000000000000001</v>
          </cell>
          <cell r="Q25">
            <v>1.1499999999999999</v>
          </cell>
          <cell r="R25" t="str">
            <v>INTERIOR</v>
          </cell>
          <cell r="S25">
            <v>4</v>
          </cell>
          <cell r="T25">
            <v>6</v>
          </cell>
          <cell r="U25" t="str">
            <v>Ciudad principal</v>
          </cell>
          <cell r="V25" t="str">
            <v>Entry Production Color Low/Mid</v>
          </cell>
          <cell r="W25" t="str">
            <v>JALISCO</v>
          </cell>
          <cell r="X25">
            <v>2019</v>
          </cell>
          <cell r="Y25" t="str">
            <v>Qtr 2</v>
          </cell>
          <cell r="Z25" t="str">
            <v>April</v>
          </cell>
          <cell r="AA25">
            <v>5</v>
          </cell>
          <cell r="AB25">
            <v>0</v>
          </cell>
          <cell r="AC25">
            <v>61</v>
          </cell>
          <cell r="AD25">
            <v>1.1499999999999999</v>
          </cell>
          <cell r="AE25">
            <v>0.45416675000000001</v>
          </cell>
          <cell r="AF25">
            <v>1808.95</v>
          </cell>
        </row>
        <row r="26">
          <cell r="B26" t="str">
            <v>0A2T370631</v>
          </cell>
          <cell r="C26">
            <v>2019</v>
          </cell>
          <cell r="D26" t="str">
            <v>Qtr 1</v>
          </cell>
          <cell r="E26" t="str">
            <v>March</v>
          </cell>
          <cell r="F26">
            <v>26</v>
          </cell>
          <cell r="G26" t="str">
            <v>CORRECTIVO</v>
          </cell>
          <cell r="H26">
            <v>2.233333</v>
          </cell>
          <cell r="J26" t="str">
            <v>NA</v>
          </cell>
          <cell r="K26" t="str">
            <v>NA</v>
          </cell>
          <cell r="L26" t="str">
            <v>NA</v>
          </cell>
          <cell r="M26" t="str">
            <v>NA</v>
          </cell>
          <cell r="N26" t="str">
            <v>NA</v>
          </cell>
          <cell r="O26" t="str">
            <v>NA</v>
          </cell>
          <cell r="P26" t="str">
            <v>NA</v>
          </cell>
          <cell r="Q26" t="str">
            <v>NA</v>
          </cell>
          <cell r="S26" t="str">
            <v>NA</v>
          </cell>
          <cell r="T26" t="str">
            <v>NA</v>
          </cell>
          <cell r="V26" t="str">
            <v>A4 Mono MFPs</v>
          </cell>
          <cell r="W26" t="str">
            <v>SAN LUIS POTOSI</v>
          </cell>
          <cell r="X26">
            <v>2019</v>
          </cell>
          <cell r="Y26" t="str">
            <v>Qtr 2</v>
          </cell>
          <cell r="Z26" t="str">
            <v>April</v>
          </cell>
          <cell r="AA26">
            <v>12</v>
          </cell>
          <cell r="AB26" t="str">
            <v>NA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B27" t="str">
            <v>0LBP345977</v>
          </cell>
          <cell r="C27">
            <v>2019</v>
          </cell>
          <cell r="D27" t="str">
            <v>Qtr 1</v>
          </cell>
          <cell r="E27" t="str">
            <v>March</v>
          </cell>
          <cell r="F27">
            <v>27</v>
          </cell>
          <cell r="G27" t="str">
            <v>CORRECTIVO</v>
          </cell>
          <cell r="H27">
            <v>4</v>
          </cell>
          <cell r="J27" t="str">
            <v>NA</v>
          </cell>
          <cell r="K27" t="str">
            <v>NA</v>
          </cell>
          <cell r="L27" t="str">
            <v>NA</v>
          </cell>
          <cell r="M27" t="str">
            <v>NA</v>
          </cell>
          <cell r="N27" t="str">
            <v>NA</v>
          </cell>
          <cell r="O27" t="str">
            <v>NA</v>
          </cell>
          <cell r="P27" t="str">
            <v>NA</v>
          </cell>
          <cell r="Q27" t="str">
            <v>NA</v>
          </cell>
          <cell r="S27" t="str">
            <v>NA</v>
          </cell>
          <cell r="T27" t="str">
            <v>NA</v>
          </cell>
          <cell r="V27" t="str">
            <v>A4 Mono MFPs</v>
          </cell>
          <cell r="W27" t="str">
            <v>JALISCO</v>
          </cell>
          <cell r="X27">
            <v>2019</v>
          </cell>
          <cell r="Y27" t="str">
            <v>Qtr 2</v>
          </cell>
          <cell r="Z27" t="str">
            <v>April</v>
          </cell>
          <cell r="AA27">
            <v>3</v>
          </cell>
          <cell r="AB27" t="str">
            <v>NA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B28" t="str">
            <v>0BG2947932</v>
          </cell>
          <cell r="C28">
            <v>2019</v>
          </cell>
          <cell r="D28" t="str">
            <v>Qtr 1</v>
          </cell>
          <cell r="E28" t="str">
            <v>March</v>
          </cell>
          <cell r="F28">
            <v>27</v>
          </cell>
          <cell r="G28" t="str">
            <v>CORRECTIVO</v>
          </cell>
          <cell r="H28">
            <v>1.433333</v>
          </cell>
          <cell r="I28" t="str">
            <v>Light Production Digital Business</v>
          </cell>
          <cell r="J28">
            <v>803</v>
          </cell>
          <cell r="K28">
            <v>1573</v>
          </cell>
          <cell r="L28">
            <v>0.2</v>
          </cell>
          <cell r="M28">
            <v>0.6</v>
          </cell>
          <cell r="N28">
            <v>0.8</v>
          </cell>
          <cell r="O28">
            <v>1.05</v>
          </cell>
          <cell r="P28">
            <v>1.1000000000000001</v>
          </cell>
          <cell r="Q28">
            <v>1.1499999999999999</v>
          </cell>
          <cell r="R28" t="str">
            <v>INTERIOR</v>
          </cell>
          <cell r="S28">
            <v>4</v>
          </cell>
          <cell r="T28">
            <v>6</v>
          </cell>
          <cell r="U28" t="str">
            <v>Ciudad principal</v>
          </cell>
          <cell r="V28" t="str">
            <v>High End Cut Sheet</v>
          </cell>
          <cell r="W28" t="str">
            <v>QUERETARO</v>
          </cell>
          <cell r="X28">
            <v>2019</v>
          </cell>
          <cell r="Y28" t="str">
            <v>Qtr 2</v>
          </cell>
          <cell r="Z28" t="str">
            <v>April</v>
          </cell>
          <cell r="AA28">
            <v>15</v>
          </cell>
          <cell r="AB28">
            <v>0</v>
          </cell>
          <cell r="AC28">
            <v>41</v>
          </cell>
          <cell r="AD28">
            <v>1.1000000000000001</v>
          </cell>
          <cell r="AE28">
            <v>0.35833324999999999</v>
          </cell>
          <cell r="AF28">
            <v>1730.3</v>
          </cell>
        </row>
        <row r="29">
          <cell r="B29" t="str">
            <v>0EX9293999</v>
          </cell>
          <cell r="C29">
            <v>2019</v>
          </cell>
          <cell r="D29" t="str">
            <v>Qtr 1</v>
          </cell>
          <cell r="E29" t="str">
            <v>March</v>
          </cell>
          <cell r="F29">
            <v>27</v>
          </cell>
          <cell r="G29" t="str">
            <v>CORRECTIVO</v>
          </cell>
          <cell r="H29">
            <v>1.066667</v>
          </cell>
          <cell r="I29" t="str">
            <v>Departmental Digital</v>
          </cell>
          <cell r="J29">
            <v>655</v>
          </cell>
          <cell r="K29">
            <v>1365</v>
          </cell>
          <cell r="L29">
            <v>0</v>
          </cell>
          <cell r="M29">
            <v>0</v>
          </cell>
          <cell r="N29">
            <v>0.6</v>
          </cell>
          <cell r="O29">
            <v>0.8</v>
          </cell>
          <cell r="P29">
            <v>1.05</v>
          </cell>
          <cell r="Q29">
            <v>1.1000000000000001</v>
          </cell>
          <cell r="R29" t="str">
            <v>INTERIOR</v>
          </cell>
          <cell r="S29">
            <v>5</v>
          </cell>
          <cell r="T29">
            <v>9</v>
          </cell>
          <cell r="U29" t="str">
            <v>Ciudad principal</v>
          </cell>
          <cell r="V29" t="str">
            <v>Departmental Digital</v>
          </cell>
          <cell r="W29" t="str">
            <v>GUANAJUATO</v>
          </cell>
          <cell r="X29">
            <v>2019</v>
          </cell>
          <cell r="Y29" t="str">
            <v>Qtr 2</v>
          </cell>
          <cell r="Z29" t="str">
            <v>April</v>
          </cell>
          <cell r="AA29">
            <v>2</v>
          </cell>
          <cell r="AB29">
            <v>0</v>
          </cell>
          <cell r="AC29">
            <v>7</v>
          </cell>
          <cell r="AD29">
            <v>0.6</v>
          </cell>
          <cell r="AE29">
            <v>0.21333340000000001</v>
          </cell>
          <cell r="AF29">
            <v>819</v>
          </cell>
        </row>
        <row r="30">
          <cell r="B30" t="str">
            <v>7TX135776</v>
          </cell>
          <cell r="C30">
            <v>2019</v>
          </cell>
          <cell r="D30" t="str">
            <v>Qtr 1</v>
          </cell>
          <cell r="E30" t="str">
            <v>March</v>
          </cell>
          <cell r="F30">
            <v>27</v>
          </cell>
          <cell r="G30" t="str">
            <v>MANTENIMIENTO PREVENTIVO</v>
          </cell>
          <cell r="H30">
            <v>0</v>
          </cell>
          <cell r="I30" t="str">
            <v>A3 Office Color Laser MFPs</v>
          </cell>
          <cell r="J30">
            <v>655</v>
          </cell>
          <cell r="K30">
            <v>1365</v>
          </cell>
          <cell r="L30">
            <v>0</v>
          </cell>
          <cell r="M30">
            <v>0</v>
          </cell>
          <cell r="N30">
            <v>0.6</v>
          </cell>
          <cell r="O30">
            <v>0.8</v>
          </cell>
          <cell r="P30">
            <v>1.05</v>
          </cell>
          <cell r="Q30">
            <v>1.1000000000000001</v>
          </cell>
          <cell r="R30" t="str">
            <v>INTERIOR</v>
          </cell>
          <cell r="S30">
            <v>5</v>
          </cell>
          <cell r="T30">
            <v>9</v>
          </cell>
          <cell r="U30" t="str">
            <v>Ciudad principal</v>
          </cell>
          <cell r="V30" t="str">
            <v>A3 Office Color Laser MFPs</v>
          </cell>
          <cell r="W30" t="str">
            <v>MICHOACAN</v>
          </cell>
          <cell r="X30">
            <v>2019</v>
          </cell>
          <cell r="Y30" t="str">
            <v>Qtr 2</v>
          </cell>
          <cell r="Z30" t="str">
            <v>April</v>
          </cell>
          <cell r="AA30">
            <v>16</v>
          </cell>
          <cell r="AB30">
            <v>0</v>
          </cell>
          <cell r="AC30">
            <v>20</v>
          </cell>
          <cell r="AD30">
            <v>0</v>
          </cell>
          <cell r="AE30">
            <v>0</v>
          </cell>
          <cell r="AF30">
            <v>1365</v>
          </cell>
        </row>
        <row r="31">
          <cell r="B31" t="str">
            <v>0E2B646622</v>
          </cell>
          <cell r="C31">
            <v>2019</v>
          </cell>
          <cell r="D31" t="str">
            <v>Qtr 1</v>
          </cell>
          <cell r="E31" t="str">
            <v>March</v>
          </cell>
          <cell r="F31">
            <v>27</v>
          </cell>
          <cell r="G31" t="str">
            <v>CORRECTIVO</v>
          </cell>
          <cell r="H31">
            <v>0.7</v>
          </cell>
          <cell r="I31" t="str">
            <v>Entry Production Color Low/Mid</v>
          </cell>
          <cell r="J31">
            <v>803</v>
          </cell>
          <cell r="K31">
            <v>1573</v>
          </cell>
          <cell r="L31">
            <v>0.2</v>
          </cell>
          <cell r="M31">
            <v>0.6</v>
          </cell>
          <cell r="N31">
            <v>0.8</v>
          </cell>
          <cell r="O31">
            <v>1.05</v>
          </cell>
          <cell r="P31">
            <v>1.1000000000000001</v>
          </cell>
          <cell r="Q31">
            <v>1.1499999999999999</v>
          </cell>
          <cell r="R31" t="str">
            <v>INTERIOR</v>
          </cell>
          <cell r="S31">
            <v>4</v>
          </cell>
          <cell r="T31">
            <v>6</v>
          </cell>
          <cell r="U31" t="str">
            <v>Ciudad principal</v>
          </cell>
          <cell r="V31" t="str">
            <v>Entry Production Color Low/Mid</v>
          </cell>
          <cell r="W31" t="str">
            <v>COLIMA</v>
          </cell>
          <cell r="X31">
            <v>2019</v>
          </cell>
          <cell r="Y31" t="str">
            <v>Qtr 2</v>
          </cell>
          <cell r="Z31" t="str">
            <v>April</v>
          </cell>
          <cell r="AA31">
            <v>1</v>
          </cell>
          <cell r="AB31">
            <v>1</v>
          </cell>
          <cell r="AC31">
            <v>37</v>
          </cell>
          <cell r="AD31">
            <v>0</v>
          </cell>
          <cell r="AE31">
            <v>0</v>
          </cell>
          <cell r="AF31">
            <v>0</v>
          </cell>
        </row>
        <row r="32">
          <cell r="B32" t="str">
            <v>0BG2951627</v>
          </cell>
          <cell r="C32">
            <v>2019</v>
          </cell>
          <cell r="D32" t="str">
            <v>Qtr 1</v>
          </cell>
          <cell r="E32" t="str">
            <v>March</v>
          </cell>
          <cell r="F32">
            <v>28</v>
          </cell>
          <cell r="G32" t="str">
            <v>CORRECTIVO</v>
          </cell>
          <cell r="H32">
            <v>6.6666669999999997E-2</v>
          </cell>
          <cell r="I32" t="str">
            <v>Light Production Digital Business</v>
          </cell>
          <cell r="J32">
            <v>803</v>
          </cell>
          <cell r="K32">
            <v>1573</v>
          </cell>
          <cell r="L32">
            <v>0.2</v>
          </cell>
          <cell r="M32">
            <v>0.6</v>
          </cell>
          <cell r="N32">
            <v>0.8</v>
          </cell>
          <cell r="O32">
            <v>1.05</v>
          </cell>
          <cell r="P32">
            <v>1.1000000000000001</v>
          </cell>
          <cell r="Q32">
            <v>1.1499999999999999</v>
          </cell>
          <cell r="R32" t="str">
            <v>INTERIOR</v>
          </cell>
          <cell r="S32">
            <v>4</v>
          </cell>
          <cell r="T32">
            <v>6</v>
          </cell>
          <cell r="U32" t="str">
            <v>Ciudad principal</v>
          </cell>
          <cell r="V32" t="str">
            <v>High End Cut Sheet</v>
          </cell>
          <cell r="W32" t="str">
            <v>TAMAULIPAS</v>
          </cell>
          <cell r="X32">
            <v>2019</v>
          </cell>
          <cell r="Y32" t="str">
            <v>Qtr 2</v>
          </cell>
          <cell r="Z32" t="str">
            <v>April</v>
          </cell>
          <cell r="AA32">
            <v>15</v>
          </cell>
          <cell r="AB32">
            <v>0</v>
          </cell>
          <cell r="AC32">
            <v>6</v>
          </cell>
          <cell r="AD32">
            <v>0.6</v>
          </cell>
          <cell r="AE32">
            <v>1.6666667499999999E-2</v>
          </cell>
          <cell r="AF32">
            <v>943.8</v>
          </cell>
        </row>
        <row r="33">
          <cell r="B33" t="str">
            <v>03BT801962</v>
          </cell>
          <cell r="C33">
            <v>2019</v>
          </cell>
          <cell r="D33" t="str">
            <v>Qtr 1</v>
          </cell>
          <cell r="E33" t="str">
            <v>March</v>
          </cell>
          <cell r="F33">
            <v>28</v>
          </cell>
          <cell r="G33" t="str">
            <v>INSTALACION NUEVA</v>
          </cell>
          <cell r="H33">
            <v>0</v>
          </cell>
          <cell r="I33" t="str">
            <v>A4 Mono MFPs</v>
          </cell>
          <cell r="J33">
            <v>468</v>
          </cell>
          <cell r="K33">
            <v>715</v>
          </cell>
          <cell r="L33">
            <v>0</v>
          </cell>
          <cell r="M33">
            <v>0</v>
          </cell>
          <cell r="N33">
            <v>0</v>
          </cell>
          <cell r="O33">
            <v>0.6</v>
          </cell>
          <cell r="P33">
            <v>0.8</v>
          </cell>
          <cell r="Q33">
            <v>1.05</v>
          </cell>
          <cell r="R33" t="str">
            <v>INTERIOR</v>
          </cell>
          <cell r="S33">
            <v>5</v>
          </cell>
          <cell r="T33">
            <v>9</v>
          </cell>
          <cell r="U33" t="str">
            <v>Ciudad principal</v>
          </cell>
          <cell r="V33" t="str">
            <v>A4 Mono MFPs</v>
          </cell>
          <cell r="W33" t="str">
            <v>SAN LUIS POTOSI</v>
          </cell>
          <cell r="X33">
            <v>2019</v>
          </cell>
          <cell r="Y33" t="str">
            <v>Qtr 2</v>
          </cell>
          <cell r="Z33" t="str">
            <v>April</v>
          </cell>
          <cell r="AA33">
            <v>1</v>
          </cell>
          <cell r="AB33">
            <v>0</v>
          </cell>
          <cell r="AC33">
            <v>34</v>
          </cell>
          <cell r="AD33">
            <v>0</v>
          </cell>
          <cell r="AE33">
            <v>0</v>
          </cell>
          <cell r="AF33">
            <v>715</v>
          </cell>
        </row>
        <row r="34">
          <cell r="B34" t="str">
            <v>0FBG479583</v>
          </cell>
          <cell r="C34">
            <v>2019</v>
          </cell>
          <cell r="D34" t="str">
            <v>Qtr 1</v>
          </cell>
          <cell r="E34" t="str">
            <v>March</v>
          </cell>
          <cell r="F34">
            <v>28</v>
          </cell>
          <cell r="G34" t="str">
            <v>CORRECTIVO</v>
          </cell>
          <cell r="H34">
            <v>1.3833329999999999</v>
          </cell>
          <cell r="I34" t="str">
            <v>Light Production Digital Business</v>
          </cell>
          <cell r="J34">
            <v>803</v>
          </cell>
          <cell r="K34">
            <v>1573</v>
          </cell>
          <cell r="L34">
            <v>0.2</v>
          </cell>
          <cell r="M34">
            <v>0.6</v>
          </cell>
          <cell r="N34">
            <v>0.8</v>
          </cell>
          <cell r="O34">
            <v>1.05</v>
          </cell>
          <cell r="P34">
            <v>1.1000000000000001</v>
          </cell>
          <cell r="Q34">
            <v>1.1499999999999999</v>
          </cell>
          <cell r="R34" t="str">
            <v>INTERIOR</v>
          </cell>
          <cell r="S34">
            <v>4</v>
          </cell>
          <cell r="T34">
            <v>6</v>
          </cell>
          <cell r="U34" t="str">
            <v>Otras</v>
          </cell>
          <cell r="V34" t="str">
            <v>High End Cut Sheet</v>
          </cell>
          <cell r="W34" t="str">
            <v>NUEVO LEON</v>
          </cell>
          <cell r="X34">
            <v>2019</v>
          </cell>
          <cell r="Y34" t="str">
            <v>Qtr 2</v>
          </cell>
          <cell r="Z34" t="str">
            <v>April</v>
          </cell>
          <cell r="AA34">
            <v>4</v>
          </cell>
          <cell r="AB34">
            <v>0</v>
          </cell>
          <cell r="AC34">
            <v>7</v>
          </cell>
          <cell r="AD34">
            <v>0.8</v>
          </cell>
          <cell r="AE34">
            <v>0.2305555</v>
          </cell>
          <cell r="AF34">
            <v>1258.4000000000001</v>
          </cell>
        </row>
        <row r="35">
          <cell r="B35" t="str">
            <v>0BG2946750</v>
          </cell>
          <cell r="C35">
            <v>2019</v>
          </cell>
          <cell r="D35" t="str">
            <v>Qtr 1</v>
          </cell>
          <cell r="E35" t="str">
            <v>March</v>
          </cell>
          <cell r="F35">
            <v>28</v>
          </cell>
          <cell r="G35" t="str">
            <v>CORRECTIVO</v>
          </cell>
          <cell r="H35">
            <v>1.816667</v>
          </cell>
          <cell r="I35" t="str">
            <v>Light Production Digital Business</v>
          </cell>
          <cell r="J35">
            <v>803</v>
          </cell>
          <cell r="K35">
            <v>1573</v>
          </cell>
          <cell r="L35">
            <v>0.2</v>
          </cell>
          <cell r="M35">
            <v>0.6</v>
          </cell>
          <cell r="N35">
            <v>0.8</v>
          </cell>
          <cell r="O35">
            <v>1.05</v>
          </cell>
          <cell r="P35">
            <v>1.1000000000000001</v>
          </cell>
          <cell r="Q35">
            <v>1.1499999999999999</v>
          </cell>
          <cell r="R35" t="str">
            <v>INTERIOR</v>
          </cell>
          <cell r="S35">
            <v>4</v>
          </cell>
          <cell r="T35">
            <v>6</v>
          </cell>
          <cell r="U35" t="str">
            <v>Ciudad principal</v>
          </cell>
          <cell r="V35" t="str">
            <v>High End Cut Sheet</v>
          </cell>
          <cell r="W35" t="str">
            <v>CHIHUAHUA</v>
          </cell>
          <cell r="X35">
            <v>2019</v>
          </cell>
          <cell r="Y35" t="str">
            <v>Qtr 2</v>
          </cell>
          <cell r="Z35" t="str">
            <v>April</v>
          </cell>
          <cell r="AA35">
            <v>1</v>
          </cell>
          <cell r="AB35">
            <v>0</v>
          </cell>
          <cell r="AC35">
            <v>3</v>
          </cell>
          <cell r="AD35">
            <v>0.6</v>
          </cell>
          <cell r="AE35">
            <v>0.45416675000000001</v>
          </cell>
          <cell r="AF35">
            <v>943.8</v>
          </cell>
        </row>
        <row r="36">
          <cell r="B36" t="str">
            <v>0PW4111396</v>
          </cell>
          <cell r="C36">
            <v>2019</v>
          </cell>
          <cell r="D36" t="str">
            <v>Qtr 1</v>
          </cell>
          <cell r="E36" t="str">
            <v>March</v>
          </cell>
          <cell r="F36">
            <v>28</v>
          </cell>
          <cell r="G36" t="str">
            <v>MANTENIMIENTO PREVENTIVO</v>
          </cell>
          <cell r="H36">
            <v>0</v>
          </cell>
          <cell r="I36" t="str">
            <v>WF Mono Systems and Legacy Color</v>
          </cell>
          <cell r="J36">
            <v>803</v>
          </cell>
          <cell r="K36">
            <v>1573</v>
          </cell>
          <cell r="L36">
            <v>0.2</v>
          </cell>
          <cell r="M36">
            <v>0.6</v>
          </cell>
          <cell r="N36">
            <v>0.8</v>
          </cell>
          <cell r="O36">
            <v>1.05</v>
          </cell>
          <cell r="P36">
            <v>1.1000000000000001</v>
          </cell>
          <cell r="Q36">
            <v>1.1499999999999999</v>
          </cell>
          <cell r="R36" t="str">
            <v>INTERIOR</v>
          </cell>
          <cell r="S36">
            <v>4</v>
          </cell>
          <cell r="T36">
            <v>6</v>
          </cell>
          <cell r="U36" t="str">
            <v>Ciudad principal</v>
          </cell>
          <cell r="V36" t="str">
            <v>WF Mono Systems and Legacy Color</v>
          </cell>
          <cell r="W36" t="str">
            <v>COAHUILA</v>
          </cell>
          <cell r="X36">
            <v>2019</v>
          </cell>
          <cell r="Y36" t="str">
            <v>Qtr 2</v>
          </cell>
          <cell r="Z36" t="str">
            <v>April</v>
          </cell>
          <cell r="AA36">
            <v>3</v>
          </cell>
          <cell r="AB36">
            <v>0</v>
          </cell>
          <cell r="AC36">
            <v>155</v>
          </cell>
          <cell r="AD36">
            <v>0</v>
          </cell>
          <cell r="AE36">
            <v>0</v>
          </cell>
          <cell r="AF36">
            <v>1573</v>
          </cell>
        </row>
        <row r="37">
          <cell r="B37" t="str">
            <v>0Y4X847244</v>
          </cell>
          <cell r="C37">
            <v>2019</v>
          </cell>
          <cell r="D37" t="str">
            <v>Qtr 1</v>
          </cell>
          <cell r="E37" t="str">
            <v>March</v>
          </cell>
          <cell r="F37">
            <v>28</v>
          </cell>
          <cell r="G37" t="str">
            <v>CORRECTIVO</v>
          </cell>
          <cell r="H37">
            <v>6.6666669999999997E-2</v>
          </cell>
          <cell r="I37" t="str">
            <v>Office Digital</v>
          </cell>
          <cell r="J37">
            <v>655</v>
          </cell>
          <cell r="K37">
            <v>1365</v>
          </cell>
          <cell r="L37">
            <v>0</v>
          </cell>
          <cell r="M37">
            <v>0</v>
          </cell>
          <cell r="N37">
            <v>0.6</v>
          </cell>
          <cell r="O37">
            <v>0.8</v>
          </cell>
          <cell r="P37">
            <v>1.05</v>
          </cell>
          <cell r="Q37">
            <v>1.1000000000000001</v>
          </cell>
          <cell r="R37" t="str">
            <v>METRO</v>
          </cell>
          <cell r="S37">
            <v>5</v>
          </cell>
          <cell r="T37">
            <v>9</v>
          </cell>
          <cell r="U37" t="str">
            <v>Ciudad principal</v>
          </cell>
          <cell r="V37" t="str">
            <v>Light Production Digital Business</v>
          </cell>
          <cell r="W37" t="str">
            <v>ESTADO DE MEXICO</v>
          </cell>
          <cell r="X37">
            <v>2019</v>
          </cell>
          <cell r="Y37" t="str">
            <v>Qtr 2</v>
          </cell>
          <cell r="Z37" t="str">
            <v>April</v>
          </cell>
          <cell r="AA37">
            <v>1</v>
          </cell>
          <cell r="AB37">
            <v>1</v>
          </cell>
          <cell r="AC37">
            <v>115</v>
          </cell>
          <cell r="AD37">
            <v>0</v>
          </cell>
          <cell r="AE37">
            <v>0</v>
          </cell>
          <cell r="AF37">
            <v>0</v>
          </cell>
        </row>
        <row r="38">
          <cell r="B38" t="str">
            <v>0A2T369923</v>
          </cell>
          <cell r="C38">
            <v>2019</v>
          </cell>
          <cell r="D38" t="str">
            <v>Qtr 1</v>
          </cell>
          <cell r="E38" t="str">
            <v>March</v>
          </cell>
          <cell r="F38">
            <v>28</v>
          </cell>
          <cell r="G38" t="str">
            <v>CORRECTIVO</v>
          </cell>
          <cell r="H38">
            <v>0</v>
          </cell>
          <cell r="I38" t="str">
            <v>A4 Mono MFPs</v>
          </cell>
          <cell r="J38">
            <v>468</v>
          </cell>
          <cell r="K38">
            <v>715</v>
          </cell>
          <cell r="L38">
            <v>0</v>
          </cell>
          <cell r="M38">
            <v>0</v>
          </cell>
          <cell r="N38">
            <v>0</v>
          </cell>
          <cell r="O38">
            <v>0.6</v>
          </cell>
          <cell r="P38">
            <v>0.8</v>
          </cell>
          <cell r="Q38">
            <v>1.05</v>
          </cell>
          <cell r="R38" t="str">
            <v>INTERIOR</v>
          </cell>
          <cell r="S38">
            <v>5</v>
          </cell>
          <cell r="T38">
            <v>9</v>
          </cell>
          <cell r="U38" t="str">
            <v>Otras</v>
          </cell>
          <cell r="V38" t="str">
            <v>A4 Mono MFPs</v>
          </cell>
          <cell r="W38" t="str">
            <v>TAMAULIPAS</v>
          </cell>
          <cell r="X38">
            <v>2019</v>
          </cell>
          <cell r="Y38" t="str">
            <v>Qtr 2</v>
          </cell>
          <cell r="Z38" t="str">
            <v>April</v>
          </cell>
          <cell r="AA38">
            <v>4</v>
          </cell>
          <cell r="AB38">
            <v>0</v>
          </cell>
          <cell r="AC38">
            <v>66</v>
          </cell>
          <cell r="AD38">
            <v>1.05</v>
          </cell>
          <cell r="AE38">
            <v>0</v>
          </cell>
          <cell r="AF38">
            <v>750.75</v>
          </cell>
        </row>
        <row r="39">
          <cell r="B39" t="str">
            <v>03AG880144</v>
          </cell>
          <cell r="C39">
            <v>2019</v>
          </cell>
          <cell r="D39" t="str">
            <v>Qtr 1</v>
          </cell>
          <cell r="E39" t="str">
            <v>March</v>
          </cell>
          <cell r="F39">
            <v>28</v>
          </cell>
          <cell r="G39" t="str">
            <v>CORRECTIVO</v>
          </cell>
          <cell r="H39">
            <v>0.25</v>
          </cell>
          <cell r="I39" t="str">
            <v>Departmental Digital</v>
          </cell>
          <cell r="J39">
            <v>655</v>
          </cell>
          <cell r="K39">
            <v>1365</v>
          </cell>
          <cell r="L39">
            <v>0</v>
          </cell>
          <cell r="M39">
            <v>0</v>
          </cell>
          <cell r="N39">
            <v>0.6</v>
          </cell>
          <cell r="O39">
            <v>0.8</v>
          </cell>
          <cell r="P39">
            <v>1.05</v>
          </cell>
          <cell r="Q39">
            <v>1.1000000000000001</v>
          </cell>
          <cell r="R39" t="str">
            <v>INTERIOR</v>
          </cell>
          <cell r="S39">
            <v>5</v>
          </cell>
          <cell r="T39">
            <v>9</v>
          </cell>
          <cell r="U39" t="str">
            <v>Ciudad principal</v>
          </cell>
          <cell r="V39" t="str">
            <v>Light Production Digital Business</v>
          </cell>
          <cell r="W39" t="str">
            <v>NUEVO LEON</v>
          </cell>
          <cell r="X39">
            <v>2019</v>
          </cell>
          <cell r="Y39" t="str">
            <v>Qtr 2</v>
          </cell>
          <cell r="Z39" t="str">
            <v>April</v>
          </cell>
          <cell r="AA39">
            <v>2</v>
          </cell>
          <cell r="AB39">
            <v>0</v>
          </cell>
          <cell r="AC39">
            <v>7</v>
          </cell>
          <cell r="AD39">
            <v>0.6</v>
          </cell>
          <cell r="AE39">
            <v>0.05</v>
          </cell>
          <cell r="AF39">
            <v>819</v>
          </cell>
        </row>
        <row r="40">
          <cell r="B40" t="str">
            <v>09HB326116</v>
          </cell>
          <cell r="C40">
            <v>2019</v>
          </cell>
          <cell r="D40" t="str">
            <v>Qtr 1</v>
          </cell>
          <cell r="E40" t="str">
            <v>March</v>
          </cell>
          <cell r="F40">
            <v>28</v>
          </cell>
          <cell r="G40" t="str">
            <v>CORRECTIVO</v>
          </cell>
          <cell r="H40">
            <v>0.68333330000000003</v>
          </cell>
          <cell r="J40" t="str">
            <v>NA</v>
          </cell>
          <cell r="K40" t="str">
            <v>NA</v>
          </cell>
          <cell r="L40" t="str">
            <v>NA</v>
          </cell>
          <cell r="M40" t="str">
            <v>NA</v>
          </cell>
          <cell r="N40" t="str">
            <v>NA</v>
          </cell>
          <cell r="O40" t="str">
            <v>NA</v>
          </cell>
          <cell r="P40" t="str">
            <v>NA</v>
          </cell>
          <cell r="Q40" t="str">
            <v>NA</v>
          </cell>
          <cell r="S40" t="str">
            <v>NA</v>
          </cell>
          <cell r="T40" t="str">
            <v>NA</v>
          </cell>
          <cell r="V40" t="str">
            <v>A4 Mono MFPs</v>
          </cell>
          <cell r="W40" t="str">
            <v>TAMAULIPAS</v>
          </cell>
          <cell r="X40">
            <v>2019</v>
          </cell>
          <cell r="Y40" t="str">
            <v>Qtr 2</v>
          </cell>
          <cell r="Z40" t="str">
            <v>April</v>
          </cell>
          <cell r="AA40">
            <v>3</v>
          </cell>
          <cell r="AB40" t="str">
            <v>NA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</row>
        <row r="41">
          <cell r="B41" t="str">
            <v>0EX9293515</v>
          </cell>
          <cell r="C41">
            <v>2019</v>
          </cell>
          <cell r="D41" t="str">
            <v>Qtr 1</v>
          </cell>
          <cell r="E41" t="str">
            <v>March</v>
          </cell>
          <cell r="F41">
            <v>28</v>
          </cell>
          <cell r="G41" t="str">
            <v>CORRECTIVO</v>
          </cell>
          <cell r="H41">
            <v>3.3333340000000003E-2</v>
          </cell>
          <cell r="I41" t="str">
            <v>Departmental Digital</v>
          </cell>
          <cell r="J41">
            <v>655</v>
          </cell>
          <cell r="K41">
            <v>1365</v>
          </cell>
          <cell r="L41">
            <v>0</v>
          </cell>
          <cell r="M41">
            <v>0</v>
          </cell>
          <cell r="N41">
            <v>0.6</v>
          </cell>
          <cell r="O41">
            <v>0.8</v>
          </cell>
          <cell r="P41">
            <v>1.05</v>
          </cell>
          <cell r="Q41">
            <v>1.1000000000000001</v>
          </cell>
          <cell r="R41" t="str">
            <v>INTERIOR</v>
          </cell>
          <cell r="S41">
            <v>5</v>
          </cell>
          <cell r="T41">
            <v>9</v>
          </cell>
          <cell r="U41" t="str">
            <v>Ciudad principal</v>
          </cell>
          <cell r="V41" t="str">
            <v>Departmental Digital</v>
          </cell>
          <cell r="W41" t="str">
            <v>JALISCO</v>
          </cell>
          <cell r="X41">
            <v>2019</v>
          </cell>
          <cell r="Y41" t="str">
            <v>Qtr 2</v>
          </cell>
          <cell r="Z41" t="str">
            <v>April</v>
          </cell>
          <cell r="AA41">
            <v>1</v>
          </cell>
          <cell r="AB41">
            <v>0</v>
          </cell>
          <cell r="AC41">
            <v>8</v>
          </cell>
          <cell r="AD41">
            <v>0.6</v>
          </cell>
          <cell r="AE41">
            <v>6.6666679999999997E-3</v>
          </cell>
          <cell r="AF41">
            <v>819</v>
          </cell>
        </row>
        <row r="42">
          <cell r="B42" t="str">
            <v>0B2R088255</v>
          </cell>
          <cell r="C42">
            <v>2019</v>
          </cell>
          <cell r="D42" t="str">
            <v>Qtr 1</v>
          </cell>
          <cell r="E42" t="str">
            <v>March</v>
          </cell>
          <cell r="F42">
            <v>29</v>
          </cell>
          <cell r="G42" t="str">
            <v>MANTENIMIENTO PREVENTIVO</v>
          </cell>
          <cell r="H42">
            <v>0</v>
          </cell>
          <cell r="I42" t="str">
            <v>Entry Production Color Low/Mid</v>
          </cell>
          <cell r="J42">
            <v>803</v>
          </cell>
          <cell r="K42">
            <v>1573</v>
          </cell>
          <cell r="L42">
            <v>0.2</v>
          </cell>
          <cell r="M42">
            <v>0.6</v>
          </cell>
          <cell r="N42">
            <v>0.8</v>
          </cell>
          <cell r="O42">
            <v>1.05</v>
          </cell>
          <cell r="P42">
            <v>1.1000000000000001</v>
          </cell>
          <cell r="Q42">
            <v>1.1499999999999999</v>
          </cell>
          <cell r="R42" t="str">
            <v>INTERIOR</v>
          </cell>
          <cell r="S42">
            <v>4</v>
          </cell>
          <cell r="T42">
            <v>6</v>
          </cell>
          <cell r="U42" t="str">
            <v>Ciudad principal</v>
          </cell>
          <cell r="V42" t="str">
            <v>High End Cut Sheet</v>
          </cell>
          <cell r="W42" t="str">
            <v>COLIMA</v>
          </cell>
          <cell r="X42">
            <v>2019</v>
          </cell>
          <cell r="Y42" t="str">
            <v>Qtr 2</v>
          </cell>
          <cell r="Z42" t="str">
            <v>April</v>
          </cell>
          <cell r="AA42">
            <v>2</v>
          </cell>
          <cell r="AB42">
            <v>0</v>
          </cell>
          <cell r="AC42">
            <v>4</v>
          </cell>
          <cell r="AD42">
            <v>0</v>
          </cell>
          <cell r="AE42">
            <v>0</v>
          </cell>
          <cell r="AF42">
            <v>1573</v>
          </cell>
        </row>
        <row r="43">
          <cell r="B43" t="str">
            <v>0VGW624391</v>
          </cell>
          <cell r="C43">
            <v>2019</v>
          </cell>
          <cell r="D43" t="str">
            <v>Qtr 1</v>
          </cell>
          <cell r="E43" t="str">
            <v>March</v>
          </cell>
          <cell r="F43">
            <v>29</v>
          </cell>
          <cell r="G43" t="str">
            <v>CORRECTIVO</v>
          </cell>
          <cell r="H43">
            <v>1.65</v>
          </cell>
          <cell r="I43" t="str">
            <v>Entry Production Color Low/Mid</v>
          </cell>
          <cell r="J43">
            <v>803</v>
          </cell>
          <cell r="K43">
            <v>1573</v>
          </cell>
          <cell r="L43">
            <v>0.2</v>
          </cell>
          <cell r="M43">
            <v>0.6</v>
          </cell>
          <cell r="N43">
            <v>0.8</v>
          </cell>
          <cell r="O43">
            <v>1.05</v>
          </cell>
          <cell r="P43">
            <v>1.1000000000000001</v>
          </cell>
          <cell r="Q43">
            <v>1.1499999999999999</v>
          </cell>
          <cell r="R43" t="str">
            <v>INTERIOR</v>
          </cell>
          <cell r="S43">
            <v>4</v>
          </cell>
          <cell r="T43">
            <v>6</v>
          </cell>
          <cell r="U43" t="str">
            <v>Ciudad principal</v>
          </cell>
          <cell r="V43" t="str">
            <v>Entry Production Color Low/Mid</v>
          </cell>
          <cell r="W43" t="str">
            <v>CHIHUAHUA</v>
          </cell>
          <cell r="X43">
            <v>2019</v>
          </cell>
          <cell r="Y43" t="str">
            <v>Qtr 2</v>
          </cell>
          <cell r="Z43" t="str">
            <v>April</v>
          </cell>
          <cell r="AA43">
            <v>2</v>
          </cell>
          <cell r="AB43">
            <v>0</v>
          </cell>
          <cell r="AC43">
            <v>15</v>
          </cell>
          <cell r="AD43">
            <v>0.8</v>
          </cell>
          <cell r="AE43">
            <v>0.41249999999999998</v>
          </cell>
          <cell r="AF43">
            <v>1258.4000000000001</v>
          </cell>
        </row>
        <row r="44">
          <cell r="B44" t="str">
            <v>0BG2949312</v>
          </cell>
          <cell r="C44">
            <v>2019</v>
          </cell>
          <cell r="D44" t="str">
            <v>Qtr 1</v>
          </cell>
          <cell r="E44" t="str">
            <v>March</v>
          </cell>
          <cell r="F44">
            <v>29</v>
          </cell>
          <cell r="G44" t="str">
            <v>CORRECTIVO</v>
          </cell>
          <cell r="H44">
            <v>1.316667</v>
          </cell>
          <cell r="I44" t="str">
            <v>Light Production Digital Business</v>
          </cell>
          <cell r="J44">
            <v>803</v>
          </cell>
          <cell r="K44">
            <v>1573</v>
          </cell>
          <cell r="L44">
            <v>0.2</v>
          </cell>
          <cell r="M44">
            <v>0.6</v>
          </cell>
          <cell r="N44">
            <v>0.8</v>
          </cell>
          <cell r="O44">
            <v>1.05</v>
          </cell>
          <cell r="P44">
            <v>1.1000000000000001</v>
          </cell>
          <cell r="Q44">
            <v>1.1499999999999999</v>
          </cell>
          <cell r="R44" t="str">
            <v>INTERIOR</v>
          </cell>
          <cell r="S44">
            <v>4</v>
          </cell>
          <cell r="T44">
            <v>6</v>
          </cell>
          <cell r="U44" t="str">
            <v>Ciudad principal</v>
          </cell>
          <cell r="V44" t="str">
            <v>High End Cut Sheet</v>
          </cell>
          <cell r="W44" t="str">
            <v>ESTADO DE MEXICO</v>
          </cell>
          <cell r="X44">
            <v>2019</v>
          </cell>
          <cell r="Y44" t="str">
            <v>Qtr 2</v>
          </cell>
          <cell r="Z44" t="str">
            <v>April</v>
          </cell>
          <cell r="AA44">
            <v>1</v>
          </cell>
          <cell r="AB44">
            <v>0</v>
          </cell>
          <cell r="AC44">
            <v>31</v>
          </cell>
          <cell r="AD44">
            <v>1.1000000000000001</v>
          </cell>
          <cell r="AE44">
            <v>0.32916675000000001</v>
          </cell>
          <cell r="AF44">
            <v>1730.3</v>
          </cell>
        </row>
        <row r="45">
          <cell r="B45" t="str">
            <v>0CX0060974</v>
          </cell>
          <cell r="C45">
            <v>2019</v>
          </cell>
          <cell r="D45" t="str">
            <v>Qtr 1</v>
          </cell>
          <cell r="E45" t="str">
            <v>March</v>
          </cell>
          <cell r="F45">
            <v>29</v>
          </cell>
          <cell r="G45" t="str">
            <v>CORRECTIVO</v>
          </cell>
          <cell r="H45">
            <v>0.23333329999999999</v>
          </cell>
          <cell r="I45" t="str">
            <v>Entry Production Color Mid</v>
          </cell>
          <cell r="J45">
            <v>803</v>
          </cell>
          <cell r="K45">
            <v>1573</v>
          </cell>
          <cell r="L45">
            <v>0.2</v>
          </cell>
          <cell r="M45">
            <v>0.6</v>
          </cell>
          <cell r="N45">
            <v>0.8</v>
          </cell>
          <cell r="O45">
            <v>1.05</v>
          </cell>
          <cell r="P45">
            <v>1.1000000000000001</v>
          </cell>
          <cell r="Q45">
            <v>1.1499999999999999</v>
          </cell>
          <cell r="R45" t="str">
            <v>INTERIOR</v>
          </cell>
          <cell r="S45">
            <v>4</v>
          </cell>
          <cell r="T45">
            <v>6</v>
          </cell>
          <cell r="U45" t="str">
            <v>Ciudad principal</v>
          </cell>
          <cell r="V45" t="str">
            <v>Entry Production Color High</v>
          </cell>
          <cell r="W45" t="str">
            <v>CHIHUAHUA</v>
          </cell>
          <cell r="X45">
            <v>2019</v>
          </cell>
          <cell r="Y45" t="str">
            <v>Qtr 2</v>
          </cell>
          <cell r="Z45" t="str">
            <v>April</v>
          </cell>
          <cell r="AA45">
            <v>1</v>
          </cell>
          <cell r="AB45">
            <v>0</v>
          </cell>
          <cell r="AC45">
            <v>25</v>
          </cell>
          <cell r="AD45">
            <v>1.05</v>
          </cell>
          <cell r="AE45">
            <v>5.8333324999999998E-2</v>
          </cell>
          <cell r="AF45">
            <v>1651.65</v>
          </cell>
        </row>
        <row r="46">
          <cell r="B46" t="str">
            <v>0EX9293200</v>
          </cell>
          <cell r="C46">
            <v>2019</v>
          </cell>
          <cell r="D46" t="str">
            <v>Qtr 1</v>
          </cell>
          <cell r="E46" t="str">
            <v>March</v>
          </cell>
          <cell r="F46">
            <v>29</v>
          </cell>
          <cell r="G46" t="str">
            <v>CORRECTIVO</v>
          </cell>
          <cell r="H46">
            <v>1.6333329999999999</v>
          </cell>
          <cell r="I46" t="str">
            <v>Departmental Digital</v>
          </cell>
          <cell r="J46">
            <v>655</v>
          </cell>
          <cell r="K46">
            <v>1365</v>
          </cell>
          <cell r="L46">
            <v>0</v>
          </cell>
          <cell r="M46">
            <v>0</v>
          </cell>
          <cell r="N46">
            <v>0.6</v>
          </cell>
          <cell r="O46">
            <v>0.8</v>
          </cell>
          <cell r="P46">
            <v>1.05</v>
          </cell>
          <cell r="Q46">
            <v>1.1000000000000001</v>
          </cell>
          <cell r="R46" t="str">
            <v>INTERIOR</v>
          </cell>
          <cell r="S46">
            <v>5</v>
          </cell>
          <cell r="T46">
            <v>9</v>
          </cell>
          <cell r="U46" t="str">
            <v>Ciudad principal</v>
          </cell>
          <cell r="V46" t="str">
            <v>Departmental Digital</v>
          </cell>
          <cell r="W46" t="str">
            <v>SAN LUIS POTOSI</v>
          </cell>
          <cell r="X46">
            <v>2019</v>
          </cell>
          <cell r="Y46" t="str">
            <v>Qtr 2</v>
          </cell>
          <cell r="Z46" t="str">
            <v>April</v>
          </cell>
          <cell r="AA46">
            <v>2</v>
          </cell>
          <cell r="AB46">
            <v>0</v>
          </cell>
          <cell r="AC46">
            <v>45</v>
          </cell>
          <cell r="AD46">
            <v>1.05</v>
          </cell>
          <cell r="AE46">
            <v>0.32666659999999997</v>
          </cell>
          <cell r="AF46">
            <v>1433.25</v>
          </cell>
        </row>
        <row r="47">
          <cell r="B47" t="str">
            <v>0EX9297293</v>
          </cell>
          <cell r="C47">
            <v>2019</v>
          </cell>
          <cell r="D47" t="str">
            <v>Qtr 1</v>
          </cell>
          <cell r="E47" t="str">
            <v>March</v>
          </cell>
          <cell r="F47">
            <v>29</v>
          </cell>
          <cell r="G47" t="str">
            <v>CORRECTIVO</v>
          </cell>
          <cell r="H47">
            <v>2.0833330000000001</v>
          </cell>
          <cell r="I47" t="str">
            <v>Departmental Digital</v>
          </cell>
          <cell r="J47">
            <v>655</v>
          </cell>
          <cell r="K47">
            <v>1365</v>
          </cell>
          <cell r="L47">
            <v>0</v>
          </cell>
          <cell r="M47">
            <v>0</v>
          </cell>
          <cell r="N47">
            <v>0.6</v>
          </cell>
          <cell r="O47">
            <v>0.8</v>
          </cell>
          <cell r="P47">
            <v>1.05</v>
          </cell>
          <cell r="Q47">
            <v>1.1000000000000001</v>
          </cell>
          <cell r="R47" t="str">
            <v>INTERIOR</v>
          </cell>
          <cell r="S47">
            <v>5</v>
          </cell>
          <cell r="T47">
            <v>9</v>
          </cell>
          <cell r="U47" t="str">
            <v>Ciudad principal</v>
          </cell>
          <cell r="V47" t="str">
            <v>Departmental Digital</v>
          </cell>
          <cell r="W47" t="str">
            <v>COAHUILA</v>
          </cell>
          <cell r="X47">
            <v>2019</v>
          </cell>
          <cell r="Y47" t="str">
            <v>Qtr 2</v>
          </cell>
          <cell r="Z47" t="str">
            <v>April</v>
          </cell>
          <cell r="AA47">
            <v>1</v>
          </cell>
          <cell r="AB47">
            <v>0</v>
          </cell>
          <cell r="AC47">
            <v>32</v>
          </cell>
          <cell r="AD47">
            <v>1.05</v>
          </cell>
          <cell r="AE47">
            <v>0.4166666</v>
          </cell>
          <cell r="AF47">
            <v>1433.25</v>
          </cell>
        </row>
        <row r="48">
          <cell r="B48" t="str">
            <v>0BG2940184</v>
          </cell>
          <cell r="C48">
            <v>2019</v>
          </cell>
          <cell r="D48" t="str">
            <v>Qtr 1</v>
          </cell>
          <cell r="E48" t="str">
            <v>March</v>
          </cell>
          <cell r="F48">
            <v>29</v>
          </cell>
          <cell r="G48" t="str">
            <v>CORRECTIVO</v>
          </cell>
          <cell r="H48">
            <v>0.5</v>
          </cell>
          <cell r="I48" t="str">
            <v>Light Production Digital Business</v>
          </cell>
          <cell r="J48">
            <v>803</v>
          </cell>
          <cell r="K48">
            <v>1573</v>
          </cell>
          <cell r="L48">
            <v>0.2</v>
          </cell>
          <cell r="M48">
            <v>0.6</v>
          </cell>
          <cell r="N48">
            <v>0.8</v>
          </cell>
          <cell r="O48">
            <v>1.05</v>
          </cell>
          <cell r="P48">
            <v>1.1000000000000001</v>
          </cell>
          <cell r="Q48">
            <v>1.1499999999999999</v>
          </cell>
          <cell r="R48" t="str">
            <v>INTERIOR</v>
          </cell>
          <cell r="S48">
            <v>4</v>
          </cell>
          <cell r="T48">
            <v>6</v>
          </cell>
          <cell r="U48" t="str">
            <v>Ciudad principal</v>
          </cell>
          <cell r="V48" t="str">
            <v>High End Cut Sheet</v>
          </cell>
          <cell r="W48" t="str">
            <v>JALISCO</v>
          </cell>
          <cell r="X48">
            <v>2019</v>
          </cell>
          <cell r="Y48" t="str">
            <v>Qtr 2</v>
          </cell>
          <cell r="Z48" t="str">
            <v>April</v>
          </cell>
          <cell r="AA48">
            <v>4</v>
          </cell>
          <cell r="AB48">
            <v>0</v>
          </cell>
          <cell r="AC48">
            <v>1</v>
          </cell>
          <cell r="AD48">
            <v>0.2</v>
          </cell>
          <cell r="AE48">
            <v>0.125</v>
          </cell>
          <cell r="AF48">
            <v>314.60000000000002</v>
          </cell>
        </row>
        <row r="49">
          <cell r="B49" t="str">
            <v>0Y4X848009</v>
          </cell>
          <cell r="C49">
            <v>2019</v>
          </cell>
          <cell r="D49" t="str">
            <v>Qtr 1</v>
          </cell>
          <cell r="E49" t="str">
            <v>March</v>
          </cell>
          <cell r="F49">
            <v>29</v>
          </cell>
          <cell r="G49" t="str">
            <v>CORRECTIVO</v>
          </cell>
          <cell r="H49">
            <v>0</v>
          </cell>
          <cell r="I49" t="str">
            <v>Office Digital</v>
          </cell>
          <cell r="J49">
            <v>655</v>
          </cell>
          <cell r="K49">
            <v>1365</v>
          </cell>
          <cell r="L49">
            <v>0</v>
          </cell>
          <cell r="M49">
            <v>0</v>
          </cell>
          <cell r="N49">
            <v>0.6</v>
          </cell>
          <cell r="O49">
            <v>0.8</v>
          </cell>
          <cell r="P49">
            <v>1.05</v>
          </cell>
          <cell r="Q49">
            <v>1.1000000000000001</v>
          </cell>
          <cell r="R49" t="str">
            <v>METRO</v>
          </cell>
          <cell r="S49">
            <v>5</v>
          </cell>
          <cell r="T49">
            <v>9</v>
          </cell>
          <cell r="U49" t="str">
            <v>Ciudad principal</v>
          </cell>
          <cell r="V49" t="str">
            <v>Light Production Digital Business</v>
          </cell>
          <cell r="W49" t="str">
            <v>CIUDAD DE MEXICO</v>
          </cell>
          <cell r="X49">
            <v>2019</v>
          </cell>
          <cell r="Y49" t="str">
            <v>Qtr 2</v>
          </cell>
          <cell r="Z49" t="str">
            <v>April</v>
          </cell>
          <cell r="AA49">
            <v>1</v>
          </cell>
          <cell r="AB49">
            <v>1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B50" t="str">
            <v>0C4X006454</v>
          </cell>
          <cell r="C50">
            <v>2019</v>
          </cell>
          <cell r="D50" t="str">
            <v>Qtr 1</v>
          </cell>
          <cell r="E50" t="str">
            <v>March</v>
          </cell>
          <cell r="F50">
            <v>29</v>
          </cell>
          <cell r="G50" t="str">
            <v>CORRECTIVO</v>
          </cell>
          <cell r="H50">
            <v>0.1</v>
          </cell>
          <cell r="J50" t="str">
            <v>NA</v>
          </cell>
          <cell r="K50" t="str">
            <v>NA</v>
          </cell>
          <cell r="L50" t="str">
            <v>NA</v>
          </cell>
          <cell r="M50" t="str">
            <v>NA</v>
          </cell>
          <cell r="N50" t="str">
            <v>NA</v>
          </cell>
          <cell r="O50" t="str">
            <v>NA</v>
          </cell>
          <cell r="P50" t="str">
            <v>NA</v>
          </cell>
          <cell r="Q50" t="str">
            <v>NA</v>
          </cell>
          <cell r="S50" t="str">
            <v>NA</v>
          </cell>
          <cell r="T50" t="str">
            <v>NA</v>
          </cell>
          <cell r="V50" t="str">
            <v>A4 Mono MFPs</v>
          </cell>
          <cell r="W50" t="str">
            <v>JALISCO</v>
          </cell>
          <cell r="X50">
            <v>2019</v>
          </cell>
          <cell r="Y50" t="str">
            <v>Qtr 2</v>
          </cell>
          <cell r="Z50" t="str">
            <v>April</v>
          </cell>
          <cell r="AA50">
            <v>2</v>
          </cell>
          <cell r="AB50" t="str">
            <v>NA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B51" t="str">
            <v>0E2B646560</v>
          </cell>
          <cell r="C51">
            <v>2019</v>
          </cell>
          <cell r="D51" t="str">
            <v>Qtr 1</v>
          </cell>
          <cell r="E51" t="str">
            <v>March</v>
          </cell>
          <cell r="F51">
            <v>31</v>
          </cell>
          <cell r="G51" t="str">
            <v>CORRECTIVO</v>
          </cell>
          <cell r="H51">
            <v>1.3</v>
          </cell>
          <cell r="I51" t="str">
            <v>Entry Production Color Low/Mid</v>
          </cell>
          <cell r="J51">
            <v>803</v>
          </cell>
          <cell r="K51">
            <v>1573</v>
          </cell>
          <cell r="L51">
            <v>0.2</v>
          </cell>
          <cell r="M51">
            <v>0.6</v>
          </cell>
          <cell r="N51">
            <v>0.8</v>
          </cell>
          <cell r="O51">
            <v>1.05</v>
          </cell>
          <cell r="P51">
            <v>1.1000000000000001</v>
          </cell>
          <cell r="Q51">
            <v>1.1499999999999999</v>
          </cell>
          <cell r="R51" t="str">
            <v>INTERIOR</v>
          </cell>
          <cell r="S51">
            <v>4</v>
          </cell>
          <cell r="T51">
            <v>6</v>
          </cell>
          <cell r="U51" t="str">
            <v>Ciudad principal</v>
          </cell>
          <cell r="V51" t="str">
            <v>Entry Production Color Low/Mid</v>
          </cell>
          <cell r="W51" t="str">
            <v>TAMAULIPAS</v>
          </cell>
          <cell r="X51">
            <v>2019</v>
          </cell>
          <cell r="Y51" t="str">
            <v>Qtr 2</v>
          </cell>
          <cell r="Z51" t="str">
            <v>April</v>
          </cell>
          <cell r="AA51">
            <v>2</v>
          </cell>
          <cell r="AB51">
            <v>0</v>
          </cell>
          <cell r="AC51">
            <v>45</v>
          </cell>
          <cell r="AD51">
            <v>1.1000000000000001</v>
          </cell>
          <cell r="AE51">
            <v>0.32500000000000001</v>
          </cell>
          <cell r="AF51">
            <v>1730.3</v>
          </cell>
        </row>
        <row r="52">
          <cell r="B52" t="str">
            <v>0EX9309804</v>
          </cell>
          <cell r="C52">
            <v>2019</v>
          </cell>
          <cell r="D52" t="str">
            <v>Qtr 1</v>
          </cell>
          <cell r="E52" t="str">
            <v>March</v>
          </cell>
          <cell r="F52">
            <v>31</v>
          </cell>
          <cell r="G52" t="str">
            <v>CORRECTIVO</v>
          </cell>
          <cell r="H52">
            <v>0.51666670000000003</v>
          </cell>
          <cell r="I52" t="str">
            <v>Departmental Digital</v>
          </cell>
          <cell r="J52">
            <v>655</v>
          </cell>
          <cell r="K52">
            <v>1365</v>
          </cell>
          <cell r="L52">
            <v>0</v>
          </cell>
          <cell r="M52">
            <v>0</v>
          </cell>
          <cell r="N52">
            <v>0.6</v>
          </cell>
          <cell r="O52">
            <v>0.8</v>
          </cell>
          <cell r="P52">
            <v>1.05</v>
          </cell>
          <cell r="Q52">
            <v>1.1000000000000001</v>
          </cell>
          <cell r="R52" t="str">
            <v>INTERIOR</v>
          </cell>
          <cell r="S52">
            <v>5</v>
          </cell>
          <cell r="T52">
            <v>9</v>
          </cell>
          <cell r="U52" t="str">
            <v>Ciudad principal</v>
          </cell>
          <cell r="V52" t="str">
            <v>Departmental Digital</v>
          </cell>
          <cell r="W52" t="str">
            <v>QUERETARO</v>
          </cell>
          <cell r="X52">
            <v>2019</v>
          </cell>
          <cell r="Y52" t="str">
            <v>Qtr 2</v>
          </cell>
          <cell r="Z52" t="str">
            <v>April</v>
          </cell>
          <cell r="AA52">
            <v>1</v>
          </cell>
          <cell r="AB52">
            <v>0</v>
          </cell>
          <cell r="AC52">
            <v>5</v>
          </cell>
          <cell r="AD52">
            <v>0</v>
          </cell>
          <cell r="AE52">
            <v>0.10333334</v>
          </cell>
          <cell r="AF52">
            <v>0</v>
          </cell>
        </row>
        <row r="53">
          <cell r="B53" t="str">
            <v>0BG2945208</v>
          </cell>
          <cell r="C53">
            <v>2019</v>
          </cell>
          <cell r="D53" t="str">
            <v>Qtr 1</v>
          </cell>
          <cell r="E53" t="str">
            <v>March</v>
          </cell>
          <cell r="F53">
            <v>31</v>
          </cell>
          <cell r="G53" t="str">
            <v>CORRECTIVO</v>
          </cell>
          <cell r="H53">
            <v>0.4</v>
          </cell>
          <cell r="I53" t="str">
            <v>Light Production Digital Business</v>
          </cell>
          <cell r="J53">
            <v>803</v>
          </cell>
          <cell r="K53">
            <v>1573</v>
          </cell>
          <cell r="L53">
            <v>0.2</v>
          </cell>
          <cell r="M53">
            <v>0.6</v>
          </cell>
          <cell r="N53">
            <v>0.8</v>
          </cell>
          <cell r="O53">
            <v>1.05</v>
          </cell>
          <cell r="P53">
            <v>1.1000000000000001</v>
          </cell>
          <cell r="Q53">
            <v>1.1499999999999999</v>
          </cell>
          <cell r="R53" t="str">
            <v>INTERIOR</v>
          </cell>
          <cell r="S53">
            <v>4</v>
          </cell>
          <cell r="T53">
            <v>6</v>
          </cell>
          <cell r="U53" t="str">
            <v>Ciudad principal</v>
          </cell>
          <cell r="V53" t="str">
            <v>High End Cut Sheet</v>
          </cell>
          <cell r="W53" t="str">
            <v>NUEVO LEON</v>
          </cell>
          <cell r="X53">
            <v>2019</v>
          </cell>
          <cell r="Y53" t="str">
            <v>Qtr 2</v>
          </cell>
          <cell r="Z53" t="str">
            <v>April</v>
          </cell>
          <cell r="AA53">
            <v>4</v>
          </cell>
          <cell r="AB53">
            <v>0</v>
          </cell>
          <cell r="AC53">
            <v>5</v>
          </cell>
          <cell r="AD53">
            <v>0.6</v>
          </cell>
          <cell r="AE53">
            <v>0.1</v>
          </cell>
          <cell r="AF53">
            <v>943.8</v>
          </cell>
        </row>
        <row r="54">
          <cell r="B54" t="str">
            <v>K3A706937</v>
          </cell>
          <cell r="C54">
            <v>2019</v>
          </cell>
          <cell r="D54" t="str">
            <v>Qtr 1</v>
          </cell>
          <cell r="E54" t="str">
            <v>March</v>
          </cell>
          <cell r="F54">
            <v>31</v>
          </cell>
          <cell r="G54" t="str">
            <v>MANTENIMIENTO PREVENTIVO</v>
          </cell>
          <cell r="H54">
            <v>0</v>
          </cell>
          <cell r="I54" t="str">
            <v>Entry Mono Printers</v>
          </cell>
          <cell r="J54">
            <v>468</v>
          </cell>
          <cell r="K54">
            <v>715</v>
          </cell>
          <cell r="L54">
            <v>0</v>
          </cell>
          <cell r="M54">
            <v>0</v>
          </cell>
          <cell r="N54">
            <v>0</v>
          </cell>
          <cell r="O54">
            <v>0.6</v>
          </cell>
          <cell r="P54">
            <v>0.8</v>
          </cell>
          <cell r="Q54">
            <v>1.05</v>
          </cell>
          <cell r="R54" t="str">
            <v>INTERIOR</v>
          </cell>
          <cell r="S54">
            <v>5</v>
          </cell>
          <cell r="T54">
            <v>9</v>
          </cell>
          <cell r="U54" t="str">
            <v>Ciudad principal</v>
          </cell>
          <cell r="V54" t="str">
            <v>A4 Mono MFPs</v>
          </cell>
          <cell r="W54" t="str">
            <v>COAHUILA</v>
          </cell>
          <cell r="X54">
            <v>2019</v>
          </cell>
          <cell r="Y54" t="str">
            <v>Qtr 2</v>
          </cell>
          <cell r="Z54" t="str">
            <v>April</v>
          </cell>
          <cell r="AA54">
            <v>1</v>
          </cell>
          <cell r="AB54">
            <v>0</v>
          </cell>
          <cell r="AC54">
            <v>108</v>
          </cell>
          <cell r="AD54">
            <v>0</v>
          </cell>
          <cell r="AE54">
            <v>0</v>
          </cell>
          <cell r="AF54">
            <v>715</v>
          </cell>
        </row>
        <row r="55">
          <cell r="B55" t="str">
            <v>09HB321575</v>
          </cell>
          <cell r="C55">
            <v>2019</v>
          </cell>
          <cell r="D55" t="str">
            <v>Qtr 1</v>
          </cell>
          <cell r="E55" t="str">
            <v>March</v>
          </cell>
          <cell r="F55">
            <v>31</v>
          </cell>
          <cell r="G55" t="str">
            <v>MANTENIMIENTO PREVENTIVO</v>
          </cell>
          <cell r="H55">
            <v>0.1666667</v>
          </cell>
          <cell r="I55" t="str">
            <v>A4 Mono MFPs</v>
          </cell>
          <cell r="J55">
            <v>468</v>
          </cell>
          <cell r="K55">
            <v>715</v>
          </cell>
          <cell r="L55">
            <v>0</v>
          </cell>
          <cell r="M55">
            <v>0</v>
          </cell>
          <cell r="N55">
            <v>0</v>
          </cell>
          <cell r="O55">
            <v>0.6</v>
          </cell>
          <cell r="P55">
            <v>0.8</v>
          </cell>
          <cell r="Q55">
            <v>1.05</v>
          </cell>
          <cell r="R55" t="str">
            <v>INTERIOR</v>
          </cell>
          <cell r="S55">
            <v>5</v>
          </cell>
          <cell r="T55">
            <v>9</v>
          </cell>
          <cell r="U55" t="str">
            <v>Ciudad principal</v>
          </cell>
          <cell r="V55" t="str">
            <v>A4 Mono MFPs</v>
          </cell>
          <cell r="W55" t="str">
            <v>CHIHUAHUA</v>
          </cell>
          <cell r="X55">
            <v>2019</v>
          </cell>
          <cell r="Y55" t="str">
            <v>Qtr 2</v>
          </cell>
          <cell r="Z55" t="str">
            <v>April</v>
          </cell>
          <cell r="AA55">
            <v>1</v>
          </cell>
          <cell r="AB55">
            <v>0</v>
          </cell>
          <cell r="AC55">
            <v>23</v>
          </cell>
          <cell r="AD55">
            <v>0</v>
          </cell>
          <cell r="AE55">
            <v>0</v>
          </cell>
          <cell r="AF55">
            <v>715</v>
          </cell>
        </row>
        <row r="56">
          <cell r="B56" t="str">
            <v>0XLV886888</v>
          </cell>
          <cell r="C56">
            <v>2019</v>
          </cell>
          <cell r="D56" t="str">
            <v>Qtr 1</v>
          </cell>
          <cell r="E56" t="str">
            <v>March</v>
          </cell>
          <cell r="F56">
            <v>31</v>
          </cell>
          <cell r="G56" t="str">
            <v>MANTENIMIENTO PREVENTIVO</v>
          </cell>
          <cell r="H56">
            <v>0</v>
          </cell>
          <cell r="I56" t="str">
            <v>Entry Mono Printers</v>
          </cell>
          <cell r="J56">
            <v>468</v>
          </cell>
          <cell r="K56">
            <v>715</v>
          </cell>
          <cell r="L56">
            <v>0</v>
          </cell>
          <cell r="M56">
            <v>0</v>
          </cell>
          <cell r="N56">
            <v>0</v>
          </cell>
          <cell r="O56">
            <v>0.6</v>
          </cell>
          <cell r="P56">
            <v>0.8</v>
          </cell>
          <cell r="Q56">
            <v>1.05</v>
          </cell>
          <cell r="R56" t="str">
            <v>INTERIOR</v>
          </cell>
          <cell r="S56">
            <v>5</v>
          </cell>
          <cell r="T56">
            <v>9</v>
          </cell>
          <cell r="U56" t="str">
            <v>Ciudad principal</v>
          </cell>
          <cell r="V56" t="str">
            <v>A4 Mono MFPs</v>
          </cell>
          <cell r="W56" t="str">
            <v>CHIHUAHUA</v>
          </cell>
          <cell r="X56">
            <v>2019</v>
          </cell>
          <cell r="Y56" t="str">
            <v>Qtr 2</v>
          </cell>
          <cell r="Z56" t="str">
            <v>April</v>
          </cell>
          <cell r="AA56">
            <v>1</v>
          </cell>
          <cell r="AB56">
            <v>0</v>
          </cell>
          <cell r="AC56">
            <v>30</v>
          </cell>
          <cell r="AD56">
            <v>0</v>
          </cell>
          <cell r="AE56">
            <v>0</v>
          </cell>
          <cell r="AF56">
            <v>715</v>
          </cell>
        </row>
        <row r="57">
          <cell r="B57" t="str">
            <v>0C4X011068</v>
          </cell>
          <cell r="C57">
            <v>2019</v>
          </cell>
          <cell r="D57" t="str">
            <v>Qtr 1</v>
          </cell>
          <cell r="E57" t="str">
            <v>March</v>
          </cell>
          <cell r="F57">
            <v>31</v>
          </cell>
          <cell r="G57" t="str">
            <v>MANTENIMIENTO PREVENTIVO</v>
          </cell>
          <cell r="H57">
            <v>0</v>
          </cell>
          <cell r="I57" t="str">
            <v>A4 Mono MFPs</v>
          </cell>
          <cell r="J57">
            <v>468</v>
          </cell>
          <cell r="K57">
            <v>715</v>
          </cell>
          <cell r="L57">
            <v>0</v>
          </cell>
          <cell r="M57">
            <v>0</v>
          </cell>
          <cell r="N57">
            <v>0</v>
          </cell>
          <cell r="O57">
            <v>0.6</v>
          </cell>
          <cell r="P57">
            <v>0.8</v>
          </cell>
          <cell r="Q57">
            <v>1.05</v>
          </cell>
          <cell r="R57" t="str">
            <v>INTERIOR</v>
          </cell>
          <cell r="S57">
            <v>5</v>
          </cell>
          <cell r="T57">
            <v>9</v>
          </cell>
          <cell r="U57" t="str">
            <v>Ciudad principal</v>
          </cell>
          <cell r="V57" t="str">
            <v>A4 Mono MFPs</v>
          </cell>
          <cell r="W57" t="str">
            <v>TAMAULIPAS</v>
          </cell>
          <cell r="X57">
            <v>2019</v>
          </cell>
          <cell r="Y57" t="str">
            <v>Qtr 2</v>
          </cell>
          <cell r="Z57" t="str">
            <v>April</v>
          </cell>
          <cell r="AA57">
            <v>1</v>
          </cell>
          <cell r="AB57">
            <v>0</v>
          </cell>
          <cell r="AC57">
            <v>17</v>
          </cell>
          <cell r="AD57">
            <v>0</v>
          </cell>
          <cell r="AE57">
            <v>0</v>
          </cell>
          <cell r="AF57">
            <v>715</v>
          </cell>
        </row>
        <row r="58">
          <cell r="B58" t="str">
            <v>0BG2946786</v>
          </cell>
          <cell r="C58">
            <v>2019</v>
          </cell>
          <cell r="D58" t="str">
            <v>Qtr 1</v>
          </cell>
          <cell r="E58" t="str">
            <v>March</v>
          </cell>
          <cell r="F58">
            <v>31</v>
          </cell>
          <cell r="G58" t="str">
            <v>MANTENIMIENTO PREVENTIVO</v>
          </cell>
          <cell r="H58">
            <v>0</v>
          </cell>
          <cell r="I58" t="str">
            <v>Light Production Digital Business</v>
          </cell>
          <cell r="J58">
            <v>803</v>
          </cell>
          <cell r="K58">
            <v>1573</v>
          </cell>
          <cell r="L58">
            <v>0.2</v>
          </cell>
          <cell r="M58">
            <v>0.6</v>
          </cell>
          <cell r="N58">
            <v>0.8</v>
          </cell>
          <cell r="O58">
            <v>1.05</v>
          </cell>
          <cell r="P58">
            <v>1.1000000000000001</v>
          </cell>
          <cell r="Q58">
            <v>1.1499999999999999</v>
          </cell>
          <cell r="R58" t="str">
            <v>INTERIOR</v>
          </cell>
          <cell r="S58">
            <v>4</v>
          </cell>
          <cell r="T58">
            <v>6</v>
          </cell>
          <cell r="U58" t="str">
            <v>Ciudad principal</v>
          </cell>
          <cell r="V58" t="str">
            <v>High End Cut Sheet</v>
          </cell>
          <cell r="W58" t="str">
            <v>NUEVO LEON</v>
          </cell>
          <cell r="X58">
            <v>2019</v>
          </cell>
          <cell r="Y58" t="str">
            <v>Qtr 2</v>
          </cell>
          <cell r="Z58" t="str">
            <v>April</v>
          </cell>
          <cell r="AA58">
            <v>1</v>
          </cell>
          <cell r="AB58">
            <v>0</v>
          </cell>
          <cell r="AC58">
            <v>2</v>
          </cell>
          <cell r="AD58">
            <v>0</v>
          </cell>
          <cell r="AE58">
            <v>0</v>
          </cell>
          <cell r="AF58">
            <v>1573</v>
          </cell>
        </row>
        <row r="59">
          <cell r="B59" t="str">
            <v>0E2B656860</v>
          </cell>
          <cell r="C59">
            <v>2019</v>
          </cell>
          <cell r="D59" t="str">
            <v>Qtr 2</v>
          </cell>
          <cell r="E59" t="str">
            <v>April</v>
          </cell>
          <cell r="F59">
            <v>1</v>
          </cell>
          <cell r="G59" t="str">
            <v>MANTENIMIENTO PREVENTIVO</v>
          </cell>
          <cell r="H59">
            <v>0</v>
          </cell>
          <cell r="I59" t="str">
            <v>Entry Production Color Low/Mid</v>
          </cell>
          <cell r="J59">
            <v>803</v>
          </cell>
          <cell r="K59">
            <v>1573</v>
          </cell>
          <cell r="L59">
            <v>0.2</v>
          </cell>
          <cell r="M59">
            <v>0.6</v>
          </cell>
          <cell r="N59">
            <v>0.8</v>
          </cell>
          <cell r="O59">
            <v>1.05</v>
          </cell>
          <cell r="P59">
            <v>1.1000000000000001</v>
          </cell>
          <cell r="Q59">
            <v>1.1499999999999999</v>
          </cell>
          <cell r="R59" t="str">
            <v>INTERIOR</v>
          </cell>
          <cell r="S59">
            <v>4</v>
          </cell>
          <cell r="T59">
            <v>6</v>
          </cell>
          <cell r="U59" t="str">
            <v>Ciudad principal</v>
          </cell>
          <cell r="V59" t="str">
            <v>Entry Production Color Low/Mid</v>
          </cell>
          <cell r="W59" t="str">
            <v>CHIHUAHUA</v>
          </cell>
          <cell r="X59">
            <v>2019</v>
          </cell>
          <cell r="Y59" t="str">
            <v>Qtr 2</v>
          </cell>
          <cell r="Z59" t="str">
            <v>April</v>
          </cell>
          <cell r="AA59">
            <v>1</v>
          </cell>
          <cell r="AB59">
            <v>0</v>
          </cell>
          <cell r="AC59">
            <v>48</v>
          </cell>
          <cell r="AD59">
            <v>0</v>
          </cell>
          <cell r="AE59">
            <v>0</v>
          </cell>
          <cell r="AF59">
            <v>1573</v>
          </cell>
        </row>
        <row r="60">
          <cell r="B60" t="str">
            <v>09HB333670</v>
          </cell>
          <cell r="C60">
            <v>2019</v>
          </cell>
          <cell r="D60" t="str">
            <v>Qtr 2</v>
          </cell>
          <cell r="E60" t="str">
            <v>April</v>
          </cell>
          <cell r="F60">
            <v>1</v>
          </cell>
          <cell r="G60" t="str">
            <v>CORRECTIVO</v>
          </cell>
          <cell r="H60">
            <v>0.93333330000000003</v>
          </cell>
          <cell r="I60" t="str">
            <v>A4 Mono MFPs</v>
          </cell>
          <cell r="J60">
            <v>468</v>
          </cell>
          <cell r="K60">
            <v>715</v>
          </cell>
          <cell r="L60">
            <v>0</v>
          </cell>
          <cell r="M60">
            <v>0</v>
          </cell>
          <cell r="N60">
            <v>0</v>
          </cell>
          <cell r="O60">
            <v>0.6</v>
          </cell>
          <cell r="P60">
            <v>0.8</v>
          </cell>
          <cell r="Q60">
            <v>1.05</v>
          </cell>
          <cell r="R60" t="str">
            <v>INTERIOR</v>
          </cell>
          <cell r="S60">
            <v>5</v>
          </cell>
          <cell r="T60">
            <v>9</v>
          </cell>
          <cell r="U60" t="str">
            <v>Ciudad principal</v>
          </cell>
          <cell r="V60" t="str">
            <v>A4 Mono MFPs</v>
          </cell>
          <cell r="W60" t="str">
            <v>NUEVO LEON</v>
          </cell>
          <cell r="X60">
            <v>2019</v>
          </cell>
          <cell r="Y60" t="str">
            <v>Qtr 2</v>
          </cell>
          <cell r="Z60" t="str">
            <v>April</v>
          </cell>
          <cell r="AA60">
            <v>1</v>
          </cell>
          <cell r="AB60">
            <v>0</v>
          </cell>
          <cell r="AC60">
            <v>17</v>
          </cell>
          <cell r="AD60">
            <v>0.6</v>
          </cell>
          <cell r="AE60">
            <v>0.18666666000000001</v>
          </cell>
          <cell r="AF60">
            <v>429</v>
          </cell>
        </row>
        <row r="61">
          <cell r="B61" t="str">
            <v>09HB331491</v>
          </cell>
          <cell r="C61">
            <v>2019</v>
          </cell>
          <cell r="D61" t="str">
            <v>Qtr 2</v>
          </cell>
          <cell r="E61" t="str">
            <v>April</v>
          </cell>
          <cell r="F61">
            <v>1</v>
          </cell>
          <cell r="G61" t="str">
            <v>MANTENIMIENTO PREVENTIVO</v>
          </cell>
          <cell r="H61">
            <v>0</v>
          </cell>
          <cell r="J61" t="str">
            <v>NA</v>
          </cell>
          <cell r="K61" t="str">
            <v>NA</v>
          </cell>
          <cell r="L61" t="str">
            <v>NA</v>
          </cell>
          <cell r="M61" t="str">
            <v>NA</v>
          </cell>
          <cell r="N61" t="str">
            <v>NA</v>
          </cell>
          <cell r="O61" t="str">
            <v>NA</v>
          </cell>
          <cell r="P61" t="str">
            <v>NA</v>
          </cell>
          <cell r="Q61" t="str">
            <v>NA</v>
          </cell>
          <cell r="S61" t="str">
            <v>NA</v>
          </cell>
          <cell r="T61" t="str">
            <v>NA</v>
          </cell>
          <cell r="V61" t="str">
            <v>A4 Mono MFPs</v>
          </cell>
          <cell r="W61" t="str">
            <v>JALISCO</v>
          </cell>
          <cell r="X61">
            <v>2019</v>
          </cell>
          <cell r="Y61" t="str">
            <v>Qtr 2</v>
          </cell>
          <cell r="Z61" t="str">
            <v>April</v>
          </cell>
          <cell r="AA61">
            <v>1</v>
          </cell>
          <cell r="AB61" t="str">
            <v>NA</v>
          </cell>
          <cell r="AC61">
            <v>46</v>
          </cell>
          <cell r="AD61">
            <v>0</v>
          </cell>
          <cell r="AE61">
            <v>0</v>
          </cell>
          <cell r="AF61">
            <v>0</v>
          </cell>
        </row>
        <row r="62">
          <cell r="B62" t="str">
            <v>0XPN546792</v>
          </cell>
          <cell r="C62">
            <v>2019</v>
          </cell>
          <cell r="D62" t="str">
            <v>Qtr 2</v>
          </cell>
          <cell r="E62" t="str">
            <v>April</v>
          </cell>
          <cell r="F62">
            <v>1</v>
          </cell>
          <cell r="G62" t="str">
            <v>CORRECTIVO</v>
          </cell>
          <cell r="H62">
            <v>0</v>
          </cell>
          <cell r="I62" t="str">
            <v>Entry Production Color Low/Mid</v>
          </cell>
          <cell r="J62">
            <v>803</v>
          </cell>
          <cell r="K62">
            <v>1573</v>
          </cell>
          <cell r="L62">
            <v>0.2</v>
          </cell>
          <cell r="M62">
            <v>0.6</v>
          </cell>
          <cell r="N62">
            <v>0.8</v>
          </cell>
          <cell r="O62">
            <v>1.05</v>
          </cell>
          <cell r="P62">
            <v>1.1000000000000001</v>
          </cell>
          <cell r="Q62">
            <v>1.1499999999999999</v>
          </cell>
          <cell r="R62" t="str">
            <v>INTERIOR</v>
          </cell>
          <cell r="S62">
            <v>4</v>
          </cell>
          <cell r="T62">
            <v>6</v>
          </cell>
          <cell r="U62" t="str">
            <v>Ciudad principal</v>
          </cell>
          <cell r="V62" t="str">
            <v>Entry Production Color Low/Mid</v>
          </cell>
          <cell r="W62" t="str">
            <v>CHIHUAHUA</v>
          </cell>
          <cell r="X62">
            <v>2019</v>
          </cell>
          <cell r="Y62" t="str">
            <v>Qtr 2</v>
          </cell>
          <cell r="Z62" t="str">
            <v>April</v>
          </cell>
          <cell r="AA62">
            <v>1</v>
          </cell>
          <cell r="AB62">
            <v>0</v>
          </cell>
          <cell r="AC62">
            <v>13</v>
          </cell>
          <cell r="AD62">
            <v>0.8</v>
          </cell>
          <cell r="AE62">
            <v>0</v>
          </cell>
          <cell r="AF62">
            <v>1258.4000000000001</v>
          </cell>
        </row>
        <row r="63">
          <cell r="B63" t="str">
            <v>0A1H020735</v>
          </cell>
          <cell r="C63">
            <v>2019</v>
          </cell>
          <cell r="D63" t="str">
            <v>Qtr 2</v>
          </cell>
          <cell r="E63" t="str">
            <v>April</v>
          </cell>
          <cell r="F63">
            <v>1</v>
          </cell>
          <cell r="G63" t="str">
            <v>CORRECTIVO</v>
          </cell>
          <cell r="H63">
            <v>0</v>
          </cell>
          <cell r="I63" t="str">
            <v>WF Mono Systems and Legacy Color</v>
          </cell>
          <cell r="J63">
            <v>803</v>
          </cell>
          <cell r="K63">
            <v>1573</v>
          </cell>
          <cell r="L63">
            <v>0.2</v>
          </cell>
          <cell r="M63">
            <v>0.6</v>
          </cell>
          <cell r="N63">
            <v>0.8</v>
          </cell>
          <cell r="O63">
            <v>1.05</v>
          </cell>
          <cell r="P63">
            <v>1.1000000000000001</v>
          </cell>
          <cell r="Q63">
            <v>1.1499999999999999</v>
          </cell>
          <cell r="R63" t="str">
            <v>INTERIOR</v>
          </cell>
          <cell r="S63">
            <v>4</v>
          </cell>
          <cell r="T63">
            <v>6</v>
          </cell>
          <cell r="U63" t="str">
            <v>Ciudad principal</v>
          </cell>
          <cell r="V63" t="str">
            <v>WF Mono Systems and Legacy Color</v>
          </cell>
          <cell r="W63" t="str">
            <v>CHIHUAHUA</v>
          </cell>
          <cell r="X63">
            <v>2019</v>
          </cell>
          <cell r="Y63" t="str">
            <v>Qtr 2</v>
          </cell>
          <cell r="Z63" t="str">
            <v>April</v>
          </cell>
          <cell r="AA63">
            <v>4</v>
          </cell>
          <cell r="AB63">
            <v>0</v>
          </cell>
          <cell r="AC63">
            <v>45</v>
          </cell>
          <cell r="AD63">
            <v>1.1000000000000001</v>
          </cell>
          <cell r="AE63">
            <v>0</v>
          </cell>
          <cell r="AF63">
            <v>1730.3</v>
          </cell>
        </row>
        <row r="64">
          <cell r="B64" t="str">
            <v>0A4T021913</v>
          </cell>
          <cell r="C64">
            <v>2019</v>
          </cell>
          <cell r="D64" t="str">
            <v>Qtr 2</v>
          </cell>
          <cell r="E64" t="str">
            <v>April</v>
          </cell>
          <cell r="F64">
            <v>1</v>
          </cell>
          <cell r="G64" t="str">
            <v>CORRECTIVO</v>
          </cell>
          <cell r="H64">
            <v>1.2833330000000001</v>
          </cell>
          <cell r="J64" t="str">
            <v>NA</v>
          </cell>
          <cell r="K64" t="str">
            <v>NA</v>
          </cell>
          <cell r="L64" t="str">
            <v>NA</v>
          </cell>
          <cell r="M64" t="str">
            <v>NA</v>
          </cell>
          <cell r="N64" t="str">
            <v>NA</v>
          </cell>
          <cell r="O64" t="str">
            <v>NA</v>
          </cell>
          <cell r="P64" t="str">
            <v>NA</v>
          </cell>
          <cell r="Q64" t="str">
            <v>NA</v>
          </cell>
          <cell r="S64" t="str">
            <v>NA</v>
          </cell>
          <cell r="T64" t="str">
            <v>NA</v>
          </cell>
          <cell r="V64" t="str">
            <v>A4 Mono MFPs</v>
          </cell>
          <cell r="W64" t="str">
            <v>CHIHUAHUA</v>
          </cell>
          <cell r="X64">
            <v>2019</v>
          </cell>
          <cell r="Y64" t="str">
            <v>Qtr 2</v>
          </cell>
          <cell r="Z64" t="str">
            <v>April</v>
          </cell>
          <cell r="AA64">
            <v>3</v>
          </cell>
          <cell r="AB64" t="str">
            <v>NA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B65" t="str">
            <v>0BG2947475</v>
          </cell>
          <cell r="C65">
            <v>2019</v>
          </cell>
          <cell r="D65" t="str">
            <v>Qtr 2</v>
          </cell>
          <cell r="E65" t="str">
            <v>April</v>
          </cell>
          <cell r="F65">
            <v>1</v>
          </cell>
          <cell r="G65" t="str">
            <v>CORRECTIVO</v>
          </cell>
          <cell r="H65">
            <v>0.58333330000000005</v>
          </cell>
          <cell r="I65" t="str">
            <v>Light Production Digital Business</v>
          </cell>
          <cell r="J65">
            <v>803</v>
          </cell>
          <cell r="K65">
            <v>1573</v>
          </cell>
          <cell r="L65">
            <v>0.2</v>
          </cell>
          <cell r="M65">
            <v>0.6</v>
          </cell>
          <cell r="N65">
            <v>0.8</v>
          </cell>
          <cell r="O65">
            <v>1.05</v>
          </cell>
          <cell r="P65">
            <v>1.1000000000000001</v>
          </cell>
          <cell r="Q65">
            <v>1.1499999999999999</v>
          </cell>
          <cell r="R65" t="str">
            <v>INTERIOR</v>
          </cell>
          <cell r="S65">
            <v>4</v>
          </cell>
          <cell r="T65">
            <v>6</v>
          </cell>
          <cell r="U65" t="str">
            <v>Otras</v>
          </cell>
          <cell r="V65" t="str">
            <v>High End Cut Sheet</v>
          </cell>
          <cell r="W65" t="str">
            <v>COAHUILA</v>
          </cell>
          <cell r="X65">
            <v>2019</v>
          </cell>
          <cell r="Y65" t="str">
            <v>Qtr 2</v>
          </cell>
          <cell r="Z65" t="str">
            <v>April</v>
          </cell>
          <cell r="AA65">
            <v>1</v>
          </cell>
          <cell r="AB65">
            <v>0</v>
          </cell>
          <cell r="AC65">
            <v>55</v>
          </cell>
          <cell r="AD65">
            <v>1.1000000000000001</v>
          </cell>
          <cell r="AE65">
            <v>9.7222216666666694E-2</v>
          </cell>
          <cell r="AF65">
            <v>1730.3</v>
          </cell>
        </row>
        <row r="66">
          <cell r="B66" t="str">
            <v>0XFN041395</v>
          </cell>
          <cell r="C66">
            <v>2019</v>
          </cell>
          <cell r="D66" t="str">
            <v>Qtr 2</v>
          </cell>
          <cell r="E66" t="str">
            <v>April</v>
          </cell>
          <cell r="F66">
            <v>1</v>
          </cell>
          <cell r="G66" t="str">
            <v>CORRECTIVO</v>
          </cell>
          <cell r="H66">
            <v>4.1666670000000003</v>
          </cell>
          <cell r="I66" t="str">
            <v>Color Solid Ink Printers</v>
          </cell>
          <cell r="J66">
            <v>468</v>
          </cell>
          <cell r="K66">
            <v>715</v>
          </cell>
          <cell r="L66">
            <v>0</v>
          </cell>
          <cell r="M66">
            <v>0</v>
          </cell>
          <cell r="N66">
            <v>0</v>
          </cell>
          <cell r="O66">
            <v>0.6</v>
          </cell>
          <cell r="P66">
            <v>0.8</v>
          </cell>
          <cell r="Q66">
            <v>1.05</v>
          </cell>
          <cell r="R66" t="str">
            <v>INTERIOR</v>
          </cell>
          <cell r="S66">
            <v>5</v>
          </cell>
          <cell r="T66">
            <v>9</v>
          </cell>
          <cell r="U66" t="str">
            <v>Ciudad principal</v>
          </cell>
          <cell r="V66" t="str">
            <v>Color Solid Ink Printers</v>
          </cell>
          <cell r="W66" t="str">
            <v>TAMAULIPAS</v>
          </cell>
          <cell r="X66">
            <v>2019</v>
          </cell>
          <cell r="Y66" t="str">
            <v>Qtr 2</v>
          </cell>
          <cell r="Z66" t="str">
            <v>April</v>
          </cell>
          <cell r="AA66">
            <v>2</v>
          </cell>
          <cell r="AB66">
            <v>0</v>
          </cell>
          <cell r="AC66">
            <v>66</v>
          </cell>
          <cell r="AD66">
            <v>1.05</v>
          </cell>
          <cell r="AE66">
            <v>0.8333334</v>
          </cell>
          <cell r="AF66">
            <v>750.75</v>
          </cell>
        </row>
        <row r="67">
          <cell r="B67" t="str">
            <v>09HB332047</v>
          </cell>
          <cell r="C67">
            <v>2019</v>
          </cell>
          <cell r="D67" t="str">
            <v>Qtr 2</v>
          </cell>
          <cell r="E67" t="str">
            <v>April</v>
          </cell>
          <cell r="F67">
            <v>1</v>
          </cell>
          <cell r="G67" t="str">
            <v>MANTENIMIENTO PREVENTIVO</v>
          </cell>
          <cell r="H67">
            <v>0</v>
          </cell>
          <cell r="I67" t="str">
            <v>A4 Mono MFPs</v>
          </cell>
          <cell r="J67">
            <v>468</v>
          </cell>
          <cell r="K67">
            <v>715</v>
          </cell>
          <cell r="L67">
            <v>0</v>
          </cell>
          <cell r="M67">
            <v>0</v>
          </cell>
          <cell r="N67">
            <v>0</v>
          </cell>
          <cell r="O67">
            <v>0.6</v>
          </cell>
          <cell r="P67">
            <v>0.8</v>
          </cell>
          <cell r="Q67">
            <v>1.05</v>
          </cell>
          <cell r="R67" t="str">
            <v>INTERIOR</v>
          </cell>
          <cell r="S67">
            <v>5</v>
          </cell>
          <cell r="T67">
            <v>9</v>
          </cell>
          <cell r="U67" t="str">
            <v>Ciudad principal</v>
          </cell>
          <cell r="V67" t="str">
            <v>A4 Mono MFPs</v>
          </cell>
          <cell r="W67" t="str">
            <v>JALISCO</v>
          </cell>
          <cell r="X67">
            <v>2019</v>
          </cell>
          <cell r="Y67" t="str">
            <v>Qtr 2</v>
          </cell>
          <cell r="Z67" t="str">
            <v>April</v>
          </cell>
          <cell r="AA67">
            <v>1</v>
          </cell>
          <cell r="AB67">
            <v>1</v>
          </cell>
          <cell r="AC67">
            <v>53</v>
          </cell>
          <cell r="AD67">
            <v>0</v>
          </cell>
          <cell r="AE67">
            <v>0</v>
          </cell>
          <cell r="AF67">
            <v>0</v>
          </cell>
        </row>
        <row r="68">
          <cell r="B68" t="str">
            <v>0XFN041542</v>
          </cell>
          <cell r="C68">
            <v>2019</v>
          </cell>
          <cell r="D68" t="str">
            <v>Qtr 2</v>
          </cell>
          <cell r="E68" t="str">
            <v>April</v>
          </cell>
          <cell r="F68">
            <v>1</v>
          </cell>
          <cell r="G68" t="str">
            <v>CORRECTIVO</v>
          </cell>
          <cell r="H68">
            <v>3.9666670000000002</v>
          </cell>
          <cell r="I68" t="str">
            <v>Color Solid Ink Printers</v>
          </cell>
          <cell r="J68">
            <v>468</v>
          </cell>
          <cell r="K68">
            <v>715</v>
          </cell>
          <cell r="L68">
            <v>0</v>
          </cell>
          <cell r="M68">
            <v>0</v>
          </cell>
          <cell r="N68">
            <v>0</v>
          </cell>
          <cell r="O68">
            <v>0.6</v>
          </cell>
          <cell r="P68">
            <v>0.8</v>
          </cell>
          <cell r="Q68">
            <v>1.05</v>
          </cell>
          <cell r="R68" t="str">
            <v>INTERIOR</v>
          </cell>
          <cell r="S68">
            <v>5</v>
          </cell>
          <cell r="T68">
            <v>9</v>
          </cell>
          <cell r="U68" t="str">
            <v>Ciudad principal</v>
          </cell>
          <cell r="V68" t="str">
            <v>Color Solid Ink Printers</v>
          </cell>
          <cell r="W68" t="str">
            <v>TAMAULIPAS</v>
          </cell>
          <cell r="X68">
            <v>2019</v>
          </cell>
          <cell r="Y68" t="str">
            <v>Qtr 2</v>
          </cell>
          <cell r="Z68" t="str">
            <v>April</v>
          </cell>
          <cell r="AA68">
            <v>2</v>
          </cell>
          <cell r="AB68">
            <v>0</v>
          </cell>
          <cell r="AC68">
            <v>20</v>
          </cell>
          <cell r="AD68">
            <v>0.6</v>
          </cell>
          <cell r="AE68">
            <v>0.79333339999999997</v>
          </cell>
          <cell r="AF68">
            <v>429</v>
          </cell>
        </row>
        <row r="69">
          <cell r="B69" t="str">
            <v>0PW4152292</v>
          </cell>
          <cell r="C69">
            <v>2019</v>
          </cell>
          <cell r="D69" t="str">
            <v>Qtr 2</v>
          </cell>
          <cell r="E69" t="str">
            <v>April</v>
          </cell>
          <cell r="F69">
            <v>1</v>
          </cell>
          <cell r="G69" t="str">
            <v>MANTENIMIENTO PREVENTIVO</v>
          </cell>
          <cell r="H69">
            <v>0</v>
          </cell>
          <cell r="I69" t="str">
            <v>WF Mono Systems and Legacy Color</v>
          </cell>
          <cell r="J69">
            <v>803</v>
          </cell>
          <cell r="K69">
            <v>1573</v>
          </cell>
          <cell r="L69">
            <v>0.2</v>
          </cell>
          <cell r="M69">
            <v>0.6</v>
          </cell>
          <cell r="N69">
            <v>0.8</v>
          </cell>
          <cell r="O69">
            <v>1.05</v>
          </cell>
          <cell r="P69">
            <v>1.1000000000000001</v>
          </cell>
          <cell r="Q69">
            <v>1.1499999999999999</v>
          </cell>
          <cell r="R69" t="str">
            <v>INTERIOR</v>
          </cell>
          <cell r="S69">
            <v>4</v>
          </cell>
          <cell r="T69">
            <v>6</v>
          </cell>
          <cell r="U69" t="str">
            <v>Ciudad principal</v>
          </cell>
          <cell r="V69" t="str">
            <v>WF Mono Systems and Legacy Color</v>
          </cell>
          <cell r="W69" t="str">
            <v>JALISCO</v>
          </cell>
          <cell r="X69">
            <v>2019</v>
          </cell>
          <cell r="Y69" t="str">
            <v>Qtr 2</v>
          </cell>
          <cell r="Z69" t="str">
            <v>April</v>
          </cell>
          <cell r="AA69">
            <v>1</v>
          </cell>
          <cell r="AB69">
            <v>0</v>
          </cell>
          <cell r="AC69">
            <v>5</v>
          </cell>
          <cell r="AD69">
            <v>0</v>
          </cell>
          <cell r="AE69">
            <v>0</v>
          </cell>
          <cell r="AF69">
            <v>1573</v>
          </cell>
        </row>
        <row r="70">
          <cell r="B70" t="str">
            <v>0AE7146573</v>
          </cell>
          <cell r="C70">
            <v>2019</v>
          </cell>
          <cell r="D70" t="str">
            <v>Qtr 2</v>
          </cell>
          <cell r="E70" t="str">
            <v>April</v>
          </cell>
          <cell r="F70">
            <v>1</v>
          </cell>
          <cell r="G70" t="str">
            <v>CORRECTIVO</v>
          </cell>
          <cell r="H70">
            <v>3.95</v>
          </cell>
          <cell r="I70" t="str">
            <v>Office Digital</v>
          </cell>
          <cell r="J70">
            <v>655</v>
          </cell>
          <cell r="K70">
            <v>1365</v>
          </cell>
          <cell r="L70">
            <v>0</v>
          </cell>
          <cell r="M70">
            <v>0</v>
          </cell>
          <cell r="N70">
            <v>0.6</v>
          </cell>
          <cell r="O70">
            <v>0.8</v>
          </cell>
          <cell r="P70">
            <v>1.05</v>
          </cell>
          <cell r="Q70">
            <v>1.1000000000000001</v>
          </cell>
          <cell r="R70" t="str">
            <v>INTERIOR</v>
          </cell>
          <cell r="S70">
            <v>5</v>
          </cell>
          <cell r="T70">
            <v>9</v>
          </cell>
          <cell r="U70" t="str">
            <v>Ciudad principal</v>
          </cell>
          <cell r="V70" t="str">
            <v>Departmental Digital</v>
          </cell>
          <cell r="W70" t="str">
            <v>TAMAULIPAS</v>
          </cell>
          <cell r="X70">
            <v>2019</v>
          </cell>
          <cell r="Y70" t="str">
            <v>Qtr 2</v>
          </cell>
          <cell r="Z70" t="str">
            <v>April</v>
          </cell>
          <cell r="AA70">
            <v>5</v>
          </cell>
          <cell r="AB70">
            <v>0</v>
          </cell>
          <cell r="AC70">
            <v>311</v>
          </cell>
          <cell r="AD70">
            <v>1.1000000000000001</v>
          </cell>
          <cell r="AE70">
            <v>0.79</v>
          </cell>
          <cell r="AF70">
            <v>1501.5</v>
          </cell>
        </row>
        <row r="71">
          <cell r="B71" t="str">
            <v>0BG0966721</v>
          </cell>
          <cell r="C71">
            <v>2019</v>
          </cell>
          <cell r="D71" t="str">
            <v>Qtr 2</v>
          </cell>
          <cell r="E71" t="str">
            <v>April</v>
          </cell>
          <cell r="F71">
            <v>1</v>
          </cell>
          <cell r="G71" t="str">
            <v>CORRECTIVO</v>
          </cell>
          <cell r="H71">
            <v>0.93333330000000003</v>
          </cell>
          <cell r="I71" t="str">
            <v>Light Production Digital Business</v>
          </cell>
          <cell r="J71">
            <v>803</v>
          </cell>
          <cell r="K71">
            <v>1573</v>
          </cell>
          <cell r="L71">
            <v>0.2</v>
          </cell>
          <cell r="M71">
            <v>0.6</v>
          </cell>
          <cell r="N71">
            <v>0.8</v>
          </cell>
          <cell r="O71">
            <v>1.05</v>
          </cell>
          <cell r="P71">
            <v>1.1000000000000001</v>
          </cell>
          <cell r="Q71">
            <v>1.1499999999999999</v>
          </cell>
          <cell r="R71" t="str">
            <v>INTERIOR</v>
          </cell>
          <cell r="S71">
            <v>4</v>
          </cell>
          <cell r="T71">
            <v>6</v>
          </cell>
          <cell r="U71" t="str">
            <v>Ciudad principal</v>
          </cell>
          <cell r="V71" t="str">
            <v>High End Cut Sheet</v>
          </cell>
          <cell r="W71" t="str">
            <v>GUANAJUATO</v>
          </cell>
          <cell r="X71">
            <v>2019</v>
          </cell>
          <cell r="Y71" t="str">
            <v>Qtr 2</v>
          </cell>
          <cell r="Z71" t="str">
            <v>April</v>
          </cell>
          <cell r="AA71">
            <v>9</v>
          </cell>
          <cell r="AB71">
            <v>0</v>
          </cell>
          <cell r="AC71">
            <v>4</v>
          </cell>
          <cell r="AD71">
            <v>0.6</v>
          </cell>
          <cell r="AE71">
            <v>0.23333332500000001</v>
          </cell>
          <cell r="AF71">
            <v>943.8</v>
          </cell>
        </row>
        <row r="72">
          <cell r="B72" t="str">
            <v>0XLT280678</v>
          </cell>
          <cell r="C72">
            <v>2019</v>
          </cell>
          <cell r="D72" t="str">
            <v>Qtr 2</v>
          </cell>
          <cell r="E72" t="str">
            <v>April</v>
          </cell>
          <cell r="F72">
            <v>1</v>
          </cell>
          <cell r="G72" t="str">
            <v>CORRECTIVO</v>
          </cell>
          <cell r="H72">
            <v>0</v>
          </cell>
          <cell r="I72" t="str">
            <v>Entry Mono Printers</v>
          </cell>
          <cell r="J72">
            <v>468</v>
          </cell>
          <cell r="K72">
            <v>715</v>
          </cell>
          <cell r="L72">
            <v>0</v>
          </cell>
          <cell r="M72">
            <v>0</v>
          </cell>
          <cell r="N72">
            <v>0</v>
          </cell>
          <cell r="O72">
            <v>0.6</v>
          </cell>
          <cell r="P72">
            <v>0.8</v>
          </cell>
          <cell r="Q72">
            <v>1.05</v>
          </cell>
          <cell r="R72" t="str">
            <v>INTERIOR</v>
          </cell>
          <cell r="S72">
            <v>5</v>
          </cell>
          <cell r="T72">
            <v>9</v>
          </cell>
          <cell r="U72" t="str">
            <v>Ciudad principal</v>
          </cell>
          <cell r="V72" t="str">
            <v>Entry Mono Printers</v>
          </cell>
          <cell r="W72" t="str">
            <v>CHIHUAHUA</v>
          </cell>
          <cell r="X72">
            <v>2019</v>
          </cell>
          <cell r="Y72" t="str">
            <v>Qtr 2</v>
          </cell>
          <cell r="Z72" t="str">
            <v>April</v>
          </cell>
          <cell r="AA72">
            <v>3</v>
          </cell>
          <cell r="AB72">
            <v>0</v>
          </cell>
          <cell r="AC72">
            <v>35</v>
          </cell>
          <cell r="AD72">
            <v>0.8</v>
          </cell>
          <cell r="AE72">
            <v>0</v>
          </cell>
          <cell r="AF72">
            <v>572</v>
          </cell>
        </row>
        <row r="73">
          <cell r="B73" t="str">
            <v>0VGW632064</v>
          </cell>
          <cell r="C73">
            <v>2019</v>
          </cell>
          <cell r="D73" t="str">
            <v>Qtr 2</v>
          </cell>
          <cell r="E73" t="str">
            <v>April</v>
          </cell>
          <cell r="F73">
            <v>1</v>
          </cell>
          <cell r="G73" t="str">
            <v>CORRECTIVO</v>
          </cell>
          <cell r="H73">
            <v>0</v>
          </cell>
          <cell r="I73" t="str">
            <v>A3 Professional Color Laser MFPs</v>
          </cell>
          <cell r="J73">
            <v>655</v>
          </cell>
          <cell r="K73">
            <v>1365</v>
          </cell>
          <cell r="L73">
            <v>0</v>
          </cell>
          <cell r="M73">
            <v>0</v>
          </cell>
          <cell r="N73">
            <v>0.6</v>
          </cell>
          <cell r="O73">
            <v>0.8</v>
          </cell>
          <cell r="P73">
            <v>1.05</v>
          </cell>
          <cell r="Q73">
            <v>1.1000000000000001</v>
          </cell>
          <cell r="R73" t="str">
            <v>INTERIOR</v>
          </cell>
          <cell r="S73">
            <v>5</v>
          </cell>
          <cell r="T73">
            <v>9</v>
          </cell>
          <cell r="U73" t="str">
            <v>Ciudad principal</v>
          </cell>
          <cell r="V73" t="str">
            <v>Entry Production Color Low/Mid</v>
          </cell>
          <cell r="W73" t="str">
            <v>CHIHUAHUA</v>
          </cell>
          <cell r="X73">
            <v>2019</v>
          </cell>
          <cell r="Y73" t="str">
            <v>Qtr 2</v>
          </cell>
          <cell r="Z73" t="str">
            <v>April</v>
          </cell>
          <cell r="AA73">
            <v>1</v>
          </cell>
          <cell r="AB73">
            <v>0</v>
          </cell>
          <cell r="AC73">
            <v>7</v>
          </cell>
          <cell r="AD73">
            <v>0.6</v>
          </cell>
          <cell r="AE73">
            <v>0</v>
          </cell>
          <cell r="AF73">
            <v>819</v>
          </cell>
        </row>
        <row r="74">
          <cell r="B74" t="str">
            <v>0BB1252119</v>
          </cell>
          <cell r="C74">
            <v>2019</v>
          </cell>
          <cell r="D74" t="str">
            <v>Qtr 2</v>
          </cell>
          <cell r="E74" t="str">
            <v>April</v>
          </cell>
          <cell r="F74">
            <v>1</v>
          </cell>
          <cell r="G74" t="str">
            <v>CORRECTIVO</v>
          </cell>
          <cell r="H74">
            <v>0.28333330000000001</v>
          </cell>
          <cell r="I74" t="str">
            <v>A4 Mono MFPs</v>
          </cell>
          <cell r="J74">
            <v>468</v>
          </cell>
          <cell r="K74">
            <v>715</v>
          </cell>
          <cell r="L74">
            <v>0</v>
          </cell>
          <cell r="M74">
            <v>0</v>
          </cell>
          <cell r="N74">
            <v>0</v>
          </cell>
          <cell r="O74">
            <v>0.6</v>
          </cell>
          <cell r="P74">
            <v>0.8</v>
          </cell>
          <cell r="Q74">
            <v>1.05</v>
          </cell>
          <cell r="R74" t="str">
            <v>INTERIOR</v>
          </cell>
          <cell r="S74">
            <v>5</v>
          </cell>
          <cell r="T74">
            <v>9</v>
          </cell>
          <cell r="U74" t="str">
            <v>Ciudad principal</v>
          </cell>
          <cell r="V74" t="str">
            <v>A4 Mono MFPs</v>
          </cell>
          <cell r="W74" t="str">
            <v>CHIHUAHUA</v>
          </cell>
          <cell r="X74">
            <v>2019</v>
          </cell>
          <cell r="Y74" t="str">
            <v>Qtr 2</v>
          </cell>
          <cell r="Z74" t="str">
            <v>April</v>
          </cell>
          <cell r="AA74">
            <v>1</v>
          </cell>
          <cell r="AB74">
            <v>0</v>
          </cell>
          <cell r="AC74">
            <v>32</v>
          </cell>
          <cell r="AD74">
            <v>0.8</v>
          </cell>
          <cell r="AE74">
            <v>5.6666660000000001E-2</v>
          </cell>
          <cell r="AF74">
            <v>572</v>
          </cell>
        </row>
        <row r="75">
          <cell r="B75" t="str">
            <v>0X76707584</v>
          </cell>
          <cell r="C75">
            <v>2019</v>
          </cell>
          <cell r="D75" t="str">
            <v>Qtr 2</v>
          </cell>
          <cell r="E75" t="str">
            <v>April</v>
          </cell>
          <cell r="F75">
            <v>1</v>
          </cell>
          <cell r="G75" t="str">
            <v>CORRECTIVO</v>
          </cell>
          <cell r="H75">
            <v>0</v>
          </cell>
          <cell r="I75" t="str">
            <v>Office Digital</v>
          </cell>
          <cell r="J75">
            <v>655</v>
          </cell>
          <cell r="K75">
            <v>1365</v>
          </cell>
          <cell r="L75">
            <v>0</v>
          </cell>
          <cell r="M75">
            <v>0</v>
          </cell>
          <cell r="N75">
            <v>0.6</v>
          </cell>
          <cell r="O75">
            <v>0.8</v>
          </cell>
          <cell r="P75">
            <v>1.05</v>
          </cell>
          <cell r="Q75">
            <v>1.1000000000000001</v>
          </cell>
          <cell r="R75" t="str">
            <v>INTERIOR</v>
          </cell>
          <cell r="S75">
            <v>5</v>
          </cell>
          <cell r="T75">
            <v>9</v>
          </cell>
          <cell r="U75" t="str">
            <v>Ciudad principal</v>
          </cell>
          <cell r="V75" t="str">
            <v>Departmental Digital</v>
          </cell>
          <cell r="W75" t="str">
            <v>QUERETARO</v>
          </cell>
          <cell r="X75">
            <v>2019</v>
          </cell>
          <cell r="Y75" t="str">
            <v>Qtr 2</v>
          </cell>
          <cell r="Z75" t="str">
            <v>April</v>
          </cell>
          <cell r="AA75">
            <v>3</v>
          </cell>
          <cell r="AB75">
            <v>0</v>
          </cell>
          <cell r="AC75">
            <v>4</v>
          </cell>
          <cell r="AD75">
            <v>0</v>
          </cell>
          <cell r="AE75">
            <v>0</v>
          </cell>
          <cell r="AF75">
            <v>0</v>
          </cell>
        </row>
        <row r="76">
          <cell r="B76" t="str">
            <v>0XEH805610</v>
          </cell>
          <cell r="C76">
            <v>2019</v>
          </cell>
          <cell r="D76" t="str">
            <v>Qtr 2</v>
          </cell>
          <cell r="E76" t="str">
            <v>April</v>
          </cell>
          <cell r="F76">
            <v>1</v>
          </cell>
          <cell r="G76" t="str">
            <v>CORRECTIVO</v>
          </cell>
          <cell r="H76">
            <v>1.1166670000000001</v>
          </cell>
          <cell r="I76" t="str">
            <v>Departmental Digital</v>
          </cell>
          <cell r="J76">
            <v>655</v>
          </cell>
          <cell r="K76">
            <v>1365</v>
          </cell>
          <cell r="L76">
            <v>0</v>
          </cell>
          <cell r="M76">
            <v>0</v>
          </cell>
          <cell r="N76">
            <v>0.6</v>
          </cell>
          <cell r="O76">
            <v>0.8</v>
          </cell>
          <cell r="P76">
            <v>1.05</v>
          </cell>
          <cell r="Q76">
            <v>1.1000000000000001</v>
          </cell>
          <cell r="R76" t="str">
            <v>INTERIOR</v>
          </cell>
          <cell r="S76">
            <v>5</v>
          </cell>
          <cell r="T76">
            <v>9</v>
          </cell>
          <cell r="U76" t="str">
            <v>Ciudad principal</v>
          </cell>
          <cell r="V76" t="str">
            <v>Departmental Digital</v>
          </cell>
          <cell r="W76" t="str">
            <v>CHIHUAHUA</v>
          </cell>
          <cell r="X76">
            <v>2019</v>
          </cell>
          <cell r="Y76" t="str">
            <v>Qtr 2</v>
          </cell>
          <cell r="Z76" t="str">
            <v>April</v>
          </cell>
          <cell r="AA76">
            <v>1</v>
          </cell>
          <cell r="AB76">
            <v>0</v>
          </cell>
          <cell r="AC76">
            <v>52</v>
          </cell>
          <cell r="AD76">
            <v>1.05</v>
          </cell>
          <cell r="AE76">
            <v>0.22333339999999999</v>
          </cell>
          <cell r="AF76">
            <v>1433.25</v>
          </cell>
        </row>
        <row r="77">
          <cell r="B77" t="str">
            <v>0EX9664447</v>
          </cell>
          <cell r="C77">
            <v>2019</v>
          </cell>
          <cell r="D77" t="str">
            <v>Qtr 2</v>
          </cell>
          <cell r="E77" t="str">
            <v>April</v>
          </cell>
          <cell r="F77">
            <v>1</v>
          </cell>
          <cell r="G77" t="str">
            <v>CORRECTIVO</v>
          </cell>
          <cell r="H77">
            <v>0.45</v>
          </cell>
          <cell r="I77" t="str">
            <v>Departmental Digital</v>
          </cell>
          <cell r="J77">
            <v>655</v>
          </cell>
          <cell r="K77">
            <v>1365</v>
          </cell>
          <cell r="L77">
            <v>0</v>
          </cell>
          <cell r="M77">
            <v>0</v>
          </cell>
          <cell r="N77">
            <v>0.6</v>
          </cell>
          <cell r="O77">
            <v>0.8</v>
          </cell>
          <cell r="P77">
            <v>1.05</v>
          </cell>
          <cell r="Q77">
            <v>1.1000000000000001</v>
          </cell>
          <cell r="R77" t="str">
            <v>INTERIOR</v>
          </cell>
          <cell r="S77">
            <v>5</v>
          </cell>
          <cell r="T77">
            <v>9</v>
          </cell>
          <cell r="U77" t="str">
            <v>Ciudad principal</v>
          </cell>
          <cell r="V77" t="str">
            <v>Departmental Digital</v>
          </cell>
          <cell r="W77" t="str">
            <v>JALISCO</v>
          </cell>
          <cell r="X77">
            <v>2019</v>
          </cell>
          <cell r="Y77" t="str">
            <v>Qtr 2</v>
          </cell>
          <cell r="Z77" t="str">
            <v>April</v>
          </cell>
          <cell r="AA77">
            <v>1</v>
          </cell>
          <cell r="AB77">
            <v>0</v>
          </cell>
          <cell r="AC77">
            <v>10</v>
          </cell>
          <cell r="AD77">
            <v>0.6</v>
          </cell>
          <cell r="AE77">
            <v>0.09</v>
          </cell>
          <cell r="AF77">
            <v>819</v>
          </cell>
        </row>
        <row r="78">
          <cell r="B78" t="str">
            <v>0BG2940370</v>
          </cell>
          <cell r="C78">
            <v>2019</v>
          </cell>
          <cell r="D78" t="str">
            <v>Qtr 2</v>
          </cell>
          <cell r="E78" t="str">
            <v>April</v>
          </cell>
          <cell r="F78">
            <v>1</v>
          </cell>
          <cell r="G78" t="str">
            <v>CORRECTIVO</v>
          </cell>
          <cell r="H78">
            <v>1.433333</v>
          </cell>
          <cell r="I78" t="str">
            <v>Light Production Digital Business</v>
          </cell>
          <cell r="J78">
            <v>803</v>
          </cell>
          <cell r="K78">
            <v>1573</v>
          </cell>
          <cell r="L78">
            <v>0.2</v>
          </cell>
          <cell r="M78">
            <v>0.6</v>
          </cell>
          <cell r="N78">
            <v>0.8</v>
          </cell>
          <cell r="O78">
            <v>1.05</v>
          </cell>
          <cell r="P78">
            <v>1.1000000000000001</v>
          </cell>
          <cell r="Q78">
            <v>1.1499999999999999</v>
          </cell>
          <cell r="R78" t="str">
            <v>INTERIOR</v>
          </cell>
          <cell r="S78">
            <v>4</v>
          </cell>
          <cell r="T78">
            <v>6</v>
          </cell>
          <cell r="U78" t="str">
            <v>Ciudad principal</v>
          </cell>
          <cell r="V78" t="str">
            <v>High End Cut Sheet</v>
          </cell>
          <cell r="W78" t="str">
            <v>CHIHUAHUA</v>
          </cell>
          <cell r="X78">
            <v>2019</v>
          </cell>
          <cell r="Y78" t="str">
            <v>Qtr 2</v>
          </cell>
          <cell r="Z78" t="str">
            <v>April</v>
          </cell>
          <cell r="AA78">
            <v>12</v>
          </cell>
          <cell r="AB78">
            <v>0</v>
          </cell>
          <cell r="AC78">
            <v>4</v>
          </cell>
          <cell r="AD78">
            <v>0.6</v>
          </cell>
          <cell r="AE78">
            <v>0.35833324999999999</v>
          </cell>
          <cell r="AF78">
            <v>943.8</v>
          </cell>
        </row>
        <row r="79">
          <cell r="B79" t="str">
            <v>0X76092798</v>
          </cell>
          <cell r="C79">
            <v>2019</v>
          </cell>
          <cell r="D79" t="str">
            <v>Qtr 2</v>
          </cell>
          <cell r="E79" t="str">
            <v>April</v>
          </cell>
          <cell r="F79">
            <v>1</v>
          </cell>
          <cell r="G79" t="str">
            <v>CORRECTIVO</v>
          </cell>
          <cell r="H79">
            <v>1.55</v>
          </cell>
          <cell r="I79" t="str">
            <v>Departmental Digital</v>
          </cell>
          <cell r="J79">
            <v>655</v>
          </cell>
          <cell r="K79">
            <v>1365</v>
          </cell>
          <cell r="L79">
            <v>0</v>
          </cell>
          <cell r="M79">
            <v>0</v>
          </cell>
          <cell r="N79">
            <v>0.6</v>
          </cell>
          <cell r="O79">
            <v>0.8</v>
          </cell>
          <cell r="P79">
            <v>1.05</v>
          </cell>
          <cell r="Q79">
            <v>1.1000000000000001</v>
          </cell>
          <cell r="R79" t="str">
            <v>INTERIOR</v>
          </cell>
          <cell r="S79">
            <v>5</v>
          </cell>
          <cell r="T79">
            <v>9</v>
          </cell>
          <cell r="U79" t="str">
            <v>Ciudad principal</v>
          </cell>
          <cell r="V79" t="str">
            <v>Departmental Digital</v>
          </cell>
          <cell r="W79" t="str">
            <v>JALISCO</v>
          </cell>
          <cell r="X79">
            <v>2019</v>
          </cell>
          <cell r="Y79" t="str">
            <v>Qtr 2</v>
          </cell>
          <cell r="Z79" t="str">
            <v>April</v>
          </cell>
          <cell r="AA79">
            <v>1</v>
          </cell>
          <cell r="AB79">
            <v>0</v>
          </cell>
          <cell r="AC79">
            <v>263</v>
          </cell>
          <cell r="AD79">
            <v>1.1000000000000001</v>
          </cell>
          <cell r="AE79">
            <v>0.31</v>
          </cell>
          <cell r="AF79">
            <v>1501.5</v>
          </cell>
        </row>
        <row r="80">
          <cell r="B80" t="str">
            <v>0Y4X830352</v>
          </cell>
          <cell r="C80">
            <v>2019</v>
          </cell>
          <cell r="D80" t="str">
            <v>Qtr 2</v>
          </cell>
          <cell r="E80" t="str">
            <v>April</v>
          </cell>
          <cell r="F80">
            <v>1</v>
          </cell>
          <cell r="G80" t="str">
            <v>CORRECTIVO</v>
          </cell>
          <cell r="H80">
            <v>0.48333330000000002</v>
          </cell>
          <cell r="I80" t="str">
            <v>Departmental Digital</v>
          </cell>
          <cell r="J80">
            <v>655</v>
          </cell>
          <cell r="K80">
            <v>1365</v>
          </cell>
          <cell r="L80">
            <v>0</v>
          </cell>
          <cell r="M80">
            <v>0</v>
          </cell>
          <cell r="N80">
            <v>0.6</v>
          </cell>
          <cell r="O80">
            <v>0.8</v>
          </cell>
          <cell r="P80">
            <v>1.05</v>
          </cell>
          <cell r="Q80">
            <v>1.1000000000000001</v>
          </cell>
          <cell r="R80" t="str">
            <v>INTERIOR</v>
          </cell>
          <cell r="S80">
            <v>5</v>
          </cell>
          <cell r="T80">
            <v>9</v>
          </cell>
          <cell r="U80" t="str">
            <v>Ciudad principal</v>
          </cell>
          <cell r="V80" t="str">
            <v>Light Production Digital Business</v>
          </cell>
          <cell r="W80" t="str">
            <v>DURANGO</v>
          </cell>
          <cell r="X80">
            <v>2019</v>
          </cell>
          <cell r="Y80" t="str">
            <v>Qtr 2</v>
          </cell>
          <cell r="Z80" t="str">
            <v>April</v>
          </cell>
          <cell r="AA80">
            <v>2</v>
          </cell>
          <cell r="AB80">
            <v>0</v>
          </cell>
          <cell r="AC80">
            <v>32</v>
          </cell>
          <cell r="AD80">
            <v>1.05</v>
          </cell>
          <cell r="AE80">
            <v>9.6666660000000001E-2</v>
          </cell>
          <cell r="AF80">
            <v>1433.25</v>
          </cell>
        </row>
        <row r="81">
          <cell r="B81" t="str">
            <v>0MX1216569</v>
          </cell>
          <cell r="C81">
            <v>2019</v>
          </cell>
          <cell r="D81" t="str">
            <v>Qtr 2</v>
          </cell>
          <cell r="E81" t="str">
            <v>April</v>
          </cell>
          <cell r="F81">
            <v>1</v>
          </cell>
          <cell r="G81" t="str">
            <v>CORRECTIVO</v>
          </cell>
          <cell r="H81">
            <v>1.6333329999999999</v>
          </cell>
          <cell r="I81" t="str">
            <v>A3 Office Color Laser MFPs</v>
          </cell>
          <cell r="J81">
            <v>655</v>
          </cell>
          <cell r="K81">
            <v>1365</v>
          </cell>
          <cell r="L81">
            <v>0</v>
          </cell>
          <cell r="M81">
            <v>0</v>
          </cell>
          <cell r="N81">
            <v>0.6</v>
          </cell>
          <cell r="O81">
            <v>0.8</v>
          </cell>
          <cell r="P81">
            <v>1.05</v>
          </cell>
          <cell r="Q81">
            <v>1.1000000000000001</v>
          </cell>
          <cell r="R81" t="str">
            <v>INTERIOR</v>
          </cell>
          <cell r="S81">
            <v>5</v>
          </cell>
          <cell r="T81">
            <v>9</v>
          </cell>
          <cell r="U81" t="str">
            <v>Ciudad principal</v>
          </cell>
          <cell r="V81" t="str">
            <v>A3 Office Color Laser MFPs</v>
          </cell>
          <cell r="W81" t="str">
            <v>CHIHUAHUA</v>
          </cell>
          <cell r="X81">
            <v>2019</v>
          </cell>
          <cell r="Y81" t="str">
            <v>Qtr 2</v>
          </cell>
          <cell r="Z81" t="str">
            <v>April</v>
          </cell>
          <cell r="AA81">
            <v>1</v>
          </cell>
          <cell r="AB81">
            <v>0</v>
          </cell>
          <cell r="AC81">
            <v>255</v>
          </cell>
          <cell r="AD81">
            <v>1.1000000000000001</v>
          </cell>
          <cell r="AE81">
            <v>0.32666659999999997</v>
          </cell>
          <cell r="AF81">
            <v>1501.5</v>
          </cell>
        </row>
        <row r="82">
          <cell r="B82" t="str">
            <v>0A1H021199</v>
          </cell>
          <cell r="C82">
            <v>2019</v>
          </cell>
          <cell r="D82" t="str">
            <v>Qtr 2</v>
          </cell>
          <cell r="E82" t="str">
            <v>April</v>
          </cell>
          <cell r="F82">
            <v>1</v>
          </cell>
          <cell r="G82" t="str">
            <v>CORRECTIVO</v>
          </cell>
          <cell r="H82">
            <v>0</v>
          </cell>
          <cell r="I82" t="str">
            <v>WF Mono Systems and Legacy Color</v>
          </cell>
          <cell r="J82">
            <v>803</v>
          </cell>
          <cell r="K82">
            <v>1573</v>
          </cell>
          <cell r="L82">
            <v>0.2</v>
          </cell>
          <cell r="M82">
            <v>0.6</v>
          </cell>
          <cell r="N82">
            <v>0.8</v>
          </cell>
          <cell r="O82">
            <v>1.05</v>
          </cell>
          <cell r="P82">
            <v>1.1000000000000001</v>
          </cell>
          <cell r="Q82">
            <v>1.1499999999999999</v>
          </cell>
          <cell r="R82" t="str">
            <v>INTERIOR</v>
          </cell>
          <cell r="S82">
            <v>4</v>
          </cell>
          <cell r="T82">
            <v>6</v>
          </cell>
          <cell r="U82" t="str">
            <v>Ciudad principal</v>
          </cell>
          <cell r="V82" t="str">
            <v>WF Mono Systems and Legacy Color</v>
          </cell>
          <cell r="W82" t="str">
            <v>CHIHUAHUA</v>
          </cell>
          <cell r="X82">
            <v>2019</v>
          </cell>
          <cell r="Y82" t="str">
            <v>Qtr 2</v>
          </cell>
          <cell r="Z82" t="str">
            <v>April</v>
          </cell>
          <cell r="AA82">
            <v>1</v>
          </cell>
          <cell r="AB82">
            <v>1</v>
          </cell>
          <cell r="AC82">
            <v>54</v>
          </cell>
          <cell r="AD82">
            <v>0</v>
          </cell>
          <cell r="AE82">
            <v>0</v>
          </cell>
          <cell r="AF82">
            <v>0</v>
          </cell>
        </row>
        <row r="83">
          <cell r="B83" t="str">
            <v>09HB331982</v>
          </cell>
          <cell r="C83">
            <v>2019</v>
          </cell>
          <cell r="D83" t="str">
            <v>Qtr 2</v>
          </cell>
          <cell r="E83" t="str">
            <v>April</v>
          </cell>
          <cell r="F83">
            <v>1</v>
          </cell>
          <cell r="G83" t="str">
            <v>INSTALACION NUEVA</v>
          </cell>
          <cell r="H83">
            <v>0</v>
          </cell>
          <cell r="J83" t="str">
            <v>NA</v>
          </cell>
          <cell r="K83" t="str">
            <v>NA</v>
          </cell>
          <cell r="L83" t="str">
            <v>NA</v>
          </cell>
          <cell r="M83" t="str">
            <v>NA</v>
          </cell>
          <cell r="N83" t="str">
            <v>NA</v>
          </cell>
          <cell r="O83" t="str">
            <v>NA</v>
          </cell>
          <cell r="P83" t="str">
            <v>NA</v>
          </cell>
          <cell r="Q83" t="str">
            <v>NA</v>
          </cell>
          <cell r="S83" t="str">
            <v>NA</v>
          </cell>
          <cell r="T83" t="str">
            <v>NA</v>
          </cell>
          <cell r="V83" t="str">
            <v>A4 Mono MFPs</v>
          </cell>
          <cell r="W83" t="str">
            <v>VERACRUZ</v>
          </cell>
          <cell r="X83">
            <v>2019</v>
          </cell>
          <cell r="Y83" t="str">
            <v>Qtr 2</v>
          </cell>
          <cell r="Z83" t="str">
            <v>April</v>
          </cell>
          <cell r="AA83">
            <v>1</v>
          </cell>
          <cell r="AB83" t="str">
            <v>NA</v>
          </cell>
          <cell r="AC83">
            <v>12</v>
          </cell>
          <cell r="AD83">
            <v>0</v>
          </cell>
          <cell r="AE83">
            <v>0</v>
          </cell>
          <cell r="AF83">
            <v>0</v>
          </cell>
        </row>
        <row r="84">
          <cell r="B84" t="str">
            <v>0X76707945</v>
          </cell>
          <cell r="C84">
            <v>2019</v>
          </cell>
          <cell r="D84" t="str">
            <v>Qtr 2</v>
          </cell>
          <cell r="E84" t="str">
            <v>April</v>
          </cell>
          <cell r="F84">
            <v>1</v>
          </cell>
          <cell r="G84" t="str">
            <v>CORRECTIVO</v>
          </cell>
          <cell r="H84">
            <v>1.183333</v>
          </cell>
          <cell r="I84" t="str">
            <v>Office Digital</v>
          </cell>
          <cell r="J84">
            <v>655</v>
          </cell>
          <cell r="K84">
            <v>1365</v>
          </cell>
          <cell r="L84">
            <v>0</v>
          </cell>
          <cell r="M84">
            <v>0</v>
          </cell>
          <cell r="N84">
            <v>0.6</v>
          </cell>
          <cell r="O84">
            <v>0.8</v>
          </cell>
          <cell r="P84">
            <v>1.05</v>
          </cell>
          <cell r="Q84">
            <v>1.1000000000000001</v>
          </cell>
          <cell r="R84" t="str">
            <v>INTERIOR</v>
          </cell>
          <cell r="S84">
            <v>5</v>
          </cell>
          <cell r="T84">
            <v>9</v>
          </cell>
          <cell r="U84" t="str">
            <v>Otras</v>
          </cell>
          <cell r="V84" t="str">
            <v>Departmental Digital</v>
          </cell>
          <cell r="W84" t="str">
            <v>COAHUILA</v>
          </cell>
          <cell r="X84">
            <v>2019</v>
          </cell>
          <cell r="Y84" t="str">
            <v>Qtr 2</v>
          </cell>
          <cell r="Z84" t="str">
            <v>April</v>
          </cell>
          <cell r="AA84">
            <v>1</v>
          </cell>
          <cell r="AB84">
            <v>0</v>
          </cell>
          <cell r="AC84">
            <v>6</v>
          </cell>
          <cell r="AD84">
            <v>0</v>
          </cell>
          <cell r="AE84">
            <v>0.13148144444444401</v>
          </cell>
          <cell r="AF84">
            <v>0</v>
          </cell>
        </row>
        <row r="85">
          <cell r="B85" t="str">
            <v>09HB332981</v>
          </cell>
          <cell r="C85">
            <v>2019</v>
          </cell>
          <cell r="D85" t="str">
            <v>Qtr 2</v>
          </cell>
          <cell r="E85" t="str">
            <v>April</v>
          </cell>
          <cell r="F85">
            <v>1</v>
          </cell>
          <cell r="G85" t="str">
            <v>CORRECTIVO</v>
          </cell>
          <cell r="H85">
            <v>0.6</v>
          </cell>
          <cell r="J85" t="str">
            <v>NA</v>
          </cell>
          <cell r="K85" t="str">
            <v>NA</v>
          </cell>
          <cell r="L85" t="str">
            <v>NA</v>
          </cell>
          <cell r="M85" t="str">
            <v>NA</v>
          </cell>
          <cell r="N85" t="str">
            <v>NA</v>
          </cell>
          <cell r="O85" t="str">
            <v>NA</v>
          </cell>
          <cell r="P85" t="str">
            <v>NA</v>
          </cell>
          <cell r="Q85" t="str">
            <v>NA</v>
          </cell>
          <cell r="S85" t="str">
            <v>NA</v>
          </cell>
          <cell r="T85" t="str">
            <v>NA</v>
          </cell>
          <cell r="V85" t="str">
            <v>A4 Mono MFPs</v>
          </cell>
          <cell r="W85" t="str">
            <v>NUEVO LEON</v>
          </cell>
          <cell r="X85">
            <v>2019</v>
          </cell>
          <cell r="Y85" t="str">
            <v>Qtr 2</v>
          </cell>
          <cell r="Z85" t="str">
            <v>April</v>
          </cell>
          <cell r="AA85">
            <v>1</v>
          </cell>
          <cell r="AB85" t="str">
            <v>NA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</row>
        <row r="86">
          <cell r="B86" t="str">
            <v>09HB331812</v>
          </cell>
          <cell r="C86">
            <v>2019</v>
          </cell>
          <cell r="D86" t="str">
            <v>Qtr 2</v>
          </cell>
          <cell r="E86" t="str">
            <v>April</v>
          </cell>
          <cell r="F86">
            <v>1</v>
          </cell>
          <cell r="G86" t="str">
            <v>MANTENIMIENTO PREVENTIVO</v>
          </cell>
          <cell r="H86">
            <v>0</v>
          </cell>
          <cell r="I86" t="str">
            <v>A4 Mono MFPs</v>
          </cell>
          <cell r="J86">
            <v>468</v>
          </cell>
          <cell r="K86">
            <v>715</v>
          </cell>
          <cell r="L86">
            <v>0</v>
          </cell>
          <cell r="M86">
            <v>0</v>
          </cell>
          <cell r="N86">
            <v>0</v>
          </cell>
          <cell r="O86">
            <v>0.6</v>
          </cell>
          <cell r="P86">
            <v>0.8</v>
          </cell>
          <cell r="Q86">
            <v>1.05</v>
          </cell>
          <cell r="R86" t="str">
            <v>INTERIOR</v>
          </cell>
          <cell r="S86">
            <v>5</v>
          </cell>
          <cell r="T86">
            <v>9</v>
          </cell>
          <cell r="U86" t="str">
            <v>Ciudad principal</v>
          </cell>
          <cell r="V86" t="str">
            <v>A4 Mono MFPs</v>
          </cell>
          <cell r="W86" t="str">
            <v>JALISCO</v>
          </cell>
          <cell r="X86">
            <v>2019</v>
          </cell>
          <cell r="Y86" t="str">
            <v>Qtr 2</v>
          </cell>
          <cell r="Z86" t="str">
            <v>April</v>
          </cell>
          <cell r="AA86">
            <v>1</v>
          </cell>
          <cell r="AB86">
            <v>1</v>
          </cell>
          <cell r="AC86">
            <v>27</v>
          </cell>
          <cell r="AD86">
            <v>0</v>
          </cell>
          <cell r="AE86">
            <v>0</v>
          </cell>
          <cell r="AF86">
            <v>0</v>
          </cell>
        </row>
        <row r="87">
          <cell r="B87" t="str">
            <v>C7X376359</v>
          </cell>
          <cell r="C87">
            <v>2019</v>
          </cell>
          <cell r="D87" t="str">
            <v>Qtr 2</v>
          </cell>
          <cell r="E87" t="str">
            <v>April</v>
          </cell>
          <cell r="F87">
            <v>1</v>
          </cell>
          <cell r="G87" t="str">
            <v>CORRECTIVO</v>
          </cell>
          <cell r="H87">
            <v>0.31666670000000002</v>
          </cell>
          <cell r="J87" t="str">
            <v>NA</v>
          </cell>
          <cell r="K87" t="str">
            <v>NA</v>
          </cell>
          <cell r="L87" t="str">
            <v>NA</v>
          </cell>
          <cell r="M87" t="str">
            <v>NA</v>
          </cell>
          <cell r="N87" t="str">
            <v>NA</v>
          </cell>
          <cell r="O87" t="str">
            <v>NA</v>
          </cell>
          <cell r="P87" t="str">
            <v>NA</v>
          </cell>
          <cell r="Q87" t="str">
            <v>NA</v>
          </cell>
          <cell r="S87" t="str">
            <v>NA</v>
          </cell>
          <cell r="T87" t="str">
            <v>NA</v>
          </cell>
          <cell r="V87" t="str">
            <v>A4 Mono MFPs</v>
          </cell>
          <cell r="W87" t="str">
            <v>COAHUILA</v>
          </cell>
          <cell r="X87">
            <v>2019</v>
          </cell>
          <cell r="Y87" t="str">
            <v>Qtr 2</v>
          </cell>
          <cell r="Z87" t="str">
            <v>April</v>
          </cell>
          <cell r="AA87">
            <v>4</v>
          </cell>
          <cell r="AB87" t="str">
            <v>NA</v>
          </cell>
          <cell r="AC87">
            <v>73</v>
          </cell>
          <cell r="AD87">
            <v>0</v>
          </cell>
          <cell r="AE87">
            <v>0</v>
          </cell>
          <cell r="AF87">
            <v>0</v>
          </cell>
        </row>
        <row r="88">
          <cell r="B88" t="str">
            <v>09HB331516</v>
          </cell>
          <cell r="C88">
            <v>2019</v>
          </cell>
          <cell r="D88" t="str">
            <v>Qtr 2</v>
          </cell>
          <cell r="E88" t="str">
            <v>April</v>
          </cell>
          <cell r="F88">
            <v>1</v>
          </cell>
          <cell r="G88" t="str">
            <v>MANTENIMIENTO PREVENTIVO</v>
          </cell>
          <cell r="H88">
            <v>0</v>
          </cell>
          <cell r="I88" t="str">
            <v>A4 Mono MFPs</v>
          </cell>
          <cell r="J88">
            <v>468</v>
          </cell>
          <cell r="K88">
            <v>715</v>
          </cell>
          <cell r="L88">
            <v>0</v>
          </cell>
          <cell r="M88">
            <v>0</v>
          </cell>
          <cell r="N88">
            <v>0</v>
          </cell>
          <cell r="O88">
            <v>0.6</v>
          </cell>
          <cell r="P88">
            <v>0.8</v>
          </cell>
          <cell r="Q88">
            <v>1.05</v>
          </cell>
          <cell r="R88" t="str">
            <v>INTERIOR</v>
          </cell>
          <cell r="S88">
            <v>5</v>
          </cell>
          <cell r="T88">
            <v>9</v>
          </cell>
          <cell r="U88" t="str">
            <v>Ciudad principal</v>
          </cell>
          <cell r="V88" t="str">
            <v>A4 Mono MFPs</v>
          </cell>
          <cell r="W88" t="str">
            <v>JALISCO</v>
          </cell>
          <cell r="X88">
            <v>2019</v>
          </cell>
          <cell r="Y88" t="str">
            <v>Qtr 2</v>
          </cell>
          <cell r="Z88" t="str">
            <v>April</v>
          </cell>
          <cell r="AA88">
            <v>1</v>
          </cell>
          <cell r="AB88">
            <v>1</v>
          </cell>
          <cell r="AC88">
            <v>10</v>
          </cell>
          <cell r="AD88">
            <v>0</v>
          </cell>
          <cell r="AE88">
            <v>0</v>
          </cell>
          <cell r="AF88">
            <v>0</v>
          </cell>
        </row>
        <row r="89">
          <cell r="B89" t="str">
            <v>0A4T036168</v>
          </cell>
          <cell r="C89">
            <v>2019</v>
          </cell>
          <cell r="D89" t="str">
            <v>Qtr 2</v>
          </cell>
          <cell r="E89" t="str">
            <v>April</v>
          </cell>
          <cell r="F89">
            <v>1</v>
          </cell>
          <cell r="G89" t="str">
            <v>CORRECTIVO</v>
          </cell>
          <cell r="H89">
            <v>0.85</v>
          </cell>
          <cell r="I89" t="str">
            <v>Entry Mono Printers</v>
          </cell>
          <cell r="J89">
            <v>468</v>
          </cell>
          <cell r="K89">
            <v>715</v>
          </cell>
          <cell r="L89">
            <v>0</v>
          </cell>
          <cell r="M89">
            <v>0</v>
          </cell>
          <cell r="N89">
            <v>0</v>
          </cell>
          <cell r="O89">
            <v>0.6</v>
          </cell>
          <cell r="P89">
            <v>0.8</v>
          </cell>
          <cell r="Q89">
            <v>1.05</v>
          </cell>
          <cell r="R89" t="str">
            <v>INTERIOR</v>
          </cell>
          <cell r="S89">
            <v>5</v>
          </cell>
          <cell r="T89">
            <v>9</v>
          </cell>
          <cell r="U89" t="str">
            <v>Ciudad principal</v>
          </cell>
          <cell r="V89" t="str">
            <v>A4 Mono MFPs</v>
          </cell>
          <cell r="W89" t="str">
            <v>CHIHUAHUA</v>
          </cell>
          <cell r="X89">
            <v>2019</v>
          </cell>
          <cell r="Y89" t="str">
            <v>Qtr 2</v>
          </cell>
          <cell r="Z89" t="str">
            <v>April</v>
          </cell>
          <cell r="AA89">
            <v>3</v>
          </cell>
          <cell r="AB89">
            <v>0</v>
          </cell>
          <cell r="AC89">
            <v>0</v>
          </cell>
          <cell r="AD89">
            <v>1.05</v>
          </cell>
          <cell r="AE89">
            <v>0.17</v>
          </cell>
          <cell r="AF89">
            <v>750.75</v>
          </cell>
        </row>
        <row r="90">
          <cell r="B90" t="str">
            <v>0BG2951676</v>
          </cell>
          <cell r="C90">
            <v>2019</v>
          </cell>
          <cell r="D90" t="str">
            <v>Qtr 2</v>
          </cell>
          <cell r="E90" t="str">
            <v>April</v>
          </cell>
          <cell r="F90">
            <v>1</v>
          </cell>
          <cell r="G90" t="str">
            <v>MANTENIMIENTO PREVENTIVO</v>
          </cell>
          <cell r="H90">
            <v>0</v>
          </cell>
          <cell r="I90" t="str">
            <v>Light Production Digital Business</v>
          </cell>
          <cell r="J90">
            <v>803</v>
          </cell>
          <cell r="K90">
            <v>1573</v>
          </cell>
          <cell r="L90">
            <v>0.2</v>
          </cell>
          <cell r="M90">
            <v>0.6</v>
          </cell>
          <cell r="N90">
            <v>0.8</v>
          </cell>
          <cell r="O90">
            <v>1.05</v>
          </cell>
          <cell r="P90">
            <v>1.1000000000000001</v>
          </cell>
          <cell r="Q90">
            <v>1.1499999999999999</v>
          </cell>
          <cell r="R90" t="str">
            <v>INTERIOR</v>
          </cell>
          <cell r="S90">
            <v>4</v>
          </cell>
          <cell r="T90">
            <v>6</v>
          </cell>
          <cell r="U90" t="str">
            <v>Ciudad principal</v>
          </cell>
          <cell r="V90" t="str">
            <v>High End Cut Sheet</v>
          </cell>
          <cell r="W90" t="str">
            <v>TAMAULIPAS</v>
          </cell>
          <cell r="X90">
            <v>2019</v>
          </cell>
          <cell r="Y90" t="str">
            <v>Qtr 2</v>
          </cell>
          <cell r="Z90" t="str">
            <v>April</v>
          </cell>
          <cell r="AA90">
            <v>1</v>
          </cell>
          <cell r="AB90">
            <v>0</v>
          </cell>
          <cell r="AC90">
            <v>3</v>
          </cell>
          <cell r="AD90">
            <v>0</v>
          </cell>
          <cell r="AE90">
            <v>0</v>
          </cell>
          <cell r="AF90">
            <v>1573</v>
          </cell>
        </row>
        <row r="91">
          <cell r="B91" t="str">
            <v>0EX7387236</v>
          </cell>
          <cell r="C91">
            <v>2019</v>
          </cell>
          <cell r="D91" t="str">
            <v>Qtr 2</v>
          </cell>
          <cell r="E91" t="str">
            <v>April</v>
          </cell>
          <cell r="F91">
            <v>1</v>
          </cell>
          <cell r="G91" t="str">
            <v>CORRECTIVO</v>
          </cell>
          <cell r="H91">
            <v>2.1833330000000002</v>
          </cell>
          <cell r="I91" t="str">
            <v>Departmental Digital</v>
          </cell>
          <cell r="J91">
            <v>655</v>
          </cell>
          <cell r="K91">
            <v>1365</v>
          </cell>
          <cell r="L91">
            <v>0</v>
          </cell>
          <cell r="M91">
            <v>0</v>
          </cell>
          <cell r="N91">
            <v>0.6</v>
          </cell>
          <cell r="O91">
            <v>0.8</v>
          </cell>
          <cell r="P91">
            <v>1.05</v>
          </cell>
          <cell r="Q91">
            <v>1.1000000000000001</v>
          </cell>
          <cell r="R91" t="str">
            <v>INTERIOR</v>
          </cell>
          <cell r="S91">
            <v>5</v>
          </cell>
          <cell r="T91">
            <v>9</v>
          </cell>
          <cell r="U91" t="str">
            <v>Ciudad principal</v>
          </cell>
          <cell r="V91" t="str">
            <v>Departmental Digital</v>
          </cell>
          <cell r="W91" t="str">
            <v>CHIHUAHUA</v>
          </cell>
          <cell r="X91">
            <v>2019</v>
          </cell>
          <cell r="Y91" t="str">
            <v>Qtr 2</v>
          </cell>
          <cell r="Z91" t="str">
            <v>April</v>
          </cell>
          <cell r="AA91">
            <v>1</v>
          </cell>
          <cell r="AB91">
            <v>0</v>
          </cell>
          <cell r="AC91">
            <v>6</v>
          </cell>
          <cell r="AD91">
            <v>0</v>
          </cell>
          <cell r="AE91">
            <v>0.43666660000000002</v>
          </cell>
          <cell r="AF91">
            <v>0</v>
          </cell>
        </row>
        <row r="92">
          <cell r="B92" t="str">
            <v>0C4X011834</v>
          </cell>
          <cell r="C92">
            <v>2019</v>
          </cell>
          <cell r="D92" t="str">
            <v>Qtr 2</v>
          </cell>
          <cell r="E92" t="str">
            <v>April</v>
          </cell>
          <cell r="F92">
            <v>1</v>
          </cell>
          <cell r="G92" t="str">
            <v>MANTENIMIENTO PREVENTIVO</v>
          </cell>
          <cell r="H92">
            <v>0</v>
          </cell>
          <cell r="I92" t="str">
            <v>A4 Mono MFPs</v>
          </cell>
          <cell r="J92">
            <v>468</v>
          </cell>
          <cell r="K92">
            <v>715</v>
          </cell>
          <cell r="L92">
            <v>0</v>
          </cell>
          <cell r="M92">
            <v>0</v>
          </cell>
          <cell r="N92">
            <v>0</v>
          </cell>
          <cell r="O92">
            <v>0.6</v>
          </cell>
          <cell r="P92">
            <v>0.8</v>
          </cell>
          <cell r="Q92">
            <v>1.05</v>
          </cell>
          <cell r="R92" t="str">
            <v>INTERIOR</v>
          </cell>
          <cell r="S92">
            <v>5</v>
          </cell>
          <cell r="T92">
            <v>9</v>
          </cell>
          <cell r="U92" t="str">
            <v>Otras</v>
          </cell>
          <cell r="V92" t="str">
            <v>A4 Mono MFPs</v>
          </cell>
          <cell r="W92" t="str">
            <v>NUEVO LEON</v>
          </cell>
          <cell r="X92">
            <v>2019</v>
          </cell>
          <cell r="Y92" t="str">
            <v>Qtr 2</v>
          </cell>
          <cell r="Z92" t="str">
            <v>April</v>
          </cell>
          <cell r="AA92">
            <v>1</v>
          </cell>
          <cell r="AB92">
            <v>0</v>
          </cell>
          <cell r="AC92">
            <v>26</v>
          </cell>
          <cell r="AD92">
            <v>0</v>
          </cell>
          <cell r="AE92">
            <v>0</v>
          </cell>
          <cell r="AF92">
            <v>715</v>
          </cell>
        </row>
        <row r="93">
          <cell r="B93" t="str">
            <v>0A4T558109</v>
          </cell>
          <cell r="C93">
            <v>2019</v>
          </cell>
          <cell r="D93" t="str">
            <v>Qtr 2</v>
          </cell>
          <cell r="E93" t="str">
            <v>April</v>
          </cell>
          <cell r="F93">
            <v>1</v>
          </cell>
          <cell r="G93" t="str">
            <v>CORRECTIVO</v>
          </cell>
          <cell r="H93">
            <v>1.6666669999999999</v>
          </cell>
          <cell r="I93" t="str">
            <v>Entry Mono Printers</v>
          </cell>
          <cell r="J93">
            <v>468</v>
          </cell>
          <cell r="K93">
            <v>715</v>
          </cell>
          <cell r="L93">
            <v>0</v>
          </cell>
          <cell r="M93">
            <v>0</v>
          </cell>
          <cell r="N93">
            <v>0</v>
          </cell>
          <cell r="O93">
            <v>0.6</v>
          </cell>
          <cell r="P93">
            <v>0.8</v>
          </cell>
          <cell r="Q93">
            <v>1.05</v>
          </cell>
          <cell r="R93" t="str">
            <v>INTERIOR</v>
          </cell>
          <cell r="S93">
            <v>5</v>
          </cell>
          <cell r="T93">
            <v>9</v>
          </cell>
          <cell r="U93" t="str">
            <v>Ciudad principal</v>
          </cell>
          <cell r="V93" t="str">
            <v>A4 Mono MFPs</v>
          </cell>
          <cell r="W93" t="str">
            <v>GUANAJUATO</v>
          </cell>
          <cell r="X93">
            <v>2019</v>
          </cell>
          <cell r="Y93" t="str">
            <v>Qtr 2</v>
          </cell>
          <cell r="Z93" t="str">
            <v>April</v>
          </cell>
          <cell r="AA93">
            <v>3</v>
          </cell>
          <cell r="AB93">
            <v>0</v>
          </cell>
          <cell r="AC93">
            <v>383</v>
          </cell>
          <cell r="AD93">
            <v>1.05</v>
          </cell>
          <cell r="AE93">
            <v>0.3333334</v>
          </cell>
          <cell r="AF93">
            <v>750.75</v>
          </cell>
        </row>
        <row r="94">
          <cell r="B94" t="str">
            <v>0EX9293168</v>
          </cell>
          <cell r="C94">
            <v>2019</v>
          </cell>
          <cell r="D94" t="str">
            <v>Qtr 2</v>
          </cell>
          <cell r="E94" t="str">
            <v>April</v>
          </cell>
          <cell r="F94">
            <v>1</v>
          </cell>
          <cell r="G94" t="str">
            <v>CORRECTIVO</v>
          </cell>
          <cell r="H94">
            <v>2.233333</v>
          </cell>
          <cell r="I94" t="str">
            <v>Departmental Digital</v>
          </cell>
          <cell r="J94">
            <v>655</v>
          </cell>
          <cell r="K94">
            <v>1365</v>
          </cell>
          <cell r="L94">
            <v>0</v>
          </cell>
          <cell r="M94">
            <v>0</v>
          </cell>
          <cell r="N94">
            <v>0.6</v>
          </cell>
          <cell r="O94">
            <v>0.8</v>
          </cell>
          <cell r="P94">
            <v>1.05</v>
          </cell>
          <cell r="Q94">
            <v>1.1000000000000001</v>
          </cell>
          <cell r="R94" t="str">
            <v>INTERIOR</v>
          </cell>
          <cell r="S94">
            <v>5</v>
          </cell>
          <cell r="T94">
            <v>9</v>
          </cell>
          <cell r="U94" t="str">
            <v>Ciudad principal</v>
          </cell>
          <cell r="V94" t="str">
            <v>Departmental Digital</v>
          </cell>
          <cell r="W94" t="str">
            <v>GUANAJUATO</v>
          </cell>
          <cell r="X94">
            <v>2019</v>
          </cell>
          <cell r="Y94" t="str">
            <v>Qtr 2</v>
          </cell>
          <cell r="Z94" t="str">
            <v>April</v>
          </cell>
          <cell r="AA94">
            <v>3</v>
          </cell>
          <cell r="AB94">
            <v>0</v>
          </cell>
          <cell r="AC94">
            <v>21</v>
          </cell>
          <cell r="AD94">
            <v>0.8</v>
          </cell>
          <cell r="AE94">
            <v>0.44666660000000002</v>
          </cell>
          <cell r="AF94">
            <v>1092</v>
          </cell>
        </row>
        <row r="95">
          <cell r="B95" t="str">
            <v>03AG880377</v>
          </cell>
          <cell r="C95">
            <v>2019</v>
          </cell>
          <cell r="D95" t="str">
            <v>Qtr 2</v>
          </cell>
          <cell r="E95" t="str">
            <v>April</v>
          </cell>
          <cell r="F95">
            <v>1</v>
          </cell>
          <cell r="G95" t="str">
            <v>CORRECTIVO</v>
          </cell>
          <cell r="H95">
            <v>1</v>
          </cell>
          <cell r="I95" t="str">
            <v>Departmental Digital</v>
          </cell>
          <cell r="J95">
            <v>655</v>
          </cell>
          <cell r="K95">
            <v>1365</v>
          </cell>
          <cell r="L95">
            <v>0</v>
          </cell>
          <cell r="M95">
            <v>0</v>
          </cell>
          <cell r="N95">
            <v>0.6</v>
          </cell>
          <cell r="O95">
            <v>0.8</v>
          </cell>
          <cell r="P95">
            <v>1.05</v>
          </cell>
          <cell r="Q95">
            <v>1.1000000000000001</v>
          </cell>
          <cell r="R95" t="str">
            <v>INTERIOR</v>
          </cell>
          <cell r="S95">
            <v>5</v>
          </cell>
          <cell r="T95">
            <v>9</v>
          </cell>
          <cell r="U95" t="str">
            <v>Ciudad principal</v>
          </cell>
          <cell r="V95" t="str">
            <v>Light Production Digital Business</v>
          </cell>
          <cell r="W95" t="str">
            <v>GUANAJUATO</v>
          </cell>
          <cell r="X95">
            <v>2019</v>
          </cell>
          <cell r="Y95" t="str">
            <v>Qtr 2</v>
          </cell>
          <cell r="Z95" t="str">
            <v>April</v>
          </cell>
          <cell r="AA95">
            <v>1</v>
          </cell>
          <cell r="AB95">
            <v>0</v>
          </cell>
          <cell r="AC95">
            <v>11</v>
          </cell>
          <cell r="AD95">
            <v>0.6</v>
          </cell>
          <cell r="AE95">
            <v>0.2</v>
          </cell>
          <cell r="AF95">
            <v>819</v>
          </cell>
        </row>
        <row r="96">
          <cell r="B96" t="str">
            <v>0EX9293515</v>
          </cell>
          <cell r="C96">
            <v>2019</v>
          </cell>
          <cell r="D96" t="str">
            <v>Qtr 2</v>
          </cell>
          <cell r="E96" t="str">
            <v>April</v>
          </cell>
          <cell r="F96">
            <v>1</v>
          </cell>
          <cell r="G96" t="str">
            <v>MANTENIMIENTO PREVENTIVO</v>
          </cell>
          <cell r="H96">
            <v>0</v>
          </cell>
          <cell r="I96" t="str">
            <v>Departmental Digital</v>
          </cell>
          <cell r="J96">
            <v>655</v>
          </cell>
          <cell r="K96">
            <v>1365</v>
          </cell>
          <cell r="L96">
            <v>0</v>
          </cell>
          <cell r="M96">
            <v>0</v>
          </cell>
          <cell r="N96">
            <v>0.6</v>
          </cell>
          <cell r="O96">
            <v>0.8</v>
          </cell>
          <cell r="P96">
            <v>1.05</v>
          </cell>
          <cell r="Q96">
            <v>1.1000000000000001</v>
          </cell>
          <cell r="R96" t="str">
            <v>INTERIOR</v>
          </cell>
          <cell r="S96">
            <v>5</v>
          </cell>
          <cell r="T96">
            <v>9</v>
          </cell>
          <cell r="U96" t="str">
            <v>Ciudad principal</v>
          </cell>
          <cell r="V96" t="str">
            <v>Departmental Digital</v>
          </cell>
          <cell r="W96" t="str">
            <v>JALISCO</v>
          </cell>
          <cell r="X96">
            <v>2019</v>
          </cell>
          <cell r="Y96" t="str">
            <v>Qtr 2</v>
          </cell>
          <cell r="Z96" t="str">
            <v>April</v>
          </cell>
          <cell r="AA96">
            <v>1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1365</v>
          </cell>
        </row>
        <row r="97">
          <cell r="B97" t="str">
            <v>03BT802413</v>
          </cell>
          <cell r="C97">
            <v>2019</v>
          </cell>
          <cell r="D97" t="str">
            <v>Qtr 2</v>
          </cell>
          <cell r="E97" t="str">
            <v>April</v>
          </cell>
          <cell r="F97">
            <v>1</v>
          </cell>
          <cell r="G97" t="str">
            <v>CORRECTIVO</v>
          </cell>
          <cell r="H97">
            <v>1.3666670000000001</v>
          </cell>
          <cell r="I97" t="str">
            <v>A4 Mono MFPs</v>
          </cell>
          <cell r="J97">
            <v>468</v>
          </cell>
          <cell r="K97">
            <v>715</v>
          </cell>
          <cell r="L97">
            <v>0</v>
          </cell>
          <cell r="M97">
            <v>0</v>
          </cell>
          <cell r="N97">
            <v>0</v>
          </cell>
          <cell r="O97">
            <v>0.6</v>
          </cell>
          <cell r="P97">
            <v>0.8</v>
          </cell>
          <cell r="Q97">
            <v>1.05</v>
          </cell>
          <cell r="R97" t="str">
            <v>INTERIOR</v>
          </cell>
          <cell r="S97">
            <v>5</v>
          </cell>
          <cell r="T97">
            <v>9</v>
          </cell>
          <cell r="U97" t="str">
            <v>Ciudad principal</v>
          </cell>
          <cell r="V97" t="str">
            <v>A4 Mono MFPs</v>
          </cell>
          <cell r="W97" t="str">
            <v>CHIHUAHUA</v>
          </cell>
          <cell r="X97">
            <v>2019</v>
          </cell>
          <cell r="Y97" t="str">
            <v>Qtr 2</v>
          </cell>
          <cell r="Z97" t="str">
            <v>April</v>
          </cell>
          <cell r="AA97">
            <v>1</v>
          </cell>
          <cell r="AB97">
            <v>0</v>
          </cell>
          <cell r="AC97">
            <v>209</v>
          </cell>
          <cell r="AD97">
            <v>1.05</v>
          </cell>
          <cell r="AE97">
            <v>0.2733334</v>
          </cell>
          <cell r="AF97">
            <v>750.75</v>
          </cell>
        </row>
        <row r="98">
          <cell r="B98" t="str">
            <v>06TB445710</v>
          </cell>
          <cell r="C98">
            <v>2019</v>
          </cell>
          <cell r="D98" t="str">
            <v>Qtr 2</v>
          </cell>
          <cell r="E98" t="str">
            <v>April</v>
          </cell>
          <cell r="F98">
            <v>1</v>
          </cell>
          <cell r="G98" t="str">
            <v>MANTENIMIENTO PREVENTIVO</v>
          </cell>
          <cell r="H98">
            <v>0</v>
          </cell>
          <cell r="I98" t="str">
            <v>A3 Office Color Laser MFPs</v>
          </cell>
          <cell r="J98">
            <v>655</v>
          </cell>
          <cell r="K98">
            <v>1365</v>
          </cell>
          <cell r="L98">
            <v>0</v>
          </cell>
          <cell r="M98">
            <v>0</v>
          </cell>
          <cell r="N98">
            <v>0.6</v>
          </cell>
          <cell r="O98">
            <v>0.8</v>
          </cell>
          <cell r="P98">
            <v>1.05</v>
          </cell>
          <cell r="Q98">
            <v>1.1000000000000001</v>
          </cell>
          <cell r="R98" t="str">
            <v>INTERIOR</v>
          </cell>
          <cell r="S98">
            <v>5</v>
          </cell>
          <cell r="T98">
            <v>9</v>
          </cell>
          <cell r="U98" t="str">
            <v>Ciudad principal</v>
          </cell>
          <cell r="V98" t="str">
            <v>A3 Office Color Laser MFPs</v>
          </cell>
          <cell r="W98" t="str">
            <v>JALISCO</v>
          </cell>
          <cell r="X98">
            <v>2019</v>
          </cell>
          <cell r="Y98" t="str">
            <v>Qtr 2</v>
          </cell>
          <cell r="Z98" t="str">
            <v>April</v>
          </cell>
          <cell r="AA98">
            <v>1</v>
          </cell>
          <cell r="AB98">
            <v>0</v>
          </cell>
          <cell r="AC98">
            <v>10</v>
          </cell>
          <cell r="AD98">
            <v>0</v>
          </cell>
          <cell r="AE98">
            <v>0</v>
          </cell>
          <cell r="AF98">
            <v>1365</v>
          </cell>
        </row>
        <row r="99">
          <cell r="B99" t="str">
            <v>0C7X246843</v>
          </cell>
          <cell r="C99">
            <v>2019</v>
          </cell>
          <cell r="D99" t="str">
            <v>Qtr 2</v>
          </cell>
          <cell r="E99" t="str">
            <v>April</v>
          </cell>
          <cell r="F99">
            <v>1</v>
          </cell>
          <cell r="G99" t="str">
            <v>CORRECTIVO</v>
          </cell>
          <cell r="H99">
            <v>0</v>
          </cell>
          <cell r="I99" t="str">
            <v>A4 Mono MFPs</v>
          </cell>
          <cell r="J99">
            <v>468</v>
          </cell>
          <cell r="K99">
            <v>715</v>
          </cell>
          <cell r="L99">
            <v>0</v>
          </cell>
          <cell r="M99">
            <v>0</v>
          </cell>
          <cell r="N99">
            <v>0</v>
          </cell>
          <cell r="O99">
            <v>0.6</v>
          </cell>
          <cell r="P99">
            <v>0.8</v>
          </cell>
          <cell r="Q99">
            <v>1.05</v>
          </cell>
          <cell r="R99" t="str">
            <v>INTERIOR</v>
          </cell>
          <cell r="S99">
            <v>5</v>
          </cell>
          <cell r="T99">
            <v>9</v>
          </cell>
          <cell r="U99" t="str">
            <v>Ciudad principal</v>
          </cell>
          <cell r="V99" t="str">
            <v>A4 Mono MFPs</v>
          </cell>
          <cell r="W99" t="str">
            <v>TAMAULIPAS</v>
          </cell>
          <cell r="X99">
            <v>2019</v>
          </cell>
          <cell r="Y99" t="str">
            <v>Qtr 2</v>
          </cell>
          <cell r="Z99" t="str">
            <v>April</v>
          </cell>
          <cell r="AA99">
            <v>1</v>
          </cell>
          <cell r="AB99">
            <v>0</v>
          </cell>
          <cell r="AC99">
            <v>3</v>
          </cell>
          <cell r="AD99">
            <v>0</v>
          </cell>
          <cell r="AE99">
            <v>0</v>
          </cell>
          <cell r="AF99">
            <v>0</v>
          </cell>
        </row>
        <row r="100">
          <cell r="B100" t="str">
            <v>09HB331668</v>
          </cell>
          <cell r="C100">
            <v>2019</v>
          </cell>
          <cell r="D100" t="str">
            <v>Qtr 2</v>
          </cell>
          <cell r="E100" t="str">
            <v>April</v>
          </cell>
          <cell r="F100">
            <v>1</v>
          </cell>
          <cell r="G100" t="str">
            <v>MANTENIMIENTO PREVENTIVO</v>
          </cell>
          <cell r="H100">
            <v>0</v>
          </cell>
          <cell r="I100" t="str">
            <v>A4 Mono MFPs</v>
          </cell>
          <cell r="J100">
            <v>468</v>
          </cell>
          <cell r="K100">
            <v>715</v>
          </cell>
          <cell r="L100">
            <v>0</v>
          </cell>
          <cell r="M100">
            <v>0</v>
          </cell>
          <cell r="N100">
            <v>0</v>
          </cell>
          <cell r="O100">
            <v>0.6</v>
          </cell>
          <cell r="P100">
            <v>0.8</v>
          </cell>
          <cell r="Q100">
            <v>1.05</v>
          </cell>
          <cell r="R100" t="str">
            <v>INTERIOR</v>
          </cell>
          <cell r="S100">
            <v>5</v>
          </cell>
          <cell r="T100">
            <v>9</v>
          </cell>
          <cell r="U100" t="str">
            <v>Ciudad principal</v>
          </cell>
          <cell r="V100" t="str">
            <v>A4 Mono MFPs</v>
          </cell>
          <cell r="W100" t="str">
            <v>JALISCO</v>
          </cell>
          <cell r="X100">
            <v>2019</v>
          </cell>
          <cell r="Y100" t="str">
            <v>Qtr 2</v>
          </cell>
          <cell r="Z100" t="str">
            <v>April</v>
          </cell>
          <cell r="AA100">
            <v>1</v>
          </cell>
          <cell r="AB100">
            <v>1</v>
          </cell>
          <cell r="AC100">
            <v>17</v>
          </cell>
          <cell r="AD100">
            <v>0</v>
          </cell>
          <cell r="AE100">
            <v>0</v>
          </cell>
          <cell r="AF100">
            <v>0</v>
          </cell>
        </row>
        <row r="101">
          <cell r="B101" t="str">
            <v>0EX9286123</v>
          </cell>
          <cell r="C101">
            <v>2019</v>
          </cell>
          <cell r="D101" t="str">
            <v>Qtr 2</v>
          </cell>
          <cell r="E101" t="str">
            <v>April</v>
          </cell>
          <cell r="F101">
            <v>1</v>
          </cell>
          <cell r="G101" t="str">
            <v>CORRECTIVO</v>
          </cell>
          <cell r="H101">
            <v>0.3</v>
          </cell>
          <cell r="I101" t="str">
            <v>Departmental Digital</v>
          </cell>
          <cell r="J101">
            <v>655</v>
          </cell>
          <cell r="K101">
            <v>1365</v>
          </cell>
          <cell r="L101">
            <v>0</v>
          </cell>
          <cell r="M101">
            <v>0</v>
          </cell>
          <cell r="N101">
            <v>0.6</v>
          </cell>
          <cell r="O101">
            <v>0.8</v>
          </cell>
          <cell r="P101">
            <v>1.05</v>
          </cell>
          <cell r="Q101">
            <v>1.1000000000000001</v>
          </cell>
          <cell r="R101" t="str">
            <v>INTERIOR</v>
          </cell>
          <cell r="S101">
            <v>5</v>
          </cell>
          <cell r="T101">
            <v>9</v>
          </cell>
          <cell r="U101" t="str">
            <v>Ciudad principal</v>
          </cell>
          <cell r="V101" t="str">
            <v>Departmental Digital</v>
          </cell>
          <cell r="W101" t="str">
            <v>DURANGO</v>
          </cell>
          <cell r="X101">
            <v>2019</v>
          </cell>
          <cell r="Y101" t="str">
            <v>Qtr 2</v>
          </cell>
          <cell r="Z101" t="str">
            <v>April</v>
          </cell>
          <cell r="AA101">
            <v>2</v>
          </cell>
          <cell r="AB101">
            <v>0</v>
          </cell>
          <cell r="AC101">
            <v>11</v>
          </cell>
          <cell r="AD101">
            <v>0.6</v>
          </cell>
          <cell r="AE101">
            <v>0.06</v>
          </cell>
          <cell r="AF101">
            <v>819</v>
          </cell>
        </row>
        <row r="102">
          <cell r="B102" t="str">
            <v>0UHA002004</v>
          </cell>
          <cell r="C102">
            <v>2019</v>
          </cell>
          <cell r="D102" t="str">
            <v>Qtr 2</v>
          </cell>
          <cell r="E102" t="str">
            <v>April</v>
          </cell>
          <cell r="F102">
            <v>1</v>
          </cell>
          <cell r="G102" t="str">
            <v>CORRECTIVO</v>
          </cell>
          <cell r="H102">
            <v>1.75</v>
          </cell>
          <cell r="I102" t="str">
            <v>High End Cut Sheet</v>
          </cell>
          <cell r="J102">
            <v>1116</v>
          </cell>
          <cell r="K102">
            <v>2145</v>
          </cell>
          <cell r="L102">
            <v>0.6</v>
          </cell>
          <cell r="M102">
            <v>0.8</v>
          </cell>
          <cell r="N102">
            <v>1.05</v>
          </cell>
          <cell r="O102">
            <v>1.1000000000000001</v>
          </cell>
          <cell r="P102">
            <v>1.1499999999999999</v>
          </cell>
          <cell r="Q102">
            <v>1.2</v>
          </cell>
          <cell r="R102" t="str">
            <v>INTERIOR</v>
          </cell>
          <cell r="S102">
            <v>3</v>
          </cell>
          <cell r="T102">
            <v>6</v>
          </cell>
          <cell r="U102" t="str">
            <v>Ciudad principal</v>
          </cell>
          <cell r="V102" t="str">
            <v>High End Cut Sheet</v>
          </cell>
          <cell r="W102" t="str">
            <v>JALISCO</v>
          </cell>
          <cell r="X102">
            <v>2019</v>
          </cell>
          <cell r="Y102" t="str">
            <v>Qtr 2</v>
          </cell>
          <cell r="Z102" t="str">
            <v>April</v>
          </cell>
          <cell r="AA102">
            <v>2</v>
          </cell>
          <cell r="AB102">
            <v>0</v>
          </cell>
          <cell r="AC102">
            <v>32</v>
          </cell>
          <cell r="AD102">
            <v>1.1499999999999999</v>
          </cell>
          <cell r="AE102">
            <v>0.58333333333333304</v>
          </cell>
          <cell r="AF102">
            <v>2466.75</v>
          </cell>
        </row>
        <row r="103">
          <cell r="B103" t="str">
            <v>09HB331667</v>
          </cell>
          <cell r="C103">
            <v>2019</v>
          </cell>
          <cell r="D103" t="str">
            <v>Qtr 2</v>
          </cell>
          <cell r="E103" t="str">
            <v>April</v>
          </cell>
          <cell r="F103">
            <v>1</v>
          </cell>
          <cell r="G103" t="str">
            <v>MANTENIMIENTO PREVENTIVO</v>
          </cell>
          <cell r="H103">
            <v>0</v>
          </cell>
          <cell r="J103" t="str">
            <v>NA</v>
          </cell>
          <cell r="K103" t="str">
            <v>NA</v>
          </cell>
          <cell r="L103" t="str">
            <v>NA</v>
          </cell>
          <cell r="M103" t="str">
            <v>NA</v>
          </cell>
          <cell r="N103" t="str">
            <v>NA</v>
          </cell>
          <cell r="O103" t="str">
            <v>NA</v>
          </cell>
          <cell r="P103" t="str">
            <v>NA</v>
          </cell>
          <cell r="Q103" t="str">
            <v>NA</v>
          </cell>
          <cell r="S103" t="str">
            <v>NA</v>
          </cell>
          <cell r="T103" t="str">
            <v>NA</v>
          </cell>
          <cell r="V103" t="str">
            <v>A4 Mono MFPs</v>
          </cell>
          <cell r="W103" t="str">
            <v>JALISCO</v>
          </cell>
          <cell r="X103">
            <v>2019</v>
          </cell>
          <cell r="Y103" t="str">
            <v>Qtr 2</v>
          </cell>
          <cell r="Z103" t="str">
            <v>April</v>
          </cell>
          <cell r="AA103">
            <v>1</v>
          </cell>
          <cell r="AB103" t="str">
            <v>NA</v>
          </cell>
          <cell r="AC103">
            <v>13</v>
          </cell>
          <cell r="AD103">
            <v>0</v>
          </cell>
          <cell r="AE103">
            <v>0</v>
          </cell>
          <cell r="AF103">
            <v>0</v>
          </cell>
        </row>
        <row r="104">
          <cell r="B104" t="str">
            <v>0BG2947159</v>
          </cell>
          <cell r="C104">
            <v>2019</v>
          </cell>
          <cell r="D104" t="str">
            <v>Qtr 2</v>
          </cell>
          <cell r="E104" t="str">
            <v>April</v>
          </cell>
          <cell r="F104">
            <v>1</v>
          </cell>
          <cell r="G104" t="str">
            <v>CORRECTIVO</v>
          </cell>
          <cell r="H104">
            <v>1.9166669999999999</v>
          </cell>
          <cell r="I104" t="str">
            <v>Light Production Digital Business</v>
          </cell>
          <cell r="J104">
            <v>803</v>
          </cell>
          <cell r="K104">
            <v>1573</v>
          </cell>
          <cell r="L104">
            <v>0.2</v>
          </cell>
          <cell r="M104">
            <v>0.6</v>
          </cell>
          <cell r="N104">
            <v>0.8</v>
          </cell>
          <cell r="O104">
            <v>1.05</v>
          </cell>
          <cell r="P104">
            <v>1.1000000000000001</v>
          </cell>
          <cell r="Q104">
            <v>1.1499999999999999</v>
          </cell>
          <cell r="R104" t="str">
            <v>INTERIOR</v>
          </cell>
          <cell r="S104">
            <v>4</v>
          </cell>
          <cell r="T104">
            <v>6</v>
          </cell>
          <cell r="U104" t="str">
            <v>Ciudad principal</v>
          </cell>
          <cell r="V104" t="str">
            <v>High End Cut Sheet</v>
          </cell>
          <cell r="W104" t="str">
            <v>NUEVO LEON</v>
          </cell>
          <cell r="X104">
            <v>2019</v>
          </cell>
          <cell r="Y104" t="str">
            <v>Qtr 2</v>
          </cell>
          <cell r="Z104" t="str">
            <v>April</v>
          </cell>
          <cell r="AA104">
            <v>4</v>
          </cell>
          <cell r="AB104">
            <v>0</v>
          </cell>
          <cell r="AC104">
            <v>6</v>
          </cell>
          <cell r="AD104">
            <v>0.6</v>
          </cell>
          <cell r="AE104">
            <v>0.47916674999999997</v>
          </cell>
          <cell r="AF104">
            <v>943.8</v>
          </cell>
        </row>
        <row r="105">
          <cell r="B105" t="str">
            <v>0Y4X847064</v>
          </cell>
          <cell r="C105">
            <v>2019</v>
          </cell>
          <cell r="D105" t="str">
            <v>Qtr 2</v>
          </cell>
          <cell r="E105" t="str">
            <v>April</v>
          </cell>
          <cell r="F105">
            <v>1</v>
          </cell>
          <cell r="G105" t="str">
            <v>CORRECTIVO</v>
          </cell>
          <cell r="H105">
            <v>1.3333330000000001</v>
          </cell>
          <cell r="I105" t="str">
            <v>Office Digital</v>
          </cell>
          <cell r="J105">
            <v>655</v>
          </cell>
          <cell r="K105">
            <v>1365</v>
          </cell>
          <cell r="L105">
            <v>0</v>
          </cell>
          <cell r="M105">
            <v>0</v>
          </cell>
          <cell r="N105">
            <v>0.6</v>
          </cell>
          <cell r="O105">
            <v>0.8</v>
          </cell>
          <cell r="P105">
            <v>1.05</v>
          </cell>
          <cell r="Q105">
            <v>1.1000000000000001</v>
          </cell>
          <cell r="R105" t="str">
            <v>INTERIOR</v>
          </cell>
          <cell r="S105">
            <v>5</v>
          </cell>
          <cell r="T105">
            <v>9</v>
          </cell>
          <cell r="U105" t="str">
            <v>Ciudad principal</v>
          </cell>
          <cell r="V105" t="str">
            <v>Light Production Digital Business</v>
          </cell>
          <cell r="W105" t="str">
            <v>JALISCO</v>
          </cell>
          <cell r="X105">
            <v>2019</v>
          </cell>
          <cell r="Y105" t="str">
            <v>Qtr 2</v>
          </cell>
          <cell r="Z105" t="str">
            <v>April</v>
          </cell>
          <cell r="AA105">
            <v>1</v>
          </cell>
          <cell r="AB105">
            <v>1</v>
          </cell>
          <cell r="AC105">
            <v>33</v>
          </cell>
          <cell r="AD105">
            <v>0</v>
          </cell>
          <cell r="AE105">
            <v>0</v>
          </cell>
          <cell r="AF105">
            <v>0</v>
          </cell>
        </row>
        <row r="106">
          <cell r="B106" t="str">
            <v>0C4X008122</v>
          </cell>
          <cell r="C106">
            <v>2019</v>
          </cell>
          <cell r="D106" t="str">
            <v>Qtr 2</v>
          </cell>
          <cell r="E106" t="str">
            <v>April</v>
          </cell>
          <cell r="F106">
            <v>1</v>
          </cell>
          <cell r="G106" t="str">
            <v>CORRECTIVO</v>
          </cell>
          <cell r="H106">
            <v>4.1500000000000004</v>
          </cell>
          <cell r="J106" t="str">
            <v>NA</v>
          </cell>
          <cell r="K106" t="str">
            <v>NA</v>
          </cell>
          <cell r="L106" t="str">
            <v>NA</v>
          </cell>
          <cell r="M106" t="str">
            <v>NA</v>
          </cell>
          <cell r="N106" t="str">
            <v>NA</v>
          </cell>
          <cell r="O106" t="str">
            <v>NA</v>
          </cell>
          <cell r="P106" t="str">
            <v>NA</v>
          </cell>
          <cell r="Q106" t="str">
            <v>NA</v>
          </cell>
          <cell r="S106" t="str">
            <v>NA</v>
          </cell>
          <cell r="T106" t="str">
            <v>NA</v>
          </cell>
          <cell r="V106" t="str">
            <v>A4 Mono MFPs</v>
          </cell>
          <cell r="W106" t="str">
            <v>MICHOACAN</v>
          </cell>
          <cell r="X106">
            <v>2019</v>
          </cell>
          <cell r="Y106" t="str">
            <v>Qtr 2</v>
          </cell>
          <cell r="Z106" t="str">
            <v>April</v>
          </cell>
          <cell r="AA106">
            <v>9</v>
          </cell>
          <cell r="AB106" t="str">
            <v>NA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7">
          <cell r="B107" t="str">
            <v>03AG879712</v>
          </cell>
          <cell r="C107">
            <v>2019</v>
          </cell>
          <cell r="D107" t="str">
            <v>Qtr 2</v>
          </cell>
          <cell r="E107" t="str">
            <v>April</v>
          </cell>
          <cell r="F107">
            <v>1</v>
          </cell>
          <cell r="G107" t="str">
            <v>MANTENIMIENTO PREVENTIVO</v>
          </cell>
          <cell r="H107">
            <v>0</v>
          </cell>
          <cell r="I107" t="str">
            <v>Departmental Digital</v>
          </cell>
          <cell r="J107">
            <v>655</v>
          </cell>
          <cell r="K107">
            <v>1365</v>
          </cell>
          <cell r="L107">
            <v>0</v>
          </cell>
          <cell r="M107">
            <v>0</v>
          </cell>
          <cell r="N107">
            <v>0.6</v>
          </cell>
          <cell r="O107">
            <v>0.8</v>
          </cell>
          <cell r="P107">
            <v>1.05</v>
          </cell>
          <cell r="Q107">
            <v>1.1000000000000001</v>
          </cell>
          <cell r="R107" t="str">
            <v>INTERIOR</v>
          </cell>
          <cell r="S107">
            <v>5</v>
          </cell>
          <cell r="T107">
            <v>9</v>
          </cell>
          <cell r="U107" t="str">
            <v>Ciudad principal</v>
          </cell>
          <cell r="V107" t="str">
            <v>Light Production Digital Business</v>
          </cell>
          <cell r="W107" t="str">
            <v>JALISCO</v>
          </cell>
          <cell r="X107">
            <v>2019</v>
          </cell>
          <cell r="Y107" t="str">
            <v>Qtr 2</v>
          </cell>
          <cell r="Z107" t="str">
            <v>April</v>
          </cell>
          <cell r="AA107">
            <v>1</v>
          </cell>
          <cell r="AB107">
            <v>0</v>
          </cell>
          <cell r="AC107">
            <v>54</v>
          </cell>
          <cell r="AD107">
            <v>0</v>
          </cell>
          <cell r="AE107">
            <v>0</v>
          </cell>
          <cell r="AF107">
            <v>1365</v>
          </cell>
        </row>
        <row r="108">
          <cell r="B108" t="str">
            <v>0EX7407523</v>
          </cell>
          <cell r="C108">
            <v>2019</v>
          </cell>
          <cell r="D108" t="str">
            <v>Qtr 2</v>
          </cell>
          <cell r="E108" t="str">
            <v>April</v>
          </cell>
          <cell r="F108">
            <v>1</v>
          </cell>
          <cell r="G108" t="str">
            <v>MANTENIMIENTO PREVENTIVO</v>
          </cell>
          <cell r="H108">
            <v>0</v>
          </cell>
          <cell r="I108" t="str">
            <v>Office Digital</v>
          </cell>
          <cell r="J108">
            <v>655</v>
          </cell>
          <cell r="K108">
            <v>1365</v>
          </cell>
          <cell r="L108">
            <v>0</v>
          </cell>
          <cell r="M108">
            <v>0</v>
          </cell>
          <cell r="N108">
            <v>0.6</v>
          </cell>
          <cell r="O108">
            <v>0.8</v>
          </cell>
          <cell r="P108">
            <v>1.05</v>
          </cell>
          <cell r="Q108">
            <v>1.1000000000000001</v>
          </cell>
          <cell r="R108" t="str">
            <v>INTERIOR</v>
          </cell>
          <cell r="S108">
            <v>5</v>
          </cell>
          <cell r="T108">
            <v>9</v>
          </cell>
          <cell r="U108" t="str">
            <v>Ciudad principal</v>
          </cell>
          <cell r="V108" t="str">
            <v>Departmental Digital</v>
          </cell>
          <cell r="W108" t="str">
            <v>CHIHUAHUA</v>
          </cell>
          <cell r="X108">
            <v>2019</v>
          </cell>
          <cell r="Y108" t="str">
            <v>Qtr 2</v>
          </cell>
          <cell r="Z108" t="str">
            <v>April</v>
          </cell>
          <cell r="AA108">
            <v>2</v>
          </cell>
          <cell r="AB108">
            <v>0</v>
          </cell>
          <cell r="AC108">
            <v>24</v>
          </cell>
          <cell r="AD108">
            <v>0</v>
          </cell>
          <cell r="AE108">
            <v>0</v>
          </cell>
          <cell r="AF108">
            <v>1365</v>
          </cell>
        </row>
        <row r="109">
          <cell r="B109" t="str">
            <v>5BT705040</v>
          </cell>
          <cell r="C109">
            <v>2019</v>
          </cell>
          <cell r="D109" t="str">
            <v>Qtr 2</v>
          </cell>
          <cell r="E109" t="str">
            <v>April</v>
          </cell>
          <cell r="F109">
            <v>1</v>
          </cell>
          <cell r="G109" t="str">
            <v>CORRECTIVO</v>
          </cell>
          <cell r="H109">
            <v>1.2</v>
          </cell>
          <cell r="J109" t="str">
            <v>NA</v>
          </cell>
          <cell r="K109" t="str">
            <v>NA</v>
          </cell>
          <cell r="L109" t="str">
            <v>NA</v>
          </cell>
          <cell r="M109" t="str">
            <v>NA</v>
          </cell>
          <cell r="N109" t="str">
            <v>NA</v>
          </cell>
          <cell r="O109" t="str">
            <v>NA</v>
          </cell>
          <cell r="P109" t="str">
            <v>NA</v>
          </cell>
          <cell r="Q109" t="str">
            <v>NA</v>
          </cell>
          <cell r="S109" t="str">
            <v>NA</v>
          </cell>
          <cell r="T109" t="str">
            <v>NA</v>
          </cell>
          <cell r="V109" t="str">
            <v>A4 Mono MFPs</v>
          </cell>
          <cell r="W109" t="str">
            <v>NUEVO LEON</v>
          </cell>
          <cell r="X109">
            <v>2019</v>
          </cell>
          <cell r="Y109" t="str">
            <v>Qtr 2</v>
          </cell>
          <cell r="Z109" t="str">
            <v>April</v>
          </cell>
          <cell r="AA109">
            <v>2</v>
          </cell>
          <cell r="AB109" t="str">
            <v>NA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</row>
        <row r="110">
          <cell r="B110" t="str">
            <v>0XPN396574</v>
          </cell>
          <cell r="C110">
            <v>2019</v>
          </cell>
          <cell r="D110" t="str">
            <v>Qtr 2</v>
          </cell>
          <cell r="E110" t="str">
            <v>April</v>
          </cell>
          <cell r="F110">
            <v>1</v>
          </cell>
          <cell r="G110" t="str">
            <v>CORRECTIVO</v>
          </cell>
          <cell r="H110">
            <v>0.05</v>
          </cell>
          <cell r="I110" t="str">
            <v>Entry Production Color Low/Mid</v>
          </cell>
          <cell r="J110">
            <v>803</v>
          </cell>
          <cell r="K110">
            <v>1573</v>
          </cell>
          <cell r="L110">
            <v>0.2</v>
          </cell>
          <cell r="M110">
            <v>0.6</v>
          </cell>
          <cell r="N110">
            <v>0.8</v>
          </cell>
          <cell r="O110">
            <v>1.05</v>
          </cell>
          <cell r="P110">
            <v>1.1000000000000001</v>
          </cell>
          <cell r="Q110">
            <v>1.1499999999999999</v>
          </cell>
          <cell r="R110" t="str">
            <v>INTERIOR</v>
          </cell>
          <cell r="S110">
            <v>4</v>
          </cell>
          <cell r="T110">
            <v>6</v>
          </cell>
          <cell r="U110" t="str">
            <v>Ciudad principal</v>
          </cell>
          <cell r="V110" t="str">
            <v>Entry Production Color Low/Mid</v>
          </cell>
          <cell r="W110" t="str">
            <v>JALISCO</v>
          </cell>
          <cell r="X110">
            <v>2019</v>
          </cell>
          <cell r="Y110" t="str">
            <v>Qtr 2</v>
          </cell>
          <cell r="Z110" t="str">
            <v>April</v>
          </cell>
          <cell r="AA110">
            <v>3</v>
          </cell>
          <cell r="AB110">
            <v>0</v>
          </cell>
          <cell r="AC110">
            <v>6</v>
          </cell>
          <cell r="AD110">
            <v>0.6</v>
          </cell>
          <cell r="AE110">
            <v>1.2500000000000001E-2</v>
          </cell>
          <cell r="AF110">
            <v>943.8</v>
          </cell>
        </row>
        <row r="111">
          <cell r="B111" t="str">
            <v>0RXD109069</v>
          </cell>
          <cell r="C111">
            <v>2019</v>
          </cell>
          <cell r="D111" t="str">
            <v>Qtr 2</v>
          </cell>
          <cell r="E111" t="str">
            <v>April</v>
          </cell>
          <cell r="F111">
            <v>1</v>
          </cell>
          <cell r="G111" t="str">
            <v>MANTENIMIENTO PREVENTIVO</v>
          </cell>
          <cell r="H111">
            <v>0</v>
          </cell>
          <cell r="I111" t="str">
            <v>Color Laser Printers</v>
          </cell>
          <cell r="J111">
            <v>468</v>
          </cell>
          <cell r="K111">
            <v>715</v>
          </cell>
          <cell r="L111">
            <v>0</v>
          </cell>
          <cell r="M111">
            <v>0</v>
          </cell>
          <cell r="N111">
            <v>0</v>
          </cell>
          <cell r="O111">
            <v>0.6</v>
          </cell>
          <cell r="P111">
            <v>0.8</v>
          </cell>
          <cell r="Q111">
            <v>1.05</v>
          </cell>
          <cell r="R111" t="str">
            <v>INTERIOR</v>
          </cell>
          <cell r="S111">
            <v>5</v>
          </cell>
          <cell r="T111">
            <v>9</v>
          </cell>
          <cell r="U111" t="str">
            <v>Ciudad principal</v>
          </cell>
          <cell r="V111" t="str">
            <v>Departmental Digital</v>
          </cell>
          <cell r="W111" t="str">
            <v>CHIHUAHUA</v>
          </cell>
          <cell r="X111">
            <v>2019</v>
          </cell>
          <cell r="Y111" t="str">
            <v>Qtr 2</v>
          </cell>
          <cell r="Z111" t="str">
            <v>April</v>
          </cell>
          <cell r="AA111">
            <v>3</v>
          </cell>
          <cell r="AB111">
            <v>0</v>
          </cell>
          <cell r="AC111">
            <v>13</v>
          </cell>
          <cell r="AD111">
            <v>0</v>
          </cell>
          <cell r="AE111">
            <v>0</v>
          </cell>
          <cell r="AF111">
            <v>715</v>
          </cell>
        </row>
        <row r="112">
          <cell r="B112" t="str">
            <v>0MX4465075</v>
          </cell>
          <cell r="C112">
            <v>2019</v>
          </cell>
          <cell r="D112" t="str">
            <v>Qtr 2</v>
          </cell>
          <cell r="E112" t="str">
            <v>April</v>
          </cell>
          <cell r="F112">
            <v>1</v>
          </cell>
          <cell r="G112" t="str">
            <v>CORRECTIVO</v>
          </cell>
          <cell r="H112">
            <v>0.3</v>
          </cell>
          <cell r="J112" t="str">
            <v>NA</v>
          </cell>
          <cell r="K112" t="str">
            <v>NA</v>
          </cell>
          <cell r="L112" t="str">
            <v>NA</v>
          </cell>
          <cell r="M112" t="str">
            <v>NA</v>
          </cell>
          <cell r="N112" t="str">
            <v>NA</v>
          </cell>
          <cell r="O112" t="str">
            <v>NA</v>
          </cell>
          <cell r="P112" t="str">
            <v>NA</v>
          </cell>
          <cell r="Q112" t="str">
            <v>NA</v>
          </cell>
          <cell r="S112" t="str">
            <v>NA</v>
          </cell>
          <cell r="T112" t="str">
            <v>NA</v>
          </cell>
          <cell r="V112" t="str">
            <v>A3 Office Color Laser MFPs</v>
          </cell>
          <cell r="W112" t="str">
            <v>GUANAJUATO</v>
          </cell>
          <cell r="X112">
            <v>2019</v>
          </cell>
          <cell r="Y112" t="str">
            <v>Qtr 2</v>
          </cell>
          <cell r="Z112" t="str">
            <v>April</v>
          </cell>
          <cell r="AA112">
            <v>2</v>
          </cell>
          <cell r="AB112" t="str">
            <v>NA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B113" t="str">
            <v>0XEH798026</v>
          </cell>
          <cell r="C113">
            <v>2019</v>
          </cell>
          <cell r="D113" t="str">
            <v>Qtr 2</v>
          </cell>
          <cell r="E113" t="str">
            <v>April</v>
          </cell>
          <cell r="F113">
            <v>1</v>
          </cell>
          <cell r="G113" t="str">
            <v>CORRECTIVO</v>
          </cell>
          <cell r="H113">
            <v>0.25</v>
          </cell>
          <cell r="I113" t="str">
            <v>Office Digital</v>
          </cell>
          <cell r="J113">
            <v>655</v>
          </cell>
          <cell r="K113">
            <v>1365</v>
          </cell>
          <cell r="L113">
            <v>0</v>
          </cell>
          <cell r="M113">
            <v>0</v>
          </cell>
          <cell r="N113">
            <v>0.6</v>
          </cell>
          <cell r="O113">
            <v>0.8</v>
          </cell>
          <cell r="P113">
            <v>1.05</v>
          </cell>
          <cell r="Q113">
            <v>1.1000000000000001</v>
          </cell>
          <cell r="R113" t="str">
            <v>INTERIOR</v>
          </cell>
          <cell r="S113">
            <v>5</v>
          </cell>
          <cell r="T113">
            <v>9</v>
          </cell>
          <cell r="U113" t="str">
            <v>Ciudad principal</v>
          </cell>
          <cell r="V113" t="str">
            <v>Departmental Digital</v>
          </cell>
          <cell r="W113" t="str">
            <v>CHIHUAHUA</v>
          </cell>
          <cell r="X113">
            <v>2019</v>
          </cell>
          <cell r="Y113" t="str">
            <v>Qtr 2</v>
          </cell>
          <cell r="Z113" t="str">
            <v>April</v>
          </cell>
          <cell r="AA113">
            <v>3</v>
          </cell>
          <cell r="AB113">
            <v>0</v>
          </cell>
          <cell r="AC113">
            <v>6</v>
          </cell>
          <cell r="AD113">
            <v>0</v>
          </cell>
          <cell r="AE113">
            <v>0.05</v>
          </cell>
          <cell r="AF113">
            <v>0</v>
          </cell>
        </row>
        <row r="114">
          <cell r="B114" t="str">
            <v>0E2B646633</v>
          </cell>
          <cell r="C114">
            <v>2019</v>
          </cell>
          <cell r="D114" t="str">
            <v>Qtr 2</v>
          </cell>
          <cell r="E114" t="str">
            <v>April</v>
          </cell>
          <cell r="F114">
            <v>1</v>
          </cell>
          <cell r="G114" t="str">
            <v>MANTENIMIENTO PREVENTIVO</v>
          </cell>
          <cell r="H114">
            <v>0</v>
          </cell>
          <cell r="I114" t="str">
            <v>Entry Production Color Low/Mid</v>
          </cell>
          <cell r="J114">
            <v>803</v>
          </cell>
          <cell r="K114">
            <v>1573</v>
          </cell>
          <cell r="L114">
            <v>0.2</v>
          </cell>
          <cell r="M114">
            <v>0.6</v>
          </cell>
          <cell r="N114">
            <v>0.8</v>
          </cell>
          <cell r="O114">
            <v>1.05</v>
          </cell>
          <cell r="P114">
            <v>1.1000000000000001</v>
          </cell>
          <cell r="Q114">
            <v>1.1499999999999999</v>
          </cell>
          <cell r="R114" t="str">
            <v>INTERIOR</v>
          </cell>
          <cell r="S114">
            <v>4</v>
          </cell>
          <cell r="T114">
            <v>6</v>
          </cell>
          <cell r="U114" t="str">
            <v>Ciudad principal</v>
          </cell>
          <cell r="V114" t="str">
            <v>Entry Production Color Low/Mid</v>
          </cell>
          <cell r="W114" t="str">
            <v>TAMAULIPAS</v>
          </cell>
          <cell r="X114">
            <v>2019</v>
          </cell>
          <cell r="Y114" t="str">
            <v>Qtr 2</v>
          </cell>
          <cell r="Z114" t="str">
            <v>April</v>
          </cell>
          <cell r="AA114">
            <v>2</v>
          </cell>
          <cell r="AB114">
            <v>0</v>
          </cell>
          <cell r="AC114">
            <v>21</v>
          </cell>
          <cell r="AD114">
            <v>0</v>
          </cell>
          <cell r="AE114">
            <v>0</v>
          </cell>
          <cell r="AF114">
            <v>1573</v>
          </cell>
        </row>
        <row r="115">
          <cell r="B115" t="str">
            <v>0BG2946786</v>
          </cell>
          <cell r="C115">
            <v>2019</v>
          </cell>
          <cell r="D115" t="str">
            <v>Qtr 2</v>
          </cell>
          <cell r="E115" t="str">
            <v>April</v>
          </cell>
          <cell r="F115">
            <v>2</v>
          </cell>
          <cell r="G115" t="str">
            <v>MANTENIMIENTO PREVENTIVO</v>
          </cell>
          <cell r="H115">
            <v>0</v>
          </cell>
          <cell r="I115" t="str">
            <v>Light Production Digital Business</v>
          </cell>
          <cell r="J115">
            <v>803</v>
          </cell>
          <cell r="K115">
            <v>1573</v>
          </cell>
          <cell r="L115">
            <v>0.2</v>
          </cell>
          <cell r="M115">
            <v>0.6</v>
          </cell>
          <cell r="N115">
            <v>0.8</v>
          </cell>
          <cell r="O115">
            <v>1.05</v>
          </cell>
          <cell r="P115">
            <v>1.1000000000000001</v>
          </cell>
          <cell r="Q115">
            <v>1.1499999999999999</v>
          </cell>
          <cell r="R115" t="str">
            <v>INTERIOR</v>
          </cell>
          <cell r="S115">
            <v>4</v>
          </cell>
          <cell r="T115">
            <v>6</v>
          </cell>
          <cell r="U115" t="str">
            <v>Ciudad principal</v>
          </cell>
          <cell r="V115" t="str">
            <v>High End Cut Sheet</v>
          </cell>
          <cell r="W115" t="str">
            <v>NUEVO LEON</v>
          </cell>
          <cell r="X115">
            <v>2019</v>
          </cell>
          <cell r="Y115" t="str">
            <v>Qtr 2</v>
          </cell>
          <cell r="Z115" t="str">
            <v>April</v>
          </cell>
          <cell r="AA115">
            <v>2</v>
          </cell>
          <cell r="AB115">
            <v>0</v>
          </cell>
          <cell r="AC115">
            <v>1</v>
          </cell>
          <cell r="AD115">
            <v>0</v>
          </cell>
          <cell r="AE115">
            <v>0</v>
          </cell>
          <cell r="AF115">
            <v>1573</v>
          </cell>
        </row>
        <row r="116">
          <cell r="B116" t="str">
            <v>0BG2939611</v>
          </cell>
          <cell r="C116">
            <v>2019</v>
          </cell>
          <cell r="D116" t="str">
            <v>Qtr 2</v>
          </cell>
          <cell r="E116" t="str">
            <v>April</v>
          </cell>
          <cell r="F116">
            <v>2</v>
          </cell>
          <cell r="G116" t="str">
            <v>MANTENIMIENTO PREVENTIVO</v>
          </cell>
          <cell r="H116">
            <v>0</v>
          </cell>
          <cell r="I116" t="str">
            <v>Light Production Digital Business</v>
          </cell>
          <cell r="J116">
            <v>803</v>
          </cell>
          <cell r="K116">
            <v>1573</v>
          </cell>
          <cell r="L116">
            <v>0.2</v>
          </cell>
          <cell r="M116">
            <v>0.6</v>
          </cell>
          <cell r="N116">
            <v>0.8</v>
          </cell>
          <cell r="O116">
            <v>1.05</v>
          </cell>
          <cell r="P116">
            <v>1.1000000000000001</v>
          </cell>
          <cell r="Q116">
            <v>1.1499999999999999</v>
          </cell>
          <cell r="R116" t="str">
            <v>INTERIOR</v>
          </cell>
          <cell r="S116">
            <v>4</v>
          </cell>
          <cell r="T116">
            <v>6</v>
          </cell>
          <cell r="U116" t="str">
            <v>Ciudad principal</v>
          </cell>
          <cell r="V116" t="str">
            <v>High End Cut Sheet</v>
          </cell>
          <cell r="W116" t="str">
            <v>TAMAULIPAS</v>
          </cell>
          <cell r="X116">
            <v>2019</v>
          </cell>
          <cell r="Y116" t="str">
            <v>Qtr 2</v>
          </cell>
          <cell r="Z116" t="str">
            <v>April</v>
          </cell>
          <cell r="AA116">
            <v>2</v>
          </cell>
          <cell r="AB116">
            <v>0</v>
          </cell>
          <cell r="AC116">
            <v>4</v>
          </cell>
          <cell r="AD116">
            <v>0</v>
          </cell>
          <cell r="AE116">
            <v>0</v>
          </cell>
          <cell r="AF116">
            <v>1573</v>
          </cell>
        </row>
        <row r="117">
          <cell r="B117" t="str">
            <v>0B2R088357</v>
          </cell>
          <cell r="C117">
            <v>2019</v>
          </cell>
          <cell r="D117" t="str">
            <v>Qtr 2</v>
          </cell>
          <cell r="E117" t="str">
            <v>April</v>
          </cell>
          <cell r="F117">
            <v>2</v>
          </cell>
          <cell r="G117" t="str">
            <v>CORRECTIVO</v>
          </cell>
          <cell r="H117">
            <v>0.63333329999999999</v>
          </cell>
          <cell r="I117" t="str">
            <v>Entry Production Color Low/Mid</v>
          </cell>
          <cell r="J117">
            <v>803</v>
          </cell>
          <cell r="K117">
            <v>1573</v>
          </cell>
          <cell r="L117">
            <v>0.2</v>
          </cell>
          <cell r="M117">
            <v>0.6</v>
          </cell>
          <cell r="N117">
            <v>0.8</v>
          </cell>
          <cell r="O117">
            <v>1.05</v>
          </cell>
          <cell r="P117">
            <v>1.1000000000000001</v>
          </cell>
          <cell r="Q117">
            <v>1.1499999999999999</v>
          </cell>
          <cell r="R117" t="str">
            <v>INTERIOR</v>
          </cell>
          <cell r="S117">
            <v>4</v>
          </cell>
          <cell r="T117">
            <v>6</v>
          </cell>
          <cell r="U117" t="str">
            <v>Ciudad principal</v>
          </cell>
          <cell r="V117" t="str">
            <v>High End Cut Sheet</v>
          </cell>
          <cell r="W117" t="str">
            <v>COLIMA</v>
          </cell>
          <cell r="X117">
            <v>2019</v>
          </cell>
          <cell r="Y117" t="str">
            <v>Qtr 2</v>
          </cell>
          <cell r="Z117" t="str">
            <v>April</v>
          </cell>
          <cell r="AA117">
            <v>2</v>
          </cell>
          <cell r="AB117">
            <v>1</v>
          </cell>
          <cell r="AC117">
            <v>22</v>
          </cell>
          <cell r="AD117">
            <v>0</v>
          </cell>
          <cell r="AE117">
            <v>0</v>
          </cell>
          <cell r="AF117">
            <v>0</v>
          </cell>
        </row>
        <row r="118">
          <cell r="B118" t="str">
            <v>03AG879712</v>
          </cell>
          <cell r="C118">
            <v>2019</v>
          </cell>
          <cell r="D118" t="str">
            <v>Qtr 2</v>
          </cell>
          <cell r="E118" t="str">
            <v>April</v>
          </cell>
          <cell r="F118">
            <v>2</v>
          </cell>
          <cell r="G118" t="str">
            <v>CORRECTIVO</v>
          </cell>
          <cell r="H118">
            <v>2.3333330000000001</v>
          </cell>
          <cell r="I118" t="str">
            <v>Departmental Digital</v>
          </cell>
          <cell r="J118">
            <v>655</v>
          </cell>
          <cell r="K118">
            <v>1365</v>
          </cell>
          <cell r="L118">
            <v>0</v>
          </cell>
          <cell r="M118">
            <v>0</v>
          </cell>
          <cell r="N118">
            <v>0.6</v>
          </cell>
          <cell r="O118">
            <v>0.8</v>
          </cell>
          <cell r="P118">
            <v>1.05</v>
          </cell>
          <cell r="Q118">
            <v>1.1000000000000001</v>
          </cell>
          <cell r="R118" t="str">
            <v>INTERIOR</v>
          </cell>
          <cell r="S118">
            <v>5</v>
          </cell>
          <cell r="T118">
            <v>9</v>
          </cell>
          <cell r="U118" t="str">
            <v>Ciudad principal</v>
          </cell>
          <cell r="V118" t="str">
            <v>Light Production Digital Business</v>
          </cell>
          <cell r="W118" t="str">
            <v>JALISCO</v>
          </cell>
          <cell r="X118">
            <v>2019</v>
          </cell>
          <cell r="Y118" t="str">
            <v>Qtr 2</v>
          </cell>
          <cell r="Z118" t="str">
            <v>April</v>
          </cell>
          <cell r="AA118">
            <v>2</v>
          </cell>
          <cell r="AB118">
            <v>0</v>
          </cell>
          <cell r="AC118">
            <v>1</v>
          </cell>
          <cell r="AD118">
            <v>0</v>
          </cell>
          <cell r="AE118">
            <v>0.46666659999999999</v>
          </cell>
          <cell r="AF118">
            <v>0</v>
          </cell>
        </row>
        <row r="119">
          <cell r="B119" t="str">
            <v>0C4X012642</v>
          </cell>
          <cell r="C119">
            <v>2019</v>
          </cell>
          <cell r="D119" t="str">
            <v>Qtr 2</v>
          </cell>
          <cell r="E119" t="str">
            <v>April</v>
          </cell>
          <cell r="F119">
            <v>2</v>
          </cell>
          <cell r="G119" t="str">
            <v>CORRECTIVO</v>
          </cell>
          <cell r="H119">
            <v>2.4666670000000002</v>
          </cell>
          <cell r="I119" t="str">
            <v>A4 Mono MFPs</v>
          </cell>
          <cell r="J119">
            <v>468</v>
          </cell>
          <cell r="K119">
            <v>715</v>
          </cell>
          <cell r="L119">
            <v>0</v>
          </cell>
          <cell r="M119">
            <v>0</v>
          </cell>
          <cell r="N119">
            <v>0</v>
          </cell>
          <cell r="O119">
            <v>0.6</v>
          </cell>
          <cell r="P119">
            <v>0.8</v>
          </cell>
          <cell r="Q119">
            <v>1.05</v>
          </cell>
          <cell r="R119" t="str">
            <v>INTERIOR</v>
          </cell>
          <cell r="S119">
            <v>5</v>
          </cell>
          <cell r="T119">
            <v>9</v>
          </cell>
          <cell r="U119" t="str">
            <v>Ciudad principal</v>
          </cell>
          <cell r="V119" t="str">
            <v>A4 Mono MFPs</v>
          </cell>
          <cell r="W119" t="str">
            <v>GUANAJUATO</v>
          </cell>
          <cell r="X119">
            <v>2019</v>
          </cell>
          <cell r="Y119" t="str">
            <v>Qtr 2</v>
          </cell>
          <cell r="Z119" t="str">
            <v>April</v>
          </cell>
          <cell r="AA119">
            <v>2</v>
          </cell>
          <cell r="AB119">
            <v>0</v>
          </cell>
          <cell r="AC119">
            <v>245</v>
          </cell>
          <cell r="AD119">
            <v>1.05</v>
          </cell>
          <cell r="AE119">
            <v>0.49333339999999998</v>
          </cell>
          <cell r="AF119">
            <v>750.75</v>
          </cell>
        </row>
        <row r="120">
          <cell r="B120" t="str">
            <v>0BG2947512</v>
          </cell>
          <cell r="C120">
            <v>2019</v>
          </cell>
          <cell r="D120" t="str">
            <v>Qtr 2</v>
          </cell>
          <cell r="E120" t="str">
            <v>April</v>
          </cell>
          <cell r="F120">
            <v>2</v>
          </cell>
          <cell r="G120" t="str">
            <v>CORRECTIVO</v>
          </cell>
          <cell r="H120">
            <v>7.3333329999999997</v>
          </cell>
          <cell r="I120" t="str">
            <v>Light Production Digital Business</v>
          </cell>
          <cell r="J120">
            <v>803</v>
          </cell>
          <cell r="K120">
            <v>1573</v>
          </cell>
          <cell r="L120">
            <v>0.2</v>
          </cell>
          <cell r="M120">
            <v>0.6</v>
          </cell>
          <cell r="N120">
            <v>0.8</v>
          </cell>
          <cell r="O120">
            <v>1.05</v>
          </cell>
          <cell r="P120">
            <v>1.1000000000000001</v>
          </cell>
          <cell r="Q120">
            <v>1.1499999999999999</v>
          </cell>
          <cell r="R120" t="str">
            <v>INTERIOR</v>
          </cell>
          <cell r="S120">
            <v>4</v>
          </cell>
          <cell r="T120">
            <v>6</v>
          </cell>
          <cell r="U120" t="str">
            <v>Ciudad principal</v>
          </cell>
          <cell r="V120" t="str">
            <v>High End Cut Sheet</v>
          </cell>
          <cell r="W120" t="str">
            <v>COAHUILA</v>
          </cell>
          <cell r="X120">
            <v>2019</v>
          </cell>
          <cell r="Y120" t="str">
            <v>Qtr 2</v>
          </cell>
          <cell r="Z120" t="str">
            <v>April</v>
          </cell>
          <cell r="AA120">
            <v>8</v>
          </cell>
          <cell r="AB120">
            <v>0</v>
          </cell>
          <cell r="AC120">
            <v>28</v>
          </cell>
          <cell r="AD120">
            <v>1.05</v>
          </cell>
          <cell r="AE120">
            <v>1.8333332499999999</v>
          </cell>
          <cell r="AF120">
            <v>1323.9416994374999</v>
          </cell>
        </row>
        <row r="121">
          <cell r="B121" t="str">
            <v>0D6X468206</v>
          </cell>
          <cell r="C121">
            <v>2019</v>
          </cell>
          <cell r="D121" t="str">
            <v>Qtr 2</v>
          </cell>
          <cell r="E121" t="str">
            <v>April</v>
          </cell>
          <cell r="F121">
            <v>2</v>
          </cell>
          <cell r="G121" t="str">
            <v>CORRECTIVO</v>
          </cell>
          <cell r="H121">
            <v>2.2166670000000002</v>
          </cell>
          <cell r="I121" t="str">
            <v>Entry Mono Printers</v>
          </cell>
          <cell r="J121">
            <v>468</v>
          </cell>
          <cell r="K121">
            <v>715</v>
          </cell>
          <cell r="L121">
            <v>0</v>
          </cell>
          <cell r="M121">
            <v>0</v>
          </cell>
          <cell r="N121">
            <v>0</v>
          </cell>
          <cell r="O121">
            <v>0.6</v>
          </cell>
          <cell r="P121">
            <v>0.8</v>
          </cell>
          <cell r="Q121">
            <v>1.05</v>
          </cell>
          <cell r="R121" t="str">
            <v>INTERIOR</v>
          </cell>
          <cell r="S121">
            <v>5</v>
          </cell>
          <cell r="T121">
            <v>9</v>
          </cell>
          <cell r="U121" t="str">
            <v>Ciudad principal</v>
          </cell>
          <cell r="V121" t="str">
            <v>Entry Mono Printers</v>
          </cell>
          <cell r="W121" t="str">
            <v>JALISCO</v>
          </cell>
          <cell r="X121">
            <v>2019</v>
          </cell>
          <cell r="Y121" t="str">
            <v>Qtr 2</v>
          </cell>
          <cell r="Z121" t="str">
            <v>April</v>
          </cell>
          <cell r="AA121">
            <v>3</v>
          </cell>
          <cell r="AB121">
            <v>0</v>
          </cell>
          <cell r="AC121">
            <v>5</v>
          </cell>
          <cell r="AD121">
            <v>0</v>
          </cell>
          <cell r="AE121">
            <v>0.44333339999999999</v>
          </cell>
          <cell r="AF121">
            <v>0</v>
          </cell>
        </row>
        <row r="122">
          <cell r="B122" t="str">
            <v>0PW4979941</v>
          </cell>
          <cell r="C122">
            <v>2019</v>
          </cell>
          <cell r="D122" t="str">
            <v>Qtr 2</v>
          </cell>
          <cell r="E122" t="str">
            <v>April</v>
          </cell>
          <cell r="F122">
            <v>2</v>
          </cell>
          <cell r="G122" t="str">
            <v>CORRECTIVO</v>
          </cell>
          <cell r="H122">
            <v>3.3333340000000003E-2</v>
          </cell>
          <cell r="I122" t="str">
            <v>WF Mono Systems and Legacy Color</v>
          </cell>
          <cell r="J122">
            <v>803</v>
          </cell>
          <cell r="K122">
            <v>1573</v>
          </cell>
          <cell r="L122">
            <v>0.2</v>
          </cell>
          <cell r="M122">
            <v>0.6</v>
          </cell>
          <cell r="N122">
            <v>0.8</v>
          </cell>
          <cell r="O122">
            <v>1.05</v>
          </cell>
          <cell r="P122">
            <v>1.1000000000000001</v>
          </cell>
          <cell r="Q122">
            <v>1.1499999999999999</v>
          </cell>
          <cell r="R122" t="str">
            <v>INTERIOR</v>
          </cell>
          <cell r="S122">
            <v>4</v>
          </cell>
          <cell r="T122">
            <v>6</v>
          </cell>
          <cell r="U122" t="str">
            <v>Ciudad principal</v>
          </cell>
          <cell r="V122" t="str">
            <v>WF Mono Systems and Legacy Color</v>
          </cell>
          <cell r="W122" t="str">
            <v>QUERETARO</v>
          </cell>
          <cell r="X122">
            <v>2019</v>
          </cell>
          <cell r="Y122" t="str">
            <v>Qtr 2</v>
          </cell>
          <cell r="Z122" t="str">
            <v>April</v>
          </cell>
          <cell r="AA122">
            <v>4</v>
          </cell>
          <cell r="AB122">
            <v>0</v>
          </cell>
          <cell r="AC122">
            <v>11</v>
          </cell>
          <cell r="AD122">
            <v>0.8</v>
          </cell>
          <cell r="AE122">
            <v>8.3333350000000007E-3</v>
          </cell>
          <cell r="AF122">
            <v>1258.4000000000001</v>
          </cell>
        </row>
        <row r="123">
          <cell r="B123" t="str">
            <v>09HB331532</v>
          </cell>
          <cell r="C123">
            <v>2019</v>
          </cell>
          <cell r="D123" t="str">
            <v>Qtr 2</v>
          </cell>
          <cell r="E123" t="str">
            <v>April</v>
          </cell>
          <cell r="F123">
            <v>2</v>
          </cell>
          <cell r="G123" t="str">
            <v>MANTENIMIENTO PREVENTIVO</v>
          </cell>
          <cell r="H123">
            <v>0</v>
          </cell>
          <cell r="J123" t="str">
            <v>NA</v>
          </cell>
          <cell r="K123" t="str">
            <v>NA</v>
          </cell>
          <cell r="L123" t="str">
            <v>NA</v>
          </cell>
          <cell r="M123" t="str">
            <v>NA</v>
          </cell>
          <cell r="N123" t="str">
            <v>NA</v>
          </cell>
          <cell r="O123" t="str">
            <v>NA</v>
          </cell>
          <cell r="P123" t="str">
            <v>NA</v>
          </cell>
          <cell r="Q123" t="str">
            <v>NA</v>
          </cell>
          <cell r="S123" t="str">
            <v>NA</v>
          </cell>
          <cell r="T123" t="str">
            <v>NA</v>
          </cell>
          <cell r="V123" t="str">
            <v>A4 Mono MFPs</v>
          </cell>
          <cell r="W123" t="str">
            <v>JALISCO</v>
          </cell>
          <cell r="X123">
            <v>2019</v>
          </cell>
          <cell r="Y123" t="str">
            <v>Qtr 2</v>
          </cell>
          <cell r="Z123" t="str">
            <v>April</v>
          </cell>
          <cell r="AA123">
            <v>2</v>
          </cell>
          <cell r="AB123" t="str">
            <v>NA</v>
          </cell>
          <cell r="AC123">
            <v>47</v>
          </cell>
          <cell r="AD123">
            <v>0</v>
          </cell>
          <cell r="AE123">
            <v>0</v>
          </cell>
          <cell r="AF123">
            <v>0</v>
          </cell>
        </row>
        <row r="124">
          <cell r="B124" t="str">
            <v>0XPN393392</v>
          </cell>
          <cell r="C124">
            <v>2019</v>
          </cell>
          <cell r="D124" t="str">
            <v>Qtr 2</v>
          </cell>
          <cell r="E124" t="str">
            <v>April</v>
          </cell>
          <cell r="F124">
            <v>2</v>
          </cell>
          <cell r="G124" t="str">
            <v>CORRECTIVO</v>
          </cell>
          <cell r="H124">
            <v>0.36666670000000001</v>
          </cell>
          <cell r="I124" t="str">
            <v>Entry Production Color Low/Mid</v>
          </cell>
          <cell r="J124">
            <v>803</v>
          </cell>
          <cell r="K124">
            <v>1573</v>
          </cell>
          <cell r="L124">
            <v>0.2</v>
          </cell>
          <cell r="M124">
            <v>0.6</v>
          </cell>
          <cell r="N124">
            <v>0.8</v>
          </cell>
          <cell r="O124">
            <v>1.05</v>
          </cell>
          <cell r="P124">
            <v>1.1000000000000001</v>
          </cell>
          <cell r="Q124">
            <v>1.1499999999999999</v>
          </cell>
          <cell r="R124" t="str">
            <v>INTERIOR</v>
          </cell>
          <cell r="S124">
            <v>4</v>
          </cell>
          <cell r="T124">
            <v>6</v>
          </cell>
          <cell r="U124" t="str">
            <v>Ciudad principal</v>
          </cell>
          <cell r="V124" t="str">
            <v>Entry Production Color Low/Mid</v>
          </cell>
          <cell r="W124" t="str">
            <v>GUANAJUATO</v>
          </cell>
          <cell r="X124">
            <v>2019</v>
          </cell>
          <cell r="Y124" t="str">
            <v>Qtr 2</v>
          </cell>
          <cell r="Z124" t="str">
            <v>April</v>
          </cell>
          <cell r="AA124">
            <v>2</v>
          </cell>
          <cell r="AB124">
            <v>0</v>
          </cell>
          <cell r="AC124">
            <v>95</v>
          </cell>
          <cell r="AD124">
            <v>1.1499999999999999</v>
          </cell>
          <cell r="AE124">
            <v>9.1666675000000003E-2</v>
          </cell>
          <cell r="AF124">
            <v>1808.95</v>
          </cell>
        </row>
        <row r="125">
          <cell r="B125" t="str">
            <v>09HB331393</v>
          </cell>
          <cell r="C125">
            <v>2019</v>
          </cell>
          <cell r="D125" t="str">
            <v>Qtr 2</v>
          </cell>
          <cell r="E125" t="str">
            <v>April</v>
          </cell>
          <cell r="F125">
            <v>2</v>
          </cell>
          <cell r="G125" t="str">
            <v>MANTENIMIENTO PREVENTIVO</v>
          </cell>
          <cell r="H125">
            <v>0</v>
          </cell>
          <cell r="J125" t="str">
            <v>NA</v>
          </cell>
          <cell r="K125" t="str">
            <v>NA</v>
          </cell>
          <cell r="L125" t="str">
            <v>NA</v>
          </cell>
          <cell r="M125" t="str">
            <v>NA</v>
          </cell>
          <cell r="N125" t="str">
            <v>NA</v>
          </cell>
          <cell r="O125" t="str">
            <v>NA</v>
          </cell>
          <cell r="P125" t="str">
            <v>NA</v>
          </cell>
          <cell r="Q125" t="str">
            <v>NA</v>
          </cell>
          <cell r="S125" t="str">
            <v>NA</v>
          </cell>
          <cell r="T125" t="str">
            <v>NA</v>
          </cell>
          <cell r="V125" t="str">
            <v>A4 Mono MFPs</v>
          </cell>
          <cell r="W125" t="str">
            <v>JALISCO</v>
          </cell>
          <cell r="X125">
            <v>2019</v>
          </cell>
          <cell r="Y125" t="str">
            <v>Qtr 2</v>
          </cell>
          <cell r="Z125" t="str">
            <v>April</v>
          </cell>
          <cell r="AA125">
            <v>2</v>
          </cell>
          <cell r="AB125" t="str">
            <v>NA</v>
          </cell>
          <cell r="AC125">
            <v>21</v>
          </cell>
          <cell r="AD125">
            <v>0</v>
          </cell>
          <cell r="AE125">
            <v>0</v>
          </cell>
          <cell r="AF125">
            <v>0</v>
          </cell>
        </row>
        <row r="126">
          <cell r="B126" t="str">
            <v>0EX9664460</v>
          </cell>
          <cell r="C126">
            <v>2019</v>
          </cell>
          <cell r="D126" t="str">
            <v>Qtr 2</v>
          </cell>
          <cell r="E126" t="str">
            <v>April</v>
          </cell>
          <cell r="F126">
            <v>2</v>
          </cell>
          <cell r="G126" t="str">
            <v>CORRECTIVO</v>
          </cell>
          <cell r="H126">
            <v>0.8</v>
          </cell>
          <cell r="I126" t="str">
            <v>Departmental Digital</v>
          </cell>
          <cell r="J126">
            <v>655</v>
          </cell>
          <cell r="K126">
            <v>1365</v>
          </cell>
          <cell r="L126">
            <v>0</v>
          </cell>
          <cell r="M126">
            <v>0</v>
          </cell>
          <cell r="N126">
            <v>0.6</v>
          </cell>
          <cell r="O126">
            <v>0.8</v>
          </cell>
          <cell r="P126">
            <v>1.05</v>
          </cell>
          <cell r="Q126">
            <v>1.1000000000000001</v>
          </cell>
          <cell r="R126" t="str">
            <v>INTERIOR</v>
          </cell>
          <cell r="S126">
            <v>5</v>
          </cell>
          <cell r="T126">
            <v>9</v>
          </cell>
          <cell r="U126" t="str">
            <v>Ciudad principal</v>
          </cell>
          <cell r="V126" t="str">
            <v>Departmental Digital</v>
          </cell>
          <cell r="W126" t="str">
            <v>ESTADO DE MEXICO</v>
          </cell>
          <cell r="X126">
            <v>2019</v>
          </cell>
          <cell r="Y126" t="str">
            <v>Qtr 2</v>
          </cell>
          <cell r="Z126" t="str">
            <v>April</v>
          </cell>
          <cell r="AA126">
            <v>2</v>
          </cell>
          <cell r="AB126">
            <v>0</v>
          </cell>
          <cell r="AC126">
            <v>18</v>
          </cell>
          <cell r="AD126">
            <v>0.8</v>
          </cell>
          <cell r="AE126">
            <v>0.16</v>
          </cell>
          <cell r="AF126">
            <v>1092</v>
          </cell>
        </row>
        <row r="127">
          <cell r="B127" t="str">
            <v>0BG2949273</v>
          </cell>
          <cell r="C127">
            <v>2019</v>
          </cell>
          <cell r="D127" t="str">
            <v>Qtr 2</v>
          </cell>
          <cell r="E127" t="str">
            <v>April</v>
          </cell>
          <cell r="F127">
            <v>2</v>
          </cell>
          <cell r="G127" t="str">
            <v>CORRECTIVO</v>
          </cell>
          <cell r="H127">
            <v>1.5833330000000001</v>
          </cell>
          <cell r="I127" t="str">
            <v>Light Production Digital Business</v>
          </cell>
          <cell r="J127">
            <v>803</v>
          </cell>
          <cell r="K127">
            <v>1573</v>
          </cell>
          <cell r="L127">
            <v>0.2</v>
          </cell>
          <cell r="M127">
            <v>0.6</v>
          </cell>
          <cell r="N127">
            <v>0.8</v>
          </cell>
          <cell r="O127">
            <v>1.05</v>
          </cell>
          <cell r="P127">
            <v>1.1000000000000001</v>
          </cell>
          <cell r="Q127">
            <v>1.1499999999999999</v>
          </cell>
          <cell r="R127" t="str">
            <v>INTERIOR</v>
          </cell>
          <cell r="S127">
            <v>4</v>
          </cell>
          <cell r="T127">
            <v>6</v>
          </cell>
          <cell r="U127" t="str">
            <v>Ciudad principal</v>
          </cell>
          <cell r="V127" t="str">
            <v>High End Cut Sheet</v>
          </cell>
          <cell r="W127" t="str">
            <v>GUANAJUATO</v>
          </cell>
          <cell r="X127">
            <v>2019</v>
          </cell>
          <cell r="Y127" t="str">
            <v>Qtr 2</v>
          </cell>
          <cell r="Z127" t="str">
            <v>April</v>
          </cell>
          <cell r="AA127">
            <v>9</v>
          </cell>
          <cell r="AB127">
            <v>0</v>
          </cell>
          <cell r="AC127">
            <v>19</v>
          </cell>
          <cell r="AD127">
            <v>1.05</v>
          </cell>
          <cell r="AE127">
            <v>0.39583325000000003</v>
          </cell>
          <cell r="AF127">
            <v>1651.65</v>
          </cell>
        </row>
        <row r="128">
          <cell r="B128" t="str">
            <v>0BG2948894</v>
          </cell>
          <cell r="C128">
            <v>2019</v>
          </cell>
          <cell r="D128" t="str">
            <v>Qtr 2</v>
          </cell>
          <cell r="E128" t="str">
            <v>April</v>
          </cell>
          <cell r="F128">
            <v>2</v>
          </cell>
          <cell r="G128" t="str">
            <v>CORRECTIVO</v>
          </cell>
          <cell r="H128">
            <v>2.8166669999999998</v>
          </cell>
          <cell r="I128" t="str">
            <v>Light Production Digital Business</v>
          </cell>
          <cell r="J128">
            <v>803</v>
          </cell>
          <cell r="K128">
            <v>1573</v>
          </cell>
          <cell r="L128">
            <v>0.2</v>
          </cell>
          <cell r="M128">
            <v>0.6</v>
          </cell>
          <cell r="N128">
            <v>0.8</v>
          </cell>
          <cell r="O128">
            <v>1.05</v>
          </cell>
          <cell r="P128">
            <v>1.1000000000000001</v>
          </cell>
          <cell r="Q128">
            <v>1.1499999999999999</v>
          </cell>
          <cell r="R128" t="str">
            <v>INTERIOR</v>
          </cell>
          <cell r="S128">
            <v>4</v>
          </cell>
          <cell r="T128">
            <v>6</v>
          </cell>
          <cell r="U128" t="str">
            <v>Ciudad principal</v>
          </cell>
          <cell r="V128" t="str">
            <v>High End Cut Sheet</v>
          </cell>
          <cell r="W128" t="str">
            <v>GUANAJUATO</v>
          </cell>
          <cell r="X128">
            <v>2019</v>
          </cell>
          <cell r="Y128" t="str">
            <v>Qtr 2</v>
          </cell>
          <cell r="Z128" t="str">
            <v>April</v>
          </cell>
          <cell r="AA128">
            <v>2</v>
          </cell>
          <cell r="AB128">
            <v>0</v>
          </cell>
          <cell r="AC128">
            <v>20</v>
          </cell>
          <cell r="AD128">
            <v>1.05</v>
          </cell>
          <cell r="AE128">
            <v>0.70416674999999995</v>
          </cell>
          <cell r="AF128">
            <v>1651.65</v>
          </cell>
        </row>
        <row r="129">
          <cell r="B129" t="str">
            <v>0Y4X848740</v>
          </cell>
          <cell r="C129">
            <v>2019</v>
          </cell>
          <cell r="D129" t="str">
            <v>Qtr 2</v>
          </cell>
          <cell r="E129" t="str">
            <v>April</v>
          </cell>
          <cell r="F129">
            <v>2</v>
          </cell>
          <cell r="G129" t="str">
            <v>CORRECTIVO</v>
          </cell>
          <cell r="H129">
            <v>2.1166670000000001</v>
          </cell>
          <cell r="I129" t="str">
            <v>Office Digital</v>
          </cell>
          <cell r="J129">
            <v>655</v>
          </cell>
          <cell r="K129">
            <v>1365</v>
          </cell>
          <cell r="L129">
            <v>0</v>
          </cell>
          <cell r="M129">
            <v>0</v>
          </cell>
          <cell r="N129">
            <v>0.6</v>
          </cell>
          <cell r="O129">
            <v>0.8</v>
          </cell>
          <cell r="P129">
            <v>1.05</v>
          </cell>
          <cell r="Q129">
            <v>1.1000000000000001</v>
          </cell>
          <cell r="R129" t="str">
            <v>METRO</v>
          </cell>
          <cell r="S129">
            <v>5</v>
          </cell>
          <cell r="T129">
            <v>9</v>
          </cell>
          <cell r="U129" t="str">
            <v>Ciudad principal</v>
          </cell>
          <cell r="V129" t="str">
            <v>Light Production Digital Business</v>
          </cell>
          <cell r="W129" t="str">
            <v>CIUDAD DE MEXICO</v>
          </cell>
          <cell r="X129">
            <v>2019</v>
          </cell>
          <cell r="Y129" t="str">
            <v>Qtr 2</v>
          </cell>
          <cell r="Z129" t="str">
            <v>April</v>
          </cell>
          <cell r="AA129">
            <v>2</v>
          </cell>
          <cell r="AB129">
            <v>1</v>
          </cell>
          <cell r="AC129">
            <v>12</v>
          </cell>
          <cell r="AD129">
            <v>0</v>
          </cell>
          <cell r="AE129">
            <v>0</v>
          </cell>
          <cell r="AF129">
            <v>0</v>
          </cell>
        </row>
        <row r="130">
          <cell r="B130" t="str">
            <v>0E2B646616</v>
          </cell>
          <cell r="C130">
            <v>2019</v>
          </cell>
          <cell r="D130" t="str">
            <v>Qtr 2</v>
          </cell>
          <cell r="E130" t="str">
            <v>April</v>
          </cell>
          <cell r="F130">
            <v>2</v>
          </cell>
          <cell r="G130" t="str">
            <v>CORRECTIVO</v>
          </cell>
          <cell r="H130">
            <v>1.9166669999999999</v>
          </cell>
          <cell r="I130" t="str">
            <v>Entry Production Color Low/Mid</v>
          </cell>
          <cell r="J130">
            <v>803</v>
          </cell>
          <cell r="K130">
            <v>1573</v>
          </cell>
          <cell r="L130">
            <v>0.2</v>
          </cell>
          <cell r="M130">
            <v>0.6</v>
          </cell>
          <cell r="N130">
            <v>0.8</v>
          </cell>
          <cell r="O130">
            <v>1.05</v>
          </cell>
          <cell r="P130">
            <v>1.1000000000000001</v>
          </cell>
          <cell r="Q130">
            <v>1.1499999999999999</v>
          </cell>
          <cell r="R130" t="str">
            <v>INTERIOR</v>
          </cell>
          <cell r="S130">
            <v>4</v>
          </cell>
          <cell r="T130">
            <v>6</v>
          </cell>
          <cell r="U130" t="str">
            <v>Ciudad principal</v>
          </cell>
          <cell r="V130" t="str">
            <v>Entry Production Color Low/Mid</v>
          </cell>
          <cell r="W130" t="str">
            <v>JALISCO</v>
          </cell>
          <cell r="X130">
            <v>2019</v>
          </cell>
          <cell r="Y130" t="str">
            <v>Qtr 2</v>
          </cell>
          <cell r="Z130" t="str">
            <v>April</v>
          </cell>
          <cell r="AA130">
            <v>2</v>
          </cell>
          <cell r="AB130">
            <v>0</v>
          </cell>
          <cell r="AC130">
            <v>20</v>
          </cell>
          <cell r="AD130">
            <v>1.05</v>
          </cell>
          <cell r="AE130">
            <v>0.47916674999999997</v>
          </cell>
          <cell r="AF130">
            <v>1651.65</v>
          </cell>
        </row>
        <row r="131">
          <cell r="B131" t="str">
            <v>0A1H020656</v>
          </cell>
          <cell r="C131">
            <v>2019</v>
          </cell>
          <cell r="D131" t="str">
            <v>Qtr 2</v>
          </cell>
          <cell r="E131" t="str">
            <v>April</v>
          </cell>
          <cell r="F131">
            <v>2</v>
          </cell>
          <cell r="G131" t="str">
            <v>CORRECTIVO</v>
          </cell>
          <cell r="H131">
            <v>3</v>
          </cell>
          <cell r="I131" t="str">
            <v>WF Mono Systems and Legacy Color</v>
          </cell>
          <cell r="J131">
            <v>803</v>
          </cell>
          <cell r="K131">
            <v>1573</v>
          </cell>
          <cell r="L131">
            <v>0.2</v>
          </cell>
          <cell r="M131">
            <v>0.6</v>
          </cell>
          <cell r="N131">
            <v>0.8</v>
          </cell>
          <cell r="O131">
            <v>1.05</v>
          </cell>
          <cell r="P131">
            <v>1.1000000000000001</v>
          </cell>
          <cell r="Q131">
            <v>1.1499999999999999</v>
          </cell>
          <cell r="R131" t="str">
            <v>INTERIOR</v>
          </cell>
          <cell r="S131">
            <v>4</v>
          </cell>
          <cell r="T131">
            <v>6</v>
          </cell>
          <cell r="U131" t="str">
            <v>Ciudad principal</v>
          </cell>
          <cell r="V131" t="str">
            <v>WF Mono Systems and Legacy Color</v>
          </cell>
          <cell r="W131" t="str">
            <v>JALISCO</v>
          </cell>
          <cell r="X131">
            <v>2019</v>
          </cell>
          <cell r="Y131" t="str">
            <v>Qtr 2</v>
          </cell>
          <cell r="Z131" t="str">
            <v>April</v>
          </cell>
          <cell r="AA131">
            <v>8</v>
          </cell>
          <cell r="AB131">
            <v>0</v>
          </cell>
          <cell r="AC131">
            <v>19</v>
          </cell>
          <cell r="AD131">
            <v>1.05</v>
          </cell>
          <cell r="AE131">
            <v>0.75</v>
          </cell>
          <cell r="AF131">
            <v>1651.65</v>
          </cell>
        </row>
        <row r="132">
          <cell r="B132" t="str">
            <v>0BG2951477</v>
          </cell>
          <cell r="C132">
            <v>2019</v>
          </cell>
          <cell r="D132" t="str">
            <v>Qtr 2</v>
          </cell>
          <cell r="E132" t="str">
            <v>April</v>
          </cell>
          <cell r="F132">
            <v>2</v>
          </cell>
          <cell r="G132" t="str">
            <v>CORRECTIVO</v>
          </cell>
          <cell r="H132">
            <v>1.5833330000000001</v>
          </cell>
          <cell r="I132" t="str">
            <v>Light Production Digital Business</v>
          </cell>
          <cell r="J132">
            <v>803</v>
          </cell>
          <cell r="K132">
            <v>1573</v>
          </cell>
          <cell r="L132">
            <v>0.2</v>
          </cell>
          <cell r="M132">
            <v>0.6</v>
          </cell>
          <cell r="N132">
            <v>0.8</v>
          </cell>
          <cell r="O132">
            <v>1.05</v>
          </cell>
          <cell r="P132">
            <v>1.1000000000000001</v>
          </cell>
          <cell r="Q132">
            <v>1.1499999999999999</v>
          </cell>
          <cell r="R132" t="str">
            <v>INTERIOR</v>
          </cell>
          <cell r="S132">
            <v>4</v>
          </cell>
          <cell r="T132">
            <v>6</v>
          </cell>
          <cell r="U132" t="str">
            <v>Ciudad principal</v>
          </cell>
          <cell r="V132" t="str">
            <v>High End Cut Sheet</v>
          </cell>
          <cell r="W132" t="str">
            <v>NUEVO LEON</v>
          </cell>
          <cell r="X132">
            <v>2019</v>
          </cell>
          <cell r="Y132" t="str">
            <v>Qtr 2</v>
          </cell>
          <cell r="Z132" t="str">
            <v>April</v>
          </cell>
          <cell r="AA132">
            <v>5</v>
          </cell>
          <cell r="AB132">
            <v>0</v>
          </cell>
          <cell r="AC132">
            <v>29</v>
          </cell>
          <cell r="AD132">
            <v>1.05</v>
          </cell>
          <cell r="AE132">
            <v>0.39583325000000003</v>
          </cell>
          <cell r="AF132">
            <v>1651.65</v>
          </cell>
        </row>
        <row r="133">
          <cell r="B133" t="str">
            <v>09HB331354</v>
          </cell>
          <cell r="C133">
            <v>2019</v>
          </cell>
          <cell r="D133" t="str">
            <v>Qtr 2</v>
          </cell>
          <cell r="E133" t="str">
            <v>April</v>
          </cell>
          <cell r="F133">
            <v>2</v>
          </cell>
          <cell r="G133" t="str">
            <v>MANTENIMIENTO PREVENTIVO</v>
          </cell>
          <cell r="H133">
            <v>0</v>
          </cell>
          <cell r="J133" t="str">
            <v>NA</v>
          </cell>
          <cell r="K133" t="str">
            <v>NA</v>
          </cell>
          <cell r="L133" t="str">
            <v>NA</v>
          </cell>
          <cell r="M133" t="str">
            <v>NA</v>
          </cell>
          <cell r="N133" t="str">
            <v>NA</v>
          </cell>
          <cell r="O133" t="str">
            <v>NA</v>
          </cell>
          <cell r="P133" t="str">
            <v>NA</v>
          </cell>
          <cell r="Q133" t="str">
            <v>NA</v>
          </cell>
          <cell r="S133" t="str">
            <v>NA</v>
          </cell>
          <cell r="T133" t="str">
            <v>NA</v>
          </cell>
          <cell r="V133" t="str">
            <v>A4 Mono MFPs</v>
          </cell>
          <cell r="W133" t="str">
            <v>JALISCO</v>
          </cell>
          <cell r="X133">
            <v>2019</v>
          </cell>
          <cell r="Y133" t="str">
            <v>Qtr 2</v>
          </cell>
          <cell r="Z133" t="str">
            <v>April</v>
          </cell>
          <cell r="AA133">
            <v>2</v>
          </cell>
          <cell r="AB133" t="str">
            <v>NA</v>
          </cell>
          <cell r="AC133">
            <v>47</v>
          </cell>
          <cell r="AD133">
            <v>0</v>
          </cell>
          <cell r="AE133">
            <v>0</v>
          </cell>
          <cell r="AF133">
            <v>0</v>
          </cell>
        </row>
        <row r="134">
          <cell r="B134" t="str">
            <v>0D6X458381</v>
          </cell>
          <cell r="C134">
            <v>2019</v>
          </cell>
          <cell r="D134" t="str">
            <v>Qtr 2</v>
          </cell>
          <cell r="E134" t="str">
            <v>April</v>
          </cell>
          <cell r="F134">
            <v>2</v>
          </cell>
          <cell r="G134" t="str">
            <v>CORRECTIVO</v>
          </cell>
          <cell r="H134">
            <v>0.36666670000000001</v>
          </cell>
          <cell r="I134" t="str">
            <v>Entry Mono Printers</v>
          </cell>
          <cell r="J134">
            <v>468</v>
          </cell>
          <cell r="K134">
            <v>715</v>
          </cell>
          <cell r="L134">
            <v>0</v>
          </cell>
          <cell r="M134">
            <v>0</v>
          </cell>
          <cell r="N134">
            <v>0</v>
          </cell>
          <cell r="O134">
            <v>0.6</v>
          </cell>
          <cell r="P134">
            <v>0.8</v>
          </cell>
          <cell r="Q134">
            <v>1.05</v>
          </cell>
          <cell r="R134" t="str">
            <v>INTERIOR</v>
          </cell>
          <cell r="S134">
            <v>5</v>
          </cell>
          <cell r="T134">
            <v>9</v>
          </cell>
          <cell r="U134" t="str">
            <v>Ciudad principal</v>
          </cell>
          <cell r="V134" t="str">
            <v>Entry Mono Printers</v>
          </cell>
          <cell r="W134" t="str">
            <v>TAMAULIPAS</v>
          </cell>
          <cell r="X134">
            <v>2019</v>
          </cell>
          <cell r="Y134" t="str">
            <v>Qtr 2</v>
          </cell>
          <cell r="Z134" t="str">
            <v>April</v>
          </cell>
          <cell r="AA134">
            <v>11</v>
          </cell>
          <cell r="AB134">
            <v>0</v>
          </cell>
          <cell r="AC134">
            <v>71</v>
          </cell>
          <cell r="AD134">
            <v>1.05</v>
          </cell>
          <cell r="AE134">
            <v>7.3333339999999997E-2</v>
          </cell>
          <cell r="AF134">
            <v>750.75</v>
          </cell>
        </row>
        <row r="135">
          <cell r="B135" t="str">
            <v>0Y4X848744</v>
          </cell>
          <cell r="C135">
            <v>2019</v>
          </cell>
          <cell r="D135" t="str">
            <v>Qtr 2</v>
          </cell>
          <cell r="E135" t="str">
            <v>April</v>
          </cell>
          <cell r="F135">
            <v>2</v>
          </cell>
          <cell r="G135" t="str">
            <v>MANTENIMIENTO PREVENTIVO</v>
          </cell>
          <cell r="H135">
            <v>0</v>
          </cell>
          <cell r="I135" t="str">
            <v>Office Digital</v>
          </cell>
          <cell r="J135">
            <v>655</v>
          </cell>
          <cell r="K135">
            <v>1365</v>
          </cell>
          <cell r="L135">
            <v>0</v>
          </cell>
          <cell r="M135">
            <v>0</v>
          </cell>
          <cell r="N135">
            <v>0.6</v>
          </cell>
          <cell r="O135">
            <v>0.8</v>
          </cell>
          <cell r="P135">
            <v>1.05</v>
          </cell>
          <cell r="Q135">
            <v>1.1000000000000001</v>
          </cell>
          <cell r="R135" t="str">
            <v>INTERIOR</v>
          </cell>
          <cell r="S135">
            <v>5</v>
          </cell>
          <cell r="T135">
            <v>9</v>
          </cell>
          <cell r="U135" t="str">
            <v>Ciudad principal</v>
          </cell>
          <cell r="V135" t="str">
            <v>Light Production Digital Business</v>
          </cell>
          <cell r="W135" t="str">
            <v>JALISCO</v>
          </cell>
          <cell r="X135">
            <v>2019</v>
          </cell>
          <cell r="Y135" t="str">
            <v>Qtr 2</v>
          </cell>
          <cell r="Z135" t="str">
            <v>April</v>
          </cell>
          <cell r="AA135">
            <v>2</v>
          </cell>
          <cell r="AB135">
            <v>1</v>
          </cell>
          <cell r="AC135">
            <v>69</v>
          </cell>
          <cell r="AD135">
            <v>0</v>
          </cell>
          <cell r="AE135">
            <v>0</v>
          </cell>
          <cell r="AF135">
            <v>0</v>
          </cell>
        </row>
        <row r="136">
          <cell r="B136" t="str">
            <v>0Y4X848744</v>
          </cell>
          <cell r="C136">
            <v>2019</v>
          </cell>
          <cell r="D136" t="str">
            <v>Qtr 2</v>
          </cell>
          <cell r="E136" t="str">
            <v>April</v>
          </cell>
          <cell r="F136">
            <v>2</v>
          </cell>
          <cell r="G136" t="str">
            <v>MANTENIMIENTO PREVENTIVO</v>
          </cell>
          <cell r="H136">
            <v>0</v>
          </cell>
          <cell r="I136" t="str">
            <v>Office Digital</v>
          </cell>
          <cell r="J136">
            <v>655</v>
          </cell>
          <cell r="K136">
            <v>1365</v>
          </cell>
          <cell r="L136">
            <v>0</v>
          </cell>
          <cell r="M136">
            <v>0</v>
          </cell>
          <cell r="N136">
            <v>0.6</v>
          </cell>
          <cell r="O136">
            <v>0.8</v>
          </cell>
          <cell r="P136">
            <v>1.05</v>
          </cell>
          <cell r="Q136">
            <v>1.1000000000000001</v>
          </cell>
          <cell r="R136" t="str">
            <v>INTERIOR</v>
          </cell>
          <cell r="S136">
            <v>5</v>
          </cell>
          <cell r="T136">
            <v>9</v>
          </cell>
          <cell r="U136" t="str">
            <v>Ciudad principal</v>
          </cell>
          <cell r="V136" t="str">
            <v>Light Production Digital Business</v>
          </cell>
          <cell r="W136" t="str">
            <v>JALISCO</v>
          </cell>
          <cell r="X136">
            <v>2019</v>
          </cell>
          <cell r="Y136" t="str">
            <v>Qtr 2</v>
          </cell>
          <cell r="Z136" t="str">
            <v>April</v>
          </cell>
          <cell r="AA136">
            <v>2</v>
          </cell>
          <cell r="AB136">
            <v>1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B137" t="str">
            <v>09HB331488</v>
          </cell>
          <cell r="C137">
            <v>2019</v>
          </cell>
          <cell r="D137" t="str">
            <v>Qtr 2</v>
          </cell>
          <cell r="E137" t="str">
            <v>April</v>
          </cell>
          <cell r="F137">
            <v>2</v>
          </cell>
          <cell r="G137" t="str">
            <v>MANTENIMIENTO PREVENTIVO</v>
          </cell>
          <cell r="H137">
            <v>0</v>
          </cell>
          <cell r="J137" t="str">
            <v>NA</v>
          </cell>
          <cell r="K137" t="str">
            <v>NA</v>
          </cell>
          <cell r="L137" t="str">
            <v>NA</v>
          </cell>
          <cell r="M137" t="str">
            <v>NA</v>
          </cell>
          <cell r="N137" t="str">
            <v>NA</v>
          </cell>
          <cell r="O137" t="str">
            <v>NA</v>
          </cell>
          <cell r="P137" t="str">
            <v>NA</v>
          </cell>
          <cell r="Q137" t="str">
            <v>NA</v>
          </cell>
          <cell r="S137" t="str">
            <v>NA</v>
          </cell>
          <cell r="T137" t="str">
            <v>NA</v>
          </cell>
          <cell r="V137" t="str">
            <v>A4 Mono MFPs</v>
          </cell>
          <cell r="W137" t="str">
            <v>JALISCO</v>
          </cell>
          <cell r="X137">
            <v>2019</v>
          </cell>
          <cell r="Y137" t="str">
            <v>Qtr 2</v>
          </cell>
          <cell r="Z137" t="str">
            <v>April</v>
          </cell>
          <cell r="AA137">
            <v>2</v>
          </cell>
          <cell r="AB137" t="str">
            <v>NA</v>
          </cell>
          <cell r="AC137">
            <v>19</v>
          </cell>
          <cell r="AD137">
            <v>0</v>
          </cell>
          <cell r="AE137">
            <v>0</v>
          </cell>
          <cell r="AF137">
            <v>0</v>
          </cell>
        </row>
        <row r="138">
          <cell r="B138" t="str">
            <v>0X76703795</v>
          </cell>
          <cell r="C138">
            <v>2019</v>
          </cell>
          <cell r="D138" t="str">
            <v>Qtr 2</v>
          </cell>
          <cell r="E138" t="str">
            <v>April</v>
          </cell>
          <cell r="F138">
            <v>2</v>
          </cell>
          <cell r="G138" t="str">
            <v>CORRECTIVO</v>
          </cell>
          <cell r="H138">
            <v>0.3333333</v>
          </cell>
          <cell r="I138" t="str">
            <v>Departmental Digital</v>
          </cell>
          <cell r="J138">
            <v>655</v>
          </cell>
          <cell r="K138">
            <v>1365</v>
          </cell>
          <cell r="L138">
            <v>0</v>
          </cell>
          <cell r="M138">
            <v>0</v>
          </cell>
          <cell r="N138">
            <v>0.6</v>
          </cell>
          <cell r="O138">
            <v>0.8</v>
          </cell>
          <cell r="P138">
            <v>1.05</v>
          </cell>
          <cell r="Q138">
            <v>1.1000000000000001</v>
          </cell>
          <cell r="R138" t="str">
            <v>INTERIOR</v>
          </cell>
          <cell r="S138">
            <v>5</v>
          </cell>
          <cell r="T138">
            <v>9</v>
          </cell>
          <cell r="U138" t="str">
            <v>Ciudad principal</v>
          </cell>
          <cell r="V138" t="str">
            <v>Departmental Digital</v>
          </cell>
          <cell r="W138" t="str">
            <v>CHIHUAHUA</v>
          </cell>
          <cell r="X138">
            <v>2019</v>
          </cell>
          <cell r="Y138" t="str">
            <v>Qtr 2</v>
          </cell>
          <cell r="Z138" t="str">
            <v>April</v>
          </cell>
          <cell r="AA138">
            <v>3</v>
          </cell>
          <cell r="AB138">
            <v>0</v>
          </cell>
          <cell r="AC138">
            <v>35</v>
          </cell>
          <cell r="AD138">
            <v>1.05</v>
          </cell>
          <cell r="AE138">
            <v>6.6666660000000003E-2</v>
          </cell>
          <cell r="AF138">
            <v>1433.25</v>
          </cell>
        </row>
        <row r="139">
          <cell r="B139" t="str">
            <v>0EX7416648</v>
          </cell>
          <cell r="C139">
            <v>2019</v>
          </cell>
          <cell r="D139" t="str">
            <v>Qtr 2</v>
          </cell>
          <cell r="E139" t="str">
            <v>April</v>
          </cell>
          <cell r="F139">
            <v>2</v>
          </cell>
          <cell r="G139" t="str">
            <v>CORRECTIVO</v>
          </cell>
          <cell r="H139">
            <v>0.51666670000000003</v>
          </cell>
          <cell r="I139" t="str">
            <v>Office Digital</v>
          </cell>
          <cell r="J139">
            <v>655</v>
          </cell>
          <cell r="K139">
            <v>1365</v>
          </cell>
          <cell r="L139">
            <v>0</v>
          </cell>
          <cell r="M139">
            <v>0</v>
          </cell>
          <cell r="N139">
            <v>0.6</v>
          </cell>
          <cell r="O139">
            <v>0.8</v>
          </cell>
          <cell r="P139">
            <v>1.05</v>
          </cell>
          <cell r="Q139">
            <v>1.1000000000000001</v>
          </cell>
          <cell r="R139" t="str">
            <v>INTERIOR</v>
          </cell>
          <cell r="S139">
            <v>5</v>
          </cell>
          <cell r="T139">
            <v>9</v>
          </cell>
          <cell r="U139" t="str">
            <v>Ciudad principal</v>
          </cell>
          <cell r="V139" t="str">
            <v>Departmental Digital</v>
          </cell>
          <cell r="W139" t="str">
            <v>CHIHUAHUA</v>
          </cell>
          <cell r="X139">
            <v>2019</v>
          </cell>
          <cell r="Y139" t="str">
            <v>Qtr 2</v>
          </cell>
          <cell r="Z139" t="str">
            <v>April</v>
          </cell>
          <cell r="AA139">
            <v>2</v>
          </cell>
          <cell r="AB139">
            <v>0</v>
          </cell>
          <cell r="AC139">
            <v>7</v>
          </cell>
          <cell r="AD139">
            <v>0.6</v>
          </cell>
          <cell r="AE139">
            <v>0.10333334</v>
          </cell>
          <cell r="AF139">
            <v>819</v>
          </cell>
        </row>
        <row r="140">
          <cell r="B140" t="str">
            <v>0EX9664210</v>
          </cell>
          <cell r="C140">
            <v>2019</v>
          </cell>
          <cell r="D140" t="str">
            <v>Qtr 2</v>
          </cell>
          <cell r="E140" t="str">
            <v>April</v>
          </cell>
          <cell r="F140">
            <v>2</v>
          </cell>
          <cell r="G140" t="str">
            <v>CORRECTIVO</v>
          </cell>
          <cell r="H140">
            <v>2.733333</v>
          </cell>
          <cell r="I140" t="str">
            <v>Departmental Digital</v>
          </cell>
          <cell r="J140">
            <v>655</v>
          </cell>
          <cell r="K140">
            <v>1365</v>
          </cell>
          <cell r="L140">
            <v>0</v>
          </cell>
          <cell r="M140">
            <v>0</v>
          </cell>
          <cell r="N140">
            <v>0.6</v>
          </cell>
          <cell r="O140">
            <v>0.8</v>
          </cell>
          <cell r="P140">
            <v>1.05</v>
          </cell>
          <cell r="Q140">
            <v>1.1000000000000001</v>
          </cell>
          <cell r="R140" t="str">
            <v>INTERIOR</v>
          </cell>
          <cell r="S140">
            <v>5</v>
          </cell>
          <cell r="T140">
            <v>9</v>
          </cell>
          <cell r="U140" t="str">
            <v>Ciudad principal</v>
          </cell>
          <cell r="V140" t="str">
            <v>Departmental Digital</v>
          </cell>
          <cell r="W140" t="str">
            <v>JALISCO</v>
          </cell>
          <cell r="X140">
            <v>2019</v>
          </cell>
          <cell r="Y140" t="str">
            <v>Qtr 2</v>
          </cell>
          <cell r="Z140" t="str">
            <v>April</v>
          </cell>
          <cell r="AA140">
            <v>2</v>
          </cell>
          <cell r="AB140">
            <v>0</v>
          </cell>
          <cell r="AC140">
            <v>21</v>
          </cell>
          <cell r="AD140">
            <v>0.8</v>
          </cell>
          <cell r="AE140">
            <v>0.5466666</v>
          </cell>
          <cell r="AF140">
            <v>1092</v>
          </cell>
        </row>
        <row r="141">
          <cell r="B141" t="str">
            <v>0LBT206071</v>
          </cell>
          <cell r="C141">
            <v>2019</v>
          </cell>
          <cell r="D141" t="str">
            <v>Qtr 2</v>
          </cell>
          <cell r="E141" t="str">
            <v>April</v>
          </cell>
          <cell r="F141">
            <v>2</v>
          </cell>
          <cell r="G141" t="str">
            <v>CORRECTIVO</v>
          </cell>
          <cell r="H141">
            <v>1.3</v>
          </cell>
          <cell r="I141" t="str">
            <v>A4 Mono MFPs</v>
          </cell>
          <cell r="J141">
            <v>468</v>
          </cell>
          <cell r="K141">
            <v>715</v>
          </cell>
          <cell r="L141">
            <v>0</v>
          </cell>
          <cell r="M141">
            <v>0</v>
          </cell>
          <cell r="N141">
            <v>0</v>
          </cell>
          <cell r="O141">
            <v>0.6</v>
          </cell>
          <cell r="P141">
            <v>0.8</v>
          </cell>
          <cell r="Q141">
            <v>1.05</v>
          </cell>
          <cell r="R141" t="str">
            <v>INTERIOR</v>
          </cell>
          <cell r="S141">
            <v>5</v>
          </cell>
          <cell r="T141">
            <v>9</v>
          </cell>
          <cell r="U141" t="str">
            <v>Ciudad principal</v>
          </cell>
          <cell r="V141" t="str">
            <v>A4 Mono MFPs</v>
          </cell>
          <cell r="W141" t="str">
            <v>CHIHUAHUA</v>
          </cell>
          <cell r="X141">
            <v>2019</v>
          </cell>
          <cell r="Y141" t="str">
            <v>Qtr 2</v>
          </cell>
          <cell r="Z141" t="str">
            <v>April</v>
          </cell>
          <cell r="AA141">
            <v>4</v>
          </cell>
          <cell r="AB141">
            <v>0</v>
          </cell>
          <cell r="AC141">
            <v>83</v>
          </cell>
          <cell r="AD141">
            <v>1.05</v>
          </cell>
          <cell r="AE141">
            <v>0.26</v>
          </cell>
          <cell r="AF141">
            <v>750.75</v>
          </cell>
        </row>
        <row r="142">
          <cell r="B142" t="str">
            <v>0AE9560627</v>
          </cell>
          <cell r="C142">
            <v>2019</v>
          </cell>
          <cell r="D142" t="str">
            <v>Qtr 2</v>
          </cell>
          <cell r="E142" t="str">
            <v>April</v>
          </cell>
          <cell r="F142">
            <v>2</v>
          </cell>
          <cell r="G142" t="str">
            <v>CORRECTIVO</v>
          </cell>
          <cell r="H142">
            <v>2.483333</v>
          </cell>
          <cell r="I142" t="str">
            <v>Office Digital</v>
          </cell>
          <cell r="J142">
            <v>655</v>
          </cell>
          <cell r="K142">
            <v>1365</v>
          </cell>
          <cell r="L142">
            <v>0</v>
          </cell>
          <cell r="M142">
            <v>0</v>
          </cell>
          <cell r="N142">
            <v>0.6</v>
          </cell>
          <cell r="O142">
            <v>0.8</v>
          </cell>
          <cell r="P142">
            <v>1.05</v>
          </cell>
          <cell r="Q142">
            <v>1.1000000000000001</v>
          </cell>
          <cell r="R142" t="str">
            <v>INTERIOR</v>
          </cell>
          <cell r="S142">
            <v>5</v>
          </cell>
          <cell r="T142">
            <v>9</v>
          </cell>
          <cell r="U142" t="str">
            <v>Ciudad principal</v>
          </cell>
          <cell r="V142" t="str">
            <v>Departmental Digital</v>
          </cell>
          <cell r="W142" t="str">
            <v>CHIHUAHUA</v>
          </cell>
          <cell r="X142">
            <v>2019</v>
          </cell>
          <cell r="Y142" t="str">
            <v>Qtr 2</v>
          </cell>
          <cell r="Z142" t="str">
            <v>April</v>
          </cell>
          <cell r="AA142">
            <v>2</v>
          </cell>
          <cell r="AB142">
            <v>0</v>
          </cell>
          <cell r="AC142">
            <v>251</v>
          </cell>
          <cell r="AD142">
            <v>1.1000000000000001</v>
          </cell>
          <cell r="AE142">
            <v>0.49666660000000001</v>
          </cell>
          <cell r="AF142">
            <v>1501.5</v>
          </cell>
        </row>
        <row r="143">
          <cell r="B143" t="str">
            <v>09HB331423</v>
          </cell>
          <cell r="C143">
            <v>2019</v>
          </cell>
          <cell r="D143" t="str">
            <v>Qtr 2</v>
          </cell>
          <cell r="E143" t="str">
            <v>April</v>
          </cell>
          <cell r="F143">
            <v>2</v>
          </cell>
          <cell r="G143" t="str">
            <v>MANTENIMIENTO PREVENTIVO</v>
          </cell>
          <cell r="H143">
            <v>0</v>
          </cell>
          <cell r="J143" t="str">
            <v>NA</v>
          </cell>
          <cell r="K143" t="str">
            <v>NA</v>
          </cell>
          <cell r="L143" t="str">
            <v>NA</v>
          </cell>
          <cell r="M143" t="str">
            <v>NA</v>
          </cell>
          <cell r="N143" t="str">
            <v>NA</v>
          </cell>
          <cell r="O143" t="str">
            <v>NA</v>
          </cell>
          <cell r="P143" t="str">
            <v>NA</v>
          </cell>
          <cell r="Q143" t="str">
            <v>NA</v>
          </cell>
          <cell r="S143" t="str">
            <v>NA</v>
          </cell>
          <cell r="T143" t="str">
            <v>NA</v>
          </cell>
          <cell r="V143" t="str">
            <v>A4 Mono MFPs</v>
          </cell>
          <cell r="W143" t="str">
            <v>JALISCO</v>
          </cell>
          <cell r="X143">
            <v>2019</v>
          </cell>
          <cell r="Y143" t="str">
            <v>Qtr 2</v>
          </cell>
          <cell r="Z143" t="str">
            <v>April</v>
          </cell>
          <cell r="AA143">
            <v>2</v>
          </cell>
          <cell r="AB143" t="str">
            <v>NA</v>
          </cell>
          <cell r="AC143">
            <v>43</v>
          </cell>
          <cell r="AD143">
            <v>0</v>
          </cell>
          <cell r="AE143">
            <v>0</v>
          </cell>
          <cell r="AF143">
            <v>0</v>
          </cell>
        </row>
        <row r="144">
          <cell r="B144" t="str">
            <v>0WXP008416</v>
          </cell>
          <cell r="C144">
            <v>2019</v>
          </cell>
          <cell r="D144" t="str">
            <v>Qtr 2</v>
          </cell>
          <cell r="E144" t="str">
            <v>April</v>
          </cell>
          <cell r="F144">
            <v>2</v>
          </cell>
          <cell r="G144" t="str">
            <v>CORRECTIVO</v>
          </cell>
          <cell r="H144">
            <v>3.1666669999999999</v>
          </cell>
          <cell r="I144" t="str">
            <v>Xerox Color Press</v>
          </cell>
          <cell r="J144">
            <v>1116</v>
          </cell>
          <cell r="K144">
            <v>2145</v>
          </cell>
          <cell r="L144">
            <v>0.6</v>
          </cell>
          <cell r="M144">
            <v>0.8</v>
          </cell>
          <cell r="N144">
            <v>1.05</v>
          </cell>
          <cell r="O144">
            <v>1.1000000000000001</v>
          </cell>
          <cell r="P144">
            <v>1.1499999999999999</v>
          </cell>
          <cell r="Q144">
            <v>1.2</v>
          </cell>
          <cell r="R144" t="str">
            <v>INTERIOR</v>
          </cell>
          <cell r="S144">
            <v>4</v>
          </cell>
          <cell r="T144">
            <v>6</v>
          </cell>
          <cell r="U144" t="str">
            <v>Ciudad principal</v>
          </cell>
          <cell r="V144" t="str">
            <v>High End Cut Sheet</v>
          </cell>
          <cell r="W144" t="str">
            <v>NUEVO LEON</v>
          </cell>
          <cell r="X144">
            <v>2019</v>
          </cell>
          <cell r="Y144" t="str">
            <v>Qtr 2</v>
          </cell>
          <cell r="Z144" t="str">
            <v>April</v>
          </cell>
          <cell r="AA144">
            <v>13</v>
          </cell>
          <cell r="AB144">
            <v>0</v>
          </cell>
          <cell r="AC144">
            <v>4</v>
          </cell>
          <cell r="AD144">
            <v>0.8</v>
          </cell>
          <cell r="AE144">
            <v>0.79166674999999997</v>
          </cell>
          <cell r="AF144">
            <v>1716</v>
          </cell>
        </row>
        <row r="145">
          <cell r="B145" t="str">
            <v>0Y4X845171</v>
          </cell>
          <cell r="C145">
            <v>2019</v>
          </cell>
          <cell r="D145" t="str">
            <v>Qtr 2</v>
          </cell>
          <cell r="E145" t="str">
            <v>April</v>
          </cell>
          <cell r="F145">
            <v>2</v>
          </cell>
          <cell r="G145" t="str">
            <v>CORRECTIVO</v>
          </cell>
          <cell r="H145">
            <v>0.4166667</v>
          </cell>
          <cell r="I145" t="str">
            <v>Departmental Digital</v>
          </cell>
          <cell r="J145">
            <v>655</v>
          </cell>
          <cell r="K145">
            <v>1365</v>
          </cell>
          <cell r="L145">
            <v>0</v>
          </cell>
          <cell r="M145">
            <v>0</v>
          </cell>
          <cell r="N145">
            <v>0.6</v>
          </cell>
          <cell r="O145">
            <v>0.8</v>
          </cell>
          <cell r="P145">
            <v>1.05</v>
          </cell>
          <cell r="Q145">
            <v>1.1000000000000001</v>
          </cell>
          <cell r="R145" t="str">
            <v>INTERIOR</v>
          </cell>
          <cell r="S145">
            <v>5</v>
          </cell>
          <cell r="T145">
            <v>9</v>
          </cell>
          <cell r="U145" t="str">
            <v>Ciudad principal</v>
          </cell>
          <cell r="V145" t="str">
            <v>Light Production Digital Business</v>
          </cell>
          <cell r="W145" t="str">
            <v>CHIHUAHUA</v>
          </cell>
          <cell r="X145">
            <v>2019</v>
          </cell>
          <cell r="Y145" t="str">
            <v>Qtr 2</v>
          </cell>
          <cell r="Z145" t="str">
            <v>April</v>
          </cell>
          <cell r="AA145">
            <v>2</v>
          </cell>
          <cell r="AB145">
            <v>1</v>
          </cell>
          <cell r="AC145">
            <v>26</v>
          </cell>
          <cell r="AD145">
            <v>0</v>
          </cell>
          <cell r="AE145">
            <v>0</v>
          </cell>
          <cell r="AF145">
            <v>0</v>
          </cell>
        </row>
        <row r="146">
          <cell r="B146" t="str">
            <v>0XEL562732</v>
          </cell>
          <cell r="C146">
            <v>2019</v>
          </cell>
          <cell r="D146" t="str">
            <v>Qtr 2</v>
          </cell>
          <cell r="E146" t="str">
            <v>April</v>
          </cell>
          <cell r="F146">
            <v>2</v>
          </cell>
          <cell r="G146" t="str">
            <v>CORRECTIVO</v>
          </cell>
          <cell r="H146">
            <v>1.766667</v>
          </cell>
          <cell r="I146" t="str">
            <v>Departmental Digital</v>
          </cell>
          <cell r="J146">
            <v>655</v>
          </cell>
          <cell r="K146">
            <v>1365</v>
          </cell>
          <cell r="L146">
            <v>0</v>
          </cell>
          <cell r="M146">
            <v>0</v>
          </cell>
          <cell r="N146">
            <v>0.6</v>
          </cell>
          <cell r="O146">
            <v>0.8</v>
          </cell>
          <cell r="P146">
            <v>1.05</v>
          </cell>
          <cell r="Q146">
            <v>1.1000000000000001</v>
          </cell>
          <cell r="R146" t="str">
            <v>INTERIOR</v>
          </cell>
          <cell r="S146">
            <v>5</v>
          </cell>
          <cell r="T146">
            <v>9</v>
          </cell>
          <cell r="U146" t="str">
            <v>Otras</v>
          </cell>
          <cell r="V146" t="str">
            <v>Departmental Digital</v>
          </cell>
          <cell r="W146" t="str">
            <v>MICHOACAN</v>
          </cell>
          <cell r="X146">
            <v>2019</v>
          </cell>
          <cell r="Y146" t="str">
            <v>Qtr 2</v>
          </cell>
          <cell r="Z146" t="str">
            <v>April</v>
          </cell>
          <cell r="AA146">
            <v>2</v>
          </cell>
          <cell r="AB146">
            <v>0</v>
          </cell>
          <cell r="AC146">
            <v>14</v>
          </cell>
          <cell r="AD146">
            <v>0.6</v>
          </cell>
          <cell r="AE146">
            <v>0.19629633333333299</v>
          </cell>
          <cell r="AF146">
            <v>819</v>
          </cell>
        </row>
        <row r="147">
          <cell r="B147" t="str">
            <v>09HB335110</v>
          </cell>
          <cell r="C147">
            <v>2019</v>
          </cell>
          <cell r="D147" t="str">
            <v>Qtr 2</v>
          </cell>
          <cell r="E147" t="str">
            <v>April</v>
          </cell>
          <cell r="F147">
            <v>2</v>
          </cell>
          <cell r="G147" t="str">
            <v>CORRECTIVO</v>
          </cell>
          <cell r="H147">
            <v>2.5333329999999998</v>
          </cell>
          <cell r="I147" t="str">
            <v>A4 Mono MFPs</v>
          </cell>
          <cell r="J147">
            <v>468</v>
          </cell>
          <cell r="K147">
            <v>715</v>
          </cell>
          <cell r="L147">
            <v>0</v>
          </cell>
          <cell r="M147">
            <v>0</v>
          </cell>
          <cell r="N147">
            <v>0</v>
          </cell>
          <cell r="O147">
            <v>0.6</v>
          </cell>
          <cell r="P147">
            <v>0.8</v>
          </cell>
          <cell r="Q147">
            <v>1.05</v>
          </cell>
          <cell r="R147" t="str">
            <v>INTERIOR</v>
          </cell>
          <cell r="S147">
            <v>5</v>
          </cell>
          <cell r="T147">
            <v>9</v>
          </cell>
          <cell r="U147" t="str">
            <v>Ciudad principal</v>
          </cell>
          <cell r="V147" t="str">
            <v>A4 Mono MFPs</v>
          </cell>
          <cell r="W147" t="str">
            <v>CHIHUAHUA</v>
          </cell>
          <cell r="X147">
            <v>2019</v>
          </cell>
          <cell r="Y147" t="str">
            <v>Qtr 2</v>
          </cell>
          <cell r="Z147" t="str">
            <v>April</v>
          </cell>
          <cell r="AA147">
            <v>2</v>
          </cell>
          <cell r="AB147">
            <v>0</v>
          </cell>
          <cell r="AC147">
            <v>47</v>
          </cell>
          <cell r="AD147">
            <v>0.8</v>
          </cell>
          <cell r="AE147">
            <v>0.50666659999999997</v>
          </cell>
          <cell r="AF147">
            <v>572</v>
          </cell>
        </row>
        <row r="148">
          <cell r="B148" t="str">
            <v>0E2B646602</v>
          </cell>
          <cell r="C148">
            <v>2019</v>
          </cell>
          <cell r="D148" t="str">
            <v>Qtr 2</v>
          </cell>
          <cell r="E148" t="str">
            <v>April</v>
          </cell>
          <cell r="F148">
            <v>2</v>
          </cell>
          <cell r="G148" t="str">
            <v>CORRECTIVO</v>
          </cell>
          <cell r="H148">
            <v>1.266667</v>
          </cell>
          <cell r="I148" t="str">
            <v>Entry Production Color Low/Mid</v>
          </cell>
          <cell r="J148">
            <v>803</v>
          </cell>
          <cell r="K148">
            <v>1573</v>
          </cell>
          <cell r="L148">
            <v>0.2</v>
          </cell>
          <cell r="M148">
            <v>0.6</v>
          </cell>
          <cell r="N148">
            <v>0.8</v>
          </cell>
          <cell r="O148">
            <v>1.05</v>
          </cell>
          <cell r="P148">
            <v>1.1000000000000001</v>
          </cell>
          <cell r="Q148">
            <v>1.1499999999999999</v>
          </cell>
          <cell r="R148" t="str">
            <v>INTERIOR</v>
          </cell>
          <cell r="S148">
            <v>4</v>
          </cell>
          <cell r="T148">
            <v>6</v>
          </cell>
          <cell r="U148" t="str">
            <v>Ciudad principal</v>
          </cell>
          <cell r="V148" t="str">
            <v>Entry Production Color Low/Mid</v>
          </cell>
          <cell r="W148" t="str">
            <v>NUEVO LEON</v>
          </cell>
          <cell r="X148">
            <v>2019</v>
          </cell>
          <cell r="Y148" t="str">
            <v>Qtr 2</v>
          </cell>
          <cell r="Z148" t="str">
            <v>April</v>
          </cell>
          <cell r="AA148">
            <v>2</v>
          </cell>
          <cell r="AB148">
            <v>0</v>
          </cell>
          <cell r="AC148">
            <v>11</v>
          </cell>
          <cell r="AD148">
            <v>0.8</v>
          </cell>
          <cell r="AE148">
            <v>0.31666675</v>
          </cell>
          <cell r="AF148">
            <v>1258.4000000000001</v>
          </cell>
        </row>
        <row r="149">
          <cell r="B149" t="str">
            <v>0Y2B003355</v>
          </cell>
          <cell r="C149">
            <v>2019</v>
          </cell>
          <cell r="D149" t="str">
            <v>Qtr 2</v>
          </cell>
          <cell r="E149" t="str">
            <v>April</v>
          </cell>
          <cell r="F149">
            <v>2</v>
          </cell>
          <cell r="G149" t="str">
            <v>CORRECTIVO</v>
          </cell>
          <cell r="H149">
            <v>0</v>
          </cell>
          <cell r="I149" t="str">
            <v>Departmental Digital</v>
          </cell>
          <cell r="J149">
            <v>655</v>
          </cell>
          <cell r="K149">
            <v>1365</v>
          </cell>
          <cell r="L149">
            <v>0</v>
          </cell>
          <cell r="M149">
            <v>0</v>
          </cell>
          <cell r="N149">
            <v>0.6</v>
          </cell>
          <cell r="O149">
            <v>0.8</v>
          </cell>
          <cell r="P149">
            <v>1.05</v>
          </cell>
          <cell r="Q149">
            <v>1.1000000000000001</v>
          </cell>
          <cell r="R149" t="str">
            <v>INTERIOR</v>
          </cell>
          <cell r="S149">
            <v>5</v>
          </cell>
          <cell r="T149">
            <v>9</v>
          </cell>
          <cell r="U149" t="str">
            <v>Ciudad principal</v>
          </cell>
          <cell r="V149" t="str">
            <v>Departmental Digital</v>
          </cell>
          <cell r="W149" t="str">
            <v>CHIHUAHUA</v>
          </cell>
          <cell r="X149">
            <v>2019</v>
          </cell>
          <cell r="Y149" t="str">
            <v>Qtr 2</v>
          </cell>
          <cell r="Z149" t="str">
            <v>April</v>
          </cell>
          <cell r="AA149">
            <v>2</v>
          </cell>
          <cell r="AB149">
            <v>0</v>
          </cell>
          <cell r="AC149">
            <v>7</v>
          </cell>
          <cell r="AD149">
            <v>0.6</v>
          </cell>
          <cell r="AE149">
            <v>0</v>
          </cell>
          <cell r="AF149">
            <v>819</v>
          </cell>
        </row>
        <row r="150">
          <cell r="B150" t="str">
            <v>0LX5688824</v>
          </cell>
          <cell r="C150">
            <v>2019</v>
          </cell>
          <cell r="D150" t="str">
            <v>Qtr 2</v>
          </cell>
          <cell r="E150" t="str">
            <v>April</v>
          </cell>
          <cell r="F150">
            <v>2</v>
          </cell>
          <cell r="G150" t="str">
            <v>CORRECTIVO</v>
          </cell>
          <cell r="H150">
            <v>2.95</v>
          </cell>
          <cell r="I150" t="str">
            <v>A3 Office Color Laser MFPs</v>
          </cell>
          <cell r="J150">
            <v>655</v>
          </cell>
          <cell r="K150">
            <v>1365</v>
          </cell>
          <cell r="L150">
            <v>0</v>
          </cell>
          <cell r="M150">
            <v>0</v>
          </cell>
          <cell r="N150">
            <v>0.6</v>
          </cell>
          <cell r="O150">
            <v>0.8</v>
          </cell>
          <cell r="P150">
            <v>1.05</v>
          </cell>
          <cell r="Q150">
            <v>1.1000000000000001</v>
          </cell>
          <cell r="R150" t="str">
            <v>INTERIOR</v>
          </cell>
          <cell r="S150">
            <v>5</v>
          </cell>
          <cell r="T150">
            <v>9</v>
          </cell>
          <cell r="U150" t="str">
            <v>Ciudad principal</v>
          </cell>
          <cell r="V150" t="str">
            <v>A3 Office Color Laser MFPs</v>
          </cell>
          <cell r="W150" t="str">
            <v>CHIHUAHUA</v>
          </cell>
          <cell r="X150">
            <v>2019</v>
          </cell>
          <cell r="Y150" t="str">
            <v>Qtr 2</v>
          </cell>
          <cell r="Z150" t="str">
            <v>April</v>
          </cell>
          <cell r="AA150">
            <v>2</v>
          </cell>
          <cell r="AB150">
            <v>0</v>
          </cell>
          <cell r="AC150">
            <v>4</v>
          </cell>
          <cell r="AD150">
            <v>0</v>
          </cell>
          <cell r="AE150">
            <v>0.59</v>
          </cell>
          <cell r="AF150">
            <v>0</v>
          </cell>
        </row>
        <row r="151">
          <cell r="B151" t="str">
            <v>0MX1186333</v>
          </cell>
          <cell r="C151">
            <v>2019</v>
          </cell>
          <cell r="D151" t="str">
            <v>Qtr 2</v>
          </cell>
          <cell r="E151" t="str">
            <v>April</v>
          </cell>
          <cell r="F151">
            <v>2</v>
          </cell>
          <cell r="G151" t="str">
            <v>CORRECTIVO</v>
          </cell>
          <cell r="H151">
            <v>3.9666670000000002</v>
          </cell>
          <cell r="I151" t="str">
            <v>A3 Office Color Laser MFPs</v>
          </cell>
          <cell r="J151">
            <v>655</v>
          </cell>
          <cell r="K151">
            <v>1365</v>
          </cell>
          <cell r="L151">
            <v>0</v>
          </cell>
          <cell r="M151">
            <v>0</v>
          </cell>
          <cell r="N151">
            <v>0.6</v>
          </cell>
          <cell r="O151">
            <v>0.8</v>
          </cell>
          <cell r="P151">
            <v>1.05</v>
          </cell>
          <cell r="Q151">
            <v>1.1000000000000001</v>
          </cell>
          <cell r="R151" t="str">
            <v>INTERIOR</v>
          </cell>
          <cell r="S151">
            <v>5</v>
          </cell>
          <cell r="T151">
            <v>9</v>
          </cell>
          <cell r="U151" t="str">
            <v>Ciudad principal</v>
          </cell>
          <cell r="V151" t="str">
            <v>A3 Office Color Laser MFPs</v>
          </cell>
          <cell r="W151" t="str">
            <v>CHIHUAHUA</v>
          </cell>
          <cell r="X151">
            <v>2019</v>
          </cell>
          <cell r="Y151" t="str">
            <v>Qtr 2</v>
          </cell>
          <cell r="Z151" t="str">
            <v>April</v>
          </cell>
          <cell r="AA151">
            <v>3</v>
          </cell>
          <cell r="AB151">
            <v>0</v>
          </cell>
          <cell r="AC151">
            <v>74</v>
          </cell>
          <cell r="AD151">
            <v>1.1000000000000001</v>
          </cell>
          <cell r="AE151">
            <v>0.79333339999999997</v>
          </cell>
          <cell r="AF151">
            <v>1501.5</v>
          </cell>
        </row>
        <row r="152">
          <cell r="B152" t="str">
            <v>0MX1185934</v>
          </cell>
          <cell r="C152">
            <v>2019</v>
          </cell>
          <cell r="D152" t="str">
            <v>Qtr 2</v>
          </cell>
          <cell r="E152" t="str">
            <v>April</v>
          </cell>
          <cell r="F152">
            <v>2</v>
          </cell>
          <cell r="G152" t="str">
            <v>CORRECTIVO</v>
          </cell>
          <cell r="H152">
            <v>2.8333330000000001</v>
          </cell>
          <cell r="I152" t="str">
            <v>A3 Office Color Laser MFPs</v>
          </cell>
          <cell r="J152">
            <v>655</v>
          </cell>
          <cell r="K152">
            <v>1365</v>
          </cell>
          <cell r="L152">
            <v>0</v>
          </cell>
          <cell r="M152">
            <v>0</v>
          </cell>
          <cell r="N152">
            <v>0.6</v>
          </cell>
          <cell r="O152">
            <v>0.8</v>
          </cell>
          <cell r="P152">
            <v>1.05</v>
          </cell>
          <cell r="Q152">
            <v>1.1000000000000001</v>
          </cell>
          <cell r="R152" t="str">
            <v>INTERIOR</v>
          </cell>
          <cell r="S152">
            <v>5</v>
          </cell>
          <cell r="T152">
            <v>9</v>
          </cell>
          <cell r="U152" t="str">
            <v>Ciudad principal</v>
          </cell>
          <cell r="V152" t="str">
            <v>A3 Office Color Laser MFPs</v>
          </cell>
          <cell r="W152" t="str">
            <v>CHIHUAHUA</v>
          </cell>
          <cell r="X152">
            <v>2019</v>
          </cell>
          <cell r="Y152" t="str">
            <v>Qtr 2</v>
          </cell>
          <cell r="Z152" t="str">
            <v>April</v>
          </cell>
          <cell r="AA152">
            <v>3</v>
          </cell>
          <cell r="AB152">
            <v>0</v>
          </cell>
          <cell r="AC152">
            <v>26</v>
          </cell>
          <cell r="AD152">
            <v>0.8</v>
          </cell>
          <cell r="AE152">
            <v>0.56666660000000002</v>
          </cell>
          <cell r="AF152">
            <v>1092</v>
          </cell>
        </row>
        <row r="153">
          <cell r="B153" t="str">
            <v>0Y4X848833</v>
          </cell>
          <cell r="C153">
            <v>2019</v>
          </cell>
          <cell r="D153" t="str">
            <v>Qtr 2</v>
          </cell>
          <cell r="E153" t="str">
            <v>April</v>
          </cell>
          <cell r="F153">
            <v>2</v>
          </cell>
          <cell r="G153" t="str">
            <v>MANTENIMIENTO PREVENTIVO</v>
          </cell>
          <cell r="H153">
            <v>0</v>
          </cell>
          <cell r="I153" t="str">
            <v>Office Digital</v>
          </cell>
          <cell r="J153">
            <v>655</v>
          </cell>
          <cell r="K153">
            <v>1365</v>
          </cell>
          <cell r="L153">
            <v>0</v>
          </cell>
          <cell r="M153">
            <v>0</v>
          </cell>
          <cell r="N153">
            <v>0.6</v>
          </cell>
          <cell r="O153">
            <v>0.8</v>
          </cell>
          <cell r="P153">
            <v>1.05</v>
          </cell>
          <cell r="Q153">
            <v>1.1000000000000001</v>
          </cell>
          <cell r="R153" t="str">
            <v>INTERIOR</v>
          </cell>
          <cell r="S153">
            <v>5</v>
          </cell>
          <cell r="T153">
            <v>9</v>
          </cell>
          <cell r="U153" t="str">
            <v>Ciudad principal</v>
          </cell>
          <cell r="V153" t="str">
            <v>Light Production Digital Business</v>
          </cell>
          <cell r="W153" t="str">
            <v>JALISCO</v>
          </cell>
          <cell r="X153">
            <v>2019</v>
          </cell>
          <cell r="Y153" t="str">
            <v>Qtr 2</v>
          </cell>
          <cell r="Z153" t="str">
            <v>April</v>
          </cell>
          <cell r="AA153">
            <v>2</v>
          </cell>
          <cell r="AB153">
            <v>1</v>
          </cell>
          <cell r="AC153">
            <v>35</v>
          </cell>
          <cell r="AD153">
            <v>0</v>
          </cell>
          <cell r="AE153">
            <v>0</v>
          </cell>
          <cell r="AF153">
            <v>0</v>
          </cell>
        </row>
        <row r="154">
          <cell r="B154" t="str">
            <v>0XEL569871</v>
          </cell>
          <cell r="C154">
            <v>2019</v>
          </cell>
          <cell r="D154" t="str">
            <v>Qtr 2</v>
          </cell>
          <cell r="E154" t="str">
            <v>April</v>
          </cell>
          <cell r="F154">
            <v>2</v>
          </cell>
          <cell r="G154" t="str">
            <v>CORRECTIVO</v>
          </cell>
          <cell r="H154">
            <v>0.43333329999999998</v>
          </cell>
          <cell r="I154" t="str">
            <v>Departmental Digital</v>
          </cell>
          <cell r="J154">
            <v>655</v>
          </cell>
          <cell r="K154">
            <v>1365</v>
          </cell>
          <cell r="L154">
            <v>0</v>
          </cell>
          <cell r="M154">
            <v>0</v>
          </cell>
          <cell r="N154">
            <v>0.6</v>
          </cell>
          <cell r="O154">
            <v>0.8</v>
          </cell>
          <cell r="P154">
            <v>1.05</v>
          </cell>
          <cell r="Q154">
            <v>1.1000000000000001</v>
          </cell>
          <cell r="R154" t="str">
            <v>INTERIOR</v>
          </cell>
          <cell r="S154">
            <v>5</v>
          </cell>
          <cell r="T154">
            <v>9</v>
          </cell>
          <cell r="U154" t="str">
            <v>Ciudad principal</v>
          </cell>
          <cell r="V154" t="str">
            <v>Departmental Digital</v>
          </cell>
          <cell r="W154" t="str">
            <v>JALISCO</v>
          </cell>
          <cell r="X154">
            <v>2019</v>
          </cell>
          <cell r="Y154" t="str">
            <v>Qtr 2</v>
          </cell>
          <cell r="Z154" t="str">
            <v>April</v>
          </cell>
          <cell r="AA154">
            <v>3</v>
          </cell>
          <cell r="AB154">
            <v>0</v>
          </cell>
          <cell r="AC154">
            <v>7</v>
          </cell>
          <cell r="AD154">
            <v>0.6</v>
          </cell>
          <cell r="AE154">
            <v>8.6666660000000006E-2</v>
          </cell>
          <cell r="AF154">
            <v>819</v>
          </cell>
        </row>
        <row r="155">
          <cell r="B155" t="str">
            <v>0XPN553133</v>
          </cell>
          <cell r="C155">
            <v>2019</v>
          </cell>
          <cell r="D155" t="str">
            <v>Qtr 2</v>
          </cell>
          <cell r="E155" t="str">
            <v>April</v>
          </cell>
          <cell r="F155">
            <v>2</v>
          </cell>
          <cell r="G155" t="str">
            <v>CORRECTIVO</v>
          </cell>
          <cell r="H155">
            <v>0.3333333</v>
          </cell>
          <cell r="I155" t="str">
            <v>Entry Production Color Low/Mid</v>
          </cell>
          <cell r="J155">
            <v>803</v>
          </cell>
          <cell r="K155">
            <v>1573</v>
          </cell>
          <cell r="L155">
            <v>0.2</v>
          </cell>
          <cell r="M155">
            <v>0.6</v>
          </cell>
          <cell r="N155">
            <v>0.8</v>
          </cell>
          <cell r="O155">
            <v>1.05</v>
          </cell>
          <cell r="P155">
            <v>1.1000000000000001</v>
          </cell>
          <cell r="Q155">
            <v>1.1499999999999999</v>
          </cell>
          <cell r="R155" t="str">
            <v>INTERIOR</v>
          </cell>
          <cell r="S155">
            <v>4</v>
          </cell>
          <cell r="T155">
            <v>6</v>
          </cell>
          <cell r="U155" t="str">
            <v>Ciudad principal</v>
          </cell>
          <cell r="V155" t="str">
            <v>Entry Production Color Low/Mid</v>
          </cell>
          <cell r="W155" t="str">
            <v>GUANAJUATO</v>
          </cell>
          <cell r="X155">
            <v>2019</v>
          </cell>
          <cell r="Y155" t="str">
            <v>Qtr 2</v>
          </cell>
          <cell r="Z155" t="str">
            <v>April</v>
          </cell>
          <cell r="AA155">
            <v>2</v>
          </cell>
          <cell r="AB155">
            <v>0</v>
          </cell>
          <cell r="AC155">
            <v>112</v>
          </cell>
          <cell r="AD155">
            <v>1.1499999999999999</v>
          </cell>
          <cell r="AE155">
            <v>8.3333325E-2</v>
          </cell>
          <cell r="AF155">
            <v>1808.95</v>
          </cell>
        </row>
        <row r="156">
          <cell r="B156" t="str">
            <v>0BG2941140</v>
          </cell>
          <cell r="C156">
            <v>2019</v>
          </cell>
          <cell r="D156" t="str">
            <v>Qtr 2</v>
          </cell>
          <cell r="E156" t="str">
            <v>April</v>
          </cell>
          <cell r="F156">
            <v>2</v>
          </cell>
          <cell r="G156" t="str">
            <v>CORRECTIVO</v>
          </cell>
          <cell r="H156">
            <v>0.36666670000000001</v>
          </cell>
          <cell r="I156" t="str">
            <v>Light Production Digital Business</v>
          </cell>
          <cell r="J156">
            <v>803</v>
          </cell>
          <cell r="K156">
            <v>1573</v>
          </cell>
          <cell r="L156">
            <v>0.2</v>
          </cell>
          <cell r="M156">
            <v>0.6</v>
          </cell>
          <cell r="N156">
            <v>0.8</v>
          </cell>
          <cell r="O156">
            <v>1.05</v>
          </cell>
          <cell r="P156">
            <v>1.1000000000000001</v>
          </cell>
          <cell r="Q156">
            <v>1.1499999999999999</v>
          </cell>
          <cell r="R156" t="str">
            <v>INTERIOR</v>
          </cell>
          <cell r="S156">
            <v>4</v>
          </cell>
          <cell r="T156">
            <v>6</v>
          </cell>
          <cell r="U156" t="str">
            <v>Ciudad principal</v>
          </cell>
          <cell r="V156" t="str">
            <v>High End Cut Sheet</v>
          </cell>
          <cell r="W156" t="str">
            <v>GUANAJUATO</v>
          </cell>
          <cell r="X156">
            <v>2019</v>
          </cell>
          <cell r="Y156" t="str">
            <v>Qtr 2</v>
          </cell>
          <cell r="Z156" t="str">
            <v>April</v>
          </cell>
          <cell r="AA156">
            <v>2</v>
          </cell>
          <cell r="AB156">
            <v>0</v>
          </cell>
          <cell r="AC156">
            <v>18</v>
          </cell>
          <cell r="AD156">
            <v>1.05</v>
          </cell>
          <cell r="AE156">
            <v>9.1666675000000003E-2</v>
          </cell>
          <cell r="AF156">
            <v>1651.65</v>
          </cell>
        </row>
        <row r="157">
          <cell r="B157" t="str">
            <v>0C4X008113</v>
          </cell>
          <cell r="C157">
            <v>2019</v>
          </cell>
          <cell r="D157" t="str">
            <v>Qtr 2</v>
          </cell>
          <cell r="E157" t="str">
            <v>April</v>
          </cell>
          <cell r="F157">
            <v>2</v>
          </cell>
          <cell r="G157" t="str">
            <v>CORRECTIVO</v>
          </cell>
          <cell r="H157">
            <v>2.483333</v>
          </cell>
          <cell r="I157" t="str">
            <v>A4 Mono MFPs</v>
          </cell>
          <cell r="J157">
            <v>468</v>
          </cell>
          <cell r="K157">
            <v>715</v>
          </cell>
          <cell r="L157">
            <v>0</v>
          </cell>
          <cell r="M157">
            <v>0</v>
          </cell>
          <cell r="N157">
            <v>0</v>
          </cell>
          <cell r="O157">
            <v>0.6</v>
          </cell>
          <cell r="P157">
            <v>0.8</v>
          </cell>
          <cell r="Q157">
            <v>1.05</v>
          </cell>
          <cell r="R157" t="str">
            <v>INTERIOR</v>
          </cell>
          <cell r="S157">
            <v>5</v>
          </cell>
          <cell r="T157">
            <v>9</v>
          </cell>
          <cell r="U157" t="str">
            <v>Ciudad principal</v>
          </cell>
          <cell r="V157" t="str">
            <v>A4 Mono MFPs</v>
          </cell>
          <cell r="W157" t="str">
            <v>JALISCO</v>
          </cell>
          <cell r="X157">
            <v>2019</v>
          </cell>
          <cell r="Y157" t="str">
            <v>Qtr 2</v>
          </cell>
          <cell r="Z157" t="str">
            <v>April</v>
          </cell>
          <cell r="AA157">
            <v>2</v>
          </cell>
          <cell r="AB157">
            <v>0</v>
          </cell>
          <cell r="AC157">
            <v>278</v>
          </cell>
          <cell r="AD157">
            <v>1.05</v>
          </cell>
          <cell r="AE157">
            <v>0.49666660000000001</v>
          </cell>
          <cell r="AF157">
            <v>750.75</v>
          </cell>
        </row>
        <row r="158">
          <cell r="B158" t="str">
            <v>0A2T380265</v>
          </cell>
          <cell r="C158">
            <v>2019</v>
          </cell>
          <cell r="D158" t="str">
            <v>Qtr 2</v>
          </cell>
          <cell r="E158" t="str">
            <v>April</v>
          </cell>
          <cell r="F158">
            <v>2</v>
          </cell>
          <cell r="G158" t="str">
            <v>CORRECTIVO</v>
          </cell>
          <cell r="H158">
            <v>2.65</v>
          </cell>
          <cell r="I158" t="str">
            <v>A4 Mono MFPs</v>
          </cell>
          <cell r="J158">
            <v>468</v>
          </cell>
          <cell r="K158">
            <v>715</v>
          </cell>
          <cell r="L158">
            <v>0</v>
          </cell>
          <cell r="M158">
            <v>0</v>
          </cell>
          <cell r="N158">
            <v>0</v>
          </cell>
          <cell r="O158">
            <v>0.6</v>
          </cell>
          <cell r="P158">
            <v>0.8</v>
          </cell>
          <cell r="Q158">
            <v>1.05</v>
          </cell>
          <cell r="R158" t="str">
            <v>INTERIOR</v>
          </cell>
          <cell r="S158">
            <v>5</v>
          </cell>
          <cell r="T158">
            <v>9</v>
          </cell>
          <cell r="U158" t="str">
            <v>Ciudad principal</v>
          </cell>
          <cell r="V158" t="str">
            <v>A4 Mono MFPs</v>
          </cell>
          <cell r="W158" t="str">
            <v>JALISCO</v>
          </cell>
          <cell r="X158">
            <v>2019</v>
          </cell>
          <cell r="Y158" t="str">
            <v>Qtr 2</v>
          </cell>
          <cell r="Z158" t="str">
            <v>April</v>
          </cell>
          <cell r="AA158">
            <v>4</v>
          </cell>
          <cell r="AB158">
            <v>0</v>
          </cell>
          <cell r="AC158">
            <v>119</v>
          </cell>
          <cell r="AD158">
            <v>1.05</v>
          </cell>
          <cell r="AE158">
            <v>0.53</v>
          </cell>
          <cell r="AF158">
            <v>750.75</v>
          </cell>
        </row>
        <row r="159">
          <cell r="B159" t="str">
            <v>0UHA001710</v>
          </cell>
          <cell r="C159">
            <v>2019</v>
          </cell>
          <cell r="D159" t="str">
            <v>Qtr 2</v>
          </cell>
          <cell r="E159" t="str">
            <v>April</v>
          </cell>
          <cell r="F159">
            <v>2</v>
          </cell>
          <cell r="G159" t="str">
            <v>CORRECTIVO</v>
          </cell>
          <cell r="H159">
            <v>2.8</v>
          </cell>
          <cell r="I159" t="str">
            <v>High End Cut Sheet</v>
          </cell>
          <cell r="J159">
            <v>1116</v>
          </cell>
          <cell r="K159">
            <v>2145</v>
          </cell>
          <cell r="L159">
            <v>0.6</v>
          </cell>
          <cell r="M159">
            <v>0.8</v>
          </cell>
          <cell r="N159">
            <v>1.05</v>
          </cell>
          <cell r="O159">
            <v>1.1000000000000001</v>
          </cell>
          <cell r="P159">
            <v>1.1499999999999999</v>
          </cell>
          <cell r="Q159">
            <v>1.2</v>
          </cell>
          <cell r="R159" t="str">
            <v>INTERIOR</v>
          </cell>
          <cell r="S159">
            <v>3</v>
          </cell>
          <cell r="T159">
            <v>6</v>
          </cell>
          <cell r="U159" t="str">
            <v>Ciudad principal</v>
          </cell>
          <cell r="V159" t="str">
            <v>High End Cut Sheet</v>
          </cell>
          <cell r="W159" t="str">
            <v>NUEVO LEON</v>
          </cell>
          <cell r="X159">
            <v>2019</v>
          </cell>
          <cell r="Y159" t="str">
            <v>Qtr 2</v>
          </cell>
          <cell r="Z159" t="str">
            <v>April</v>
          </cell>
          <cell r="AA159">
            <v>10</v>
          </cell>
          <cell r="AB159">
            <v>0</v>
          </cell>
          <cell r="AC159">
            <v>6</v>
          </cell>
          <cell r="AD159">
            <v>0.8</v>
          </cell>
          <cell r="AE159">
            <v>0.93333333333333302</v>
          </cell>
          <cell r="AF159">
            <v>1716</v>
          </cell>
        </row>
        <row r="160">
          <cell r="B160" t="str">
            <v>0BB1250884</v>
          </cell>
          <cell r="C160">
            <v>2019</v>
          </cell>
          <cell r="D160" t="str">
            <v>Qtr 2</v>
          </cell>
          <cell r="E160" t="str">
            <v>April</v>
          </cell>
          <cell r="F160">
            <v>2</v>
          </cell>
          <cell r="G160" t="str">
            <v>CORRECTIVO</v>
          </cell>
          <cell r="H160">
            <v>0.51666670000000003</v>
          </cell>
          <cell r="I160" t="str">
            <v>A4 Mono MFPs</v>
          </cell>
          <cell r="J160">
            <v>468</v>
          </cell>
          <cell r="K160">
            <v>715</v>
          </cell>
          <cell r="L160">
            <v>0</v>
          </cell>
          <cell r="M160">
            <v>0</v>
          </cell>
          <cell r="N160">
            <v>0</v>
          </cell>
          <cell r="O160">
            <v>0.6</v>
          </cell>
          <cell r="P160">
            <v>0.8</v>
          </cell>
          <cell r="Q160">
            <v>1.05</v>
          </cell>
          <cell r="R160" t="str">
            <v>INTERIOR</v>
          </cell>
          <cell r="S160">
            <v>5</v>
          </cell>
          <cell r="T160">
            <v>9</v>
          </cell>
          <cell r="U160" t="str">
            <v>Otras</v>
          </cell>
          <cell r="V160" t="str">
            <v>A4 Mono MFPs</v>
          </cell>
          <cell r="W160" t="str">
            <v>MICHOACAN</v>
          </cell>
          <cell r="X160">
            <v>2019</v>
          </cell>
          <cell r="Y160" t="str">
            <v>Qtr 2</v>
          </cell>
          <cell r="Z160" t="str">
            <v>April</v>
          </cell>
          <cell r="AA160">
            <v>9</v>
          </cell>
          <cell r="AB160">
            <v>0</v>
          </cell>
          <cell r="AC160">
            <v>363</v>
          </cell>
          <cell r="AD160">
            <v>1.05</v>
          </cell>
          <cell r="AE160">
            <v>5.7407411111111098E-2</v>
          </cell>
          <cell r="AF160">
            <v>750.75</v>
          </cell>
        </row>
        <row r="161">
          <cell r="B161">
            <v>1161065</v>
          </cell>
          <cell r="C161">
            <v>2019</v>
          </cell>
          <cell r="D161" t="str">
            <v>Qtr 2</v>
          </cell>
          <cell r="E161" t="str">
            <v>April</v>
          </cell>
          <cell r="F161">
            <v>2</v>
          </cell>
          <cell r="G161" t="str">
            <v>INSTALACION NUEVA</v>
          </cell>
          <cell r="H161">
            <v>0</v>
          </cell>
          <cell r="J161" t="str">
            <v>NA</v>
          </cell>
          <cell r="K161" t="str">
            <v>NA</v>
          </cell>
          <cell r="L161" t="str">
            <v>NA</v>
          </cell>
          <cell r="M161" t="str">
            <v>NA</v>
          </cell>
          <cell r="N161" t="str">
            <v>NA</v>
          </cell>
          <cell r="O161" t="str">
            <v>NA</v>
          </cell>
          <cell r="P161" t="str">
            <v>NA</v>
          </cell>
          <cell r="Q161" t="str">
            <v>NA</v>
          </cell>
          <cell r="S161" t="str">
            <v>NA</v>
          </cell>
          <cell r="T161" t="str">
            <v>NA</v>
          </cell>
          <cell r="W161" t="str">
            <v>MICHOACAN</v>
          </cell>
          <cell r="X161">
            <v>2019</v>
          </cell>
          <cell r="Y161" t="str">
            <v>Qtr 2</v>
          </cell>
          <cell r="Z161" t="str">
            <v>April</v>
          </cell>
          <cell r="AA161">
            <v>11</v>
          </cell>
          <cell r="AB161" t="str">
            <v>NA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</row>
        <row r="162">
          <cell r="B162" t="str">
            <v>09HB331815</v>
          </cell>
          <cell r="C162">
            <v>2019</v>
          </cell>
          <cell r="D162" t="str">
            <v>Qtr 2</v>
          </cell>
          <cell r="E162" t="str">
            <v>April</v>
          </cell>
          <cell r="F162">
            <v>2</v>
          </cell>
          <cell r="G162" t="str">
            <v>CORRECTIVO</v>
          </cell>
          <cell r="H162">
            <v>0.4166667</v>
          </cell>
          <cell r="J162" t="str">
            <v>NA</v>
          </cell>
          <cell r="K162" t="str">
            <v>NA</v>
          </cell>
          <cell r="L162" t="str">
            <v>NA</v>
          </cell>
          <cell r="M162" t="str">
            <v>NA</v>
          </cell>
          <cell r="N162" t="str">
            <v>NA</v>
          </cell>
          <cell r="O162" t="str">
            <v>NA</v>
          </cell>
          <cell r="P162" t="str">
            <v>NA</v>
          </cell>
          <cell r="Q162" t="str">
            <v>NA</v>
          </cell>
          <cell r="S162" t="str">
            <v>NA</v>
          </cell>
          <cell r="T162" t="str">
            <v>NA</v>
          </cell>
          <cell r="V162" t="str">
            <v>A4 Mono MFPs</v>
          </cell>
          <cell r="W162" t="str">
            <v>ESTADO DE MEXICO</v>
          </cell>
          <cell r="X162">
            <v>2019</v>
          </cell>
          <cell r="Y162" t="str">
            <v>Qtr 2</v>
          </cell>
          <cell r="Z162" t="str">
            <v>April</v>
          </cell>
          <cell r="AA162">
            <v>2</v>
          </cell>
          <cell r="AB162" t="str">
            <v>NA</v>
          </cell>
          <cell r="AC162">
            <v>4</v>
          </cell>
          <cell r="AD162">
            <v>0</v>
          </cell>
          <cell r="AE162">
            <v>0</v>
          </cell>
          <cell r="AF162">
            <v>0</v>
          </cell>
        </row>
        <row r="163">
          <cell r="B163" t="str">
            <v>0EX7397457</v>
          </cell>
          <cell r="C163">
            <v>2019</v>
          </cell>
          <cell r="D163" t="str">
            <v>Qtr 2</v>
          </cell>
          <cell r="E163" t="str">
            <v>April</v>
          </cell>
          <cell r="F163">
            <v>2</v>
          </cell>
          <cell r="G163" t="str">
            <v>CORRECTIVO</v>
          </cell>
          <cell r="H163">
            <v>5.4166670000000003</v>
          </cell>
          <cell r="I163" t="str">
            <v>Office Digital</v>
          </cell>
          <cell r="J163">
            <v>655</v>
          </cell>
          <cell r="K163">
            <v>1365</v>
          </cell>
          <cell r="L163">
            <v>0</v>
          </cell>
          <cell r="M163">
            <v>0</v>
          </cell>
          <cell r="N163">
            <v>0.6</v>
          </cell>
          <cell r="O163">
            <v>0.8</v>
          </cell>
          <cell r="P163">
            <v>1.05</v>
          </cell>
          <cell r="Q163">
            <v>1.1000000000000001</v>
          </cell>
          <cell r="R163" t="str">
            <v>INTERIOR</v>
          </cell>
          <cell r="S163">
            <v>5</v>
          </cell>
          <cell r="T163">
            <v>9</v>
          </cell>
          <cell r="U163" t="str">
            <v>Ciudad principal</v>
          </cell>
          <cell r="V163" t="str">
            <v>Departmental Digital</v>
          </cell>
          <cell r="W163" t="str">
            <v>TAMAULIPAS</v>
          </cell>
          <cell r="X163">
            <v>2019</v>
          </cell>
          <cell r="Y163" t="str">
            <v>Qtr 2</v>
          </cell>
          <cell r="Z163" t="str">
            <v>April</v>
          </cell>
          <cell r="AA163">
            <v>15</v>
          </cell>
          <cell r="AB163">
            <v>0</v>
          </cell>
          <cell r="AC163">
            <v>69</v>
          </cell>
          <cell r="AD163">
            <v>1.1000000000000001</v>
          </cell>
          <cell r="AE163">
            <v>1.0833333999999999</v>
          </cell>
          <cell r="AF163">
            <v>1473.06247725</v>
          </cell>
        </row>
        <row r="164">
          <cell r="B164" t="str">
            <v>0BG0974969</v>
          </cell>
          <cell r="C164">
            <v>2019</v>
          </cell>
          <cell r="D164" t="str">
            <v>Qtr 2</v>
          </cell>
          <cell r="E164" t="str">
            <v>April</v>
          </cell>
          <cell r="F164">
            <v>2</v>
          </cell>
          <cell r="G164" t="str">
            <v>MANTENIMIENTO PREVENTIVO</v>
          </cell>
          <cell r="H164">
            <v>0</v>
          </cell>
          <cell r="I164" t="str">
            <v>Light Production Digital Business</v>
          </cell>
          <cell r="J164">
            <v>803</v>
          </cell>
          <cell r="K164">
            <v>1573</v>
          </cell>
          <cell r="L164">
            <v>0.2</v>
          </cell>
          <cell r="M164">
            <v>0.6</v>
          </cell>
          <cell r="N164">
            <v>0.8</v>
          </cell>
          <cell r="O164">
            <v>1.05</v>
          </cell>
          <cell r="P164">
            <v>1.1000000000000001</v>
          </cell>
          <cell r="Q164">
            <v>1.1499999999999999</v>
          </cell>
          <cell r="R164" t="str">
            <v>INTERIOR</v>
          </cell>
          <cell r="S164">
            <v>4</v>
          </cell>
          <cell r="T164">
            <v>6</v>
          </cell>
          <cell r="U164" t="str">
            <v>Ciudad principal</v>
          </cell>
          <cell r="V164" t="str">
            <v>High End Cut Sheet</v>
          </cell>
          <cell r="W164" t="str">
            <v>JALISCO</v>
          </cell>
          <cell r="X164">
            <v>2019</v>
          </cell>
          <cell r="Y164" t="str">
            <v>Qtr 2</v>
          </cell>
          <cell r="Z164" t="str">
            <v>April</v>
          </cell>
          <cell r="AA164">
            <v>2</v>
          </cell>
          <cell r="AB164">
            <v>1</v>
          </cell>
          <cell r="AC164">
            <v>4</v>
          </cell>
          <cell r="AD164">
            <v>0</v>
          </cell>
          <cell r="AE164">
            <v>0</v>
          </cell>
          <cell r="AF164">
            <v>0</v>
          </cell>
        </row>
        <row r="165">
          <cell r="B165" t="str">
            <v>03AG880318</v>
          </cell>
          <cell r="C165">
            <v>2019</v>
          </cell>
          <cell r="D165" t="str">
            <v>Qtr 2</v>
          </cell>
          <cell r="E165" t="str">
            <v>April</v>
          </cell>
          <cell r="F165">
            <v>2</v>
          </cell>
          <cell r="G165" t="str">
            <v>CORRECTIVO</v>
          </cell>
          <cell r="H165">
            <v>0.3</v>
          </cell>
          <cell r="I165" t="str">
            <v>Departmental Digital</v>
          </cell>
          <cell r="J165">
            <v>655</v>
          </cell>
          <cell r="K165">
            <v>1365</v>
          </cell>
          <cell r="L165">
            <v>0</v>
          </cell>
          <cell r="M165">
            <v>0</v>
          </cell>
          <cell r="N165">
            <v>0.6</v>
          </cell>
          <cell r="O165">
            <v>0.8</v>
          </cell>
          <cell r="P165">
            <v>1.05</v>
          </cell>
          <cell r="Q165">
            <v>1.1000000000000001</v>
          </cell>
          <cell r="R165" t="str">
            <v>INTERIOR</v>
          </cell>
          <cell r="S165">
            <v>5</v>
          </cell>
          <cell r="T165">
            <v>9</v>
          </cell>
          <cell r="U165" t="str">
            <v>Ciudad principal</v>
          </cell>
          <cell r="V165" t="str">
            <v>Light Production Digital Business</v>
          </cell>
          <cell r="W165" t="str">
            <v>NUEVO LEON</v>
          </cell>
          <cell r="X165">
            <v>2019</v>
          </cell>
          <cell r="Y165" t="str">
            <v>Qtr 2</v>
          </cell>
          <cell r="Z165" t="str">
            <v>April</v>
          </cell>
          <cell r="AA165">
            <v>2</v>
          </cell>
          <cell r="AB165">
            <v>0</v>
          </cell>
          <cell r="AC165">
            <v>21</v>
          </cell>
          <cell r="AD165">
            <v>0.8</v>
          </cell>
          <cell r="AE165">
            <v>0.06</v>
          </cell>
          <cell r="AF165">
            <v>1092</v>
          </cell>
        </row>
        <row r="166">
          <cell r="B166" t="str">
            <v>0Y4X843007</v>
          </cell>
          <cell r="C166">
            <v>2019</v>
          </cell>
          <cell r="D166" t="str">
            <v>Qtr 2</v>
          </cell>
          <cell r="E166" t="str">
            <v>April</v>
          </cell>
          <cell r="F166">
            <v>2</v>
          </cell>
          <cell r="G166" t="str">
            <v>CORRECTIVO</v>
          </cell>
          <cell r="H166">
            <v>1.8333330000000001</v>
          </cell>
          <cell r="I166" t="str">
            <v>Office Digital</v>
          </cell>
          <cell r="J166">
            <v>655</v>
          </cell>
          <cell r="K166">
            <v>1365</v>
          </cell>
          <cell r="L166">
            <v>0</v>
          </cell>
          <cell r="M166">
            <v>0</v>
          </cell>
          <cell r="N166">
            <v>0.6</v>
          </cell>
          <cell r="O166">
            <v>0.8</v>
          </cell>
          <cell r="P166">
            <v>1.05</v>
          </cell>
          <cell r="Q166">
            <v>1.1000000000000001</v>
          </cell>
          <cell r="R166" t="str">
            <v>INTERIOR</v>
          </cell>
          <cell r="S166">
            <v>5</v>
          </cell>
          <cell r="T166">
            <v>9</v>
          </cell>
          <cell r="U166" t="str">
            <v>Ciudad principal</v>
          </cell>
          <cell r="V166" t="str">
            <v>Light Production Digital Business</v>
          </cell>
          <cell r="W166" t="str">
            <v>GUANAJUATO</v>
          </cell>
          <cell r="X166">
            <v>2019</v>
          </cell>
          <cell r="Y166" t="str">
            <v>Qtr 2</v>
          </cell>
          <cell r="Z166" t="str">
            <v>April</v>
          </cell>
          <cell r="AA166">
            <v>3</v>
          </cell>
          <cell r="AB166">
            <v>0</v>
          </cell>
          <cell r="AC166">
            <v>82</v>
          </cell>
          <cell r="AD166">
            <v>1.1000000000000001</v>
          </cell>
          <cell r="AE166">
            <v>0.36666660000000001</v>
          </cell>
          <cell r="AF166">
            <v>1501.5</v>
          </cell>
        </row>
        <row r="167">
          <cell r="B167" t="str">
            <v>0Y4X849031</v>
          </cell>
          <cell r="C167">
            <v>2019</v>
          </cell>
          <cell r="D167" t="str">
            <v>Qtr 2</v>
          </cell>
          <cell r="E167" t="str">
            <v>April</v>
          </cell>
          <cell r="F167">
            <v>2</v>
          </cell>
          <cell r="G167" t="str">
            <v>MANTENIMIENTO PREVENTIVO</v>
          </cell>
          <cell r="H167">
            <v>0</v>
          </cell>
          <cell r="I167" t="str">
            <v>Office Digital</v>
          </cell>
          <cell r="J167">
            <v>655</v>
          </cell>
          <cell r="K167">
            <v>1365</v>
          </cell>
          <cell r="L167">
            <v>0</v>
          </cell>
          <cell r="M167">
            <v>0</v>
          </cell>
          <cell r="N167">
            <v>0.6</v>
          </cell>
          <cell r="O167">
            <v>0.8</v>
          </cell>
          <cell r="P167">
            <v>1.05</v>
          </cell>
          <cell r="Q167">
            <v>1.1000000000000001</v>
          </cell>
          <cell r="R167" t="str">
            <v>INTERIOR</v>
          </cell>
          <cell r="S167">
            <v>5</v>
          </cell>
          <cell r="T167">
            <v>9</v>
          </cell>
          <cell r="U167" t="str">
            <v>Ciudad principal</v>
          </cell>
          <cell r="V167" t="str">
            <v>A4 Mono MFPs</v>
          </cell>
          <cell r="W167" t="str">
            <v>JALISCO</v>
          </cell>
          <cell r="X167">
            <v>2019</v>
          </cell>
          <cell r="Y167" t="str">
            <v>Qtr 2</v>
          </cell>
          <cell r="Z167" t="str">
            <v>April</v>
          </cell>
          <cell r="AA167">
            <v>2</v>
          </cell>
          <cell r="AB167">
            <v>1</v>
          </cell>
          <cell r="AC167">
            <v>7</v>
          </cell>
          <cell r="AD167">
            <v>0</v>
          </cell>
          <cell r="AE167">
            <v>0</v>
          </cell>
          <cell r="AF167">
            <v>0</v>
          </cell>
        </row>
        <row r="168">
          <cell r="B168" t="str">
            <v>06HB015881</v>
          </cell>
          <cell r="C168">
            <v>2019</v>
          </cell>
          <cell r="D168" t="str">
            <v>Qtr 2</v>
          </cell>
          <cell r="E168" t="str">
            <v>April</v>
          </cell>
          <cell r="F168">
            <v>2</v>
          </cell>
          <cell r="G168" t="str">
            <v>CORRECTIVO</v>
          </cell>
          <cell r="H168">
            <v>3.2</v>
          </cell>
          <cell r="I168" t="str">
            <v>Entry Mono Printers</v>
          </cell>
          <cell r="J168">
            <v>468</v>
          </cell>
          <cell r="K168">
            <v>715</v>
          </cell>
          <cell r="L168">
            <v>0</v>
          </cell>
          <cell r="M168">
            <v>0</v>
          </cell>
          <cell r="N168">
            <v>0</v>
          </cell>
          <cell r="O168">
            <v>0.6</v>
          </cell>
          <cell r="P168">
            <v>0.8</v>
          </cell>
          <cell r="Q168">
            <v>1.05</v>
          </cell>
          <cell r="R168" t="str">
            <v>INTERIOR</v>
          </cell>
          <cell r="S168">
            <v>5</v>
          </cell>
          <cell r="T168">
            <v>9</v>
          </cell>
          <cell r="U168" t="str">
            <v>Ciudad principal</v>
          </cell>
          <cell r="V168" t="str">
            <v>A4 Mono MFPs</v>
          </cell>
          <cell r="W168" t="str">
            <v>GUANAJUATO</v>
          </cell>
          <cell r="X168">
            <v>2019</v>
          </cell>
          <cell r="Y168" t="str">
            <v>Qtr 2</v>
          </cell>
          <cell r="Z168" t="str">
            <v>April</v>
          </cell>
          <cell r="AA168">
            <v>3</v>
          </cell>
          <cell r="AB168">
            <v>0</v>
          </cell>
          <cell r="AC168">
            <v>0</v>
          </cell>
          <cell r="AD168">
            <v>1.05</v>
          </cell>
          <cell r="AE168">
            <v>0.64</v>
          </cell>
          <cell r="AF168">
            <v>750.75</v>
          </cell>
        </row>
        <row r="169">
          <cell r="B169" t="str">
            <v>0C7X246782</v>
          </cell>
          <cell r="C169">
            <v>2019</v>
          </cell>
          <cell r="D169" t="str">
            <v>Qtr 2</v>
          </cell>
          <cell r="E169" t="str">
            <v>April</v>
          </cell>
          <cell r="F169">
            <v>2</v>
          </cell>
          <cell r="G169" t="str">
            <v>CORRECTIVO</v>
          </cell>
          <cell r="H169">
            <v>1.4166669999999999</v>
          </cell>
          <cell r="J169" t="str">
            <v>NA</v>
          </cell>
          <cell r="K169" t="str">
            <v>NA</v>
          </cell>
          <cell r="L169" t="str">
            <v>NA</v>
          </cell>
          <cell r="M169" t="str">
            <v>NA</v>
          </cell>
          <cell r="N169" t="str">
            <v>NA</v>
          </cell>
          <cell r="O169" t="str">
            <v>NA</v>
          </cell>
          <cell r="P169" t="str">
            <v>NA</v>
          </cell>
          <cell r="Q169" t="str">
            <v>NA</v>
          </cell>
          <cell r="S169" t="str">
            <v>NA</v>
          </cell>
          <cell r="T169" t="str">
            <v>NA</v>
          </cell>
          <cell r="V169" t="str">
            <v>A4 Mono MFPs</v>
          </cell>
          <cell r="W169" t="str">
            <v>CHIHUAHUA</v>
          </cell>
          <cell r="X169">
            <v>2019</v>
          </cell>
          <cell r="Y169" t="str">
            <v>Qtr 2</v>
          </cell>
          <cell r="Z169" t="str">
            <v>April</v>
          </cell>
          <cell r="AA169">
            <v>5</v>
          </cell>
          <cell r="AB169" t="str">
            <v>NA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B170" t="str">
            <v>0BG0962083</v>
          </cell>
          <cell r="C170">
            <v>2019</v>
          </cell>
          <cell r="D170" t="str">
            <v>Qtr 2</v>
          </cell>
          <cell r="E170" t="str">
            <v>April</v>
          </cell>
          <cell r="F170">
            <v>2</v>
          </cell>
          <cell r="G170" t="str">
            <v>CORRECTIVO</v>
          </cell>
          <cell r="H170">
            <v>0.55000000000000004</v>
          </cell>
          <cell r="I170" t="str">
            <v>Light Production Digital Business</v>
          </cell>
          <cell r="J170">
            <v>803</v>
          </cell>
          <cell r="K170">
            <v>1573</v>
          </cell>
          <cell r="L170">
            <v>0.2</v>
          </cell>
          <cell r="M170">
            <v>0.6</v>
          </cell>
          <cell r="N170">
            <v>0.8</v>
          </cell>
          <cell r="O170">
            <v>1.05</v>
          </cell>
          <cell r="P170">
            <v>1.1000000000000001</v>
          </cell>
          <cell r="Q170">
            <v>1.1499999999999999</v>
          </cell>
          <cell r="R170" t="str">
            <v>INTERIOR</v>
          </cell>
          <cell r="S170">
            <v>4</v>
          </cell>
          <cell r="T170">
            <v>6</v>
          </cell>
          <cell r="U170" t="str">
            <v>Ciudad principal</v>
          </cell>
          <cell r="V170" t="str">
            <v>High End Cut Sheet</v>
          </cell>
          <cell r="W170" t="str">
            <v>NUEVO LEON</v>
          </cell>
          <cell r="X170">
            <v>2019</v>
          </cell>
          <cell r="Y170" t="str">
            <v>Qtr 2</v>
          </cell>
          <cell r="Z170" t="str">
            <v>April</v>
          </cell>
          <cell r="AA170">
            <v>5</v>
          </cell>
          <cell r="AB170">
            <v>0</v>
          </cell>
          <cell r="AC170">
            <v>11</v>
          </cell>
          <cell r="AD170">
            <v>0.8</v>
          </cell>
          <cell r="AE170">
            <v>0.13750000000000001</v>
          </cell>
          <cell r="AF170">
            <v>1258.4000000000001</v>
          </cell>
        </row>
        <row r="171">
          <cell r="B171" t="str">
            <v>0E2B658304</v>
          </cell>
          <cell r="C171">
            <v>2019</v>
          </cell>
          <cell r="D171" t="str">
            <v>Qtr 2</v>
          </cell>
          <cell r="E171" t="str">
            <v>April</v>
          </cell>
          <cell r="F171">
            <v>2</v>
          </cell>
          <cell r="G171" t="str">
            <v>CORRECTIVO</v>
          </cell>
          <cell r="H171">
            <v>0.68333330000000003</v>
          </cell>
          <cell r="I171" t="str">
            <v>Entry Production Color Low/Mid</v>
          </cell>
          <cell r="J171">
            <v>803</v>
          </cell>
          <cell r="K171">
            <v>1573</v>
          </cell>
          <cell r="L171">
            <v>0.2</v>
          </cell>
          <cell r="M171">
            <v>0.6</v>
          </cell>
          <cell r="N171">
            <v>0.8</v>
          </cell>
          <cell r="O171">
            <v>1.05</v>
          </cell>
          <cell r="P171">
            <v>1.1000000000000001</v>
          </cell>
          <cell r="Q171">
            <v>1.1499999999999999</v>
          </cell>
          <cell r="R171" t="str">
            <v>INTERIOR</v>
          </cell>
          <cell r="S171">
            <v>4</v>
          </cell>
          <cell r="T171">
            <v>6</v>
          </cell>
          <cell r="U171" t="str">
            <v>Ciudad principal</v>
          </cell>
          <cell r="V171" t="str">
            <v>Entry Production Color Low/Mid</v>
          </cell>
          <cell r="W171" t="str">
            <v>NUEVO LEON</v>
          </cell>
          <cell r="X171">
            <v>2019</v>
          </cell>
          <cell r="Y171" t="str">
            <v>Qtr 2</v>
          </cell>
          <cell r="Z171" t="str">
            <v>April</v>
          </cell>
          <cell r="AA171">
            <v>2</v>
          </cell>
          <cell r="AB171">
            <v>0</v>
          </cell>
          <cell r="AC171">
            <v>5</v>
          </cell>
          <cell r="AD171">
            <v>0.6</v>
          </cell>
          <cell r="AE171">
            <v>0.17083332500000001</v>
          </cell>
          <cell r="AF171">
            <v>943.8</v>
          </cell>
        </row>
        <row r="172">
          <cell r="B172" t="str">
            <v>03AG880355</v>
          </cell>
          <cell r="C172">
            <v>2019</v>
          </cell>
          <cell r="D172" t="str">
            <v>Qtr 2</v>
          </cell>
          <cell r="E172" t="str">
            <v>April</v>
          </cell>
          <cell r="F172">
            <v>2</v>
          </cell>
          <cell r="G172" t="str">
            <v>CORRECTIVO</v>
          </cell>
          <cell r="H172">
            <v>0.6</v>
          </cell>
          <cell r="I172" t="str">
            <v>Departmental Digital</v>
          </cell>
          <cell r="J172">
            <v>655</v>
          </cell>
          <cell r="K172">
            <v>1365</v>
          </cell>
          <cell r="L172">
            <v>0</v>
          </cell>
          <cell r="M172">
            <v>0</v>
          </cell>
          <cell r="N172">
            <v>0.6</v>
          </cell>
          <cell r="O172">
            <v>0.8</v>
          </cell>
          <cell r="P172">
            <v>1.05</v>
          </cell>
          <cell r="Q172">
            <v>1.1000000000000001</v>
          </cell>
          <cell r="R172" t="str">
            <v>INTERIOR</v>
          </cell>
          <cell r="S172">
            <v>5</v>
          </cell>
          <cell r="T172">
            <v>9</v>
          </cell>
          <cell r="U172" t="str">
            <v>Ciudad principal</v>
          </cell>
          <cell r="V172" t="str">
            <v>Light Production Digital Business</v>
          </cell>
          <cell r="W172" t="str">
            <v>JALISCO</v>
          </cell>
          <cell r="X172">
            <v>2019</v>
          </cell>
          <cell r="Y172" t="str">
            <v>Qtr 2</v>
          </cell>
          <cell r="Z172" t="str">
            <v>April</v>
          </cell>
          <cell r="AA172">
            <v>3</v>
          </cell>
          <cell r="AB172">
            <v>0</v>
          </cell>
          <cell r="AC172">
            <v>6</v>
          </cell>
          <cell r="AD172">
            <v>0</v>
          </cell>
          <cell r="AE172">
            <v>0.12</v>
          </cell>
          <cell r="AF172">
            <v>0</v>
          </cell>
        </row>
        <row r="173">
          <cell r="B173" t="str">
            <v>0BG2947925</v>
          </cell>
          <cell r="C173">
            <v>2019</v>
          </cell>
          <cell r="D173" t="str">
            <v>Qtr 2</v>
          </cell>
          <cell r="E173" t="str">
            <v>April</v>
          </cell>
          <cell r="F173">
            <v>2</v>
          </cell>
          <cell r="G173" t="str">
            <v>CORRECTIVO</v>
          </cell>
          <cell r="H173">
            <v>0.85</v>
          </cell>
          <cell r="I173" t="str">
            <v>Light Production Digital Business</v>
          </cell>
          <cell r="J173">
            <v>803</v>
          </cell>
          <cell r="K173">
            <v>1573</v>
          </cell>
          <cell r="L173">
            <v>0.2</v>
          </cell>
          <cell r="M173">
            <v>0.6</v>
          </cell>
          <cell r="N173">
            <v>0.8</v>
          </cell>
          <cell r="O173">
            <v>1.05</v>
          </cell>
          <cell r="P173">
            <v>1.1000000000000001</v>
          </cell>
          <cell r="Q173">
            <v>1.1499999999999999</v>
          </cell>
          <cell r="R173" t="str">
            <v>INTERIOR</v>
          </cell>
          <cell r="S173">
            <v>4</v>
          </cell>
          <cell r="T173">
            <v>6</v>
          </cell>
          <cell r="U173" t="str">
            <v>Ciudad principal</v>
          </cell>
          <cell r="V173" t="str">
            <v>High End Cut Sheet</v>
          </cell>
          <cell r="W173" t="str">
            <v>GUANAJUATO</v>
          </cell>
          <cell r="X173">
            <v>2019</v>
          </cell>
          <cell r="Y173" t="str">
            <v>Qtr 2</v>
          </cell>
          <cell r="Z173" t="str">
            <v>April</v>
          </cell>
          <cell r="AA173">
            <v>3</v>
          </cell>
          <cell r="AB173">
            <v>0</v>
          </cell>
          <cell r="AC173">
            <v>36</v>
          </cell>
          <cell r="AD173">
            <v>1.1000000000000001</v>
          </cell>
          <cell r="AE173">
            <v>0.21249999999999999</v>
          </cell>
          <cell r="AF173">
            <v>1730.3</v>
          </cell>
        </row>
        <row r="174">
          <cell r="B174" t="str">
            <v>0B2R091016</v>
          </cell>
          <cell r="C174">
            <v>2019</v>
          </cell>
          <cell r="D174" t="str">
            <v>Qtr 2</v>
          </cell>
          <cell r="E174" t="str">
            <v>April</v>
          </cell>
          <cell r="F174">
            <v>2</v>
          </cell>
          <cell r="G174" t="str">
            <v>CORRECTIVO</v>
          </cell>
          <cell r="H174">
            <v>0.61666670000000001</v>
          </cell>
          <cell r="I174" t="str">
            <v>Entry Production Color Low/Mid</v>
          </cell>
          <cell r="J174">
            <v>803</v>
          </cell>
          <cell r="K174">
            <v>1573</v>
          </cell>
          <cell r="L174">
            <v>0.2</v>
          </cell>
          <cell r="M174">
            <v>0.6</v>
          </cell>
          <cell r="N174">
            <v>0.8</v>
          </cell>
          <cell r="O174">
            <v>1.05</v>
          </cell>
          <cell r="P174">
            <v>1.1000000000000001</v>
          </cell>
          <cell r="Q174">
            <v>1.1499999999999999</v>
          </cell>
          <cell r="R174" t="str">
            <v>INTERIOR</v>
          </cell>
          <cell r="S174">
            <v>4</v>
          </cell>
          <cell r="T174">
            <v>6</v>
          </cell>
          <cell r="U174" t="str">
            <v>Ciudad principal</v>
          </cell>
          <cell r="V174" t="str">
            <v>High End Cut Sheet</v>
          </cell>
          <cell r="W174" t="str">
            <v>NUEVO LEON</v>
          </cell>
          <cell r="X174">
            <v>2019</v>
          </cell>
          <cell r="Y174" t="str">
            <v>Qtr 2</v>
          </cell>
          <cell r="Z174" t="str">
            <v>April</v>
          </cell>
          <cell r="AA174">
            <v>3</v>
          </cell>
          <cell r="AB174">
            <v>0</v>
          </cell>
          <cell r="AC174">
            <v>106</v>
          </cell>
          <cell r="AD174">
            <v>1.1499999999999999</v>
          </cell>
          <cell r="AE174">
            <v>0.154166675</v>
          </cell>
          <cell r="AF174">
            <v>1808.95</v>
          </cell>
        </row>
        <row r="175">
          <cell r="B175" t="str">
            <v>09HB916056</v>
          </cell>
          <cell r="C175">
            <v>2019</v>
          </cell>
          <cell r="D175" t="str">
            <v>Qtr 2</v>
          </cell>
          <cell r="E175" t="str">
            <v>April</v>
          </cell>
          <cell r="F175">
            <v>2</v>
          </cell>
          <cell r="G175" t="str">
            <v>CORRECTIVO</v>
          </cell>
          <cell r="H175">
            <v>0.21666669999999999</v>
          </cell>
          <cell r="I175" t="str">
            <v>A4 Mono MFPs</v>
          </cell>
          <cell r="J175">
            <v>468</v>
          </cell>
          <cell r="K175">
            <v>715</v>
          </cell>
          <cell r="L175">
            <v>0</v>
          </cell>
          <cell r="M175">
            <v>0</v>
          </cell>
          <cell r="N175">
            <v>0</v>
          </cell>
          <cell r="O175">
            <v>0.6</v>
          </cell>
          <cell r="P175">
            <v>0.8</v>
          </cell>
          <cell r="Q175">
            <v>1.05</v>
          </cell>
          <cell r="R175" t="str">
            <v>INTERIOR</v>
          </cell>
          <cell r="S175">
            <v>5</v>
          </cell>
          <cell r="T175">
            <v>9</v>
          </cell>
          <cell r="U175" t="str">
            <v>Ciudad principal</v>
          </cell>
          <cell r="V175" t="str">
            <v>A4 Mono MFPs</v>
          </cell>
          <cell r="W175" t="str">
            <v>ESTADO DE MEXICO</v>
          </cell>
          <cell r="X175">
            <v>2019</v>
          </cell>
          <cell r="Y175" t="str">
            <v>Qtr 2</v>
          </cell>
          <cell r="Z175" t="str">
            <v>April</v>
          </cell>
          <cell r="AA175">
            <v>5</v>
          </cell>
          <cell r="AB175">
            <v>0</v>
          </cell>
          <cell r="AC175">
            <v>12</v>
          </cell>
          <cell r="AD175">
            <v>0</v>
          </cell>
          <cell r="AE175">
            <v>4.3333339999999998E-2</v>
          </cell>
          <cell r="AF175">
            <v>0</v>
          </cell>
        </row>
        <row r="176">
          <cell r="B176" t="str">
            <v>0D6X456699</v>
          </cell>
          <cell r="C176">
            <v>2019</v>
          </cell>
          <cell r="D176" t="str">
            <v>Qtr 2</v>
          </cell>
          <cell r="E176" t="str">
            <v>April</v>
          </cell>
          <cell r="F176">
            <v>2</v>
          </cell>
          <cell r="G176" t="str">
            <v>MANTENIMIENTO PREVENTIVO</v>
          </cell>
          <cell r="H176">
            <v>0</v>
          </cell>
          <cell r="I176" t="str">
            <v>Entry Mono Printers</v>
          </cell>
          <cell r="J176">
            <v>468</v>
          </cell>
          <cell r="K176">
            <v>715</v>
          </cell>
          <cell r="L176">
            <v>0</v>
          </cell>
          <cell r="M176">
            <v>0</v>
          </cell>
          <cell r="N176">
            <v>0</v>
          </cell>
          <cell r="O176">
            <v>0.6</v>
          </cell>
          <cell r="P176">
            <v>0.8</v>
          </cell>
          <cell r="Q176">
            <v>1.05</v>
          </cell>
          <cell r="R176" t="str">
            <v>INTERIOR</v>
          </cell>
          <cell r="S176">
            <v>5</v>
          </cell>
          <cell r="T176">
            <v>9</v>
          </cell>
          <cell r="U176" t="str">
            <v>Ciudad principal</v>
          </cell>
          <cell r="V176" t="str">
            <v>Entry Mono Printers</v>
          </cell>
          <cell r="W176" t="str">
            <v>CHIHUAHUA</v>
          </cell>
          <cell r="X176">
            <v>2019</v>
          </cell>
          <cell r="Y176" t="str">
            <v>Qtr 2</v>
          </cell>
          <cell r="Z176" t="str">
            <v>April</v>
          </cell>
          <cell r="AA176">
            <v>4</v>
          </cell>
          <cell r="AB176">
            <v>0</v>
          </cell>
          <cell r="AC176">
            <v>67</v>
          </cell>
          <cell r="AD176">
            <v>0</v>
          </cell>
          <cell r="AE176">
            <v>0</v>
          </cell>
          <cell r="AF176">
            <v>715</v>
          </cell>
        </row>
        <row r="177">
          <cell r="B177" t="str">
            <v>0C7X371958</v>
          </cell>
          <cell r="C177">
            <v>2019</v>
          </cell>
          <cell r="D177" t="str">
            <v>Qtr 2</v>
          </cell>
          <cell r="E177" t="str">
            <v>April</v>
          </cell>
          <cell r="F177">
            <v>3</v>
          </cell>
          <cell r="G177" t="str">
            <v>MANTENIMIENTO PREVENTIVO</v>
          </cell>
          <cell r="H177">
            <v>0</v>
          </cell>
          <cell r="I177" t="str">
            <v>A4 Mono MFPs</v>
          </cell>
          <cell r="J177">
            <v>468</v>
          </cell>
          <cell r="K177">
            <v>715</v>
          </cell>
          <cell r="L177">
            <v>0</v>
          </cell>
          <cell r="M177">
            <v>0</v>
          </cell>
          <cell r="N177">
            <v>0</v>
          </cell>
          <cell r="O177">
            <v>0.6</v>
          </cell>
          <cell r="P177">
            <v>0.8</v>
          </cell>
          <cell r="Q177">
            <v>1.05</v>
          </cell>
          <cell r="R177" t="str">
            <v>INTERIOR</v>
          </cell>
          <cell r="S177">
            <v>5</v>
          </cell>
          <cell r="T177">
            <v>9</v>
          </cell>
          <cell r="U177" t="str">
            <v>Otras</v>
          </cell>
          <cell r="V177" t="str">
            <v>A4 Mono MFPs</v>
          </cell>
          <cell r="W177" t="str">
            <v>COAHUILA</v>
          </cell>
          <cell r="X177">
            <v>2019</v>
          </cell>
          <cell r="Y177" t="str">
            <v>Qtr 2</v>
          </cell>
          <cell r="Z177" t="str">
            <v>April</v>
          </cell>
          <cell r="AA177">
            <v>3</v>
          </cell>
          <cell r="AB177">
            <v>0</v>
          </cell>
          <cell r="AC177">
            <v>26</v>
          </cell>
          <cell r="AD177">
            <v>0</v>
          </cell>
          <cell r="AE177">
            <v>0</v>
          </cell>
          <cell r="AF177">
            <v>715</v>
          </cell>
        </row>
        <row r="178">
          <cell r="B178" t="str">
            <v>0E2B656981</v>
          </cell>
          <cell r="C178">
            <v>2019</v>
          </cell>
          <cell r="D178" t="str">
            <v>Qtr 2</v>
          </cell>
          <cell r="E178" t="str">
            <v>April</v>
          </cell>
          <cell r="F178">
            <v>3</v>
          </cell>
          <cell r="G178" t="str">
            <v>MANTENIMIENTO PREVENTIVO</v>
          </cell>
          <cell r="H178">
            <v>0</v>
          </cell>
          <cell r="I178" t="str">
            <v>Entry Production Color Low/Mid</v>
          </cell>
          <cell r="J178">
            <v>803</v>
          </cell>
          <cell r="K178">
            <v>1573</v>
          </cell>
          <cell r="L178">
            <v>0.2</v>
          </cell>
          <cell r="M178">
            <v>0.6</v>
          </cell>
          <cell r="N178">
            <v>0.8</v>
          </cell>
          <cell r="O178">
            <v>1.05</v>
          </cell>
          <cell r="P178">
            <v>1.1000000000000001</v>
          </cell>
          <cell r="Q178">
            <v>1.1499999999999999</v>
          </cell>
          <cell r="R178" t="str">
            <v>INTERIOR</v>
          </cell>
          <cell r="S178">
            <v>4</v>
          </cell>
          <cell r="T178">
            <v>6</v>
          </cell>
          <cell r="U178" t="str">
            <v>Ciudad principal</v>
          </cell>
          <cell r="V178" t="str">
            <v>Entry Production Color Low/Mid</v>
          </cell>
          <cell r="W178" t="str">
            <v>TAMAULIPAS</v>
          </cell>
          <cell r="X178">
            <v>2019</v>
          </cell>
          <cell r="Y178" t="str">
            <v>Qtr 2</v>
          </cell>
          <cell r="Z178" t="str">
            <v>April</v>
          </cell>
          <cell r="AA178">
            <v>3</v>
          </cell>
          <cell r="AB178">
            <v>0</v>
          </cell>
          <cell r="AC178">
            <v>8</v>
          </cell>
          <cell r="AD178">
            <v>0</v>
          </cell>
          <cell r="AE178">
            <v>0</v>
          </cell>
          <cell r="AF178">
            <v>1573</v>
          </cell>
        </row>
        <row r="179">
          <cell r="B179" t="str">
            <v>0LBP345977</v>
          </cell>
          <cell r="C179">
            <v>2019</v>
          </cell>
          <cell r="D179" t="str">
            <v>Qtr 2</v>
          </cell>
          <cell r="E179" t="str">
            <v>April</v>
          </cell>
          <cell r="F179">
            <v>3</v>
          </cell>
          <cell r="G179" t="str">
            <v>MANTENIMIENTO PREVENTIVO</v>
          </cell>
          <cell r="H179">
            <v>0</v>
          </cell>
          <cell r="J179" t="str">
            <v>NA</v>
          </cell>
          <cell r="K179" t="str">
            <v>NA</v>
          </cell>
          <cell r="L179" t="str">
            <v>NA</v>
          </cell>
          <cell r="M179" t="str">
            <v>NA</v>
          </cell>
          <cell r="N179" t="str">
            <v>NA</v>
          </cell>
          <cell r="O179" t="str">
            <v>NA</v>
          </cell>
          <cell r="P179" t="str">
            <v>NA</v>
          </cell>
          <cell r="Q179" t="str">
            <v>NA</v>
          </cell>
          <cell r="S179" t="str">
            <v>NA</v>
          </cell>
          <cell r="T179" t="str">
            <v>NA</v>
          </cell>
          <cell r="V179" t="str">
            <v>A4 Mono MFPs</v>
          </cell>
          <cell r="W179" t="str">
            <v>JALISCO</v>
          </cell>
          <cell r="X179">
            <v>2019</v>
          </cell>
          <cell r="Y179" t="str">
            <v>Qtr 2</v>
          </cell>
          <cell r="Z179" t="str">
            <v>April</v>
          </cell>
          <cell r="AA179">
            <v>3</v>
          </cell>
          <cell r="AB179" t="str">
            <v>NA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</row>
        <row r="180">
          <cell r="B180" t="str">
            <v>0MX1204989</v>
          </cell>
          <cell r="C180">
            <v>2019</v>
          </cell>
          <cell r="D180" t="str">
            <v>Qtr 2</v>
          </cell>
          <cell r="E180" t="str">
            <v>April</v>
          </cell>
          <cell r="F180">
            <v>3</v>
          </cell>
          <cell r="G180" t="str">
            <v>CORRECTIVO</v>
          </cell>
          <cell r="H180">
            <v>0.5</v>
          </cell>
          <cell r="J180" t="str">
            <v>NA</v>
          </cell>
          <cell r="K180" t="str">
            <v>NA</v>
          </cell>
          <cell r="L180" t="str">
            <v>NA</v>
          </cell>
          <cell r="M180" t="str">
            <v>NA</v>
          </cell>
          <cell r="N180" t="str">
            <v>NA</v>
          </cell>
          <cell r="O180" t="str">
            <v>NA</v>
          </cell>
          <cell r="P180" t="str">
            <v>NA</v>
          </cell>
          <cell r="Q180" t="str">
            <v>NA</v>
          </cell>
          <cell r="S180" t="str">
            <v>NA</v>
          </cell>
          <cell r="T180" t="str">
            <v>NA</v>
          </cell>
          <cell r="V180" t="str">
            <v>A3 Office Color Laser MFPs</v>
          </cell>
          <cell r="W180" t="str">
            <v>COAHUILA</v>
          </cell>
          <cell r="X180">
            <v>2019</v>
          </cell>
          <cell r="Y180" t="str">
            <v>Qtr 2</v>
          </cell>
          <cell r="Z180" t="str">
            <v>April</v>
          </cell>
          <cell r="AA180">
            <v>5</v>
          </cell>
          <cell r="AB180" t="str">
            <v>NA</v>
          </cell>
          <cell r="AC180">
            <v>30</v>
          </cell>
          <cell r="AD180">
            <v>0</v>
          </cell>
          <cell r="AE180">
            <v>0</v>
          </cell>
          <cell r="AF180">
            <v>0</v>
          </cell>
        </row>
        <row r="181">
          <cell r="B181" t="str">
            <v>0C4X011869</v>
          </cell>
          <cell r="C181">
            <v>2019</v>
          </cell>
          <cell r="D181" t="str">
            <v>Qtr 2</v>
          </cell>
          <cell r="E181" t="str">
            <v>April</v>
          </cell>
          <cell r="F181">
            <v>3</v>
          </cell>
          <cell r="G181" t="str">
            <v>CORRECTIVO</v>
          </cell>
          <cell r="H181">
            <v>2.9166669999999999</v>
          </cell>
          <cell r="J181" t="str">
            <v>NA</v>
          </cell>
          <cell r="K181" t="str">
            <v>NA</v>
          </cell>
          <cell r="L181" t="str">
            <v>NA</v>
          </cell>
          <cell r="M181" t="str">
            <v>NA</v>
          </cell>
          <cell r="N181" t="str">
            <v>NA</v>
          </cell>
          <cell r="O181" t="str">
            <v>NA</v>
          </cell>
          <cell r="P181" t="str">
            <v>NA</v>
          </cell>
          <cell r="Q181" t="str">
            <v>NA</v>
          </cell>
          <cell r="S181" t="str">
            <v>NA</v>
          </cell>
          <cell r="T181" t="str">
            <v>NA</v>
          </cell>
          <cell r="V181" t="str">
            <v>A4 Mono MFPs</v>
          </cell>
          <cell r="W181" t="str">
            <v>CHIHUAHUA</v>
          </cell>
          <cell r="X181">
            <v>2019</v>
          </cell>
          <cell r="Y181" t="str">
            <v>Qtr 2</v>
          </cell>
          <cell r="Z181" t="str">
            <v>April</v>
          </cell>
          <cell r="AA181">
            <v>5</v>
          </cell>
          <cell r="AB181" t="str">
            <v>NA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</row>
        <row r="182">
          <cell r="B182" t="str">
            <v>0VGW632064</v>
          </cell>
          <cell r="C182">
            <v>2019</v>
          </cell>
          <cell r="D182" t="str">
            <v>Qtr 2</v>
          </cell>
          <cell r="E182" t="str">
            <v>April</v>
          </cell>
          <cell r="F182">
            <v>3</v>
          </cell>
          <cell r="G182" t="str">
            <v>CORRECTIVO</v>
          </cell>
          <cell r="H182">
            <v>0</v>
          </cell>
          <cell r="I182" t="str">
            <v>A3 Professional Color Laser MFPs</v>
          </cell>
          <cell r="J182">
            <v>655</v>
          </cell>
          <cell r="K182">
            <v>1365</v>
          </cell>
          <cell r="L182">
            <v>0</v>
          </cell>
          <cell r="M182">
            <v>0</v>
          </cell>
          <cell r="N182">
            <v>0.6</v>
          </cell>
          <cell r="O182">
            <v>0.8</v>
          </cell>
          <cell r="P182">
            <v>1.05</v>
          </cell>
          <cell r="Q182">
            <v>1.1000000000000001</v>
          </cell>
          <cell r="R182" t="str">
            <v>INTERIOR</v>
          </cell>
          <cell r="S182">
            <v>5</v>
          </cell>
          <cell r="T182">
            <v>9</v>
          </cell>
          <cell r="U182" t="str">
            <v>Ciudad principal</v>
          </cell>
          <cell r="V182" t="str">
            <v>Entry Production Color Low/Mid</v>
          </cell>
          <cell r="W182" t="str">
            <v>CHIHUAHUA</v>
          </cell>
          <cell r="X182">
            <v>2019</v>
          </cell>
          <cell r="Y182" t="str">
            <v>Qtr 2</v>
          </cell>
          <cell r="Z182" t="str">
            <v>April</v>
          </cell>
          <cell r="AA182">
            <v>5</v>
          </cell>
          <cell r="AB182">
            <v>0</v>
          </cell>
          <cell r="AC182">
            <v>2</v>
          </cell>
          <cell r="AD182">
            <v>0</v>
          </cell>
          <cell r="AE182">
            <v>0</v>
          </cell>
          <cell r="AF182">
            <v>0</v>
          </cell>
        </row>
        <row r="183">
          <cell r="B183" t="str">
            <v>02TX062470</v>
          </cell>
          <cell r="C183">
            <v>2019</v>
          </cell>
          <cell r="D183" t="str">
            <v>Qtr 2</v>
          </cell>
          <cell r="E183" t="str">
            <v>April</v>
          </cell>
          <cell r="F183">
            <v>3</v>
          </cell>
          <cell r="G183" t="str">
            <v>MANTENIMIENTO PREVENTIVO</v>
          </cell>
          <cell r="H183">
            <v>0</v>
          </cell>
          <cell r="I183" t="str">
            <v>A3 Office Color Laser MFPs</v>
          </cell>
          <cell r="J183">
            <v>655</v>
          </cell>
          <cell r="K183">
            <v>1365</v>
          </cell>
          <cell r="L183">
            <v>0</v>
          </cell>
          <cell r="M183">
            <v>0</v>
          </cell>
          <cell r="N183">
            <v>0.6</v>
          </cell>
          <cell r="O183">
            <v>0.8</v>
          </cell>
          <cell r="P183">
            <v>1.05</v>
          </cell>
          <cell r="Q183">
            <v>1.1000000000000001</v>
          </cell>
          <cell r="R183" t="str">
            <v>INTERIOR</v>
          </cell>
          <cell r="S183">
            <v>5</v>
          </cell>
          <cell r="T183">
            <v>9</v>
          </cell>
          <cell r="U183" t="str">
            <v>Ciudad principal</v>
          </cell>
          <cell r="V183" t="str">
            <v>A3 Office Color Laser MFPs</v>
          </cell>
          <cell r="W183" t="str">
            <v>JALISCO</v>
          </cell>
          <cell r="X183">
            <v>2019</v>
          </cell>
          <cell r="Y183" t="str">
            <v>Qtr 2</v>
          </cell>
          <cell r="Z183" t="str">
            <v>April</v>
          </cell>
          <cell r="AA183">
            <v>3</v>
          </cell>
          <cell r="AB183">
            <v>1</v>
          </cell>
          <cell r="AC183">
            <v>36</v>
          </cell>
          <cell r="AD183">
            <v>0</v>
          </cell>
          <cell r="AE183">
            <v>0</v>
          </cell>
          <cell r="AF183">
            <v>0</v>
          </cell>
        </row>
        <row r="184">
          <cell r="B184" t="str">
            <v>09HB331831</v>
          </cell>
          <cell r="C184">
            <v>2019</v>
          </cell>
          <cell r="D184" t="str">
            <v>Qtr 2</v>
          </cell>
          <cell r="E184" t="str">
            <v>April</v>
          </cell>
          <cell r="F184">
            <v>3</v>
          </cell>
          <cell r="G184" t="str">
            <v>MANTENIMIENTO PREVENTIVO</v>
          </cell>
          <cell r="H184">
            <v>0</v>
          </cell>
          <cell r="J184" t="str">
            <v>NA</v>
          </cell>
          <cell r="K184" t="str">
            <v>NA</v>
          </cell>
          <cell r="L184" t="str">
            <v>NA</v>
          </cell>
          <cell r="M184" t="str">
            <v>NA</v>
          </cell>
          <cell r="N184" t="str">
            <v>NA</v>
          </cell>
          <cell r="O184" t="str">
            <v>NA</v>
          </cell>
          <cell r="P184" t="str">
            <v>NA</v>
          </cell>
          <cell r="Q184" t="str">
            <v>NA</v>
          </cell>
          <cell r="S184" t="str">
            <v>NA</v>
          </cell>
          <cell r="T184" t="str">
            <v>NA</v>
          </cell>
          <cell r="V184" t="str">
            <v>A4 Mono MFPs</v>
          </cell>
          <cell r="W184" t="str">
            <v>JALISCO</v>
          </cell>
          <cell r="X184">
            <v>2019</v>
          </cell>
          <cell r="Y184" t="str">
            <v>Qtr 2</v>
          </cell>
          <cell r="Z184" t="str">
            <v>April</v>
          </cell>
          <cell r="AA184">
            <v>3</v>
          </cell>
          <cell r="AB184" t="str">
            <v>NA</v>
          </cell>
          <cell r="AC184">
            <v>13</v>
          </cell>
          <cell r="AD184">
            <v>0</v>
          </cell>
          <cell r="AE184">
            <v>0</v>
          </cell>
          <cell r="AF184">
            <v>0</v>
          </cell>
        </row>
        <row r="185">
          <cell r="B185" t="str">
            <v>0PW4152292</v>
          </cell>
          <cell r="C185">
            <v>2019</v>
          </cell>
          <cell r="D185" t="str">
            <v>Qtr 2</v>
          </cell>
          <cell r="E185" t="str">
            <v>April</v>
          </cell>
          <cell r="F185">
            <v>3</v>
          </cell>
          <cell r="G185" t="str">
            <v>CORRECTIVO</v>
          </cell>
          <cell r="H185">
            <v>0.78333339999999996</v>
          </cell>
          <cell r="I185" t="str">
            <v>WF Mono Systems and Legacy Color</v>
          </cell>
          <cell r="J185">
            <v>803</v>
          </cell>
          <cell r="K185">
            <v>1573</v>
          </cell>
          <cell r="L185">
            <v>0.2</v>
          </cell>
          <cell r="M185">
            <v>0.6</v>
          </cell>
          <cell r="N185">
            <v>0.8</v>
          </cell>
          <cell r="O185">
            <v>1.05</v>
          </cell>
          <cell r="P185">
            <v>1.1000000000000001</v>
          </cell>
          <cell r="Q185">
            <v>1.1499999999999999</v>
          </cell>
          <cell r="R185" t="str">
            <v>INTERIOR</v>
          </cell>
          <cell r="S185">
            <v>4</v>
          </cell>
          <cell r="T185">
            <v>6</v>
          </cell>
          <cell r="U185" t="str">
            <v>Ciudad principal</v>
          </cell>
          <cell r="V185" t="str">
            <v>WF Mono Systems and Legacy Color</v>
          </cell>
          <cell r="W185" t="str">
            <v>JALISCO</v>
          </cell>
          <cell r="X185">
            <v>2019</v>
          </cell>
          <cell r="Y185" t="str">
            <v>Qtr 2</v>
          </cell>
          <cell r="Z185" t="str">
            <v>April</v>
          </cell>
          <cell r="AA185">
            <v>5</v>
          </cell>
          <cell r="AB185">
            <v>0</v>
          </cell>
          <cell r="AC185">
            <v>2</v>
          </cell>
          <cell r="AD185">
            <v>0.2</v>
          </cell>
          <cell r="AE185">
            <v>0.19583334999999999</v>
          </cell>
          <cell r="AF185">
            <v>314.60000000000002</v>
          </cell>
        </row>
        <row r="186">
          <cell r="B186" t="str">
            <v>0XPN396972</v>
          </cell>
          <cell r="C186">
            <v>2019</v>
          </cell>
          <cell r="D186" t="str">
            <v>Qtr 2</v>
          </cell>
          <cell r="E186" t="str">
            <v>April</v>
          </cell>
          <cell r="F186">
            <v>3</v>
          </cell>
          <cell r="G186" t="str">
            <v>CORRECTIVO</v>
          </cell>
          <cell r="H186">
            <v>1.1666669999999999</v>
          </cell>
          <cell r="I186" t="str">
            <v>Entry Production Color Low/Mid</v>
          </cell>
          <cell r="J186">
            <v>803</v>
          </cell>
          <cell r="K186">
            <v>1573</v>
          </cell>
          <cell r="L186">
            <v>0.2</v>
          </cell>
          <cell r="M186">
            <v>0.6</v>
          </cell>
          <cell r="N186">
            <v>0.8</v>
          </cell>
          <cell r="O186">
            <v>1.05</v>
          </cell>
          <cell r="P186">
            <v>1.1000000000000001</v>
          </cell>
          <cell r="Q186">
            <v>1.1499999999999999</v>
          </cell>
          <cell r="R186" t="str">
            <v>INTERIOR</v>
          </cell>
          <cell r="S186">
            <v>4</v>
          </cell>
          <cell r="T186">
            <v>6</v>
          </cell>
          <cell r="U186" t="str">
            <v>Ciudad principal</v>
          </cell>
          <cell r="V186" t="str">
            <v>Entry Production Color Low/Mid</v>
          </cell>
          <cell r="W186" t="str">
            <v>JALISCO</v>
          </cell>
          <cell r="X186">
            <v>2019</v>
          </cell>
          <cell r="Y186" t="str">
            <v>Qtr 2</v>
          </cell>
          <cell r="Z186" t="str">
            <v>April</v>
          </cell>
          <cell r="AA186">
            <v>4</v>
          </cell>
          <cell r="AB186">
            <v>0</v>
          </cell>
          <cell r="AC186">
            <v>28</v>
          </cell>
          <cell r="AD186">
            <v>1.05</v>
          </cell>
          <cell r="AE186">
            <v>0.29166674999999997</v>
          </cell>
          <cell r="AF186">
            <v>1651.65</v>
          </cell>
        </row>
        <row r="187">
          <cell r="B187" t="str">
            <v>0EX9299901</v>
          </cell>
          <cell r="C187">
            <v>2019</v>
          </cell>
          <cell r="D187" t="str">
            <v>Qtr 2</v>
          </cell>
          <cell r="E187" t="str">
            <v>April</v>
          </cell>
          <cell r="F187">
            <v>3</v>
          </cell>
          <cell r="G187" t="str">
            <v>CORRECTIVO</v>
          </cell>
          <cell r="H187">
            <v>1.2166669999999999</v>
          </cell>
          <cell r="I187" t="str">
            <v>Departmental Digital</v>
          </cell>
          <cell r="J187">
            <v>655</v>
          </cell>
          <cell r="K187">
            <v>1365</v>
          </cell>
          <cell r="L187">
            <v>0</v>
          </cell>
          <cell r="M187">
            <v>0</v>
          </cell>
          <cell r="N187">
            <v>0.6</v>
          </cell>
          <cell r="O187">
            <v>0.8</v>
          </cell>
          <cell r="P187">
            <v>1.05</v>
          </cell>
          <cell r="Q187">
            <v>1.1000000000000001</v>
          </cell>
          <cell r="R187" t="str">
            <v>INTERIOR</v>
          </cell>
          <cell r="S187">
            <v>5</v>
          </cell>
          <cell r="T187">
            <v>9</v>
          </cell>
          <cell r="U187" t="str">
            <v>Ciudad principal</v>
          </cell>
          <cell r="V187" t="str">
            <v>Departmental Digital</v>
          </cell>
          <cell r="W187" t="str">
            <v>TAMAULIPAS</v>
          </cell>
          <cell r="X187">
            <v>2019</v>
          </cell>
          <cell r="Y187" t="str">
            <v>Qtr 2</v>
          </cell>
          <cell r="Z187" t="str">
            <v>April</v>
          </cell>
          <cell r="AA187">
            <v>3</v>
          </cell>
          <cell r="AB187">
            <v>0</v>
          </cell>
          <cell r="AC187">
            <v>1</v>
          </cell>
          <cell r="AD187">
            <v>0</v>
          </cell>
          <cell r="AE187">
            <v>0.24333340000000001</v>
          </cell>
          <cell r="AF187">
            <v>0</v>
          </cell>
        </row>
        <row r="188">
          <cell r="B188" t="str">
            <v>0EX7399926</v>
          </cell>
          <cell r="C188">
            <v>2019</v>
          </cell>
          <cell r="D188" t="str">
            <v>Qtr 2</v>
          </cell>
          <cell r="E188" t="str">
            <v>April</v>
          </cell>
          <cell r="F188">
            <v>3</v>
          </cell>
          <cell r="G188" t="str">
            <v>CORRECTIVO</v>
          </cell>
          <cell r="H188">
            <v>1.1666669999999999</v>
          </cell>
          <cell r="I188" t="str">
            <v>Office Digital</v>
          </cell>
          <cell r="J188">
            <v>655</v>
          </cell>
          <cell r="K188">
            <v>1365</v>
          </cell>
          <cell r="L188">
            <v>0</v>
          </cell>
          <cell r="M188">
            <v>0</v>
          </cell>
          <cell r="N188">
            <v>0.6</v>
          </cell>
          <cell r="O188">
            <v>0.8</v>
          </cell>
          <cell r="P188">
            <v>1.05</v>
          </cell>
          <cell r="Q188">
            <v>1.1000000000000001</v>
          </cell>
          <cell r="R188" t="str">
            <v>INTERIOR</v>
          </cell>
          <cell r="S188">
            <v>5</v>
          </cell>
          <cell r="T188">
            <v>9</v>
          </cell>
          <cell r="U188" t="str">
            <v>Ciudad principal</v>
          </cell>
          <cell r="V188" t="str">
            <v>Departmental Digital</v>
          </cell>
          <cell r="W188" t="str">
            <v>CHIHUAHUA</v>
          </cell>
          <cell r="X188">
            <v>2019</v>
          </cell>
          <cell r="Y188" t="str">
            <v>Qtr 2</v>
          </cell>
          <cell r="Z188" t="str">
            <v>April</v>
          </cell>
          <cell r="AA188">
            <v>3</v>
          </cell>
          <cell r="AB188">
            <v>0</v>
          </cell>
          <cell r="AC188">
            <v>33</v>
          </cell>
          <cell r="AD188">
            <v>1.05</v>
          </cell>
          <cell r="AE188">
            <v>0.2333334</v>
          </cell>
          <cell r="AF188">
            <v>1433.25</v>
          </cell>
        </row>
        <row r="189">
          <cell r="B189" t="str">
            <v>0Y4X848684</v>
          </cell>
          <cell r="C189">
            <v>2019</v>
          </cell>
          <cell r="D189" t="str">
            <v>Qtr 2</v>
          </cell>
          <cell r="E189" t="str">
            <v>April</v>
          </cell>
          <cell r="F189">
            <v>3</v>
          </cell>
          <cell r="G189" t="str">
            <v>CORRECTIVO</v>
          </cell>
          <cell r="H189">
            <v>1.3833329999999999</v>
          </cell>
          <cell r="I189" t="str">
            <v>Office Digital</v>
          </cell>
          <cell r="J189">
            <v>655</v>
          </cell>
          <cell r="K189">
            <v>1365</v>
          </cell>
          <cell r="L189">
            <v>0</v>
          </cell>
          <cell r="M189">
            <v>0</v>
          </cell>
          <cell r="N189">
            <v>0.6</v>
          </cell>
          <cell r="O189">
            <v>0.8</v>
          </cell>
          <cell r="P189">
            <v>1.05</v>
          </cell>
          <cell r="Q189">
            <v>1.1000000000000001</v>
          </cell>
          <cell r="R189" t="str">
            <v>METRO</v>
          </cell>
          <cell r="S189">
            <v>5</v>
          </cell>
          <cell r="T189">
            <v>9</v>
          </cell>
          <cell r="U189" t="str">
            <v>Ciudad principal</v>
          </cell>
          <cell r="V189" t="str">
            <v>A4 Mono MFPs</v>
          </cell>
          <cell r="W189" t="str">
            <v>CIUDAD DE MEXICO</v>
          </cell>
          <cell r="X189">
            <v>2019</v>
          </cell>
          <cell r="Y189" t="str">
            <v>Qtr 2</v>
          </cell>
          <cell r="Z189" t="str">
            <v>April</v>
          </cell>
          <cell r="AA189">
            <v>3</v>
          </cell>
          <cell r="AB189">
            <v>1</v>
          </cell>
          <cell r="AC189">
            <v>62</v>
          </cell>
          <cell r="AD189">
            <v>0</v>
          </cell>
          <cell r="AE189">
            <v>0</v>
          </cell>
          <cell r="AF189">
            <v>0</v>
          </cell>
        </row>
        <row r="190">
          <cell r="B190" t="str">
            <v>02TX060372</v>
          </cell>
          <cell r="C190">
            <v>2019</v>
          </cell>
          <cell r="D190" t="str">
            <v>Qtr 2</v>
          </cell>
          <cell r="E190" t="str">
            <v>April</v>
          </cell>
          <cell r="F190">
            <v>3</v>
          </cell>
          <cell r="G190" t="str">
            <v>MANTENIMIENTO PREVENTIVO</v>
          </cell>
          <cell r="H190">
            <v>0</v>
          </cell>
          <cell r="I190" t="str">
            <v>A3 Office Color Laser MFPs</v>
          </cell>
          <cell r="J190">
            <v>655</v>
          </cell>
          <cell r="K190">
            <v>1365</v>
          </cell>
          <cell r="L190">
            <v>0</v>
          </cell>
          <cell r="M190">
            <v>0</v>
          </cell>
          <cell r="N190">
            <v>0.6</v>
          </cell>
          <cell r="O190">
            <v>0.8</v>
          </cell>
          <cell r="P190">
            <v>1.05</v>
          </cell>
          <cell r="Q190">
            <v>1.1000000000000001</v>
          </cell>
          <cell r="R190" t="str">
            <v>INTERIOR</v>
          </cell>
          <cell r="S190">
            <v>5</v>
          </cell>
          <cell r="T190">
            <v>9</v>
          </cell>
          <cell r="U190" t="str">
            <v>Ciudad principal</v>
          </cell>
          <cell r="V190" t="str">
            <v>A3 Office Color Laser MFPs</v>
          </cell>
          <cell r="W190" t="str">
            <v>JALISCO</v>
          </cell>
          <cell r="X190">
            <v>2019</v>
          </cell>
          <cell r="Y190" t="str">
            <v>Qtr 2</v>
          </cell>
          <cell r="Z190" t="str">
            <v>April</v>
          </cell>
          <cell r="AA190">
            <v>3</v>
          </cell>
          <cell r="AB190">
            <v>1</v>
          </cell>
          <cell r="AC190">
            <v>35</v>
          </cell>
          <cell r="AD190">
            <v>0</v>
          </cell>
          <cell r="AE190">
            <v>0</v>
          </cell>
          <cell r="AF190">
            <v>0</v>
          </cell>
        </row>
        <row r="191">
          <cell r="B191" t="str">
            <v>0EX7407508</v>
          </cell>
          <cell r="C191">
            <v>2019</v>
          </cell>
          <cell r="D191" t="str">
            <v>Qtr 2</v>
          </cell>
          <cell r="E191" t="str">
            <v>April</v>
          </cell>
          <cell r="F191">
            <v>3</v>
          </cell>
          <cell r="G191" t="str">
            <v>CORRECTIVO</v>
          </cell>
          <cell r="H191">
            <v>0.4</v>
          </cell>
          <cell r="I191" t="str">
            <v>Office Digital</v>
          </cell>
          <cell r="J191">
            <v>655</v>
          </cell>
          <cell r="K191">
            <v>1365</v>
          </cell>
          <cell r="L191">
            <v>0</v>
          </cell>
          <cell r="M191">
            <v>0</v>
          </cell>
          <cell r="N191">
            <v>0.6</v>
          </cell>
          <cell r="O191">
            <v>0.8</v>
          </cell>
          <cell r="P191">
            <v>1.05</v>
          </cell>
          <cell r="Q191">
            <v>1.1000000000000001</v>
          </cell>
          <cell r="R191" t="str">
            <v>INTERIOR</v>
          </cell>
          <cell r="S191">
            <v>5</v>
          </cell>
          <cell r="T191">
            <v>9</v>
          </cell>
          <cell r="U191" t="str">
            <v>Ciudad principal</v>
          </cell>
          <cell r="V191" t="str">
            <v>Departmental Digital</v>
          </cell>
          <cell r="W191" t="str">
            <v>CHIHUAHUA</v>
          </cell>
          <cell r="X191">
            <v>2019</v>
          </cell>
          <cell r="Y191" t="str">
            <v>Qtr 2</v>
          </cell>
          <cell r="Z191" t="str">
            <v>April</v>
          </cell>
          <cell r="AA191">
            <v>5</v>
          </cell>
          <cell r="AB191">
            <v>0</v>
          </cell>
          <cell r="AC191">
            <v>111</v>
          </cell>
          <cell r="AD191">
            <v>1.1000000000000001</v>
          </cell>
          <cell r="AE191">
            <v>0.08</v>
          </cell>
          <cell r="AF191">
            <v>1501.5</v>
          </cell>
        </row>
        <row r="192">
          <cell r="B192" t="str">
            <v>09HB332057</v>
          </cell>
          <cell r="C192">
            <v>2019</v>
          </cell>
          <cell r="D192" t="str">
            <v>Qtr 2</v>
          </cell>
          <cell r="E192" t="str">
            <v>April</v>
          </cell>
          <cell r="F192">
            <v>3</v>
          </cell>
          <cell r="G192" t="str">
            <v>MANTENIMIENTO PREVENTIVO</v>
          </cell>
          <cell r="H192">
            <v>0</v>
          </cell>
          <cell r="J192" t="str">
            <v>NA</v>
          </cell>
          <cell r="K192" t="str">
            <v>NA</v>
          </cell>
          <cell r="L192" t="str">
            <v>NA</v>
          </cell>
          <cell r="M192" t="str">
            <v>NA</v>
          </cell>
          <cell r="N192" t="str">
            <v>NA</v>
          </cell>
          <cell r="O192" t="str">
            <v>NA</v>
          </cell>
          <cell r="P192" t="str">
            <v>NA</v>
          </cell>
          <cell r="Q192" t="str">
            <v>NA</v>
          </cell>
          <cell r="S192" t="str">
            <v>NA</v>
          </cell>
          <cell r="T192" t="str">
            <v>NA</v>
          </cell>
          <cell r="V192" t="str">
            <v>A4 Mono MFPs</v>
          </cell>
          <cell r="W192" t="str">
            <v>JALISCO</v>
          </cell>
          <cell r="X192">
            <v>2019</v>
          </cell>
          <cell r="Y192" t="str">
            <v>Qtr 2</v>
          </cell>
          <cell r="Z192" t="str">
            <v>April</v>
          </cell>
          <cell r="AA192">
            <v>3</v>
          </cell>
          <cell r="AB192" t="str">
            <v>NA</v>
          </cell>
          <cell r="AC192">
            <v>20</v>
          </cell>
          <cell r="AD192">
            <v>0</v>
          </cell>
          <cell r="AE192">
            <v>0</v>
          </cell>
          <cell r="AF192">
            <v>0</v>
          </cell>
        </row>
        <row r="193">
          <cell r="B193" t="str">
            <v>0A4T554401</v>
          </cell>
          <cell r="C193">
            <v>2019</v>
          </cell>
          <cell r="D193" t="str">
            <v>Qtr 2</v>
          </cell>
          <cell r="E193" t="str">
            <v>April</v>
          </cell>
          <cell r="F193">
            <v>3</v>
          </cell>
          <cell r="G193" t="str">
            <v>CORRECTIVO</v>
          </cell>
          <cell r="H193">
            <v>1.1666669999999999</v>
          </cell>
          <cell r="I193" t="str">
            <v>Entry Mono Printers</v>
          </cell>
          <cell r="J193">
            <v>468</v>
          </cell>
          <cell r="K193">
            <v>715</v>
          </cell>
          <cell r="L193">
            <v>0</v>
          </cell>
          <cell r="M193">
            <v>0</v>
          </cell>
          <cell r="N193">
            <v>0</v>
          </cell>
          <cell r="O193">
            <v>0.6</v>
          </cell>
          <cell r="P193">
            <v>0.8</v>
          </cell>
          <cell r="Q193">
            <v>1.05</v>
          </cell>
          <cell r="R193" t="str">
            <v>INTERIOR</v>
          </cell>
          <cell r="S193">
            <v>5</v>
          </cell>
          <cell r="T193">
            <v>9</v>
          </cell>
          <cell r="U193" t="str">
            <v>Ciudad principal</v>
          </cell>
          <cell r="V193" t="str">
            <v>A4 Mono MFPs</v>
          </cell>
          <cell r="W193" t="str">
            <v>CHIHUAHUA</v>
          </cell>
          <cell r="X193">
            <v>2019</v>
          </cell>
          <cell r="Y193" t="str">
            <v>Qtr 2</v>
          </cell>
          <cell r="Z193" t="str">
            <v>April</v>
          </cell>
          <cell r="AA193">
            <v>4</v>
          </cell>
          <cell r="AB193">
            <v>0</v>
          </cell>
          <cell r="AC193">
            <v>146</v>
          </cell>
          <cell r="AD193">
            <v>1.05</v>
          </cell>
          <cell r="AE193">
            <v>0.2333334</v>
          </cell>
          <cell r="AF193">
            <v>750.75</v>
          </cell>
        </row>
        <row r="194">
          <cell r="B194" t="str">
            <v>09HB331974</v>
          </cell>
          <cell r="C194">
            <v>2019</v>
          </cell>
          <cell r="D194" t="str">
            <v>Qtr 2</v>
          </cell>
          <cell r="E194" t="str">
            <v>April</v>
          </cell>
          <cell r="F194">
            <v>3</v>
          </cell>
          <cell r="G194" t="str">
            <v>MANTENIMIENTO PREVENTIVO</v>
          </cell>
          <cell r="H194">
            <v>0</v>
          </cell>
          <cell r="I194" t="str">
            <v>A4 Mono MFPs</v>
          </cell>
          <cell r="J194">
            <v>468</v>
          </cell>
          <cell r="K194">
            <v>715</v>
          </cell>
          <cell r="L194">
            <v>0</v>
          </cell>
          <cell r="M194">
            <v>0</v>
          </cell>
          <cell r="N194">
            <v>0</v>
          </cell>
          <cell r="O194">
            <v>0.6</v>
          </cell>
          <cell r="P194">
            <v>0.8</v>
          </cell>
          <cell r="Q194">
            <v>1.05</v>
          </cell>
          <cell r="R194" t="str">
            <v>INTERIOR</v>
          </cell>
          <cell r="S194">
            <v>5</v>
          </cell>
          <cell r="T194">
            <v>9</v>
          </cell>
          <cell r="U194" t="str">
            <v>Ciudad principal</v>
          </cell>
          <cell r="V194" t="str">
            <v>A4 Mono MFPs</v>
          </cell>
          <cell r="W194" t="str">
            <v>JALISCO</v>
          </cell>
          <cell r="X194">
            <v>2019</v>
          </cell>
          <cell r="Y194" t="str">
            <v>Qtr 2</v>
          </cell>
          <cell r="Z194" t="str">
            <v>April</v>
          </cell>
          <cell r="AA194">
            <v>3</v>
          </cell>
          <cell r="AB194">
            <v>1</v>
          </cell>
          <cell r="AC194">
            <v>28</v>
          </cell>
          <cell r="AD194">
            <v>0</v>
          </cell>
          <cell r="AE194">
            <v>0</v>
          </cell>
          <cell r="AF194">
            <v>0</v>
          </cell>
        </row>
        <row r="195">
          <cell r="B195" t="str">
            <v>09HB331967</v>
          </cell>
          <cell r="C195">
            <v>2019</v>
          </cell>
          <cell r="D195" t="str">
            <v>Qtr 2</v>
          </cell>
          <cell r="E195" t="str">
            <v>April</v>
          </cell>
          <cell r="F195">
            <v>3</v>
          </cell>
          <cell r="G195" t="str">
            <v>MANTENIMIENTO PREVENTIVO</v>
          </cell>
          <cell r="H195">
            <v>0</v>
          </cell>
          <cell r="I195" t="str">
            <v>A4 Mono MFPs</v>
          </cell>
          <cell r="J195">
            <v>468</v>
          </cell>
          <cell r="K195">
            <v>715</v>
          </cell>
          <cell r="L195">
            <v>0</v>
          </cell>
          <cell r="M195">
            <v>0</v>
          </cell>
          <cell r="N195">
            <v>0</v>
          </cell>
          <cell r="O195">
            <v>0.6</v>
          </cell>
          <cell r="P195">
            <v>0.8</v>
          </cell>
          <cell r="Q195">
            <v>1.05</v>
          </cell>
          <cell r="R195" t="str">
            <v>INTERIOR</v>
          </cell>
          <cell r="S195">
            <v>5</v>
          </cell>
          <cell r="T195">
            <v>9</v>
          </cell>
          <cell r="U195" t="str">
            <v>Ciudad principal</v>
          </cell>
          <cell r="V195" t="str">
            <v>A4 Mono MFPs</v>
          </cell>
          <cell r="W195" t="str">
            <v>AGUASCALIENTES</v>
          </cell>
          <cell r="X195">
            <v>2019</v>
          </cell>
          <cell r="Y195" t="str">
            <v>Qtr 2</v>
          </cell>
          <cell r="Z195" t="str">
            <v>April</v>
          </cell>
          <cell r="AA195">
            <v>4</v>
          </cell>
          <cell r="AB195">
            <v>1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</row>
        <row r="196">
          <cell r="B196" t="str">
            <v>0RXD136704</v>
          </cell>
          <cell r="C196">
            <v>2019</v>
          </cell>
          <cell r="D196" t="str">
            <v>Qtr 2</v>
          </cell>
          <cell r="E196" t="str">
            <v>April</v>
          </cell>
          <cell r="F196">
            <v>3</v>
          </cell>
          <cell r="G196" t="str">
            <v>CORRECTIVO</v>
          </cell>
          <cell r="H196">
            <v>1.5</v>
          </cell>
          <cell r="I196" t="str">
            <v>Color Laser Printers</v>
          </cell>
          <cell r="J196">
            <v>468</v>
          </cell>
          <cell r="K196">
            <v>715</v>
          </cell>
          <cell r="L196">
            <v>0</v>
          </cell>
          <cell r="M196">
            <v>0</v>
          </cell>
          <cell r="N196">
            <v>0</v>
          </cell>
          <cell r="O196">
            <v>0.6</v>
          </cell>
          <cell r="P196">
            <v>0.8</v>
          </cell>
          <cell r="Q196">
            <v>1.05</v>
          </cell>
          <cell r="R196" t="str">
            <v>INTERIOR</v>
          </cell>
          <cell r="S196">
            <v>5</v>
          </cell>
          <cell r="T196">
            <v>9</v>
          </cell>
          <cell r="U196" t="str">
            <v>Ciudad principal</v>
          </cell>
          <cell r="V196" t="str">
            <v>Departmental Digital</v>
          </cell>
          <cell r="W196" t="str">
            <v>CHIHUAHUA</v>
          </cell>
          <cell r="X196">
            <v>2019</v>
          </cell>
          <cell r="Y196" t="str">
            <v>Qtr 2</v>
          </cell>
          <cell r="Z196" t="str">
            <v>April</v>
          </cell>
          <cell r="AA196">
            <v>3</v>
          </cell>
          <cell r="AB196">
            <v>0</v>
          </cell>
          <cell r="AC196">
            <v>70</v>
          </cell>
          <cell r="AD196">
            <v>1.05</v>
          </cell>
          <cell r="AE196">
            <v>0.3</v>
          </cell>
          <cell r="AF196">
            <v>750.75</v>
          </cell>
        </row>
        <row r="197">
          <cell r="B197">
            <v>1161065</v>
          </cell>
          <cell r="C197">
            <v>2019</v>
          </cell>
          <cell r="D197" t="str">
            <v>Qtr 2</v>
          </cell>
          <cell r="E197" t="str">
            <v>April</v>
          </cell>
          <cell r="F197">
            <v>3</v>
          </cell>
          <cell r="G197" t="str">
            <v>INSTALACION NUEVA</v>
          </cell>
          <cell r="H197">
            <v>0</v>
          </cell>
          <cell r="J197" t="str">
            <v>NA</v>
          </cell>
          <cell r="K197" t="str">
            <v>NA</v>
          </cell>
          <cell r="L197" t="str">
            <v>NA</v>
          </cell>
          <cell r="M197" t="str">
            <v>NA</v>
          </cell>
          <cell r="N197" t="str">
            <v>NA</v>
          </cell>
          <cell r="O197" t="str">
            <v>NA</v>
          </cell>
          <cell r="P197" t="str">
            <v>NA</v>
          </cell>
          <cell r="Q197" t="str">
            <v>NA</v>
          </cell>
          <cell r="S197" t="str">
            <v>NA</v>
          </cell>
          <cell r="T197" t="str">
            <v>NA</v>
          </cell>
          <cell r="W197" t="str">
            <v>MICHOACAN</v>
          </cell>
          <cell r="X197">
            <v>2019</v>
          </cell>
          <cell r="Y197" t="str">
            <v>Qtr 2</v>
          </cell>
          <cell r="Z197" t="str">
            <v>April</v>
          </cell>
          <cell r="AA197">
            <v>8</v>
          </cell>
          <cell r="AB197" t="str">
            <v>NA</v>
          </cell>
          <cell r="AC197">
            <v>-8</v>
          </cell>
          <cell r="AD197">
            <v>0</v>
          </cell>
          <cell r="AE197">
            <v>0</v>
          </cell>
          <cell r="AF197">
            <v>0</v>
          </cell>
        </row>
        <row r="198">
          <cell r="B198" t="str">
            <v>0C4X008250</v>
          </cell>
          <cell r="C198">
            <v>2019</v>
          </cell>
          <cell r="D198" t="str">
            <v>Qtr 2</v>
          </cell>
          <cell r="E198" t="str">
            <v>April</v>
          </cell>
          <cell r="F198">
            <v>3</v>
          </cell>
          <cell r="G198" t="str">
            <v>CORRECTIVO</v>
          </cell>
          <cell r="H198">
            <v>2.6333329999999999</v>
          </cell>
          <cell r="I198" t="str">
            <v>A4 Mono MFPs</v>
          </cell>
          <cell r="J198">
            <v>468</v>
          </cell>
          <cell r="K198">
            <v>715</v>
          </cell>
          <cell r="L198">
            <v>0</v>
          </cell>
          <cell r="M198">
            <v>0</v>
          </cell>
          <cell r="N198">
            <v>0</v>
          </cell>
          <cell r="O198">
            <v>0.6</v>
          </cell>
          <cell r="P198">
            <v>0.8</v>
          </cell>
          <cell r="Q198">
            <v>1.05</v>
          </cell>
          <cell r="R198" t="str">
            <v>INTERIOR</v>
          </cell>
          <cell r="S198">
            <v>5</v>
          </cell>
          <cell r="T198">
            <v>9</v>
          </cell>
          <cell r="U198" t="str">
            <v>Ciudad principal</v>
          </cell>
          <cell r="V198" t="str">
            <v>A4 Mono MFPs</v>
          </cell>
          <cell r="W198" t="str">
            <v>JALISCO</v>
          </cell>
          <cell r="X198">
            <v>2019</v>
          </cell>
          <cell r="Y198" t="str">
            <v>Qtr 2</v>
          </cell>
          <cell r="Z198" t="str">
            <v>April</v>
          </cell>
          <cell r="AA198">
            <v>3</v>
          </cell>
          <cell r="AB198">
            <v>0</v>
          </cell>
          <cell r="AC198">
            <v>232</v>
          </cell>
          <cell r="AD198">
            <v>1.05</v>
          </cell>
          <cell r="AE198">
            <v>0.52666659999999998</v>
          </cell>
          <cell r="AF198">
            <v>750.75</v>
          </cell>
        </row>
        <row r="199">
          <cell r="B199" t="str">
            <v>09HB321394</v>
          </cell>
          <cell r="C199">
            <v>2019</v>
          </cell>
          <cell r="D199" t="str">
            <v>Qtr 2</v>
          </cell>
          <cell r="E199" t="str">
            <v>April</v>
          </cell>
          <cell r="F199">
            <v>3</v>
          </cell>
          <cell r="G199" t="str">
            <v>CORRECTIVO</v>
          </cell>
          <cell r="H199">
            <v>8.1333330000000004</v>
          </cell>
          <cell r="I199" t="str">
            <v>A4 Mono MFPs</v>
          </cell>
          <cell r="J199">
            <v>468</v>
          </cell>
          <cell r="K199">
            <v>715</v>
          </cell>
          <cell r="L199">
            <v>0</v>
          </cell>
          <cell r="M199">
            <v>0</v>
          </cell>
          <cell r="N199">
            <v>0</v>
          </cell>
          <cell r="O199">
            <v>0.6</v>
          </cell>
          <cell r="P199">
            <v>0.8</v>
          </cell>
          <cell r="Q199">
            <v>1.05</v>
          </cell>
          <cell r="R199" t="str">
            <v>INTERIOR</v>
          </cell>
          <cell r="S199">
            <v>5</v>
          </cell>
          <cell r="T199">
            <v>9</v>
          </cell>
          <cell r="U199" t="str">
            <v>Otras</v>
          </cell>
          <cell r="V199" t="str">
            <v>A4 Mono MFPs</v>
          </cell>
          <cell r="W199" t="str">
            <v>CHIHUAHUA</v>
          </cell>
          <cell r="X199">
            <v>2019</v>
          </cell>
          <cell r="Y199" t="str">
            <v>Qtr 2</v>
          </cell>
          <cell r="Z199" t="str">
            <v>April</v>
          </cell>
          <cell r="AA199">
            <v>4</v>
          </cell>
          <cell r="AB199">
            <v>0</v>
          </cell>
          <cell r="AC199">
            <v>316</v>
          </cell>
          <cell r="AD199">
            <v>1.05</v>
          </cell>
          <cell r="AE199">
            <v>0.90370366666666702</v>
          </cell>
          <cell r="AF199">
            <v>750.75</v>
          </cell>
        </row>
        <row r="200">
          <cell r="B200" t="str">
            <v>09HB331428</v>
          </cell>
          <cell r="C200">
            <v>2019</v>
          </cell>
          <cell r="D200" t="str">
            <v>Qtr 2</v>
          </cell>
          <cell r="E200" t="str">
            <v>April</v>
          </cell>
          <cell r="F200">
            <v>3</v>
          </cell>
          <cell r="G200" t="str">
            <v>MANTENIMIENTO PREVENTIVO</v>
          </cell>
          <cell r="H200">
            <v>0</v>
          </cell>
          <cell r="I200" t="str">
            <v>A4 Mono MFPs</v>
          </cell>
          <cell r="J200">
            <v>468</v>
          </cell>
          <cell r="K200">
            <v>715</v>
          </cell>
          <cell r="L200">
            <v>0</v>
          </cell>
          <cell r="M200">
            <v>0</v>
          </cell>
          <cell r="N200">
            <v>0</v>
          </cell>
          <cell r="O200">
            <v>0.6</v>
          </cell>
          <cell r="P200">
            <v>0.8</v>
          </cell>
          <cell r="Q200">
            <v>1.05</v>
          </cell>
          <cell r="R200" t="str">
            <v>INTERIOR</v>
          </cell>
          <cell r="S200">
            <v>5</v>
          </cell>
          <cell r="T200">
            <v>9</v>
          </cell>
          <cell r="U200" t="str">
            <v>Ciudad principal</v>
          </cell>
          <cell r="V200" t="str">
            <v>A4 Mono MFPs</v>
          </cell>
          <cell r="W200" t="str">
            <v>JALISCO</v>
          </cell>
          <cell r="X200">
            <v>2019</v>
          </cell>
          <cell r="Y200" t="str">
            <v>Qtr 2</v>
          </cell>
          <cell r="Z200" t="str">
            <v>April</v>
          </cell>
          <cell r="AA200">
            <v>3</v>
          </cell>
          <cell r="AB200">
            <v>1</v>
          </cell>
          <cell r="AC200">
            <v>12</v>
          </cell>
          <cell r="AD200">
            <v>0</v>
          </cell>
          <cell r="AE200">
            <v>0</v>
          </cell>
          <cell r="AF200">
            <v>0</v>
          </cell>
        </row>
        <row r="201">
          <cell r="B201" t="str">
            <v>0BB1564141</v>
          </cell>
          <cell r="C201">
            <v>2019</v>
          </cell>
          <cell r="D201" t="str">
            <v>Qtr 2</v>
          </cell>
          <cell r="E201" t="str">
            <v>April</v>
          </cell>
          <cell r="F201">
            <v>3</v>
          </cell>
          <cell r="G201" t="str">
            <v>CORRECTIVO</v>
          </cell>
          <cell r="H201">
            <v>2.75</v>
          </cell>
          <cell r="I201" t="str">
            <v>A4 Mono MFPs</v>
          </cell>
          <cell r="J201">
            <v>468</v>
          </cell>
          <cell r="K201">
            <v>715</v>
          </cell>
          <cell r="L201">
            <v>0</v>
          </cell>
          <cell r="M201">
            <v>0</v>
          </cell>
          <cell r="N201">
            <v>0</v>
          </cell>
          <cell r="O201">
            <v>0.6</v>
          </cell>
          <cell r="P201">
            <v>0.8</v>
          </cell>
          <cell r="Q201">
            <v>1.05</v>
          </cell>
          <cell r="R201" t="str">
            <v>INTERIOR</v>
          </cell>
          <cell r="S201">
            <v>5</v>
          </cell>
          <cell r="T201">
            <v>9</v>
          </cell>
          <cell r="U201" t="str">
            <v>Ciudad principal</v>
          </cell>
          <cell r="V201" t="str">
            <v>A4 Mono MFPs</v>
          </cell>
          <cell r="W201" t="str">
            <v>JALISCO</v>
          </cell>
          <cell r="X201">
            <v>2019</v>
          </cell>
          <cell r="Y201" t="str">
            <v>Qtr 2</v>
          </cell>
          <cell r="Z201" t="str">
            <v>April</v>
          </cell>
          <cell r="AA201">
            <v>3</v>
          </cell>
          <cell r="AB201">
            <v>0</v>
          </cell>
          <cell r="AC201">
            <v>104</v>
          </cell>
          <cell r="AD201">
            <v>1.05</v>
          </cell>
          <cell r="AE201">
            <v>0.55000000000000004</v>
          </cell>
          <cell r="AF201">
            <v>750.75</v>
          </cell>
        </row>
        <row r="202">
          <cell r="B202" t="str">
            <v>0Y4X843005</v>
          </cell>
          <cell r="C202">
            <v>2019</v>
          </cell>
          <cell r="D202" t="str">
            <v>Qtr 2</v>
          </cell>
          <cell r="E202" t="str">
            <v>April</v>
          </cell>
          <cell r="F202">
            <v>3</v>
          </cell>
          <cell r="G202" t="str">
            <v>CORRECTIVO</v>
          </cell>
          <cell r="H202">
            <v>0.53333339999999996</v>
          </cell>
          <cell r="I202" t="str">
            <v>Office Digital</v>
          </cell>
          <cell r="J202">
            <v>655</v>
          </cell>
          <cell r="K202">
            <v>1365</v>
          </cell>
          <cell r="L202">
            <v>0</v>
          </cell>
          <cell r="M202">
            <v>0</v>
          </cell>
          <cell r="N202">
            <v>0.6</v>
          </cell>
          <cell r="O202">
            <v>0.8</v>
          </cell>
          <cell r="P202">
            <v>1.05</v>
          </cell>
          <cell r="Q202">
            <v>1.1000000000000001</v>
          </cell>
          <cell r="R202" t="str">
            <v>INTERIOR</v>
          </cell>
          <cell r="S202">
            <v>5</v>
          </cell>
          <cell r="T202">
            <v>9</v>
          </cell>
          <cell r="U202" t="str">
            <v>Ciudad principal</v>
          </cell>
          <cell r="V202" t="str">
            <v>Light Production Digital Business</v>
          </cell>
          <cell r="W202" t="str">
            <v>GUANAJUATO</v>
          </cell>
          <cell r="X202">
            <v>2019</v>
          </cell>
          <cell r="Y202" t="str">
            <v>Qtr 2</v>
          </cell>
          <cell r="Z202" t="str">
            <v>April</v>
          </cell>
          <cell r="AA202">
            <v>3</v>
          </cell>
          <cell r="AB202">
            <v>0</v>
          </cell>
          <cell r="AC202">
            <v>0</v>
          </cell>
          <cell r="AD202">
            <v>1.1000000000000001</v>
          </cell>
          <cell r="AE202">
            <v>0.10666668</v>
          </cell>
          <cell r="AF202">
            <v>1501.5</v>
          </cell>
        </row>
        <row r="203">
          <cell r="B203" t="str">
            <v>09HB331773</v>
          </cell>
          <cell r="C203">
            <v>2019</v>
          </cell>
          <cell r="D203" t="str">
            <v>Qtr 2</v>
          </cell>
          <cell r="E203" t="str">
            <v>April</v>
          </cell>
          <cell r="F203">
            <v>3</v>
          </cell>
          <cell r="G203" t="str">
            <v>MANTENIMIENTO PREVENTIVO</v>
          </cell>
          <cell r="H203">
            <v>0</v>
          </cell>
          <cell r="J203" t="str">
            <v>NA</v>
          </cell>
          <cell r="K203" t="str">
            <v>NA</v>
          </cell>
          <cell r="L203" t="str">
            <v>NA</v>
          </cell>
          <cell r="M203" t="str">
            <v>NA</v>
          </cell>
          <cell r="N203" t="str">
            <v>NA</v>
          </cell>
          <cell r="O203" t="str">
            <v>NA</v>
          </cell>
          <cell r="P203" t="str">
            <v>NA</v>
          </cell>
          <cell r="Q203" t="str">
            <v>NA</v>
          </cell>
          <cell r="S203" t="str">
            <v>NA</v>
          </cell>
          <cell r="T203" t="str">
            <v>NA</v>
          </cell>
          <cell r="V203" t="str">
            <v>A4 Mono MFPs</v>
          </cell>
          <cell r="W203" t="str">
            <v>JALISCO</v>
          </cell>
          <cell r="X203">
            <v>2019</v>
          </cell>
          <cell r="Y203" t="str">
            <v>Qtr 2</v>
          </cell>
          <cell r="Z203" t="str">
            <v>April</v>
          </cell>
          <cell r="AA203">
            <v>3</v>
          </cell>
          <cell r="AB203" t="str">
            <v>NA</v>
          </cell>
          <cell r="AC203">
            <v>15</v>
          </cell>
          <cell r="AD203">
            <v>0</v>
          </cell>
          <cell r="AE203">
            <v>0</v>
          </cell>
          <cell r="AF203">
            <v>0</v>
          </cell>
        </row>
        <row r="204">
          <cell r="B204" t="str">
            <v>03BT801967</v>
          </cell>
          <cell r="C204">
            <v>2019</v>
          </cell>
          <cell r="D204" t="str">
            <v>Qtr 2</v>
          </cell>
          <cell r="E204" t="str">
            <v>April</v>
          </cell>
          <cell r="F204">
            <v>3</v>
          </cell>
          <cell r="G204" t="str">
            <v>INSTALACION NUEVA</v>
          </cell>
          <cell r="H204">
            <v>0</v>
          </cell>
          <cell r="J204" t="str">
            <v>NA</v>
          </cell>
          <cell r="K204" t="str">
            <v>NA</v>
          </cell>
          <cell r="L204" t="str">
            <v>NA</v>
          </cell>
          <cell r="M204" t="str">
            <v>NA</v>
          </cell>
          <cell r="N204" t="str">
            <v>NA</v>
          </cell>
          <cell r="O204" t="str">
            <v>NA</v>
          </cell>
          <cell r="P204" t="str">
            <v>NA</v>
          </cell>
          <cell r="Q204" t="str">
            <v>NA</v>
          </cell>
          <cell r="S204" t="str">
            <v>NA</v>
          </cell>
          <cell r="T204" t="str">
            <v>NA</v>
          </cell>
          <cell r="V204" t="str">
            <v>A4 Mono MFPs</v>
          </cell>
          <cell r="W204" t="str">
            <v>COLIMA</v>
          </cell>
          <cell r="X204">
            <v>2019</v>
          </cell>
          <cell r="Y204" t="str">
            <v>Qtr 2</v>
          </cell>
          <cell r="Z204" t="str">
            <v>April</v>
          </cell>
          <cell r="AA204">
            <v>4</v>
          </cell>
          <cell r="AB204" t="str">
            <v>NA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</row>
        <row r="205">
          <cell r="B205" t="str">
            <v>0D6X461128</v>
          </cell>
          <cell r="C205">
            <v>2019</v>
          </cell>
          <cell r="D205" t="str">
            <v>Qtr 2</v>
          </cell>
          <cell r="E205" t="str">
            <v>April</v>
          </cell>
          <cell r="F205">
            <v>3</v>
          </cell>
          <cell r="G205" t="str">
            <v>CORRECTIVO</v>
          </cell>
          <cell r="H205">
            <v>0.21666669999999999</v>
          </cell>
          <cell r="I205" t="str">
            <v>Entry Mono Printers</v>
          </cell>
          <cell r="J205">
            <v>468</v>
          </cell>
          <cell r="K205">
            <v>715</v>
          </cell>
          <cell r="L205">
            <v>0</v>
          </cell>
          <cell r="M205">
            <v>0</v>
          </cell>
          <cell r="N205">
            <v>0</v>
          </cell>
          <cell r="O205">
            <v>0.6</v>
          </cell>
          <cell r="P205">
            <v>0.8</v>
          </cell>
          <cell r="Q205">
            <v>1.05</v>
          </cell>
          <cell r="R205" t="str">
            <v>INTERIOR</v>
          </cell>
          <cell r="S205">
            <v>5</v>
          </cell>
          <cell r="T205">
            <v>9</v>
          </cell>
          <cell r="U205" t="str">
            <v>Ciudad principal</v>
          </cell>
          <cell r="V205" t="str">
            <v>Entry Mono Printers</v>
          </cell>
          <cell r="W205" t="str">
            <v>DURANGO</v>
          </cell>
          <cell r="X205">
            <v>2019</v>
          </cell>
          <cell r="Y205" t="str">
            <v>Qtr 2</v>
          </cell>
          <cell r="Z205" t="str">
            <v>April</v>
          </cell>
          <cell r="AA205">
            <v>4</v>
          </cell>
          <cell r="AB205">
            <v>0</v>
          </cell>
          <cell r="AC205">
            <v>19</v>
          </cell>
          <cell r="AD205">
            <v>0.6</v>
          </cell>
          <cell r="AE205">
            <v>4.3333339999999998E-2</v>
          </cell>
          <cell r="AF205">
            <v>429</v>
          </cell>
        </row>
        <row r="206">
          <cell r="B206" t="str">
            <v>0Y4X827535</v>
          </cell>
          <cell r="C206">
            <v>2019</v>
          </cell>
          <cell r="D206" t="str">
            <v>Qtr 2</v>
          </cell>
          <cell r="E206" t="str">
            <v>April</v>
          </cell>
          <cell r="F206">
            <v>3</v>
          </cell>
          <cell r="G206" t="str">
            <v>CORRECTIVO</v>
          </cell>
          <cell r="H206">
            <v>1.266667</v>
          </cell>
          <cell r="I206" t="str">
            <v>Office Digital</v>
          </cell>
          <cell r="J206">
            <v>655</v>
          </cell>
          <cell r="K206">
            <v>1365</v>
          </cell>
          <cell r="L206">
            <v>0</v>
          </cell>
          <cell r="M206">
            <v>0</v>
          </cell>
          <cell r="N206">
            <v>0.6</v>
          </cell>
          <cell r="O206">
            <v>0.8</v>
          </cell>
          <cell r="P206">
            <v>1.05</v>
          </cell>
          <cell r="Q206">
            <v>1.1000000000000001</v>
          </cell>
          <cell r="R206" t="str">
            <v>INTERIOR</v>
          </cell>
          <cell r="S206">
            <v>5</v>
          </cell>
          <cell r="T206">
            <v>9</v>
          </cell>
          <cell r="U206" t="str">
            <v>Ciudad principal</v>
          </cell>
          <cell r="V206" t="str">
            <v>Light Production Digital Business</v>
          </cell>
          <cell r="W206" t="str">
            <v>CHIHUAHUA</v>
          </cell>
          <cell r="X206">
            <v>2019</v>
          </cell>
          <cell r="Y206" t="str">
            <v>Qtr 2</v>
          </cell>
          <cell r="Z206" t="str">
            <v>April</v>
          </cell>
          <cell r="AA206">
            <v>15</v>
          </cell>
          <cell r="AB206">
            <v>1</v>
          </cell>
          <cell r="AC206">
            <v>21</v>
          </cell>
          <cell r="AD206">
            <v>0</v>
          </cell>
          <cell r="AE206">
            <v>0</v>
          </cell>
          <cell r="AF206">
            <v>0</v>
          </cell>
        </row>
        <row r="207">
          <cell r="B207" t="str">
            <v>0Y4X843700</v>
          </cell>
          <cell r="C207">
            <v>2019</v>
          </cell>
          <cell r="D207" t="str">
            <v>Qtr 2</v>
          </cell>
          <cell r="E207" t="str">
            <v>April</v>
          </cell>
          <cell r="F207">
            <v>3</v>
          </cell>
          <cell r="G207" t="str">
            <v>CORRECTIVO</v>
          </cell>
          <cell r="H207">
            <v>0.25</v>
          </cell>
          <cell r="I207" t="str">
            <v>Office Digital</v>
          </cell>
          <cell r="J207">
            <v>655</v>
          </cell>
          <cell r="K207">
            <v>1365</v>
          </cell>
          <cell r="L207">
            <v>0</v>
          </cell>
          <cell r="M207">
            <v>0</v>
          </cell>
          <cell r="N207">
            <v>0.6</v>
          </cell>
          <cell r="O207">
            <v>0.8</v>
          </cell>
          <cell r="P207">
            <v>1.05</v>
          </cell>
          <cell r="Q207">
            <v>1.1000000000000001</v>
          </cell>
          <cell r="R207" t="str">
            <v>INTERIOR</v>
          </cell>
          <cell r="S207">
            <v>5</v>
          </cell>
          <cell r="T207">
            <v>9</v>
          </cell>
          <cell r="U207" t="str">
            <v>Ciudad principal</v>
          </cell>
          <cell r="V207" t="str">
            <v>Light Production Digital Business</v>
          </cell>
          <cell r="W207" t="str">
            <v>CHIHUAHUA</v>
          </cell>
          <cell r="X207">
            <v>2019</v>
          </cell>
          <cell r="Y207" t="str">
            <v>Qtr 2</v>
          </cell>
          <cell r="Z207" t="str">
            <v>April</v>
          </cell>
          <cell r="AA207">
            <v>4</v>
          </cell>
          <cell r="AB207">
            <v>1</v>
          </cell>
          <cell r="AC207">
            <v>68</v>
          </cell>
          <cell r="AD207">
            <v>0</v>
          </cell>
          <cell r="AE207">
            <v>0</v>
          </cell>
          <cell r="AF207">
            <v>0</v>
          </cell>
        </row>
        <row r="208">
          <cell r="B208" t="str">
            <v>03BT801964</v>
          </cell>
          <cell r="C208">
            <v>2019</v>
          </cell>
          <cell r="D208" t="str">
            <v>Qtr 2</v>
          </cell>
          <cell r="E208" t="str">
            <v>April</v>
          </cell>
          <cell r="F208">
            <v>3</v>
          </cell>
          <cell r="G208" t="str">
            <v>INSTALACION NUEVA</v>
          </cell>
          <cell r="H208">
            <v>0</v>
          </cell>
          <cell r="J208" t="str">
            <v>NA</v>
          </cell>
          <cell r="K208" t="str">
            <v>NA</v>
          </cell>
          <cell r="L208" t="str">
            <v>NA</v>
          </cell>
          <cell r="M208" t="str">
            <v>NA</v>
          </cell>
          <cell r="N208" t="str">
            <v>NA</v>
          </cell>
          <cell r="O208" t="str">
            <v>NA</v>
          </cell>
          <cell r="P208" t="str">
            <v>NA</v>
          </cell>
          <cell r="Q208" t="str">
            <v>NA</v>
          </cell>
          <cell r="S208" t="str">
            <v>NA</v>
          </cell>
          <cell r="T208" t="str">
            <v>NA</v>
          </cell>
          <cell r="V208" t="str">
            <v>A4 Mono MFPs</v>
          </cell>
          <cell r="W208" t="str">
            <v>QUERETARO</v>
          </cell>
          <cell r="X208">
            <v>2019</v>
          </cell>
          <cell r="Y208" t="str">
            <v>Qtr 2</v>
          </cell>
          <cell r="Z208" t="str">
            <v>April</v>
          </cell>
          <cell r="AA208">
            <v>4</v>
          </cell>
          <cell r="AB208" t="str">
            <v>NA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</row>
        <row r="209">
          <cell r="B209" t="str">
            <v>0EX9296094</v>
          </cell>
          <cell r="C209">
            <v>2019</v>
          </cell>
          <cell r="D209" t="str">
            <v>Qtr 2</v>
          </cell>
          <cell r="E209" t="str">
            <v>April</v>
          </cell>
          <cell r="F209">
            <v>3</v>
          </cell>
          <cell r="G209" t="str">
            <v>CORRECTIVO</v>
          </cell>
          <cell r="H209">
            <v>1.1333329999999999</v>
          </cell>
          <cell r="I209" t="str">
            <v>Departmental Digital</v>
          </cell>
          <cell r="J209">
            <v>655</v>
          </cell>
          <cell r="K209">
            <v>1365</v>
          </cell>
          <cell r="L209">
            <v>0</v>
          </cell>
          <cell r="M209">
            <v>0</v>
          </cell>
          <cell r="N209">
            <v>0.6</v>
          </cell>
          <cell r="O209">
            <v>0.8</v>
          </cell>
          <cell r="P209">
            <v>1.05</v>
          </cell>
          <cell r="Q209">
            <v>1.1000000000000001</v>
          </cell>
          <cell r="R209" t="str">
            <v>INTERIOR</v>
          </cell>
          <cell r="S209">
            <v>5</v>
          </cell>
          <cell r="T209">
            <v>9</v>
          </cell>
          <cell r="U209" t="str">
            <v>Ciudad principal</v>
          </cell>
          <cell r="V209" t="str">
            <v>Departmental Digital</v>
          </cell>
          <cell r="W209" t="str">
            <v>GUANAJUATO</v>
          </cell>
          <cell r="X209">
            <v>2019</v>
          </cell>
          <cell r="Y209" t="str">
            <v>Qtr 2</v>
          </cell>
          <cell r="Z209" t="str">
            <v>April</v>
          </cell>
          <cell r="AA209">
            <v>3</v>
          </cell>
          <cell r="AB209">
            <v>0</v>
          </cell>
          <cell r="AC209">
            <v>70</v>
          </cell>
          <cell r="AD209">
            <v>1.1000000000000001</v>
          </cell>
          <cell r="AE209">
            <v>0.2266666</v>
          </cell>
          <cell r="AF209">
            <v>1501.5</v>
          </cell>
        </row>
        <row r="210">
          <cell r="B210" t="str">
            <v>03BT801966</v>
          </cell>
          <cell r="C210">
            <v>2019</v>
          </cell>
          <cell r="D210" t="str">
            <v>Qtr 2</v>
          </cell>
          <cell r="E210" t="str">
            <v>April</v>
          </cell>
          <cell r="F210">
            <v>3</v>
          </cell>
          <cell r="G210" t="str">
            <v>INSTALACION NUEVA</v>
          </cell>
          <cell r="H210">
            <v>0.1666667</v>
          </cell>
          <cell r="I210" t="str">
            <v>A4 Mono MFPs</v>
          </cell>
          <cell r="J210">
            <v>468</v>
          </cell>
          <cell r="K210">
            <v>715</v>
          </cell>
          <cell r="L210">
            <v>0</v>
          </cell>
          <cell r="M210">
            <v>0</v>
          </cell>
          <cell r="N210">
            <v>0</v>
          </cell>
          <cell r="O210">
            <v>0.6</v>
          </cell>
          <cell r="P210">
            <v>0.8</v>
          </cell>
          <cell r="Q210">
            <v>1.05</v>
          </cell>
          <cell r="R210" t="str">
            <v>INTERIOR</v>
          </cell>
          <cell r="S210">
            <v>5</v>
          </cell>
          <cell r="T210">
            <v>9</v>
          </cell>
          <cell r="U210" t="str">
            <v>Otras</v>
          </cell>
          <cell r="V210" t="str">
            <v>A4 Mono MFPs</v>
          </cell>
          <cell r="W210" t="str">
            <v>SAN LUIS POTOSI</v>
          </cell>
          <cell r="X210">
            <v>2019</v>
          </cell>
          <cell r="Y210" t="str">
            <v>Qtr 2</v>
          </cell>
          <cell r="Z210" t="str">
            <v>April</v>
          </cell>
          <cell r="AA210">
            <v>8</v>
          </cell>
          <cell r="AB210">
            <v>0</v>
          </cell>
          <cell r="AC210">
            <v>33</v>
          </cell>
          <cell r="AD210">
            <v>0</v>
          </cell>
          <cell r="AE210">
            <v>0</v>
          </cell>
          <cell r="AF210">
            <v>715</v>
          </cell>
        </row>
        <row r="211">
          <cell r="B211" t="str">
            <v>0LA6296487</v>
          </cell>
          <cell r="C211">
            <v>2019</v>
          </cell>
          <cell r="D211" t="str">
            <v>Qtr 2</v>
          </cell>
          <cell r="E211" t="str">
            <v>April</v>
          </cell>
          <cell r="F211">
            <v>3</v>
          </cell>
          <cell r="G211" t="str">
            <v>CORRECTIVO</v>
          </cell>
          <cell r="H211">
            <v>1.75</v>
          </cell>
          <cell r="J211" t="str">
            <v>NA</v>
          </cell>
          <cell r="K211" t="str">
            <v>NA</v>
          </cell>
          <cell r="L211" t="str">
            <v>NA</v>
          </cell>
          <cell r="M211" t="str">
            <v>NA</v>
          </cell>
          <cell r="N211" t="str">
            <v>NA</v>
          </cell>
          <cell r="O211" t="str">
            <v>NA</v>
          </cell>
          <cell r="P211" t="str">
            <v>NA</v>
          </cell>
          <cell r="Q211" t="str">
            <v>NA</v>
          </cell>
          <cell r="S211" t="str">
            <v>NA</v>
          </cell>
          <cell r="T211" t="str">
            <v>NA</v>
          </cell>
          <cell r="V211" t="str">
            <v>A4 Mono MFPs</v>
          </cell>
          <cell r="W211" t="str">
            <v>ESTADO DE MEXICO</v>
          </cell>
          <cell r="X211">
            <v>2019</v>
          </cell>
          <cell r="Y211" t="str">
            <v>Qtr 2</v>
          </cell>
          <cell r="Z211" t="str">
            <v>April</v>
          </cell>
          <cell r="AA211">
            <v>3</v>
          </cell>
          <cell r="AB211" t="str">
            <v>NA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</row>
        <row r="212">
          <cell r="B212" t="str">
            <v>0A4T558105</v>
          </cell>
          <cell r="C212">
            <v>2019</v>
          </cell>
          <cell r="D212" t="str">
            <v>Qtr 2</v>
          </cell>
          <cell r="E212" t="str">
            <v>April</v>
          </cell>
          <cell r="F212">
            <v>3</v>
          </cell>
          <cell r="G212" t="str">
            <v>CORRECTIVO</v>
          </cell>
          <cell r="H212">
            <v>1.6333329999999999</v>
          </cell>
          <cell r="I212" t="str">
            <v>Entry Mono Printers</v>
          </cell>
          <cell r="J212">
            <v>468</v>
          </cell>
          <cell r="K212">
            <v>715</v>
          </cell>
          <cell r="L212">
            <v>0</v>
          </cell>
          <cell r="M212">
            <v>0</v>
          </cell>
          <cell r="N212">
            <v>0</v>
          </cell>
          <cell r="O212">
            <v>0.6</v>
          </cell>
          <cell r="P212">
            <v>0.8</v>
          </cell>
          <cell r="Q212">
            <v>1.05</v>
          </cell>
          <cell r="R212" t="str">
            <v>INTERIOR</v>
          </cell>
          <cell r="S212">
            <v>5</v>
          </cell>
          <cell r="T212">
            <v>9</v>
          </cell>
          <cell r="U212" t="str">
            <v>Ciudad principal</v>
          </cell>
          <cell r="V212" t="str">
            <v>A4 Mono MFPs</v>
          </cell>
          <cell r="W212" t="str">
            <v>GUANAJUATO</v>
          </cell>
          <cell r="X212">
            <v>2019</v>
          </cell>
          <cell r="Y212" t="str">
            <v>Qtr 2</v>
          </cell>
          <cell r="Z212" t="str">
            <v>April</v>
          </cell>
          <cell r="AA212">
            <v>5</v>
          </cell>
          <cell r="AB212">
            <v>0</v>
          </cell>
          <cell r="AC212">
            <v>363</v>
          </cell>
          <cell r="AD212">
            <v>1.05</v>
          </cell>
          <cell r="AE212">
            <v>0.32666659999999997</v>
          </cell>
          <cell r="AF212">
            <v>750.75</v>
          </cell>
        </row>
        <row r="213">
          <cell r="B213" t="str">
            <v>09HB331577</v>
          </cell>
          <cell r="C213">
            <v>2019</v>
          </cell>
          <cell r="D213" t="str">
            <v>Qtr 2</v>
          </cell>
          <cell r="E213" t="str">
            <v>April</v>
          </cell>
          <cell r="F213">
            <v>3</v>
          </cell>
          <cell r="G213" t="str">
            <v>MANTENIMIENTO PREVENTIVO</v>
          </cell>
          <cell r="H213">
            <v>0</v>
          </cell>
          <cell r="I213" t="str">
            <v>A4 Mono MFPs</v>
          </cell>
          <cell r="J213">
            <v>468</v>
          </cell>
          <cell r="K213">
            <v>715</v>
          </cell>
          <cell r="L213">
            <v>0</v>
          </cell>
          <cell r="M213">
            <v>0</v>
          </cell>
          <cell r="N213">
            <v>0</v>
          </cell>
          <cell r="O213">
            <v>0.6</v>
          </cell>
          <cell r="P213">
            <v>0.8</v>
          </cell>
          <cell r="Q213">
            <v>1.05</v>
          </cell>
          <cell r="R213" t="str">
            <v>INTERIOR</v>
          </cell>
          <cell r="S213">
            <v>5</v>
          </cell>
          <cell r="T213">
            <v>9</v>
          </cell>
          <cell r="U213" t="str">
            <v>Ciudad principal</v>
          </cell>
          <cell r="V213" t="str">
            <v>A4 Mono MFPs</v>
          </cell>
          <cell r="W213" t="str">
            <v>JALISCO</v>
          </cell>
          <cell r="X213">
            <v>2019</v>
          </cell>
          <cell r="Y213" t="str">
            <v>Qtr 2</v>
          </cell>
          <cell r="Z213" t="str">
            <v>April</v>
          </cell>
          <cell r="AA213">
            <v>3</v>
          </cell>
          <cell r="AB213">
            <v>1</v>
          </cell>
          <cell r="AC213">
            <v>9</v>
          </cell>
          <cell r="AD213">
            <v>0</v>
          </cell>
          <cell r="AE213">
            <v>0</v>
          </cell>
          <cell r="AF213">
            <v>0</v>
          </cell>
        </row>
        <row r="214">
          <cell r="B214" t="str">
            <v>0EX9286123</v>
          </cell>
          <cell r="C214">
            <v>2019</v>
          </cell>
          <cell r="D214" t="str">
            <v>Qtr 2</v>
          </cell>
          <cell r="E214" t="str">
            <v>April</v>
          </cell>
          <cell r="F214">
            <v>3</v>
          </cell>
          <cell r="G214" t="str">
            <v>CORRECTIVO</v>
          </cell>
          <cell r="H214">
            <v>0.1666667</v>
          </cell>
          <cell r="I214" t="str">
            <v>Departmental Digital</v>
          </cell>
          <cell r="J214">
            <v>655</v>
          </cell>
          <cell r="K214">
            <v>1365</v>
          </cell>
          <cell r="L214">
            <v>0</v>
          </cell>
          <cell r="M214">
            <v>0</v>
          </cell>
          <cell r="N214">
            <v>0.6</v>
          </cell>
          <cell r="O214">
            <v>0.8</v>
          </cell>
          <cell r="P214">
            <v>1.05</v>
          </cell>
          <cell r="Q214">
            <v>1.1000000000000001</v>
          </cell>
          <cell r="R214" t="str">
            <v>INTERIOR</v>
          </cell>
          <cell r="S214">
            <v>5</v>
          </cell>
          <cell r="T214">
            <v>9</v>
          </cell>
          <cell r="U214" t="str">
            <v>Ciudad principal</v>
          </cell>
          <cell r="V214" t="str">
            <v>Departmental Digital</v>
          </cell>
          <cell r="W214" t="str">
            <v>DURANGO</v>
          </cell>
          <cell r="X214">
            <v>2019</v>
          </cell>
          <cell r="Y214" t="str">
            <v>Qtr 2</v>
          </cell>
          <cell r="Z214" t="str">
            <v>April</v>
          </cell>
          <cell r="AA214">
            <v>3</v>
          </cell>
          <cell r="AB214">
            <v>0</v>
          </cell>
          <cell r="AC214">
            <v>1</v>
          </cell>
          <cell r="AD214">
            <v>0</v>
          </cell>
          <cell r="AE214">
            <v>3.3333340000000003E-2</v>
          </cell>
          <cell r="AF214">
            <v>0</v>
          </cell>
        </row>
        <row r="215">
          <cell r="B215" t="str">
            <v>0EX9283991</v>
          </cell>
          <cell r="C215">
            <v>2019</v>
          </cell>
          <cell r="D215" t="str">
            <v>Qtr 2</v>
          </cell>
          <cell r="E215" t="str">
            <v>April</v>
          </cell>
          <cell r="F215">
            <v>3</v>
          </cell>
          <cell r="G215" t="str">
            <v>CORRECTIVO</v>
          </cell>
          <cell r="H215">
            <v>2.0333329999999998</v>
          </cell>
          <cell r="I215" t="str">
            <v>Departmental Digital</v>
          </cell>
          <cell r="J215">
            <v>655</v>
          </cell>
          <cell r="K215">
            <v>1365</v>
          </cell>
          <cell r="L215">
            <v>0</v>
          </cell>
          <cell r="M215">
            <v>0</v>
          </cell>
          <cell r="N215">
            <v>0.6</v>
          </cell>
          <cell r="O215">
            <v>0.8</v>
          </cell>
          <cell r="P215">
            <v>1.05</v>
          </cell>
          <cell r="Q215">
            <v>1.1000000000000001</v>
          </cell>
          <cell r="R215" t="str">
            <v>INTERIOR</v>
          </cell>
          <cell r="S215">
            <v>5</v>
          </cell>
          <cell r="T215">
            <v>9</v>
          </cell>
          <cell r="U215" t="str">
            <v>Ciudad principal</v>
          </cell>
          <cell r="V215" t="str">
            <v>Departmental Digital</v>
          </cell>
          <cell r="W215" t="str">
            <v>TAMAULIPAS</v>
          </cell>
          <cell r="X215">
            <v>2019</v>
          </cell>
          <cell r="Y215" t="str">
            <v>Qtr 2</v>
          </cell>
          <cell r="Z215" t="str">
            <v>April</v>
          </cell>
          <cell r="AA215">
            <v>3</v>
          </cell>
          <cell r="AB215">
            <v>0</v>
          </cell>
          <cell r="AC215">
            <v>28</v>
          </cell>
          <cell r="AD215">
            <v>0.8</v>
          </cell>
          <cell r="AE215">
            <v>0.40666659999999999</v>
          </cell>
          <cell r="AF215">
            <v>1092</v>
          </cell>
        </row>
        <row r="216">
          <cell r="B216" t="str">
            <v>Y4X830295</v>
          </cell>
          <cell r="C216">
            <v>2019</v>
          </cell>
          <cell r="D216" t="str">
            <v>Qtr 2</v>
          </cell>
          <cell r="E216" t="str">
            <v>April</v>
          </cell>
          <cell r="F216">
            <v>3</v>
          </cell>
          <cell r="G216" t="str">
            <v>CORRECTIVO</v>
          </cell>
          <cell r="H216">
            <v>1.6166670000000001</v>
          </cell>
          <cell r="I216" t="str">
            <v>Office Digital</v>
          </cell>
          <cell r="J216">
            <v>655</v>
          </cell>
          <cell r="K216">
            <v>1365</v>
          </cell>
          <cell r="L216">
            <v>0</v>
          </cell>
          <cell r="M216">
            <v>0</v>
          </cell>
          <cell r="N216">
            <v>0.6</v>
          </cell>
          <cell r="O216">
            <v>0.8</v>
          </cell>
          <cell r="P216">
            <v>1.05</v>
          </cell>
          <cell r="Q216">
            <v>1.1000000000000001</v>
          </cell>
          <cell r="R216" t="str">
            <v>INTERIOR</v>
          </cell>
          <cell r="S216">
            <v>5</v>
          </cell>
          <cell r="T216">
            <v>9</v>
          </cell>
          <cell r="U216" t="str">
            <v>Ciudad principal</v>
          </cell>
          <cell r="V216" t="str">
            <v>Light Production Digital Business</v>
          </cell>
          <cell r="W216" t="str">
            <v>ESTADO DE MEXICO</v>
          </cell>
          <cell r="X216">
            <v>2019</v>
          </cell>
          <cell r="Y216" t="str">
            <v>Qtr 2</v>
          </cell>
          <cell r="Z216" t="str">
            <v>April</v>
          </cell>
          <cell r="AA216">
            <v>3</v>
          </cell>
          <cell r="AB216">
            <v>0</v>
          </cell>
          <cell r="AC216">
            <v>62</v>
          </cell>
          <cell r="AD216">
            <v>1.1000000000000001</v>
          </cell>
          <cell r="AE216">
            <v>0.32333339999999999</v>
          </cell>
          <cell r="AF216">
            <v>1501.5</v>
          </cell>
        </row>
        <row r="217">
          <cell r="B217" t="str">
            <v>0KPA018636</v>
          </cell>
          <cell r="C217">
            <v>2019</v>
          </cell>
          <cell r="D217" t="str">
            <v>Qtr 2</v>
          </cell>
          <cell r="E217" t="str">
            <v>April</v>
          </cell>
          <cell r="F217">
            <v>3</v>
          </cell>
          <cell r="G217" t="str">
            <v>MANTENIMIENTO PREVENTIVO</v>
          </cell>
          <cell r="H217">
            <v>0</v>
          </cell>
          <cell r="I217" t="str">
            <v>Entry Mono Printers</v>
          </cell>
          <cell r="J217">
            <v>468</v>
          </cell>
          <cell r="K217">
            <v>715</v>
          </cell>
          <cell r="L217">
            <v>0</v>
          </cell>
          <cell r="M217">
            <v>0</v>
          </cell>
          <cell r="N217">
            <v>0</v>
          </cell>
          <cell r="O217">
            <v>0.6</v>
          </cell>
          <cell r="P217">
            <v>0.8</v>
          </cell>
          <cell r="Q217">
            <v>1.05</v>
          </cell>
          <cell r="R217" t="str">
            <v>INTERIOR</v>
          </cell>
          <cell r="S217">
            <v>5</v>
          </cell>
          <cell r="T217">
            <v>9</v>
          </cell>
          <cell r="U217" t="str">
            <v>Ciudad principal</v>
          </cell>
          <cell r="V217" t="str">
            <v>Departmental Digital</v>
          </cell>
          <cell r="W217" t="str">
            <v>CHIHUAHUA</v>
          </cell>
          <cell r="X217">
            <v>2019</v>
          </cell>
          <cell r="Y217" t="str">
            <v>Qtr 2</v>
          </cell>
          <cell r="Z217" t="str">
            <v>April</v>
          </cell>
          <cell r="AA217">
            <v>5</v>
          </cell>
          <cell r="AB217">
            <v>0</v>
          </cell>
          <cell r="AC217">
            <v>13</v>
          </cell>
          <cell r="AD217">
            <v>0</v>
          </cell>
          <cell r="AE217">
            <v>0</v>
          </cell>
          <cell r="AF217">
            <v>715</v>
          </cell>
        </row>
        <row r="218">
          <cell r="B218" t="str">
            <v>08TB608554</v>
          </cell>
          <cell r="C218">
            <v>2019</v>
          </cell>
          <cell r="D218" t="str">
            <v>Qtr 2</v>
          </cell>
          <cell r="E218" t="str">
            <v>April</v>
          </cell>
          <cell r="F218">
            <v>3</v>
          </cell>
          <cell r="G218" t="str">
            <v>CORRECTIVO</v>
          </cell>
          <cell r="H218">
            <v>0.95</v>
          </cell>
          <cell r="J218" t="str">
            <v>NA</v>
          </cell>
          <cell r="K218" t="str">
            <v>NA</v>
          </cell>
          <cell r="L218" t="str">
            <v>NA</v>
          </cell>
          <cell r="M218" t="str">
            <v>NA</v>
          </cell>
          <cell r="N218" t="str">
            <v>NA</v>
          </cell>
          <cell r="O218" t="str">
            <v>NA</v>
          </cell>
          <cell r="P218" t="str">
            <v>NA</v>
          </cell>
          <cell r="Q218" t="str">
            <v>NA</v>
          </cell>
          <cell r="S218" t="str">
            <v>NA</v>
          </cell>
          <cell r="T218" t="str">
            <v>NA</v>
          </cell>
          <cell r="V218" t="str">
            <v>A3 Office Color Laser MFPs</v>
          </cell>
          <cell r="W218" t="str">
            <v>NUEVO LEON</v>
          </cell>
          <cell r="X218">
            <v>2019</v>
          </cell>
          <cell r="Y218" t="str">
            <v>Qtr 2</v>
          </cell>
          <cell r="Z218" t="str">
            <v>April</v>
          </cell>
          <cell r="AA218">
            <v>5</v>
          </cell>
          <cell r="AB218" t="str">
            <v>NA</v>
          </cell>
          <cell r="AC218">
            <v>43</v>
          </cell>
          <cell r="AD218">
            <v>0</v>
          </cell>
          <cell r="AE218">
            <v>0</v>
          </cell>
          <cell r="AF218">
            <v>0</v>
          </cell>
        </row>
        <row r="219">
          <cell r="B219" t="str">
            <v>0EX9293385</v>
          </cell>
          <cell r="C219">
            <v>2019</v>
          </cell>
          <cell r="D219" t="str">
            <v>Qtr 2</v>
          </cell>
          <cell r="E219" t="str">
            <v>April</v>
          </cell>
          <cell r="F219">
            <v>3</v>
          </cell>
          <cell r="G219" t="str">
            <v>CORRECTIVO</v>
          </cell>
          <cell r="H219">
            <v>0.4166667</v>
          </cell>
          <cell r="I219" t="str">
            <v>Departmental Digital</v>
          </cell>
          <cell r="J219">
            <v>655</v>
          </cell>
          <cell r="K219">
            <v>1365</v>
          </cell>
          <cell r="L219">
            <v>0</v>
          </cell>
          <cell r="M219">
            <v>0</v>
          </cell>
          <cell r="N219">
            <v>0.6</v>
          </cell>
          <cell r="O219">
            <v>0.8</v>
          </cell>
          <cell r="P219">
            <v>1.05</v>
          </cell>
          <cell r="Q219">
            <v>1.1000000000000001</v>
          </cell>
          <cell r="R219" t="str">
            <v>INTERIOR</v>
          </cell>
          <cell r="S219">
            <v>5</v>
          </cell>
          <cell r="T219">
            <v>9</v>
          </cell>
          <cell r="U219" t="str">
            <v>Ciudad principal</v>
          </cell>
          <cell r="V219" t="str">
            <v>Departmental Digital</v>
          </cell>
          <cell r="W219" t="str">
            <v>QUERETARO</v>
          </cell>
          <cell r="X219">
            <v>2019</v>
          </cell>
          <cell r="Y219" t="str">
            <v>Qtr 2</v>
          </cell>
          <cell r="Z219" t="str">
            <v>April</v>
          </cell>
          <cell r="AA219">
            <v>3</v>
          </cell>
          <cell r="AB219">
            <v>0</v>
          </cell>
          <cell r="AC219">
            <v>8</v>
          </cell>
          <cell r="AD219">
            <v>0.6</v>
          </cell>
          <cell r="AE219">
            <v>8.3333340000000006E-2</v>
          </cell>
          <cell r="AF219">
            <v>819</v>
          </cell>
        </row>
        <row r="220">
          <cell r="B220" t="str">
            <v>0C7X246832</v>
          </cell>
          <cell r="C220">
            <v>2019</v>
          </cell>
          <cell r="D220" t="str">
            <v>Qtr 2</v>
          </cell>
          <cell r="E220" t="str">
            <v>April</v>
          </cell>
          <cell r="F220">
            <v>3</v>
          </cell>
          <cell r="G220" t="str">
            <v>CORRECTIVO</v>
          </cell>
          <cell r="H220">
            <v>6.0666669999999998</v>
          </cell>
          <cell r="I220" t="str">
            <v>A4 Mono MFPs</v>
          </cell>
          <cell r="J220">
            <v>468</v>
          </cell>
          <cell r="K220">
            <v>715</v>
          </cell>
          <cell r="L220">
            <v>0</v>
          </cell>
          <cell r="M220">
            <v>0</v>
          </cell>
          <cell r="N220">
            <v>0</v>
          </cell>
          <cell r="O220">
            <v>0.6</v>
          </cell>
          <cell r="P220">
            <v>0.8</v>
          </cell>
          <cell r="Q220">
            <v>1.05</v>
          </cell>
          <cell r="R220" t="str">
            <v>INTERIOR</v>
          </cell>
          <cell r="S220">
            <v>5</v>
          </cell>
          <cell r="T220">
            <v>9</v>
          </cell>
          <cell r="U220" t="str">
            <v>Ciudad principal</v>
          </cell>
          <cell r="V220" t="str">
            <v>A4 Mono MFPs</v>
          </cell>
          <cell r="W220" t="str">
            <v>TAMAULIPAS</v>
          </cell>
          <cell r="X220">
            <v>2019</v>
          </cell>
          <cell r="Y220" t="str">
            <v>Qtr 2</v>
          </cell>
          <cell r="Z220" t="str">
            <v>April</v>
          </cell>
          <cell r="AA220">
            <v>12</v>
          </cell>
          <cell r="AB220">
            <v>0</v>
          </cell>
          <cell r="AC220">
            <v>54</v>
          </cell>
          <cell r="AD220">
            <v>0.8</v>
          </cell>
          <cell r="AE220">
            <v>1.2133334</v>
          </cell>
          <cell r="AF220">
            <v>533.86665474999995</v>
          </cell>
        </row>
        <row r="221">
          <cell r="B221" t="str">
            <v>0X76707246</v>
          </cell>
          <cell r="C221">
            <v>2019</v>
          </cell>
          <cell r="D221" t="str">
            <v>Qtr 2</v>
          </cell>
          <cell r="E221" t="str">
            <v>April</v>
          </cell>
          <cell r="F221">
            <v>3</v>
          </cell>
          <cell r="G221" t="str">
            <v>CORRECTIVO</v>
          </cell>
          <cell r="H221">
            <v>0.65</v>
          </cell>
          <cell r="I221" t="str">
            <v>Office Digital</v>
          </cell>
          <cell r="J221">
            <v>655</v>
          </cell>
          <cell r="K221">
            <v>1365</v>
          </cell>
          <cell r="L221">
            <v>0</v>
          </cell>
          <cell r="M221">
            <v>0</v>
          </cell>
          <cell r="N221">
            <v>0.6</v>
          </cell>
          <cell r="O221">
            <v>0.8</v>
          </cell>
          <cell r="P221">
            <v>1.05</v>
          </cell>
          <cell r="Q221">
            <v>1.1000000000000001</v>
          </cell>
          <cell r="R221" t="str">
            <v>INTERIOR</v>
          </cell>
          <cell r="S221">
            <v>5</v>
          </cell>
          <cell r="T221">
            <v>9</v>
          </cell>
          <cell r="U221" t="str">
            <v>Ciudad principal</v>
          </cell>
          <cell r="V221" t="str">
            <v>Departmental Digital</v>
          </cell>
          <cell r="W221" t="str">
            <v>CHIHUAHUA</v>
          </cell>
          <cell r="X221">
            <v>2019</v>
          </cell>
          <cell r="Y221" t="str">
            <v>Qtr 2</v>
          </cell>
          <cell r="Z221" t="str">
            <v>April</v>
          </cell>
          <cell r="AA221">
            <v>3</v>
          </cell>
          <cell r="AB221">
            <v>1</v>
          </cell>
          <cell r="AC221">
            <v>132</v>
          </cell>
          <cell r="AD221">
            <v>0</v>
          </cell>
          <cell r="AE221">
            <v>0</v>
          </cell>
          <cell r="AF221">
            <v>0</v>
          </cell>
        </row>
        <row r="222">
          <cell r="B222" t="str">
            <v>09HB331691</v>
          </cell>
          <cell r="C222">
            <v>2019</v>
          </cell>
          <cell r="D222" t="str">
            <v>Qtr 2</v>
          </cell>
          <cell r="E222" t="str">
            <v>April</v>
          </cell>
          <cell r="F222">
            <v>3</v>
          </cell>
          <cell r="G222" t="str">
            <v>CORRECTIVO</v>
          </cell>
          <cell r="H222">
            <v>0</v>
          </cell>
          <cell r="J222" t="str">
            <v>NA</v>
          </cell>
          <cell r="K222" t="str">
            <v>NA</v>
          </cell>
          <cell r="L222" t="str">
            <v>NA</v>
          </cell>
          <cell r="M222" t="str">
            <v>NA</v>
          </cell>
          <cell r="N222" t="str">
            <v>NA</v>
          </cell>
          <cell r="O222" t="str">
            <v>NA</v>
          </cell>
          <cell r="P222" t="str">
            <v>NA</v>
          </cell>
          <cell r="Q222" t="str">
            <v>NA</v>
          </cell>
          <cell r="S222" t="str">
            <v>NA</v>
          </cell>
          <cell r="T222" t="str">
            <v>NA</v>
          </cell>
          <cell r="V222" t="str">
            <v>A4 Mono MFPs</v>
          </cell>
          <cell r="W222" t="str">
            <v>CHIHUAHUA</v>
          </cell>
          <cell r="X222">
            <v>2019</v>
          </cell>
          <cell r="Y222" t="str">
            <v>Qtr 2</v>
          </cell>
          <cell r="Z222" t="str">
            <v>April</v>
          </cell>
          <cell r="AA222">
            <v>3</v>
          </cell>
          <cell r="AB222" t="str">
            <v>NA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</row>
        <row r="223">
          <cell r="B223" t="str">
            <v>0Y4X848630</v>
          </cell>
          <cell r="C223">
            <v>2019</v>
          </cell>
          <cell r="D223" t="str">
            <v>Qtr 2</v>
          </cell>
          <cell r="E223" t="str">
            <v>April</v>
          </cell>
          <cell r="F223">
            <v>3</v>
          </cell>
          <cell r="G223" t="str">
            <v>CORRECTIVO</v>
          </cell>
          <cell r="H223">
            <v>1.45</v>
          </cell>
          <cell r="I223" t="str">
            <v>Office Digital</v>
          </cell>
          <cell r="J223">
            <v>655</v>
          </cell>
          <cell r="K223">
            <v>1365</v>
          </cell>
          <cell r="L223">
            <v>0</v>
          </cell>
          <cell r="M223">
            <v>0</v>
          </cell>
          <cell r="N223">
            <v>0.6</v>
          </cell>
          <cell r="O223">
            <v>0.8</v>
          </cell>
          <cell r="P223">
            <v>1.05</v>
          </cell>
          <cell r="Q223">
            <v>1.1000000000000001</v>
          </cell>
          <cell r="R223" t="str">
            <v>METRO</v>
          </cell>
          <cell r="S223">
            <v>5</v>
          </cell>
          <cell r="T223">
            <v>9</v>
          </cell>
          <cell r="U223" t="str">
            <v>Ciudad principal</v>
          </cell>
          <cell r="V223" t="str">
            <v>Light Production Digital Business</v>
          </cell>
          <cell r="W223" t="str">
            <v>CIUDAD DE MEXICO</v>
          </cell>
          <cell r="X223">
            <v>2019</v>
          </cell>
          <cell r="Y223" t="str">
            <v>Qtr 2</v>
          </cell>
          <cell r="Z223" t="str">
            <v>April</v>
          </cell>
          <cell r="AA223">
            <v>3</v>
          </cell>
          <cell r="AB223">
            <v>1</v>
          </cell>
          <cell r="AC223">
            <v>105</v>
          </cell>
          <cell r="AD223">
            <v>0</v>
          </cell>
          <cell r="AE223">
            <v>0</v>
          </cell>
          <cell r="AF223">
            <v>0</v>
          </cell>
        </row>
        <row r="224">
          <cell r="B224" t="str">
            <v>09HB331848</v>
          </cell>
          <cell r="C224">
            <v>2019</v>
          </cell>
          <cell r="D224" t="str">
            <v>Qtr 2</v>
          </cell>
          <cell r="E224" t="str">
            <v>April</v>
          </cell>
          <cell r="F224">
            <v>3</v>
          </cell>
          <cell r="G224" t="str">
            <v>MANTENIMIENTO PREVENTIVO</v>
          </cell>
          <cell r="H224">
            <v>0</v>
          </cell>
          <cell r="I224" t="str">
            <v>A4 Mono MFPs</v>
          </cell>
          <cell r="J224">
            <v>468</v>
          </cell>
          <cell r="K224">
            <v>715</v>
          </cell>
          <cell r="L224">
            <v>0</v>
          </cell>
          <cell r="M224">
            <v>0</v>
          </cell>
          <cell r="N224">
            <v>0</v>
          </cell>
          <cell r="O224">
            <v>0.6</v>
          </cell>
          <cell r="P224">
            <v>0.8</v>
          </cell>
          <cell r="Q224">
            <v>1.05</v>
          </cell>
          <cell r="R224" t="str">
            <v>INTERIOR</v>
          </cell>
          <cell r="S224">
            <v>5</v>
          </cell>
          <cell r="T224">
            <v>9</v>
          </cell>
          <cell r="U224" t="str">
            <v>Ciudad principal</v>
          </cell>
          <cell r="V224" t="str">
            <v>A4 Mono MFPs</v>
          </cell>
          <cell r="W224" t="str">
            <v>JALISCO</v>
          </cell>
          <cell r="X224">
            <v>2019</v>
          </cell>
          <cell r="Y224" t="str">
            <v>Qtr 2</v>
          </cell>
          <cell r="Z224" t="str">
            <v>April</v>
          </cell>
          <cell r="AA224">
            <v>3</v>
          </cell>
          <cell r="AB224">
            <v>1</v>
          </cell>
          <cell r="AC224">
            <v>36</v>
          </cell>
          <cell r="AD224">
            <v>0</v>
          </cell>
          <cell r="AE224">
            <v>0</v>
          </cell>
          <cell r="AF224">
            <v>0</v>
          </cell>
        </row>
        <row r="225">
          <cell r="B225" t="str">
            <v>09HB331432</v>
          </cell>
          <cell r="C225">
            <v>2019</v>
          </cell>
          <cell r="D225" t="str">
            <v>Qtr 2</v>
          </cell>
          <cell r="E225" t="str">
            <v>April</v>
          </cell>
          <cell r="F225">
            <v>3</v>
          </cell>
          <cell r="G225" t="str">
            <v>MANTENIMIENTO PREVENTIVO</v>
          </cell>
          <cell r="H225">
            <v>0</v>
          </cell>
          <cell r="J225" t="str">
            <v>NA</v>
          </cell>
          <cell r="K225" t="str">
            <v>NA</v>
          </cell>
          <cell r="L225" t="str">
            <v>NA</v>
          </cell>
          <cell r="M225" t="str">
            <v>NA</v>
          </cell>
          <cell r="N225" t="str">
            <v>NA</v>
          </cell>
          <cell r="O225" t="str">
            <v>NA</v>
          </cell>
          <cell r="P225" t="str">
            <v>NA</v>
          </cell>
          <cell r="Q225" t="str">
            <v>NA</v>
          </cell>
          <cell r="S225" t="str">
            <v>NA</v>
          </cell>
          <cell r="T225" t="str">
            <v>NA</v>
          </cell>
          <cell r="V225" t="str">
            <v>A4 Mono MFPs</v>
          </cell>
          <cell r="W225" t="str">
            <v>JALISCO</v>
          </cell>
          <cell r="X225">
            <v>2019</v>
          </cell>
          <cell r="Y225" t="str">
            <v>Qtr 2</v>
          </cell>
          <cell r="Z225" t="str">
            <v>April</v>
          </cell>
          <cell r="AA225">
            <v>3</v>
          </cell>
          <cell r="AB225" t="str">
            <v>NA</v>
          </cell>
          <cell r="AC225">
            <v>26</v>
          </cell>
          <cell r="AD225">
            <v>0</v>
          </cell>
          <cell r="AE225">
            <v>0</v>
          </cell>
          <cell r="AF225">
            <v>0</v>
          </cell>
        </row>
        <row r="226">
          <cell r="B226" t="str">
            <v>0Y4X847064</v>
          </cell>
          <cell r="C226">
            <v>2019</v>
          </cell>
          <cell r="D226" t="str">
            <v>Qtr 2</v>
          </cell>
          <cell r="E226" t="str">
            <v>April</v>
          </cell>
          <cell r="F226">
            <v>3</v>
          </cell>
          <cell r="G226" t="str">
            <v>MANTENIMIENTO PREVENTIVO</v>
          </cell>
          <cell r="H226">
            <v>0</v>
          </cell>
          <cell r="I226" t="str">
            <v>Office Digital</v>
          </cell>
          <cell r="J226">
            <v>655</v>
          </cell>
          <cell r="K226">
            <v>1365</v>
          </cell>
          <cell r="L226">
            <v>0</v>
          </cell>
          <cell r="M226">
            <v>0</v>
          </cell>
          <cell r="N226">
            <v>0.6</v>
          </cell>
          <cell r="O226">
            <v>0.8</v>
          </cell>
          <cell r="P226">
            <v>1.05</v>
          </cell>
          <cell r="Q226">
            <v>1.1000000000000001</v>
          </cell>
          <cell r="R226" t="str">
            <v>INTERIOR</v>
          </cell>
          <cell r="S226">
            <v>5</v>
          </cell>
          <cell r="T226">
            <v>9</v>
          </cell>
          <cell r="U226" t="str">
            <v>Ciudad principal</v>
          </cell>
          <cell r="V226" t="str">
            <v>Light Production Digital Business</v>
          </cell>
          <cell r="W226" t="str">
            <v>JALISCO</v>
          </cell>
          <cell r="X226">
            <v>2019</v>
          </cell>
          <cell r="Y226" t="str">
            <v>Qtr 2</v>
          </cell>
          <cell r="Z226" t="str">
            <v>April</v>
          </cell>
          <cell r="AA226">
            <v>3</v>
          </cell>
          <cell r="AB226">
            <v>1</v>
          </cell>
          <cell r="AC226">
            <v>2</v>
          </cell>
          <cell r="AD226">
            <v>0</v>
          </cell>
          <cell r="AE226">
            <v>0</v>
          </cell>
          <cell r="AF226">
            <v>0</v>
          </cell>
        </row>
        <row r="227">
          <cell r="B227" t="str">
            <v>0Y4X848742</v>
          </cell>
          <cell r="C227">
            <v>2019</v>
          </cell>
          <cell r="D227" t="str">
            <v>Qtr 2</v>
          </cell>
          <cell r="E227" t="str">
            <v>April</v>
          </cell>
          <cell r="F227">
            <v>3</v>
          </cell>
          <cell r="G227" t="str">
            <v>MANTENIMIENTO PREVENTIVO</v>
          </cell>
          <cell r="H227">
            <v>0</v>
          </cell>
          <cell r="I227" t="str">
            <v>Office Digital</v>
          </cell>
          <cell r="J227">
            <v>655</v>
          </cell>
          <cell r="K227">
            <v>1365</v>
          </cell>
          <cell r="L227">
            <v>0</v>
          </cell>
          <cell r="M227">
            <v>0</v>
          </cell>
          <cell r="N227">
            <v>0.6</v>
          </cell>
          <cell r="O227">
            <v>0.8</v>
          </cell>
          <cell r="P227">
            <v>1.05</v>
          </cell>
          <cell r="Q227">
            <v>1.1000000000000001</v>
          </cell>
          <cell r="R227" t="str">
            <v>INTERIOR</v>
          </cell>
          <cell r="S227">
            <v>5</v>
          </cell>
          <cell r="T227">
            <v>9</v>
          </cell>
          <cell r="U227" t="str">
            <v>Ciudad principal</v>
          </cell>
          <cell r="V227" t="str">
            <v>Light Production Digital Business</v>
          </cell>
          <cell r="W227" t="str">
            <v>JALISCO</v>
          </cell>
          <cell r="X227">
            <v>2019</v>
          </cell>
          <cell r="Y227" t="str">
            <v>Qtr 2</v>
          </cell>
          <cell r="Z227" t="str">
            <v>April</v>
          </cell>
          <cell r="AA227">
            <v>3</v>
          </cell>
          <cell r="AB227">
            <v>0</v>
          </cell>
          <cell r="AC227">
            <v>41</v>
          </cell>
          <cell r="AD227">
            <v>0</v>
          </cell>
          <cell r="AE227">
            <v>0</v>
          </cell>
          <cell r="AF227">
            <v>1365</v>
          </cell>
        </row>
        <row r="228">
          <cell r="B228" t="str">
            <v>0Y4X848639</v>
          </cell>
          <cell r="C228">
            <v>2019</v>
          </cell>
          <cell r="D228" t="str">
            <v>Qtr 2</v>
          </cell>
          <cell r="E228" t="str">
            <v>April</v>
          </cell>
          <cell r="F228">
            <v>3</v>
          </cell>
          <cell r="G228" t="str">
            <v>MANTENIMIENTO PREVENTIVO</v>
          </cell>
          <cell r="H228">
            <v>0</v>
          </cell>
          <cell r="I228" t="str">
            <v>Office Digital</v>
          </cell>
          <cell r="J228">
            <v>655</v>
          </cell>
          <cell r="K228">
            <v>1365</v>
          </cell>
          <cell r="L228">
            <v>0</v>
          </cell>
          <cell r="M228">
            <v>0</v>
          </cell>
          <cell r="N228">
            <v>0.6</v>
          </cell>
          <cell r="O228">
            <v>0.8</v>
          </cell>
          <cell r="P228">
            <v>1.05</v>
          </cell>
          <cell r="Q228">
            <v>1.1000000000000001</v>
          </cell>
          <cell r="R228" t="str">
            <v>INTERIOR</v>
          </cell>
          <cell r="S228">
            <v>5</v>
          </cell>
          <cell r="T228">
            <v>9</v>
          </cell>
          <cell r="U228" t="str">
            <v>Ciudad principal</v>
          </cell>
          <cell r="V228" t="str">
            <v>Light Production Digital Business</v>
          </cell>
          <cell r="W228" t="str">
            <v>JALISCO</v>
          </cell>
          <cell r="X228">
            <v>2019</v>
          </cell>
          <cell r="Y228" t="str">
            <v>Qtr 2</v>
          </cell>
          <cell r="Z228" t="str">
            <v>April</v>
          </cell>
          <cell r="AA228">
            <v>3</v>
          </cell>
          <cell r="AB228">
            <v>0</v>
          </cell>
          <cell r="AC228">
            <v>8</v>
          </cell>
          <cell r="AD228">
            <v>0</v>
          </cell>
          <cell r="AE228">
            <v>0</v>
          </cell>
          <cell r="AF228">
            <v>1365</v>
          </cell>
        </row>
        <row r="229">
          <cell r="B229" t="str">
            <v>09HB332055</v>
          </cell>
          <cell r="C229">
            <v>2019</v>
          </cell>
          <cell r="D229" t="str">
            <v>Qtr 2</v>
          </cell>
          <cell r="E229" t="str">
            <v>April</v>
          </cell>
          <cell r="F229">
            <v>3</v>
          </cell>
          <cell r="G229" t="str">
            <v>MANTENIMIENTO PREVENTIVO</v>
          </cell>
          <cell r="H229">
            <v>0</v>
          </cell>
          <cell r="I229" t="str">
            <v>A4 Mono MFPs</v>
          </cell>
          <cell r="J229">
            <v>468</v>
          </cell>
          <cell r="K229">
            <v>715</v>
          </cell>
          <cell r="L229">
            <v>0</v>
          </cell>
          <cell r="M229">
            <v>0</v>
          </cell>
          <cell r="N229">
            <v>0</v>
          </cell>
          <cell r="O229">
            <v>0.6</v>
          </cell>
          <cell r="P229">
            <v>0.8</v>
          </cell>
          <cell r="Q229">
            <v>1.05</v>
          </cell>
          <cell r="R229" t="str">
            <v>INTERIOR</v>
          </cell>
          <cell r="S229">
            <v>5</v>
          </cell>
          <cell r="T229">
            <v>9</v>
          </cell>
          <cell r="U229" t="str">
            <v>Ciudad principal</v>
          </cell>
          <cell r="V229" t="str">
            <v>A4 Mono MFPs</v>
          </cell>
          <cell r="W229" t="str">
            <v>JALISCO</v>
          </cell>
          <cell r="X229">
            <v>2019</v>
          </cell>
          <cell r="Y229" t="str">
            <v>Qtr 2</v>
          </cell>
          <cell r="Z229" t="str">
            <v>April</v>
          </cell>
          <cell r="AA229">
            <v>3</v>
          </cell>
          <cell r="AB229">
            <v>1</v>
          </cell>
          <cell r="AC229">
            <v>9</v>
          </cell>
          <cell r="AD229">
            <v>0</v>
          </cell>
          <cell r="AE229">
            <v>0</v>
          </cell>
          <cell r="AF229">
            <v>0</v>
          </cell>
        </row>
        <row r="230">
          <cell r="B230" t="str">
            <v>02TX060562</v>
          </cell>
          <cell r="C230">
            <v>2019</v>
          </cell>
          <cell r="D230" t="str">
            <v>Qtr 2</v>
          </cell>
          <cell r="E230" t="str">
            <v>April</v>
          </cell>
          <cell r="F230">
            <v>3</v>
          </cell>
          <cell r="G230" t="str">
            <v>MANTENIMIENTO PREVENTIVO</v>
          </cell>
          <cell r="H230">
            <v>0</v>
          </cell>
          <cell r="I230" t="str">
            <v>A3 Office Color Laser MFPs</v>
          </cell>
          <cell r="J230">
            <v>655</v>
          </cell>
          <cell r="K230">
            <v>1365</v>
          </cell>
          <cell r="L230">
            <v>0</v>
          </cell>
          <cell r="M230">
            <v>0</v>
          </cell>
          <cell r="N230">
            <v>0.6</v>
          </cell>
          <cell r="O230">
            <v>0.8</v>
          </cell>
          <cell r="P230">
            <v>1.05</v>
          </cell>
          <cell r="Q230">
            <v>1.1000000000000001</v>
          </cell>
          <cell r="R230" t="str">
            <v>INTERIOR</v>
          </cell>
          <cell r="S230">
            <v>5</v>
          </cell>
          <cell r="T230">
            <v>9</v>
          </cell>
          <cell r="U230" t="str">
            <v>Ciudad principal</v>
          </cell>
          <cell r="V230" t="str">
            <v>A3 Office Color Laser MFPs</v>
          </cell>
          <cell r="W230" t="str">
            <v>JALISCO</v>
          </cell>
          <cell r="X230">
            <v>2019</v>
          </cell>
          <cell r="Y230" t="str">
            <v>Qtr 2</v>
          </cell>
          <cell r="Z230" t="str">
            <v>April</v>
          </cell>
          <cell r="AA230">
            <v>3</v>
          </cell>
          <cell r="AB230">
            <v>1</v>
          </cell>
          <cell r="AC230">
            <v>8</v>
          </cell>
          <cell r="AD230">
            <v>0</v>
          </cell>
          <cell r="AE230">
            <v>0</v>
          </cell>
          <cell r="AF230">
            <v>0</v>
          </cell>
        </row>
        <row r="231">
          <cell r="B231" t="str">
            <v>0XPN546686</v>
          </cell>
          <cell r="C231">
            <v>2019</v>
          </cell>
          <cell r="D231" t="str">
            <v>Qtr 2</v>
          </cell>
          <cell r="E231" t="str">
            <v>April</v>
          </cell>
          <cell r="F231">
            <v>3</v>
          </cell>
          <cell r="G231" t="str">
            <v>CORRECTIVO</v>
          </cell>
          <cell r="H231">
            <v>1.766667</v>
          </cell>
          <cell r="I231" t="str">
            <v>Entry Production Color Low/Mid</v>
          </cell>
          <cell r="J231">
            <v>803</v>
          </cell>
          <cell r="K231">
            <v>1573</v>
          </cell>
          <cell r="L231">
            <v>0.2</v>
          </cell>
          <cell r="M231">
            <v>0.6</v>
          </cell>
          <cell r="N231">
            <v>0.8</v>
          </cell>
          <cell r="O231">
            <v>1.05</v>
          </cell>
          <cell r="P231">
            <v>1.1000000000000001</v>
          </cell>
          <cell r="Q231">
            <v>1.1499999999999999</v>
          </cell>
          <cell r="R231" t="str">
            <v>INTERIOR</v>
          </cell>
          <cell r="S231">
            <v>4</v>
          </cell>
          <cell r="T231">
            <v>6</v>
          </cell>
          <cell r="U231" t="str">
            <v>Ciudad principal</v>
          </cell>
          <cell r="V231" t="str">
            <v>Entry Production Color Low/Mid</v>
          </cell>
          <cell r="W231" t="str">
            <v>NUEVO LEON</v>
          </cell>
          <cell r="X231">
            <v>2019</v>
          </cell>
          <cell r="Y231" t="str">
            <v>Qtr 2</v>
          </cell>
          <cell r="Z231" t="str">
            <v>April</v>
          </cell>
          <cell r="AA231">
            <v>3</v>
          </cell>
          <cell r="AB231">
            <v>0</v>
          </cell>
          <cell r="AC231">
            <v>229</v>
          </cell>
          <cell r="AD231">
            <v>1.1499999999999999</v>
          </cell>
          <cell r="AE231">
            <v>0.44166675</v>
          </cell>
          <cell r="AF231">
            <v>1808.95</v>
          </cell>
        </row>
        <row r="232">
          <cell r="B232" t="str">
            <v>0BG2951632</v>
          </cell>
          <cell r="C232">
            <v>2019</v>
          </cell>
          <cell r="D232" t="str">
            <v>Qtr 2</v>
          </cell>
          <cell r="E232" t="str">
            <v>April</v>
          </cell>
          <cell r="F232">
            <v>3</v>
          </cell>
          <cell r="G232" t="str">
            <v>CORRECTIVO</v>
          </cell>
          <cell r="H232">
            <v>0.38333329999999999</v>
          </cell>
          <cell r="I232" t="str">
            <v>Light Production Digital Business</v>
          </cell>
          <cell r="J232">
            <v>803</v>
          </cell>
          <cell r="K232">
            <v>1573</v>
          </cell>
          <cell r="L232">
            <v>0.2</v>
          </cell>
          <cell r="M232">
            <v>0.6</v>
          </cell>
          <cell r="N232">
            <v>0.8</v>
          </cell>
          <cell r="O232">
            <v>1.05</v>
          </cell>
          <cell r="P232">
            <v>1.1000000000000001</v>
          </cell>
          <cell r="Q232">
            <v>1.1499999999999999</v>
          </cell>
          <cell r="R232" t="str">
            <v>INTERIOR</v>
          </cell>
          <cell r="S232">
            <v>4</v>
          </cell>
          <cell r="T232">
            <v>6</v>
          </cell>
          <cell r="U232" t="str">
            <v>Ciudad principal</v>
          </cell>
          <cell r="V232" t="str">
            <v>High End Cut Sheet</v>
          </cell>
          <cell r="W232" t="str">
            <v>NUEVO LEON</v>
          </cell>
          <cell r="X232">
            <v>2019</v>
          </cell>
          <cell r="Y232" t="str">
            <v>Qtr 2</v>
          </cell>
          <cell r="Z232" t="str">
            <v>April</v>
          </cell>
          <cell r="AA232">
            <v>3</v>
          </cell>
          <cell r="AB232">
            <v>0</v>
          </cell>
          <cell r="AC232">
            <v>26</v>
          </cell>
          <cell r="AD232">
            <v>1.05</v>
          </cell>
          <cell r="AE232">
            <v>9.5833324999999997E-2</v>
          </cell>
          <cell r="AF232">
            <v>1651.65</v>
          </cell>
        </row>
        <row r="233">
          <cell r="B233" t="str">
            <v>09HB332063</v>
          </cell>
          <cell r="C233">
            <v>2019</v>
          </cell>
          <cell r="D233" t="str">
            <v>Qtr 2</v>
          </cell>
          <cell r="E233" t="str">
            <v>April</v>
          </cell>
          <cell r="F233">
            <v>3</v>
          </cell>
          <cell r="G233" t="str">
            <v>MANTENIMIENTO PREVENTIVO</v>
          </cell>
          <cell r="H233">
            <v>0.78333339999999996</v>
          </cell>
          <cell r="I233" t="str">
            <v>A4 Mono MFPs</v>
          </cell>
          <cell r="J233">
            <v>468</v>
          </cell>
          <cell r="K233">
            <v>715</v>
          </cell>
          <cell r="L233">
            <v>0</v>
          </cell>
          <cell r="M233">
            <v>0</v>
          </cell>
          <cell r="N233">
            <v>0</v>
          </cell>
          <cell r="O233">
            <v>0.6</v>
          </cell>
          <cell r="P233">
            <v>0.8</v>
          </cell>
          <cell r="Q233">
            <v>1.05</v>
          </cell>
          <cell r="R233" t="str">
            <v>INTERIOR</v>
          </cell>
          <cell r="S233">
            <v>5</v>
          </cell>
          <cell r="T233">
            <v>9</v>
          </cell>
          <cell r="U233" t="str">
            <v>Ciudad principal</v>
          </cell>
          <cell r="V233" t="str">
            <v>A4 Mono MFPs</v>
          </cell>
          <cell r="W233" t="str">
            <v>JALISCO</v>
          </cell>
          <cell r="X233">
            <v>2019</v>
          </cell>
          <cell r="Y233" t="str">
            <v>Qtr 2</v>
          </cell>
          <cell r="Z233" t="str">
            <v>April</v>
          </cell>
          <cell r="AA233">
            <v>3</v>
          </cell>
          <cell r="AB233">
            <v>1</v>
          </cell>
          <cell r="AC233">
            <v>9</v>
          </cell>
          <cell r="AD233">
            <v>0</v>
          </cell>
          <cell r="AE233">
            <v>0</v>
          </cell>
          <cell r="AF233">
            <v>0</v>
          </cell>
        </row>
        <row r="234">
          <cell r="B234" t="str">
            <v>0E2B658511</v>
          </cell>
          <cell r="C234">
            <v>2019</v>
          </cell>
          <cell r="D234" t="str">
            <v>Qtr 2</v>
          </cell>
          <cell r="E234" t="str">
            <v>April</v>
          </cell>
          <cell r="F234">
            <v>3</v>
          </cell>
          <cell r="G234" t="str">
            <v>CORRECTIVO</v>
          </cell>
          <cell r="H234">
            <v>0.2</v>
          </cell>
          <cell r="I234" t="str">
            <v>Entry Production Color Low/Mid</v>
          </cell>
          <cell r="J234">
            <v>803</v>
          </cell>
          <cell r="K234">
            <v>1573</v>
          </cell>
          <cell r="L234">
            <v>0.2</v>
          </cell>
          <cell r="M234">
            <v>0.6</v>
          </cell>
          <cell r="N234">
            <v>0.8</v>
          </cell>
          <cell r="O234">
            <v>1.05</v>
          </cell>
          <cell r="P234">
            <v>1.1000000000000001</v>
          </cell>
          <cell r="Q234">
            <v>1.1499999999999999</v>
          </cell>
          <cell r="R234" t="str">
            <v>INTERIOR</v>
          </cell>
          <cell r="S234">
            <v>4</v>
          </cell>
          <cell r="T234">
            <v>6</v>
          </cell>
          <cell r="U234" t="str">
            <v>Ciudad principal</v>
          </cell>
          <cell r="V234" t="str">
            <v>Entry Production Color Low/Mid</v>
          </cell>
          <cell r="W234" t="str">
            <v>QUERETARO</v>
          </cell>
          <cell r="X234">
            <v>2019</v>
          </cell>
          <cell r="Y234" t="str">
            <v>Qtr 2</v>
          </cell>
          <cell r="Z234" t="str">
            <v>April</v>
          </cell>
          <cell r="AA234">
            <v>3</v>
          </cell>
          <cell r="AB234">
            <v>0</v>
          </cell>
          <cell r="AC234">
            <v>126</v>
          </cell>
          <cell r="AD234">
            <v>1.1499999999999999</v>
          </cell>
          <cell r="AE234">
            <v>0.05</v>
          </cell>
          <cell r="AF234">
            <v>1808.95</v>
          </cell>
        </row>
        <row r="235">
          <cell r="B235" t="str">
            <v>0BG0964513</v>
          </cell>
          <cell r="C235">
            <v>2019</v>
          </cell>
          <cell r="D235" t="str">
            <v>Qtr 2</v>
          </cell>
          <cell r="E235" t="str">
            <v>April</v>
          </cell>
          <cell r="F235">
            <v>3</v>
          </cell>
          <cell r="G235" t="str">
            <v>CORRECTIVO</v>
          </cell>
          <cell r="H235">
            <v>0.88333329999999999</v>
          </cell>
          <cell r="I235" t="str">
            <v>Light Production Digital Business</v>
          </cell>
          <cell r="J235">
            <v>803</v>
          </cell>
          <cell r="K235">
            <v>1573</v>
          </cell>
          <cell r="L235">
            <v>0.2</v>
          </cell>
          <cell r="M235">
            <v>0.6</v>
          </cell>
          <cell r="N235">
            <v>0.8</v>
          </cell>
          <cell r="O235">
            <v>1.05</v>
          </cell>
          <cell r="P235">
            <v>1.1000000000000001</v>
          </cell>
          <cell r="Q235">
            <v>1.1499999999999999</v>
          </cell>
          <cell r="R235" t="str">
            <v>INTERIOR</v>
          </cell>
          <cell r="S235">
            <v>4</v>
          </cell>
          <cell r="T235">
            <v>6</v>
          </cell>
          <cell r="U235" t="str">
            <v>Ciudad principal</v>
          </cell>
          <cell r="V235" t="str">
            <v>High End Cut Sheet</v>
          </cell>
          <cell r="W235" t="str">
            <v>ESTADO DE MEXICO</v>
          </cell>
          <cell r="X235">
            <v>2019</v>
          </cell>
          <cell r="Y235" t="str">
            <v>Qtr 2</v>
          </cell>
          <cell r="Z235" t="str">
            <v>April</v>
          </cell>
          <cell r="AA235">
            <v>5</v>
          </cell>
          <cell r="AB235">
            <v>0</v>
          </cell>
          <cell r="AC235">
            <v>20</v>
          </cell>
          <cell r="AD235">
            <v>1.05</v>
          </cell>
          <cell r="AE235">
            <v>0.220833325</v>
          </cell>
          <cell r="AF235">
            <v>1651.65</v>
          </cell>
        </row>
        <row r="236">
          <cell r="B236" t="str">
            <v>0BG2951668</v>
          </cell>
          <cell r="C236">
            <v>2019</v>
          </cell>
          <cell r="D236" t="str">
            <v>Qtr 2</v>
          </cell>
          <cell r="E236" t="str">
            <v>April</v>
          </cell>
          <cell r="F236">
            <v>3</v>
          </cell>
          <cell r="G236" t="str">
            <v>CORRECTIVO</v>
          </cell>
          <cell r="H236">
            <v>1.0333330000000001</v>
          </cell>
          <cell r="I236" t="str">
            <v>Light Production Digital Business</v>
          </cell>
          <cell r="J236">
            <v>803</v>
          </cell>
          <cell r="K236">
            <v>1573</v>
          </cell>
          <cell r="L236">
            <v>0.2</v>
          </cell>
          <cell r="M236">
            <v>0.6</v>
          </cell>
          <cell r="N236">
            <v>0.8</v>
          </cell>
          <cell r="O236">
            <v>1.05</v>
          </cell>
          <cell r="P236">
            <v>1.1000000000000001</v>
          </cell>
          <cell r="Q236">
            <v>1.1499999999999999</v>
          </cell>
          <cell r="R236" t="str">
            <v>INTERIOR</v>
          </cell>
          <cell r="S236">
            <v>4</v>
          </cell>
          <cell r="T236">
            <v>6</v>
          </cell>
          <cell r="U236" t="str">
            <v>Ciudad principal</v>
          </cell>
          <cell r="V236" t="str">
            <v>High End Cut Sheet</v>
          </cell>
          <cell r="W236" t="str">
            <v>NUEVO LEON</v>
          </cell>
          <cell r="X236">
            <v>2019</v>
          </cell>
          <cell r="Y236" t="str">
            <v>Qtr 2</v>
          </cell>
          <cell r="Z236" t="str">
            <v>April</v>
          </cell>
          <cell r="AA236">
            <v>5</v>
          </cell>
          <cell r="AB236">
            <v>0</v>
          </cell>
          <cell r="AC236">
            <v>-8</v>
          </cell>
          <cell r="AD236">
            <v>1.1499999999999999</v>
          </cell>
          <cell r="AE236">
            <v>0.25833325000000001</v>
          </cell>
          <cell r="AF236">
            <v>1808.95</v>
          </cell>
        </row>
        <row r="237">
          <cell r="B237" t="str">
            <v>09HB325676</v>
          </cell>
          <cell r="C237">
            <v>2019</v>
          </cell>
          <cell r="D237" t="str">
            <v>Qtr 2</v>
          </cell>
          <cell r="E237" t="str">
            <v>April</v>
          </cell>
          <cell r="F237">
            <v>3</v>
          </cell>
          <cell r="G237" t="str">
            <v>CORRECTIVO</v>
          </cell>
          <cell r="H237">
            <v>1.566667</v>
          </cell>
          <cell r="I237" t="str">
            <v>A4 Mono MFPs</v>
          </cell>
          <cell r="J237">
            <v>468</v>
          </cell>
          <cell r="K237">
            <v>715</v>
          </cell>
          <cell r="L237">
            <v>0</v>
          </cell>
          <cell r="M237">
            <v>0</v>
          </cell>
          <cell r="N237">
            <v>0</v>
          </cell>
          <cell r="O237">
            <v>0.6</v>
          </cell>
          <cell r="P237">
            <v>0.8</v>
          </cell>
          <cell r="Q237">
            <v>1.05</v>
          </cell>
          <cell r="R237" t="str">
            <v>INTERIOR</v>
          </cell>
          <cell r="S237">
            <v>5</v>
          </cell>
          <cell r="T237">
            <v>9</v>
          </cell>
          <cell r="U237" t="str">
            <v>Ciudad principal</v>
          </cell>
          <cell r="V237" t="str">
            <v>A4 Mono MFPs</v>
          </cell>
          <cell r="W237" t="str">
            <v>GUANAJUATO</v>
          </cell>
          <cell r="X237">
            <v>2019</v>
          </cell>
          <cell r="Y237" t="str">
            <v>Qtr 2</v>
          </cell>
          <cell r="Z237" t="str">
            <v>April</v>
          </cell>
          <cell r="AA237">
            <v>4</v>
          </cell>
          <cell r="AB237">
            <v>0</v>
          </cell>
          <cell r="AC237">
            <v>0</v>
          </cell>
          <cell r="AD237">
            <v>1.05</v>
          </cell>
          <cell r="AE237">
            <v>0.31333339999999998</v>
          </cell>
          <cell r="AF237">
            <v>750.75</v>
          </cell>
        </row>
        <row r="238">
          <cell r="B238" t="str">
            <v>0LNX631348</v>
          </cell>
          <cell r="C238">
            <v>2019</v>
          </cell>
          <cell r="D238" t="str">
            <v>Qtr 2</v>
          </cell>
          <cell r="E238" t="str">
            <v>April</v>
          </cell>
          <cell r="F238">
            <v>3</v>
          </cell>
          <cell r="G238" t="str">
            <v>CORRECTIVO</v>
          </cell>
          <cell r="H238">
            <v>0.13333329999999999</v>
          </cell>
          <cell r="J238" t="str">
            <v>NA</v>
          </cell>
          <cell r="K238" t="str">
            <v>NA</v>
          </cell>
          <cell r="L238" t="str">
            <v>NA</v>
          </cell>
          <cell r="M238" t="str">
            <v>NA</v>
          </cell>
          <cell r="N238" t="str">
            <v>NA</v>
          </cell>
          <cell r="O238" t="str">
            <v>NA</v>
          </cell>
          <cell r="P238" t="str">
            <v>NA</v>
          </cell>
          <cell r="Q238" t="str">
            <v>NA</v>
          </cell>
          <cell r="S238" t="str">
            <v>NA</v>
          </cell>
          <cell r="T238" t="str">
            <v>NA</v>
          </cell>
          <cell r="V238" t="str">
            <v>Departmental Digital</v>
          </cell>
          <cell r="W238" t="str">
            <v>CHIHUAHUA</v>
          </cell>
          <cell r="X238">
            <v>2019</v>
          </cell>
          <cell r="Y238" t="str">
            <v>Qtr 2</v>
          </cell>
          <cell r="Z238" t="str">
            <v>April</v>
          </cell>
          <cell r="AA238">
            <v>10</v>
          </cell>
          <cell r="AB238" t="str">
            <v>NA</v>
          </cell>
          <cell r="AC238">
            <v>9</v>
          </cell>
          <cell r="AD238">
            <v>0</v>
          </cell>
          <cell r="AE238">
            <v>0</v>
          </cell>
          <cell r="AF238">
            <v>0</v>
          </cell>
        </row>
        <row r="239">
          <cell r="B239" t="str">
            <v>0MX4465117</v>
          </cell>
          <cell r="C239">
            <v>2019</v>
          </cell>
          <cell r="D239" t="str">
            <v>Qtr 2</v>
          </cell>
          <cell r="E239" t="str">
            <v>April</v>
          </cell>
          <cell r="F239">
            <v>3</v>
          </cell>
          <cell r="G239" t="str">
            <v>CORRECTIVO</v>
          </cell>
          <cell r="H239">
            <v>0.8</v>
          </cell>
          <cell r="I239" t="str">
            <v>A3 Office Color Laser MFPs</v>
          </cell>
          <cell r="J239">
            <v>655</v>
          </cell>
          <cell r="K239">
            <v>1365</v>
          </cell>
          <cell r="L239">
            <v>0</v>
          </cell>
          <cell r="M239">
            <v>0</v>
          </cell>
          <cell r="N239">
            <v>0.6</v>
          </cell>
          <cell r="O239">
            <v>0.8</v>
          </cell>
          <cell r="P239">
            <v>1.05</v>
          </cell>
          <cell r="Q239">
            <v>1.1000000000000001</v>
          </cell>
          <cell r="R239" t="str">
            <v>INTERIOR</v>
          </cell>
          <cell r="S239">
            <v>5</v>
          </cell>
          <cell r="T239">
            <v>9</v>
          </cell>
          <cell r="U239" t="str">
            <v>Ciudad principal</v>
          </cell>
          <cell r="V239" t="str">
            <v>A3 Office Color Laser MFPs</v>
          </cell>
          <cell r="W239" t="str">
            <v>TAMAULIPAS</v>
          </cell>
          <cell r="X239">
            <v>2019</v>
          </cell>
          <cell r="Y239" t="str">
            <v>Qtr 2</v>
          </cell>
          <cell r="Z239" t="str">
            <v>April</v>
          </cell>
          <cell r="AA239">
            <v>4</v>
          </cell>
          <cell r="AB239">
            <v>0</v>
          </cell>
          <cell r="AC239">
            <v>76</v>
          </cell>
          <cell r="AD239">
            <v>1.1000000000000001</v>
          </cell>
          <cell r="AE239">
            <v>0.16</v>
          </cell>
          <cell r="AF239">
            <v>1501.5</v>
          </cell>
        </row>
        <row r="240">
          <cell r="B240" t="str">
            <v>9HB381838</v>
          </cell>
          <cell r="C240">
            <v>2019</v>
          </cell>
          <cell r="D240" t="str">
            <v>Qtr 2</v>
          </cell>
          <cell r="E240" t="str">
            <v>April</v>
          </cell>
          <cell r="F240">
            <v>3</v>
          </cell>
          <cell r="G240" t="str">
            <v>CORRECTIVO</v>
          </cell>
          <cell r="H240">
            <v>0.05</v>
          </cell>
          <cell r="I240" t="str">
            <v>A4 Mono MFPs</v>
          </cell>
          <cell r="J240">
            <v>468</v>
          </cell>
          <cell r="K240">
            <v>715</v>
          </cell>
          <cell r="L240">
            <v>0</v>
          </cell>
          <cell r="M240">
            <v>0</v>
          </cell>
          <cell r="N240">
            <v>0</v>
          </cell>
          <cell r="O240">
            <v>0.6</v>
          </cell>
          <cell r="P240">
            <v>0.8</v>
          </cell>
          <cell r="Q240">
            <v>1.05</v>
          </cell>
          <cell r="R240" t="str">
            <v>INTERIOR</v>
          </cell>
          <cell r="S240">
            <v>5</v>
          </cell>
          <cell r="T240">
            <v>9</v>
          </cell>
          <cell r="U240" t="str">
            <v>Ciudad principal</v>
          </cell>
          <cell r="V240" t="str">
            <v>A4 Mono MFPs</v>
          </cell>
          <cell r="W240" t="str">
            <v>JALISCO</v>
          </cell>
          <cell r="X240">
            <v>2019</v>
          </cell>
          <cell r="Y240" t="str">
            <v>Qtr 2</v>
          </cell>
          <cell r="Z240" t="str">
            <v>April</v>
          </cell>
          <cell r="AA240">
            <v>5</v>
          </cell>
          <cell r="AB240">
            <v>0</v>
          </cell>
          <cell r="AC240">
            <v>41</v>
          </cell>
          <cell r="AD240">
            <v>0.8</v>
          </cell>
          <cell r="AE240">
            <v>0.01</v>
          </cell>
          <cell r="AF240">
            <v>572</v>
          </cell>
        </row>
        <row r="241">
          <cell r="B241" t="str">
            <v>07CX043832</v>
          </cell>
          <cell r="C241">
            <v>2019</v>
          </cell>
          <cell r="D241" t="str">
            <v>Qtr 2</v>
          </cell>
          <cell r="E241" t="str">
            <v>April</v>
          </cell>
          <cell r="F241">
            <v>3</v>
          </cell>
          <cell r="G241" t="str">
            <v>CORRECTIVO</v>
          </cell>
          <cell r="H241">
            <v>0.3333333</v>
          </cell>
          <cell r="I241" t="str">
            <v>Office Digital</v>
          </cell>
          <cell r="J241">
            <v>655</v>
          </cell>
          <cell r="K241">
            <v>1365</v>
          </cell>
          <cell r="L241">
            <v>0</v>
          </cell>
          <cell r="M241">
            <v>0</v>
          </cell>
          <cell r="N241">
            <v>0.6</v>
          </cell>
          <cell r="O241">
            <v>0.8</v>
          </cell>
          <cell r="P241">
            <v>1.05</v>
          </cell>
          <cell r="Q241">
            <v>1.1000000000000001</v>
          </cell>
          <cell r="R241" t="str">
            <v>INTERIOR</v>
          </cell>
          <cell r="S241">
            <v>5</v>
          </cell>
          <cell r="T241">
            <v>9</v>
          </cell>
          <cell r="U241" t="str">
            <v>Ciudad principal</v>
          </cell>
          <cell r="V241" t="str">
            <v>Departmental Digital</v>
          </cell>
          <cell r="W241" t="str">
            <v>JALISCO</v>
          </cell>
          <cell r="X241">
            <v>2019</v>
          </cell>
          <cell r="Y241" t="str">
            <v>Qtr 2</v>
          </cell>
          <cell r="Z241" t="str">
            <v>April</v>
          </cell>
          <cell r="AA241">
            <v>4</v>
          </cell>
          <cell r="AB241">
            <v>0</v>
          </cell>
          <cell r="AC241">
            <v>103</v>
          </cell>
          <cell r="AD241">
            <v>1.1000000000000001</v>
          </cell>
          <cell r="AE241">
            <v>6.6666660000000003E-2</v>
          </cell>
          <cell r="AF241">
            <v>1501.5</v>
          </cell>
        </row>
        <row r="242">
          <cell r="B242" t="str">
            <v>0E2B653886</v>
          </cell>
          <cell r="C242">
            <v>2019</v>
          </cell>
          <cell r="D242" t="str">
            <v>Qtr 2</v>
          </cell>
          <cell r="E242" t="str">
            <v>April</v>
          </cell>
          <cell r="F242">
            <v>3</v>
          </cell>
          <cell r="G242" t="str">
            <v>CORRECTIVO</v>
          </cell>
          <cell r="H242">
            <v>0.2</v>
          </cell>
          <cell r="I242" t="str">
            <v>Entry Production Color Low/Mid</v>
          </cell>
          <cell r="J242">
            <v>803</v>
          </cell>
          <cell r="K242">
            <v>1573</v>
          </cell>
          <cell r="L242">
            <v>0.2</v>
          </cell>
          <cell r="M242">
            <v>0.6</v>
          </cell>
          <cell r="N242">
            <v>0.8</v>
          </cell>
          <cell r="O242">
            <v>1.05</v>
          </cell>
          <cell r="P242">
            <v>1.1000000000000001</v>
          </cell>
          <cell r="Q242">
            <v>1.1499999999999999</v>
          </cell>
          <cell r="R242" t="str">
            <v>INTERIOR</v>
          </cell>
          <cell r="S242">
            <v>4</v>
          </cell>
          <cell r="T242">
            <v>6</v>
          </cell>
          <cell r="U242" t="str">
            <v>Ciudad principal</v>
          </cell>
          <cell r="V242" t="str">
            <v>Entry Production Color Low/Mid</v>
          </cell>
          <cell r="W242" t="str">
            <v>NUEVO LEON</v>
          </cell>
          <cell r="X242">
            <v>2019</v>
          </cell>
          <cell r="Y242" t="str">
            <v>Qtr 2</v>
          </cell>
          <cell r="Z242" t="str">
            <v>April</v>
          </cell>
          <cell r="AA242">
            <v>4</v>
          </cell>
          <cell r="AB242">
            <v>0</v>
          </cell>
          <cell r="AC242">
            <v>19</v>
          </cell>
          <cell r="AD242">
            <v>1.05</v>
          </cell>
          <cell r="AE242">
            <v>0.05</v>
          </cell>
          <cell r="AF242">
            <v>1651.65</v>
          </cell>
        </row>
        <row r="243">
          <cell r="B243" t="str">
            <v>0XPN553158</v>
          </cell>
          <cell r="C243">
            <v>2019</v>
          </cell>
          <cell r="D243" t="str">
            <v>Qtr 2</v>
          </cell>
          <cell r="E243" t="str">
            <v>April</v>
          </cell>
          <cell r="F243">
            <v>3</v>
          </cell>
          <cell r="G243" t="str">
            <v>MANTENIMIENTO PREVENTIVO</v>
          </cell>
          <cell r="H243">
            <v>0</v>
          </cell>
          <cell r="I243" t="str">
            <v>Entry Production Color Low/Mid</v>
          </cell>
          <cell r="J243">
            <v>803</v>
          </cell>
          <cell r="K243">
            <v>1573</v>
          </cell>
          <cell r="L243">
            <v>0.2</v>
          </cell>
          <cell r="M243">
            <v>0.6</v>
          </cell>
          <cell r="N243">
            <v>0.8</v>
          </cell>
          <cell r="O243">
            <v>1.05</v>
          </cell>
          <cell r="P243">
            <v>1.1000000000000001</v>
          </cell>
          <cell r="Q243">
            <v>1.1499999999999999</v>
          </cell>
          <cell r="R243" t="str">
            <v>INTERIOR</v>
          </cell>
          <cell r="S243">
            <v>4</v>
          </cell>
          <cell r="T243">
            <v>6</v>
          </cell>
          <cell r="U243" t="str">
            <v>Otras</v>
          </cell>
          <cell r="V243" t="str">
            <v>Entry Production Color Low/Mid</v>
          </cell>
          <cell r="W243" t="str">
            <v>COAHUILA</v>
          </cell>
          <cell r="X243">
            <v>2019</v>
          </cell>
          <cell r="Y243" t="str">
            <v>Qtr 2</v>
          </cell>
          <cell r="Z243" t="str">
            <v>April</v>
          </cell>
          <cell r="AA243">
            <v>4</v>
          </cell>
          <cell r="AB243">
            <v>0</v>
          </cell>
          <cell r="AC243">
            <v>41</v>
          </cell>
          <cell r="AD243">
            <v>0</v>
          </cell>
          <cell r="AE243">
            <v>0</v>
          </cell>
          <cell r="AF243">
            <v>1573</v>
          </cell>
        </row>
        <row r="244">
          <cell r="B244" t="str">
            <v>03AG880318</v>
          </cell>
          <cell r="C244">
            <v>2019</v>
          </cell>
          <cell r="D244" t="str">
            <v>Qtr 2</v>
          </cell>
          <cell r="E244" t="str">
            <v>April</v>
          </cell>
          <cell r="F244">
            <v>3</v>
          </cell>
          <cell r="G244" t="str">
            <v>CORRECTIVO</v>
          </cell>
          <cell r="H244">
            <v>0.45</v>
          </cell>
          <cell r="I244" t="str">
            <v>Departmental Digital</v>
          </cell>
          <cell r="J244">
            <v>655</v>
          </cell>
          <cell r="K244">
            <v>1365</v>
          </cell>
          <cell r="L244">
            <v>0</v>
          </cell>
          <cell r="M244">
            <v>0</v>
          </cell>
          <cell r="N244">
            <v>0.6</v>
          </cell>
          <cell r="O244">
            <v>0.8</v>
          </cell>
          <cell r="P244">
            <v>1.05</v>
          </cell>
          <cell r="Q244">
            <v>1.1000000000000001</v>
          </cell>
          <cell r="R244" t="str">
            <v>INTERIOR</v>
          </cell>
          <cell r="S244">
            <v>5</v>
          </cell>
          <cell r="T244">
            <v>9</v>
          </cell>
          <cell r="U244" t="str">
            <v>Ciudad principal</v>
          </cell>
          <cell r="V244" t="str">
            <v>Light Production Digital Business</v>
          </cell>
          <cell r="W244" t="str">
            <v>NUEVO LEON</v>
          </cell>
          <cell r="X244">
            <v>2019</v>
          </cell>
          <cell r="Y244" t="str">
            <v>Qtr 2</v>
          </cell>
          <cell r="Z244" t="str">
            <v>April</v>
          </cell>
          <cell r="AA244">
            <v>4</v>
          </cell>
          <cell r="AB244">
            <v>0</v>
          </cell>
          <cell r="AC244">
            <v>1</v>
          </cell>
          <cell r="AD244">
            <v>0</v>
          </cell>
          <cell r="AE244">
            <v>0.09</v>
          </cell>
          <cell r="AF244">
            <v>0</v>
          </cell>
        </row>
        <row r="245">
          <cell r="B245" t="str">
            <v>0E2B666269</v>
          </cell>
          <cell r="C245">
            <v>2019</v>
          </cell>
          <cell r="D245" t="str">
            <v>Qtr 2</v>
          </cell>
          <cell r="E245" t="str">
            <v>April</v>
          </cell>
          <cell r="F245">
            <v>3</v>
          </cell>
          <cell r="G245" t="str">
            <v>CORRECTIVO</v>
          </cell>
          <cell r="H245">
            <v>0.25</v>
          </cell>
          <cell r="I245" t="str">
            <v>Entry Production Color Low/Mid</v>
          </cell>
          <cell r="J245">
            <v>803</v>
          </cell>
          <cell r="K245">
            <v>1573</v>
          </cell>
          <cell r="L245">
            <v>0.2</v>
          </cell>
          <cell r="M245">
            <v>0.6</v>
          </cell>
          <cell r="N245">
            <v>0.8</v>
          </cell>
          <cell r="O245">
            <v>1.05</v>
          </cell>
          <cell r="P245">
            <v>1.1000000000000001</v>
          </cell>
          <cell r="Q245">
            <v>1.1499999999999999</v>
          </cell>
          <cell r="R245" t="str">
            <v>INTERIOR</v>
          </cell>
          <cell r="S245">
            <v>4</v>
          </cell>
          <cell r="T245">
            <v>6</v>
          </cell>
          <cell r="U245" t="str">
            <v>Ciudad principal</v>
          </cell>
          <cell r="V245" t="str">
            <v>Entry Production Color Low/Mid</v>
          </cell>
          <cell r="W245" t="str">
            <v>QUERETARO</v>
          </cell>
          <cell r="X245">
            <v>2019</v>
          </cell>
          <cell r="Y245" t="str">
            <v>Qtr 2</v>
          </cell>
          <cell r="Z245" t="str">
            <v>April</v>
          </cell>
          <cell r="AA245">
            <v>4</v>
          </cell>
          <cell r="AB245">
            <v>0</v>
          </cell>
          <cell r="AC245">
            <v>6</v>
          </cell>
          <cell r="AD245">
            <v>0.6</v>
          </cell>
          <cell r="AE245">
            <v>6.25E-2</v>
          </cell>
          <cell r="AF245">
            <v>943.8</v>
          </cell>
        </row>
        <row r="246">
          <cell r="B246" t="str">
            <v>09HB331671</v>
          </cell>
          <cell r="C246">
            <v>2019</v>
          </cell>
          <cell r="D246" t="str">
            <v>Qtr 2</v>
          </cell>
          <cell r="E246" t="str">
            <v>April</v>
          </cell>
          <cell r="F246">
            <v>3</v>
          </cell>
          <cell r="G246" t="str">
            <v>CORRECTIVO</v>
          </cell>
          <cell r="H246">
            <v>0.51666670000000003</v>
          </cell>
          <cell r="I246" t="str">
            <v>A4 Mono MFPs</v>
          </cell>
          <cell r="J246">
            <v>468</v>
          </cell>
          <cell r="K246">
            <v>715</v>
          </cell>
          <cell r="L246">
            <v>0</v>
          </cell>
          <cell r="M246">
            <v>0</v>
          </cell>
          <cell r="N246">
            <v>0</v>
          </cell>
          <cell r="O246">
            <v>0.6</v>
          </cell>
          <cell r="P246">
            <v>0.8</v>
          </cell>
          <cell r="Q246">
            <v>1.05</v>
          </cell>
          <cell r="R246" t="str">
            <v>METRO</v>
          </cell>
          <cell r="S246">
            <v>5</v>
          </cell>
          <cell r="T246">
            <v>9</v>
          </cell>
          <cell r="U246" t="str">
            <v>Ciudad principal</v>
          </cell>
          <cell r="V246" t="str">
            <v>A4 Mono MFPs</v>
          </cell>
          <cell r="W246" t="str">
            <v>CIUDAD DE MEXICO</v>
          </cell>
          <cell r="X246">
            <v>2019</v>
          </cell>
          <cell r="Y246" t="str">
            <v>Qtr 2</v>
          </cell>
          <cell r="Z246" t="str">
            <v>April</v>
          </cell>
          <cell r="AA246">
            <v>4</v>
          </cell>
          <cell r="AB246">
            <v>0</v>
          </cell>
          <cell r="AC246">
            <v>54</v>
          </cell>
          <cell r="AD246">
            <v>0.8</v>
          </cell>
          <cell r="AE246">
            <v>0.10333334</v>
          </cell>
          <cell r="AF246">
            <v>374.4</v>
          </cell>
        </row>
        <row r="247">
          <cell r="B247" t="str">
            <v>0A4T554283</v>
          </cell>
          <cell r="C247">
            <v>2019</v>
          </cell>
          <cell r="D247" t="str">
            <v>Qtr 2</v>
          </cell>
          <cell r="E247" t="str">
            <v>April</v>
          </cell>
          <cell r="F247">
            <v>3</v>
          </cell>
          <cell r="G247" t="str">
            <v>MANTENIMIENTO PREVENTIVO</v>
          </cell>
          <cell r="H247">
            <v>0</v>
          </cell>
          <cell r="I247" t="str">
            <v>Entry Mono Printers</v>
          </cell>
          <cell r="J247">
            <v>468</v>
          </cell>
          <cell r="K247">
            <v>715</v>
          </cell>
          <cell r="L247">
            <v>0</v>
          </cell>
          <cell r="M247">
            <v>0</v>
          </cell>
          <cell r="N247">
            <v>0</v>
          </cell>
          <cell r="O247">
            <v>0.6</v>
          </cell>
          <cell r="P247">
            <v>0.8</v>
          </cell>
          <cell r="Q247">
            <v>1.05</v>
          </cell>
          <cell r="R247" t="str">
            <v>INTERIOR</v>
          </cell>
          <cell r="S247">
            <v>5</v>
          </cell>
          <cell r="T247">
            <v>9</v>
          </cell>
          <cell r="U247" t="str">
            <v>Ciudad principal</v>
          </cell>
          <cell r="V247" t="str">
            <v>A4 Mono MFPs</v>
          </cell>
          <cell r="W247" t="str">
            <v>CHIHUAHUA</v>
          </cell>
          <cell r="X247">
            <v>2019</v>
          </cell>
          <cell r="Y247" t="str">
            <v>Qtr 2</v>
          </cell>
          <cell r="Z247" t="str">
            <v>April</v>
          </cell>
          <cell r="AA247">
            <v>4</v>
          </cell>
          <cell r="AB247">
            <v>0</v>
          </cell>
          <cell r="AC247">
            <v>8</v>
          </cell>
          <cell r="AD247">
            <v>0</v>
          </cell>
          <cell r="AE247">
            <v>0</v>
          </cell>
          <cell r="AF247">
            <v>715</v>
          </cell>
        </row>
        <row r="248">
          <cell r="B248" t="str">
            <v>0AGE474522</v>
          </cell>
          <cell r="C248">
            <v>2019</v>
          </cell>
          <cell r="D248" t="str">
            <v>Qtr 2</v>
          </cell>
          <cell r="E248" t="str">
            <v>April</v>
          </cell>
          <cell r="F248">
            <v>4</v>
          </cell>
          <cell r="G248" t="str">
            <v>MANTENIMIENTO PREVENTIVO</v>
          </cell>
          <cell r="H248">
            <v>0</v>
          </cell>
          <cell r="I248" t="str">
            <v>WF Mono Systems and Legacy Color</v>
          </cell>
          <cell r="J248">
            <v>803</v>
          </cell>
          <cell r="K248">
            <v>1573</v>
          </cell>
          <cell r="L248">
            <v>0.2</v>
          </cell>
          <cell r="M248">
            <v>0.6</v>
          </cell>
          <cell r="N248">
            <v>0.8</v>
          </cell>
          <cell r="O248">
            <v>1.05</v>
          </cell>
          <cell r="P248">
            <v>1.1000000000000001</v>
          </cell>
          <cell r="Q248">
            <v>1.1499999999999999</v>
          </cell>
          <cell r="R248" t="str">
            <v>INTERIOR</v>
          </cell>
          <cell r="S248">
            <v>4</v>
          </cell>
          <cell r="T248">
            <v>6</v>
          </cell>
          <cell r="U248" t="str">
            <v>Ciudad principal</v>
          </cell>
          <cell r="V248" t="str">
            <v>WF Mono Systems and Legacy Color</v>
          </cell>
          <cell r="W248" t="str">
            <v>TAMAULIPAS</v>
          </cell>
          <cell r="X248">
            <v>2019</v>
          </cell>
          <cell r="Y248" t="str">
            <v>Qtr 2</v>
          </cell>
          <cell r="Z248" t="str">
            <v>April</v>
          </cell>
          <cell r="AA248">
            <v>4</v>
          </cell>
          <cell r="AB248">
            <v>0</v>
          </cell>
          <cell r="AC248">
            <v>8</v>
          </cell>
          <cell r="AD248">
            <v>0</v>
          </cell>
          <cell r="AE248">
            <v>0</v>
          </cell>
          <cell r="AF248">
            <v>1573</v>
          </cell>
        </row>
        <row r="249">
          <cell r="B249" t="str">
            <v>0EX9293168</v>
          </cell>
          <cell r="C249">
            <v>2019</v>
          </cell>
          <cell r="D249" t="str">
            <v>Qtr 2</v>
          </cell>
          <cell r="E249" t="str">
            <v>April</v>
          </cell>
          <cell r="F249">
            <v>4</v>
          </cell>
          <cell r="G249" t="str">
            <v>MANTENIMIENTO PREVENTIVO</v>
          </cell>
          <cell r="H249">
            <v>8.3333340000000006E-2</v>
          </cell>
          <cell r="I249" t="str">
            <v>Departmental Digital</v>
          </cell>
          <cell r="J249">
            <v>655</v>
          </cell>
          <cell r="K249">
            <v>1365</v>
          </cell>
          <cell r="L249">
            <v>0</v>
          </cell>
          <cell r="M249">
            <v>0</v>
          </cell>
          <cell r="N249">
            <v>0.6</v>
          </cell>
          <cell r="O249">
            <v>0.8</v>
          </cell>
          <cell r="P249">
            <v>1.05</v>
          </cell>
          <cell r="Q249">
            <v>1.1000000000000001</v>
          </cell>
          <cell r="R249" t="str">
            <v>INTERIOR</v>
          </cell>
          <cell r="S249">
            <v>5</v>
          </cell>
          <cell r="T249">
            <v>9</v>
          </cell>
          <cell r="U249" t="str">
            <v>Ciudad principal</v>
          </cell>
          <cell r="V249" t="str">
            <v>Departmental Digital</v>
          </cell>
          <cell r="W249" t="str">
            <v>GUANAJUATO</v>
          </cell>
          <cell r="X249">
            <v>2019</v>
          </cell>
          <cell r="Y249" t="str">
            <v>Qtr 2</v>
          </cell>
          <cell r="Z249" t="str">
            <v>April</v>
          </cell>
          <cell r="AA249">
            <v>4</v>
          </cell>
          <cell r="AB249">
            <v>0</v>
          </cell>
          <cell r="AC249">
            <v>1</v>
          </cell>
          <cell r="AD249">
            <v>0</v>
          </cell>
          <cell r="AE249">
            <v>0</v>
          </cell>
          <cell r="AF249">
            <v>1365</v>
          </cell>
        </row>
        <row r="250">
          <cell r="B250" t="str">
            <v>0EX9665131</v>
          </cell>
          <cell r="C250">
            <v>2019</v>
          </cell>
          <cell r="D250" t="str">
            <v>Qtr 2</v>
          </cell>
          <cell r="E250" t="str">
            <v>April</v>
          </cell>
          <cell r="F250">
            <v>4</v>
          </cell>
          <cell r="G250" t="str">
            <v>CORRECTIVO</v>
          </cell>
          <cell r="H250">
            <v>2</v>
          </cell>
          <cell r="I250" t="str">
            <v>Departmental Digital</v>
          </cell>
          <cell r="J250">
            <v>655</v>
          </cell>
          <cell r="K250">
            <v>1365</v>
          </cell>
          <cell r="L250">
            <v>0</v>
          </cell>
          <cell r="M250">
            <v>0</v>
          </cell>
          <cell r="N250">
            <v>0.6</v>
          </cell>
          <cell r="O250">
            <v>0.8</v>
          </cell>
          <cell r="P250">
            <v>1.05</v>
          </cell>
          <cell r="Q250">
            <v>1.1000000000000001</v>
          </cell>
          <cell r="R250" t="str">
            <v>INTERIOR</v>
          </cell>
          <cell r="S250">
            <v>5</v>
          </cell>
          <cell r="T250">
            <v>9</v>
          </cell>
          <cell r="U250" t="str">
            <v>Ciudad principal</v>
          </cell>
          <cell r="V250" t="str">
            <v>Departmental Digital</v>
          </cell>
          <cell r="W250" t="str">
            <v>MICHOACAN</v>
          </cell>
          <cell r="X250">
            <v>2019</v>
          </cell>
          <cell r="Y250" t="str">
            <v>Qtr 2</v>
          </cell>
          <cell r="Z250" t="str">
            <v>April</v>
          </cell>
          <cell r="AA250">
            <v>4</v>
          </cell>
          <cell r="AB250">
            <v>0</v>
          </cell>
          <cell r="AC250">
            <v>14</v>
          </cell>
          <cell r="AD250">
            <v>0.6</v>
          </cell>
          <cell r="AE250">
            <v>0.4</v>
          </cell>
          <cell r="AF250">
            <v>819</v>
          </cell>
        </row>
        <row r="251">
          <cell r="B251" t="str">
            <v>0A4T558379</v>
          </cell>
          <cell r="C251">
            <v>2019</v>
          </cell>
          <cell r="D251" t="str">
            <v>Qtr 2</v>
          </cell>
          <cell r="E251" t="str">
            <v>April</v>
          </cell>
          <cell r="F251">
            <v>4</v>
          </cell>
          <cell r="G251" t="str">
            <v>CORRECTIVO</v>
          </cell>
          <cell r="H251">
            <v>0.81666669999999997</v>
          </cell>
          <cell r="I251" t="str">
            <v>Entry Mono Printers</v>
          </cell>
          <cell r="J251">
            <v>468</v>
          </cell>
          <cell r="K251">
            <v>715</v>
          </cell>
          <cell r="L251">
            <v>0</v>
          </cell>
          <cell r="M251">
            <v>0</v>
          </cell>
          <cell r="N251">
            <v>0</v>
          </cell>
          <cell r="O251">
            <v>0.6</v>
          </cell>
          <cell r="P251">
            <v>0.8</v>
          </cell>
          <cell r="Q251">
            <v>1.05</v>
          </cell>
          <cell r="R251" t="str">
            <v>INTERIOR</v>
          </cell>
          <cell r="S251">
            <v>5</v>
          </cell>
          <cell r="T251">
            <v>9</v>
          </cell>
          <cell r="U251" t="str">
            <v>Ciudad principal</v>
          </cell>
          <cell r="V251" t="str">
            <v>A4 Mono MFPs</v>
          </cell>
          <cell r="W251" t="str">
            <v>JALISCO</v>
          </cell>
          <cell r="X251">
            <v>2019</v>
          </cell>
          <cell r="Y251" t="str">
            <v>Qtr 2</v>
          </cell>
          <cell r="Z251" t="str">
            <v>April</v>
          </cell>
          <cell r="AA251">
            <v>9</v>
          </cell>
          <cell r="AB251">
            <v>0</v>
          </cell>
          <cell r="AC251">
            <v>30</v>
          </cell>
          <cell r="AD251">
            <v>0.6</v>
          </cell>
          <cell r="AE251">
            <v>0.16333333999999999</v>
          </cell>
          <cell r="AF251">
            <v>429</v>
          </cell>
        </row>
        <row r="252">
          <cell r="B252" t="str">
            <v>0E1B980062</v>
          </cell>
          <cell r="C252">
            <v>2019</v>
          </cell>
          <cell r="D252" t="str">
            <v>Qtr 2</v>
          </cell>
          <cell r="E252" t="str">
            <v>April</v>
          </cell>
          <cell r="F252">
            <v>4</v>
          </cell>
          <cell r="G252" t="str">
            <v>CORRECTIVO</v>
          </cell>
          <cell r="H252">
            <v>1.5</v>
          </cell>
          <cell r="I252" t="str">
            <v>A4 Color Laser MFPs</v>
          </cell>
          <cell r="J252">
            <v>468</v>
          </cell>
          <cell r="K252">
            <v>715</v>
          </cell>
          <cell r="L252">
            <v>0</v>
          </cell>
          <cell r="M252">
            <v>0</v>
          </cell>
          <cell r="N252">
            <v>0</v>
          </cell>
          <cell r="O252">
            <v>0.6</v>
          </cell>
          <cell r="P252">
            <v>0.8</v>
          </cell>
          <cell r="Q252">
            <v>1.05</v>
          </cell>
          <cell r="R252" t="str">
            <v>INTERIOR</v>
          </cell>
          <cell r="S252">
            <v>5</v>
          </cell>
          <cell r="T252">
            <v>9</v>
          </cell>
          <cell r="U252" t="str">
            <v>Ciudad principal</v>
          </cell>
          <cell r="V252" t="str">
            <v>A4 Mono MFPs</v>
          </cell>
          <cell r="W252" t="str">
            <v>ESTADO DE MEXICO</v>
          </cell>
          <cell r="X252">
            <v>2019</v>
          </cell>
          <cell r="Y252" t="str">
            <v>Qtr 2</v>
          </cell>
          <cell r="Z252" t="str">
            <v>April</v>
          </cell>
          <cell r="AA252">
            <v>4</v>
          </cell>
          <cell r="AB252">
            <v>0</v>
          </cell>
          <cell r="AC252">
            <v>118</v>
          </cell>
          <cell r="AD252">
            <v>1.05</v>
          </cell>
          <cell r="AE252">
            <v>0.3</v>
          </cell>
          <cell r="AF252">
            <v>750.75</v>
          </cell>
        </row>
        <row r="253">
          <cell r="B253" t="str">
            <v>0A2T200458</v>
          </cell>
          <cell r="C253">
            <v>2019</v>
          </cell>
          <cell r="D253" t="str">
            <v>Qtr 2</v>
          </cell>
          <cell r="E253" t="str">
            <v>April</v>
          </cell>
          <cell r="F253">
            <v>4</v>
          </cell>
          <cell r="G253" t="str">
            <v>CORRECTIVO</v>
          </cell>
          <cell r="H253">
            <v>2.4500000000000002</v>
          </cell>
          <cell r="I253" t="str">
            <v>A4 Mono MFPs</v>
          </cell>
          <cell r="J253">
            <v>468</v>
          </cell>
          <cell r="K253">
            <v>715</v>
          </cell>
          <cell r="L253">
            <v>0</v>
          </cell>
          <cell r="M253">
            <v>0</v>
          </cell>
          <cell r="N253">
            <v>0</v>
          </cell>
          <cell r="O253">
            <v>0.6</v>
          </cell>
          <cell r="P253">
            <v>0.8</v>
          </cell>
          <cell r="Q253">
            <v>1.05</v>
          </cell>
          <cell r="R253" t="str">
            <v>INTERIOR</v>
          </cell>
          <cell r="S253">
            <v>5</v>
          </cell>
          <cell r="T253">
            <v>9</v>
          </cell>
          <cell r="U253" t="str">
            <v>Otras</v>
          </cell>
          <cell r="V253" t="str">
            <v>A4 Mono MFPs</v>
          </cell>
          <cell r="W253" t="str">
            <v>NUEVO LEON</v>
          </cell>
          <cell r="X253">
            <v>2019</v>
          </cell>
          <cell r="Y253" t="str">
            <v>Qtr 2</v>
          </cell>
          <cell r="Z253" t="str">
            <v>April</v>
          </cell>
          <cell r="AA253">
            <v>8</v>
          </cell>
          <cell r="AB253">
            <v>0</v>
          </cell>
          <cell r="AC253">
            <v>118</v>
          </cell>
          <cell r="AD253">
            <v>1.05</v>
          </cell>
          <cell r="AE253">
            <v>0.27222222222222198</v>
          </cell>
          <cell r="AF253">
            <v>750.75</v>
          </cell>
        </row>
        <row r="254">
          <cell r="B254" t="str">
            <v>0UHA002004</v>
          </cell>
          <cell r="C254">
            <v>2019</v>
          </cell>
          <cell r="D254" t="str">
            <v>Qtr 2</v>
          </cell>
          <cell r="E254" t="str">
            <v>April</v>
          </cell>
          <cell r="F254">
            <v>4</v>
          </cell>
          <cell r="G254" t="str">
            <v>CORRECTIVO</v>
          </cell>
          <cell r="H254">
            <v>2.5833330000000001</v>
          </cell>
          <cell r="I254" t="str">
            <v>High End Cut Sheet</v>
          </cell>
          <cell r="J254">
            <v>1116</v>
          </cell>
          <cell r="K254">
            <v>2145</v>
          </cell>
          <cell r="L254">
            <v>0.6</v>
          </cell>
          <cell r="M254">
            <v>0.8</v>
          </cell>
          <cell r="N254">
            <v>1.05</v>
          </cell>
          <cell r="O254">
            <v>1.1000000000000001</v>
          </cell>
          <cell r="P254">
            <v>1.1499999999999999</v>
          </cell>
          <cell r="Q254">
            <v>1.2</v>
          </cell>
          <cell r="R254" t="str">
            <v>INTERIOR</v>
          </cell>
          <cell r="S254">
            <v>3</v>
          </cell>
          <cell r="T254">
            <v>6</v>
          </cell>
          <cell r="U254" t="str">
            <v>Ciudad principal</v>
          </cell>
          <cell r="V254" t="str">
            <v>High End Cut Sheet</v>
          </cell>
          <cell r="W254" t="str">
            <v>JALISCO</v>
          </cell>
          <cell r="X254">
            <v>2019</v>
          </cell>
          <cell r="Y254" t="str">
            <v>Qtr 2</v>
          </cell>
          <cell r="Z254" t="str">
            <v>April</v>
          </cell>
          <cell r="AA254">
            <v>8</v>
          </cell>
          <cell r="AB254">
            <v>0</v>
          </cell>
          <cell r="AC254">
            <v>2</v>
          </cell>
          <cell r="AD254">
            <v>0.6</v>
          </cell>
          <cell r="AE254">
            <v>0.86111099999999996</v>
          </cell>
          <cell r="AF254">
            <v>1287</v>
          </cell>
        </row>
        <row r="255">
          <cell r="B255" t="str">
            <v>0A4T557615</v>
          </cell>
          <cell r="C255">
            <v>2019</v>
          </cell>
          <cell r="D255" t="str">
            <v>Qtr 2</v>
          </cell>
          <cell r="E255" t="str">
            <v>April</v>
          </cell>
          <cell r="F255">
            <v>4</v>
          </cell>
          <cell r="G255" t="str">
            <v>CORRECTIVO</v>
          </cell>
          <cell r="H255">
            <v>1.066667</v>
          </cell>
          <cell r="I255" t="str">
            <v>Entry Mono Printers</v>
          </cell>
          <cell r="J255">
            <v>468</v>
          </cell>
          <cell r="K255">
            <v>715</v>
          </cell>
          <cell r="L255">
            <v>0</v>
          </cell>
          <cell r="M255">
            <v>0</v>
          </cell>
          <cell r="N255">
            <v>0</v>
          </cell>
          <cell r="O255">
            <v>0.6</v>
          </cell>
          <cell r="P255">
            <v>0.8</v>
          </cell>
          <cell r="Q255">
            <v>1.05</v>
          </cell>
          <cell r="R255" t="str">
            <v>INTERIOR</v>
          </cell>
          <cell r="S255">
            <v>5</v>
          </cell>
          <cell r="T255">
            <v>9</v>
          </cell>
          <cell r="U255" t="str">
            <v>Ciudad principal</v>
          </cell>
          <cell r="V255" t="str">
            <v>A4 Mono MFPs</v>
          </cell>
          <cell r="W255" t="str">
            <v>JALISCO</v>
          </cell>
          <cell r="X255">
            <v>2019</v>
          </cell>
          <cell r="Y255" t="str">
            <v>Qtr 2</v>
          </cell>
          <cell r="Z255" t="str">
            <v>April</v>
          </cell>
          <cell r="AA255">
            <v>9</v>
          </cell>
          <cell r="AB255">
            <v>0</v>
          </cell>
          <cell r="AC255">
            <v>41</v>
          </cell>
          <cell r="AD255">
            <v>0.8</v>
          </cell>
          <cell r="AE255">
            <v>0.21333340000000001</v>
          </cell>
          <cell r="AF255">
            <v>572</v>
          </cell>
        </row>
        <row r="256">
          <cell r="B256" t="str">
            <v>0EX9664780</v>
          </cell>
          <cell r="C256">
            <v>2019</v>
          </cell>
          <cell r="D256" t="str">
            <v>Qtr 2</v>
          </cell>
          <cell r="E256" t="str">
            <v>April</v>
          </cell>
          <cell r="F256">
            <v>4</v>
          </cell>
          <cell r="G256" t="str">
            <v>CORRECTIVO</v>
          </cell>
          <cell r="H256">
            <v>0.23333329999999999</v>
          </cell>
          <cell r="I256" t="str">
            <v>Departmental Digital</v>
          </cell>
          <cell r="J256">
            <v>655</v>
          </cell>
          <cell r="K256">
            <v>1365</v>
          </cell>
          <cell r="L256">
            <v>0</v>
          </cell>
          <cell r="M256">
            <v>0</v>
          </cell>
          <cell r="N256">
            <v>0.6</v>
          </cell>
          <cell r="O256">
            <v>0.8</v>
          </cell>
          <cell r="P256">
            <v>1.05</v>
          </cell>
          <cell r="Q256">
            <v>1.1000000000000001</v>
          </cell>
          <cell r="R256" t="str">
            <v>INTERIOR</v>
          </cell>
          <cell r="S256">
            <v>5</v>
          </cell>
          <cell r="T256">
            <v>9</v>
          </cell>
          <cell r="U256" t="str">
            <v>Ciudad principal</v>
          </cell>
          <cell r="V256" t="str">
            <v>Departmental Digital</v>
          </cell>
          <cell r="W256" t="str">
            <v>COAHUILA</v>
          </cell>
          <cell r="X256">
            <v>2019</v>
          </cell>
          <cell r="Y256" t="str">
            <v>Qtr 2</v>
          </cell>
          <cell r="Z256" t="str">
            <v>April</v>
          </cell>
          <cell r="AA256">
            <v>4</v>
          </cell>
          <cell r="AB256">
            <v>0</v>
          </cell>
          <cell r="AC256">
            <v>8</v>
          </cell>
          <cell r="AD256">
            <v>0.6</v>
          </cell>
          <cell r="AE256">
            <v>4.6666659999999999E-2</v>
          </cell>
          <cell r="AF256">
            <v>819</v>
          </cell>
        </row>
        <row r="257">
          <cell r="B257" t="str">
            <v>0Y4X849017</v>
          </cell>
          <cell r="C257">
            <v>2019</v>
          </cell>
          <cell r="D257" t="str">
            <v>Qtr 2</v>
          </cell>
          <cell r="E257" t="str">
            <v>April</v>
          </cell>
          <cell r="F257">
            <v>4</v>
          </cell>
          <cell r="G257" t="str">
            <v>MANTENIMIENTO PREVENTIVO</v>
          </cell>
          <cell r="H257">
            <v>0</v>
          </cell>
          <cell r="I257" t="str">
            <v>Office Digital</v>
          </cell>
          <cell r="J257">
            <v>655</v>
          </cell>
          <cell r="K257">
            <v>1365</v>
          </cell>
          <cell r="L257">
            <v>0</v>
          </cell>
          <cell r="M257">
            <v>0</v>
          </cell>
          <cell r="N257">
            <v>0.6</v>
          </cell>
          <cell r="O257">
            <v>0.8</v>
          </cell>
          <cell r="P257">
            <v>1.05</v>
          </cell>
          <cell r="Q257">
            <v>1.1000000000000001</v>
          </cell>
          <cell r="R257" t="str">
            <v>INTERIOR</v>
          </cell>
          <cell r="S257">
            <v>5</v>
          </cell>
          <cell r="T257">
            <v>9</v>
          </cell>
          <cell r="U257" t="str">
            <v>Ciudad principal</v>
          </cell>
          <cell r="V257" t="str">
            <v>Light Production Digital Business</v>
          </cell>
          <cell r="W257" t="str">
            <v>JALISCO</v>
          </cell>
          <cell r="X257">
            <v>2019</v>
          </cell>
          <cell r="Y257" t="str">
            <v>Qtr 2</v>
          </cell>
          <cell r="Z257" t="str">
            <v>April</v>
          </cell>
          <cell r="AA257">
            <v>4</v>
          </cell>
          <cell r="AB257">
            <v>1</v>
          </cell>
          <cell r="AC257">
            <v>21</v>
          </cell>
          <cell r="AD257">
            <v>0</v>
          </cell>
          <cell r="AE257">
            <v>0</v>
          </cell>
          <cell r="AF257">
            <v>0</v>
          </cell>
        </row>
        <row r="258">
          <cell r="B258" t="str">
            <v>0EX9293159</v>
          </cell>
          <cell r="C258">
            <v>2019</v>
          </cell>
          <cell r="D258" t="str">
            <v>Qtr 2</v>
          </cell>
          <cell r="E258" t="str">
            <v>April</v>
          </cell>
          <cell r="F258">
            <v>4</v>
          </cell>
          <cell r="G258" t="str">
            <v>CORRECTIVO</v>
          </cell>
          <cell r="H258">
            <v>0.35</v>
          </cell>
          <cell r="I258" t="str">
            <v>Departmental Digital</v>
          </cell>
          <cell r="J258">
            <v>655</v>
          </cell>
          <cell r="K258">
            <v>1365</v>
          </cell>
          <cell r="L258">
            <v>0</v>
          </cell>
          <cell r="M258">
            <v>0</v>
          </cell>
          <cell r="N258">
            <v>0.6</v>
          </cell>
          <cell r="O258">
            <v>0.8</v>
          </cell>
          <cell r="P258">
            <v>1.05</v>
          </cell>
          <cell r="Q258">
            <v>1.1000000000000001</v>
          </cell>
          <cell r="R258" t="str">
            <v>INTERIOR</v>
          </cell>
          <cell r="S258">
            <v>5</v>
          </cell>
          <cell r="T258">
            <v>9</v>
          </cell>
          <cell r="U258" t="str">
            <v>Ciudad principal</v>
          </cell>
          <cell r="V258" t="str">
            <v>Departmental Digital</v>
          </cell>
          <cell r="W258" t="str">
            <v>GUANAJUATO</v>
          </cell>
          <cell r="X258">
            <v>2019</v>
          </cell>
          <cell r="Y258" t="str">
            <v>Qtr 2</v>
          </cell>
          <cell r="Z258" t="str">
            <v>April</v>
          </cell>
          <cell r="AA258">
            <v>4</v>
          </cell>
          <cell r="AB258">
            <v>0</v>
          </cell>
          <cell r="AC258">
            <v>42</v>
          </cell>
          <cell r="AD258">
            <v>1.05</v>
          </cell>
          <cell r="AE258">
            <v>7.0000000000000007E-2</v>
          </cell>
          <cell r="AF258">
            <v>1433.25</v>
          </cell>
        </row>
        <row r="259">
          <cell r="B259" t="str">
            <v>03AG880377</v>
          </cell>
          <cell r="C259">
            <v>2019</v>
          </cell>
          <cell r="D259" t="str">
            <v>Qtr 2</v>
          </cell>
          <cell r="E259" t="str">
            <v>April</v>
          </cell>
          <cell r="F259">
            <v>4</v>
          </cell>
          <cell r="G259" t="str">
            <v>CORRECTIVO</v>
          </cell>
          <cell r="H259">
            <v>0.95</v>
          </cell>
          <cell r="I259" t="str">
            <v>Departmental Digital</v>
          </cell>
          <cell r="J259">
            <v>655</v>
          </cell>
          <cell r="K259">
            <v>1365</v>
          </cell>
          <cell r="L259">
            <v>0</v>
          </cell>
          <cell r="M259">
            <v>0</v>
          </cell>
          <cell r="N259">
            <v>0.6</v>
          </cell>
          <cell r="O259">
            <v>0.8</v>
          </cell>
          <cell r="P259">
            <v>1.05</v>
          </cell>
          <cell r="Q259">
            <v>1.1000000000000001</v>
          </cell>
          <cell r="R259" t="str">
            <v>INTERIOR</v>
          </cell>
          <cell r="S259">
            <v>5</v>
          </cell>
          <cell r="T259">
            <v>9</v>
          </cell>
          <cell r="U259" t="str">
            <v>Ciudad principal</v>
          </cell>
          <cell r="V259" t="str">
            <v>Light Production Digital Business</v>
          </cell>
          <cell r="W259" t="str">
            <v>GUANAJUATO</v>
          </cell>
          <cell r="X259">
            <v>2019</v>
          </cell>
          <cell r="Y259" t="str">
            <v>Qtr 2</v>
          </cell>
          <cell r="Z259" t="str">
            <v>April</v>
          </cell>
          <cell r="AA259">
            <v>4</v>
          </cell>
          <cell r="AB259">
            <v>0</v>
          </cell>
          <cell r="AC259">
            <v>3</v>
          </cell>
          <cell r="AD259">
            <v>0</v>
          </cell>
          <cell r="AE259">
            <v>0.19</v>
          </cell>
          <cell r="AF259">
            <v>0</v>
          </cell>
        </row>
        <row r="260">
          <cell r="B260" t="str">
            <v>0BG0973687</v>
          </cell>
          <cell r="C260">
            <v>2019</v>
          </cell>
          <cell r="D260" t="str">
            <v>Qtr 2</v>
          </cell>
          <cell r="E260" t="str">
            <v>April</v>
          </cell>
          <cell r="F260">
            <v>4</v>
          </cell>
          <cell r="G260" t="str">
            <v>CORRECTIVO</v>
          </cell>
          <cell r="H260">
            <v>1.266667</v>
          </cell>
          <cell r="I260" t="str">
            <v>Light Production Digital Business</v>
          </cell>
          <cell r="J260">
            <v>803</v>
          </cell>
          <cell r="K260">
            <v>1573</v>
          </cell>
          <cell r="L260">
            <v>0.2</v>
          </cell>
          <cell r="M260">
            <v>0.6</v>
          </cell>
          <cell r="N260">
            <v>0.8</v>
          </cell>
          <cell r="O260">
            <v>1.05</v>
          </cell>
          <cell r="P260">
            <v>1.1000000000000001</v>
          </cell>
          <cell r="Q260">
            <v>1.1499999999999999</v>
          </cell>
          <cell r="R260" t="str">
            <v>INTERIOR</v>
          </cell>
          <cell r="S260">
            <v>4</v>
          </cell>
          <cell r="T260">
            <v>6</v>
          </cell>
          <cell r="U260" t="str">
            <v>Ciudad principal</v>
          </cell>
          <cell r="V260" t="str">
            <v>High End Cut Sheet</v>
          </cell>
          <cell r="W260" t="str">
            <v>NUEVO LEON</v>
          </cell>
          <cell r="X260">
            <v>2019</v>
          </cell>
          <cell r="Y260" t="str">
            <v>Qtr 2</v>
          </cell>
          <cell r="Z260" t="str">
            <v>April</v>
          </cell>
          <cell r="AA260">
            <v>9</v>
          </cell>
          <cell r="AB260">
            <v>0</v>
          </cell>
          <cell r="AC260">
            <v>43</v>
          </cell>
          <cell r="AD260">
            <v>1.1000000000000001</v>
          </cell>
          <cell r="AE260">
            <v>0.31666675</v>
          </cell>
          <cell r="AF260">
            <v>1730.3</v>
          </cell>
        </row>
        <row r="261">
          <cell r="B261" t="str">
            <v>0BG0972049</v>
          </cell>
          <cell r="C261">
            <v>2019</v>
          </cell>
          <cell r="D261" t="str">
            <v>Qtr 2</v>
          </cell>
          <cell r="E261" t="str">
            <v>April</v>
          </cell>
          <cell r="F261">
            <v>4</v>
          </cell>
          <cell r="G261" t="str">
            <v>CORRECTIVO</v>
          </cell>
          <cell r="H261">
            <v>1.766667</v>
          </cell>
          <cell r="I261" t="str">
            <v>Light Production Digital Business</v>
          </cell>
          <cell r="J261">
            <v>803</v>
          </cell>
          <cell r="K261">
            <v>1573</v>
          </cell>
          <cell r="L261">
            <v>0.2</v>
          </cell>
          <cell r="M261">
            <v>0.6</v>
          </cell>
          <cell r="N261">
            <v>0.8</v>
          </cell>
          <cell r="O261">
            <v>1.05</v>
          </cell>
          <cell r="P261">
            <v>1.1000000000000001</v>
          </cell>
          <cell r="Q261">
            <v>1.1499999999999999</v>
          </cell>
          <cell r="R261" t="str">
            <v>INTERIOR</v>
          </cell>
          <cell r="S261">
            <v>4</v>
          </cell>
          <cell r="T261">
            <v>6</v>
          </cell>
          <cell r="U261" t="str">
            <v>Ciudad principal</v>
          </cell>
          <cell r="V261" t="str">
            <v>High End Cut Sheet</v>
          </cell>
          <cell r="W261" t="str">
            <v>GUANAJUATO</v>
          </cell>
          <cell r="X261">
            <v>2019</v>
          </cell>
          <cell r="Y261" t="str">
            <v>Qtr 2</v>
          </cell>
          <cell r="Z261" t="str">
            <v>April</v>
          </cell>
          <cell r="AA261">
            <v>4</v>
          </cell>
          <cell r="AB261">
            <v>0</v>
          </cell>
          <cell r="AC261">
            <v>192</v>
          </cell>
          <cell r="AD261">
            <v>1.1499999999999999</v>
          </cell>
          <cell r="AE261">
            <v>0.44166675</v>
          </cell>
          <cell r="AF261">
            <v>1808.95</v>
          </cell>
        </row>
        <row r="262">
          <cell r="B262" t="str">
            <v>0E2B664326</v>
          </cell>
          <cell r="C262">
            <v>2019</v>
          </cell>
          <cell r="D262" t="str">
            <v>Qtr 2</v>
          </cell>
          <cell r="E262" t="str">
            <v>April</v>
          </cell>
          <cell r="F262">
            <v>4</v>
          </cell>
          <cell r="G262" t="str">
            <v>CORRECTIVO</v>
          </cell>
          <cell r="H262">
            <v>2.8166669999999998</v>
          </cell>
          <cell r="I262" t="str">
            <v>Entry Production Color Low/Mid</v>
          </cell>
          <cell r="J262">
            <v>803</v>
          </cell>
          <cell r="K262">
            <v>1573</v>
          </cell>
          <cell r="L262">
            <v>0.2</v>
          </cell>
          <cell r="M262">
            <v>0.6</v>
          </cell>
          <cell r="N262">
            <v>0.8</v>
          </cell>
          <cell r="O262">
            <v>1.05</v>
          </cell>
          <cell r="P262">
            <v>1.1000000000000001</v>
          </cell>
          <cell r="Q262">
            <v>1.1499999999999999</v>
          </cell>
          <cell r="R262" t="str">
            <v>INTERIOR</v>
          </cell>
          <cell r="S262">
            <v>4</v>
          </cell>
          <cell r="T262">
            <v>6</v>
          </cell>
          <cell r="U262" t="str">
            <v>Ciudad principal</v>
          </cell>
          <cell r="V262" t="str">
            <v>Entry Production Color Low/Mid</v>
          </cell>
          <cell r="W262" t="str">
            <v>GUANAJUATO</v>
          </cell>
          <cell r="X262">
            <v>2019</v>
          </cell>
          <cell r="Y262" t="str">
            <v>Qtr 2</v>
          </cell>
          <cell r="Z262" t="str">
            <v>April</v>
          </cell>
          <cell r="AA262">
            <v>9</v>
          </cell>
          <cell r="AB262">
            <v>0</v>
          </cell>
          <cell r="AC262">
            <v>31</v>
          </cell>
          <cell r="AD262">
            <v>1.1000000000000001</v>
          </cell>
          <cell r="AE262">
            <v>0.70416674999999995</v>
          </cell>
          <cell r="AF262">
            <v>1730.3</v>
          </cell>
        </row>
        <row r="263">
          <cell r="B263" t="str">
            <v>09BR381870</v>
          </cell>
          <cell r="C263">
            <v>2019</v>
          </cell>
          <cell r="D263" t="str">
            <v>Qtr 2</v>
          </cell>
          <cell r="E263" t="str">
            <v>April</v>
          </cell>
          <cell r="F263">
            <v>4</v>
          </cell>
          <cell r="G263" t="str">
            <v>CORRECTIVO</v>
          </cell>
          <cell r="H263">
            <v>0.3</v>
          </cell>
          <cell r="J263" t="str">
            <v>NA</v>
          </cell>
          <cell r="K263" t="str">
            <v>NA</v>
          </cell>
          <cell r="L263" t="str">
            <v>NA</v>
          </cell>
          <cell r="M263" t="str">
            <v>NA</v>
          </cell>
          <cell r="N263" t="str">
            <v>NA</v>
          </cell>
          <cell r="O263" t="str">
            <v>NA</v>
          </cell>
          <cell r="P263" t="str">
            <v>NA</v>
          </cell>
          <cell r="Q263" t="str">
            <v>NA</v>
          </cell>
          <cell r="S263" t="str">
            <v>NA</v>
          </cell>
          <cell r="T263" t="str">
            <v>NA</v>
          </cell>
          <cell r="V263" t="str">
            <v>A4 Mono MFPs</v>
          </cell>
          <cell r="W263" t="str">
            <v>CHIHUAHUA</v>
          </cell>
          <cell r="X263">
            <v>2019</v>
          </cell>
          <cell r="Y263" t="str">
            <v>Qtr 2</v>
          </cell>
          <cell r="Z263" t="str">
            <v>April</v>
          </cell>
          <cell r="AA263">
            <v>4</v>
          </cell>
          <cell r="AB263" t="str">
            <v>NA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</row>
        <row r="264">
          <cell r="B264" t="str">
            <v>09HB331538</v>
          </cell>
          <cell r="C264">
            <v>2019</v>
          </cell>
          <cell r="D264" t="str">
            <v>Qtr 2</v>
          </cell>
          <cell r="E264" t="str">
            <v>April</v>
          </cell>
          <cell r="F264">
            <v>4</v>
          </cell>
          <cell r="G264" t="str">
            <v>MANTENIMIENTO PREVENTIVO</v>
          </cell>
          <cell r="H264">
            <v>0</v>
          </cell>
          <cell r="I264" t="str">
            <v>A4 Mono MFPs</v>
          </cell>
          <cell r="J264">
            <v>468</v>
          </cell>
          <cell r="K264">
            <v>715</v>
          </cell>
          <cell r="L264">
            <v>0</v>
          </cell>
          <cell r="M264">
            <v>0</v>
          </cell>
          <cell r="N264">
            <v>0</v>
          </cell>
          <cell r="O264">
            <v>0.6</v>
          </cell>
          <cell r="P264">
            <v>0.8</v>
          </cell>
          <cell r="Q264">
            <v>1.05</v>
          </cell>
          <cell r="R264" t="str">
            <v>INTERIOR</v>
          </cell>
          <cell r="S264">
            <v>5</v>
          </cell>
          <cell r="T264">
            <v>9</v>
          </cell>
          <cell r="U264" t="str">
            <v>Ciudad principal</v>
          </cell>
          <cell r="V264" t="str">
            <v>A4 Mono MFPs</v>
          </cell>
          <cell r="W264" t="str">
            <v>JALISCO</v>
          </cell>
          <cell r="X264">
            <v>2019</v>
          </cell>
          <cell r="Y264" t="str">
            <v>Qtr 2</v>
          </cell>
          <cell r="Z264" t="str">
            <v>April</v>
          </cell>
          <cell r="AA264">
            <v>4</v>
          </cell>
          <cell r="AB264">
            <v>1</v>
          </cell>
          <cell r="AC264">
            <v>15</v>
          </cell>
          <cell r="AD264">
            <v>0</v>
          </cell>
          <cell r="AE264">
            <v>0</v>
          </cell>
          <cell r="AF264">
            <v>0</v>
          </cell>
        </row>
        <row r="265">
          <cell r="B265" t="str">
            <v>0EX9293145</v>
          </cell>
          <cell r="C265">
            <v>2019</v>
          </cell>
          <cell r="D265" t="str">
            <v>Qtr 2</v>
          </cell>
          <cell r="E265" t="str">
            <v>April</v>
          </cell>
          <cell r="F265">
            <v>4</v>
          </cell>
          <cell r="G265" t="str">
            <v>CORRECTIVO</v>
          </cell>
          <cell r="H265">
            <v>1.0833330000000001</v>
          </cell>
          <cell r="I265" t="str">
            <v>Departmental Digital</v>
          </cell>
          <cell r="J265">
            <v>655</v>
          </cell>
          <cell r="K265">
            <v>1365</v>
          </cell>
          <cell r="L265">
            <v>0</v>
          </cell>
          <cell r="M265">
            <v>0</v>
          </cell>
          <cell r="N265">
            <v>0.6</v>
          </cell>
          <cell r="O265">
            <v>0.8</v>
          </cell>
          <cell r="P265">
            <v>1.05</v>
          </cell>
          <cell r="Q265">
            <v>1.1000000000000001</v>
          </cell>
          <cell r="R265" t="str">
            <v>INTERIOR</v>
          </cell>
          <cell r="S265">
            <v>5</v>
          </cell>
          <cell r="T265">
            <v>9</v>
          </cell>
          <cell r="U265" t="str">
            <v>Ciudad principal</v>
          </cell>
          <cell r="V265" t="str">
            <v>Departmental Digital</v>
          </cell>
          <cell r="W265" t="str">
            <v>JALISCO</v>
          </cell>
          <cell r="X265">
            <v>2019</v>
          </cell>
          <cell r="Y265" t="str">
            <v>Qtr 2</v>
          </cell>
          <cell r="Z265" t="str">
            <v>April</v>
          </cell>
          <cell r="AA265">
            <v>4</v>
          </cell>
          <cell r="AB265">
            <v>0</v>
          </cell>
          <cell r="AC265">
            <v>10</v>
          </cell>
          <cell r="AD265">
            <v>0.6</v>
          </cell>
          <cell r="AE265">
            <v>0.21666659999999999</v>
          </cell>
          <cell r="AF265">
            <v>819</v>
          </cell>
        </row>
        <row r="266">
          <cell r="B266" t="str">
            <v>0A2T199940</v>
          </cell>
          <cell r="C266">
            <v>2019</v>
          </cell>
          <cell r="D266" t="str">
            <v>Qtr 2</v>
          </cell>
          <cell r="E266" t="str">
            <v>April</v>
          </cell>
          <cell r="F266">
            <v>4</v>
          </cell>
          <cell r="G266" t="str">
            <v>CORRECTIVO</v>
          </cell>
          <cell r="H266">
            <v>1.5</v>
          </cell>
          <cell r="I266" t="str">
            <v>A4 Mono MFPs</v>
          </cell>
          <cell r="J266">
            <v>468</v>
          </cell>
          <cell r="K266">
            <v>715</v>
          </cell>
          <cell r="L266">
            <v>0</v>
          </cell>
          <cell r="M266">
            <v>0</v>
          </cell>
          <cell r="N266">
            <v>0</v>
          </cell>
          <cell r="O266">
            <v>0.6</v>
          </cell>
          <cell r="P266">
            <v>0.8</v>
          </cell>
          <cell r="Q266">
            <v>1.05</v>
          </cell>
          <cell r="R266" t="str">
            <v>INTERIOR</v>
          </cell>
          <cell r="S266">
            <v>5</v>
          </cell>
          <cell r="T266">
            <v>9</v>
          </cell>
          <cell r="U266" t="str">
            <v>Ciudad principal</v>
          </cell>
          <cell r="V266" t="str">
            <v>A4 Mono MFPs</v>
          </cell>
          <cell r="W266" t="str">
            <v>ESTADO DE MEXICO</v>
          </cell>
          <cell r="X266">
            <v>2019</v>
          </cell>
          <cell r="Y266" t="str">
            <v>Qtr 2</v>
          </cell>
          <cell r="Z266" t="str">
            <v>April</v>
          </cell>
          <cell r="AA266">
            <v>11</v>
          </cell>
          <cell r="AB266">
            <v>0</v>
          </cell>
          <cell r="AC266">
            <v>35</v>
          </cell>
          <cell r="AD266">
            <v>0.8</v>
          </cell>
          <cell r="AE266">
            <v>0.3</v>
          </cell>
          <cell r="AF266">
            <v>572</v>
          </cell>
        </row>
        <row r="267">
          <cell r="B267" t="str">
            <v>0VMA558262</v>
          </cell>
          <cell r="C267">
            <v>2019</v>
          </cell>
          <cell r="D267" t="str">
            <v>Qtr 2</v>
          </cell>
          <cell r="E267" t="str">
            <v>April</v>
          </cell>
          <cell r="F267">
            <v>4</v>
          </cell>
          <cell r="G267" t="str">
            <v>CORRECTIVO</v>
          </cell>
          <cell r="H267">
            <v>0.35</v>
          </cell>
          <cell r="I267" t="str">
            <v>A4 Mono MFPs</v>
          </cell>
          <cell r="J267">
            <v>468</v>
          </cell>
          <cell r="K267">
            <v>715</v>
          </cell>
          <cell r="L267">
            <v>0</v>
          </cell>
          <cell r="M267">
            <v>0</v>
          </cell>
          <cell r="N267">
            <v>0</v>
          </cell>
          <cell r="O267">
            <v>0.6</v>
          </cell>
          <cell r="P267">
            <v>0.8</v>
          </cell>
          <cell r="Q267">
            <v>1.05</v>
          </cell>
          <cell r="R267" t="str">
            <v>INTERIOR</v>
          </cell>
          <cell r="S267">
            <v>5</v>
          </cell>
          <cell r="T267">
            <v>9</v>
          </cell>
          <cell r="U267" t="str">
            <v>Ciudad principal</v>
          </cell>
          <cell r="V267" t="str">
            <v>A4 Mono MFPs</v>
          </cell>
          <cell r="W267" t="str">
            <v>ESTADO DE MEXICO</v>
          </cell>
          <cell r="X267">
            <v>2019</v>
          </cell>
          <cell r="Y267" t="str">
            <v>Qtr 2</v>
          </cell>
          <cell r="Z267" t="str">
            <v>April</v>
          </cell>
          <cell r="AA267">
            <v>5</v>
          </cell>
          <cell r="AB267">
            <v>1</v>
          </cell>
          <cell r="AC267">
            <v>276</v>
          </cell>
          <cell r="AD267">
            <v>0</v>
          </cell>
          <cell r="AE267">
            <v>0</v>
          </cell>
          <cell r="AF267">
            <v>0</v>
          </cell>
        </row>
        <row r="268">
          <cell r="B268" t="str">
            <v>09HB331586</v>
          </cell>
          <cell r="C268">
            <v>2019</v>
          </cell>
          <cell r="D268" t="str">
            <v>Qtr 2</v>
          </cell>
          <cell r="E268" t="str">
            <v>April</v>
          </cell>
          <cell r="F268">
            <v>4</v>
          </cell>
          <cell r="G268" t="str">
            <v>MANTENIMIENTO PREVENTIVO</v>
          </cell>
          <cell r="H268">
            <v>0</v>
          </cell>
          <cell r="I268" t="str">
            <v>A4 Mono MFPs</v>
          </cell>
          <cell r="J268">
            <v>468</v>
          </cell>
          <cell r="K268">
            <v>715</v>
          </cell>
          <cell r="L268">
            <v>0</v>
          </cell>
          <cell r="M268">
            <v>0</v>
          </cell>
          <cell r="N268">
            <v>0</v>
          </cell>
          <cell r="O268">
            <v>0.6</v>
          </cell>
          <cell r="P268">
            <v>0.8</v>
          </cell>
          <cell r="Q268">
            <v>1.05</v>
          </cell>
          <cell r="R268" t="str">
            <v>INTERIOR</v>
          </cell>
          <cell r="S268">
            <v>5</v>
          </cell>
          <cell r="T268">
            <v>9</v>
          </cell>
          <cell r="U268" t="str">
            <v>Ciudad principal</v>
          </cell>
          <cell r="V268" t="str">
            <v>A4 Mono MFPs</v>
          </cell>
          <cell r="W268" t="str">
            <v>JALISCO</v>
          </cell>
          <cell r="X268">
            <v>2019</v>
          </cell>
          <cell r="Y268" t="str">
            <v>Qtr 2</v>
          </cell>
          <cell r="Z268" t="str">
            <v>April</v>
          </cell>
          <cell r="AA268">
            <v>4</v>
          </cell>
          <cell r="AB268">
            <v>1</v>
          </cell>
          <cell r="AC268">
            <v>52</v>
          </cell>
          <cell r="AD268">
            <v>0</v>
          </cell>
          <cell r="AE268">
            <v>0</v>
          </cell>
          <cell r="AF268">
            <v>0</v>
          </cell>
        </row>
        <row r="269">
          <cell r="B269" t="str">
            <v>0EX9299931</v>
          </cell>
          <cell r="C269">
            <v>2019</v>
          </cell>
          <cell r="D269" t="str">
            <v>Qtr 2</v>
          </cell>
          <cell r="E269" t="str">
            <v>April</v>
          </cell>
          <cell r="F269">
            <v>4</v>
          </cell>
          <cell r="G269" t="str">
            <v>CORRECTIVO</v>
          </cell>
          <cell r="H269">
            <v>1.8833329999999999</v>
          </cell>
          <cell r="I269" t="str">
            <v>Departmental Digital</v>
          </cell>
          <cell r="J269">
            <v>655</v>
          </cell>
          <cell r="K269">
            <v>1365</v>
          </cell>
          <cell r="L269">
            <v>0</v>
          </cell>
          <cell r="M269">
            <v>0</v>
          </cell>
          <cell r="N269">
            <v>0.6</v>
          </cell>
          <cell r="O269">
            <v>0.8</v>
          </cell>
          <cell r="P269">
            <v>1.05</v>
          </cell>
          <cell r="Q269">
            <v>1.1000000000000001</v>
          </cell>
          <cell r="R269" t="str">
            <v>INTERIOR</v>
          </cell>
          <cell r="S269">
            <v>5</v>
          </cell>
          <cell r="T269">
            <v>9</v>
          </cell>
          <cell r="U269" t="str">
            <v>Ciudad principal</v>
          </cell>
          <cell r="V269" t="str">
            <v>Departmental Digital</v>
          </cell>
          <cell r="W269" t="str">
            <v>MICHOACAN</v>
          </cell>
          <cell r="X269">
            <v>2019</v>
          </cell>
          <cell r="Y269" t="str">
            <v>Qtr 2</v>
          </cell>
          <cell r="Z269" t="str">
            <v>April</v>
          </cell>
          <cell r="AA269">
            <v>4</v>
          </cell>
          <cell r="AB269">
            <v>0</v>
          </cell>
          <cell r="AC269">
            <v>50</v>
          </cell>
          <cell r="AD269">
            <v>1.05</v>
          </cell>
          <cell r="AE269">
            <v>0.37666660000000002</v>
          </cell>
          <cell r="AF269">
            <v>1433.25</v>
          </cell>
        </row>
        <row r="270">
          <cell r="B270" t="str">
            <v>09HB331856</v>
          </cell>
          <cell r="C270">
            <v>2019</v>
          </cell>
          <cell r="D270" t="str">
            <v>Qtr 2</v>
          </cell>
          <cell r="E270" t="str">
            <v>April</v>
          </cell>
          <cell r="F270">
            <v>4</v>
          </cell>
          <cell r="G270" t="str">
            <v>MANTENIMIENTO PREVENTIVO</v>
          </cell>
          <cell r="H270">
            <v>0</v>
          </cell>
          <cell r="J270" t="str">
            <v>NA</v>
          </cell>
          <cell r="K270" t="str">
            <v>NA</v>
          </cell>
          <cell r="L270" t="str">
            <v>NA</v>
          </cell>
          <cell r="M270" t="str">
            <v>NA</v>
          </cell>
          <cell r="N270" t="str">
            <v>NA</v>
          </cell>
          <cell r="O270" t="str">
            <v>NA</v>
          </cell>
          <cell r="P270" t="str">
            <v>NA</v>
          </cell>
          <cell r="Q270" t="str">
            <v>NA</v>
          </cell>
          <cell r="S270" t="str">
            <v>NA</v>
          </cell>
          <cell r="T270" t="str">
            <v>NA</v>
          </cell>
          <cell r="V270" t="str">
            <v>A4 Mono MFPs</v>
          </cell>
          <cell r="W270" t="str">
            <v>CIUDAD DE MEXICO</v>
          </cell>
          <cell r="X270">
            <v>2019</v>
          </cell>
          <cell r="Y270" t="str">
            <v>Qtr 2</v>
          </cell>
          <cell r="Z270" t="str">
            <v>April</v>
          </cell>
          <cell r="AA270">
            <v>4</v>
          </cell>
          <cell r="AB270" t="str">
            <v>NA</v>
          </cell>
          <cell r="AC270">
            <v>209</v>
          </cell>
          <cell r="AD270">
            <v>0</v>
          </cell>
          <cell r="AE270">
            <v>0</v>
          </cell>
          <cell r="AF270">
            <v>0</v>
          </cell>
        </row>
        <row r="271">
          <cell r="B271" t="str">
            <v>09HB331859</v>
          </cell>
          <cell r="C271">
            <v>2019</v>
          </cell>
          <cell r="D271" t="str">
            <v>Qtr 2</v>
          </cell>
          <cell r="E271" t="str">
            <v>April</v>
          </cell>
          <cell r="F271">
            <v>4</v>
          </cell>
          <cell r="G271" t="str">
            <v>MANTENIMIENTO PREVENTIVO</v>
          </cell>
          <cell r="H271">
            <v>0</v>
          </cell>
          <cell r="J271" t="str">
            <v>NA</v>
          </cell>
          <cell r="K271" t="str">
            <v>NA</v>
          </cell>
          <cell r="L271" t="str">
            <v>NA</v>
          </cell>
          <cell r="M271" t="str">
            <v>NA</v>
          </cell>
          <cell r="N271" t="str">
            <v>NA</v>
          </cell>
          <cell r="O271" t="str">
            <v>NA</v>
          </cell>
          <cell r="P271" t="str">
            <v>NA</v>
          </cell>
          <cell r="Q271" t="str">
            <v>NA</v>
          </cell>
          <cell r="S271" t="str">
            <v>NA</v>
          </cell>
          <cell r="T271" t="str">
            <v>NA</v>
          </cell>
          <cell r="V271" t="str">
            <v>A4 Mono MFPs</v>
          </cell>
          <cell r="W271" t="str">
            <v>CIUDAD DE MEXICO</v>
          </cell>
          <cell r="X271">
            <v>2019</v>
          </cell>
          <cell r="Y271" t="str">
            <v>Qtr 2</v>
          </cell>
          <cell r="Z271" t="str">
            <v>April</v>
          </cell>
          <cell r="AA271">
            <v>4</v>
          </cell>
          <cell r="AB271" t="str">
            <v>NA</v>
          </cell>
          <cell r="AC271">
            <v>183</v>
          </cell>
          <cell r="AD271">
            <v>0</v>
          </cell>
          <cell r="AE271">
            <v>0</v>
          </cell>
          <cell r="AF271">
            <v>0</v>
          </cell>
        </row>
        <row r="272">
          <cell r="B272" t="str">
            <v>09HB331689</v>
          </cell>
          <cell r="C272">
            <v>2019</v>
          </cell>
          <cell r="D272" t="str">
            <v>Qtr 2</v>
          </cell>
          <cell r="E272" t="str">
            <v>April</v>
          </cell>
          <cell r="F272">
            <v>4</v>
          </cell>
          <cell r="G272" t="str">
            <v>MANTENIMIENTO PREVENTIVO</v>
          </cell>
          <cell r="H272">
            <v>0</v>
          </cell>
          <cell r="I272" t="str">
            <v>A4 Mono MFPs</v>
          </cell>
          <cell r="J272">
            <v>468</v>
          </cell>
          <cell r="K272">
            <v>715</v>
          </cell>
          <cell r="L272">
            <v>0</v>
          </cell>
          <cell r="M272">
            <v>0</v>
          </cell>
          <cell r="N272">
            <v>0</v>
          </cell>
          <cell r="O272">
            <v>0.6</v>
          </cell>
          <cell r="P272">
            <v>0.8</v>
          </cell>
          <cell r="Q272">
            <v>1.05</v>
          </cell>
          <cell r="R272" t="str">
            <v>INTERIOR</v>
          </cell>
          <cell r="S272">
            <v>5</v>
          </cell>
          <cell r="T272">
            <v>9</v>
          </cell>
          <cell r="U272" t="str">
            <v>Ciudad principal</v>
          </cell>
          <cell r="V272" t="str">
            <v>A4 Mono MFPs</v>
          </cell>
          <cell r="W272" t="str">
            <v>CHIHUAHUA</v>
          </cell>
          <cell r="X272">
            <v>2019</v>
          </cell>
          <cell r="Y272" t="str">
            <v>Qtr 2</v>
          </cell>
          <cell r="Z272" t="str">
            <v>April</v>
          </cell>
          <cell r="AA272">
            <v>4</v>
          </cell>
          <cell r="AB272">
            <v>1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</row>
        <row r="273">
          <cell r="B273" t="str">
            <v>09HB331878</v>
          </cell>
          <cell r="C273">
            <v>2019</v>
          </cell>
          <cell r="D273" t="str">
            <v>Qtr 2</v>
          </cell>
          <cell r="E273" t="str">
            <v>April</v>
          </cell>
          <cell r="F273">
            <v>4</v>
          </cell>
          <cell r="G273" t="str">
            <v>MANTENIMIENTO PREVENTIVO</v>
          </cell>
          <cell r="H273">
            <v>0</v>
          </cell>
          <cell r="I273" t="str">
            <v>A4 Mono MFPs</v>
          </cell>
          <cell r="J273">
            <v>468</v>
          </cell>
          <cell r="K273">
            <v>715</v>
          </cell>
          <cell r="L273">
            <v>0</v>
          </cell>
          <cell r="M273">
            <v>0</v>
          </cell>
          <cell r="N273">
            <v>0</v>
          </cell>
          <cell r="O273">
            <v>0.6</v>
          </cell>
          <cell r="P273">
            <v>0.8</v>
          </cell>
          <cell r="Q273">
            <v>1.05</v>
          </cell>
          <cell r="R273" t="str">
            <v>INTERIOR</v>
          </cell>
          <cell r="S273">
            <v>5</v>
          </cell>
          <cell r="T273">
            <v>9</v>
          </cell>
          <cell r="U273" t="str">
            <v>Ciudad principal</v>
          </cell>
          <cell r="V273" t="str">
            <v>A4 Mono MFPs</v>
          </cell>
          <cell r="W273" t="str">
            <v>CHIHUAHUA</v>
          </cell>
          <cell r="X273">
            <v>2019</v>
          </cell>
          <cell r="Y273" t="str">
            <v>Qtr 2</v>
          </cell>
          <cell r="Z273" t="str">
            <v>April</v>
          </cell>
          <cell r="AA273">
            <v>4</v>
          </cell>
          <cell r="AB273">
            <v>1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</row>
        <row r="274">
          <cell r="B274" t="str">
            <v>09HB331881</v>
          </cell>
          <cell r="C274">
            <v>2019</v>
          </cell>
          <cell r="D274" t="str">
            <v>Qtr 2</v>
          </cell>
          <cell r="E274" t="str">
            <v>April</v>
          </cell>
          <cell r="F274">
            <v>4</v>
          </cell>
          <cell r="G274" t="str">
            <v>MANTENIMIENTO PREVENTIVO</v>
          </cell>
          <cell r="H274">
            <v>0</v>
          </cell>
          <cell r="I274" t="str">
            <v>A4 Mono MFPs</v>
          </cell>
          <cell r="J274">
            <v>468</v>
          </cell>
          <cell r="K274">
            <v>715</v>
          </cell>
          <cell r="L274">
            <v>0</v>
          </cell>
          <cell r="M274">
            <v>0</v>
          </cell>
          <cell r="N274">
            <v>0</v>
          </cell>
          <cell r="O274">
            <v>0.6</v>
          </cell>
          <cell r="P274">
            <v>0.8</v>
          </cell>
          <cell r="Q274">
            <v>1.05</v>
          </cell>
          <cell r="R274" t="str">
            <v>INTERIOR</v>
          </cell>
          <cell r="S274">
            <v>5</v>
          </cell>
          <cell r="T274">
            <v>9</v>
          </cell>
          <cell r="U274" t="str">
            <v>Ciudad principal</v>
          </cell>
          <cell r="V274" t="str">
            <v>A4 Mono MFPs</v>
          </cell>
          <cell r="W274" t="str">
            <v>CHIHUAHUA</v>
          </cell>
          <cell r="X274">
            <v>2019</v>
          </cell>
          <cell r="Y274" t="str">
            <v>Qtr 2</v>
          </cell>
          <cell r="Z274" t="str">
            <v>April</v>
          </cell>
          <cell r="AA274">
            <v>5</v>
          </cell>
          <cell r="AB274">
            <v>1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</row>
        <row r="275">
          <cell r="B275" t="str">
            <v>09HB331684</v>
          </cell>
          <cell r="C275">
            <v>2019</v>
          </cell>
          <cell r="D275" t="str">
            <v>Qtr 2</v>
          </cell>
          <cell r="E275" t="str">
            <v>April</v>
          </cell>
          <cell r="F275">
            <v>4</v>
          </cell>
          <cell r="G275" t="str">
            <v>MANTENIMIENTO PREVENTIVO</v>
          </cell>
          <cell r="H275">
            <v>0</v>
          </cell>
          <cell r="I275" t="str">
            <v>A4 Mono MFPs</v>
          </cell>
          <cell r="J275">
            <v>468</v>
          </cell>
          <cell r="K275">
            <v>715</v>
          </cell>
          <cell r="L275">
            <v>0</v>
          </cell>
          <cell r="M275">
            <v>0</v>
          </cell>
          <cell r="N275">
            <v>0</v>
          </cell>
          <cell r="O275">
            <v>0.6</v>
          </cell>
          <cell r="P275">
            <v>0.8</v>
          </cell>
          <cell r="Q275">
            <v>1.05</v>
          </cell>
          <cell r="R275" t="str">
            <v>INTERIOR</v>
          </cell>
          <cell r="S275">
            <v>5</v>
          </cell>
          <cell r="T275">
            <v>9</v>
          </cell>
          <cell r="U275" t="str">
            <v>Ciudad principal</v>
          </cell>
          <cell r="V275" t="str">
            <v>A4 Mono MFPs</v>
          </cell>
          <cell r="W275" t="str">
            <v>CHIHUAHUA</v>
          </cell>
          <cell r="X275">
            <v>2019</v>
          </cell>
          <cell r="Y275" t="str">
            <v>Qtr 2</v>
          </cell>
          <cell r="Z275" t="str">
            <v>April</v>
          </cell>
          <cell r="AA275">
            <v>5</v>
          </cell>
          <cell r="AB275">
            <v>1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</row>
        <row r="276">
          <cell r="B276" t="str">
            <v>09HB332024</v>
          </cell>
          <cell r="C276">
            <v>2019</v>
          </cell>
          <cell r="D276" t="str">
            <v>Qtr 2</v>
          </cell>
          <cell r="E276" t="str">
            <v>April</v>
          </cell>
          <cell r="F276">
            <v>4</v>
          </cell>
          <cell r="G276" t="str">
            <v>MANTENIMIENTO PREVENTIVO</v>
          </cell>
          <cell r="H276">
            <v>0</v>
          </cell>
          <cell r="J276" t="str">
            <v>NA</v>
          </cell>
          <cell r="K276" t="str">
            <v>NA</v>
          </cell>
          <cell r="L276" t="str">
            <v>NA</v>
          </cell>
          <cell r="M276" t="str">
            <v>NA</v>
          </cell>
          <cell r="N276" t="str">
            <v>NA</v>
          </cell>
          <cell r="O276" t="str">
            <v>NA</v>
          </cell>
          <cell r="P276" t="str">
            <v>NA</v>
          </cell>
          <cell r="Q276" t="str">
            <v>NA</v>
          </cell>
          <cell r="S276" t="str">
            <v>NA</v>
          </cell>
          <cell r="T276" t="str">
            <v>NA</v>
          </cell>
          <cell r="V276" t="str">
            <v>A4 Mono MFPs</v>
          </cell>
          <cell r="W276" t="str">
            <v>CIUDAD DE MEXICO</v>
          </cell>
          <cell r="X276">
            <v>2019</v>
          </cell>
          <cell r="Y276" t="str">
            <v>Qtr 2</v>
          </cell>
          <cell r="Z276" t="str">
            <v>April</v>
          </cell>
          <cell r="AA276">
            <v>10</v>
          </cell>
          <cell r="AB276" t="str">
            <v>NA</v>
          </cell>
          <cell r="AC276">
            <v>132</v>
          </cell>
          <cell r="AD276">
            <v>0</v>
          </cell>
          <cell r="AE276">
            <v>0</v>
          </cell>
          <cell r="AF276">
            <v>0</v>
          </cell>
        </row>
        <row r="277">
          <cell r="B277" t="str">
            <v>0E2B665653</v>
          </cell>
          <cell r="C277">
            <v>2019</v>
          </cell>
          <cell r="D277" t="str">
            <v>Qtr 2</v>
          </cell>
          <cell r="E277" t="str">
            <v>April</v>
          </cell>
          <cell r="F277">
            <v>4</v>
          </cell>
          <cell r="G277" t="str">
            <v>CORRECTIVO</v>
          </cell>
          <cell r="H277">
            <v>2.6333329999999999</v>
          </cell>
          <cell r="I277" t="str">
            <v>Entry Production Color Low/Mid</v>
          </cell>
          <cell r="J277">
            <v>803</v>
          </cell>
          <cell r="K277">
            <v>1573</v>
          </cell>
          <cell r="L277">
            <v>0.2</v>
          </cell>
          <cell r="M277">
            <v>0.6</v>
          </cell>
          <cell r="N277">
            <v>0.8</v>
          </cell>
          <cell r="O277">
            <v>1.05</v>
          </cell>
          <cell r="P277">
            <v>1.1000000000000001</v>
          </cell>
          <cell r="Q277">
            <v>1.1499999999999999</v>
          </cell>
          <cell r="R277" t="str">
            <v>INTERIOR</v>
          </cell>
          <cell r="S277">
            <v>4</v>
          </cell>
          <cell r="T277">
            <v>6</v>
          </cell>
          <cell r="U277" t="str">
            <v>Ciudad principal</v>
          </cell>
          <cell r="V277" t="str">
            <v>Entry Production Color Low/Mid</v>
          </cell>
          <cell r="W277" t="str">
            <v>JALISCO</v>
          </cell>
          <cell r="X277">
            <v>2019</v>
          </cell>
          <cell r="Y277" t="str">
            <v>Qtr 2</v>
          </cell>
          <cell r="Z277" t="str">
            <v>April</v>
          </cell>
          <cell r="AA277">
            <v>8</v>
          </cell>
          <cell r="AB277">
            <v>0</v>
          </cell>
          <cell r="AC277">
            <v>16</v>
          </cell>
          <cell r="AD277">
            <v>1.05</v>
          </cell>
          <cell r="AE277">
            <v>0.65833324999999998</v>
          </cell>
          <cell r="AF277">
            <v>1651.65</v>
          </cell>
        </row>
        <row r="278">
          <cell r="B278" t="str">
            <v>09HB331929</v>
          </cell>
          <cell r="C278">
            <v>2019</v>
          </cell>
          <cell r="D278" t="str">
            <v>Qtr 2</v>
          </cell>
          <cell r="E278" t="str">
            <v>April</v>
          </cell>
          <cell r="F278">
            <v>4</v>
          </cell>
          <cell r="G278" t="str">
            <v>MANTENIMIENTO PREVENTIVO</v>
          </cell>
          <cell r="H278">
            <v>0</v>
          </cell>
          <cell r="I278" t="str">
            <v>A4 Mono MFPs</v>
          </cell>
          <cell r="J278">
            <v>468</v>
          </cell>
          <cell r="K278">
            <v>715</v>
          </cell>
          <cell r="L278">
            <v>0</v>
          </cell>
          <cell r="M278">
            <v>0</v>
          </cell>
          <cell r="N278">
            <v>0</v>
          </cell>
          <cell r="O278">
            <v>0.6</v>
          </cell>
          <cell r="P278">
            <v>0.8</v>
          </cell>
          <cell r="Q278">
            <v>1.05</v>
          </cell>
          <cell r="R278" t="str">
            <v>METRO</v>
          </cell>
          <cell r="S278">
            <v>5</v>
          </cell>
          <cell r="T278">
            <v>9</v>
          </cell>
          <cell r="U278" t="str">
            <v>Ciudad principal</v>
          </cell>
          <cell r="V278" t="str">
            <v>A4 Mono MFPs</v>
          </cell>
          <cell r="W278" t="str">
            <v>PUEBLA</v>
          </cell>
          <cell r="X278">
            <v>2019</v>
          </cell>
          <cell r="Y278" t="str">
            <v>Qtr 2</v>
          </cell>
          <cell r="Z278" t="str">
            <v>April</v>
          </cell>
          <cell r="AA278">
            <v>5</v>
          </cell>
          <cell r="AB278">
            <v>0</v>
          </cell>
          <cell r="AC278">
            <v>150</v>
          </cell>
          <cell r="AD278">
            <v>0</v>
          </cell>
          <cell r="AE278">
            <v>0</v>
          </cell>
          <cell r="AF278">
            <v>468</v>
          </cell>
        </row>
        <row r="279">
          <cell r="B279" t="str">
            <v>09HB331680</v>
          </cell>
          <cell r="C279">
            <v>2019</v>
          </cell>
          <cell r="D279" t="str">
            <v>Qtr 2</v>
          </cell>
          <cell r="E279" t="str">
            <v>April</v>
          </cell>
          <cell r="F279">
            <v>4</v>
          </cell>
          <cell r="G279" t="str">
            <v>MANTENIMIENTO PREVENTIVO</v>
          </cell>
          <cell r="H279">
            <v>0</v>
          </cell>
          <cell r="J279" t="str">
            <v>NA</v>
          </cell>
          <cell r="K279" t="str">
            <v>NA</v>
          </cell>
          <cell r="L279" t="str">
            <v>NA</v>
          </cell>
          <cell r="M279" t="str">
            <v>NA</v>
          </cell>
          <cell r="N279" t="str">
            <v>NA</v>
          </cell>
          <cell r="O279" t="str">
            <v>NA</v>
          </cell>
          <cell r="P279" t="str">
            <v>NA</v>
          </cell>
          <cell r="Q279" t="str">
            <v>NA</v>
          </cell>
          <cell r="S279" t="str">
            <v>NA</v>
          </cell>
          <cell r="T279" t="str">
            <v>NA</v>
          </cell>
          <cell r="V279" t="str">
            <v>A4 Mono MFPs</v>
          </cell>
          <cell r="W279" t="str">
            <v>MORELOS</v>
          </cell>
          <cell r="X279">
            <v>2019</v>
          </cell>
          <cell r="Y279" t="str">
            <v>Qtr 2</v>
          </cell>
          <cell r="Z279" t="str">
            <v>April</v>
          </cell>
          <cell r="AA279">
            <v>5</v>
          </cell>
          <cell r="AB279" t="str">
            <v>NA</v>
          </cell>
          <cell r="AC279">
            <v>10</v>
          </cell>
          <cell r="AD279">
            <v>0</v>
          </cell>
          <cell r="AE279">
            <v>0</v>
          </cell>
          <cell r="AF279">
            <v>0</v>
          </cell>
        </row>
        <row r="280">
          <cell r="B280" t="str">
            <v>09HB331962</v>
          </cell>
          <cell r="C280">
            <v>2019</v>
          </cell>
          <cell r="D280" t="str">
            <v>Qtr 2</v>
          </cell>
          <cell r="E280" t="str">
            <v>April</v>
          </cell>
          <cell r="F280">
            <v>4</v>
          </cell>
          <cell r="G280" t="str">
            <v>MANTENIMIENTO PREVENTIVO</v>
          </cell>
          <cell r="H280">
            <v>0</v>
          </cell>
          <cell r="J280" t="str">
            <v>NA</v>
          </cell>
          <cell r="K280" t="str">
            <v>NA</v>
          </cell>
          <cell r="L280" t="str">
            <v>NA</v>
          </cell>
          <cell r="M280" t="str">
            <v>NA</v>
          </cell>
          <cell r="N280" t="str">
            <v>NA</v>
          </cell>
          <cell r="O280" t="str">
            <v>NA</v>
          </cell>
          <cell r="P280" t="str">
            <v>NA</v>
          </cell>
          <cell r="Q280" t="str">
            <v>NA</v>
          </cell>
          <cell r="S280" t="str">
            <v>NA</v>
          </cell>
          <cell r="T280" t="str">
            <v>NA</v>
          </cell>
          <cell r="V280" t="str">
            <v>A4 Mono MFPs</v>
          </cell>
          <cell r="W280" t="str">
            <v>SINALOA</v>
          </cell>
          <cell r="X280">
            <v>2019</v>
          </cell>
          <cell r="Y280" t="str">
            <v>Qtr 2</v>
          </cell>
          <cell r="Z280" t="str">
            <v>April</v>
          </cell>
          <cell r="AA280">
            <v>16</v>
          </cell>
          <cell r="AB280" t="str">
            <v>NA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B281" t="str">
            <v>09HB331858</v>
          </cell>
          <cell r="C281">
            <v>2019</v>
          </cell>
          <cell r="D281" t="str">
            <v>Qtr 2</v>
          </cell>
          <cell r="E281" t="str">
            <v>April</v>
          </cell>
          <cell r="F281">
            <v>4</v>
          </cell>
          <cell r="G281" t="str">
            <v>MANTENIMIENTO PREVENTIVO</v>
          </cell>
          <cell r="H281">
            <v>0</v>
          </cell>
          <cell r="J281" t="str">
            <v>NA</v>
          </cell>
          <cell r="K281" t="str">
            <v>NA</v>
          </cell>
          <cell r="L281" t="str">
            <v>NA</v>
          </cell>
          <cell r="M281" t="str">
            <v>NA</v>
          </cell>
          <cell r="N281" t="str">
            <v>NA</v>
          </cell>
          <cell r="O281" t="str">
            <v>NA</v>
          </cell>
          <cell r="P281" t="str">
            <v>NA</v>
          </cell>
          <cell r="Q281" t="str">
            <v>NA</v>
          </cell>
          <cell r="S281" t="str">
            <v>NA</v>
          </cell>
          <cell r="T281" t="str">
            <v>NA</v>
          </cell>
          <cell r="V281" t="str">
            <v>A4 Mono MFPs</v>
          </cell>
          <cell r="W281" t="str">
            <v>CIUDAD DE MEXICO</v>
          </cell>
          <cell r="X281">
            <v>2019</v>
          </cell>
          <cell r="Y281" t="str">
            <v>Qtr 2</v>
          </cell>
          <cell r="Z281" t="str">
            <v>April</v>
          </cell>
          <cell r="AA281">
            <v>22</v>
          </cell>
          <cell r="AB281" t="str">
            <v>NA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</row>
        <row r="282">
          <cell r="B282" t="str">
            <v>09HB331870</v>
          </cell>
          <cell r="C282">
            <v>2019</v>
          </cell>
          <cell r="D282" t="str">
            <v>Qtr 2</v>
          </cell>
          <cell r="E282" t="str">
            <v>April</v>
          </cell>
          <cell r="F282">
            <v>4</v>
          </cell>
          <cell r="G282" t="str">
            <v>MANTENIMIENTO PREVENTIVO</v>
          </cell>
          <cell r="H282">
            <v>0</v>
          </cell>
          <cell r="J282" t="str">
            <v>NA</v>
          </cell>
          <cell r="K282" t="str">
            <v>NA</v>
          </cell>
          <cell r="L282" t="str">
            <v>NA</v>
          </cell>
          <cell r="M282" t="str">
            <v>NA</v>
          </cell>
          <cell r="N282" t="str">
            <v>NA</v>
          </cell>
          <cell r="O282" t="str">
            <v>NA</v>
          </cell>
          <cell r="P282" t="str">
            <v>NA</v>
          </cell>
          <cell r="Q282" t="str">
            <v>NA</v>
          </cell>
          <cell r="S282" t="str">
            <v>NA</v>
          </cell>
          <cell r="T282" t="str">
            <v>NA</v>
          </cell>
          <cell r="V282" t="str">
            <v>A4 Mono MFPs</v>
          </cell>
          <cell r="W282" t="str">
            <v>CIUDAD DE MEXICO</v>
          </cell>
          <cell r="X282">
            <v>2019</v>
          </cell>
          <cell r="Y282" t="str">
            <v>Qtr 2</v>
          </cell>
          <cell r="Z282" t="str">
            <v>April</v>
          </cell>
          <cell r="AA282">
            <v>22</v>
          </cell>
          <cell r="AB282" t="str">
            <v>NA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</row>
        <row r="283">
          <cell r="B283" t="str">
            <v>09HB331867</v>
          </cell>
          <cell r="C283">
            <v>2019</v>
          </cell>
          <cell r="D283" t="str">
            <v>Qtr 2</v>
          </cell>
          <cell r="E283" t="str">
            <v>April</v>
          </cell>
          <cell r="F283">
            <v>4</v>
          </cell>
          <cell r="G283" t="str">
            <v>MANTENIMIENTO PREVENTIVO</v>
          </cell>
          <cell r="H283">
            <v>0</v>
          </cell>
          <cell r="I283" t="str">
            <v>A4 Mono MFPs</v>
          </cell>
          <cell r="J283">
            <v>468</v>
          </cell>
          <cell r="K283">
            <v>715</v>
          </cell>
          <cell r="L283">
            <v>0</v>
          </cell>
          <cell r="M283">
            <v>0</v>
          </cell>
          <cell r="N283">
            <v>0</v>
          </cell>
          <cell r="O283">
            <v>0.6</v>
          </cell>
          <cell r="P283">
            <v>0.8</v>
          </cell>
          <cell r="Q283">
            <v>1.05</v>
          </cell>
          <cell r="R283" t="str">
            <v>METRO</v>
          </cell>
          <cell r="S283">
            <v>5</v>
          </cell>
          <cell r="T283">
            <v>9</v>
          </cell>
          <cell r="U283" t="str">
            <v>Ciudad principal</v>
          </cell>
          <cell r="V283" t="str">
            <v>A4 Mono MFPs</v>
          </cell>
          <cell r="W283" t="str">
            <v>CIUDAD DE MEXICO</v>
          </cell>
          <cell r="X283">
            <v>2019</v>
          </cell>
          <cell r="Y283" t="str">
            <v>Qtr 2</v>
          </cell>
          <cell r="Z283" t="str">
            <v>April</v>
          </cell>
          <cell r="AA283">
            <v>22</v>
          </cell>
          <cell r="AB283">
            <v>1</v>
          </cell>
          <cell r="AC283">
            <v>24</v>
          </cell>
          <cell r="AD283">
            <v>0</v>
          </cell>
          <cell r="AE283">
            <v>0</v>
          </cell>
          <cell r="AF283">
            <v>0</v>
          </cell>
        </row>
        <row r="284">
          <cell r="B284" t="str">
            <v>06TB445764</v>
          </cell>
          <cell r="C284">
            <v>2019</v>
          </cell>
          <cell r="D284" t="str">
            <v>Qtr 2</v>
          </cell>
          <cell r="E284" t="str">
            <v>April</v>
          </cell>
          <cell r="F284">
            <v>4</v>
          </cell>
          <cell r="G284" t="str">
            <v>MANTENIMIENTO PREVENTIVO</v>
          </cell>
          <cell r="H284">
            <v>0</v>
          </cell>
          <cell r="J284" t="str">
            <v>NA</v>
          </cell>
          <cell r="K284" t="str">
            <v>NA</v>
          </cell>
          <cell r="L284" t="str">
            <v>NA</v>
          </cell>
          <cell r="M284" t="str">
            <v>NA</v>
          </cell>
          <cell r="N284" t="str">
            <v>NA</v>
          </cell>
          <cell r="O284" t="str">
            <v>NA</v>
          </cell>
          <cell r="P284" t="str">
            <v>NA</v>
          </cell>
          <cell r="Q284" t="str">
            <v>NA</v>
          </cell>
          <cell r="S284" t="str">
            <v>NA</v>
          </cell>
          <cell r="T284" t="str">
            <v>NA</v>
          </cell>
          <cell r="V284" t="str">
            <v>A3 Office Color Laser MFPs</v>
          </cell>
          <cell r="W284" t="str">
            <v>CIUDAD DE MEXICO</v>
          </cell>
          <cell r="X284">
            <v>2019</v>
          </cell>
          <cell r="Y284" t="str">
            <v>Qtr 2</v>
          </cell>
          <cell r="Z284" t="str">
            <v>April</v>
          </cell>
          <cell r="AA284">
            <v>8</v>
          </cell>
          <cell r="AB284" t="str">
            <v>NA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</row>
        <row r="285">
          <cell r="B285" t="str">
            <v>09HB331496</v>
          </cell>
          <cell r="C285">
            <v>2019</v>
          </cell>
          <cell r="D285" t="str">
            <v>Qtr 2</v>
          </cell>
          <cell r="E285" t="str">
            <v>April</v>
          </cell>
          <cell r="F285">
            <v>4</v>
          </cell>
          <cell r="G285" t="str">
            <v>MANTENIMIENTO PREVENTIVO</v>
          </cell>
          <cell r="H285">
            <v>0</v>
          </cell>
          <cell r="J285" t="str">
            <v>NA</v>
          </cell>
          <cell r="K285" t="str">
            <v>NA</v>
          </cell>
          <cell r="L285" t="str">
            <v>NA</v>
          </cell>
          <cell r="M285" t="str">
            <v>NA</v>
          </cell>
          <cell r="N285" t="str">
            <v>NA</v>
          </cell>
          <cell r="O285" t="str">
            <v>NA</v>
          </cell>
          <cell r="P285" t="str">
            <v>NA</v>
          </cell>
          <cell r="Q285" t="str">
            <v>NA</v>
          </cell>
          <cell r="S285" t="str">
            <v>NA</v>
          </cell>
          <cell r="T285" t="str">
            <v>NA</v>
          </cell>
          <cell r="V285" t="str">
            <v>A4 Mono MFPs</v>
          </cell>
          <cell r="W285" t="str">
            <v>CIUDAD DE MEXICO</v>
          </cell>
          <cell r="X285">
            <v>2019</v>
          </cell>
          <cell r="Y285" t="str">
            <v>Qtr 2</v>
          </cell>
          <cell r="Z285" t="str">
            <v>April</v>
          </cell>
          <cell r="AA285">
            <v>9</v>
          </cell>
          <cell r="AB285" t="str">
            <v>NA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</row>
        <row r="286">
          <cell r="B286" t="str">
            <v>09HB331805</v>
          </cell>
          <cell r="C286">
            <v>2019</v>
          </cell>
          <cell r="D286" t="str">
            <v>Qtr 2</v>
          </cell>
          <cell r="E286" t="str">
            <v>April</v>
          </cell>
          <cell r="F286">
            <v>4</v>
          </cell>
          <cell r="G286" t="str">
            <v>MANTENIMIENTO PREVENTIVO</v>
          </cell>
          <cell r="H286">
            <v>0</v>
          </cell>
          <cell r="I286" t="str">
            <v>A4 Mono MFPs</v>
          </cell>
          <cell r="J286">
            <v>468</v>
          </cell>
          <cell r="K286">
            <v>715</v>
          </cell>
          <cell r="L286">
            <v>0</v>
          </cell>
          <cell r="M286">
            <v>0</v>
          </cell>
          <cell r="N286">
            <v>0</v>
          </cell>
          <cell r="O286">
            <v>0.6</v>
          </cell>
          <cell r="P286">
            <v>0.8</v>
          </cell>
          <cell r="Q286">
            <v>1.05</v>
          </cell>
          <cell r="R286" t="str">
            <v>METRO</v>
          </cell>
          <cell r="S286">
            <v>5</v>
          </cell>
          <cell r="T286">
            <v>9</v>
          </cell>
          <cell r="U286" t="str">
            <v>Ciudad principal</v>
          </cell>
          <cell r="V286" t="str">
            <v>A4 Mono MFPs</v>
          </cell>
          <cell r="W286" t="str">
            <v>CIUDAD DE MEXICO</v>
          </cell>
          <cell r="X286">
            <v>2019</v>
          </cell>
          <cell r="Y286" t="str">
            <v>Qtr 2</v>
          </cell>
          <cell r="Z286" t="str">
            <v>April</v>
          </cell>
          <cell r="AA286">
            <v>10</v>
          </cell>
          <cell r="AB286">
            <v>1</v>
          </cell>
          <cell r="AC286">
            <v>106</v>
          </cell>
          <cell r="AD286">
            <v>0</v>
          </cell>
          <cell r="AE286">
            <v>0</v>
          </cell>
          <cell r="AF286">
            <v>0</v>
          </cell>
        </row>
        <row r="287">
          <cell r="B287" t="str">
            <v>09HB331924</v>
          </cell>
          <cell r="C287">
            <v>2019</v>
          </cell>
          <cell r="D287" t="str">
            <v>Qtr 2</v>
          </cell>
          <cell r="E287" t="str">
            <v>April</v>
          </cell>
          <cell r="F287">
            <v>4</v>
          </cell>
          <cell r="G287" t="str">
            <v>MANTENIMIENTO PREVENTIVO</v>
          </cell>
          <cell r="H287">
            <v>0</v>
          </cell>
          <cell r="I287" t="str">
            <v>A4 Mono MFPs</v>
          </cell>
          <cell r="J287">
            <v>468</v>
          </cell>
          <cell r="K287">
            <v>715</v>
          </cell>
          <cell r="L287">
            <v>0</v>
          </cell>
          <cell r="M287">
            <v>0</v>
          </cell>
          <cell r="N287">
            <v>0</v>
          </cell>
          <cell r="O287">
            <v>0.6</v>
          </cell>
          <cell r="P287">
            <v>0.8</v>
          </cell>
          <cell r="Q287">
            <v>1.05</v>
          </cell>
          <cell r="R287" t="str">
            <v>METRO</v>
          </cell>
          <cell r="S287">
            <v>5</v>
          </cell>
          <cell r="T287">
            <v>9</v>
          </cell>
          <cell r="U287" t="str">
            <v>Ciudad principal</v>
          </cell>
          <cell r="V287" t="str">
            <v>A4 Mono MFPs</v>
          </cell>
          <cell r="W287" t="str">
            <v>CIUDAD DE MEXICO</v>
          </cell>
          <cell r="X287">
            <v>2019</v>
          </cell>
          <cell r="Y287" t="str">
            <v>Qtr 2</v>
          </cell>
          <cell r="Z287" t="str">
            <v>April</v>
          </cell>
          <cell r="AA287">
            <v>10</v>
          </cell>
          <cell r="AB287">
            <v>1</v>
          </cell>
          <cell r="AC287">
            <v>149</v>
          </cell>
          <cell r="AD287">
            <v>0</v>
          </cell>
          <cell r="AE287">
            <v>0</v>
          </cell>
          <cell r="AF287">
            <v>0</v>
          </cell>
        </row>
        <row r="288">
          <cell r="B288" t="str">
            <v>09HB331505</v>
          </cell>
          <cell r="C288">
            <v>2019</v>
          </cell>
          <cell r="D288" t="str">
            <v>Qtr 2</v>
          </cell>
          <cell r="E288" t="str">
            <v>April</v>
          </cell>
          <cell r="F288">
            <v>4</v>
          </cell>
          <cell r="G288" t="str">
            <v>MANTENIMIENTO PREVENTIVO</v>
          </cell>
          <cell r="H288">
            <v>0</v>
          </cell>
          <cell r="I288" t="str">
            <v>A4 Mono MFPs</v>
          </cell>
          <cell r="J288">
            <v>468</v>
          </cell>
          <cell r="K288">
            <v>715</v>
          </cell>
          <cell r="L288">
            <v>0</v>
          </cell>
          <cell r="M288">
            <v>0</v>
          </cell>
          <cell r="N288">
            <v>0</v>
          </cell>
          <cell r="O288">
            <v>0.6</v>
          </cell>
          <cell r="P288">
            <v>0.8</v>
          </cell>
          <cell r="Q288">
            <v>1.05</v>
          </cell>
          <cell r="R288" t="str">
            <v>METRO</v>
          </cell>
          <cell r="S288">
            <v>5</v>
          </cell>
          <cell r="T288">
            <v>9</v>
          </cell>
          <cell r="U288" t="str">
            <v>Ciudad principal</v>
          </cell>
          <cell r="V288" t="str">
            <v>A4 Mono MFPs</v>
          </cell>
          <cell r="W288" t="str">
            <v>CIUDAD DE MEXICO</v>
          </cell>
          <cell r="X288">
            <v>2019</v>
          </cell>
          <cell r="Y288" t="str">
            <v>Qtr 2</v>
          </cell>
          <cell r="Z288" t="str">
            <v>April</v>
          </cell>
          <cell r="AA288">
            <v>11</v>
          </cell>
          <cell r="AB288">
            <v>1</v>
          </cell>
          <cell r="AC288">
            <v>8</v>
          </cell>
          <cell r="AD288">
            <v>0</v>
          </cell>
          <cell r="AE288">
            <v>0</v>
          </cell>
          <cell r="AF288">
            <v>0</v>
          </cell>
        </row>
        <row r="289">
          <cell r="B289" t="str">
            <v>06TB445743</v>
          </cell>
          <cell r="C289">
            <v>2019</v>
          </cell>
          <cell r="D289" t="str">
            <v>Qtr 2</v>
          </cell>
          <cell r="E289" t="str">
            <v>April</v>
          </cell>
          <cell r="F289">
            <v>4</v>
          </cell>
          <cell r="G289" t="str">
            <v>MANTENIMIENTO PREVENTIVO</v>
          </cell>
          <cell r="H289">
            <v>0</v>
          </cell>
          <cell r="I289" t="str">
            <v>A3 Office Color Laser MFPs</v>
          </cell>
          <cell r="J289">
            <v>655</v>
          </cell>
          <cell r="K289">
            <v>1365</v>
          </cell>
          <cell r="L289">
            <v>0</v>
          </cell>
          <cell r="M289">
            <v>0</v>
          </cell>
          <cell r="N289">
            <v>0.6</v>
          </cell>
          <cell r="O289">
            <v>0.8</v>
          </cell>
          <cell r="P289">
            <v>1.05</v>
          </cell>
          <cell r="Q289">
            <v>1.1000000000000001</v>
          </cell>
          <cell r="R289" t="str">
            <v>METRO</v>
          </cell>
          <cell r="S289">
            <v>5</v>
          </cell>
          <cell r="T289">
            <v>9</v>
          </cell>
          <cell r="U289" t="str">
            <v>Ciudad principal</v>
          </cell>
          <cell r="V289" t="str">
            <v>A3 Office Color Laser MFPs</v>
          </cell>
          <cell r="W289" t="str">
            <v>CIUDAD DE MEXICO</v>
          </cell>
          <cell r="X289">
            <v>2019</v>
          </cell>
          <cell r="Y289" t="str">
            <v>Qtr 2</v>
          </cell>
          <cell r="Z289" t="str">
            <v>April</v>
          </cell>
          <cell r="AA289">
            <v>11</v>
          </cell>
          <cell r="AB289">
            <v>1</v>
          </cell>
          <cell r="AC289">
            <v>8</v>
          </cell>
          <cell r="AD289">
            <v>0</v>
          </cell>
          <cell r="AE289">
            <v>0</v>
          </cell>
          <cell r="AF289">
            <v>0</v>
          </cell>
        </row>
        <row r="290">
          <cell r="B290" t="str">
            <v>09HB331780</v>
          </cell>
          <cell r="C290">
            <v>2019</v>
          </cell>
          <cell r="D290" t="str">
            <v>Qtr 2</v>
          </cell>
          <cell r="E290" t="str">
            <v>April</v>
          </cell>
          <cell r="F290">
            <v>4</v>
          </cell>
          <cell r="G290" t="str">
            <v>MANTENIMIENTO PREVENTIVO</v>
          </cell>
          <cell r="H290">
            <v>0</v>
          </cell>
          <cell r="J290" t="str">
            <v>NA</v>
          </cell>
          <cell r="K290" t="str">
            <v>NA</v>
          </cell>
          <cell r="L290" t="str">
            <v>NA</v>
          </cell>
          <cell r="M290" t="str">
            <v>NA</v>
          </cell>
          <cell r="N290" t="str">
            <v>NA</v>
          </cell>
          <cell r="O290" t="str">
            <v>NA</v>
          </cell>
          <cell r="P290" t="str">
            <v>NA</v>
          </cell>
          <cell r="Q290" t="str">
            <v>NA</v>
          </cell>
          <cell r="S290" t="str">
            <v>NA</v>
          </cell>
          <cell r="T290" t="str">
            <v>NA</v>
          </cell>
          <cell r="V290" t="str">
            <v>A4 Mono MFPs</v>
          </cell>
          <cell r="W290" t="str">
            <v>CIUDAD DE MEXICO</v>
          </cell>
          <cell r="X290">
            <v>2019</v>
          </cell>
          <cell r="Y290" t="str">
            <v>Qtr 2</v>
          </cell>
          <cell r="Z290" t="str">
            <v>April</v>
          </cell>
          <cell r="AA290">
            <v>10</v>
          </cell>
          <cell r="AB290" t="str">
            <v>NA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</row>
        <row r="291">
          <cell r="B291" t="str">
            <v>0BG0968959</v>
          </cell>
          <cell r="C291">
            <v>2019</v>
          </cell>
          <cell r="D291" t="str">
            <v>Qtr 2</v>
          </cell>
          <cell r="E291" t="str">
            <v>April</v>
          </cell>
          <cell r="F291">
            <v>4</v>
          </cell>
          <cell r="G291" t="str">
            <v>CORRECTIVO</v>
          </cell>
          <cell r="H291">
            <v>1.7166669999999999</v>
          </cell>
          <cell r="I291" t="str">
            <v>Light Production Digital Business</v>
          </cell>
          <cell r="J291">
            <v>803</v>
          </cell>
          <cell r="K291">
            <v>1573</v>
          </cell>
          <cell r="L291">
            <v>0.2</v>
          </cell>
          <cell r="M291">
            <v>0.6</v>
          </cell>
          <cell r="N291">
            <v>0.8</v>
          </cell>
          <cell r="O291">
            <v>1.05</v>
          </cell>
          <cell r="P291">
            <v>1.1000000000000001</v>
          </cell>
          <cell r="Q291">
            <v>1.1499999999999999</v>
          </cell>
          <cell r="R291" t="str">
            <v>INTERIOR</v>
          </cell>
          <cell r="S291">
            <v>4</v>
          </cell>
          <cell r="T291">
            <v>6</v>
          </cell>
          <cell r="U291" t="str">
            <v>Ciudad principal</v>
          </cell>
          <cell r="V291" t="str">
            <v>High End Cut Sheet</v>
          </cell>
          <cell r="W291" t="str">
            <v>ESTADO DE MEXICO</v>
          </cell>
          <cell r="X291">
            <v>2019</v>
          </cell>
          <cell r="Y291" t="str">
            <v>Qtr 2</v>
          </cell>
          <cell r="Z291" t="str">
            <v>April</v>
          </cell>
          <cell r="AA291">
            <v>4</v>
          </cell>
          <cell r="AB291">
            <v>0</v>
          </cell>
          <cell r="AC291">
            <v>42</v>
          </cell>
          <cell r="AD291">
            <v>1.1000000000000001</v>
          </cell>
          <cell r="AE291">
            <v>0.42916674999999999</v>
          </cell>
          <cell r="AF291">
            <v>1730.3</v>
          </cell>
        </row>
        <row r="292">
          <cell r="B292" t="str">
            <v>09HB331752</v>
          </cell>
          <cell r="C292">
            <v>2019</v>
          </cell>
          <cell r="D292" t="str">
            <v>Qtr 2</v>
          </cell>
          <cell r="E292" t="str">
            <v>April</v>
          </cell>
          <cell r="F292">
            <v>4</v>
          </cell>
          <cell r="G292" t="str">
            <v>MANTENIMIENTO PREVENTIVO</v>
          </cell>
          <cell r="H292">
            <v>0</v>
          </cell>
          <cell r="I292" t="str">
            <v>A4 Mono MFPs</v>
          </cell>
          <cell r="J292">
            <v>468</v>
          </cell>
          <cell r="K292">
            <v>715</v>
          </cell>
          <cell r="L292">
            <v>0</v>
          </cell>
          <cell r="M292">
            <v>0</v>
          </cell>
          <cell r="N292">
            <v>0</v>
          </cell>
          <cell r="O292">
            <v>0.6</v>
          </cell>
          <cell r="P292">
            <v>0.8</v>
          </cell>
          <cell r="Q292">
            <v>1.05</v>
          </cell>
          <cell r="R292" t="str">
            <v>METRO</v>
          </cell>
          <cell r="S292">
            <v>5</v>
          </cell>
          <cell r="T292">
            <v>9</v>
          </cell>
          <cell r="U292" t="str">
            <v>Ciudad principal</v>
          </cell>
          <cell r="V292" t="str">
            <v>A4 Mono MFPs</v>
          </cell>
          <cell r="W292" t="str">
            <v>CIUDAD DE MEXICO</v>
          </cell>
          <cell r="X292">
            <v>2019</v>
          </cell>
          <cell r="Y292" t="str">
            <v>Qtr 2</v>
          </cell>
          <cell r="Z292" t="str">
            <v>April</v>
          </cell>
          <cell r="AA292">
            <v>9</v>
          </cell>
          <cell r="AB292">
            <v>1</v>
          </cell>
          <cell r="AC292">
            <v>9</v>
          </cell>
          <cell r="AD292">
            <v>0</v>
          </cell>
          <cell r="AE292">
            <v>0</v>
          </cell>
          <cell r="AF292">
            <v>0</v>
          </cell>
        </row>
        <row r="293">
          <cell r="B293" t="str">
            <v>0GXV896042</v>
          </cell>
          <cell r="C293">
            <v>2019</v>
          </cell>
          <cell r="D293" t="str">
            <v>Qtr 2</v>
          </cell>
          <cell r="E293" t="str">
            <v>April</v>
          </cell>
          <cell r="F293">
            <v>4</v>
          </cell>
          <cell r="G293" t="str">
            <v>CORRECTIVO</v>
          </cell>
          <cell r="H293">
            <v>1.7166669999999999</v>
          </cell>
          <cell r="I293" t="str">
            <v>Light Production Digital Business</v>
          </cell>
          <cell r="J293">
            <v>803</v>
          </cell>
          <cell r="K293">
            <v>1573</v>
          </cell>
          <cell r="L293">
            <v>0.2</v>
          </cell>
          <cell r="M293">
            <v>0.6</v>
          </cell>
          <cell r="N293">
            <v>0.8</v>
          </cell>
          <cell r="O293">
            <v>1.05</v>
          </cell>
          <cell r="P293">
            <v>1.1000000000000001</v>
          </cell>
          <cell r="Q293">
            <v>1.1499999999999999</v>
          </cell>
          <cell r="R293" t="str">
            <v>INTERIOR</v>
          </cell>
          <cell r="S293">
            <v>4</v>
          </cell>
          <cell r="T293">
            <v>6</v>
          </cell>
          <cell r="U293" t="str">
            <v>Ciudad principal</v>
          </cell>
          <cell r="V293" t="str">
            <v>High End Cut Sheet</v>
          </cell>
          <cell r="W293" t="str">
            <v>ESTADO DE MEXICO</v>
          </cell>
          <cell r="X293">
            <v>2019</v>
          </cell>
          <cell r="Y293" t="str">
            <v>Qtr 2</v>
          </cell>
          <cell r="Z293" t="str">
            <v>April</v>
          </cell>
          <cell r="AA293">
            <v>4</v>
          </cell>
          <cell r="AB293">
            <v>0</v>
          </cell>
          <cell r="AC293">
            <v>6</v>
          </cell>
          <cell r="AD293">
            <v>0.6</v>
          </cell>
          <cell r="AE293">
            <v>0.42916674999999999</v>
          </cell>
          <cell r="AF293">
            <v>943.8</v>
          </cell>
        </row>
        <row r="294">
          <cell r="B294" t="str">
            <v>09HB331896</v>
          </cell>
          <cell r="C294">
            <v>2019</v>
          </cell>
          <cell r="D294" t="str">
            <v>Qtr 2</v>
          </cell>
          <cell r="E294" t="str">
            <v>April</v>
          </cell>
          <cell r="F294">
            <v>4</v>
          </cell>
          <cell r="G294" t="str">
            <v>MANTENIMIENTO PREVENTIVO</v>
          </cell>
          <cell r="H294">
            <v>0</v>
          </cell>
          <cell r="J294" t="str">
            <v>NA</v>
          </cell>
          <cell r="K294" t="str">
            <v>NA</v>
          </cell>
          <cell r="L294" t="str">
            <v>NA</v>
          </cell>
          <cell r="M294" t="str">
            <v>NA</v>
          </cell>
          <cell r="N294" t="str">
            <v>NA</v>
          </cell>
          <cell r="O294" t="str">
            <v>NA</v>
          </cell>
          <cell r="P294" t="str">
            <v>NA</v>
          </cell>
          <cell r="Q294" t="str">
            <v>NA</v>
          </cell>
          <cell r="S294" t="str">
            <v>NA</v>
          </cell>
          <cell r="T294" t="str">
            <v>NA</v>
          </cell>
          <cell r="V294" t="str">
            <v>A4 Mono MFPs</v>
          </cell>
          <cell r="W294" t="str">
            <v>CIUDAD DE MEXICO</v>
          </cell>
          <cell r="X294">
            <v>2019</v>
          </cell>
          <cell r="Y294" t="str">
            <v>Qtr 2</v>
          </cell>
          <cell r="Z294" t="str">
            <v>April</v>
          </cell>
          <cell r="AA294">
            <v>9</v>
          </cell>
          <cell r="AB294" t="str">
            <v>NA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</row>
        <row r="295">
          <cell r="B295" t="str">
            <v>09HB331541</v>
          </cell>
          <cell r="C295">
            <v>2019</v>
          </cell>
          <cell r="D295" t="str">
            <v>Qtr 2</v>
          </cell>
          <cell r="E295" t="str">
            <v>April</v>
          </cell>
          <cell r="F295">
            <v>4</v>
          </cell>
          <cell r="G295" t="str">
            <v>MANTENIMIENTO PREVENTIVO</v>
          </cell>
          <cell r="H295">
            <v>0</v>
          </cell>
          <cell r="I295" t="str">
            <v>A4 Mono MFPs</v>
          </cell>
          <cell r="J295">
            <v>468</v>
          </cell>
          <cell r="K295">
            <v>715</v>
          </cell>
          <cell r="L295">
            <v>0</v>
          </cell>
          <cell r="M295">
            <v>0</v>
          </cell>
          <cell r="N295">
            <v>0</v>
          </cell>
          <cell r="O295">
            <v>0.6</v>
          </cell>
          <cell r="P295">
            <v>0.8</v>
          </cell>
          <cell r="Q295">
            <v>1.05</v>
          </cell>
          <cell r="R295" t="str">
            <v>INTERIOR</v>
          </cell>
          <cell r="S295">
            <v>5</v>
          </cell>
          <cell r="T295">
            <v>9</v>
          </cell>
          <cell r="U295" t="str">
            <v>Ciudad principal</v>
          </cell>
          <cell r="V295" t="str">
            <v>A4 Mono MFPs</v>
          </cell>
          <cell r="W295" t="str">
            <v>JALISCO</v>
          </cell>
          <cell r="X295">
            <v>2019</v>
          </cell>
          <cell r="Y295" t="str">
            <v>Qtr 2</v>
          </cell>
          <cell r="Z295" t="str">
            <v>April</v>
          </cell>
          <cell r="AA295">
            <v>4</v>
          </cell>
          <cell r="AB295">
            <v>1</v>
          </cell>
          <cell r="AC295">
            <v>35</v>
          </cell>
          <cell r="AD295">
            <v>0</v>
          </cell>
          <cell r="AE295">
            <v>0</v>
          </cell>
          <cell r="AF295">
            <v>0</v>
          </cell>
        </row>
        <row r="296">
          <cell r="B296" t="str">
            <v>0BG2946917</v>
          </cell>
          <cell r="C296">
            <v>2019</v>
          </cell>
          <cell r="D296" t="str">
            <v>Qtr 2</v>
          </cell>
          <cell r="E296" t="str">
            <v>April</v>
          </cell>
          <cell r="F296">
            <v>4</v>
          </cell>
          <cell r="G296" t="str">
            <v>CORRECTIVO</v>
          </cell>
          <cell r="H296">
            <v>0.46666669999999999</v>
          </cell>
          <cell r="I296" t="str">
            <v>Light Production Digital Business</v>
          </cell>
          <cell r="J296">
            <v>803</v>
          </cell>
          <cell r="K296">
            <v>1573</v>
          </cell>
          <cell r="L296">
            <v>0.2</v>
          </cell>
          <cell r="M296">
            <v>0.6</v>
          </cell>
          <cell r="N296">
            <v>0.8</v>
          </cell>
          <cell r="O296">
            <v>1.05</v>
          </cell>
          <cell r="P296">
            <v>1.1000000000000001</v>
          </cell>
          <cell r="Q296">
            <v>1.1499999999999999</v>
          </cell>
          <cell r="R296" t="str">
            <v>INTERIOR</v>
          </cell>
          <cell r="S296">
            <v>4</v>
          </cell>
          <cell r="T296">
            <v>6</v>
          </cell>
          <cell r="U296" t="str">
            <v>Otras</v>
          </cell>
          <cell r="V296" t="str">
            <v>High End Cut Sheet</v>
          </cell>
          <cell r="W296" t="str">
            <v>COAHUILA</v>
          </cell>
          <cell r="X296">
            <v>2019</v>
          </cell>
          <cell r="Y296" t="str">
            <v>Qtr 2</v>
          </cell>
          <cell r="Z296" t="str">
            <v>April</v>
          </cell>
          <cell r="AA296">
            <v>5</v>
          </cell>
          <cell r="AB296">
            <v>0</v>
          </cell>
          <cell r="AC296">
            <v>99</v>
          </cell>
          <cell r="AD296">
            <v>1.1499999999999999</v>
          </cell>
          <cell r="AE296">
            <v>7.7777783333333295E-2</v>
          </cell>
          <cell r="AF296">
            <v>1808.95</v>
          </cell>
        </row>
        <row r="297">
          <cell r="B297" t="str">
            <v>09HB331812</v>
          </cell>
          <cell r="C297">
            <v>2019</v>
          </cell>
          <cell r="D297" t="str">
            <v>Qtr 2</v>
          </cell>
          <cell r="E297" t="str">
            <v>April</v>
          </cell>
          <cell r="F297">
            <v>4</v>
          </cell>
          <cell r="G297" t="str">
            <v>MANTENIMIENTO PREVENTIVO</v>
          </cell>
          <cell r="H297">
            <v>0</v>
          </cell>
          <cell r="I297" t="str">
            <v>A4 Mono MFPs</v>
          </cell>
          <cell r="J297">
            <v>468</v>
          </cell>
          <cell r="K297">
            <v>715</v>
          </cell>
          <cell r="L297">
            <v>0</v>
          </cell>
          <cell r="M297">
            <v>0</v>
          </cell>
          <cell r="N297">
            <v>0</v>
          </cell>
          <cell r="O297">
            <v>0.6</v>
          </cell>
          <cell r="P297">
            <v>0.8</v>
          </cell>
          <cell r="Q297">
            <v>1.05</v>
          </cell>
          <cell r="R297" t="str">
            <v>INTERIOR</v>
          </cell>
          <cell r="S297">
            <v>5</v>
          </cell>
          <cell r="T297">
            <v>9</v>
          </cell>
          <cell r="U297" t="str">
            <v>Ciudad principal</v>
          </cell>
          <cell r="V297" t="str">
            <v>A4 Mono MFPs</v>
          </cell>
          <cell r="W297" t="str">
            <v>JALISCO</v>
          </cell>
          <cell r="X297">
            <v>2019</v>
          </cell>
          <cell r="Y297" t="str">
            <v>Qtr 2</v>
          </cell>
          <cell r="Z297" t="str">
            <v>April</v>
          </cell>
          <cell r="AA297">
            <v>8</v>
          </cell>
          <cell r="AB297">
            <v>1</v>
          </cell>
          <cell r="AC297">
            <v>3</v>
          </cell>
          <cell r="AD297">
            <v>0</v>
          </cell>
          <cell r="AE297">
            <v>0</v>
          </cell>
          <cell r="AF297">
            <v>0</v>
          </cell>
        </row>
        <row r="298">
          <cell r="B298" t="str">
            <v>09HB333000</v>
          </cell>
          <cell r="C298">
            <v>2019</v>
          </cell>
          <cell r="D298" t="str">
            <v>Qtr 2</v>
          </cell>
          <cell r="E298" t="str">
            <v>April</v>
          </cell>
          <cell r="F298">
            <v>4</v>
          </cell>
          <cell r="G298" t="str">
            <v>INSTALACION NUEVA</v>
          </cell>
          <cell r="H298">
            <v>0</v>
          </cell>
          <cell r="J298" t="str">
            <v>NA</v>
          </cell>
          <cell r="K298" t="str">
            <v>NA</v>
          </cell>
          <cell r="L298" t="str">
            <v>NA</v>
          </cell>
          <cell r="M298" t="str">
            <v>NA</v>
          </cell>
          <cell r="N298" t="str">
            <v>NA</v>
          </cell>
          <cell r="O298" t="str">
            <v>NA</v>
          </cell>
          <cell r="P298" t="str">
            <v>NA</v>
          </cell>
          <cell r="Q298" t="str">
            <v>NA</v>
          </cell>
          <cell r="S298" t="str">
            <v>NA</v>
          </cell>
          <cell r="T298" t="str">
            <v>NA</v>
          </cell>
          <cell r="V298" t="str">
            <v>A4 Mono MFPs</v>
          </cell>
          <cell r="W298" t="str">
            <v>NUEVO LEON</v>
          </cell>
          <cell r="X298">
            <v>2019</v>
          </cell>
          <cell r="Y298" t="str">
            <v>Qtr 2</v>
          </cell>
          <cell r="Z298" t="str">
            <v>April</v>
          </cell>
          <cell r="AA298">
            <v>4</v>
          </cell>
          <cell r="AB298" t="str">
            <v>NA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</row>
        <row r="299">
          <cell r="B299" t="str">
            <v>AAQ100563</v>
          </cell>
          <cell r="C299">
            <v>2019</v>
          </cell>
          <cell r="D299" t="str">
            <v>Qtr 2</v>
          </cell>
          <cell r="E299" t="str">
            <v>April</v>
          </cell>
          <cell r="F299">
            <v>4</v>
          </cell>
          <cell r="G299" t="str">
            <v>CORRECTIVO</v>
          </cell>
          <cell r="H299">
            <v>4.55</v>
          </cell>
          <cell r="I299" t="str">
            <v>Office Digital</v>
          </cell>
          <cell r="J299">
            <v>655</v>
          </cell>
          <cell r="K299">
            <v>1365</v>
          </cell>
          <cell r="L299">
            <v>0</v>
          </cell>
          <cell r="M299">
            <v>0</v>
          </cell>
          <cell r="N299">
            <v>0.6</v>
          </cell>
          <cell r="O299">
            <v>0.8</v>
          </cell>
          <cell r="P299">
            <v>1.05</v>
          </cell>
          <cell r="Q299">
            <v>1.1000000000000001</v>
          </cell>
          <cell r="R299" t="str">
            <v>INTERIOR</v>
          </cell>
          <cell r="S299">
            <v>5</v>
          </cell>
          <cell r="T299">
            <v>9</v>
          </cell>
          <cell r="U299" t="str">
            <v>Ciudad principal</v>
          </cell>
          <cell r="V299" t="str">
            <v>A4 Mono MFPs</v>
          </cell>
          <cell r="W299" t="str">
            <v>MICHOACAN</v>
          </cell>
          <cell r="X299">
            <v>2019</v>
          </cell>
          <cell r="Y299" t="str">
            <v>Qtr 2</v>
          </cell>
          <cell r="Z299" t="str">
            <v>April</v>
          </cell>
          <cell r="AA299">
            <v>5</v>
          </cell>
          <cell r="AB299">
            <v>0</v>
          </cell>
          <cell r="AC299">
            <v>29</v>
          </cell>
          <cell r="AD299">
            <v>0.8</v>
          </cell>
          <cell r="AE299">
            <v>0.91</v>
          </cell>
          <cell r="AF299">
            <v>1092</v>
          </cell>
        </row>
        <row r="300">
          <cell r="B300" t="str">
            <v>06TB445692</v>
          </cell>
          <cell r="C300">
            <v>2019</v>
          </cell>
          <cell r="D300" t="str">
            <v>Qtr 2</v>
          </cell>
          <cell r="E300" t="str">
            <v>April</v>
          </cell>
          <cell r="F300">
            <v>4</v>
          </cell>
          <cell r="G300" t="str">
            <v>MANTENIMIENTO PREVENTIVO</v>
          </cell>
          <cell r="H300">
            <v>0</v>
          </cell>
          <cell r="I300" t="str">
            <v>A3 Office Color Laser MFPs</v>
          </cell>
          <cell r="J300">
            <v>655</v>
          </cell>
          <cell r="K300">
            <v>1365</v>
          </cell>
          <cell r="L300">
            <v>0</v>
          </cell>
          <cell r="M300">
            <v>0</v>
          </cell>
          <cell r="N300">
            <v>0.6</v>
          </cell>
          <cell r="O300">
            <v>0.8</v>
          </cell>
          <cell r="P300">
            <v>1.05</v>
          </cell>
          <cell r="Q300">
            <v>1.1000000000000001</v>
          </cell>
          <cell r="R300" t="str">
            <v>INTERIOR</v>
          </cell>
          <cell r="S300">
            <v>5</v>
          </cell>
          <cell r="T300">
            <v>9</v>
          </cell>
          <cell r="U300" t="str">
            <v>Ciudad principal</v>
          </cell>
          <cell r="V300" t="str">
            <v>A3 Office Color Laser MFPs</v>
          </cell>
          <cell r="W300" t="str">
            <v>JALISCO</v>
          </cell>
          <cell r="X300">
            <v>2019</v>
          </cell>
          <cell r="Y300" t="str">
            <v>Qtr 2</v>
          </cell>
          <cell r="Z300" t="str">
            <v>April</v>
          </cell>
          <cell r="AA300">
            <v>5</v>
          </cell>
          <cell r="AB300">
            <v>1</v>
          </cell>
          <cell r="AC300">
            <v>28</v>
          </cell>
          <cell r="AD300">
            <v>0</v>
          </cell>
          <cell r="AE300">
            <v>0</v>
          </cell>
          <cell r="AF300">
            <v>0</v>
          </cell>
        </row>
        <row r="301">
          <cell r="B301" t="str">
            <v>09HB331384</v>
          </cell>
          <cell r="C301">
            <v>2019</v>
          </cell>
          <cell r="D301" t="str">
            <v>Qtr 2</v>
          </cell>
          <cell r="E301" t="str">
            <v>April</v>
          </cell>
          <cell r="F301">
            <v>4</v>
          </cell>
          <cell r="G301" t="str">
            <v>MANTENIMIENTO PREVENTIVO</v>
          </cell>
          <cell r="H301">
            <v>0</v>
          </cell>
          <cell r="J301" t="str">
            <v>NA</v>
          </cell>
          <cell r="K301" t="str">
            <v>NA</v>
          </cell>
          <cell r="L301" t="str">
            <v>NA</v>
          </cell>
          <cell r="M301" t="str">
            <v>NA</v>
          </cell>
          <cell r="N301" t="str">
            <v>NA</v>
          </cell>
          <cell r="O301" t="str">
            <v>NA</v>
          </cell>
          <cell r="P301" t="str">
            <v>NA</v>
          </cell>
          <cell r="Q301" t="str">
            <v>NA</v>
          </cell>
          <cell r="S301" t="str">
            <v>NA</v>
          </cell>
          <cell r="T301" t="str">
            <v>NA</v>
          </cell>
          <cell r="V301" t="str">
            <v>A4 Mono MFPs</v>
          </cell>
          <cell r="W301" t="str">
            <v>JALISCO</v>
          </cell>
          <cell r="X301">
            <v>2019</v>
          </cell>
          <cell r="Y301" t="str">
            <v>Qtr 2</v>
          </cell>
          <cell r="Z301" t="str">
            <v>April</v>
          </cell>
          <cell r="AA301">
            <v>5</v>
          </cell>
          <cell r="AB301" t="str">
            <v>NA</v>
          </cell>
          <cell r="AC301">
            <v>65</v>
          </cell>
          <cell r="AD301">
            <v>0</v>
          </cell>
          <cell r="AE301">
            <v>0</v>
          </cell>
          <cell r="AF301">
            <v>0</v>
          </cell>
        </row>
        <row r="302">
          <cell r="B302" t="str">
            <v>0XNE133934</v>
          </cell>
          <cell r="C302">
            <v>2019</v>
          </cell>
          <cell r="D302" t="str">
            <v>Qtr 2</v>
          </cell>
          <cell r="E302" t="str">
            <v>April</v>
          </cell>
          <cell r="F302">
            <v>4</v>
          </cell>
          <cell r="G302" t="str">
            <v>CORRECTIVO</v>
          </cell>
          <cell r="H302">
            <v>1.066667</v>
          </cell>
          <cell r="I302" t="str">
            <v>A3 Color Solid Ink MFPs</v>
          </cell>
          <cell r="J302">
            <v>655</v>
          </cell>
          <cell r="K302">
            <v>1365</v>
          </cell>
          <cell r="L302">
            <v>0</v>
          </cell>
          <cell r="M302">
            <v>0</v>
          </cell>
          <cell r="N302">
            <v>0.6</v>
          </cell>
          <cell r="O302">
            <v>0.8</v>
          </cell>
          <cell r="P302">
            <v>1.05</v>
          </cell>
          <cell r="Q302">
            <v>1.1000000000000001</v>
          </cell>
          <cell r="R302" t="str">
            <v>INTERIOR</v>
          </cell>
          <cell r="S302">
            <v>5</v>
          </cell>
          <cell r="T302">
            <v>9</v>
          </cell>
          <cell r="U302" t="str">
            <v>Ciudad principal</v>
          </cell>
          <cell r="V302" t="str">
            <v>Color Solid Ink Printers</v>
          </cell>
          <cell r="W302" t="str">
            <v>CHIHUAHUA</v>
          </cell>
          <cell r="X302">
            <v>2019</v>
          </cell>
          <cell r="Y302" t="str">
            <v>Qtr 2</v>
          </cell>
          <cell r="Z302" t="str">
            <v>April</v>
          </cell>
          <cell r="AA302">
            <v>4</v>
          </cell>
          <cell r="AB302">
            <v>0</v>
          </cell>
          <cell r="AC302">
            <v>23</v>
          </cell>
          <cell r="AD302">
            <v>0.8</v>
          </cell>
          <cell r="AE302">
            <v>0.21333340000000001</v>
          </cell>
          <cell r="AF302">
            <v>1092</v>
          </cell>
        </row>
        <row r="303">
          <cell r="B303" t="str">
            <v>09HB331554</v>
          </cell>
          <cell r="C303">
            <v>2019</v>
          </cell>
          <cell r="D303" t="str">
            <v>Qtr 2</v>
          </cell>
          <cell r="E303" t="str">
            <v>April</v>
          </cell>
          <cell r="F303">
            <v>4</v>
          </cell>
          <cell r="G303" t="str">
            <v>MANTENIMIENTO PREVENTIVO</v>
          </cell>
          <cell r="H303">
            <v>0</v>
          </cell>
          <cell r="J303" t="str">
            <v>NA</v>
          </cell>
          <cell r="K303" t="str">
            <v>NA</v>
          </cell>
          <cell r="L303" t="str">
            <v>NA</v>
          </cell>
          <cell r="M303" t="str">
            <v>NA</v>
          </cell>
          <cell r="N303" t="str">
            <v>NA</v>
          </cell>
          <cell r="O303" t="str">
            <v>NA</v>
          </cell>
          <cell r="P303" t="str">
            <v>NA</v>
          </cell>
          <cell r="Q303" t="str">
            <v>NA</v>
          </cell>
          <cell r="S303" t="str">
            <v>NA</v>
          </cell>
          <cell r="T303" t="str">
            <v>NA</v>
          </cell>
          <cell r="V303" t="str">
            <v>A4 Mono MFPs</v>
          </cell>
          <cell r="W303" t="str">
            <v>JALISCO</v>
          </cell>
          <cell r="X303">
            <v>2019</v>
          </cell>
          <cell r="Y303" t="str">
            <v>Qtr 2</v>
          </cell>
          <cell r="Z303" t="str">
            <v>April</v>
          </cell>
          <cell r="AA303">
            <v>8</v>
          </cell>
          <cell r="AB303" t="str">
            <v>NA</v>
          </cell>
          <cell r="AC303">
            <v>10</v>
          </cell>
          <cell r="AD303">
            <v>0</v>
          </cell>
          <cell r="AE303">
            <v>0</v>
          </cell>
          <cell r="AF303">
            <v>0</v>
          </cell>
        </row>
        <row r="304">
          <cell r="B304" t="str">
            <v>0Y4X848763</v>
          </cell>
          <cell r="C304">
            <v>2019</v>
          </cell>
          <cell r="D304" t="str">
            <v>Qtr 2</v>
          </cell>
          <cell r="E304" t="str">
            <v>April</v>
          </cell>
          <cell r="F304">
            <v>4</v>
          </cell>
          <cell r="G304" t="str">
            <v>MANTENIMIENTO PREVENTIVO</v>
          </cell>
          <cell r="H304">
            <v>0</v>
          </cell>
          <cell r="I304" t="str">
            <v>Office Digital</v>
          </cell>
          <cell r="J304">
            <v>655</v>
          </cell>
          <cell r="K304">
            <v>1365</v>
          </cell>
          <cell r="L304">
            <v>0</v>
          </cell>
          <cell r="M304">
            <v>0</v>
          </cell>
          <cell r="N304">
            <v>0.6</v>
          </cell>
          <cell r="O304">
            <v>0.8</v>
          </cell>
          <cell r="P304">
            <v>1.05</v>
          </cell>
          <cell r="Q304">
            <v>1.1000000000000001</v>
          </cell>
          <cell r="R304" t="str">
            <v>INTERIOR</v>
          </cell>
          <cell r="S304">
            <v>5</v>
          </cell>
          <cell r="T304">
            <v>9</v>
          </cell>
          <cell r="U304" t="str">
            <v>Ciudad principal</v>
          </cell>
          <cell r="V304" t="str">
            <v>Light Production Digital Business</v>
          </cell>
          <cell r="W304" t="str">
            <v>JALISCO</v>
          </cell>
          <cell r="X304">
            <v>2019</v>
          </cell>
          <cell r="Y304" t="str">
            <v>Qtr 2</v>
          </cell>
          <cell r="Z304" t="str">
            <v>April</v>
          </cell>
          <cell r="AA304">
            <v>8</v>
          </cell>
          <cell r="AB304">
            <v>0</v>
          </cell>
          <cell r="AC304">
            <v>8</v>
          </cell>
          <cell r="AD304">
            <v>0</v>
          </cell>
          <cell r="AE304">
            <v>0</v>
          </cell>
          <cell r="AF304">
            <v>1365</v>
          </cell>
        </row>
        <row r="305">
          <cell r="B305" t="str">
            <v>0C4X008558</v>
          </cell>
          <cell r="C305">
            <v>2019</v>
          </cell>
          <cell r="D305" t="str">
            <v>Qtr 2</v>
          </cell>
          <cell r="E305" t="str">
            <v>April</v>
          </cell>
          <cell r="F305">
            <v>4</v>
          </cell>
          <cell r="G305" t="str">
            <v>CORRECTIVO</v>
          </cell>
          <cell r="H305">
            <v>2.3166669999999998</v>
          </cell>
          <cell r="I305" t="str">
            <v>A4 Mono MFPs</v>
          </cell>
          <cell r="J305">
            <v>468</v>
          </cell>
          <cell r="K305">
            <v>715</v>
          </cell>
          <cell r="L305">
            <v>0</v>
          </cell>
          <cell r="M305">
            <v>0</v>
          </cell>
          <cell r="N305">
            <v>0</v>
          </cell>
          <cell r="O305">
            <v>0.6</v>
          </cell>
          <cell r="P305">
            <v>0.8</v>
          </cell>
          <cell r="Q305">
            <v>1.05</v>
          </cell>
          <cell r="R305" t="str">
            <v>INTERIOR</v>
          </cell>
          <cell r="S305">
            <v>5</v>
          </cell>
          <cell r="T305">
            <v>9</v>
          </cell>
          <cell r="U305" t="str">
            <v>Ciudad principal</v>
          </cell>
          <cell r="V305" t="str">
            <v>A4 Mono MFPs</v>
          </cell>
          <cell r="W305" t="str">
            <v>GUANAJUATO</v>
          </cell>
          <cell r="X305">
            <v>2019</v>
          </cell>
          <cell r="Y305" t="str">
            <v>Qtr 2</v>
          </cell>
          <cell r="Z305" t="str">
            <v>April</v>
          </cell>
          <cell r="AA305">
            <v>9</v>
          </cell>
          <cell r="AB305">
            <v>0</v>
          </cell>
          <cell r="AC305">
            <v>155</v>
          </cell>
          <cell r="AD305">
            <v>1.05</v>
          </cell>
          <cell r="AE305">
            <v>0.46333340000000001</v>
          </cell>
          <cell r="AF305">
            <v>750.75</v>
          </cell>
        </row>
        <row r="306">
          <cell r="B306" t="str">
            <v>09HB331862</v>
          </cell>
          <cell r="C306">
            <v>2019</v>
          </cell>
          <cell r="D306" t="str">
            <v>Qtr 2</v>
          </cell>
          <cell r="E306" t="str">
            <v>April</v>
          </cell>
          <cell r="F306">
            <v>4</v>
          </cell>
          <cell r="G306" t="str">
            <v>MANTENIMIENTO PREVENTIVO</v>
          </cell>
          <cell r="H306">
            <v>0</v>
          </cell>
          <cell r="I306" t="str">
            <v>A4 Mono MFPs</v>
          </cell>
          <cell r="J306">
            <v>468</v>
          </cell>
          <cell r="K306">
            <v>715</v>
          </cell>
          <cell r="L306">
            <v>0</v>
          </cell>
          <cell r="M306">
            <v>0</v>
          </cell>
          <cell r="N306">
            <v>0</v>
          </cell>
          <cell r="O306">
            <v>0.6</v>
          </cell>
          <cell r="P306">
            <v>0.8</v>
          </cell>
          <cell r="Q306">
            <v>1.05</v>
          </cell>
          <cell r="R306" t="str">
            <v>INTERIOR</v>
          </cell>
          <cell r="S306">
            <v>5</v>
          </cell>
          <cell r="T306">
            <v>9</v>
          </cell>
          <cell r="U306" t="str">
            <v>Ciudad principal</v>
          </cell>
          <cell r="V306" t="str">
            <v>A4 Mono MFPs</v>
          </cell>
          <cell r="W306" t="str">
            <v>NUEVO LEON</v>
          </cell>
          <cell r="X306">
            <v>2019</v>
          </cell>
          <cell r="Y306" t="str">
            <v>Qtr 2</v>
          </cell>
          <cell r="Z306" t="str">
            <v>April</v>
          </cell>
          <cell r="AA306">
            <v>15</v>
          </cell>
          <cell r="AB306">
            <v>1</v>
          </cell>
          <cell r="AC306">
            <v>24</v>
          </cell>
          <cell r="AD306">
            <v>0</v>
          </cell>
          <cell r="AE306">
            <v>0</v>
          </cell>
          <cell r="AF306">
            <v>0</v>
          </cell>
        </row>
        <row r="307">
          <cell r="B307" t="str">
            <v>09HB332000</v>
          </cell>
          <cell r="C307">
            <v>2019</v>
          </cell>
          <cell r="D307" t="str">
            <v>Qtr 2</v>
          </cell>
          <cell r="E307" t="str">
            <v>April</v>
          </cell>
          <cell r="F307">
            <v>4</v>
          </cell>
          <cell r="G307" t="str">
            <v>MANTENIMIENTO PREVENTIVO</v>
          </cell>
          <cell r="H307">
            <v>0</v>
          </cell>
          <cell r="I307" t="str">
            <v>A4 Mono MFPs</v>
          </cell>
          <cell r="J307">
            <v>468</v>
          </cell>
          <cell r="K307">
            <v>715</v>
          </cell>
          <cell r="L307">
            <v>0</v>
          </cell>
          <cell r="M307">
            <v>0</v>
          </cell>
          <cell r="N307">
            <v>0</v>
          </cell>
          <cell r="O307">
            <v>0.6</v>
          </cell>
          <cell r="P307">
            <v>0.8</v>
          </cell>
          <cell r="Q307">
            <v>1.05</v>
          </cell>
          <cell r="R307" t="str">
            <v>INTERIOR</v>
          </cell>
          <cell r="S307">
            <v>5</v>
          </cell>
          <cell r="T307">
            <v>9</v>
          </cell>
          <cell r="U307" t="str">
            <v>Ciudad principal</v>
          </cell>
          <cell r="V307" t="str">
            <v>A4 Mono MFPs</v>
          </cell>
          <cell r="W307" t="str">
            <v>SAN LUIS POTOSI</v>
          </cell>
          <cell r="X307">
            <v>2019</v>
          </cell>
          <cell r="Y307" t="str">
            <v>Qtr 2</v>
          </cell>
          <cell r="Z307" t="str">
            <v>April</v>
          </cell>
          <cell r="AA307">
            <v>25</v>
          </cell>
          <cell r="AB307">
            <v>1</v>
          </cell>
          <cell r="AC307">
            <v>73</v>
          </cell>
          <cell r="AD307">
            <v>0</v>
          </cell>
          <cell r="AE307">
            <v>0</v>
          </cell>
          <cell r="AF307">
            <v>0</v>
          </cell>
        </row>
        <row r="308">
          <cell r="B308" t="str">
            <v>09HB331601</v>
          </cell>
          <cell r="C308">
            <v>2019</v>
          </cell>
          <cell r="D308" t="str">
            <v>Qtr 2</v>
          </cell>
          <cell r="E308" t="str">
            <v>April</v>
          </cell>
          <cell r="F308">
            <v>4</v>
          </cell>
          <cell r="G308" t="str">
            <v>MANTENIMIENTO PREVENTIVO</v>
          </cell>
          <cell r="H308">
            <v>0</v>
          </cell>
          <cell r="J308" t="str">
            <v>NA</v>
          </cell>
          <cell r="K308" t="str">
            <v>NA</v>
          </cell>
          <cell r="L308" t="str">
            <v>NA</v>
          </cell>
          <cell r="M308" t="str">
            <v>NA</v>
          </cell>
          <cell r="N308" t="str">
            <v>NA</v>
          </cell>
          <cell r="O308" t="str">
            <v>NA</v>
          </cell>
          <cell r="P308" t="str">
            <v>NA</v>
          </cell>
          <cell r="Q308" t="str">
            <v>NA</v>
          </cell>
          <cell r="S308" t="str">
            <v>NA</v>
          </cell>
          <cell r="T308" t="str">
            <v>NA</v>
          </cell>
          <cell r="V308" t="str">
            <v>A4 Mono MFPs</v>
          </cell>
          <cell r="W308" t="str">
            <v>JALISCO</v>
          </cell>
          <cell r="X308">
            <v>2019</v>
          </cell>
          <cell r="Y308" t="str">
            <v>Qtr 2</v>
          </cell>
          <cell r="Z308" t="str">
            <v>April</v>
          </cell>
          <cell r="AA308">
            <v>30</v>
          </cell>
          <cell r="AB308" t="str">
            <v>NA</v>
          </cell>
          <cell r="AC308">
            <v>160</v>
          </cell>
          <cell r="AD308">
            <v>0</v>
          </cell>
          <cell r="AE308">
            <v>0</v>
          </cell>
          <cell r="AF308">
            <v>0</v>
          </cell>
        </row>
        <row r="309">
          <cell r="B309" t="str">
            <v>09HB331598</v>
          </cell>
          <cell r="C309">
            <v>2019</v>
          </cell>
          <cell r="D309" t="str">
            <v>Qtr 2</v>
          </cell>
          <cell r="E309" t="str">
            <v>April</v>
          </cell>
          <cell r="F309">
            <v>4</v>
          </cell>
          <cell r="G309" t="str">
            <v>MANTENIMIENTO PREVENTIVO</v>
          </cell>
          <cell r="H309">
            <v>0</v>
          </cell>
          <cell r="J309" t="str">
            <v>NA</v>
          </cell>
          <cell r="K309" t="str">
            <v>NA</v>
          </cell>
          <cell r="L309" t="str">
            <v>NA</v>
          </cell>
          <cell r="M309" t="str">
            <v>NA</v>
          </cell>
          <cell r="N309" t="str">
            <v>NA</v>
          </cell>
          <cell r="O309" t="str">
            <v>NA</v>
          </cell>
          <cell r="P309" t="str">
            <v>NA</v>
          </cell>
          <cell r="Q309" t="str">
            <v>NA</v>
          </cell>
          <cell r="S309" t="str">
            <v>NA</v>
          </cell>
          <cell r="T309" t="str">
            <v>NA</v>
          </cell>
          <cell r="V309" t="str">
            <v>A4 Mono MFPs</v>
          </cell>
          <cell r="W309" t="str">
            <v>JALISCO</v>
          </cell>
          <cell r="X309">
            <v>2019</v>
          </cell>
          <cell r="Y309" t="str">
            <v>Qtr 2</v>
          </cell>
          <cell r="Z309" t="str">
            <v>April</v>
          </cell>
          <cell r="AA309">
            <v>5</v>
          </cell>
          <cell r="AB309" t="str">
            <v>NA</v>
          </cell>
          <cell r="AC309">
            <v>91</v>
          </cell>
          <cell r="AD309">
            <v>0</v>
          </cell>
          <cell r="AE309">
            <v>0</v>
          </cell>
          <cell r="AF309">
            <v>0</v>
          </cell>
        </row>
        <row r="310">
          <cell r="B310" t="str">
            <v>09HB331430</v>
          </cell>
          <cell r="C310">
            <v>2019</v>
          </cell>
          <cell r="D310" t="str">
            <v>Qtr 2</v>
          </cell>
          <cell r="E310" t="str">
            <v>April</v>
          </cell>
          <cell r="F310">
            <v>4</v>
          </cell>
          <cell r="G310" t="str">
            <v>MANTENIMIENTO PREVENTIVO</v>
          </cell>
          <cell r="H310">
            <v>0</v>
          </cell>
          <cell r="J310" t="str">
            <v>NA</v>
          </cell>
          <cell r="K310" t="str">
            <v>NA</v>
          </cell>
          <cell r="L310" t="str">
            <v>NA</v>
          </cell>
          <cell r="M310" t="str">
            <v>NA</v>
          </cell>
          <cell r="N310" t="str">
            <v>NA</v>
          </cell>
          <cell r="O310" t="str">
            <v>NA</v>
          </cell>
          <cell r="P310" t="str">
            <v>NA</v>
          </cell>
          <cell r="Q310" t="str">
            <v>NA</v>
          </cell>
          <cell r="S310" t="str">
            <v>NA</v>
          </cell>
          <cell r="T310" t="str">
            <v>NA</v>
          </cell>
          <cell r="V310" t="str">
            <v>A4 Mono MFPs</v>
          </cell>
          <cell r="W310" t="str">
            <v>JALISCO</v>
          </cell>
          <cell r="X310">
            <v>2019</v>
          </cell>
          <cell r="Y310" t="str">
            <v>Qtr 2</v>
          </cell>
          <cell r="Z310" t="str">
            <v>April</v>
          </cell>
          <cell r="AA310">
            <v>5</v>
          </cell>
          <cell r="AB310" t="str">
            <v>NA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</row>
        <row r="311">
          <cell r="B311" t="str">
            <v>09HB331453</v>
          </cell>
          <cell r="C311">
            <v>2019</v>
          </cell>
          <cell r="D311" t="str">
            <v>Qtr 2</v>
          </cell>
          <cell r="E311" t="str">
            <v>April</v>
          </cell>
          <cell r="F311">
            <v>4</v>
          </cell>
          <cell r="G311" t="str">
            <v>MANTENIMIENTO PREVENTIVO</v>
          </cell>
          <cell r="H311">
            <v>0</v>
          </cell>
          <cell r="J311" t="str">
            <v>NA</v>
          </cell>
          <cell r="K311" t="str">
            <v>NA</v>
          </cell>
          <cell r="L311" t="str">
            <v>NA</v>
          </cell>
          <cell r="M311" t="str">
            <v>NA</v>
          </cell>
          <cell r="N311" t="str">
            <v>NA</v>
          </cell>
          <cell r="O311" t="str">
            <v>NA</v>
          </cell>
          <cell r="P311" t="str">
            <v>NA</v>
          </cell>
          <cell r="Q311" t="str">
            <v>NA</v>
          </cell>
          <cell r="S311" t="str">
            <v>NA</v>
          </cell>
          <cell r="T311" t="str">
            <v>NA</v>
          </cell>
          <cell r="V311" t="str">
            <v>A4 Mono MFPs</v>
          </cell>
          <cell r="W311" t="str">
            <v>JALISCO</v>
          </cell>
          <cell r="X311">
            <v>2019</v>
          </cell>
          <cell r="Y311" t="str">
            <v>Qtr 2</v>
          </cell>
          <cell r="Z311" t="str">
            <v>April</v>
          </cell>
          <cell r="AA311">
            <v>5</v>
          </cell>
          <cell r="AB311" t="str">
            <v>NA</v>
          </cell>
          <cell r="AC311">
            <v>29</v>
          </cell>
          <cell r="AD311">
            <v>0</v>
          </cell>
          <cell r="AE311">
            <v>0</v>
          </cell>
          <cell r="AF311">
            <v>0</v>
          </cell>
        </row>
        <row r="312">
          <cell r="B312" t="str">
            <v>09HB332006</v>
          </cell>
          <cell r="C312">
            <v>2019</v>
          </cell>
          <cell r="D312" t="str">
            <v>Qtr 2</v>
          </cell>
          <cell r="E312" t="str">
            <v>April</v>
          </cell>
          <cell r="F312">
            <v>4</v>
          </cell>
          <cell r="G312" t="str">
            <v>MANTENIMIENTO PREVENTIVO</v>
          </cell>
          <cell r="H312">
            <v>0</v>
          </cell>
          <cell r="J312" t="str">
            <v>NA</v>
          </cell>
          <cell r="K312" t="str">
            <v>NA</v>
          </cell>
          <cell r="L312" t="str">
            <v>NA</v>
          </cell>
          <cell r="M312" t="str">
            <v>NA</v>
          </cell>
          <cell r="N312" t="str">
            <v>NA</v>
          </cell>
          <cell r="O312" t="str">
            <v>NA</v>
          </cell>
          <cell r="P312" t="str">
            <v>NA</v>
          </cell>
          <cell r="Q312" t="str">
            <v>NA</v>
          </cell>
          <cell r="S312" t="str">
            <v>NA</v>
          </cell>
          <cell r="T312" t="str">
            <v>NA</v>
          </cell>
          <cell r="V312" t="str">
            <v>A4 Mono MFPs</v>
          </cell>
          <cell r="W312" t="str">
            <v>JALISCO</v>
          </cell>
          <cell r="X312">
            <v>2019</v>
          </cell>
          <cell r="Y312" t="str">
            <v>Qtr 2</v>
          </cell>
          <cell r="Z312" t="str">
            <v>April</v>
          </cell>
          <cell r="AA312">
            <v>8</v>
          </cell>
          <cell r="AB312" t="str">
            <v>NA</v>
          </cell>
          <cell r="AC312">
            <v>13</v>
          </cell>
          <cell r="AD312">
            <v>0</v>
          </cell>
          <cell r="AE312">
            <v>0</v>
          </cell>
          <cell r="AF312">
            <v>0</v>
          </cell>
        </row>
        <row r="313">
          <cell r="B313" t="str">
            <v>09HB331464</v>
          </cell>
          <cell r="C313">
            <v>2019</v>
          </cell>
          <cell r="D313" t="str">
            <v>Qtr 2</v>
          </cell>
          <cell r="E313" t="str">
            <v>April</v>
          </cell>
          <cell r="F313">
            <v>4</v>
          </cell>
          <cell r="G313" t="str">
            <v>MANTENIMIENTO PREVENTIVO</v>
          </cell>
          <cell r="H313">
            <v>0</v>
          </cell>
          <cell r="J313" t="str">
            <v>NA</v>
          </cell>
          <cell r="K313" t="str">
            <v>NA</v>
          </cell>
          <cell r="L313" t="str">
            <v>NA</v>
          </cell>
          <cell r="M313" t="str">
            <v>NA</v>
          </cell>
          <cell r="N313" t="str">
            <v>NA</v>
          </cell>
          <cell r="O313" t="str">
            <v>NA</v>
          </cell>
          <cell r="P313" t="str">
            <v>NA</v>
          </cell>
          <cell r="Q313" t="str">
            <v>NA</v>
          </cell>
          <cell r="S313" t="str">
            <v>NA</v>
          </cell>
          <cell r="T313" t="str">
            <v>NA</v>
          </cell>
          <cell r="V313" t="str">
            <v>A4 Mono MFPs</v>
          </cell>
          <cell r="W313" t="str">
            <v>JALISCO</v>
          </cell>
          <cell r="X313">
            <v>2019</v>
          </cell>
          <cell r="Y313" t="str">
            <v>Qtr 2</v>
          </cell>
          <cell r="Z313" t="str">
            <v>April</v>
          </cell>
          <cell r="AA313">
            <v>4</v>
          </cell>
          <cell r="AB313" t="str">
            <v>NA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</row>
        <row r="314">
          <cell r="B314" t="str">
            <v>09HB331548</v>
          </cell>
          <cell r="C314">
            <v>2019</v>
          </cell>
          <cell r="D314" t="str">
            <v>Qtr 2</v>
          </cell>
          <cell r="E314" t="str">
            <v>April</v>
          </cell>
          <cell r="F314">
            <v>4</v>
          </cell>
          <cell r="G314" t="str">
            <v>MANTENIMIENTO PREVENTIVO</v>
          </cell>
          <cell r="H314">
            <v>0</v>
          </cell>
          <cell r="I314" t="str">
            <v>A4 Mono MFPs</v>
          </cell>
          <cell r="J314">
            <v>468</v>
          </cell>
          <cell r="K314">
            <v>715</v>
          </cell>
          <cell r="L314">
            <v>0</v>
          </cell>
          <cell r="M314">
            <v>0</v>
          </cell>
          <cell r="N314">
            <v>0</v>
          </cell>
          <cell r="O314">
            <v>0.6</v>
          </cell>
          <cell r="P314">
            <v>0.8</v>
          </cell>
          <cell r="Q314">
            <v>1.05</v>
          </cell>
          <cell r="R314" t="str">
            <v>INTERIOR</v>
          </cell>
          <cell r="S314">
            <v>5</v>
          </cell>
          <cell r="T314">
            <v>9</v>
          </cell>
          <cell r="U314" t="str">
            <v>Ciudad principal</v>
          </cell>
          <cell r="V314" t="str">
            <v>A4 Mono MFPs</v>
          </cell>
          <cell r="W314" t="str">
            <v>JALISCO</v>
          </cell>
          <cell r="X314">
            <v>2019</v>
          </cell>
          <cell r="Y314" t="str">
            <v>Qtr 2</v>
          </cell>
          <cell r="Z314" t="str">
            <v>April</v>
          </cell>
          <cell r="AA314">
            <v>4</v>
          </cell>
          <cell r="AB314">
            <v>1</v>
          </cell>
          <cell r="AC314">
            <v>23</v>
          </cell>
          <cell r="AD314">
            <v>0</v>
          </cell>
          <cell r="AE314">
            <v>0</v>
          </cell>
          <cell r="AF314">
            <v>0</v>
          </cell>
        </row>
        <row r="315">
          <cell r="B315" t="str">
            <v>09HB331691</v>
          </cell>
          <cell r="C315">
            <v>2019</v>
          </cell>
          <cell r="D315" t="str">
            <v>Qtr 2</v>
          </cell>
          <cell r="E315" t="str">
            <v>April</v>
          </cell>
          <cell r="F315">
            <v>4</v>
          </cell>
          <cell r="G315" t="str">
            <v>MANTENIMIENTO PREVENTIVO</v>
          </cell>
          <cell r="H315">
            <v>0</v>
          </cell>
          <cell r="J315" t="str">
            <v>NA</v>
          </cell>
          <cell r="K315" t="str">
            <v>NA</v>
          </cell>
          <cell r="L315" t="str">
            <v>NA</v>
          </cell>
          <cell r="M315" t="str">
            <v>NA</v>
          </cell>
          <cell r="N315" t="str">
            <v>NA</v>
          </cell>
          <cell r="O315" t="str">
            <v>NA</v>
          </cell>
          <cell r="P315" t="str">
            <v>NA</v>
          </cell>
          <cell r="Q315" t="str">
            <v>NA</v>
          </cell>
          <cell r="S315" t="str">
            <v>NA</v>
          </cell>
          <cell r="T315" t="str">
            <v>NA</v>
          </cell>
          <cell r="V315" t="str">
            <v>A4 Mono MFPs</v>
          </cell>
          <cell r="W315" t="str">
            <v>CHIHUAHUA</v>
          </cell>
          <cell r="X315">
            <v>2019</v>
          </cell>
          <cell r="Y315" t="str">
            <v>Qtr 2</v>
          </cell>
          <cell r="Z315" t="str">
            <v>April</v>
          </cell>
          <cell r="AA315">
            <v>15</v>
          </cell>
          <cell r="AB315" t="str">
            <v>NA</v>
          </cell>
          <cell r="AC315">
            <v>1</v>
          </cell>
          <cell r="AD315">
            <v>0</v>
          </cell>
          <cell r="AE315">
            <v>0</v>
          </cell>
          <cell r="AF315">
            <v>0</v>
          </cell>
        </row>
        <row r="316">
          <cell r="B316" t="str">
            <v>09HB331992</v>
          </cell>
          <cell r="C316">
            <v>2019</v>
          </cell>
          <cell r="D316" t="str">
            <v>Qtr 2</v>
          </cell>
          <cell r="E316" t="str">
            <v>April</v>
          </cell>
          <cell r="F316">
            <v>4</v>
          </cell>
          <cell r="G316" t="str">
            <v>MANTENIMIENTO PREVENTIVO</v>
          </cell>
          <cell r="H316">
            <v>0</v>
          </cell>
          <cell r="J316" t="str">
            <v>NA</v>
          </cell>
          <cell r="K316" t="str">
            <v>NA</v>
          </cell>
          <cell r="L316" t="str">
            <v>NA</v>
          </cell>
          <cell r="M316" t="str">
            <v>NA</v>
          </cell>
          <cell r="N316" t="str">
            <v>NA</v>
          </cell>
          <cell r="O316" t="str">
            <v>NA</v>
          </cell>
          <cell r="P316" t="str">
            <v>NA</v>
          </cell>
          <cell r="Q316" t="str">
            <v>NA</v>
          </cell>
          <cell r="S316" t="str">
            <v>NA</v>
          </cell>
          <cell r="T316" t="str">
            <v>NA</v>
          </cell>
          <cell r="V316" t="str">
            <v>A4 Mono MFPs</v>
          </cell>
          <cell r="W316" t="str">
            <v>GUANAJUATO</v>
          </cell>
          <cell r="X316">
            <v>2019</v>
          </cell>
          <cell r="Y316" t="str">
            <v>Qtr 2</v>
          </cell>
          <cell r="Z316" t="str">
            <v>April</v>
          </cell>
          <cell r="AA316">
            <v>5</v>
          </cell>
          <cell r="AB316" t="str">
            <v>NA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</row>
        <row r="317">
          <cell r="B317" t="str">
            <v>5AV820023</v>
          </cell>
          <cell r="C317">
            <v>2019</v>
          </cell>
          <cell r="D317" t="str">
            <v>Qtr 2</v>
          </cell>
          <cell r="E317" t="str">
            <v>April</v>
          </cell>
          <cell r="F317">
            <v>4</v>
          </cell>
          <cell r="G317" t="str">
            <v>CORRECTIVO</v>
          </cell>
          <cell r="H317">
            <v>5.016667</v>
          </cell>
          <cell r="I317" t="str">
            <v>A4 Color Laser MFPs</v>
          </cell>
          <cell r="J317">
            <v>468</v>
          </cell>
          <cell r="K317">
            <v>715</v>
          </cell>
          <cell r="L317">
            <v>0</v>
          </cell>
          <cell r="M317">
            <v>0</v>
          </cell>
          <cell r="N317">
            <v>0</v>
          </cell>
          <cell r="O317">
            <v>0.6</v>
          </cell>
          <cell r="P317">
            <v>0.8</v>
          </cell>
          <cell r="Q317">
            <v>1.05</v>
          </cell>
          <cell r="R317" t="str">
            <v>INTERIOR</v>
          </cell>
          <cell r="S317">
            <v>5</v>
          </cell>
          <cell r="T317">
            <v>9</v>
          </cell>
          <cell r="U317" t="str">
            <v>Ciudad principal</v>
          </cell>
          <cell r="V317" t="str">
            <v>A4 Color Laser MFPs</v>
          </cell>
          <cell r="W317" t="str">
            <v>TAMAULIPAS</v>
          </cell>
          <cell r="X317">
            <v>2019</v>
          </cell>
          <cell r="Y317" t="str">
            <v>Qtr 2</v>
          </cell>
          <cell r="Z317" t="str">
            <v>April</v>
          </cell>
          <cell r="AA317">
            <v>5</v>
          </cell>
          <cell r="AB317">
            <v>0</v>
          </cell>
          <cell r="AC317">
            <v>7</v>
          </cell>
          <cell r="AD317">
            <v>0</v>
          </cell>
          <cell r="AE317">
            <v>1.0033334</v>
          </cell>
          <cell r="AF317">
            <v>-0.59584525000000799</v>
          </cell>
        </row>
        <row r="318">
          <cell r="B318" t="str">
            <v>02TX064313</v>
          </cell>
          <cell r="C318">
            <v>2019</v>
          </cell>
          <cell r="D318" t="str">
            <v>Qtr 2</v>
          </cell>
          <cell r="E318" t="str">
            <v>April</v>
          </cell>
          <cell r="F318">
            <v>4</v>
          </cell>
          <cell r="G318" t="str">
            <v>MANTENIMIENTO PREVENTIVO</v>
          </cell>
          <cell r="H318">
            <v>0</v>
          </cell>
          <cell r="J318" t="str">
            <v>NA</v>
          </cell>
          <cell r="K318" t="str">
            <v>NA</v>
          </cell>
          <cell r="L318" t="str">
            <v>NA</v>
          </cell>
          <cell r="M318" t="str">
            <v>NA</v>
          </cell>
          <cell r="N318" t="str">
            <v>NA</v>
          </cell>
          <cell r="O318" t="str">
            <v>NA</v>
          </cell>
          <cell r="P318" t="str">
            <v>NA</v>
          </cell>
          <cell r="Q318" t="str">
            <v>NA</v>
          </cell>
          <cell r="S318" t="str">
            <v>NA</v>
          </cell>
          <cell r="T318" t="str">
            <v>NA</v>
          </cell>
          <cell r="V318" t="str">
            <v>A3 Office Color Laser MFPs</v>
          </cell>
          <cell r="W318" t="str">
            <v>JALISCO</v>
          </cell>
          <cell r="X318">
            <v>2019</v>
          </cell>
          <cell r="Y318" t="str">
            <v>Qtr 2</v>
          </cell>
          <cell r="Z318" t="str">
            <v>April</v>
          </cell>
          <cell r="AA318">
            <v>4</v>
          </cell>
          <cell r="AB318" t="str">
            <v>NA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</row>
        <row r="319">
          <cell r="B319" t="str">
            <v>0XL1421896</v>
          </cell>
          <cell r="C319">
            <v>2019</v>
          </cell>
          <cell r="D319" t="str">
            <v>Qtr 2</v>
          </cell>
          <cell r="E319" t="str">
            <v>April</v>
          </cell>
          <cell r="F319">
            <v>4</v>
          </cell>
          <cell r="G319" t="str">
            <v>CORRECTIVO</v>
          </cell>
          <cell r="H319">
            <v>1.3333330000000001</v>
          </cell>
          <cell r="I319" t="str">
            <v>Entry Mono Printers</v>
          </cell>
          <cell r="J319">
            <v>468</v>
          </cell>
          <cell r="K319">
            <v>715</v>
          </cell>
          <cell r="L319">
            <v>0</v>
          </cell>
          <cell r="M319">
            <v>0</v>
          </cell>
          <cell r="N319">
            <v>0</v>
          </cell>
          <cell r="O319">
            <v>0.6</v>
          </cell>
          <cell r="P319">
            <v>0.8</v>
          </cell>
          <cell r="Q319">
            <v>1.05</v>
          </cell>
          <cell r="R319" t="str">
            <v>INTERIOR</v>
          </cell>
          <cell r="S319">
            <v>5</v>
          </cell>
          <cell r="T319">
            <v>9</v>
          </cell>
          <cell r="U319" t="str">
            <v>Ciudad principal</v>
          </cell>
          <cell r="V319" t="str">
            <v>Entry Mono Printers</v>
          </cell>
          <cell r="W319" t="str">
            <v>CHIHUAHUA</v>
          </cell>
          <cell r="X319">
            <v>2019</v>
          </cell>
          <cell r="Y319" t="str">
            <v>Qtr 2</v>
          </cell>
          <cell r="Z319" t="str">
            <v>April</v>
          </cell>
          <cell r="AA319">
            <v>5</v>
          </cell>
          <cell r="AB319">
            <v>0</v>
          </cell>
          <cell r="AC319">
            <v>316</v>
          </cell>
          <cell r="AD319">
            <v>1.05</v>
          </cell>
          <cell r="AE319">
            <v>0.26666659999999998</v>
          </cell>
          <cell r="AF319">
            <v>750.75</v>
          </cell>
        </row>
        <row r="320">
          <cell r="B320" t="str">
            <v>0EX9662181</v>
          </cell>
          <cell r="C320">
            <v>2019</v>
          </cell>
          <cell r="D320" t="str">
            <v>Qtr 2</v>
          </cell>
          <cell r="E320" t="str">
            <v>April</v>
          </cell>
          <cell r="F320">
            <v>4</v>
          </cell>
          <cell r="G320" t="str">
            <v>CORRECTIVO</v>
          </cell>
          <cell r="H320">
            <v>1.45</v>
          </cell>
          <cell r="I320" t="str">
            <v>Departmental Digital</v>
          </cell>
          <cell r="J320">
            <v>655</v>
          </cell>
          <cell r="K320">
            <v>1365</v>
          </cell>
          <cell r="L320">
            <v>0</v>
          </cell>
          <cell r="M320">
            <v>0</v>
          </cell>
          <cell r="N320">
            <v>0.6</v>
          </cell>
          <cell r="O320">
            <v>0.8</v>
          </cell>
          <cell r="P320">
            <v>1.05</v>
          </cell>
          <cell r="Q320">
            <v>1.1000000000000001</v>
          </cell>
          <cell r="R320" t="str">
            <v>INTERIOR</v>
          </cell>
          <cell r="S320">
            <v>5</v>
          </cell>
          <cell r="T320">
            <v>9</v>
          </cell>
          <cell r="U320" t="str">
            <v>Ciudad principal</v>
          </cell>
          <cell r="V320" t="str">
            <v>Departmental Digital</v>
          </cell>
          <cell r="W320" t="str">
            <v>JALISCO</v>
          </cell>
          <cell r="X320">
            <v>2019</v>
          </cell>
          <cell r="Y320" t="str">
            <v>Qtr 2</v>
          </cell>
          <cell r="Z320" t="str">
            <v>April</v>
          </cell>
          <cell r="AA320">
            <v>4</v>
          </cell>
          <cell r="AB320">
            <v>0</v>
          </cell>
          <cell r="AC320">
            <v>73</v>
          </cell>
          <cell r="AD320">
            <v>1.1000000000000001</v>
          </cell>
          <cell r="AE320">
            <v>0.28999999999999998</v>
          </cell>
          <cell r="AF320">
            <v>1501.5</v>
          </cell>
        </row>
        <row r="321">
          <cell r="B321" t="str">
            <v>0E2B659015</v>
          </cell>
          <cell r="C321">
            <v>2019</v>
          </cell>
          <cell r="D321" t="str">
            <v>Qtr 2</v>
          </cell>
          <cell r="E321" t="str">
            <v>April</v>
          </cell>
          <cell r="F321">
            <v>4</v>
          </cell>
          <cell r="G321" t="str">
            <v>CORRECTIVO</v>
          </cell>
          <cell r="H321">
            <v>2.4</v>
          </cell>
          <cell r="I321" t="str">
            <v>Entry Production Color Low/Mid</v>
          </cell>
          <cell r="J321">
            <v>803</v>
          </cell>
          <cell r="K321">
            <v>1573</v>
          </cell>
          <cell r="L321">
            <v>0.2</v>
          </cell>
          <cell r="M321">
            <v>0.6</v>
          </cell>
          <cell r="N321">
            <v>0.8</v>
          </cell>
          <cell r="O321">
            <v>1.05</v>
          </cell>
          <cell r="P321">
            <v>1.1000000000000001</v>
          </cell>
          <cell r="Q321">
            <v>1.1499999999999999</v>
          </cell>
          <cell r="R321" t="str">
            <v>INTERIOR</v>
          </cell>
          <cell r="S321">
            <v>4</v>
          </cell>
          <cell r="T321">
            <v>6</v>
          </cell>
          <cell r="U321" t="str">
            <v>Ciudad principal</v>
          </cell>
          <cell r="V321" t="str">
            <v>Entry Production Color Low/Mid</v>
          </cell>
          <cell r="W321" t="str">
            <v>JALISCO</v>
          </cell>
          <cell r="X321">
            <v>2019</v>
          </cell>
          <cell r="Y321" t="str">
            <v>Qtr 2</v>
          </cell>
          <cell r="Z321" t="str">
            <v>April</v>
          </cell>
          <cell r="AA321">
            <v>4</v>
          </cell>
          <cell r="AB321">
            <v>0</v>
          </cell>
          <cell r="AC321">
            <v>7</v>
          </cell>
          <cell r="AD321">
            <v>0.8</v>
          </cell>
          <cell r="AE321">
            <v>0.6</v>
          </cell>
          <cell r="AF321">
            <v>1258.4000000000001</v>
          </cell>
        </row>
        <row r="322">
          <cell r="B322" t="str">
            <v>0E2B658529</v>
          </cell>
          <cell r="C322">
            <v>2019</v>
          </cell>
          <cell r="D322" t="str">
            <v>Qtr 2</v>
          </cell>
          <cell r="E322" t="str">
            <v>April</v>
          </cell>
          <cell r="F322">
            <v>4</v>
          </cell>
          <cell r="G322" t="str">
            <v>CORRECTIVO</v>
          </cell>
          <cell r="H322">
            <v>2.516667</v>
          </cell>
          <cell r="I322" t="str">
            <v>Entry Production Color Low/Mid</v>
          </cell>
          <cell r="J322">
            <v>803</v>
          </cell>
          <cell r="K322">
            <v>1573</v>
          </cell>
          <cell r="L322">
            <v>0.2</v>
          </cell>
          <cell r="M322">
            <v>0.6</v>
          </cell>
          <cell r="N322">
            <v>0.8</v>
          </cell>
          <cell r="O322">
            <v>1.05</v>
          </cell>
          <cell r="P322">
            <v>1.1000000000000001</v>
          </cell>
          <cell r="Q322">
            <v>1.1499999999999999</v>
          </cell>
          <cell r="R322" t="str">
            <v>INTERIOR</v>
          </cell>
          <cell r="S322">
            <v>4</v>
          </cell>
          <cell r="T322">
            <v>6</v>
          </cell>
          <cell r="U322" t="str">
            <v>Ciudad principal</v>
          </cell>
          <cell r="V322" t="str">
            <v>Entry Production Color Low/Mid</v>
          </cell>
          <cell r="W322" t="str">
            <v>JALISCO</v>
          </cell>
          <cell r="X322">
            <v>2019</v>
          </cell>
          <cell r="Y322" t="str">
            <v>Qtr 2</v>
          </cell>
          <cell r="Z322" t="str">
            <v>April</v>
          </cell>
          <cell r="AA322">
            <v>4</v>
          </cell>
          <cell r="AB322">
            <v>0</v>
          </cell>
          <cell r="AC322">
            <v>206</v>
          </cell>
          <cell r="AD322">
            <v>1.1499999999999999</v>
          </cell>
          <cell r="AE322">
            <v>0.62916675</v>
          </cell>
          <cell r="AF322">
            <v>1808.95</v>
          </cell>
        </row>
        <row r="323">
          <cell r="B323" t="str">
            <v>0C4X002927</v>
          </cell>
          <cell r="C323">
            <v>2019</v>
          </cell>
          <cell r="D323" t="str">
            <v>Qtr 2</v>
          </cell>
          <cell r="E323" t="str">
            <v>April</v>
          </cell>
          <cell r="F323">
            <v>4</v>
          </cell>
          <cell r="G323" t="str">
            <v>CORRECTIVO</v>
          </cell>
          <cell r="H323">
            <v>0</v>
          </cell>
          <cell r="I323" t="str">
            <v>A4 Mono MFPs</v>
          </cell>
          <cell r="J323">
            <v>468</v>
          </cell>
          <cell r="K323">
            <v>715</v>
          </cell>
          <cell r="L323">
            <v>0</v>
          </cell>
          <cell r="M323">
            <v>0</v>
          </cell>
          <cell r="N323">
            <v>0</v>
          </cell>
          <cell r="O323">
            <v>0.6</v>
          </cell>
          <cell r="P323">
            <v>0.8</v>
          </cell>
          <cell r="Q323">
            <v>1.05</v>
          </cell>
          <cell r="R323" t="str">
            <v>INTERIOR</v>
          </cell>
          <cell r="S323">
            <v>5</v>
          </cell>
          <cell r="T323">
            <v>9</v>
          </cell>
          <cell r="U323" t="str">
            <v>Ciudad principal</v>
          </cell>
          <cell r="V323" t="str">
            <v>A4 Mono MFPs</v>
          </cell>
          <cell r="W323" t="str">
            <v>CHIHUAHUA</v>
          </cell>
          <cell r="X323">
            <v>2019</v>
          </cell>
          <cell r="Y323" t="str">
            <v>Qtr 2</v>
          </cell>
          <cell r="Z323" t="str">
            <v>April</v>
          </cell>
          <cell r="AA323">
            <v>4</v>
          </cell>
          <cell r="AB323">
            <v>0</v>
          </cell>
          <cell r="AC323">
            <v>352</v>
          </cell>
          <cell r="AD323">
            <v>1.05</v>
          </cell>
          <cell r="AE323">
            <v>0</v>
          </cell>
          <cell r="AF323">
            <v>750.75</v>
          </cell>
        </row>
        <row r="324">
          <cell r="B324" t="str">
            <v>0A2T024295</v>
          </cell>
          <cell r="C324">
            <v>2019</v>
          </cell>
          <cell r="D324" t="str">
            <v>Qtr 2</v>
          </cell>
          <cell r="E324" t="str">
            <v>April</v>
          </cell>
          <cell r="F324">
            <v>4</v>
          </cell>
          <cell r="G324" t="str">
            <v>CORRECTIVO</v>
          </cell>
          <cell r="H324">
            <v>1.6666669999999999</v>
          </cell>
          <cell r="J324" t="str">
            <v>NA</v>
          </cell>
          <cell r="K324" t="str">
            <v>NA</v>
          </cell>
          <cell r="L324" t="str">
            <v>NA</v>
          </cell>
          <cell r="M324" t="str">
            <v>NA</v>
          </cell>
          <cell r="N324" t="str">
            <v>NA</v>
          </cell>
          <cell r="O324" t="str">
            <v>NA</v>
          </cell>
          <cell r="P324" t="str">
            <v>NA</v>
          </cell>
          <cell r="Q324" t="str">
            <v>NA</v>
          </cell>
          <cell r="S324" t="str">
            <v>NA</v>
          </cell>
          <cell r="T324" t="str">
            <v>NA</v>
          </cell>
          <cell r="V324" t="str">
            <v>A4 Mono MFPs</v>
          </cell>
          <cell r="W324" t="str">
            <v>QUERETARO</v>
          </cell>
          <cell r="X324">
            <v>2019</v>
          </cell>
          <cell r="Y324" t="str">
            <v>Qtr 2</v>
          </cell>
          <cell r="Z324" t="str">
            <v>April</v>
          </cell>
          <cell r="AA324">
            <v>4</v>
          </cell>
          <cell r="AB324" t="str">
            <v>NA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</row>
        <row r="325">
          <cell r="B325" t="str">
            <v>0XPN550545</v>
          </cell>
          <cell r="C325">
            <v>2019</v>
          </cell>
          <cell r="D325" t="str">
            <v>Qtr 2</v>
          </cell>
          <cell r="E325" t="str">
            <v>April</v>
          </cell>
          <cell r="F325">
            <v>4</v>
          </cell>
          <cell r="G325" t="str">
            <v>CORRECTIVO</v>
          </cell>
          <cell r="H325">
            <v>0.58333330000000005</v>
          </cell>
          <cell r="I325" t="str">
            <v>Entry Production Color Low/Mid</v>
          </cell>
          <cell r="J325">
            <v>803</v>
          </cell>
          <cell r="K325">
            <v>1573</v>
          </cell>
          <cell r="L325">
            <v>0.2</v>
          </cell>
          <cell r="M325">
            <v>0.6</v>
          </cell>
          <cell r="N325">
            <v>0.8</v>
          </cell>
          <cell r="O325">
            <v>1.05</v>
          </cell>
          <cell r="P325">
            <v>1.1000000000000001</v>
          </cell>
          <cell r="Q325">
            <v>1.1499999999999999</v>
          </cell>
          <cell r="R325" t="str">
            <v>INTERIOR</v>
          </cell>
          <cell r="S325">
            <v>4</v>
          </cell>
          <cell r="T325">
            <v>6</v>
          </cell>
          <cell r="U325" t="str">
            <v>Ciudad principal</v>
          </cell>
          <cell r="V325" t="str">
            <v>Entry Production Color Low/Mid</v>
          </cell>
          <cell r="W325" t="str">
            <v>QUERETARO</v>
          </cell>
          <cell r="X325">
            <v>2019</v>
          </cell>
          <cell r="Y325" t="str">
            <v>Qtr 2</v>
          </cell>
          <cell r="Z325" t="str">
            <v>April</v>
          </cell>
          <cell r="AA325">
            <v>5</v>
          </cell>
          <cell r="AB325">
            <v>0</v>
          </cell>
          <cell r="AC325">
            <v>8</v>
          </cell>
          <cell r="AD325">
            <v>0.8</v>
          </cell>
          <cell r="AE325">
            <v>0.14583332500000001</v>
          </cell>
          <cell r="AF325">
            <v>1258.4000000000001</v>
          </cell>
        </row>
        <row r="326">
          <cell r="B326" t="str">
            <v>0BG1000997</v>
          </cell>
          <cell r="C326">
            <v>2019</v>
          </cell>
          <cell r="D326" t="str">
            <v>Qtr 2</v>
          </cell>
          <cell r="E326" t="str">
            <v>April</v>
          </cell>
          <cell r="F326">
            <v>4</v>
          </cell>
          <cell r="G326" t="str">
            <v>CORRECTIVO</v>
          </cell>
          <cell r="H326">
            <v>0.56666669999999997</v>
          </cell>
          <cell r="I326" t="str">
            <v>Light Production Digital Business</v>
          </cell>
          <cell r="J326">
            <v>803</v>
          </cell>
          <cell r="K326">
            <v>1573</v>
          </cell>
          <cell r="L326">
            <v>0.2</v>
          </cell>
          <cell r="M326">
            <v>0.6</v>
          </cell>
          <cell r="N326">
            <v>0.8</v>
          </cell>
          <cell r="O326">
            <v>1.05</v>
          </cell>
          <cell r="P326">
            <v>1.1000000000000001</v>
          </cell>
          <cell r="Q326">
            <v>1.1499999999999999</v>
          </cell>
          <cell r="R326" t="str">
            <v>INTERIOR</v>
          </cell>
          <cell r="S326">
            <v>4</v>
          </cell>
          <cell r="T326">
            <v>6</v>
          </cell>
          <cell r="U326" t="str">
            <v>Ciudad principal</v>
          </cell>
          <cell r="V326" t="str">
            <v>High End Cut Sheet</v>
          </cell>
          <cell r="W326" t="str">
            <v>NUEVO LEON</v>
          </cell>
          <cell r="X326">
            <v>2019</v>
          </cell>
          <cell r="Y326" t="str">
            <v>Qtr 2</v>
          </cell>
          <cell r="Z326" t="str">
            <v>April</v>
          </cell>
          <cell r="AA326">
            <v>5</v>
          </cell>
          <cell r="AB326">
            <v>0</v>
          </cell>
          <cell r="AC326">
            <v>16</v>
          </cell>
          <cell r="AD326">
            <v>1.05</v>
          </cell>
          <cell r="AE326">
            <v>0.14166667499999999</v>
          </cell>
          <cell r="AF326">
            <v>1651.65</v>
          </cell>
        </row>
        <row r="327">
          <cell r="B327" t="str">
            <v>09HB331889</v>
          </cell>
          <cell r="C327">
            <v>2019</v>
          </cell>
          <cell r="D327" t="str">
            <v>Qtr 2</v>
          </cell>
          <cell r="E327" t="str">
            <v>April</v>
          </cell>
          <cell r="F327">
            <v>4</v>
          </cell>
          <cell r="G327" t="str">
            <v>MANTENIMIENTO PREVENTIVO</v>
          </cell>
          <cell r="H327">
            <v>0</v>
          </cell>
          <cell r="I327" t="str">
            <v>A4 Mono MFPs</v>
          </cell>
          <cell r="J327">
            <v>468</v>
          </cell>
          <cell r="K327">
            <v>715</v>
          </cell>
          <cell r="L327">
            <v>0</v>
          </cell>
          <cell r="M327">
            <v>0</v>
          </cell>
          <cell r="N327">
            <v>0</v>
          </cell>
          <cell r="O327">
            <v>0.6</v>
          </cell>
          <cell r="P327">
            <v>0.8</v>
          </cell>
          <cell r="Q327">
            <v>1.05</v>
          </cell>
          <cell r="R327" t="str">
            <v>INTERIOR</v>
          </cell>
          <cell r="S327">
            <v>5</v>
          </cell>
          <cell r="T327">
            <v>9</v>
          </cell>
          <cell r="U327" t="str">
            <v>Ciudad principal</v>
          </cell>
          <cell r="V327" t="str">
            <v>A4 Mono MFPs</v>
          </cell>
          <cell r="W327" t="str">
            <v>JALISCO</v>
          </cell>
          <cell r="X327">
            <v>2019</v>
          </cell>
          <cell r="Y327" t="str">
            <v>Qtr 2</v>
          </cell>
          <cell r="Z327" t="str">
            <v>April</v>
          </cell>
          <cell r="AA327">
            <v>4</v>
          </cell>
          <cell r="AB327">
            <v>1</v>
          </cell>
          <cell r="AC327">
            <v>65</v>
          </cell>
          <cell r="AD327">
            <v>0</v>
          </cell>
          <cell r="AE327">
            <v>0</v>
          </cell>
          <cell r="AF327">
            <v>0</v>
          </cell>
        </row>
        <row r="328">
          <cell r="B328" t="str">
            <v>0A1H022391</v>
          </cell>
          <cell r="C328">
            <v>2019</v>
          </cell>
          <cell r="D328" t="str">
            <v>Qtr 2</v>
          </cell>
          <cell r="E328" t="str">
            <v>April</v>
          </cell>
          <cell r="F328">
            <v>4</v>
          </cell>
          <cell r="G328" t="str">
            <v>CORRECTIVO</v>
          </cell>
          <cell r="H328">
            <v>1.766667</v>
          </cell>
          <cell r="J328" t="str">
            <v>NA</v>
          </cell>
          <cell r="K328" t="str">
            <v>NA</v>
          </cell>
          <cell r="L328" t="str">
            <v>NA</v>
          </cell>
          <cell r="M328" t="str">
            <v>NA</v>
          </cell>
          <cell r="N328" t="str">
            <v>NA</v>
          </cell>
          <cell r="O328" t="str">
            <v>NA</v>
          </cell>
          <cell r="P328" t="str">
            <v>NA</v>
          </cell>
          <cell r="Q328" t="str">
            <v>NA</v>
          </cell>
          <cell r="S328" t="str">
            <v>NA</v>
          </cell>
          <cell r="T328" t="str">
            <v>NA</v>
          </cell>
          <cell r="V328" t="str">
            <v>WF Mono Systems and Legacy Color</v>
          </cell>
          <cell r="W328" t="str">
            <v>SAN LUIS POTOSI</v>
          </cell>
          <cell r="X328">
            <v>2019</v>
          </cell>
          <cell r="Y328" t="str">
            <v>Qtr 2</v>
          </cell>
          <cell r="Z328" t="str">
            <v>April</v>
          </cell>
          <cell r="AA328">
            <v>5</v>
          </cell>
          <cell r="AB328" t="str">
            <v>NA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</row>
        <row r="329">
          <cell r="B329" t="str">
            <v>0EX9293200</v>
          </cell>
          <cell r="C329">
            <v>2019</v>
          </cell>
          <cell r="D329" t="str">
            <v>Qtr 2</v>
          </cell>
          <cell r="E329" t="str">
            <v>April</v>
          </cell>
          <cell r="F329">
            <v>4</v>
          </cell>
          <cell r="G329" t="str">
            <v>CORRECTIVO</v>
          </cell>
          <cell r="H329">
            <v>3.3333340000000003E-2</v>
          </cell>
          <cell r="I329" t="str">
            <v>Departmental Digital</v>
          </cell>
          <cell r="J329">
            <v>655</v>
          </cell>
          <cell r="K329">
            <v>1365</v>
          </cell>
          <cell r="L329">
            <v>0</v>
          </cell>
          <cell r="M329">
            <v>0</v>
          </cell>
          <cell r="N329">
            <v>0.6</v>
          </cell>
          <cell r="O329">
            <v>0.8</v>
          </cell>
          <cell r="P329">
            <v>1.05</v>
          </cell>
          <cell r="Q329">
            <v>1.1000000000000001</v>
          </cell>
          <cell r="R329" t="str">
            <v>INTERIOR</v>
          </cell>
          <cell r="S329">
            <v>5</v>
          </cell>
          <cell r="T329">
            <v>9</v>
          </cell>
          <cell r="U329" t="str">
            <v>Ciudad principal</v>
          </cell>
          <cell r="V329" t="str">
            <v>Departmental Digital</v>
          </cell>
          <cell r="W329" t="str">
            <v>SAN LUIS POTOSI</v>
          </cell>
          <cell r="X329">
            <v>2019</v>
          </cell>
          <cell r="Y329" t="str">
            <v>Qtr 2</v>
          </cell>
          <cell r="Z329" t="str">
            <v>April</v>
          </cell>
          <cell r="AA329">
            <v>11</v>
          </cell>
          <cell r="AB329">
            <v>0</v>
          </cell>
          <cell r="AC329">
            <v>2</v>
          </cell>
          <cell r="AD329">
            <v>0</v>
          </cell>
          <cell r="AE329">
            <v>6.6666679999999997E-3</v>
          </cell>
          <cell r="AF329">
            <v>0</v>
          </cell>
        </row>
        <row r="330">
          <cell r="B330" t="str">
            <v>0BG2947159</v>
          </cell>
          <cell r="C330">
            <v>2019</v>
          </cell>
          <cell r="D330" t="str">
            <v>Qtr 2</v>
          </cell>
          <cell r="E330" t="str">
            <v>April</v>
          </cell>
          <cell r="F330">
            <v>4</v>
          </cell>
          <cell r="G330" t="str">
            <v>MANTENIMIENTO PREVENTIVO</v>
          </cell>
          <cell r="H330">
            <v>0</v>
          </cell>
          <cell r="I330" t="str">
            <v>Light Production Digital Business</v>
          </cell>
          <cell r="J330">
            <v>803</v>
          </cell>
          <cell r="K330">
            <v>1573</v>
          </cell>
          <cell r="L330">
            <v>0.2</v>
          </cell>
          <cell r="M330">
            <v>0.6</v>
          </cell>
          <cell r="N330">
            <v>0.8</v>
          </cell>
          <cell r="O330">
            <v>1.05</v>
          </cell>
          <cell r="P330">
            <v>1.1000000000000001</v>
          </cell>
          <cell r="Q330">
            <v>1.1499999999999999</v>
          </cell>
          <cell r="R330" t="str">
            <v>INTERIOR</v>
          </cell>
          <cell r="S330">
            <v>4</v>
          </cell>
          <cell r="T330">
            <v>6</v>
          </cell>
          <cell r="U330" t="str">
            <v>Ciudad principal</v>
          </cell>
          <cell r="V330" t="str">
            <v>High End Cut Sheet</v>
          </cell>
          <cell r="W330" t="str">
            <v>NUEVO LEON</v>
          </cell>
          <cell r="X330">
            <v>2019</v>
          </cell>
          <cell r="Y330" t="str">
            <v>Qtr 2</v>
          </cell>
          <cell r="Z330" t="str">
            <v>April</v>
          </cell>
          <cell r="AA330">
            <v>4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1573</v>
          </cell>
        </row>
        <row r="331">
          <cell r="B331" t="str">
            <v>03BT802213</v>
          </cell>
          <cell r="C331">
            <v>2019</v>
          </cell>
          <cell r="D331" t="str">
            <v>Qtr 2</v>
          </cell>
          <cell r="E331" t="str">
            <v>April</v>
          </cell>
          <cell r="F331">
            <v>4</v>
          </cell>
          <cell r="G331" t="str">
            <v>CORRECTIVO</v>
          </cell>
          <cell r="H331">
            <v>0.26666669999999998</v>
          </cell>
          <cell r="I331" t="str">
            <v>A4 Mono MFPs</v>
          </cell>
          <cell r="J331">
            <v>468</v>
          </cell>
          <cell r="K331">
            <v>715</v>
          </cell>
          <cell r="L331">
            <v>0</v>
          </cell>
          <cell r="M331">
            <v>0</v>
          </cell>
          <cell r="N331">
            <v>0</v>
          </cell>
          <cell r="O331">
            <v>0.6</v>
          </cell>
          <cell r="P331">
            <v>0.8</v>
          </cell>
          <cell r="Q331">
            <v>1.05</v>
          </cell>
          <cell r="R331" t="str">
            <v>INTERIOR</v>
          </cell>
          <cell r="S331">
            <v>5</v>
          </cell>
          <cell r="T331">
            <v>9</v>
          </cell>
          <cell r="U331" t="str">
            <v>Ciudad principal</v>
          </cell>
          <cell r="V331" t="str">
            <v>A4 Mono MFPs</v>
          </cell>
          <cell r="W331" t="str">
            <v>MICHOACAN</v>
          </cell>
          <cell r="X331">
            <v>2019</v>
          </cell>
          <cell r="Y331" t="str">
            <v>Qtr 2</v>
          </cell>
          <cell r="Z331" t="str">
            <v>April</v>
          </cell>
          <cell r="AA331">
            <v>5</v>
          </cell>
          <cell r="AB331">
            <v>0</v>
          </cell>
          <cell r="AC331">
            <v>150</v>
          </cell>
          <cell r="AD331">
            <v>1.05</v>
          </cell>
          <cell r="AE331">
            <v>5.333334E-2</v>
          </cell>
          <cell r="AF331">
            <v>750.75</v>
          </cell>
        </row>
        <row r="332">
          <cell r="B332" t="str">
            <v>0E2B646633</v>
          </cell>
          <cell r="C332">
            <v>2019</v>
          </cell>
          <cell r="D332" t="str">
            <v>Qtr 2</v>
          </cell>
          <cell r="E332" t="str">
            <v>April</v>
          </cell>
          <cell r="F332">
            <v>4</v>
          </cell>
          <cell r="G332" t="str">
            <v>MANTENIMIENTO PREVENTIVO</v>
          </cell>
          <cell r="H332">
            <v>0</v>
          </cell>
          <cell r="I332" t="str">
            <v>Entry Production Color Low/Mid</v>
          </cell>
          <cell r="J332">
            <v>803</v>
          </cell>
          <cell r="K332">
            <v>1573</v>
          </cell>
          <cell r="L332">
            <v>0.2</v>
          </cell>
          <cell r="M332">
            <v>0.6</v>
          </cell>
          <cell r="N332">
            <v>0.8</v>
          </cell>
          <cell r="O332">
            <v>1.05</v>
          </cell>
          <cell r="P332">
            <v>1.1000000000000001</v>
          </cell>
          <cell r="Q332">
            <v>1.1499999999999999</v>
          </cell>
          <cell r="R332" t="str">
            <v>INTERIOR</v>
          </cell>
          <cell r="S332">
            <v>4</v>
          </cell>
          <cell r="T332">
            <v>6</v>
          </cell>
          <cell r="U332" t="str">
            <v>Ciudad principal</v>
          </cell>
          <cell r="V332" t="str">
            <v>Entry Production Color Low/Mid</v>
          </cell>
          <cell r="W332" t="str">
            <v>TAMAULIPAS</v>
          </cell>
          <cell r="X332">
            <v>2019</v>
          </cell>
          <cell r="Y332" t="str">
            <v>Qtr 2</v>
          </cell>
          <cell r="Z332" t="str">
            <v>April</v>
          </cell>
          <cell r="AA332">
            <v>5</v>
          </cell>
          <cell r="AB332">
            <v>0</v>
          </cell>
          <cell r="AC332">
            <v>2</v>
          </cell>
          <cell r="AD332">
            <v>0</v>
          </cell>
          <cell r="AE332">
            <v>0</v>
          </cell>
          <cell r="AF332">
            <v>1573</v>
          </cell>
        </row>
        <row r="333">
          <cell r="B333" t="str">
            <v>0BG2951623</v>
          </cell>
          <cell r="C333">
            <v>2019</v>
          </cell>
          <cell r="D333" t="str">
            <v>Qtr 2</v>
          </cell>
          <cell r="E333" t="str">
            <v>April</v>
          </cell>
          <cell r="F333">
            <v>5</v>
          </cell>
          <cell r="G333" t="str">
            <v>MANTENIMIENTO PREVENTIVO</v>
          </cell>
          <cell r="H333">
            <v>0</v>
          </cell>
          <cell r="I333" t="str">
            <v>Light Production Digital Business</v>
          </cell>
          <cell r="J333">
            <v>803</v>
          </cell>
          <cell r="K333">
            <v>1573</v>
          </cell>
          <cell r="L333">
            <v>0.2</v>
          </cell>
          <cell r="M333">
            <v>0.6</v>
          </cell>
          <cell r="N333">
            <v>0.8</v>
          </cell>
          <cell r="O333">
            <v>1.05</v>
          </cell>
          <cell r="P333">
            <v>1.1000000000000001</v>
          </cell>
          <cell r="Q333">
            <v>1.1499999999999999</v>
          </cell>
          <cell r="R333" t="str">
            <v>INTERIOR</v>
          </cell>
          <cell r="S333">
            <v>4</v>
          </cell>
          <cell r="T333">
            <v>6</v>
          </cell>
          <cell r="U333" t="str">
            <v>Ciudad principal</v>
          </cell>
          <cell r="V333" t="str">
            <v>High End Cut Sheet</v>
          </cell>
          <cell r="W333" t="str">
            <v>TAMAULIPAS</v>
          </cell>
          <cell r="X333">
            <v>2019</v>
          </cell>
          <cell r="Y333" t="str">
            <v>Qtr 2</v>
          </cell>
          <cell r="Z333" t="str">
            <v>April</v>
          </cell>
          <cell r="AA333">
            <v>5</v>
          </cell>
          <cell r="AB333">
            <v>0</v>
          </cell>
          <cell r="AC333">
            <v>8</v>
          </cell>
          <cell r="AD333">
            <v>0</v>
          </cell>
          <cell r="AE333">
            <v>0</v>
          </cell>
          <cell r="AF333">
            <v>1573</v>
          </cell>
        </row>
        <row r="334">
          <cell r="B334" t="str">
            <v>09HB331865</v>
          </cell>
          <cell r="C334">
            <v>2019</v>
          </cell>
          <cell r="D334" t="str">
            <v>Qtr 2</v>
          </cell>
          <cell r="E334" t="str">
            <v>April</v>
          </cell>
          <cell r="F334">
            <v>5</v>
          </cell>
          <cell r="G334" t="str">
            <v>MANTENIMIENTO PREVENTIVO</v>
          </cell>
          <cell r="H334">
            <v>0</v>
          </cell>
          <cell r="J334" t="str">
            <v>NA</v>
          </cell>
          <cell r="K334" t="str">
            <v>NA</v>
          </cell>
          <cell r="L334" t="str">
            <v>NA</v>
          </cell>
          <cell r="M334" t="str">
            <v>NA</v>
          </cell>
          <cell r="N334" t="str">
            <v>NA</v>
          </cell>
          <cell r="O334" t="str">
            <v>NA</v>
          </cell>
          <cell r="P334" t="str">
            <v>NA</v>
          </cell>
          <cell r="Q334" t="str">
            <v>NA</v>
          </cell>
          <cell r="S334" t="str">
            <v>NA</v>
          </cell>
          <cell r="T334" t="str">
            <v>NA</v>
          </cell>
          <cell r="V334" t="str">
            <v>A4 Mono MFPs</v>
          </cell>
          <cell r="W334" t="str">
            <v>JALISCO</v>
          </cell>
          <cell r="X334">
            <v>2019</v>
          </cell>
          <cell r="Y334" t="str">
            <v>Qtr 2</v>
          </cell>
          <cell r="Z334" t="str">
            <v>April</v>
          </cell>
          <cell r="AA334">
            <v>5</v>
          </cell>
          <cell r="AB334" t="str">
            <v>NA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</row>
        <row r="335">
          <cell r="B335" t="str">
            <v>0XEL557426</v>
          </cell>
          <cell r="C335">
            <v>2019</v>
          </cell>
          <cell r="D335" t="str">
            <v>Qtr 2</v>
          </cell>
          <cell r="E335" t="str">
            <v>April</v>
          </cell>
          <cell r="F335">
            <v>5</v>
          </cell>
          <cell r="G335" t="str">
            <v>MANTENIMIENTO PREVENTIVO</v>
          </cell>
          <cell r="H335">
            <v>0</v>
          </cell>
          <cell r="I335" t="str">
            <v>Departmental Digital</v>
          </cell>
          <cell r="J335">
            <v>655</v>
          </cell>
          <cell r="K335">
            <v>1365</v>
          </cell>
          <cell r="L335">
            <v>0</v>
          </cell>
          <cell r="M335">
            <v>0</v>
          </cell>
          <cell r="N335">
            <v>0.6</v>
          </cell>
          <cell r="O335">
            <v>0.8</v>
          </cell>
          <cell r="P335">
            <v>1.05</v>
          </cell>
          <cell r="Q335">
            <v>1.1000000000000001</v>
          </cell>
          <cell r="R335" t="str">
            <v>INTERIOR</v>
          </cell>
          <cell r="S335">
            <v>5</v>
          </cell>
          <cell r="T335">
            <v>9</v>
          </cell>
          <cell r="U335" t="str">
            <v>Ciudad principal</v>
          </cell>
          <cell r="V335" t="str">
            <v>Departmental Digital</v>
          </cell>
          <cell r="W335" t="str">
            <v>NUEVO LEON</v>
          </cell>
          <cell r="X335">
            <v>2019</v>
          </cell>
          <cell r="Y335" t="str">
            <v>Qtr 2</v>
          </cell>
          <cell r="Z335" t="str">
            <v>April</v>
          </cell>
          <cell r="AA335">
            <v>15</v>
          </cell>
          <cell r="AB335">
            <v>0</v>
          </cell>
          <cell r="AC335">
            <v>115</v>
          </cell>
          <cell r="AD335">
            <v>0</v>
          </cell>
          <cell r="AE335">
            <v>0</v>
          </cell>
          <cell r="AF335">
            <v>1365</v>
          </cell>
        </row>
        <row r="336">
          <cell r="B336" t="str">
            <v>0BG2951597</v>
          </cell>
          <cell r="C336">
            <v>2019</v>
          </cell>
          <cell r="D336" t="str">
            <v>Qtr 2</v>
          </cell>
          <cell r="E336" t="str">
            <v>April</v>
          </cell>
          <cell r="F336">
            <v>5</v>
          </cell>
          <cell r="G336" t="str">
            <v>MANTENIMIENTO PREVENTIVO</v>
          </cell>
          <cell r="H336">
            <v>0</v>
          </cell>
          <cell r="I336" t="str">
            <v>Light Production Digital Business</v>
          </cell>
          <cell r="J336">
            <v>803</v>
          </cell>
          <cell r="K336">
            <v>1573</v>
          </cell>
          <cell r="L336">
            <v>0.2</v>
          </cell>
          <cell r="M336">
            <v>0.6</v>
          </cell>
          <cell r="N336">
            <v>0.8</v>
          </cell>
          <cell r="O336">
            <v>1.05</v>
          </cell>
          <cell r="P336">
            <v>1.1000000000000001</v>
          </cell>
          <cell r="Q336">
            <v>1.1499999999999999</v>
          </cell>
          <cell r="R336" t="str">
            <v>INTERIOR</v>
          </cell>
          <cell r="S336">
            <v>4</v>
          </cell>
          <cell r="T336">
            <v>6</v>
          </cell>
          <cell r="U336" t="str">
            <v>Ciudad principal</v>
          </cell>
          <cell r="V336" t="str">
            <v>High End Cut Sheet</v>
          </cell>
          <cell r="W336" t="str">
            <v>NUEVO LEON</v>
          </cell>
          <cell r="X336">
            <v>2019</v>
          </cell>
          <cell r="Y336" t="str">
            <v>Qtr 2</v>
          </cell>
          <cell r="Z336" t="str">
            <v>April</v>
          </cell>
          <cell r="AA336">
            <v>15</v>
          </cell>
          <cell r="AB336">
            <v>0</v>
          </cell>
          <cell r="AC336">
            <v>10</v>
          </cell>
          <cell r="AD336">
            <v>0</v>
          </cell>
          <cell r="AE336">
            <v>0</v>
          </cell>
          <cell r="AF336">
            <v>1573</v>
          </cell>
        </row>
        <row r="337">
          <cell r="B337" t="str">
            <v>0XPN546686</v>
          </cell>
          <cell r="C337">
            <v>2019</v>
          </cell>
          <cell r="D337" t="str">
            <v>Qtr 2</v>
          </cell>
          <cell r="E337" t="str">
            <v>April</v>
          </cell>
          <cell r="F337">
            <v>5</v>
          </cell>
          <cell r="G337" t="str">
            <v>MANTENIMIENTO PREVENTIVO</v>
          </cell>
          <cell r="H337">
            <v>0</v>
          </cell>
          <cell r="I337" t="str">
            <v>Entry Production Color Low/Mid</v>
          </cell>
          <cell r="J337">
            <v>803</v>
          </cell>
          <cell r="K337">
            <v>1573</v>
          </cell>
          <cell r="L337">
            <v>0.2</v>
          </cell>
          <cell r="M337">
            <v>0.6</v>
          </cell>
          <cell r="N337">
            <v>0.8</v>
          </cell>
          <cell r="O337">
            <v>1.05</v>
          </cell>
          <cell r="P337">
            <v>1.1000000000000001</v>
          </cell>
          <cell r="Q337">
            <v>1.1499999999999999</v>
          </cell>
          <cell r="R337" t="str">
            <v>INTERIOR</v>
          </cell>
          <cell r="S337">
            <v>4</v>
          </cell>
          <cell r="T337">
            <v>6</v>
          </cell>
          <cell r="U337" t="str">
            <v>Ciudad principal</v>
          </cell>
          <cell r="V337" t="str">
            <v>Entry Production Color Low/Mid</v>
          </cell>
          <cell r="W337" t="str">
            <v>NUEVO LEON</v>
          </cell>
          <cell r="X337">
            <v>2019</v>
          </cell>
          <cell r="Y337" t="str">
            <v>Qtr 2</v>
          </cell>
          <cell r="Z337" t="str">
            <v>April</v>
          </cell>
          <cell r="AA337">
            <v>15</v>
          </cell>
          <cell r="AB337">
            <v>0</v>
          </cell>
          <cell r="AC337">
            <v>2</v>
          </cell>
          <cell r="AD337">
            <v>0</v>
          </cell>
          <cell r="AE337">
            <v>0</v>
          </cell>
          <cell r="AF337">
            <v>1573</v>
          </cell>
        </row>
        <row r="338">
          <cell r="B338" t="str">
            <v>0A1H020596</v>
          </cell>
          <cell r="C338">
            <v>2019</v>
          </cell>
          <cell r="D338" t="str">
            <v>Qtr 2</v>
          </cell>
          <cell r="E338" t="str">
            <v>April</v>
          </cell>
          <cell r="F338">
            <v>5</v>
          </cell>
          <cell r="G338" t="str">
            <v>MANTENIMIENTO PREVENTIVO</v>
          </cell>
          <cell r="H338">
            <v>0</v>
          </cell>
          <cell r="I338" t="str">
            <v>WF Mono Systems and Legacy Color</v>
          </cell>
          <cell r="J338">
            <v>803</v>
          </cell>
          <cell r="K338">
            <v>1573</v>
          </cell>
          <cell r="L338">
            <v>0.2</v>
          </cell>
          <cell r="M338">
            <v>0.6</v>
          </cell>
          <cell r="N338">
            <v>0.8</v>
          </cell>
          <cell r="O338">
            <v>1.05</v>
          </cell>
          <cell r="P338">
            <v>1.1000000000000001</v>
          </cell>
          <cell r="Q338">
            <v>1.1499999999999999</v>
          </cell>
          <cell r="R338" t="str">
            <v>INTERIOR</v>
          </cell>
          <cell r="S338">
            <v>4</v>
          </cell>
          <cell r="T338">
            <v>6</v>
          </cell>
          <cell r="U338" t="str">
            <v>Ciudad principal</v>
          </cell>
          <cell r="V338" t="str">
            <v>WF Mono Systems and Legacy Color</v>
          </cell>
          <cell r="W338" t="str">
            <v>NUEVO LEON</v>
          </cell>
          <cell r="X338">
            <v>2019</v>
          </cell>
          <cell r="Y338" t="str">
            <v>Qtr 2</v>
          </cell>
          <cell r="Z338" t="str">
            <v>April</v>
          </cell>
          <cell r="AA338">
            <v>10</v>
          </cell>
          <cell r="AB338">
            <v>0</v>
          </cell>
          <cell r="AC338">
            <v>31</v>
          </cell>
          <cell r="AD338">
            <v>0</v>
          </cell>
          <cell r="AE338">
            <v>0</v>
          </cell>
          <cell r="AF338">
            <v>1573</v>
          </cell>
        </row>
        <row r="339">
          <cell r="B339" t="str">
            <v>0A1H020586</v>
          </cell>
          <cell r="C339">
            <v>2019</v>
          </cell>
          <cell r="D339" t="str">
            <v>Qtr 2</v>
          </cell>
          <cell r="E339" t="str">
            <v>April</v>
          </cell>
          <cell r="F339">
            <v>5</v>
          </cell>
          <cell r="G339" t="str">
            <v>MANTENIMIENTO PREVENTIVO</v>
          </cell>
          <cell r="H339">
            <v>0</v>
          </cell>
          <cell r="I339" t="str">
            <v>WF Mono Systems and Legacy Color</v>
          </cell>
          <cell r="J339">
            <v>803</v>
          </cell>
          <cell r="K339">
            <v>1573</v>
          </cell>
          <cell r="L339">
            <v>0.2</v>
          </cell>
          <cell r="M339">
            <v>0.6</v>
          </cell>
          <cell r="N339">
            <v>0.8</v>
          </cell>
          <cell r="O339">
            <v>1.05</v>
          </cell>
          <cell r="P339">
            <v>1.1000000000000001</v>
          </cell>
          <cell r="Q339">
            <v>1.1499999999999999</v>
          </cell>
          <cell r="R339" t="str">
            <v>INTERIOR</v>
          </cell>
          <cell r="S339">
            <v>4</v>
          </cell>
          <cell r="T339">
            <v>6</v>
          </cell>
          <cell r="U339" t="str">
            <v>Ciudad principal</v>
          </cell>
          <cell r="V339" t="str">
            <v>WF Mono Systems and Legacy Color</v>
          </cell>
          <cell r="W339" t="str">
            <v>NUEVO LEON</v>
          </cell>
          <cell r="X339">
            <v>2019</v>
          </cell>
          <cell r="Y339" t="str">
            <v>Qtr 2</v>
          </cell>
          <cell r="Z339" t="str">
            <v>April</v>
          </cell>
          <cell r="AA339">
            <v>22</v>
          </cell>
          <cell r="AB339">
            <v>0</v>
          </cell>
          <cell r="AC339">
            <v>151</v>
          </cell>
          <cell r="AD339">
            <v>0</v>
          </cell>
          <cell r="AE339">
            <v>0</v>
          </cell>
          <cell r="AF339">
            <v>1573</v>
          </cell>
        </row>
        <row r="340">
          <cell r="B340" t="str">
            <v>0EX9283024</v>
          </cell>
          <cell r="C340">
            <v>2019</v>
          </cell>
          <cell r="D340" t="str">
            <v>Qtr 2</v>
          </cell>
          <cell r="E340" t="str">
            <v>April</v>
          </cell>
          <cell r="F340">
            <v>5</v>
          </cell>
          <cell r="G340" t="str">
            <v>MANTENIMIENTO PREVENTIVO</v>
          </cell>
          <cell r="H340">
            <v>0</v>
          </cell>
          <cell r="I340" t="str">
            <v>Departmental Digital</v>
          </cell>
          <cell r="J340">
            <v>655</v>
          </cell>
          <cell r="K340">
            <v>1365</v>
          </cell>
          <cell r="L340">
            <v>0</v>
          </cell>
          <cell r="M340">
            <v>0</v>
          </cell>
          <cell r="N340">
            <v>0.6</v>
          </cell>
          <cell r="O340">
            <v>0.8</v>
          </cell>
          <cell r="P340">
            <v>1.05</v>
          </cell>
          <cell r="Q340">
            <v>1.1000000000000001</v>
          </cell>
          <cell r="R340" t="str">
            <v>INTERIOR</v>
          </cell>
          <cell r="S340">
            <v>5</v>
          </cell>
          <cell r="T340">
            <v>9</v>
          </cell>
          <cell r="U340" t="str">
            <v>Ciudad principal</v>
          </cell>
          <cell r="V340" t="str">
            <v>Departmental Digital</v>
          </cell>
          <cell r="W340" t="str">
            <v>NUEVO LEON</v>
          </cell>
          <cell r="X340">
            <v>2019</v>
          </cell>
          <cell r="Y340" t="str">
            <v>Qtr 2</v>
          </cell>
          <cell r="Z340" t="str">
            <v>April</v>
          </cell>
          <cell r="AA340">
            <v>11</v>
          </cell>
          <cell r="AB340">
            <v>0</v>
          </cell>
          <cell r="AC340">
            <v>66</v>
          </cell>
          <cell r="AD340">
            <v>0</v>
          </cell>
          <cell r="AE340">
            <v>0</v>
          </cell>
          <cell r="AF340">
            <v>1365</v>
          </cell>
        </row>
        <row r="341">
          <cell r="B341" t="str">
            <v>0XPN547563</v>
          </cell>
          <cell r="C341">
            <v>2019</v>
          </cell>
          <cell r="D341" t="str">
            <v>Qtr 2</v>
          </cell>
          <cell r="E341" t="str">
            <v>April</v>
          </cell>
          <cell r="F341">
            <v>5</v>
          </cell>
          <cell r="G341" t="str">
            <v>MANTENIMIENTO PREVENTIVO</v>
          </cell>
          <cell r="H341">
            <v>0</v>
          </cell>
          <cell r="I341" t="str">
            <v>Entry Production Color Low/Mid</v>
          </cell>
          <cell r="J341">
            <v>803</v>
          </cell>
          <cell r="K341">
            <v>1573</v>
          </cell>
          <cell r="L341">
            <v>0.2</v>
          </cell>
          <cell r="M341">
            <v>0.6</v>
          </cell>
          <cell r="N341">
            <v>0.8</v>
          </cell>
          <cell r="O341">
            <v>1.05</v>
          </cell>
          <cell r="P341">
            <v>1.1000000000000001</v>
          </cell>
          <cell r="Q341">
            <v>1.1499999999999999</v>
          </cell>
          <cell r="R341" t="str">
            <v>INTERIOR</v>
          </cell>
          <cell r="S341">
            <v>4</v>
          </cell>
          <cell r="T341">
            <v>6</v>
          </cell>
          <cell r="U341" t="str">
            <v>Ciudad principal</v>
          </cell>
          <cell r="V341" t="str">
            <v>Entry Production Color Low/Mid</v>
          </cell>
          <cell r="W341" t="str">
            <v>NUEVO LEON</v>
          </cell>
          <cell r="X341">
            <v>2019</v>
          </cell>
          <cell r="Y341" t="str">
            <v>Qtr 2</v>
          </cell>
          <cell r="Z341" t="str">
            <v>April</v>
          </cell>
          <cell r="AA341">
            <v>11</v>
          </cell>
          <cell r="AB341">
            <v>0</v>
          </cell>
          <cell r="AC341">
            <v>77</v>
          </cell>
          <cell r="AD341">
            <v>0</v>
          </cell>
          <cell r="AE341">
            <v>0</v>
          </cell>
          <cell r="AF341">
            <v>1573</v>
          </cell>
        </row>
        <row r="342">
          <cell r="B342" t="str">
            <v>0BG2947161</v>
          </cell>
          <cell r="C342">
            <v>2019</v>
          </cell>
          <cell r="D342" t="str">
            <v>Qtr 2</v>
          </cell>
          <cell r="E342" t="str">
            <v>April</v>
          </cell>
          <cell r="F342">
            <v>5</v>
          </cell>
          <cell r="G342" t="str">
            <v>MANTENIMIENTO PREVENTIVO</v>
          </cell>
          <cell r="H342">
            <v>0</v>
          </cell>
          <cell r="I342" t="str">
            <v>Light Production Digital Business</v>
          </cell>
          <cell r="J342">
            <v>803</v>
          </cell>
          <cell r="K342">
            <v>1573</v>
          </cell>
          <cell r="L342">
            <v>0.2</v>
          </cell>
          <cell r="M342">
            <v>0.6</v>
          </cell>
          <cell r="N342">
            <v>0.8</v>
          </cell>
          <cell r="O342">
            <v>1.05</v>
          </cell>
          <cell r="P342">
            <v>1.1000000000000001</v>
          </cell>
          <cell r="Q342">
            <v>1.1499999999999999</v>
          </cell>
          <cell r="R342" t="str">
            <v>INTERIOR</v>
          </cell>
          <cell r="S342">
            <v>4</v>
          </cell>
          <cell r="T342">
            <v>6</v>
          </cell>
          <cell r="U342" t="str">
            <v>Ciudad principal</v>
          </cell>
          <cell r="V342" t="str">
            <v>High End Cut Sheet</v>
          </cell>
          <cell r="W342" t="str">
            <v>NUEVO LEON</v>
          </cell>
          <cell r="X342">
            <v>2019</v>
          </cell>
          <cell r="Y342" t="str">
            <v>Qtr 2</v>
          </cell>
          <cell r="Z342" t="str">
            <v>April</v>
          </cell>
          <cell r="AA342">
            <v>11</v>
          </cell>
          <cell r="AB342">
            <v>0</v>
          </cell>
          <cell r="AC342">
            <v>39</v>
          </cell>
          <cell r="AD342">
            <v>0</v>
          </cell>
          <cell r="AE342">
            <v>0</v>
          </cell>
          <cell r="AF342">
            <v>1573</v>
          </cell>
        </row>
        <row r="343">
          <cell r="B343" t="str">
            <v>0A1H020723</v>
          </cell>
          <cell r="C343">
            <v>2019</v>
          </cell>
          <cell r="D343" t="str">
            <v>Qtr 2</v>
          </cell>
          <cell r="E343" t="str">
            <v>April</v>
          </cell>
          <cell r="F343">
            <v>5</v>
          </cell>
          <cell r="G343" t="str">
            <v>MANTENIMIENTO PREVENTIVO</v>
          </cell>
          <cell r="H343">
            <v>0</v>
          </cell>
          <cell r="I343" t="str">
            <v>WF Mono Systems and Legacy Color</v>
          </cell>
          <cell r="J343">
            <v>803</v>
          </cell>
          <cell r="K343">
            <v>1573</v>
          </cell>
          <cell r="L343">
            <v>0.2</v>
          </cell>
          <cell r="M343">
            <v>0.6</v>
          </cell>
          <cell r="N343">
            <v>0.8</v>
          </cell>
          <cell r="O343">
            <v>1.05</v>
          </cell>
          <cell r="P343">
            <v>1.1000000000000001</v>
          </cell>
          <cell r="Q343">
            <v>1.1499999999999999</v>
          </cell>
          <cell r="R343" t="str">
            <v>INTERIOR</v>
          </cell>
          <cell r="S343">
            <v>4</v>
          </cell>
          <cell r="T343">
            <v>6</v>
          </cell>
          <cell r="U343" t="str">
            <v>Ciudad principal</v>
          </cell>
          <cell r="V343" t="str">
            <v>WF Mono Systems and Legacy Color</v>
          </cell>
          <cell r="W343" t="str">
            <v>NUEVO LEON</v>
          </cell>
          <cell r="X343">
            <v>2019</v>
          </cell>
          <cell r="Y343" t="str">
            <v>Qtr 2</v>
          </cell>
          <cell r="Z343" t="str">
            <v>April</v>
          </cell>
          <cell r="AA343">
            <v>8</v>
          </cell>
          <cell r="AB343">
            <v>0</v>
          </cell>
          <cell r="AC343">
            <v>30</v>
          </cell>
          <cell r="AD343">
            <v>0</v>
          </cell>
          <cell r="AE343">
            <v>0</v>
          </cell>
          <cell r="AF343">
            <v>1573</v>
          </cell>
        </row>
        <row r="344">
          <cell r="B344" t="str">
            <v>0BG2951552</v>
          </cell>
          <cell r="C344">
            <v>2019</v>
          </cell>
          <cell r="D344" t="str">
            <v>Qtr 2</v>
          </cell>
          <cell r="E344" t="str">
            <v>April</v>
          </cell>
          <cell r="F344">
            <v>5</v>
          </cell>
          <cell r="G344" t="str">
            <v>MANTENIMIENTO PREVENTIVO</v>
          </cell>
          <cell r="H344">
            <v>0</v>
          </cell>
          <cell r="I344" t="str">
            <v>Light Production Digital Business</v>
          </cell>
          <cell r="J344">
            <v>803</v>
          </cell>
          <cell r="K344">
            <v>1573</v>
          </cell>
          <cell r="L344">
            <v>0.2</v>
          </cell>
          <cell r="M344">
            <v>0.6</v>
          </cell>
          <cell r="N344">
            <v>0.8</v>
          </cell>
          <cell r="O344">
            <v>1.05</v>
          </cell>
          <cell r="P344">
            <v>1.1000000000000001</v>
          </cell>
          <cell r="Q344">
            <v>1.1499999999999999</v>
          </cell>
          <cell r="R344" t="str">
            <v>INTERIOR</v>
          </cell>
          <cell r="S344">
            <v>4</v>
          </cell>
          <cell r="T344">
            <v>6</v>
          </cell>
          <cell r="U344" t="str">
            <v>Ciudad principal</v>
          </cell>
          <cell r="V344" t="str">
            <v>High End Cut Sheet</v>
          </cell>
          <cell r="W344" t="str">
            <v>NUEVO LEON</v>
          </cell>
          <cell r="X344">
            <v>2019</v>
          </cell>
          <cell r="Y344" t="str">
            <v>Qtr 2</v>
          </cell>
          <cell r="Z344" t="str">
            <v>April</v>
          </cell>
          <cell r="AA344">
            <v>12</v>
          </cell>
          <cell r="AB344">
            <v>0</v>
          </cell>
          <cell r="AC344">
            <v>56</v>
          </cell>
          <cell r="AD344">
            <v>0</v>
          </cell>
          <cell r="AE344">
            <v>0</v>
          </cell>
          <cell r="AF344">
            <v>1573</v>
          </cell>
        </row>
        <row r="345">
          <cell r="B345" t="str">
            <v>0E2B656739</v>
          </cell>
          <cell r="C345">
            <v>2019</v>
          </cell>
          <cell r="D345" t="str">
            <v>Qtr 2</v>
          </cell>
          <cell r="E345" t="str">
            <v>April</v>
          </cell>
          <cell r="F345">
            <v>5</v>
          </cell>
          <cell r="G345" t="str">
            <v>MANTENIMIENTO PREVENTIVO</v>
          </cell>
          <cell r="H345">
            <v>0</v>
          </cell>
          <cell r="I345" t="str">
            <v>Entry Production Color Low/Mid</v>
          </cell>
          <cell r="J345">
            <v>803</v>
          </cell>
          <cell r="K345">
            <v>1573</v>
          </cell>
          <cell r="L345">
            <v>0.2</v>
          </cell>
          <cell r="M345">
            <v>0.6</v>
          </cell>
          <cell r="N345">
            <v>0.8</v>
          </cell>
          <cell r="O345">
            <v>1.05</v>
          </cell>
          <cell r="P345">
            <v>1.1000000000000001</v>
          </cell>
          <cell r="Q345">
            <v>1.1499999999999999</v>
          </cell>
          <cell r="R345" t="str">
            <v>INTERIOR</v>
          </cell>
          <cell r="S345">
            <v>4</v>
          </cell>
          <cell r="T345">
            <v>6</v>
          </cell>
          <cell r="U345" t="str">
            <v>Ciudad principal</v>
          </cell>
          <cell r="V345" t="str">
            <v>Entry Production Color Low/Mid</v>
          </cell>
          <cell r="W345" t="str">
            <v>NUEVO LEON</v>
          </cell>
          <cell r="X345">
            <v>2019</v>
          </cell>
          <cell r="Y345" t="str">
            <v>Qtr 2</v>
          </cell>
          <cell r="Z345" t="str">
            <v>April</v>
          </cell>
          <cell r="AA345">
            <v>17</v>
          </cell>
          <cell r="AB345">
            <v>0</v>
          </cell>
          <cell r="AC345">
            <v>14</v>
          </cell>
          <cell r="AD345">
            <v>0</v>
          </cell>
          <cell r="AE345">
            <v>0</v>
          </cell>
          <cell r="AF345">
            <v>1573</v>
          </cell>
        </row>
        <row r="346">
          <cell r="B346" t="str">
            <v>0BG2947470</v>
          </cell>
          <cell r="C346">
            <v>2019</v>
          </cell>
          <cell r="D346" t="str">
            <v>Qtr 2</v>
          </cell>
          <cell r="E346" t="str">
            <v>April</v>
          </cell>
          <cell r="F346">
            <v>5</v>
          </cell>
          <cell r="G346" t="str">
            <v>MANTENIMIENTO PREVENTIVO</v>
          </cell>
          <cell r="H346">
            <v>0</v>
          </cell>
          <cell r="I346" t="str">
            <v>Light Production Digital Business</v>
          </cell>
          <cell r="J346">
            <v>803</v>
          </cell>
          <cell r="K346">
            <v>1573</v>
          </cell>
          <cell r="L346">
            <v>0.2</v>
          </cell>
          <cell r="M346">
            <v>0.6</v>
          </cell>
          <cell r="N346">
            <v>0.8</v>
          </cell>
          <cell r="O346">
            <v>1.05</v>
          </cell>
          <cell r="P346">
            <v>1.1000000000000001</v>
          </cell>
          <cell r="Q346">
            <v>1.1499999999999999</v>
          </cell>
          <cell r="R346" t="str">
            <v>INTERIOR</v>
          </cell>
          <cell r="S346">
            <v>4</v>
          </cell>
          <cell r="T346">
            <v>6</v>
          </cell>
          <cell r="U346" t="str">
            <v>Ciudad principal</v>
          </cell>
          <cell r="V346" t="str">
            <v>High End Cut Sheet</v>
          </cell>
          <cell r="W346" t="str">
            <v>NUEVO LEON</v>
          </cell>
          <cell r="X346">
            <v>2019</v>
          </cell>
          <cell r="Y346" t="str">
            <v>Qtr 2</v>
          </cell>
          <cell r="Z346" t="str">
            <v>April</v>
          </cell>
          <cell r="AA346">
            <v>16</v>
          </cell>
          <cell r="AB346">
            <v>0</v>
          </cell>
          <cell r="AC346">
            <v>56</v>
          </cell>
          <cell r="AD346">
            <v>0</v>
          </cell>
          <cell r="AE346">
            <v>0</v>
          </cell>
          <cell r="AF346">
            <v>1573</v>
          </cell>
        </row>
        <row r="347">
          <cell r="B347" t="str">
            <v>0EX9297587</v>
          </cell>
          <cell r="C347">
            <v>2019</v>
          </cell>
          <cell r="D347" t="str">
            <v>Qtr 2</v>
          </cell>
          <cell r="E347" t="str">
            <v>April</v>
          </cell>
          <cell r="F347">
            <v>5</v>
          </cell>
          <cell r="G347" t="str">
            <v>MANTENIMIENTO PREVENTIVO</v>
          </cell>
          <cell r="H347">
            <v>0</v>
          </cell>
          <cell r="I347" t="str">
            <v>Departmental Digital</v>
          </cell>
          <cell r="J347">
            <v>655</v>
          </cell>
          <cell r="K347">
            <v>1365</v>
          </cell>
          <cell r="L347">
            <v>0</v>
          </cell>
          <cell r="M347">
            <v>0</v>
          </cell>
          <cell r="N347">
            <v>0.6</v>
          </cell>
          <cell r="O347">
            <v>0.8</v>
          </cell>
          <cell r="P347">
            <v>1.05</v>
          </cell>
          <cell r="Q347">
            <v>1.1000000000000001</v>
          </cell>
          <cell r="R347" t="str">
            <v>INTERIOR</v>
          </cell>
          <cell r="S347">
            <v>5</v>
          </cell>
          <cell r="T347">
            <v>9</v>
          </cell>
          <cell r="U347" t="str">
            <v>Ciudad principal</v>
          </cell>
          <cell r="V347" t="str">
            <v>Departmental Digital</v>
          </cell>
          <cell r="W347" t="str">
            <v>GENERAL</v>
          </cell>
          <cell r="X347">
            <v>2019</v>
          </cell>
          <cell r="Y347" t="str">
            <v>Qtr 2</v>
          </cell>
          <cell r="Z347" t="str">
            <v>April</v>
          </cell>
          <cell r="AA347">
            <v>22</v>
          </cell>
          <cell r="AB347">
            <v>0</v>
          </cell>
          <cell r="AC347">
            <v>352</v>
          </cell>
          <cell r="AD347">
            <v>0</v>
          </cell>
          <cell r="AE347">
            <v>0</v>
          </cell>
          <cell r="AF347">
            <v>1365</v>
          </cell>
        </row>
        <row r="348">
          <cell r="B348" t="str">
            <v>0E1B980213</v>
          </cell>
          <cell r="C348">
            <v>2019</v>
          </cell>
          <cell r="D348" t="str">
            <v>Qtr 2</v>
          </cell>
          <cell r="E348" t="str">
            <v>April</v>
          </cell>
          <cell r="F348">
            <v>5</v>
          </cell>
          <cell r="G348" t="str">
            <v>CORRECTIVO</v>
          </cell>
          <cell r="H348">
            <v>0.63333329999999999</v>
          </cell>
          <cell r="I348" t="str">
            <v>Color Laser Printers</v>
          </cell>
          <cell r="J348">
            <v>468</v>
          </cell>
          <cell r="K348">
            <v>715</v>
          </cell>
          <cell r="L348">
            <v>0</v>
          </cell>
          <cell r="M348">
            <v>0</v>
          </cell>
          <cell r="N348">
            <v>0</v>
          </cell>
          <cell r="O348">
            <v>0.6</v>
          </cell>
          <cell r="P348">
            <v>0.8</v>
          </cell>
          <cell r="Q348">
            <v>1.05</v>
          </cell>
          <cell r="R348" t="str">
            <v>INTERIOR</v>
          </cell>
          <cell r="S348">
            <v>5</v>
          </cell>
          <cell r="T348">
            <v>9</v>
          </cell>
          <cell r="U348" t="str">
            <v>Ciudad principal</v>
          </cell>
          <cell r="V348" t="str">
            <v>A4 Mono MFPs</v>
          </cell>
          <cell r="W348" t="str">
            <v>GUANAJUATO</v>
          </cell>
          <cell r="X348">
            <v>2019</v>
          </cell>
          <cell r="Y348" t="str">
            <v>Qtr 2</v>
          </cell>
          <cell r="Z348" t="str">
            <v>April</v>
          </cell>
          <cell r="AA348">
            <v>26</v>
          </cell>
          <cell r="AB348">
            <v>0</v>
          </cell>
          <cell r="AC348">
            <v>185</v>
          </cell>
          <cell r="AD348">
            <v>1.05</v>
          </cell>
          <cell r="AE348">
            <v>0.12666665999999999</v>
          </cell>
          <cell r="AF348">
            <v>750.75</v>
          </cell>
        </row>
        <row r="349">
          <cell r="B349" t="str">
            <v>0E2B646602</v>
          </cell>
          <cell r="C349">
            <v>2019</v>
          </cell>
          <cell r="D349" t="str">
            <v>Qtr 2</v>
          </cell>
          <cell r="E349" t="str">
            <v>April</v>
          </cell>
          <cell r="F349">
            <v>5</v>
          </cell>
          <cell r="G349" t="str">
            <v>MANTENIMIENTO PREVENTIVO</v>
          </cell>
          <cell r="H349">
            <v>0</v>
          </cell>
          <cell r="I349" t="str">
            <v>Entry Production Color Low/Mid</v>
          </cell>
          <cell r="J349">
            <v>803</v>
          </cell>
          <cell r="K349">
            <v>1573</v>
          </cell>
          <cell r="L349">
            <v>0.2</v>
          </cell>
          <cell r="M349">
            <v>0.6</v>
          </cell>
          <cell r="N349">
            <v>0.8</v>
          </cell>
          <cell r="O349">
            <v>1.05</v>
          </cell>
          <cell r="P349">
            <v>1.1000000000000001</v>
          </cell>
          <cell r="Q349">
            <v>1.1499999999999999</v>
          </cell>
          <cell r="R349" t="str">
            <v>INTERIOR</v>
          </cell>
          <cell r="S349">
            <v>4</v>
          </cell>
          <cell r="T349">
            <v>6</v>
          </cell>
          <cell r="U349" t="str">
            <v>Ciudad principal</v>
          </cell>
          <cell r="V349" t="str">
            <v>Entry Production Color Low/Mid</v>
          </cell>
          <cell r="W349" t="str">
            <v>NUEVO LEON</v>
          </cell>
          <cell r="X349">
            <v>2019</v>
          </cell>
          <cell r="Y349" t="str">
            <v>Qtr 2</v>
          </cell>
          <cell r="Z349" t="str">
            <v>April</v>
          </cell>
          <cell r="AA349">
            <v>22</v>
          </cell>
          <cell r="AB349">
            <v>0</v>
          </cell>
          <cell r="AC349">
            <v>3</v>
          </cell>
          <cell r="AD349">
            <v>0</v>
          </cell>
          <cell r="AE349">
            <v>0</v>
          </cell>
          <cell r="AF349">
            <v>1573</v>
          </cell>
        </row>
        <row r="350">
          <cell r="B350" t="str">
            <v>0A1H020925</v>
          </cell>
          <cell r="C350">
            <v>2019</v>
          </cell>
          <cell r="D350" t="str">
            <v>Qtr 2</v>
          </cell>
          <cell r="E350" t="str">
            <v>April</v>
          </cell>
          <cell r="F350">
            <v>5</v>
          </cell>
          <cell r="G350" t="str">
            <v>MANTENIMIENTO PREVENTIVO</v>
          </cell>
          <cell r="H350">
            <v>0</v>
          </cell>
          <cell r="I350" t="str">
            <v>WF Mono Systems and Legacy Color</v>
          </cell>
          <cell r="J350">
            <v>803</v>
          </cell>
          <cell r="K350">
            <v>1573</v>
          </cell>
          <cell r="L350">
            <v>0.2</v>
          </cell>
          <cell r="M350">
            <v>0.6</v>
          </cell>
          <cell r="N350">
            <v>0.8</v>
          </cell>
          <cell r="O350">
            <v>1.05</v>
          </cell>
          <cell r="P350">
            <v>1.1000000000000001</v>
          </cell>
          <cell r="Q350">
            <v>1.1499999999999999</v>
          </cell>
          <cell r="R350" t="str">
            <v>INTERIOR</v>
          </cell>
          <cell r="S350">
            <v>4</v>
          </cell>
          <cell r="T350">
            <v>6</v>
          </cell>
          <cell r="U350" t="str">
            <v>Ciudad principal</v>
          </cell>
          <cell r="V350" t="str">
            <v>WF Mono Systems and Legacy Color</v>
          </cell>
          <cell r="W350" t="str">
            <v>NUEVO LEON</v>
          </cell>
          <cell r="X350">
            <v>2019</v>
          </cell>
          <cell r="Y350" t="str">
            <v>Qtr 2</v>
          </cell>
          <cell r="Z350" t="str">
            <v>April</v>
          </cell>
          <cell r="AA350">
            <v>11</v>
          </cell>
          <cell r="AB350">
            <v>0</v>
          </cell>
          <cell r="AC350">
            <v>11</v>
          </cell>
          <cell r="AD350">
            <v>0</v>
          </cell>
          <cell r="AE350">
            <v>0</v>
          </cell>
          <cell r="AF350">
            <v>1573</v>
          </cell>
        </row>
        <row r="351">
          <cell r="B351" t="str">
            <v>0E2B646874</v>
          </cell>
          <cell r="C351">
            <v>2019</v>
          </cell>
          <cell r="D351" t="str">
            <v>Qtr 2</v>
          </cell>
          <cell r="E351" t="str">
            <v>April</v>
          </cell>
          <cell r="F351">
            <v>5</v>
          </cell>
          <cell r="G351" t="str">
            <v>MANTENIMIENTO PREVENTIVO</v>
          </cell>
          <cell r="H351">
            <v>0</v>
          </cell>
          <cell r="I351" t="str">
            <v>Entry Production Color Low/Mid</v>
          </cell>
          <cell r="J351">
            <v>803</v>
          </cell>
          <cell r="K351">
            <v>1573</v>
          </cell>
          <cell r="L351">
            <v>0.2</v>
          </cell>
          <cell r="M351">
            <v>0.6</v>
          </cell>
          <cell r="N351">
            <v>0.8</v>
          </cell>
          <cell r="O351">
            <v>1.05</v>
          </cell>
          <cell r="P351">
            <v>1.1000000000000001</v>
          </cell>
          <cell r="Q351">
            <v>1.1499999999999999</v>
          </cell>
          <cell r="R351" t="str">
            <v>INTERIOR</v>
          </cell>
          <cell r="S351">
            <v>4</v>
          </cell>
          <cell r="T351">
            <v>6</v>
          </cell>
          <cell r="U351" t="str">
            <v>Otras</v>
          </cell>
          <cell r="V351" t="str">
            <v>Entry Production Color Low/Mid</v>
          </cell>
          <cell r="W351" t="str">
            <v>NUEVO LEON</v>
          </cell>
          <cell r="X351">
            <v>2019</v>
          </cell>
          <cell r="Y351" t="str">
            <v>Qtr 2</v>
          </cell>
          <cell r="Z351" t="str">
            <v>April</v>
          </cell>
          <cell r="AA351">
            <v>11</v>
          </cell>
          <cell r="AB351">
            <v>0</v>
          </cell>
          <cell r="AC351">
            <v>50</v>
          </cell>
          <cell r="AD351">
            <v>0</v>
          </cell>
          <cell r="AE351">
            <v>0</v>
          </cell>
          <cell r="AF351">
            <v>1573</v>
          </cell>
        </row>
        <row r="352">
          <cell r="B352" t="str">
            <v>0EX9297705</v>
          </cell>
          <cell r="C352">
            <v>2019</v>
          </cell>
          <cell r="D352" t="str">
            <v>Qtr 2</v>
          </cell>
          <cell r="E352" t="str">
            <v>April</v>
          </cell>
          <cell r="F352">
            <v>5</v>
          </cell>
          <cell r="G352" t="str">
            <v>MANTENIMIENTO PREVENTIVO</v>
          </cell>
          <cell r="H352">
            <v>0</v>
          </cell>
          <cell r="I352" t="str">
            <v>Departmental Digital</v>
          </cell>
          <cell r="J352">
            <v>655</v>
          </cell>
          <cell r="K352">
            <v>1365</v>
          </cell>
          <cell r="L352">
            <v>0</v>
          </cell>
          <cell r="M352">
            <v>0</v>
          </cell>
          <cell r="N352">
            <v>0.6</v>
          </cell>
          <cell r="O352">
            <v>0.8</v>
          </cell>
          <cell r="P352">
            <v>1.05</v>
          </cell>
          <cell r="Q352">
            <v>1.1000000000000001</v>
          </cell>
          <cell r="R352" t="str">
            <v>INTERIOR</v>
          </cell>
          <cell r="S352">
            <v>5</v>
          </cell>
          <cell r="T352">
            <v>9</v>
          </cell>
          <cell r="U352" t="str">
            <v>Ciudad principal</v>
          </cell>
          <cell r="V352" t="str">
            <v>Departmental Digital</v>
          </cell>
          <cell r="W352" t="str">
            <v>NUEVO LEON</v>
          </cell>
          <cell r="X352">
            <v>2019</v>
          </cell>
          <cell r="Y352" t="str">
            <v>Qtr 2</v>
          </cell>
          <cell r="Z352" t="str">
            <v>April</v>
          </cell>
          <cell r="AA352">
            <v>10</v>
          </cell>
          <cell r="AB352">
            <v>0</v>
          </cell>
          <cell r="AC352">
            <v>39</v>
          </cell>
          <cell r="AD352">
            <v>0</v>
          </cell>
          <cell r="AE352">
            <v>0</v>
          </cell>
          <cell r="AF352">
            <v>1365</v>
          </cell>
        </row>
        <row r="353">
          <cell r="B353" t="str">
            <v>0BG2946786</v>
          </cell>
          <cell r="C353">
            <v>2019</v>
          </cell>
          <cell r="D353" t="str">
            <v>Qtr 2</v>
          </cell>
          <cell r="E353" t="str">
            <v>April</v>
          </cell>
          <cell r="F353">
            <v>5</v>
          </cell>
          <cell r="G353" t="str">
            <v>MANTENIMIENTO PREVENTIVO</v>
          </cell>
          <cell r="H353">
            <v>0</v>
          </cell>
          <cell r="I353" t="str">
            <v>Light Production Digital Business</v>
          </cell>
          <cell r="J353">
            <v>803</v>
          </cell>
          <cell r="K353">
            <v>1573</v>
          </cell>
          <cell r="L353">
            <v>0.2</v>
          </cell>
          <cell r="M353">
            <v>0.6</v>
          </cell>
          <cell r="N353">
            <v>0.8</v>
          </cell>
          <cell r="O353">
            <v>1.05</v>
          </cell>
          <cell r="P353">
            <v>1.1000000000000001</v>
          </cell>
          <cell r="Q353">
            <v>1.1499999999999999</v>
          </cell>
          <cell r="R353" t="str">
            <v>INTERIOR</v>
          </cell>
          <cell r="S353">
            <v>4</v>
          </cell>
          <cell r="T353">
            <v>6</v>
          </cell>
          <cell r="U353" t="str">
            <v>Ciudad principal</v>
          </cell>
          <cell r="V353" t="str">
            <v>High End Cut Sheet</v>
          </cell>
          <cell r="W353" t="str">
            <v>NUEVO LEON</v>
          </cell>
          <cell r="X353">
            <v>2019</v>
          </cell>
          <cell r="Y353" t="str">
            <v>Qtr 2</v>
          </cell>
          <cell r="Z353" t="str">
            <v>April</v>
          </cell>
          <cell r="AA353">
            <v>8</v>
          </cell>
          <cell r="AB353">
            <v>0</v>
          </cell>
          <cell r="AC353">
            <v>3</v>
          </cell>
          <cell r="AD353">
            <v>0</v>
          </cell>
          <cell r="AE353">
            <v>0</v>
          </cell>
          <cell r="AF353">
            <v>1573</v>
          </cell>
        </row>
        <row r="354">
          <cell r="B354" t="str">
            <v>0BG2947926</v>
          </cell>
          <cell r="C354">
            <v>2019</v>
          </cell>
          <cell r="D354" t="str">
            <v>Qtr 2</v>
          </cell>
          <cell r="E354" t="str">
            <v>April</v>
          </cell>
          <cell r="F354">
            <v>5</v>
          </cell>
          <cell r="G354" t="str">
            <v>MANTENIMIENTO PREVENTIVO</v>
          </cell>
          <cell r="H354">
            <v>0</v>
          </cell>
          <cell r="I354" t="str">
            <v>Light Production Digital Business</v>
          </cell>
          <cell r="J354">
            <v>803</v>
          </cell>
          <cell r="K354">
            <v>1573</v>
          </cell>
          <cell r="L354">
            <v>0.2</v>
          </cell>
          <cell r="M354">
            <v>0.6</v>
          </cell>
          <cell r="N354">
            <v>0.8</v>
          </cell>
          <cell r="O354">
            <v>1.05</v>
          </cell>
          <cell r="P354">
            <v>1.1000000000000001</v>
          </cell>
          <cell r="Q354">
            <v>1.1499999999999999</v>
          </cell>
          <cell r="R354" t="str">
            <v>INTERIOR</v>
          </cell>
          <cell r="S354">
            <v>4</v>
          </cell>
          <cell r="T354">
            <v>6</v>
          </cell>
          <cell r="U354" t="str">
            <v>Ciudad principal</v>
          </cell>
          <cell r="V354" t="str">
            <v>High End Cut Sheet</v>
          </cell>
          <cell r="W354" t="str">
            <v>NUEVO LEON</v>
          </cell>
          <cell r="X354">
            <v>2019</v>
          </cell>
          <cell r="Y354" t="str">
            <v>Qtr 2</v>
          </cell>
          <cell r="Z354" t="str">
            <v>April</v>
          </cell>
          <cell r="AA354">
            <v>10</v>
          </cell>
          <cell r="AB354">
            <v>0</v>
          </cell>
          <cell r="AC354">
            <v>49</v>
          </cell>
          <cell r="AD354">
            <v>0</v>
          </cell>
          <cell r="AE354">
            <v>0</v>
          </cell>
          <cell r="AF354">
            <v>1573</v>
          </cell>
        </row>
        <row r="355">
          <cell r="B355" t="str">
            <v>0E2B647375</v>
          </cell>
          <cell r="C355">
            <v>2019</v>
          </cell>
          <cell r="D355" t="str">
            <v>Qtr 2</v>
          </cell>
          <cell r="E355" t="str">
            <v>April</v>
          </cell>
          <cell r="F355">
            <v>5</v>
          </cell>
          <cell r="G355" t="str">
            <v>MANTENIMIENTO PREVENTIVO</v>
          </cell>
          <cell r="H355">
            <v>0</v>
          </cell>
          <cell r="I355" t="str">
            <v>Entry Production Color Low/Mid</v>
          </cell>
          <cell r="J355">
            <v>803</v>
          </cell>
          <cell r="K355">
            <v>1573</v>
          </cell>
          <cell r="L355">
            <v>0.2</v>
          </cell>
          <cell r="M355">
            <v>0.6</v>
          </cell>
          <cell r="N355">
            <v>0.8</v>
          </cell>
          <cell r="O355">
            <v>1.05</v>
          </cell>
          <cell r="P355">
            <v>1.1000000000000001</v>
          </cell>
          <cell r="Q355">
            <v>1.1499999999999999</v>
          </cell>
          <cell r="R355" t="str">
            <v>INTERIOR</v>
          </cell>
          <cell r="S355">
            <v>4</v>
          </cell>
          <cell r="T355">
            <v>6</v>
          </cell>
          <cell r="U355" t="str">
            <v>Ciudad principal</v>
          </cell>
          <cell r="V355" t="str">
            <v>Entry Production Color Low/Mid</v>
          </cell>
          <cell r="W355" t="str">
            <v>NUEVO LEON</v>
          </cell>
          <cell r="X355">
            <v>2019</v>
          </cell>
          <cell r="Y355" t="str">
            <v>Qtr 2</v>
          </cell>
          <cell r="Z355" t="str">
            <v>April</v>
          </cell>
          <cell r="AA355">
            <v>5</v>
          </cell>
          <cell r="AB355">
            <v>0</v>
          </cell>
          <cell r="AC355">
            <v>11</v>
          </cell>
          <cell r="AD355">
            <v>0</v>
          </cell>
          <cell r="AE355">
            <v>0</v>
          </cell>
          <cell r="AF355">
            <v>1573</v>
          </cell>
        </row>
        <row r="356">
          <cell r="B356" t="str">
            <v>0EX9292081</v>
          </cell>
          <cell r="C356">
            <v>2019</v>
          </cell>
          <cell r="D356" t="str">
            <v>Qtr 2</v>
          </cell>
          <cell r="E356" t="str">
            <v>April</v>
          </cell>
          <cell r="F356">
            <v>5</v>
          </cell>
          <cell r="G356" t="str">
            <v>MANTENIMIENTO PREVENTIVO</v>
          </cell>
          <cell r="H356">
            <v>0</v>
          </cell>
          <cell r="I356" t="str">
            <v>Departmental Digital</v>
          </cell>
          <cell r="J356">
            <v>655</v>
          </cell>
          <cell r="K356">
            <v>1365</v>
          </cell>
          <cell r="L356">
            <v>0</v>
          </cell>
          <cell r="M356">
            <v>0</v>
          </cell>
          <cell r="N356">
            <v>0.6</v>
          </cell>
          <cell r="O356">
            <v>0.8</v>
          </cell>
          <cell r="P356">
            <v>1.05</v>
          </cell>
          <cell r="Q356">
            <v>1.1000000000000001</v>
          </cell>
          <cell r="R356" t="str">
            <v>INTERIOR</v>
          </cell>
          <cell r="S356">
            <v>5</v>
          </cell>
          <cell r="T356">
            <v>9</v>
          </cell>
          <cell r="U356" t="str">
            <v>Ciudad principal</v>
          </cell>
          <cell r="V356" t="str">
            <v>Departmental Digital</v>
          </cell>
          <cell r="W356" t="str">
            <v>NUEVO LEON</v>
          </cell>
          <cell r="X356">
            <v>2019</v>
          </cell>
          <cell r="Y356" t="str">
            <v>Qtr 2</v>
          </cell>
          <cell r="Z356" t="str">
            <v>April</v>
          </cell>
          <cell r="AA356">
            <v>5</v>
          </cell>
          <cell r="AB356">
            <v>0</v>
          </cell>
          <cell r="AC356">
            <v>53</v>
          </cell>
          <cell r="AD356">
            <v>0</v>
          </cell>
          <cell r="AE356">
            <v>0</v>
          </cell>
          <cell r="AF356">
            <v>1365</v>
          </cell>
        </row>
        <row r="357">
          <cell r="B357" t="str">
            <v>0A1H021572</v>
          </cell>
          <cell r="C357">
            <v>2019</v>
          </cell>
          <cell r="D357" t="str">
            <v>Qtr 2</v>
          </cell>
          <cell r="E357" t="str">
            <v>April</v>
          </cell>
          <cell r="F357">
            <v>5</v>
          </cell>
          <cell r="G357" t="str">
            <v>MANTENIMIENTO PREVENTIVO</v>
          </cell>
          <cell r="H357">
            <v>0</v>
          </cell>
          <cell r="I357" t="str">
            <v>WF Mono Systems and Legacy Color</v>
          </cell>
          <cell r="J357">
            <v>803</v>
          </cell>
          <cell r="K357">
            <v>1573</v>
          </cell>
          <cell r="L357">
            <v>0.2</v>
          </cell>
          <cell r="M357">
            <v>0.6</v>
          </cell>
          <cell r="N357">
            <v>0.8</v>
          </cell>
          <cell r="O357">
            <v>1.05</v>
          </cell>
          <cell r="P357">
            <v>1.1000000000000001</v>
          </cell>
          <cell r="Q357">
            <v>1.1499999999999999</v>
          </cell>
          <cell r="R357" t="str">
            <v>INTERIOR</v>
          </cell>
          <cell r="S357">
            <v>4</v>
          </cell>
          <cell r="T357">
            <v>6</v>
          </cell>
          <cell r="U357" t="str">
            <v>Ciudad principal</v>
          </cell>
          <cell r="V357" t="str">
            <v>WF Mono Systems and Legacy Color</v>
          </cell>
          <cell r="W357" t="str">
            <v>NUEVO LEON</v>
          </cell>
          <cell r="X357">
            <v>2019</v>
          </cell>
          <cell r="Y357" t="str">
            <v>Qtr 2</v>
          </cell>
          <cell r="Z357" t="str">
            <v>April</v>
          </cell>
          <cell r="AA357">
            <v>5</v>
          </cell>
          <cell r="AB357">
            <v>0</v>
          </cell>
          <cell r="AC357">
            <v>65</v>
          </cell>
          <cell r="AD357">
            <v>0</v>
          </cell>
          <cell r="AE357">
            <v>0</v>
          </cell>
          <cell r="AF357">
            <v>1573</v>
          </cell>
        </row>
        <row r="358">
          <cell r="B358" t="str">
            <v>0BG2948914</v>
          </cell>
          <cell r="C358">
            <v>2019</v>
          </cell>
          <cell r="D358" t="str">
            <v>Qtr 2</v>
          </cell>
          <cell r="E358" t="str">
            <v>April</v>
          </cell>
          <cell r="F358">
            <v>5</v>
          </cell>
          <cell r="G358" t="str">
            <v>MANTENIMIENTO PREVENTIVO</v>
          </cell>
          <cell r="H358">
            <v>0</v>
          </cell>
          <cell r="I358" t="str">
            <v>Light Production Digital Business</v>
          </cell>
          <cell r="J358">
            <v>803</v>
          </cell>
          <cell r="K358">
            <v>1573</v>
          </cell>
          <cell r="L358">
            <v>0.2</v>
          </cell>
          <cell r="M358">
            <v>0.6</v>
          </cell>
          <cell r="N358">
            <v>0.8</v>
          </cell>
          <cell r="O358">
            <v>1.05</v>
          </cell>
          <cell r="P358">
            <v>1.1000000000000001</v>
          </cell>
          <cell r="Q358">
            <v>1.1499999999999999</v>
          </cell>
          <cell r="R358" t="str">
            <v>INTERIOR</v>
          </cell>
          <cell r="S358">
            <v>4</v>
          </cell>
          <cell r="T358">
            <v>6</v>
          </cell>
          <cell r="U358" t="str">
            <v>Otras</v>
          </cell>
          <cell r="V358" t="str">
            <v>High End Cut Sheet</v>
          </cell>
          <cell r="W358" t="str">
            <v>NUEVO LEON</v>
          </cell>
          <cell r="X358">
            <v>2019</v>
          </cell>
          <cell r="Y358" t="str">
            <v>Qtr 2</v>
          </cell>
          <cell r="Z358" t="str">
            <v>April</v>
          </cell>
          <cell r="AA358">
            <v>9</v>
          </cell>
          <cell r="AB358">
            <v>0</v>
          </cell>
          <cell r="AC358">
            <v>8</v>
          </cell>
          <cell r="AD358">
            <v>0</v>
          </cell>
          <cell r="AE358">
            <v>0</v>
          </cell>
          <cell r="AF358">
            <v>1573</v>
          </cell>
        </row>
        <row r="359">
          <cell r="B359" t="str">
            <v>0Y4X848740</v>
          </cell>
          <cell r="C359">
            <v>2019</v>
          </cell>
          <cell r="D359" t="str">
            <v>Qtr 2</v>
          </cell>
          <cell r="E359" t="str">
            <v>April</v>
          </cell>
          <cell r="F359">
            <v>5</v>
          </cell>
          <cell r="G359" t="str">
            <v>CORRECTIVO</v>
          </cell>
          <cell r="H359">
            <v>2.25</v>
          </cell>
          <cell r="I359" t="str">
            <v>Office Digital</v>
          </cell>
          <cell r="J359">
            <v>655</v>
          </cell>
          <cell r="K359">
            <v>1365</v>
          </cell>
          <cell r="L359">
            <v>0</v>
          </cell>
          <cell r="M359">
            <v>0</v>
          </cell>
          <cell r="N359">
            <v>0.6</v>
          </cell>
          <cell r="O359">
            <v>0.8</v>
          </cell>
          <cell r="P359">
            <v>1.05</v>
          </cell>
          <cell r="Q359">
            <v>1.1000000000000001</v>
          </cell>
          <cell r="R359" t="str">
            <v>METRO</v>
          </cell>
          <cell r="S359">
            <v>5</v>
          </cell>
          <cell r="T359">
            <v>9</v>
          </cell>
          <cell r="U359" t="str">
            <v>Ciudad principal</v>
          </cell>
          <cell r="V359" t="str">
            <v>Light Production Digital Business</v>
          </cell>
          <cell r="W359" t="str">
            <v>CIUDAD DE MEXICO</v>
          </cell>
          <cell r="X359">
            <v>2019</v>
          </cell>
          <cell r="Y359" t="str">
            <v>Qtr 2</v>
          </cell>
          <cell r="Z359" t="str">
            <v>April</v>
          </cell>
          <cell r="AA359">
            <v>5</v>
          </cell>
          <cell r="AB359">
            <v>1</v>
          </cell>
          <cell r="AC359">
            <v>3</v>
          </cell>
          <cell r="AD359">
            <v>0</v>
          </cell>
          <cell r="AE359">
            <v>0</v>
          </cell>
          <cell r="AF359">
            <v>0</v>
          </cell>
        </row>
        <row r="360">
          <cell r="B360" t="str">
            <v>0FBG479583</v>
          </cell>
          <cell r="C360">
            <v>2019</v>
          </cell>
          <cell r="D360" t="str">
            <v>Qtr 2</v>
          </cell>
          <cell r="E360" t="str">
            <v>April</v>
          </cell>
          <cell r="F360">
            <v>5</v>
          </cell>
          <cell r="G360" t="str">
            <v>MANTENIMIENTO PREVENTIVO</v>
          </cell>
          <cell r="H360">
            <v>0</v>
          </cell>
          <cell r="I360" t="str">
            <v>Light Production Digital Business</v>
          </cell>
          <cell r="J360">
            <v>803</v>
          </cell>
          <cell r="K360">
            <v>1573</v>
          </cell>
          <cell r="L360">
            <v>0.2</v>
          </cell>
          <cell r="M360">
            <v>0.6</v>
          </cell>
          <cell r="N360">
            <v>0.8</v>
          </cell>
          <cell r="O360">
            <v>1.05</v>
          </cell>
          <cell r="P360">
            <v>1.1000000000000001</v>
          </cell>
          <cell r="Q360">
            <v>1.1499999999999999</v>
          </cell>
          <cell r="R360" t="str">
            <v>INTERIOR</v>
          </cell>
          <cell r="S360">
            <v>4</v>
          </cell>
          <cell r="T360">
            <v>6</v>
          </cell>
          <cell r="U360" t="str">
            <v>Otras</v>
          </cell>
          <cell r="V360" t="str">
            <v>High End Cut Sheet</v>
          </cell>
          <cell r="W360" t="str">
            <v>NUEVO LEON</v>
          </cell>
          <cell r="X360">
            <v>2019</v>
          </cell>
          <cell r="Y360" t="str">
            <v>Qtr 2</v>
          </cell>
          <cell r="Z360" t="str">
            <v>April</v>
          </cell>
          <cell r="AA360">
            <v>9</v>
          </cell>
          <cell r="AB360">
            <v>0</v>
          </cell>
          <cell r="AC360">
            <v>1</v>
          </cell>
          <cell r="AD360">
            <v>0</v>
          </cell>
          <cell r="AE360">
            <v>0</v>
          </cell>
          <cell r="AF360">
            <v>1573</v>
          </cell>
        </row>
        <row r="361">
          <cell r="B361" t="str">
            <v>0A1H020667</v>
          </cell>
          <cell r="C361">
            <v>2019</v>
          </cell>
          <cell r="D361" t="str">
            <v>Qtr 2</v>
          </cell>
          <cell r="E361" t="str">
            <v>April</v>
          </cell>
          <cell r="F361">
            <v>5</v>
          </cell>
          <cell r="G361" t="str">
            <v>MANTENIMIENTO PREVENTIVO</v>
          </cell>
          <cell r="H361">
            <v>0</v>
          </cell>
          <cell r="I361" t="str">
            <v>WF Mono Systems and Legacy Color</v>
          </cell>
          <cell r="J361">
            <v>803</v>
          </cell>
          <cell r="K361">
            <v>1573</v>
          </cell>
          <cell r="L361">
            <v>0.2</v>
          </cell>
          <cell r="M361">
            <v>0.6</v>
          </cell>
          <cell r="N361">
            <v>0.8</v>
          </cell>
          <cell r="O361">
            <v>1.05</v>
          </cell>
          <cell r="P361">
            <v>1.1000000000000001</v>
          </cell>
          <cell r="Q361">
            <v>1.1499999999999999</v>
          </cell>
          <cell r="R361" t="str">
            <v>INTERIOR</v>
          </cell>
          <cell r="S361">
            <v>4</v>
          </cell>
          <cell r="T361">
            <v>6</v>
          </cell>
          <cell r="U361" t="str">
            <v>Otras</v>
          </cell>
          <cell r="V361" t="str">
            <v>WF Mono Systems and Legacy Color</v>
          </cell>
          <cell r="W361" t="str">
            <v>NUEVO LEON</v>
          </cell>
          <cell r="X361">
            <v>2019</v>
          </cell>
          <cell r="Y361" t="str">
            <v>Qtr 2</v>
          </cell>
          <cell r="Z361" t="str">
            <v>April</v>
          </cell>
          <cell r="AA361">
            <v>9</v>
          </cell>
          <cell r="AB361">
            <v>0</v>
          </cell>
          <cell r="AC361">
            <v>142</v>
          </cell>
          <cell r="AD361">
            <v>0</v>
          </cell>
          <cell r="AE361">
            <v>0</v>
          </cell>
          <cell r="AF361">
            <v>1573</v>
          </cell>
        </row>
        <row r="362">
          <cell r="B362" t="str">
            <v>0XPN547515</v>
          </cell>
          <cell r="C362">
            <v>2019</v>
          </cell>
          <cell r="D362" t="str">
            <v>Qtr 2</v>
          </cell>
          <cell r="E362" t="str">
            <v>April</v>
          </cell>
          <cell r="F362">
            <v>5</v>
          </cell>
          <cell r="G362" t="str">
            <v>MANTENIMIENTO PREVENTIVO</v>
          </cell>
          <cell r="H362">
            <v>0</v>
          </cell>
          <cell r="I362" t="str">
            <v>Entry Production Color Low/Mid</v>
          </cell>
          <cell r="J362">
            <v>803</v>
          </cell>
          <cell r="K362">
            <v>1573</v>
          </cell>
          <cell r="L362">
            <v>0.2</v>
          </cell>
          <cell r="M362">
            <v>0.6</v>
          </cell>
          <cell r="N362">
            <v>0.8</v>
          </cell>
          <cell r="O362">
            <v>1.05</v>
          </cell>
          <cell r="P362">
            <v>1.1000000000000001</v>
          </cell>
          <cell r="Q362">
            <v>1.1499999999999999</v>
          </cell>
          <cell r="R362" t="str">
            <v>INTERIOR</v>
          </cell>
          <cell r="S362">
            <v>4</v>
          </cell>
          <cell r="T362">
            <v>6</v>
          </cell>
          <cell r="U362" t="str">
            <v>Otras</v>
          </cell>
          <cell r="V362" t="str">
            <v>Entry Production Color Low/Mid</v>
          </cell>
          <cell r="W362" t="str">
            <v>NUEVO LEON</v>
          </cell>
          <cell r="X362">
            <v>2019</v>
          </cell>
          <cell r="Y362" t="str">
            <v>Qtr 2</v>
          </cell>
          <cell r="Z362" t="str">
            <v>April</v>
          </cell>
          <cell r="AA362">
            <v>9</v>
          </cell>
          <cell r="AB362">
            <v>0</v>
          </cell>
          <cell r="AC362">
            <v>217</v>
          </cell>
          <cell r="AD362">
            <v>0</v>
          </cell>
          <cell r="AE362">
            <v>0</v>
          </cell>
          <cell r="AF362">
            <v>1573</v>
          </cell>
        </row>
        <row r="363">
          <cell r="B363" t="str">
            <v>0EX9297573</v>
          </cell>
          <cell r="C363">
            <v>2019</v>
          </cell>
          <cell r="D363" t="str">
            <v>Qtr 2</v>
          </cell>
          <cell r="E363" t="str">
            <v>April</v>
          </cell>
          <cell r="F363">
            <v>5</v>
          </cell>
          <cell r="G363" t="str">
            <v>MANTENIMIENTO PREVENTIVO</v>
          </cell>
          <cell r="H363">
            <v>0</v>
          </cell>
          <cell r="I363" t="str">
            <v>Departmental Digital</v>
          </cell>
          <cell r="J363">
            <v>655</v>
          </cell>
          <cell r="K363">
            <v>1365</v>
          </cell>
          <cell r="L363">
            <v>0</v>
          </cell>
          <cell r="M363">
            <v>0</v>
          </cell>
          <cell r="N363">
            <v>0.6</v>
          </cell>
          <cell r="O363">
            <v>0.8</v>
          </cell>
          <cell r="P363">
            <v>1.05</v>
          </cell>
          <cell r="Q363">
            <v>1.1000000000000001</v>
          </cell>
          <cell r="R363" t="str">
            <v>INTERIOR</v>
          </cell>
          <cell r="S363">
            <v>5</v>
          </cell>
          <cell r="T363">
            <v>9</v>
          </cell>
          <cell r="U363" t="str">
            <v>Otras</v>
          </cell>
          <cell r="V363" t="str">
            <v>Departmental Digital</v>
          </cell>
          <cell r="W363" t="str">
            <v>NUEVO LEON</v>
          </cell>
          <cell r="X363">
            <v>2019</v>
          </cell>
          <cell r="Y363" t="str">
            <v>Qtr 2</v>
          </cell>
          <cell r="Z363" t="str">
            <v>April</v>
          </cell>
          <cell r="AA363">
            <v>9</v>
          </cell>
          <cell r="AB363">
            <v>0</v>
          </cell>
          <cell r="AC363">
            <v>15</v>
          </cell>
          <cell r="AD363">
            <v>0</v>
          </cell>
          <cell r="AE363">
            <v>0</v>
          </cell>
          <cell r="AF363">
            <v>1365</v>
          </cell>
        </row>
        <row r="364">
          <cell r="B364" t="str">
            <v>0EX9293331</v>
          </cell>
          <cell r="C364">
            <v>2019</v>
          </cell>
          <cell r="D364" t="str">
            <v>Qtr 2</v>
          </cell>
          <cell r="E364" t="str">
            <v>April</v>
          </cell>
          <cell r="F364">
            <v>5</v>
          </cell>
          <cell r="G364" t="str">
            <v>MANTENIMIENTO PREVENTIVO</v>
          </cell>
          <cell r="H364">
            <v>0</v>
          </cell>
          <cell r="I364" t="str">
            <v>Departmental Digital</v>
          </cell>
          <cell r="J364">
            <v>655</v>
          </cell>
          <cell r="K364">
            <v>1365</v>
          </cell>
          <cell r="L364">
            <v>0</v>
          </cell>
          <cell r="M364">
            <v>0</v>
          </cell>
          <cell r="N364">
            <v>0.6</v>
          </cell>
          <cell r="O364">
            <v>0.8</v>
          </cell>
          <cell r="P364">
            <v>1.05</v>
          </cell>
          <cell r="Q364">
            <v>1.1000000000000001</v>
          </cell>
          <cell r="R364" t="str">
            <v>INTERIOR</v>
          </cell>
          <cell r="S364">
            <v>5</v>
          </cell>
          <cell r="T364">
            <v>9</v>
          </cell>
          <cell r="U364" t="str">
            <v>Ciudad principal</v>
          </cell>
          <cell r="V364" t="str">
            <v>Departmental Digital</v>
          </cell>
          <cell r="W364" t="str">
            <v>NUEVO LEON</v>
          </cell>
          <cell r="X364">
            <v>2019</v>
          </cell>
          <cell r="Y364" t="str">
            <v>Qtr 2</v>
          </cell>
          <cell r="Z364" t="str">
            <v>April</v>
          </cell>
          <cell r="AA364">
            <v>11</v>
          </cell>
          <cell r="AB364">
            <v>0</v>
          </cell>
          <cell r="AC364">
            <v>161</v>
          </cell>
          <cell r="AD364">
            <v>0</v>
          </cell>
          <cell r="AE364">
            <v>0</v>
          </cell>
          <cell r="AF364">
            <v>1365</v>
          </cell>
        </row>
        <row r="365">
          <cell r="B365" t="str">
            <v>0BG2945208</v>
          </cell>
          <cell r="C365">
            <v>2019</v>
          </cell>
          <cell r="D365" t="str">
            <v>Qtr 2</v>
          </cell>
          <cell r="E365" t="str">
            <v>April</v>
          </cell>
          <cell r="F365">
            <v>5</v>
          </cell>
          <cell r="G365" t="str">
            <v>MANTENIMIENTO PREVENTIVO</v>
          </cell>
          <cell r="H365">
            <v>0</v>
          </cell>
          <cell r="I365" t="str">
            <v>Light Production Digital Business</v>
          </cell>
          <cell r="J365">
            <v>803</v>
          </cell>
          <cell r="K365">
            <v>1573</v>
          </cell>
          <cell r="L365">
            <v>0.2</v>
          </cell>
          <cell r="M365">
            <v>0.6</v>
          </cell>
          <cell r="N365">
            <v>0.8</v>
          </cell>
          <cell r="O365">
            <v>1.05</v>
          </cell>
          <cell r="P365">
            <v>1.1000000000000001</v>
          </cell>
          <cell r="Q365">
            <v>1.1499999999999999</v>
          </cell>
          <cell r="R365" t="str">
            <v>INTERIOR</v>
          </cell>
          <cell r="S365">
            <v>4</v>
          </cell>
          <cell r="T365">
            <v>6</v>
          </cell>
          <cell r="U365" t="str">
            <v>Ciudad principal</v>
          </cell>
          <cell r="V365" t="str">
            <v>High End Cut Sheet</v>
          </cell>
          <cell r="W365" t="str">
            <v>NUEVO LEON</v>
          </cell>
          <cell r="X365">
            <v>2019</v>
          </cell>
          <cell r="Y365" t="str">
            <v>Qtr 2</v>
          </cell>
          <cell r="Z365" t="str">
            <v>April</v>
          </cell>
          <cell r="AA365">
            <v>10</v>
          </cell>
          <cell r="AB365">
            <v>0</v>
          </cell>
          <cell r="AC365">
            <v>1</v>
          </cell>
          <cell r="AD365">
            <v>0</v>
          </cell>
          <cell r="AE365">
            <v>0</v>
          </cell>
          <cell r="AF365">
            <v>1573</v>
          </cell>
        </row>
        <row r="366">
          <cell r="B366" t="str">
            <v>0XPN551901</v>
          </cell>
          <cell r="C366">
            <v>2019</v>
          </cell>
          <cell r="D366" t="str">
            <v>Qtr 2</v>
          </cell>
          <cell r="E366" t="str">
            <v>April</v>
          </cell>
          <cell r="F366">
            <v>5</v>
          </cell>
          <cell r="G366" t="str">
            <v>MANTENIMIENTO PREVENTIVO</v>
          </cell>
          <cell r="H366">
            <v>0</v>
          </cell>
          <cell r="I366" t="str">
            <v>Entry Production Color Low/Mid</v>
          </cell>
          <cell r="J366">
            <v>803</v>
          </cell>
          <cell r="K366">
            <v>1573</v>
          </cell>
          <cell r="L366">
            <v>0.2</v>
          </cell>
          <cell r="M366">
            <v>0.6</v>
          </cell>
          <cell r="N366">
            <v>0.8</v>
          </cell>
          <cell r="O366">
            <v>1.05</v>
          </cell>
          <cell r="P366">
            <v>1.1000000000000001</v>
          </cell>
          <cell r="Q366">
            <v>1.1499999999999999</v>
          </cell>
          <cell r="R366" t="str">
            <v>INTERIOR</v>
          </cell>
          <cell r="S366">
            <v>4</v>
          </cell>
          <cell r="T366">
            <v>6</v>
          </cell>
          <cell r="U366" t="str">
            <v>Ciudad principal</v>
          </cell>
          <cell r="V366" t="str">
            <v>Entry Production Color Low/Mid</v>
          </cell>
          <cell r="W366" t="str">
            <v>NUEVO LEON</v>
          </cell>
          <cell r="X366">
            <v>2019</v>
          </cell>
          <cell r="Y366" t="str">
            <v>Qtr 2</v>
          </cell>
          <cell r="Z366" t="str">
            <v>April</v>
          </cell>
          <cell r="AA366">
            <v>15</v>
          </cell>
          <cell r="AB366">
            <v>0</v>
          </cell>
          <cell r="AC366">
            <v>25</v>
          </cell>
          <cell r="AD366">
            <v>0</v>
          </cell>
          <cell r="AE366">
            <v>0</v>
          </cell>
          <cell r="AF366">
            <v>1573</v>
          </cell>
        </row>
        <row r="367">
          <cell r="B367" t="str">
            <v>0A1H021287</v>
          </cell>
          <cell r="C367">
            <v>2019</v>
          </cell>
          <cell r="D367" t="str">
            <v>Qtr 2</v>
          </cell>
          <cell r="E367" t="str">
            <v>April</v>
          </cell>
          <cell r="F367">
            <v>5</v>
          </cell>
          <cell r="G367" t="str">
            <v>MANTENIMIENTO PREVENTIVO</v>
          </cell>
          <cell r="H367">
            <v>0</v>
          </cell>
          <cell r="I367" t="str">
            <v>WF Mono Systems and Legacy Color</v>
          </cell>
          <cell r="J367">
            <v>803</v>
          </cell>
          <cell r="K367">
            <v>1573</v>
          </cell>
          <cell r="L367">
            <v>0.2</v>
          </cell>
          <cell r="M367">
            <v>0.6</v>
          </cell>
          <cell r="N367">
            <v>0.8</v>
          </cell>
          <cell r="O367">
            <v>1.05</v>
          </cell>
          <cell r="P367">
            <v>1.1000000000000001</v>
          </cell>
          <cell r="Q367">
            <v>1.1499999999999999</v>
          </cell>
          <cell r="R367" t="str">
            <v>INTERIOR</v>
          </cell>
          <cell r="S367">
            <v>4</v>
          </cell>
          <cell r="T367">
            <v>6</v>
          </cell>
          <cell r="U367" t="str">
            <v>Ciudad principal</v>
          </cell>
          <cell r="V367" t="str">
            <v>WF Mono Systems and Legacy Color</v>
          </cell>
          <cell r="W367" t="str">
            <v>NUEVO LEON</v>
          </cell>
          <cell r="X367">
            <v>2019</v>
          </cell>
          <cell r="Y367" t="str">
            <v>Qtr 2</v>
          </cell>
          <cell r="Z367" t="str">
            <v>April</v>
          </cell>
          <cell r="AA367">
            <v>9</v>
          </cell>
          <cell r="AB367">
            <v>0</v>
          </cell>
          <cell r="AC367">
            <v>126</v>
          </cell>
          <cell r="AD367">
            <v>0</v>
          </cell>
          <cell r="AE367">
            <v>0</v>
          </cell>
          <cell r="AF367">
            <v>1573</v>
          </cell>
        </row>
        <row r="368">
          <cell r="B368" t="str">
            <v>0EX9306196</v>
          </cell>
          <cell r="C368">
            <v>2019</v>
          </cell>
          <cell r="D368" t="str">
            <v>Qtr 2</v>
          </cell>
          <cell r="E368" t="str">
            <v>April</v>
          </cell>
          <cell r="F368">
            <v>5</v>
          </cell>
          <cell r="G368" t="str">
            <v>MANTENIMIENTO PREVENTIVO</v>
          </cell>
          <cell r="H368">
            <v>0</v>
          </cell>
          <cell r="I368" t="str">
            <v>Departmental Digital</v>
          </cell>
          <cell r="J368">
            <v>655</v>
          </cell>
          <cell r="K368">
            <v>1365</v>
          </cell>
          <cell r="L368">
            <v>0</v>
          </cell>
          <cell r="M368">
            <v>0</v>
          </cell>
          <cell r="N368">
            <v>0.6</v>
          </cell>
          <cell r="O368">
            <v>0.8</v>
          </cell>
          <cell r="P368">
            <v>1.05</v>
          </cell>
          <cell r="Q368">
            <v>1.1000000000000001</v>
          </cell>
          <cell r="R368" t="str">
            <v>INTERIOR</v>
          </cell>
          <cell r="S368">
            <v>5</v>
          </cell>
          <cell r="T368">
            <v>9</v>
          </cell>
          <cell r="U368" t="str">
            <v>Ciudad principal</v>
          </cell>
          <cell r="V368" t="str">
            <v>Departmental Digital</v>
          </cell>
          <cell r="W368" t="str">
            <v>NUEVO LEON</v>
          </cell>
          <cell r="X368">
            <v>2019</v>
          </cell>
          <cell r="Y368" t="str">
            <v>Qtr 2</v>
          </cell>
          <cell r="Z368" t="str">
            <v>April</v>
          </cell>
          <cell r="AA368">
            <v>24</v>
          </cell>
          <cell r="AB368">
            <v>0</v>
          </cell>
          <cell r="AC368">
            <v>74</v>
          </cell>
          <cell r="AD368">
            <v>0</v>
          </cell>
          <cell r="AE368">
            <v>0</v>
          </cell>
          <cell r="AF368">
            <v>1365</v>
          </cell>
        </row>
        <row r="369">
          <cell r="B369" t="str">
            <v>0LX7660915</v>
          </cell>
          <cell r="C369">
            <v>2019</v>
          </cell>
          <cell r="D369" t="str">
            <v>Qtr 2</v>
          </cell>
          <cell r="E369" t="str">
            <v>April</v>
          </cell>
          <cell r="F369">
            <v>5</v>
          </cell>
          <cell r="G369" t="str">
            <v>CORRECTIVO</v>
          </cell>
          <cell r="H369">
            <v>1.7833330000000001</v>
          </cell>
          <cell r="I369" t="str">
            <v>A3 Office Color Laser MFPs</v>
          </cell>
          <cell r="J369">
            <v>655</v>
          </cell>
          <cell r="K369">
            <v>1365</v>
          </cell>
          <cell r="L369">
            <v>0</v>
          </cell>
          <cell r="M369">
            <v>0</v>
          </cell>
          <cell r="N369">
            <v>0.6</v>
          </cell>
          <cell r="O369">
            <v>0.8</v>
          </cell>
          <cell r="P369">
            <v>1.05</v>
          </cell>
          <cell r="Q369">
            <v>1.1000000000000001</v>
          </cell>
          <cell r="R369" t="str">
            <v>INTERIOR</v>
          </cell>
          <cell r="S369">
            <v>5</v>
          </cell>
          <cell r="T369">
            <v>9</v>
          </cell>
          <cell r="U369" t="str">
            <v>Otras</v>
          </cell>
          <cell r="V369" t="str">
            <v>A3 Office Color Laser MFPs</v>
          </cell>
          <cell r="W369" t="str">
            <v>TAMAULIPAS</v>
          </cell>
          <cell r="X369">
            <v>2019</v>
          </cell>
          <cell r="Y369" t="str">
            <v>Qtr 2</v>
          </cell>
          <cell r="Z369" t="str">
            <v>April</v>
          </cell>
          <cell r="AA369">
            <v>5</v>
          </cell>
          <cell r="AB369">
            <v>0</v>
          </cell>
          <cell r="AC369">
            <v>39</v>
          </cell>
          <cell r="AD369">
            <v>1.05</v>
          </cell>
          <cell r="AE369">
            <v>0.198148111111111</v>
          </cell>
          <cell r="AF369">
            <v>1433.25</v>
          </cell>
        </row>
        <row r="370">
          <cell r="B370" t="str">
            <v>09HB328020</v>
          </cell>
          <cell r="C370">
            <v>2019</v>
          </cell>
          <cell r="D370" t="str">
            <v>Qtr 2</v>
          </cell>
          <cell r="E370" t="str">
            <v>April</v>
          </cell>
          <cell r="F370">
            <v>5</v>
          </cell>
          <cell r="G370" t="str">
            <v>CORRECTIVO</v>
          </cell>
          <cell r="H370">
            <v>1.566667</v>
          </cell>
          <cell r="I370" t="str">
            <v>A4 Mono MFPs</v>
          </cell>
          <cell r="J370">
            <v>468</v>
          </cell>
          <cell r="K370">
            <v>715</v>
          </cell>
          <cell r="L370">
            <v>0</v>
          </cell>
          <cell r="M370">
            <v>0</v>
          </cell>
          <cell r="N370">
            <v>0</v>
          </cell>
          <cell r="O370">
            <v>0.6</v>
          </cell>
          <cell r="P370">
            <v>0.8</v>
          </cell>
          <cell r="Q370">
            <v>1.05</v>
          </cell>
          <cell r="R370" t="str">
            <v>INTERIOR</v>
          </cell>
          <cell r="S370">
            <v>5</v>
          </cell>
          <cell r="T370">
            <v>9</v>
          </cell>
          <cell r="U370" t="str">
            <v>Ciudad principal</v>
          </cell>
          <cell r="V370" t="str">
            <v>A4 Mono MFPs</v>
          </cell>
          <cell r="W370" t="str">
            <v>QUERETARO</v>
          </cell>
          <cell r="X370">
            <v>2019</v>
          </cell>
          <cell r="Y370" t="str">
            <v>Qtr 2</v>
          </cell>
          <cell r="Z370" t="str">
            <v>April</v>
          </cell>
          <cell r="AA370">
            <v>5</v>
          </cell>
          <cell r="AB370">
            <v>0</v>
          </cell>
          <cell r="AC370">
            <v>309</v>
          </cell>
          <cell r="AD370">
            <v>1.05</v>
          </cell>
          <cell r="AE370">
            <v>0.31333339999999998</v>
          </cell>
          <cell r="AF370">
            <v>750.75</v>
          </cell>
        </row>
        <row r="371">
          <cell r="B371" t="str">
            <v>0BG2950042</v>
          </cell>
          <cell r="C371">
            <v>2019</v>
          </cell>
          <cell r="D371" t="str">
            <v>Qtr 2</v>
          </cell>
          <cell r="E371" t="str">
            <v>April</v>
          </cell>
          <cell r="F371">
            <v>5</v>
          </cell>
          <cell r="G371" t="str">
            <v>MANTENIMIENTO PREVENTIVO</v>
          </cell>
          <cell r="H371">
            <v>0</v>
          </cell>
          <cell r="I371" t="str">
            <v>Light Production Digital Business</v>
          </cell>
          <cell r="J371">
            <v>803</v>
          </cell>
          <cell r="K371">
            <v>1573</v>
          </cell>
          <cell r="L371">
            <v>0.2</v>
          </cell>
          <cell r="M371">
            <v>0.6</v>
          </cell>
          <cell r="N371">
            <v>0.8</v>
          </cell>
          <cell r="O371">
            <v>1.05</v>
          </cell>
          <cell r="P371">
            <v>1.1000000000000001</v>
          </cell>
          <cell r="Q371">
            <v>1.1499999999999999</v>
          </cell>
          <cell r="R371" t="str">
            <v>INTERIOR</v>
          </cell>
          <cell r="S371">
            <v>4</v>
          </cell>
          <cell r="T371">
            <v>6</v>
          </cell>
          <cell r="U371" t="str">
            <v>Ciudad principal</v>
          </cell>
          <cell r="V371" t="str">
            <v>High End Cut Sheet</v>
          </cell>
          <cell r="W371" t="str">
            <v>NUEVO LEON</v>
          </cell>
          <cell r="X371">
            <v>2019</v>
          </cell>
          <cell r="Y371" t="str">
            <v>Qtr 2</v>
          </cell>
          <cell r="Z371" t="str">
            <v>April</v>
          </cell>
          <cell r="AA371">
            <v>23</v>
          </cell>
          <cell r="AB371">
            <v>0</v>
          </cell>
          <cell r="AC371">
            <v>7</v>
          </cell>
          <cell r="AD371">
            <v>0</v>
          </cell>
          <cell r="AE371">
            <v>0</v>
          </cell>
          <cell r="AF371">
            <v>1573</v>
          </cell>
        </row>
        <row r="372">
          <cell r="B372" t="str">
            <v>0E2B654062</v>
          </cell>
          <cell r="C372">
            <v>2019</v>
          </cell>
          <cell r="D372" t="str">
            <v>Qtr 2</v>
          </cell>
          <cell r="E372" t="str">
            <v>April</v>
          </cell>
          <cell r="F372">
            <v>5</v>
          </cell>
          <cell r="G372" t="str">
            <v>MANTENIMIENTO PREVENTIVO</v>
          </cell>
          <cell r="H372">
            <v>0</v>
          </cell>
          <cell r="I372" t="str">
            <v>Entry Production Color Low/Mid</v>
          </cell>
          <cell r="J372">
            <v>803</v>
          </cell>
          <cell r="K372">
            <v>1573</v>
          </cell>
          <cell r="L372">
            <v>0.2</v>
          </cell>
          <cell r="M372">
            <v>0.6</v>
          </cell>
          <cell r="N372">
            <v>0.8</v>
          </cell>
          <cell r="O372">
            <v>1.05</v>
          </cell>
          <cell r="P372">
            <v>1.1000000000000001</v>
          </cell>
          <cell r="Q372">
            <v>1.1499999999999999</v>
          </cell>
          <cell r="R372" t="str">
            <v>INTERIOR</v>
          </cell>
          <cell r="S372">
            <v>4</v>
          </cell>
          <cell r="T372">
            <v>6</v>
          </cell>
          <cell r="U372" t="str">
            <v>Ciudad principal</v>
          </cell>
          <cell r="V372" t="str">
            <v>Entry Production Color Low/Mid</v>
          </cell>
          <cell r="W372" t="str">
            <v>NUEVO LEON</v>
          </cell>
          <cell r="X372">
            <v>2019</v>
          </cell>
          <cell r="Y372" t="str">
            <v>Qtr 2</v>
          </cell>
          <cell r="Z372" t="str">
            <v>April</v>
          </cell>
          <cell r="AA372">
            <v>16</v>
          </cell>
          <cell r="AB372">
            <v>0</v>
          </cell>
          <cell r="AC372">
            <v>29</v>
          </cell>
          <cell r="AD372">
            <v>0</v>
          </cell>
          <cell r="AE372">
            <v>0</v>
          </cell>
          <cell r="AF372">
            <v>1573</v>
          </cell>
        </row>
        <row r="373">
          <cell r="B373" t="str">
            <v>0A1H021961</v>
          </cell>
          <cell r="C373">
            <v>2019</v>
          </cell>
          <cell r="D373" t="str">
            <v>Qtr 2</v>
          </cell>
          <cell r="E373" t="str">
            <v>April</v>
          </cell>
          <cell r="F373">
            <v>5</v>
          </cell>
          <cell r="G373" t="str">
            <v>MANTENIMIENTO PREVENTIVO</v>
          </cell>
          <cell r="H373">
            <v>0</v>
          </cell>
          <cell r="I373" t="str">
            <v>WF Mono Systems and Legacy Color</v>
          </cell>
          <cell r="J373">
            <v>803</v>
          </cell>
          <cell r="K373">
            <v>1573</v>
          </cell>
          <cell r="L373">
            <v>0.2</v>
          </cell>
          <cell r="M373">
            <v>0.6</v>
          </cell>
          <cell r="N373">
            <v>0.8</v>
          </cell>
          <cell r="O373">
            <v>1.05</v>
          </cell>
          <cell r="P373">
            <v>1.1000000000000001</v>
          </cell>
          <cell r="Q373">
            <v>1.1499999999999999</v>
          </cell>
          <cell r="R373" t="str">
            <v>INTERIOR</v>
          </cell>
          <cell r="S373">
            <v>4</v>
          </cell>
          <cell r="T373">
            <v>6</v>
          </cell>
          <cell r="U373" t="str">
            <v>Ciudad principal</v>
          </cell>
          <cell r="V373" t="str">
            <v>WF Mono Systems and Legacy Color</v>
          </cell>
          <cell r="W373" t="str">
            <v>NUEVO LEON</v>
          </cell>
          <cell r="X373">
            <v>2019</v>
          </cell>
          <cell r="Y373" t="str">
            <v>Qtr 2</v>
          </cell>
          <cell r="Z373" t="str">
            <v>April</v>
          </cell>
          <cell r="AA373">
            <v>15</v>
          </cell>
          <cell r="AB373">
            <v>0</v>
          </cell>
          <cell r="AC373">
            <v>121</v>
          </cell>
          <cell r="AD373">
            <v>0</v>
          </cell>
          <cell r="AE373">
            <v>0</v>
          </cell>
          <cell r="AF373">
            <v>1573</v>
          </cell>
        </row>
        <row r="374">
          <cell r="B374" t="str">
            <v>0A1H021488</v>
          </cell>
          <cell r="C374">
            <v>2019</v>
          </cell>
          <cell r="D374" t="str">
            <v>Qtr 2</v>
          </cell>
          <cell r="E374" t="str">
            <v>April</v>
          </cell>
          <cell r="F374">
            <v>5</v>
          </cell>
          <cell r="G374" t="str">
            <v>MANTENIMIENTO PREVENTIVO</v>
          </cell>
          <cell r="H374">
            <v>0</v>
          </cell>
          <cell r="I374" t="str">
            <v>WF Mono Systems and Legacy Color</v>
          </cell>
          <cell r="J374">
            <v>803</v>
          </cell>
          <cell r="K374">
            <v>1573</v>
          </cell>
          <cell r="L374">
            <v>0.2</v>
          </cell>
          <cell r="M374">
            <v>0.6</v>
          </cell>
          <cell r="N374">
            <v>0.8</v>
          </cell>
          <cell r="O374">
            <v>1.05</v>
          </cell>
          <cell r="P374">
            <v>1.1000000000000001</v>
          </cell>
          <cell r="Q374">
            <v>1.1499999999999999</v>
          </cell>
          <cell r="R374" t="str">
            <v>INTERIOR</v>
          </cell>
          <cell r="S374">
            <v>4</v>
          </cell>
          <cell r="T374">
            <v>6</v>
          </cell>
          <cell r="U374" t="str">
            <v>Ciudad principal</v>
          </cell>
          <cell r="V374" t="str">
            <v>WF Mono Systems and Legacy Color</v>
          </cell>
          <cell r="W374" t="str">
            <v>JALISCO</v>
          </cell>
          <cell r="X374">
            <v>2019</v>
          </cell>
          <cell r="Y374" t="str">
            <v>Qtr 2</v>
          </cell>
          <cell r="Z374" t="str">
            <v>April</v>
          </cell>
          <cell r="AA374">
            <v>8</v>
          </cell>
          <cell r="AB374">
            <v>0</v>
          </cell>
          <cell r="AC374">
            <v>59</v>
          </cell>
          <cell r="AD374">
            <v>0</v>
          </cell>
          <cell r="AE374">
            <v>0</v>
          </cell>
          <cell r="AF374">
            <v>1573</v>
          </cell>
        </row>
        <row r="375">
          <cell r="B375" t="str">
            <v>0E2B646611</v>
          </cell>
          <cell r="C375">
            <v>2019</v>
          </cell>
          <cell r="D375" t="str">
            <v>Qtr 2</v>
          </cell>
          <cell r="E375" t="str">
            <v>April</v>
          </cell>
          <cell r="F375">
            <v>5</v>
          </cell>
          <cell r="G375" t="str">
            <v>MANTENIMIENTO PREVENTIVO</v>
          </cell>
          <cell r="H375">
            <v>0</v>
          </cell>
          <cell r="I375" t="str">
            <v>Entry Production Color Low/Mid</v>
          </cell>
          <cell r="J375">
            <v>803</v>
          </cell>
          <cell r="K375">
            <v>1573</v>
          </cell>
          <cell r="L375">
            <v>0.2</v>
          </cell>
          <cell r="M375">
            <v>0.6</v>
          </cell>
          <cell r="N375">
            <v>0.8</v>
          </cell>
          <cell r="O375">
            <v>1.05</v>
          </cell>
          <cell r="P375">
            <v>1.1000000000000001</v>
          </cell>
          <cell r="Q375">
            <v>1.1499999999999999</v>
          </cell>
          <cell r="R375" t="str">
            <v>INTERIOR</v>
          </cell>
          <cell r="S375">
            <v>4</v>
          </cell>
          <cell r="T375">
            <v>6</v>
          </cell>
          <cell r="U375" t="str">
            <v>Ciudad principal</v>
          </cell>
          <cell r="V375" t="str">
            <v>Entry Production Color Low/Mid</v>
          </cell>
          <cell r="W375" t="str">
            <v>JALISCO</v>
          </cell>
          <cell r="X375">
            <v>2019</v>
          </cell>
          <cell r="Y375" t="str">
            <v>Qtr 2</v>
          </cell>
          <cell r="Z375" t="str">
            <v>April</v>
          </cell>
          <cell r="AA375">
            <v>9</v>
          </cell>
          <cell r="AB375">
            <v>0</v>
          </cell>
          <cell r="AC375">
            <v>8</v>
          </cell>
          <cell r="AD375">
            <v>0</v>
          </cell>
          <cell r="AE375">
            <v>0</v>
          </cell>
          <cell r="AF375">
            <v>1573</v>
          </cell>
        </row>
        <row r="376">
          <cell r="B376" t="str">
            <v>0EX9298213</v>
          </cell>
          <cell r="C376">
            <v>2019</v>
          </cell>
          <cell r="D376" t="str">
            <v>Qtr 2</v>
          </cell>
          <cell r="E376" t="str">
            <v>April</v>
          </cell>
          <cell r="F376">
            <v>5</v>
          </cell>
          <cell r="G376" t="str">
            <v>MANTENIMIENTO PREVENTIVO</v>
          </cell>
          <cell r="H376">
            <v>0</v>
          </cell>
          <cell r="I376" t="str">
            <v>Departmental Digital</v>
          </cell>
          <cell r="J376">
            <v>655</v>
          </cell>
          <cell r="K376">
            <v>1365</v>
          </cell>
          <cell r="L376">
            <v>0</v>
          </cell>
          <cell r="M376">
            <v>0</v>
          </cell>
          <cell r="N376">
            <v>0.6</v>
          </cell>
          <cell r="O376">
            <v>0.8</v>
          </cell>
          <cell r="P376">
            <v>1.05</v>
          </cell>
          <cell r="Q376">
            <v>1.1000000000000001</v>
          </cell>
          <cell r="R376" t="str">
            <v>INTERIOR</v>
          </cell>
          <cell r="S376">
            <v>5</v>
          </cell>
          <cell r="T376">
            <v>9</v>
          </cell>
          <cell r="U376" t="str">
            <v>Ciudad principal</v>
          </cell>
          <cell r="V376" t="str">
            <v>Departmental Digital</v>
          </cell>
          <cell r="W376" t="str">
            <v>JALISCO</v>
          </cell>
          <cell r="X376">
            <v>2019</v>
          </cell>
          <cell r="Y376" t="str">
            <v>Qtr 2</v>
          </cell>
          <cell r="Z376" t="str">
            <v>April</v>
          </cell>
          <cell r="AA376">
            <v>5</v>
          </cell>
          <cell r="AB376">
            <v>0</v>
          </cell>
          <cell r="AC376">
            <v>70</v>
          </cell>
          <cell r="AD376">
            <v>0</v>
          </cell>
          <cell r="AE376">
            <v>0</v>
          </cell>
          <cell r="AF376">
            <v>1365</v>
          </cell>
        </row>
        <row r="377">
          <cell r="B377" t="str">
            <v>0EX9296103</v>
          </cell>
          <cell r="C377">
            <v>2019</v>
          </cell>
          <cell r="D377" t="str">
            <v>Qtr 2</v>
          </cell>
          <cell r="E377" t="str">
            <v>April</v>
          </cell>
          <cell r="F377">
            <v>5</v>
          </cell>
          <cell r="G377" t="str">
            <v>MANTENIMIENTO PREVENTIVO</v>
          </cell>
          <cell r="H377">
            <v>0</v>
          </cell>
          <cell r="I377" t="str">
            <v>Departmental Digital</v>
          </cell>
          <cell r="J377">
            <v>655</v>
          </cell>
          <cell r="K377">
            <v>1365</v>
          </cell>
          <cell r="L377">
            <v>0</v>
          </cell>
          <cell r="M377">
            <v>0</v>
          </cell>
          <cell r="N377">
            <v>0.6</v>
          </cell>
          <cell r="O377">
            <v>0.8</v>
          </cell>
          <cell r="P377">
            <v>1.05</v>
          </cell>
          <cell r="Q377">
            <v>1.1000000000000001</v>
          </cell>
          <cell r="R377" t="str">
            <v>INTERIOR</v>
          </cell>
          <cell r="S377">
            <v>5</v>
          </cell>
          <cell r="T377">
            <v>9</v>
          </cell>
          <cell r="U377" t="str">
            <v>Ciudad principal</v>
          </cell>
          <cell r="V377" t="str">
            <v>Departmental Digital</v>
          </cell>
          <cell r="W377" t="str">
            <v>JALISCO</v>
          </cell>
          <cell r="X377">
            <v>2019</v>
          </cell>
          <cell r="Y377" t="str">
            <v>Qtr 2</v>
          </cell>
          <cell r="Z377" t="str">
            <v>April</v>
          </cell>
          <cell r="AA377">
            <v>9</v>
          </cell>
          <cell r="AB377">
            <v>0</v>
          </cell>
          <cell r="AC377">
            <v>23</v>
          </cell>
          <cell r="AD377">
            <v>0</v>
          </cell>
          <cell r="AE377">
            <v>0</v>
          </cell>
          <cell r="AF377">
            <v>1365</v>
          </cell>
        </row>
        <row r="378">
          <cell r="B378" t="str">
            <v>0PW4980265</v>
          </cell>
          <cell r="C378">
            <v>2019</v>
          </cell>
          <cell r="D378" t="str">
            <v>Qtr 2</v>
          </cell>
          <cell r="E378" t="str">
            <v>April</v>
          </cell>
          <cell r="F378">
            <v>5</v>
          </cell>
          <cell r="G378" t="str">
            <v>MANTENIMIENTO PREVENTIVO</v>
          </cell>
          <cell r="H378">
            <v>0</v>
          </cell>
          <cell r="I378" t="str">
            <v>WF Mono Systems and Legacy Color</v>
          </cell>
          <cell r="J378">
            <v>803</v>
          </cell>
          <cell r="K378">
            <v>1573</v>
          </cell>
          <cell r="L378">
            <v>0.2</v>
          </cell>
          <cell r="M378">
            <v>0.6</v>
          </cell>
          <cell r="N378">
            <v>0.8</v>
          </cell>
          <cell r="O378">
            <v>1.05</v>
          </cell>
          <cell r="P378">
            <v>1.1000000000000001</v>
          </cell>
          <cell r="Q378">
            <v>1.1499999999999999</v>
          </cell>
          <cell r="R378" t="str">
            <v>INTERIOR</v>
          </cell>
          <cell r="S378">
            <v>4</v>
          </cell>
          <cell r="T378">
            <v>6</v>
          </cell>
          <cell r="U378" t="str">
            <v>Ciudad principal</v>
          </cell>
          <cell r="V378" t="str">
            <v>WF Mono Systems and Legacy Color</v>
          </cell>
          <cell r="W378" t="str">
            <v>JALISCO</v>
          </cell>
          <cell r="X378">
            <v>2019</v>
          </cell>
          <cell r="Y378" t="str">
            <v>Qtr 2</v>
          </cell>
          <cell r="Z378" t="str">
            <v>April</v>
          </cell>
          <cell r="AA378">
            <v>5</v>
          </cell>
          <cell r="AB378">
            <v>0</v>
          </cell>
          <cell r="AC378">
            <v>24</v>
          </cell>
          <cell r="AD378">
            <v>0</v>
          </cell>
          <cell r="AE378">
            <v>0</v>
          </cell>
          <cell r="AF378">
            <v>1573</v>
          </cell>
        </row>
        <row r="379">
          <cell r="B379" t="str">
            <v>0BG1000997</v>
          </cell>
          <cell r="C379">
            <v>2019</v>
          </cell>
          <cell r="D379" t="str">
            <v>Qtr 2</v>
          </cell>
          <cell r="E379" t="str">
            <v>April</v>
          </cell>
          <cell r="F379">
            <v>5</v>
          </cell>
          <cell r="G379" t="str">
            <v>MANTENIMIENTO PREVENTIVO</v>
          </cell>
          <cell r="H379">
            <v>0</v>
          </cell>
          <cell r="I379" t="str">
            <v>Light Production Digital Business</v>
          </cell>
          <cell r="J379">
            <v>803</v>
          </cell>
          <cell r="K379">
            <v>1573</v>
          </cell>
          <cell r="L379">
            <v>0.2</v>
          </cell>
          <cell r="M379">
            <v>0.6</v>
          </cell>
          <cell r="N379">
            <v>0.8</v>
          </cell>
          <cell r="O379">
            <v>1.05</v>
          </cell>
          <cell r="P379">
            <v>1.1000000000000001</v>
          </cell>
          <cell r="Q379">
            <v>1.1499999999999999</v>
          </cell>
          <cell r="R379" t="str">
            <v>INTERIOR</v>
          </cell>
          <cell r="S379">
            <v>4</v>
          </cell>
          <cell r="T379">
            <v>6</v>
          </cell>
          <cell r="U379" t="str">
            <v>Ciudad principal</v>
          </cell>
          <cell r="V379" t="str">
            <v>High End Cut Sheet</v>
          </cell>
          <cell r="W379" t="str">
            <v>NUEVO LEON</v>
          </cell>
          <cell r="X379">
            <v>2019</v>
          </cell>
          <cell r="Y379" t="str">
            <v>Qtr 2</v>
          </cell>
          <cell r="Z379" t="str">
            <v>April</v>
          </cell>
          <cell r="AA379">
            <v>5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1573</v>
          </cell>
        </row>
        <row r="380">
          <cell r="B380" t="str">
            <v>0PW4152292</v>
          </cell>
          <cell r="C380">
            <v>2019</v>
          </cell>
          <cell r="D380" t="str">
            <v>Qtr 2</v>
          </cell>
          <cell r="E380" t="str">
            <v>April</v>
          </cell>
          <cell r="F380">
            <v>5</v>
          </cell>
          <cell r="G380" t="str">
            <v>MANTENIMIENTO PREVENTIVO</v>
          </cell>
          <cell r="H380">
            <v>0</v>
          </cell>
          <cell r="I380" t="str">
            <v>WF Mono Systems and Legacy Color</v>
          </cell>
          <cell r="J380">
            <v>803</v>
          </cell>
          <cell r="K380">
            <v>1573</v>
          </cell>
          <cell r="L380">
            <v>0.2</v>
          </cell>
          <cell r="M380">
            <v>0.6</v>
          </cell>
          <cell r="N380">
            <v>0.8</v>
          </cell>
          <cell r="O380">
            <v>1.05</v>
          </cell>
          <cell r="P380">
            <v>1.1000000000000001</v>
          </cell>
          <cell r="Q380">
            <v>1.1499999999999999</v>
          </cell>
          <cell r="R380" t="str">
            <v>INTERIOR</v>
          </cell>
          <cell r="S380">
            <v>4</v>
          </cell>
          <cell r="T380">
            <v>6</v>
          </cell>
          <cell r="U380" t="str">
            <v>Ciudad principal</v>
          </cell>
          <cell r="V380" t="str">
            <v>WF Mono Systems and Legacy Color</v>
          </cell>
          <cell r="W380" t="str">
            <v>JALISCO</v>
          </cell>
          <cell r="X380">
            <v>2019</v>
          </cell>
          <cell r="Y380" t="str">
            <v>Qtr 2</v>
          </cell>
          <cell r="Z380" t="str">
            <v>April</v>
          </cell>
          <cell r="AA380">
            <v>5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1573</v>
          </cell>
        </row>
        <row r="381">
          <cell r="B381" t="str">
            <v>0ER2127933</v>
          </cell>
          <cell r="C381">
            <v>2019</v>
          </cell>
          <cell r="D381" t="str">
            <v>Qtr 2</v>
          </cell>
          <cell r="E381" t="str">
            <v>April</v>
          </cell>
          <cell r="F381">
            <v>5</v>
          </cell>
          <cell r="G381" t="str">
            <v>CORRECTIVO</v>
          </cell>
          <cell r="H381">
            <v>2.8333330000000001</v>
          </cell>
          <cell r="I381" t="str">
            <v>Entry Production Color Low/Mid</v>
          </cell>
          <cell r="J381">
            <v>803</v>
          </cell>
          <cell r="K381">
            <v>1573</v>
          </cell>
          <cell r="L381">
            <v>0.2</v>
          </cell>
          <cell r="M381">
            <v>0.6</v>
          </cell>
          <cell r="N381">
            <v>0.8</v>
          </cell>
          <cell r="O381">
            <v>1.05</v>
          </cell>
          <cell r="P381">
            <v>1.1000000000000001</v>
          </cell>
          <cell r="Q381">
            <v>1.1499999999999999</v>
          </cell>
          <cell r="R381" t="str">
            <v>INTERIOR</v>
          </cell>
          <cell r="S381">
            <v>4</v>
          </cell>
          <cell r="T381">
            <v>6</v>
          </cell>
          <cell r="U381" t="str">
            <v>Ciudad principal</v>
          </cell>
          <cell r="W381" t="str">
            <v>JALISCO</v>
          </cell>
          <cell r="X381">
            <v>2019</v>
          </cell>
          <cell r="Y381" t="str">
            <v>Qtr 2</v>
          </cell>
          <cell r="Z381" t="str">
            <v>April</v>
          </cell>
          <cell r="AA381">
            <v>5</v>
          </cell>
          <cell r="AB381">
            <v>0</v>
          </cell>
          <cell r="AC381">
            <v>0</v>
          </cell>
          <cell r="AD381">
            <v>1.1499999999999999</v>
          </cell>
          <cell r="AE381">
            <v>0.70833325000000003</v>
          </cell>
          <cell r="AF381">
            <v>1808.95</v>
          </cell>
        </row>
        <row r="382">
          <cell r="B382" t="str">
            <v>0LA6296587</v>
          </cell>
          <cell r="C382">
            <v>2019</v>
          </cell>
          <cell r="D382" t="str">
            <v>Qtr 2</v>
          </cell>
          <cell r="E382" t="str">
            <v>April</v>
          </cell>
          <cell r="F382">
            <v>5</v>
          </cell>
          <cell r="G382" t="str">
            <v>CORRECTIVO</v>
          </cell>
          <cell r="H382">
            <v>1.6</v>
          </cell>
          <cell r="I382" t="str">
            <v>A4 Mono MFPs</v>
          </cell>
          <cell r="J382">
            <v>468</v>
          </cell>
          <cell r="K382">
            <v>715</v>
          </cell>
          <cell r="L382">
            <v>0</v>
          </cell>
          <cell r="M382">
            <v>0</v>
          </cell>
          <cell r="N382">
            <v>0</v>
          </cell>
          <cell r="O382">
            <v>0.6</v>
          </cell>
          <cell r="P382">
            <v>0.8</v>
          </cell>
          <cell r="Q382">
            <v>1.05</v>
          </cell>
          <cell r="R382" t="str">
            <v>INTERIOR</v>
          </cell>
          <cell r="S382">
            <v>5</v>
          </cell>
          <cell r="T382">
            <v>9</v>
          </cell>
          <cell r="U382" t="str">
            <v>Ciudad principal</v>
          </cell>
          <cell r="V382" t="str">
            <v>A4 Mono MFPs</v>
          </cell>
          <cell r="W382" t="str">
            <v>NUEVO LEON</v>
          </cell>
          <cell r="X382">
            <v>2019</v>
          </cell>
          <cell r="Y382" t="str">
            <v>Qtr 2</v>
          </cell>
          <cell r="Z382" t="str">
            <v>April</v>
          </cell>
          <cell r="AA382">
            <v>5</v>
          </cell>
          <cell r="AB382">
            <v>0</v>
          </cell>
          <cell r="AC382">
            <v>71</v>
          </cell>
          <cell r="AD382">
            <v>1.05</v>
          </cell>
          <cell r="AE382">
            <v>0.32</v>
          </cell>
          <cell r="AF382">
            <v>750.75</v>
          </cell>
        </row>
        <row r="383">
          <cell r="B383" t="str">
            <v>0T4B035507</v>
          </cell>
          <cell r="C383">
            <v>2019</v>
          </cell>
          <cell r="D383" t="str">
            <v>Qtr 2</v>
          </cell>
          <cell r="E383" t="str">
            <v>April</v>
          </cell>
          <cell r="F383">
            <v>5</v>
          </cell>
          <cell r="G383" t="str">
            <v>CORRECTIVO</v>
          </cell>
          <cell r="H383">
            <v>2.6333329999999999</v>
          </cell>
          <cell r="I383" t="str">
            <v>Color Solid Ink Printers</v>
          </cell>
          <cell r="J383">
            <v>468</v>
          </cell>
          <cell r="K383">
            <v>715</v>
          </cell>
          <cell r="L383">
            <v>0</v>
          </cell>
          <cell r="M383">
            <v>0</v>
          </cell>
          <cell r="N383">
            <v>0</v>
          </cell>
          <cell r="O383">
            <v>0.6</v>
          </cell>
          <cell r="P383">
            <v>0.8</v>
          </cell>
          <cell r="Q383">
            <v>1.05</v>
          </cell>
          <cell r="R383" t="str">
            <v>INTERIOR</v>
          </cell>
          <cell r="S383">
            <v>5</v>
          </cell>
          <cell r="T383">
            <v>9</v>
          </cell>
          <cell r="U383" t="str">
            <v>Ciudad principal</v>
          </cell>
          <cell r="V383" t="str">
            <v>Color Solid Ink Printers</v>
          </cell>
          <cell r="W383" t="str">
            <v>JALISCO</v>
          </cell>
          <cell r="X383">
            <v>2019</v>
          </cell>
          <cell r="Y383" t="str">
            <v>Qtr 2</v>
          </cell>
          <cell r="Z383" t="str">
            <v>April</v>
          </cell>
          <cell r="AA383">
            <v>25</v>
          </cell>
          <cell r="AB383">
            <v>0</v>
          </cell>
          <cell r="AC383">
            <v>25</v>
          </cell>
          <cell r="AD383">
            <v>0.6</v>
          </cell>
          <cell r="AE383">
            <v>0.52666659999999998</v>
          </cell>
          <cell r="AF383">
            <v>429</v>
          </cell>
        </row>
        <row r="384">
          <cell r="B384" t="str">
            <v>0MAV779133</v>
          </cell>
          <cell r="C384">
            <v>2019</v>
          </cell>
          <cell r="D384" t="str">
            <v>Qtr 2</v>
          </cell>
          <cell r="E384" t="str">
            <v>April</v>
          </cell>
          <cell r="F384">
            <v>5</v>
          </cell>
          <cell r="G384" t="str">
            <v>CORRECTIVO</v>
          </cell>
          <cell r="H384">
            <v>1.1166670000000001</v>
          </cell>
          <cell r="I384" t="str">
            <v>Entry Production Color Low/Mid</v>
          </cell>
          <cell r="J384">
            <v>803</v>
          </cell>
          <cell r="K384">
            <v>1573</v>
          </cell>
          <cell r="L384">
            <v>0.2</v>
          </cell>
          <cell r="M384">
            <v>0.6</v>
          </cell>
          <cell r="N384">
            <v>0.8</v>
          </cell>
          <cell r="O384">
            <v>1.05</v>
          </cell>
          <cell r="P384">
            <v>1.1000000000000001</v>
          </cell>
          <cell r="Q384">
            <v>1.1499999999999999</v>
          </cell>
          <cell r="R384" t="str">
            <v>INTERIOR</v>
          </cell>
          <cell r="S384">
            <v>4</v>
          </cell>
          <cell r="T384">
            <v>6</v>
          </cell>
          <cell r="U384" t="str">
            <v>Ciudad principal</v>
          </cell>
          <cell r="V384" t="str">
            <v>Xerox Color Press</v>
          </cell>
          <cell r="W384" t="str">
            <v>COLIMA</v>
          </cell>
          <cell r="X384">
            <v>2019</v>
          </cell>
          <cell r="Y384" t="str">
            <v>Qtr 2</v>
          </cell>
          <cell r="Z384" t="str">
            <v>April</v>
          </cell>
          <cell r="AA384">
            <v>5</v>
          </cell>
          <cell r="AB384">
            <v>1</v>
          </cell>
          <cell r="AC384">
            <v>10</v>
          </cell>
          <cell r="AD384">
            <v>0</v>
          </cell>
          <cell r="AE384">
            <v>0</v>
          </cell>
          <cell r="AF384">
            <v>0</v>
          </cell>
        </row>
        <row r="385">
          <cell r="B385" t="str">
            <v>0A2T024295</v>
          </cell>
          <cell r="C385">
            <v>2019</v>
          </cell>
          <cell r="D385" t="str">
            <v>Qtr 2</v>
          </cell>
          <cell r="E385" t="str">
            <v>April</v>
          </cell>
          <cell r="F385">
            <v>5</v>
          </cell>
          <cell r="G385" t="str">
            <v>CORRECTIVO</v>
          </cell>
          <cell r="H385">
            <v>2.1</v>
          </cell>
          <cell r="J385" t="str">
            <v>NA</v>
          </cell>
          <cell r="K385" t="str">
            <v>NA</v>
          </cell>
          <cell r="L385" t="str">
            <v>NA</v>
          </cell>
          <cell r="M385" t="str">
            <v>NA</v>
          </cell>
          <cell r="N385" t="str">
            <v>NA</v>
          </cell>
          <cell r="O385" t="str">
            <v>NA</v>
          </cell>
          <cell r="P385" t="str">
            <v>NA</v>
          </cell>
          <cell r="Q385" t="str">
            <v>NA</v>
          </cell>
          <cell r="S385" t="str">
            <v>NA</v>
          </cell>
          <cell r="T385" t="str">
            <v>NA</v>
          </cell>
          <cell r="V385" t="str">
            <v>A4 Mono MFPs</v>
          </cell>
          <cell r="W385" t="str">
            <v>QUERETARO</v>
          </cell>
          <cell r="X385">
            <v>2019</v>
          </cell>
          <cell r="Y385" t="str">
            <v>Qtr 2</v>
          </cell>
          <cell r="Z385" t="str">
            <v>April</v>
          </cell>
          <cell r="AA385">
            <v>8</v>
          </cell>
          <cell r="AB385" t="str">
            <v>NA</v>
          </cell>
          <cell r="AC385">
            <v>1</v>
          </cell>
          <cell r="AD385">
            <v>0</v>
          </cell>
          <cell r="AE385">
            <v>0</v>
          </cell>
          <cell r="AF385">
            <v>0</v>
          </cell>
        </row>
        <row r="386">
          <cell r="B386" t="str">
            <v>0X76375747</v>
          </cell>
          <cell r="C386">
            <v>2019</v>
          </cell>
          <cell r="D386" t="str">
            <v>Qtr 2</v>
          </cell>
          <cell r="E386" t="str">
            <v>April</v>
          </cell>
          <cell r="F386">
            <v>5</v>
          </cell>
          <cell r="G386" t="str">
            <v>CORRECTIVO</v>
          </cell>
          <cell r="H386">
            <v>1.1166670000000001</v>
          </cell>
          <cell r="J386" t="str">
            <v>NA</v>
          </cell>
          <cell r="K386" t="str">
            <v>NA</v>
          </cell>
          <cell r="L386" t="str">
            <v>NA</v>
          </cell>
          <cell r="M386" t="str">
            <v>NA</v>
          </cell>
          <cell r="N386" t="str">
            <v>NA</v>
          </cell>
          <cell r="O386" t="str">
            <v>NA</v>
          </cell>
          <cell r="P386" t="str">
            <v>NA</v>
          </cell>
          <cell r="Q386" t="str">
            <v>NA</v>
          </cell>
          <cell r="S386" t="str">
            <v>NA</v>
          </cell>
          <cell r="T386" t="str">
            <v>NA</v>
          </cell>
          <cell r="V386" t="str">
            <v>Departmental Digital</v>
          </cell>
          <cell r="W386" t="str">
            <v>TAMAULIPAS</v>
          </cell>
          <cell r="X386">
            <v>2019</v>
          </cell>
          <cell r="Y386" t="str">
            <v>Qtr 2</v>
          </cell>
          <cell r="Z386" t="str">
            <v>April</v>
          </cell>
          <cell r="AA386">
            <v>5</v>
          </cell>
          <cell r="AB386" t="str">
            <v>NA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</row>
        <row r="387">
          <cell r="B387" t="str">
            <v>03TX405493</v>
          </cell>
          <cell r="C387">
            <v>2019</v>
          </cell>
          <cell r="D387" t="str">
            <v>Qtr 2</v>
          </cell>
          <cell r="E387" t="str">
            <v>April</v>
          </cell>
          <cell r="F387">
            <v>5</v>
          </cell>
          <cell r="G387" t="str">
            <v>CONFIGURACION</v>
          </cell>
          <cell r="H387">
            <v>0</v>
          </cell>
          <cell r="I387" t="str">
            <v>A3 Office Color Laser MFPs</v>
          </cell>
          <cell r="J387">
            <v>655</v>
          </cell>
          <cell r="K387">
            <v>1365</v>
          </cell>
          <cell r="L387">
            <v>0</v>
          </cell>
          <cell r="M387">
            <v>0</v>
          </cell>
          <cell r="N387">
            <v>0.6</v>
          </cell>
          <cell r="O387">
            <v>0.8</v>
          </cell>
          <cell r="P387">
            <v>1.05</v>
          </cell>
          <cell r="Q387">
            <v>1.1000000000000001</v>
          </cell>
          <cell r="R387" t="str">
            <v>INTERIOR</v>
          </cell>
          <cell r="S387">
            <v>5</v>
          </cell>
          <cell r="T387">
            <v>9</v>
          </cell>
          <cell r="U387" t="str">
            <v>Ciudad principal</v>
          </cell>
          <cell r="V387" t="str">
            <v>A3 Office Color Laser MFPs</v>
          </cell>
          <cell r="W387" t="str">
            <v>CHIHUAHUA</v>
          </cell>
          <cell r="X387">
            <v>2019</v>
          </cell>
          <cell r="Y387" t="str">
            <v>Qtr 2</v>
          </cell>
          <cell r="Z387" t="str">
            <v>April</v>
          </cell>
          <cell r="AA387">
            <v>5</v>
          </cell>
          <cell r="AB387">
            <v>0</v>
          </cell>
          <cell r="AC387">
            <v>10</v>
          </cell>
          <cell r="AD387">
            <v>0.6</v>
          </cell>
          <cell r="AE387">
            <v>0</v>
          </cell>
          <cell r="AF387">
            <v>819</v>
          </cell>
        </row>
        <row r="388">
          <cell r="B388" t="str">
            <v>0XLT860105</v>
          </cell>
          <cell r="C388">
            <v>2019</v>
          </cell>
          <cell r="D388" t="str">
            <v>Qtr 2</v>
          </cell>
          <cell r="E388" t="str">
            <v>April</v>
          </cell>
          <cell r="F388">
            <v>5</v>
          </cell>
          <cell r="G388" t="str">
            <v>CORRECTIVO</v>
          </cell>
          <cell r="H388">
            <v>0.3333333</v>
          </cell>
          <cell r="J388" t="str">
            <v>NA</v>
          </cell>
          <cell r="K388" t="str">
            <v>NA</v>
          </cell>
          <cell r="L388" t="str">
            <v>NA</v>
          </cell>
          <cell r="M388" t="str">
            <v>NA</v>
          </cell>
          <cell r="N388" t="str">
            <v>NA</v>
          </cell>
          <cell r="O388" t="str">
            <v>NA</v>
          </cell>
          <cell r="P388" t="str">
            <v>NA</v>
          </cell>
          <cell r="Q388" t="str">
            <v>NA</v>
          </cell>
          <cell r="S388" t="str">
            <v>NA</v>
          </cell>
          <cell r="T388" t="str">
            <v>NA</v>
          </cell>
          <cell r="V388" t="str">
            <v>Entry Mono Printers</v>
          </cell>
          <cell r="W388" t="str">
            <v>COAHUILA</v>
          </cell>
          <cell r="X388">
            <v>2019</v>
          </cell>
          <cell r="Y388" t="str">
            <v>Qtr 2</v>
          </cell>
          <cell r="Z388" t="str">
            <v>April</v>
          </cell>
          <cell r="AA388">
            <v>5</v>
          </cell>
          <cell r="AB388" t="str">
            <v>NA</v>
          </cell>
          <cell r="AC388">
            <v>129</v>
          </cell>
          <cell r="AD388">
            <v>0</v>
          </cell>
          <cell r="AE388">
            <v>0</v>
          </cell>
          <cell r="AF388">
            <v>0</v>
          </cell>
        </row>
        <row r="389">
          <cell r="B389" t="str">
            <v>09HB333007</v>
          </cell>
          <cell r="C389">
            <v>2019</v>
          </cell>
          <cell r="D389" t="str">
            <v>Qtr 2</v>
          </cell>
          <cell r="E389" t="str">
            <v>April</v>
          </cell>
          <cell r="F389">
            <v>5</v>
          </cell>
          <cell r="G389" t="str">
            <v>CORRECTIVO</v>
          </cell>
          <cell r="H389">
            <v>2.7166670000000002</v>
          </cell>
          <cell r="I389" t="str">
            <v>A4 Mono MFPs</v>
          </cell>
          <cell r="J389">
            <v>468</v>
          </cell>
          <cell r="K389">
            <v>715</v>
          </cell>
          <cell r="L389">
            <v>0</v>
          </cell>
          <cell r="M389">
            <v>0</v>
          </cell>
          <cell r="N389">
            <v>0</v>
          </cell>
          <cell r="O389">
            <v>0.6</v>
          </cell>
          <cell r="P389">
            <v>0.8</v>
          </cell>
          <cell r="Q389">
            <v>1.05</v>
          </cell>
          <cell r="R389" t="str">
            <v>INTERIOR</v>
          </cell>
          <cell r="S389">
            <v>5</v>
          </cell>
          <cell r="T389">
            <v>9</v>
          </cell>
          <cell r="U389" t="str">
            <v>Ciudad principal</v>
          </cell>
          <cell r="V389" t="str">
            <v>A4 Mono MFPs</v>
          </cell>
          <cell r="W389" t="str">
            <v>NUEVO LEON</v>
          </cell>
          <cell r="X389">
            <v>2019</v>
          </cell>
          <cell r="Y389" t="str">
            <v>Qtr 2</v>
          </cell>
          <cell r="Z389" t="str">
            <v>April</v>
          </cell>
          <cell r="AA389">
            <v>5</v>
          </cell>
          <cell r="AB389">
            <v>0</v>
          </cell>
          <cell r="AC389">
            <v>22</v>
          </cell>
          <cell r="AD389">
            <v>0.6</v>
          </cell>
          <cell r="AE389">
            <v>0.54333339999999997</v>
          </cell>
          <cell r="AF389">
            <v>429</v>
          </cell>
        </row>
        <row r="390">
          <cell r="B390" t="str">
            <v>0A1H021961</v>
          </cell>
          <cell r="C390">
            <v>2019</v>
          </cell>
          <cell r="D390" t="str">
            <v>Qtr 2</v>
          </cell>
          <cell r="E390" t="str">
            <v>April</v>
          </cell>
          <cell r="F390">
            <v>5</v>
          </cell>
          <cell r="G390" t="str">
            <v>CORRECTIVO</v>
          </cell>
          <cell r="H390">
            <v>2.5</v>
          </cell>
          <cell r="I390" t="str">
            <v>WF Mono Systems and Legacy Color</v>
          </cell>
          <cell r="J390">
            <v>803</v>
          </cell>
          <cell r="K390">
            <v>1573</v>
          </cell>
          <cell r="L390">
            <v>0.2</v>
          </cell>
          <cell r="M390">
            <v>0.6</v>
          </cell>
          <cell r="N390">
            <v>0.8</v>
          </cell>
          <cell r="O390">
            <v>1.05</v>
          </cell>
          <cell r="P390">
            <v>1.1000000000000001</v>
          </cell>
          <cell r="Q390">
            <v>1.1499999999999999</v>
          </cell>
          <cell r="R390" t="str">
            <v>INTERIOR</v>
          </cell>
          <cell r="S390">
            <v>4</v>
          </cell>
          <cell r="T390">
            <v>6</v>
          </cell>
          <cell r="U390" t="str">
            <v>Ciudad principal</v>
          </cell>
          <cell r="V390" t="str">
            <v>WF Mono Systems and Legacy Color</v>
          </cell>
          <cell r="W390" t="str">
            <v>NUEVO LEON</v>
          </cell>
          <cell r="X390">
            <v>2019</v>
          </cell>
          <cell r="Y390" t="str">
            <v>Qtr 2</v>
          </cell>
          <cell r="Z390" t="str">
            <v>April</v>
          </cell>
          <cell r="AA390">
            <v>5</v>
          </cell>
          <cell r="AB390">
            <v>0</v>
          </cell>
          <cell r="AC390">
            <v>-10</v>
          </cell>
          <cell r="AD390">
            <v>1.1499999999999999</v>
          </cell>
          <cell r="AE390">
            <v>0.625</v>
          </cell>
          <cell r="AF390">
            <v>1808.95</v>
          </cell>
        </row>
        <row r="391">
          <cell r="B391" t="str">
            <v>03AG880494</v>
          </cell>
          <cell r="C391">
            <v>2019</v>
          </cell>
          <cell r="D391" t="str">
            <v>Qtr 2</v>
          </cell>
          <cell r="E391" t="str">
            <v>April</v>
          </cell>
          <cell r="F391">
            <v>5</v>
          </cell>
          <cell r="G391" t="str">
            <v>CORRECTIVO</v>
          </cell>
          <cell r="H391">
            <v>1.1499999999999999</v>
          </cell>
          <cell r="I391" t="str">
            <v>Departmental Digital</v>
          </cell>
          <cell r="J391">
            <v>655</v>
          </cell>
          <cell r="K391">
            <v>1365</v>
          </cell>
          <cell r="L391">
            <v>0</v>
          </cell>
          <cell r="M391">
            <v>0</v>
          </cell>
          <cell r="N391">
            <v>0.6</v>
          </cell>
          <cell r="O391">
            <v>0.8</v>
          </cell>
          <cell r="P391">
            <v>1.05</v>
          </cell>
          <cell r="Q391">
            <v>1.1000000000000001</v>
          </cell>
          <cell r="R391" t="str">
            <v>INTERIOR</v>
          </cell>
          <cell r="S391">
            <v>5</v>
          </cell>
          <cell r="T391">
            <v>9</v>
          </cell>
          <cell r="U391" t="str">
            <v>Ciudad principal</v>
          </cell>
          <cell r="V391" t="str">
            <v>Light Production Digital Business</v>
          </cell>
          <cell r="W391" t="str">
            <v>JALISCO</v>
          </cell>
          <cell r="X391">
            <v>2019</v>
          </cell>
          <cell r="Y391" t="str">
            <v>Qtr 2</v>
          </cell>
          <cell r="Z391" t="str">
            <v>April</v>
          </cell>
          <cell r="AA391">
            <v>5</v>
          </cell>
          <cell r="AB391">
            <v>0</v>
          </cell>
          <cell r="AC391">
            <v>8</v>
          </cell>
          <cell r="AD391">
            <v>0.6</v>
          </cell>
          <cell r="AE391">
            <v>0.23</v>
          </cell>
          <cell r="AF391">
            <v>819</v>
          </cell>
        </row>
        <row r="392">
          <cell r="B392" t="str">
            <v>0E2B654062</v>
          </cell>
          <cell r="C392">
            <v>2019</v>
          </cell>
          <cell r="D392" t="str">
            <v>Qtr 2</v>
          </cell>
          <cell r="E392" t="str">
            <v>April</v>
          </cell>
          <cell r="F392">
            <v>5</v>
          </cell>
          <cell r="G392" t="str">
            <v>CORRECTIVO</v>
          </cell>
          <cell r="H392">
            <v>1.983333</v>
          </cell>
          <cell r="I392" t="str">
            <v>Entry Production Color Low/Mid</v>
          </cell>
          <cell r="J392">
            <v>803</v>
          </cell>
          <cell r="K392">
            <v>1573</v>
          </cell>
          <cell r="L392">
            <v>0.2</v>
          </cell>
          <cell r="M392">
            <v>0.6</v>
          </cell>
          <cell r="N392">
            <v>0.8</v>
          </cell>
          <cell r="O392">
            <v>1.05</v>
          </cell>
          <cell r="P392">
            <v>1.1000000000000001</v>
          </cell>
          <cell r="Q392">
            <v>1.1499999999999999</v>
          </cell>
          <cell r="R392" t="str">
            <v>INTERIOR</v>
          </cell>
          <cell r="S392">
            <v>4</v>
          </cell>
          <cell r="T392">
            <v>6</v>
          </cell>
          <cell r="U392" t="str">
            <v>Ciudad principal</v>
          </cell>
          <cell r="V392" t="str">
            <v>Entry Production Color Low/Mid</v>
          </cell>
          <cell r="W392" t="str">
            <v>NUEVO LEON</v>
          </cell>
          <cell r="X392">
            <v>2019</v>
          </cell>
          <cell r="Y392" t="str">
            <v>Qtr 2</v>
          </cell>
          <cell r="Z392" t="str">
            <v>April</v>
          </cell>
          <cell r="AA392">
            <v>5</v>
          </cell>
          <cell r="AB392">
            <v>0</v>
          </cell>
          <cell r="AC392">
            <v>-11</v>
          </cell>
          <cell r="AD392">
            <v>1.1499999999999999</v>
          </cell>
          <cell r="AE392">
            <v>0.49583325</v>
          </cell>
          <cell r="AF392">
            <v>1808.95</v>
          </cell>
        </row>
        <row r="393">
          <cell r="B393" t="str">
            <v>0D6X458430</v>
          </cell>
          <cell r="C393">
            <v>2019</v>
          </cell>
          <cell r="D393" t="str">
            <v>Qtr 2</v>
          </cell>
          <cell r="E393" t="str">
            <v>April</v>
          </cell>
          <cell r="F393">
            <v>5</v>
          </cell>
          <cell r="G393" t="str">
            <v>CORRECTIVO</v>
          </cell>
          <cell r="H393">
            <v>0.71666660000000004</v>
          </cell>
          <cell r="I393" t="str">
            <v>Entry Mono Printers</v>
          </cell>
          <cell r="J393">
            <v>468</v>
          </cell>
          <cell r="K393">
            <v>715</v>
          </cell>
          <cell r="L393">
            <v>0</v>
          </cell>
          <cell r="M393">
            <v>0</v>
          </cell>
          <cell r="N393">
            <v>0</v>
          </cell>
          <cell r="O393">
            <v>0.6</v>
          </cell>
          <cell r="P393">
            <v>0.8</v>
          </cell>
          <cell r="Q393">
            <v>1.05</v>
          </cell>
          <cell r="R393" t="str">
            <v>INTERIOR</v>
          </cell>
          <cell r="S393">
            <v>5</v>
          </cell>
          <cell r="T393">
            <v>9</v>
          </cell>
          <cell r="U393" t="str">
            <v>Ciudad principal</v>
          </cell>
          <cell r="V393" t="str">
            <v>Entry Mono Printers</v>
          </cell>
          <cell r="W393" t="str">
            <v>CHIHUAHUA</v>
          </cell>
          <cell r="X393">
            <v>2019</v>
          </cell>
          <cell r="Y393" t="str">
            <v>Qtr 2</v>
          </cell>
          <cell r="Z393" t="str">
            <v>April</v>
          </cell>
          <cell r="AA393">
            <v>9</v>
          </cell>
          <cell r="AB393">
            <v>0</v>
          </cell>
          <cell r="AC393">
            <v>354</v>
          </cell>
          <cell r="AD393">
            <v>1.05</v>
          </cell>
          <cell r="AE393">
            <v>0.14333331999999999</v>
          </cell>
          <cell r="AF393">
            <v>750.75</v>
          </cell>
        </row>
        <row r="394">
          <cell r="B394" t="str">
            <v>0E2B659015</v>
          </cell>
          <cell r="C394">
            <v>2019</v>
          </cell>
          <cell r="D394" t="str">
            <v>Qtr 2</v>
          </cell>
          <cell r="E394" t="str">
            <v>April</v>
          </cell>
          <cell r="F394">
            <v>5</v>
          </cell>
          <cell r="G394" t="str">
            <v>CORRECTIVO</v>
          </cell>
          <cell r="H394">
            <v>2.5</v>
          </cell>
          <cell r="I394" t="str">
            <v>Entry Production Color Low/Mid</v>
          </cell>
          <cell r="J394">
            <v>803</v>
          </cell>
          <cell r="K394">
            <v>1573</v>
          </cell>
          <cell r="L394">
            <v>0.2</v>
          </cell>
          <cell r="M394">
            <v>0.6</v>
          </cell>
          <cell r="N394">
            <v>0.8</v>
          </cell>
          <cell r="O394">
            <v>1.05</v>
          </cell>
          <cell r="P394">
            <v>1.1000000000000001</v>
          </cell>
          <cell r="Q394">
            <v>1.1499999999999999</v>
          </cell>
          <cell r="R394" t="str">
            <v>INTERIOR</v>
          </cell>
          <cell r="S394">
            <v>4</v>
          </cell>
          <cell r="T394">
            <v>6</v>
          </cell>
          <cell r="U394" t="str">
            <v>Ciudad principal</v>
          </cell>
          <cell r="V394" t="str">
            <v>Entry Production Color Low/Mid</v>
          </cell>
          <cell r="W394" t="str">
            <v>JALISCO</v>
          </cell>
          <cell r="X394">
            <v>2019</v>
          </cell>
          <cell r="Y394" t="str">
            <v>Qtr 2</v>
          </cell>
          <cell r="Z394" t="str">
            <v>April</v>
          </cell>
          <cell r="AA394">
            <v>5</v>
          </cell>
          <cell r="AB394">
            <v>0</v>
          </cell>
          <cell r="AC394">
            <v>1</v>
          </cell>
          <cell r="AD394">
            <v>0.2</v>
          </cell>
          <cell r="AE394">
            <v>0.625</v>
          </cell>
          <cell r="AF394">
            <v>314.60000000000002</v>
          </cell>
        </row>
        <row r="395">
          <cell r="B395" t="str">
            <v>0XLT861010</v>
          </cell>
          <cell r="C395">
            <v>2019</v>
          </cell>
          <cell r="D395" t="str">
            <v>Qtr 2</v>
          </cell>
          <cell r="E395" t="str">
            <v>April</v>
          </cell>
          <cell r="F395">
            <v>5</v>
          </cell>
          <cell r="G395" t="str">
            <v>CORRECTIVO</v>
          </cell>
          <cell r="H395">
            <v>1.25</v>
          </cell>
          <cell r="J395" t="str">
            <v>NA</v>
          </cell>
          <cell r="K395" t="str">
            <v>NA</v>
          </cell>
          <cell r="L395" t="str">
            <v>NA</v>
          </cell>
          <cell r="M395" t="str">
            <v>NA</v>
          </cell>
          <cell r="N395" t="str">
            <v>NA</v>
          </cell>
          <cell r="O395" t="str">
            <v>NA</v>
          </cell>
          <cell r="P395" t="str">
            <v>NA</v>
          </cell>
          <cell r="Q395" t="str">
            <v>NA</v>
          </cell>
          <cell r="S395" t="str">
            <v>NA</v>
          </cell>
          <cell r="T395" t="str">
            <v>NA</v>
          </cell>
          <cell r="V395" t="str">
            <v>Entry Mono Printers</v>
          </cell>
          <cell r="W395" t="str">
            <v>CHIHUAHUA</v>
          </cell>
          <cell r="X395">
            <v>2019</v>
          </cell>
          <cell r="Y395" t="str">
            <v>Qtr 2</v>
          </cell>
          <cell r="Z395" t="str">
            <v>April</v>
          </cell>
          <cell r="AA395">
            <v>5</v>
          </cell>
          <cell r="AB395" t="str">
            <v>NA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</row>
        <row r="396">
          <cell r="B396" t="str">
            <v>0E2B663505</v>
          </cell>
          <cell r="C396">
            <v>2019</v>
          </cell>
          <cell r="D396" t="str">
            <v>Qtr 2</v>
          </cell>
          <cell r="E396" t="str">
            <v>April</v>
          </cell>
          <cell r="F396">
            <v>5</v>
          </cell>
          <cell r="G396" t="str">
            <v>CORRECTIVO</v>
          </cell>
          <cell r="H396">
            <v>1.566667</v>
          </cell>
          <cell r="I396" t="str">
            <v>Entry Production Color Low/Mid</v>
          </cell>
          <cell r="J396">
            <v>803</v>
          </cell>
          <cell r="K396">
            <v>1573</v>
          </cell>
          <cell r="L396">
            <v>0.2</v>
          </cell>
          <cell r="M396">
            <v>0.6</v>
          </cell>
          <cell r="N396">
            <v>0.8</v>
          </cell>
          <cell r="O396">
            <v>1.05</v>
          </cell>
          <cell r="P396">
            <v>1.1000000000000001</v>
          </cell>
          <cell r="Q396">
            <v>1.1499999999999999</v>
          </cell>
          <cell r="R396" t="str">
            <v>INTERIOR</v>
          </cell>
          <cell r="S396">
            <v>4</v>
          </cell>
          <cell r="T396">
            <v>6</v>
          </cell>
          <cell r="U396" t="str">
            <v>Ciudad principal</v>
          </cell>
          <cell r="V396" t="str">
            <v>Entry Production Color Low/Mid</v>
          </cell>
          <cell r="W396" t="str">
            <v>JALISCO</v>
          </cell>
          <cell r="X396">
            <v>2019</v>
          </cell>
          <cell r="Y396" t="str">
            <v>Qtr 2</v>
          </cell>
          <cell r="Z396" t="str">
            <v>April</v>
          </cell>
          <cell r="AA396">
            <v>8</v>
          </cell>
          <cell r="AB396">
            <v>0</v>
          </cell>
          <cell r="AC396">
            <v>58</v>
          </cell>
          <cell r="AD396">
            <v>1.1000000000000001</v>
          </cell>
          <cell r="AE396">
            <v>0.39166675000000001</v>
          </cell>
          <cell r="AF396">
            <v>1730.3</v>
          </cell>
        </row>
        <row r="397">
          <cell r="B397" t="str">
            <v>0BG0974960</v>
          </cell>
          <cell r="C397">
            <v>2019</v>
          </cell>
          <cell r="D397" t="str">
            <v>Qtr 2</v>
          </cell>
          <cell r="E397" t="str">
            <v>April</v>
          </cell>
          <cell r="F397">
            <v>5</v>
          </cell>
          <cell r="G397" t="str">
            <v>MANTENIMIENTO PREVENTIVO</v>
          </cell>
          <cell r="H397">
            <v>0</v>
          </cell>
          <cell r="J397" t="str">
            <v>NA</v>
          </cell>
          <cell r="K397" t="str">
            <v>NA</v>
          </cell>
          <cell r="L397" t="str">
            <v>NA</v>
          </cell>
          <cell r="M397" t="str">
            <v>NA</v>
          </cell>
          <cell r="N397" t="str">
            <v>NA</v>
          </cell>
          <cell r="O397" t="str">
            <v>NA</v>
          </cell>
          <cell r="P397" t="str">
            <v>NA</v>
          </cell>
          <cell r="Q397" t="str">
            <v>NA</v>
          </cell>
          <cell r="S397" t="str">
            <v>NA</v>
          </cell>
          <cell r="T397" t="str">
            <v>NA</v>
          </cell>
          <cell r="V397" t="str">
            <v>High End Cut Sheet</v>
          </cell>
          <cell r="W397" t="str">
            <v>JALISCO</v>
          </cell>
          <cell r="X397">
            <v>2019</v>
          </cell>
          <cell r="Y397" t="str">
            <v>Qtr 2</v>
          </cell>
          <cell r="Z397" t="str">
            <v>April</v>
          </cell>
          <cell r="AA397">
            <v>5</v>
          </cell>
          <cell r="AB397" t="str">
            <v>NA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B398" t="str">
            <v>09HB331981</v>
          </cell>
          <cell r="C398">
            <v>2019</v>
          </cell>
          <cell r="D398" t="str">
            <v>Qtr 2</v>
          </cell>
          <cell r="E398" t="str">
            <v>April</v>
          </cell>
          <cell r="F398">
            <v>5</v>
          </cell>
          <cell r="G398" t="str">
            <v>MANTENIMIENTO PREVENTIVO</v>
          </cell>
          <cell r="H398">
            <v>0</v>
          </cell>
          <cell r="J398" t="str">
            <v>NA</v>
          </cell>
          <cell r="K398" t="str">
            <v>NA</v>
          </cell>
          <cell r="L398" t="str">
            <v>NA</v>
          </cell>
          <cell r="M398" t="str">
            <v>NA</v>
          </cell>
          <cell r="N398" t="str">
            <v>NA</v>
          </cell>
          <cell r="O398" t="str">
            <v>NA</v>
          </cell>
          <cell r="P398" t="str">
            <v>NA</v>
          </cell>
          <cell r="Q398" t="str">
            <v>NA</v>
          </cell>
          <cell r="S398" t="str">
            <v>NA</v>
          </cell>
          <cell r="T398" t="str">
            <v>NA</v>
          </cell>
          <cell r="V398" t="str">
            <v>A4 Mono MFPs</v>
          </cell>
          <cell r="W398" t="str">
            <v>JALISCO</v>
          </cell>
          <cell r="X398">
            <v>2019</v>
          </cell>
          <cell r="Y398" t="str">
            <v>Qtr 2</v>
          </cell>
          <cell r="Z398" t="str">
            <v>April</v>
          </cell>
          <cell r="AA398">
            <v>5</v>
          </cell>
          <cell r="AB398" t="str">
            <v>NA</v>
          </cell>
          <cell r="AC398">
            <v>28</v>
          </cell>
          <cell r="AD398">
            <v>0</v>
          </cell>
          <cell r="AE398">
            <v>0</v>
          </cell>
          <cell r="AF398">
            <v>0</v>
          </cell>
        </row>
        <row r="399">
          <cell r="B399" t="str">
            <v>0E2B658511</v>
          </cell>
          <cell r="C399">
            <v>2019</v>
          </cell>
          <cell r="D399" t="str">
            <v>Qtr 2</v>
          </cell>
          <cell r="E399" t="str">
            <v>April</v>
          </cell>
          <cell r="F399">
            <v>5</v>
          </cell>
          <cell r="G399" t="str">
            <v>CORRECTIVO</v>
          </cell>
          <cell r="H399">
            <v>0.61666670000000001</v>
          </cell>
          <cell r="I399" t="str">
            <v>Entry Production Color Low/Mid</v>
          </cell>
          <cell r="J399">
            <v>803</v>
          </cell>
          <cell r="K399">
            <v>1573</v>
          </cell>
          <cell r="L399">
            <v>0.2</v>
          </cell>
          <cell r="M399">
            <v>0.6</v>
          </cell>
          <cell r="N399">
            <v>0.8</v>
          </cell>
          <cell r="O399">
            <v>1.05</v>
          </cell>
          <cell r="P399">
            <v>1.1000000000000001</v>
          </cell>
          <cell r="Q399">
            <v>1.1499999999999999</v>
          </cell>
          <cell r="R399" t="str">
            <v>INTERIOR</v>
          </cell>
          <cell r="S399">
            <v>4</v>
          </cell>
          <cell r="T399">
            <v>6</v>
          </cell>
          <cell r="U399" t="str">
            <v>Ciudad principal</v>
          </cell>
          <cell r="V399" t="str">
            <v>Entry Production Color Low/Mid</v>
          </cell>
          <cell r="W399" t="str">
            <v>QUERETARO</v>
          </cell>
          <cell r="X399">
            <v>2019</v>
          </cell>
          <cell r="Y399" t="str">
            <v>Qtr 2</v>
          </cell>
          <cell r="Z399" t="str">
            <v>April</v>
          </cell>
          <cell r="AA399">
            <v>8</v>
          </cell>
          <cell r="AB399">
            <v>0</v>
          </cell>
          <cell r="AC399">
            <v>2</v>
          </cell>
          <cell r="AD399">
            <v>0.2</v>
          </cell>
          <cell r="AE399">
            <v>0.154166675</v>
          </cell>
          <cell r="AF399">
            <v>314.60000000000002</v>
          </cell>
        </row>
        <row r="400">
          <cell r="B400" t="str">
            <v>09HB331980</v>
          </cell>
          <cell r="C400">
            <v>2019</v>
          </cell>
          <cell r="D400" t="str">
            <v>Qtr 2</v>
          </cell>
          <cell r="E400" t="str">
            <v>April</v>
          </cell>
          <cell r="F400">
            <v>5</v>
          </cell>
          <cell r="G400" t="str">
            <v>MANTENIMIENTO PREVENTIVO</v>
          </cell>
          <cell r="H400">
            <v>0</v>
          </cell>
          <cell r="I400" t="str">
            <v>A4 Mono MFPs</v>
          </cell>
          <cell r="J400">
            <v>468</v>
          </cell>
          <cell r="K400">
            <v>715</v>
          </cell>
          <cell r="L400">
            <v>0</v>
          </cell>
          <cell r="M400">
            <v>0</v>
          </cell>
          <cell r="N400">
            <v>0</v>
          </cell>
          <cell r="O400">
            <v>0.6</v>
          </cell>
          <cell r="P400">
            <v>0.8</v>
          </cell>
          <cell r="Q400">
            <v>1.05</v>
          </cell>
          <cell r="R400" t="str">
            <v>INTERIOR</v>
          </cell>
          <cell r="S400">
            <v>5</v>
          </cell>
          <cell r="T400">
            <v>9</v>
          </cell>
          <cell r="U400" t="str">
            <v>Ciudad principal</v>
          </cell>
          <cell r="V400" t="str">
            <v>A4 Mono MFPs</v>
          </cell>
          <cell r="W400" t="str">
            <v>JALISCO</v>
          </cell>
          <cell r="X400">
            <v>2019</v>
          </cell>
          <cell r="Y400" t="str">
            <v>Qtr 2</v>
          </cell>
          <cell r="Z400" t="str">
            <v>April</v>
          </cell>
          <cell r="AA400">
            <v>5</v>
          </cell>
          <cell r="AB400">
            <v>1</v>
          </cell>
          <cell r="AC400">
            <v>21</v>
          </cell>
          <cell r="AD400">
            <v>0</v>
          </cell>
          <cell r="AE400">
            <v>0</v>
          </cell>
          <cell r="AF400">
            <v>0</v>
          </cell>
        </row>
        <row r="401">
          <cell r="B401" t="str">
            <v>09HB331671</v>
          </cell>
          <cell r="C401">
            <v>2019</v>
          </cell>
          <cell r="D401" t="str">
            <v>Qtr 2</v>
          </cell>
          <cell r="E401" t="str">
            <v>April</v>
          </cell>
          <cell r="F401">
            <v>5</v>
          </cell>
          <cell r="G401" t="str">
            <v>CORRECTIVO</v>
          </cell>
          <cell r="H401">
            <v>1.4</v>
          </cell>
          <cell r="I401" t="str">
            <v>A4 Mono MFPs</v>
          </cell>
          <cell r="J401">
            <v>468</v>
          </cell>
          <cell r="K401">
            <v>715</v>
          </cell>
          <cell r="L401">
            <v>0</v>
          </cell>
          <cell r="M401">
            <v>0</v>
          </cell>
          <cell r="N401">
            <v>0</v>
          </cell>
          <cell r="O401">
            <v>0.6</v>
          </cell>
          <cell r="P401">
            <v>0.8</v>
          </cell>
          <cell r="Q401">
            <v>1.05</v>
          </cell>
          <cell r="R401" t="str">
            <v>METRO</v>
          </cell>
          <cell r="S401">
            <v>5</v>
          </cell>
          <cell r="T401">
            <v>9</v>
          </cell>
          <cell r="U401" t="str">
            <v>Ciudad principal</v>
          </cell>
          <cell r="V401" t="str">
            <v>A4 Mono MFPs</v>
          </cell>
          <cell r="W401" t="str">
            <v>CIUDAD DE MEXICO</v>
          </cell>
          <cell r="X401">
            <v>2019</v>
          </cell>
          <cell r="Y401" t="str">
            <v>Qtr 2</v>
          </cell>
          <cell r="Z401" t="str">
            <v>April</v>
          </cell>
          <cell r="AA401">
            <v>5</v>
          </cell>
          <cell r="AB401">
            <v>0</v>
          </cell>
          <cell r="AC401">
            <v>1</v>
          </cell>
          <cell r="AD401">
            <v>0</v>
          </cell>
          <cell r="AE401">
            <v>0.28000000000000003</v>
          </cell>
          <cell r="AF401">
            <v>0</v>
          </cell>
        </row>
        <row r="402">
          <cell r="B402" t="str">
            <v>0Y4X847324</v>
          </cell>
          <cell r="C402">
            <v>2019</v>
          </cell>
          <cell r="D402" t="str">
            <v>Qtr 2</v>
          </cell>
          <cell r="E402" t="str">
            <v>April</v>
          </cell>
          <cell r="F402">
            <v>5</v>
          </cell>
          <cell r="G402" t="str">
            <v>MANTENIMIENTO PREVENTIVO</v>
          </cell>
          <cell r="H402">
            <v>0</v>
          </cell>
          <cell r="I402" t="str">
            <v>Office Digital</v>
          </cell>
          <cell r="J402">
            <v>655</v>
          </cell>
          <cell r="K402">
            <v>1365</v>
          </cell>
          <cell r="L402">
            <v>0</v>
          </cell>
          <cell r="M402">
            <v>0</v>
          </cell>
          <cell r="N402">
            <v>0.6</v>
          </cell>
          <cell r="O402">
            <v>0.8</v>
          </cell>
          <cell r="P402">
            <v>1.05</v>
          </cell>
          <cell r="Q402">
            <v>1.1000000000000001</v>
          </cell>
          <cell r="R402" t="str">
            <v>INTERIOR</v>
          </cell>
          <cell r="S402">
            <v>5</v>
          </cell>
          <cell r="T402">
            <v>9</v>
          </cell>
          <cell r="U402" t="str">
            <v>Ciudad principal</v>
          </cell>
          <cell r="V402" t="str">
            <v>Light Production Digital Business</v>
          </cell>
          <cell r="W402" t="str">
            <v>JALISCO</v>
          </cell>
          <cell r="X402">
            <v>2019</v>
          </cell>
          <cell r="Y402" t="str">
            <v>Qtr 2</v>
          </cell>
          <cell r="Z402" t="str">
            <v>April</v>
          </cell>
          <cell r="AA402">
            <v>5</v>
          </cell>
          <cell r="AB402">
            <v>1</v>
          </cell>
          <cell r="AC402">
            <v>14</v>
          </cell>
          <cell r="AD402">
            <v>0</v>
          </cell>
          <cell r="AE402">
            <v>0</v>
          </cell>
          <cell r="AF402">
            <v>0</v>
          </cell>
        </row>
        <row r="403">
          <cell r="B403" t="str">
            <v>0AGC431093</v>
          </cell>
          <cell r="C403">
            <v>2019</v>
          </cell>
          <cell r="D403" t="str">
            <v>Qtr 2</v>
          </cell>
          <cell r="E403" t="str">
            <v>April</v>
          </cell>
          <cell r="F403">
            <v>5</v>
          </cell>
          <cell r="G403" t="str">
            <v>CORRECTIVO</v>
          </cell>
          <cell r="H403">
            <v>2.2999999999999998</v>
          </cell>
          <cell r="I403" t="str">
            <v>WF Mono Systems and Legacy Color</v>
          </cell>
          <cell r="J403">
            <v>803</v>
          </cell>
          <cell r="K403">
            <v>1573</v>
          </cell>
          <cell r="L403">
            <v>0.2</v>
          </cell>
          <cell r="M403">
            <v>0.6</v>
          </cell>
          <cell r="N403">
            <v>0.8</v>
          </cell>
          <cell r="O403">
            <v>1.05</v>
          </cell>
          <cell r="P403">
            <v>1.1000000000000001</v>
          </cell>
          <cell r="Q403">
            <v>1.1499999999999999</v>
          </cell>
          <cell r="R403" t="str">
            <v>INTERIOR</v>
          </cell>
          <cell r="S403">
            <v>4</v>
          </cell>
          <cell r="T403">
            <v>6</v>
          </cell>
          <cell r="U403" t="str">
            <v>Ciudad principal</v>
          </cell>
          <cell r="V403" t="str">
            <v>WF Mono Systems and Legacy Color</v>
          </cell>
          <cell r="W403" t="str">
            <v>TAMAULIPAS</v>
          </cell>
          <cell r="X403">
            <v>2019</v>
          </cell>
          <cell r="Y403" t="str">
            <v>Qtr 2</v>
          </cell>
          <cell r="Z403" t="str">
            <v>April</v>
          </cell>
          <cell r="AA403">
            <v>17</v>
          </cell>
          <cell r="AB403">
            <v>0</v>
          </cell>
          <cell r="AC403">
            <v>231</v>
          </cell>
          <cell r="AD403">
            <v>1.1499999999999999</v>
          </cell>
          <cell r="AE403">
            <v>0.57499999999999996</v>
          </cell>
          <cell r="AF403">
            <v>1808.95</v>
          </cell>
        </row>
        <row r="404">
          <cell r="B404" t="str">
            <v>0X76704205</v>
          </cell>
          <cell r="C404">
            <v>2019</v>
          </cell>
          <cell r="D404" t="str">
            <v>Qtr 2</v>
          </cell>
          <cell r="E404" t="str">
            <v>April</v>
          </cell>
          <cell r="F404">
            <v>5</v>
          </cell>
          <cell r="G404" t="str">
            <v>CORRECTIVO</v>
          </cell>
          <cell r="H404">
            <v>0.81666669999999997</v>
          </cell>
          <cell r="I404" t="str">
            <v>Departmental Digital</v>
          </cell>
          <cell r="J404">
            <v>655</v>
          </cell>
          <cell r="K404">
            <v>1365</v>
          </cell>
          <cell r="L404">
            <v>0</v>
          </cell>
          <cell r="M404">
            <v>0</v>
          </cell>
          <cell r="N404">
            <v>0.6</v>
          </cell>
          <cell r="O404">
            <v>0.8</v>
          </cell>
          <cell r="P404">
            <v>1.05</v>
          </cell>
          <cell r="Q404">
            <v>1.1000000000000001</v>
          </cell>
          <cell r="R404" t="str">
            <v>INTERIOR</v>
          </cell>
          <cell r="S404">
            <v>5</v>
          </cell>
          <cell r="T404">
            <v>9</v>
          </cell>
          <cell r="U404" t="str">
            <v>Ciudad principal</v>
          </cell>
          <cell r="V404" t="str">
            <v>Departmental Digital</v>
          </cell>
          <cell r="W404" t="str">
            <v>CHIHUAHUA</v>
          </cell>
          <cell r="X404">
            <v>2019</v>
          </cell>
          <cell r="Y404" t="str">
            <v>Qtr 2</v>
          </cell>
          <cell r="Z404" t="str">
            <v>April</v>
          </cell>
          <cell r="AA404">
            <v>5</v>
          </cell>
          <cell r="AB404">
            <v>0</v>
          </cell>
          <cell r="AC404">
            <v>28</v>
          </cell>
          <cell r="AD404">
            <v>0.8</v>
          </cell>
          <cell r="AE404">
            <v>0.16333333999999999</v>
          </cell>
          <cell r="AF404">
            <v>1092</v>
          </cell>
        </row>
        <row r="405">
          <cell r="B405" t="str">
            <v>0PW4980265</v>
          </cell>
          <cell r="C405">
            <v>2019</v>
          </cell>
          <cell r="D405" t="str">
            <v>Qtr 2</v>
          </cell>
          <cell r="E405" t="str">
            <v>April</v>
          </cell>
          <cell r="F405">
            <v>5</v>
          </cell>
          <cell r="G405" t="str">
            <v>MANTENIMIENTO PREVENTIVO</v>
          </cell>
          <cell r="H405">
            <v>0</v>
          </cell>
          <cell r="I405" t="str">
            <v>WF Mono Systems and Legacy Color</v>
          </cell>
          <cell r="J405">
            <v>803</v>
          </cell>
          <cell r="K405">
            <v>1573</v>
          </cell>
          <cell r="L405">
            <v>0.2</v>
          </cell>
          <cell r="M405">
            <v>0.6</v>
          </cell>
          <cell r="N405">
            <v>0.8</v>
          </cell>
          <cell r="O405">
            <v>1.05</v>
          </cell>
          <cell r="P405">
            <v>1.1000000000000001</v>
          </cell>
          <cell r="Q405">
            <v>1.1499999999999999</v>
          </cell>
          <cell r="R405" t="str">
            <v>INTERIOR</v>
          </cell>
          <cell r="S405">
            <v>4</v>
          </cell>
          <cell r="T405">
            <v>6</v>
          </cell>
          <cell r="U405" t="str">
            <v>Ciudad principal</v>
          </cell>
          <cell r="V405" t="str">
            <v>WF Mono Systems and Legacy Color</v>
          </cell>
          <cell r="W405" t="str">
            <v>JALISCO</v>
          </cell>
          <cell r="X405">
            <v>2019</v>
          </cell>
          <cell r="Y405" t="str">
            <v>Qtr 2</v>
          </cell>
          <cell r="Z405" t="str">
            <v>April</v>
          </cell>
          <cell r="AA405">
            <v>5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1573</v>
          </cell>
        </row>
        <row r="406">
          <cell r="B406" t="str">
            <v>0EX7416648</v>
          </cell>
          <cell r="C406">
            <v>2019</v>
          </cell>
          <cell r="D406" t="str">
            <v>Qtr 2</v>
          </cell>
          <cell r="E406" t="str">
            <v>April</v>
          </cell>
          <cell r="F406">
            <v>5</v>
          </cell>
          <cell r="G406" t="str">
            <v>CORRECTIVO</v>
          </cell>
          <cell r="H406">
            <v>1.1333329999999999</v>
          </cell>
          <cell r="I406" t="str">
            <v>Office Digital</v>
          </cell>
          <cell r="J406">
            <v>655</v>
          </cell>
          <cell r="K406">
            <v>1365</v>
          </cell>
          <cell r="L406">
            <v>0</v>
          </cell>
          <cell r="M406">
            <v>0</v>
          </cell>
          <cell r="N406">
            <v>0.6</v>
          </cell>
          <cell r="O406">
            <v>0.8</v>
          </cell>
          <cell r="P406">
            <v>1.05</v>
          </cell>
          <cell r="Q406">
            <v>1.1000000000000001</v>
          </cell>
          <cell r="R406" t="str">
            <v>INTERIOR</v>
          </cell>
          <cell r="S406">
            <v>5</v>
          </cell>
          <cell r="T406">
            <v>9</v>
          </cell>
          <cell r="U406" t="str">
            <v>Ciudad principal</v>
          </cell>
          <cell r="V406" t="str">
            <v>Departmental Digital</v>
          </cell>
          <cell r="W406" t="str">
            <v>CHIHUAHUA</v>
          </cell>
          <cell r="X406">
            <v>2019</v>
          </cell>
          <cell r="Y406" t="str">
            <v>Qtr 2</v>
          </cell>
          <cell r="Z406" t="str">
            <v>April</v>
          </cell>
          <cell r="AA406">
            <v>8</v>
          </cell>
          <cell r="AB406">
            <v>0</v>
          </cell>
          <cell r="AC406">
            <v>3</v>
          </cell>
          <cell r="AD406">
            <v>0</v>
          </cell>
          <cell r="AE406">
            <v>0.2266666</v>
          </cell>
          <cell r="AF406">
            <v>0</v>
          </cell>
        </row>
        <row r="407">
          <cell r="B407" t="str">
            <v>0E2B647375</v>
          </cell>
          <cell r="C407">
            <v>2019</v>
          </cell>
          <cell r="D407" t="str">
            <v>Qtr 2</v>
          </cell>
          <cell r="E407" t="str">
            <v>April</v>
          </cell>
          <cell r="F407">
            <v>5</v>
          </cell>
          <cell r="G407" t="str">
            <v>CORRECTIVO</v>
          </cell>
          <cell r="H407">
            <v>0.48333330000000002</v>
          </cell>
          <cell r="I407" t="str">
            <v>Entry Production Color Low/Mid</v>
          </cell>
          <cell r="J407">
            <v>803</v>
          </cell>
          <cell r="K407">
            <v>1573</v>
          </cell>
          <cell r="L407">
            <v>0.2</v>
          </cell>
          <cell r="M407">
            <v>0.6</v>
          </cell>
          <cell r="N407">
            <v>0.8</v>
          </cell>
          <cell r="O407">
            <v>1.05</v>
          </cell>
          <cell r="P407">
            <v>1.1000000000000001</v>
          </cell>
          <cell r="Q407">
            <v>1.1499999999999999</v>
          </cell>
          <cell r="R407" t="str">
            <v>INTERIOR</v>
          </cell>
          <cell r="S407">
            <v>4</v>
          </cell>
          <cell r="T407">
            <v>6</v>
          </cell>
          <cell r="U407" t="str">
            <v>Ciudad principal</v>
          </cell>
          <cell r="V407" t="str">
            <v>Entry Production Color Low/Mid</v>
          </cell>
          <cell r="W407" t="str">
            <v>NUEVO LEON</v>
          </cell>
          <cell r="X407">
            <v>2019</v>
          </cell>
          <cell r="Y407" t="str">
            <v>Qtr 2</v>
          </cell>
          <cell r="Z407" t="str">
            <v>April</v>
          </cell>
          <cell r="AA407">
            <v>8</v>
          </cell>
          <cell r="AB407">
            <v>0</v>
          </cell>
          <cell r="AC407">
            <v>0</v>
          </cell>
          <cell r="AD407">
            <v>1.1499999999999999</v>
          </cell>
          <cell r="AE407">
            <v>0.12083332500000001</v>
          </cell>
          <cell r="AF407">
            <v>1808.95</v>
          </cell>
        </row>
        <row r="408">
          <cell r="B408" t="str">
            <v>0MX1219085</v>
          </cell>
          <cell r="C408">
            <v>2019</v>
          </cell>
          <cell r="D408" t="str">
            <v>Qtr 2</v>
          </cell>
          <cell r="E408" t="str">
            <v>April</v>
          </cell>
          <cell r="F408">
            <v>5</v>
          </cell>
          <cell r="G408" t="str">
            <v>CORRECTIVO</v>
          </cell>
          <cell r="H408">
            <v>0</v>
          </cell>
          <cell r="I408" t="str">
            <v>A3 Office Color Laser MFPs</v>
          </cell>
          <cell r="J408">
            <v>655</v>
          </cell>
          <cell r="K408">
            <v>1365</v>
          </cell>
          <cell r="L408">
            <v>0</v>
          </cell>
          <cell r="M408">
            <v>0</v>
          </cell>
          <cell r="N408">
            <v>0.6</v>
          </cell>
          <cell r="O408">
            <v>0.8</v>
          </cell>
          <cell r="P408">
            <v>1.05</v>
          </cell>
          <cell r="Q408">
            <v>1.1000000000000001</v>
          </cell>
          <cell r="R408" t="str">
            <v>INTERIOR</v>
          </cell>
          <cell r="S408">
            <v>5</v>
          </cell>
          <cell r="T408">
            <v>9</v>
          </cell>
          <cell r="U408" t="str">
            <v>Ciudad principal</v>
          </cell>
          <cell r="V408" t="str">
            <v>A3 Office Color Laser MFPs</v>
          </cell>
          <cell r="W408" t="str">
            <v>JALISCO</v>
          </cell>
          <cell r="X408">
            <v>2019</v>
          </cell>
          <cell r="Y408" t="str">
            <v>Qtr 2</v>
          </cell>
          <cell r="Z408" t="str">
            <v>April</v>
          </cell>
          <cell r="AA408">
            <v>17</v>
          </cell>
          <cell r="AB408">
            <v>0</v>
          </cell>
          <cell r="AC408">
            <v>220</v>
          </cell>
          <cell r="AD408">
            <v>1.1000000000000001</v>
          </cell>
          <cell r="AE408">
            <v>0</v>
          </cell>
          <cell r="AF408">
            <v>1501.5</v>
          </cell>
        </row>
        <row r="409">
          <cell r="B409" t="str">
            <v>09HB332059</v>
          </cell>
          <cell r="C409">
            <v>2019</v>
          </cell>
          <cell r="D409" t="str">
            <v>Qtr 2</v>
          </cell>
          <cell r="E409" t="str">
            <v>April</v>
          </cell>
          <cell r="F409">
            <v>5</v>
          </cell>
          <cell r="G409" t="str">
            <v>MANTENIMIENTO PREVENTIVO</v>
          </cell>
          <cell r="H409">
            <v>0</v>
          </cell>
          <cell r="I409" t="str">
            <v>A4 Mono MFPs</v>
          </cell>
          <cell r="J409">
            <v>468</v>
          </cell>
          <cell r="K409">
            <v>715</v>
          </cell>
          <cell r="L409">
            <v>0</v>
          </cell>
          <cell r="M409">
            <v>0</v>
          </cell>
          <cell r="N409">
            <v>0</v>
          </cell>
          <cell r="O409">
            <v>0.6</v>
          </cell>
          <cell r="P409">
            <v>0.8</v>
          </cell>
          <cell r="Q409">
            <v>1.05</v>
          </cell>
          <cell r="R409" t="str">
            <v>INTERIOR</v>
          </cell>
          <cell r="S409">
            <v>5</v>
          </cell>
          <cell r="T409">
            <v>9</v>
          </cell>
          <cell r="U409" t="str">
            <v>Ciudad principal</v>
          </cell>
          <cell r="V409" t="str">
            <v>A4 Mono MFPs</v>
          </cell>
          <cell r="W409" t="str">
            <v>JALISCO</v>
          </cell>
          <cell r="X409">
            <v>2019</v>
          </cell>
          <cell r="Y409" t="str">
            <v>Qtr 2</v>
          </cell>
          <cell r="Z409" t="str">
            <v>April</v>
          </cell>
          <cell r="AA409">
            <v>5</v>
          </cell>
          <cell r="AB409">
            <v>1</v>
          </cell>
          <cell r="AC409">
            <v>36</v>
          </cell>
          <cell r="AD409">
            <v>0</v>
          </cell>
          <cell r="AE409">
            <v>0</v>
          </cell>
          <cell r="AF409">
            <v>0</v>
          </cell>
        </row>
        <row r="410">
          <cell r="B410" t="str">
            <v>09HB331828</v>
          </cell>
          <cell r="C410">
            <v>2019</v>
          </cell>
          <cell r="D410" t="str">
            <v>Qtr 2</v>
          </cell>
          <cell r="E410" t="str">
            <v>April</v>
          </cell>
          <cell r="F410">
            <v>5</v>
          </cell>
          <cell r="G410" t="str">
            <v>MANTENIMIENTO PREVENTIVO</v>
          </cell>
          <cell r="H410">
            <v>0</v>
          </cell>
          <cell r="J410" t="str">
            <v>NA</v>
          </cell>
          <cell r="K410" t="str">
            <v>NA</v>
          </cell>
          <cell r="L410" t="str">
            <v>NA</v>
          </cell>
          <cell r="M410" t="str">
            <v>NA</v>
          </cell>
          <cell r="N410" t="str">
            <v>NA</v>
          </cell>
          <cell r="O410" t="str">
            <v>NA</v>
          </cell>
          <cell r="P410" t="str">
            <v>NA</v>
          </cell>
          <cell r="Q410" t="str">
            <v>NA</v>
          </cell>
          <cell r="S410" t="str">
            <v>NA</v>
          </cell>
          <cell r="T410" t="str">
            <v>NA</v>
          </cell>
          <cell r="V410" t="str">
            <v>A4 Mono MFPs</v>
          </cell>
          <cell r="W410" t="str">
            <v>JALISCO</v>
          </cell>
          <cell r="X410">
            <v>2019</v>
          </cell>
          <cell r="Y410" t="str">
            <v>Qtr 2</v>
          </cell>
          <cell r="Z410" t="str">
            <v>April</v>
          </cell>
          <cell r="AA410">
            <v>5</v>
          </cell>
          <cell r="AB410" t="str">
            <v>NA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</row>
        <row r="411">
          <cell r="B411" t="str">
            <v>0RXD143457</v>
          </cell>
          <cell r="C411">
            <v>2019</v>
          </cell>
          <cell r="D411" t="str">
            <v>Qtr 2</v>
          </cell>
          <cell r="E411" t="str">
            <v>April</v>
          </cell>
          <cell r="F411">
            <v>5</v>
          </cell>
          <cell r="G411" t="str">
            <v>CORRECTIVO</v>
          </cell>
          <cell r="H411">
            <v>0</v>
          </cell>
          <cell r="I411" t="str">
            <v>Color Laser Printers</v>
          </cell>
          <cell r="J411">
            <v>468</v>
          </cell>
          <cell r="K411">
            <v>715</v>
          </cell>
          <cell r="L411">
            <v>0</v>
          </cell>
          <cell r="M411">
            <v>0</v>
          </cell>
          <cell r="N411">
            <v>0</v>
          </cell>
          <cell r="O411">
            <v>0.6</v>
          </cell>
          <cell r="P411">
            <v>0.8</v>
          </cell>
          <cell r="Q411">
            <v>1.05</v>
          </cell>
          <cell r="R411" t="str">
            <v>INTERIOR</v>
          </cell>
          <cell r="S411">
            <v>5</v>
          </cell>
          <cell r="T411">
            <v>9</v>
          </cell>
          <cell r="U411" t="str">
            <v>Ciudad principal</v>
          </cell>
          <cell r="V411" t="str">
            <v>Departmental Digital</v>
          </cell>
          <cell r="W411" t="str">
            <v>CHIHUAHUA</v>
          </cell>
          <cell r="X411">
            <v>2019</v>
          </cell>
          <cell r="Y411" t="str">
            <v>Qtr 2</v>
          </cell>
          <cell r="Z411" t="str">
            <v>April</v>
          </cell>
          <cell r="AA411">
            <v>8</v>
          </cell>
          <cell r="AB411">
            <v>0</v>
          </cell>
          <cell r="AC411">
            <v>158</v>
          </cell>
          <cell r="AD411">
            <v>1.05</v>
          </cell>
          <cell r="AE411">
            <v>0</v>
          </cell>
          <cell r="AF411">
            <v>750.75</v>
          </cell>
        </row>
        <row r="412">
          <cell r="B412" t="str">
            <v>0BG0974960</v>
          </cell>
          <cell r="C412">
            <v>2019</v>
          </cell>
          <cell r="D412" t="str">
            <v>Qtr 2</v>
          </cell>
          <cell r="E412" t="str">
            <v>April</v>
          </cell>
          <cell r="F412">
            <v>5</v>
          </cell>
          <cell r="G412" t="str">
            <v>MANTENIMIENTO PREVENTIVO</v>
          </cell>
          <cell r="H412">
            <v>0</v>
          </cell>
          <cell r="J412" t="str">
            <v>NA</v>
          </cell>
          <cell r="K412" t="str">
            <v>NA</v>
          </cell>
          <cell r="L412" t="str">
            <v>NA</v>
          </cell>
          <cell r="M412" t="str">
            <v>NA</v>
          </cell>
          <cell r="N412" t="str">
            <v>NA</v>
          </cell>
          <cell r="O412" t="str">
            <v>NA</v>
          </cell>
          <cell r="P412" t="str">
            <v>NA</v>
          </cell>
          <cell r="Q412" t="str">
            <v>NA</v>
          </cell>
          <cell r="S412" t="str">
            <v>NA</v>
          </cell>
          <cell r="T412" t="str">
            <v>NA</v>
          </cell>
          <cell r="V412" t="str">
            <v>High End Cut Sheet</v>
          </cell>
          <cell r="W412" t="str">
            <v>JALISCO</v>
          </cell>
          <cell r="X412">
            <v>2019</v>
          </cell>
          <cell r="Y412" t="str">
            <v>Qtr 2</v>
          </cell>
          <cell r="Z412" t="str">
            <v>April</v>
          </cell>
          <cell r="AA412">
            <v>5</v>
          </cell>
          <cell r="AB412" t="str">
            <v>NA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</row>
        <row r="413">
          <cell r="B413" t="str">
            <v>0Y4X847324</v>
          </cell>
          <cell r="C413">
            <v>2019</v>
          </cell>
          <cell r="D413" t="str">
            <v>Qtr 2</v>
          </cell>
          <cell r="E413" t="str">
            <v>April</v>
          </cell>
          <cell r="F413">
            <v>5</v>
          </cell>
          <cell r="G413" t="str">
            <v>MANTENIMIENTO PREVENTIVO</v>
          </cell>
          <cell r="H413">
            <v>0</v>
          </cell>
          <cell r="I413" t="str">
            <v>Office Digital</v>
          </cell>
          <cell r="J413">
            <v>655</v>
          </cell>
          <cell r="K413">
            <v>1365</v>
          </cell>
          <cell r="L413">
            <v>0</v>
          </cell>
          <cell r="M413">
            <v>0</v>
          </cell>
          <cell r="N413">
            <v>0.6</v>
          </cell>
          <cell r="O413">
            <v>0.8</v>
          </cell>
          <cell r="P413">
            <v>1.05</v>
          </cell>
          <cell r="Q413">
            <v>1.1000000000000001</v>
          </cell>
          <cell r="R413" t="str">
            <v>INTERIOR</v>
          </cell>
          <cell r="S413">
            <v>5</v>
          </cell>
          <cell r="T413">
            <v>9</v>
          </cell>
          <cell r="U413" t="str">
            <v>Ciudad principal</v>
          </cell>
          <cell r="V413" t="str">
            <v>Light Production Digital Business</v>
          </cell>
          <cell r="W413" t="str">
            <v>JALISCO</v>
          </cell>
          <cell r="X413">
            <v>2019</v>
          </cell>
          <cell r="Y413" t="str">
            <v>Qtr 2</v>
          </cell>
          <cell r="Z413" t="str">
            <v>April</v>
          </cell>
          <cell r="AA413">
            <v>5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</row>
        <row r="414">
          <cell r="B414" t="str">
            <v>0XLT281595</v>
          </cell>
          <cell r="C414">
            <v>2019</v>
          </cell>
          <cell r="D414" t="str">
            <v>Qtr 2</v>
          </cell>
          <cell r="E414" t="str">
            <v>April</v>
          </cell>
          <cell r="F414">
            <v>6</v>
          </cell>
          <cell r="G414" t="str">
            <v>MANTENIMIENTO PREVENTIVO</v>
          </cell>
          <cell r="H414">
            <v>0</v>
          </cell>
          <cell r="I414" t="str">
            <v>Entry Mono Printers</v>
          </cell>
          <cell r="J414">
            <v>468</v>
          </cell>
          <cell r="K414">
            <v>715</v>
          </cell>
          <cell r="L414">
            <v>0</v>
          </cell>
          <cell r="M414">
            <v>0</v>
          </cell>
          <cell r="N414">
            <v>0</v>
          </cell>
          <cell r="O414">
            <v>0.6</v>
          </cell>
          <cell r="P414">
            <v>0.8</v>
          </cell>
          <cell r="Q414">
            <v>1.05</v>
          </cell>
          <cell r="R414" t="str">
            <v>INTERIOR</v>
          </cell>
          <cell r="S414">
            <v>5</v>
          </cell>
          <cell r="T414">
            <v>9</v>
          </cell>
          <cell r="U414" t="str">
            <v>Ciudad principal</v>
          </cell>
          <cell r="V414" t="str">
            <v>Entry Mono Printers</v>
          </cell>
          <cell r="W414" t="str">
            <v>CHIHUAHUA</v>
          </cell>
          <cell r="X414">
            <v>2019</v>
          </cell>
          <cell r="Y414" t="str">
            <v>Qtr 2</v>
          </cell>
          <cell r="Z414" t="str">
            <v>April</v>
          </cell>
          <cell r="AA414">
            <v>8</v>
          </cell>
          <cell r="AB414">
            <v>0</v>
          </cell>
          <cell r="AC414">
            <v>46</v>
          </cell>
          <cell r="AD414">
            <v>0</v>
          </cell>
          <cell r="AE414">
            <v>0</v>
          </cell>
          <cell r="AF414">
            <v>715</v>
          </cell>
        </row>
        <row r="415">
          <cell r="B415" t="str">
            <v>0BG2943221</v>
          </cell>
          <cell r="C415">
            <v>2019</v>
          </cell>
          <cell r="D415" t="str">
            <v>Qtr 2</v>
          </cell>
          <cell r="E415" t="str">
            <v>April</v>
          </cell>
          <cell r="F415">
            <v>7</v>
          </cell>
          <cell r="G415" t="str">
            <v>CORRECTIVO</v>
          </cell>
          <cell r="H415">
            <v>0.5</v>
          </cell>
          <cell r="I415" t="str">
            <v>Light Production Digital Business</v>
          </cell>
          <cell r="J415">
            <v>803</v>
          </cell>
          <cell r="K415">
            <v>1573</v>
          </cell>
          <cell r="L415">
            <v>0.2</v>
          </cell>
          <cell r="M415">
            <v>0.6</v>
          </cell>
          <cell r="N415">
            <v>0.8</v>
          </cell>
          <cell r="O415">
            <v>1.05</v>
          </cell>
          <cell r="P415">
            <v>1.1000000000000001</v>
          </cell>
          <cell r="Q415">
            <v>1.1499999999999999</v>
          </cell>
          <cell r="R415" t="str">
            <v>INTERIOR</v>
          </cell>
          <cell r="S415">
            <v>4</v>
          </cell>
          <cell r="T415">
            <v>6</v>
          </cell>
          <cell r="U415" t="str">
            <v>Ciudad principal</v>
          </cell>
          <cell r="V415" t="str">
            <v>High End Cut Sheet</v>
          </cell>
          <cell r="W415" t="str">
            <v>ESTADO DE MEXICO</v>
          </cell>
          <cell r="X415">
            <v>2019</v>
          </cell>
          <cell r="Y415" t="str">
            <v>Qtr 2</v>
          </cell>
          <cell r="Z415" t="str">
            <v>April</v>
          </cell>
          <cell r="AA415">
            <v>8</v>
          </cell>
          <cell r="AB415">
            <v>0</v>
          </cell>
          <cell r="AC415">
            <v>37</v>
          </cell>
          <cell r="AD415">
            <v>1.1000000000000001</v>
          </cell>
          <cell r="AE415">
            <v>0.125</v>
          </cell>
          <cell r="AF415">
            <v>1730.3</v>
          </cell>
        </row>
        <row r="416">
          <cell r="B416" t="str">
            <v>0BG2949312</v>
          </cell>
          <cell r="C416">
            <v>2019</v>
          </cell>
          <cell r="D416" t="str">
            <v>Qtr 2</v>
          </cell>
          <cell r="E416" t="str">
            <v>April</v>
          </cell>
          <cell r="F416">
            <v>7</v>
          </cell>
          <cell r="G416" t="str">
            <v>CORRECTIVO</v>
          </cell>
          <cell r="H416">
            <v>2.5</v>
          </cell>
          <cell r="I416" t="str">
            <v>Light Production Digital Business</v>
          </cell>
          <cell r="J416">
            <v>803</v>
          </cell>
          <cell r="K416">
            <v>1573</v>
          </cell>
          <cell r="L416">
            <v>0.2</v>
          </cell>
          <cell r="M416">
            <v>0.6</v>
          </cell>
          <cell r="N416">
            <v>0.8</v>
          </cell>
          <cell r="O416">
            <v>1.05</v>
          </cell>
          <cell r="P416">
            <v>1.1000000000000001</v>
          </cell>
          <cell r="Q416">
            <v>1.1499999999999999</v>
          </cell>
          <cell r="R416" t="str">
            <v>INTERIOR</v>
          </cell>
          <cell r="S416">
            <v>4</v>
          </cell>
          <cell r="T416">
            <v>6</v>
          </cell>
          <cell r="U416" t="str">
            <v>Ciudad principal</v>
          </cell>
          <cell r="V416" t="str">
            <v>High End Cut Sheet</v>
          </cell>
          <cell r="W416" t="str">
            <v>ESTADO DE MEXICO</v>
          </cell>
          <cell r="X416">
            <v>2019</v>
          </cell>
          <cell r="Y416" t="str">
            <v>Qtr 2</v>
          </cell>
          <cell r="Z416" t="str">
            <v>April</v>
          </cell>
          <cell r="AA416">
            <v>11</v>
          </cell>
          <cell r="AB416">
            <v>0</v>
          </cell>
          <cell r="AC416">
            <v>6</v>
          </cell>
          <cell r="AD416">
            <v>0.6</v>
          </cell>
          <cell r="AE416">
            <v>0.625</v>
          </cell>
          <cell r="AF416">
            <v>943.8</v>
          </cell>
        </row>
        <row r="417">
          <cell r="B417" t="str">
            <v>0E2B650746</v>
          </cell>
          <cell r="C417">
            <v>2019</v>
          </cell>
          <cell r="D417" t="str">
            <v>Qtr 2</v>
          </cell>
          <cell r="E417" t="str">
            <v>April</v>
          </cell>
          <cell r="F417">
            <v>7</v>
          </cell>
          <cell r="G417" t="str">
            <v>CORRECTIVO</v>
          </cell>
          <cell r="H417">
            <v>0.3</v>
          </cell>
          <cell r="I417" t="str">
            <v>Entry Production Color Low/Mid</v>
          </cell>
          <cell r="J417">
            <v>803</v>
          </cell>
          <cell r="K417">
            <v>1573</v>
          </cell>
          <cell r="L417">
            <v>0.2</v>
          </cell>
          <cell r="M417">
            <v>0.6</v>
          </cell>
          <cell r="N417">
            <v>0.8</v>
          </cell>
          <cell r="O417">
            <v>1.05</v>
          </cell>
          <cell r="P417">
            <v>1.1000000000000001</v>
          </cell>
          <cell r="Q417">
            <v>1.1499999999999999</v>
          </cell>
          <cell r="R417" t="str">
            <v>INTERIOR</v>
          </cell>
          <cell r="S417">
            <v>4</v>
          </cell>
          <cell r="T417">
            <v>6</v>
          </cell>
          <cell r="U417" t="str">
            <v>Ciudad principal</v>
          </cell>
          <cell r="V417" t="str">
            <v>Entry Production Color Low/Mid</v>
          </cell>
          <cell r="W417" t="str">
            <v>ESTADO DE MEXICO</v>
          </cell>
          <cell r="X417">
            <v>2019</v>
          </cell>
          <cell r="Y417" t="str">
            <v>Qtr 2</v>
          </cell>
          <cell r="Z417" t="str">
            <v>April</v>
          </cell>
          <cell r="AA417">
            <v>8</v>
          </cell>
          <cell r="AB417">
            <v>0</v>
          </cell>
          <cell r="AC417">
            <v>52</v>
          </cell>
          <cell r="AD417">
            <v>1.1000000000000001</v>
          </cell>
          <cell r="AE417">
            <v>7.4999999999999997E-2</v>
          </cell>
          <cell r="AF417">
            <v>1730.3</v>
          </cell>
        </row>
        <row r="418">
          <cell r="B418" t="str">
            <v>0C4X008292</v>
          </cell>
          <cell r="C418">
            <v>2019</v>
          </cell>
          <cell r="D418" t="str">
            <v>Qtr 2</v>
          </cell>
          <cell r="E418" t="str">
            <v>April</v>
          </cell>
          <cell r="F418">
            <v>7</v>
          </cell>
          <cell r="G418" t="str">
            <v>CORRECTIVO</v>
          </cell>
          <cell r="H418">
            <v>0.43333329999999998</v>
          </cell>
          <cell r="J418" t="str">
            <v>NA</v>
          </cell>
          <cell r="K418" t="str">
            <v>NA</v>
          </cell>
          <cell r="L418" t="str">
            <v>NA</v>
          </cell>
          <cell r="M418" t="str">
            <v>NA</v>
          </cell>
          <cell r="N418" t="str">
            <v>NA</v>
          </cell>
          <cell r="O418" t="str">
            <v>NA</v>
          </cell>
          <cell r="P418" t="str">
            <v>NA</v>
          </cell>
          <cell r="Q418" t="str">
            <v>NA</v>
          </cell>
          <cell r="S418" t="str">
            <v>NA</v>
          </cell>
          <cell r="T418" t="str">
            <v>NA</v>
          </cell>
          <cell r="V418" t="str">
            <v>A4 Mono MFPs</v>
          </cell>
          <cell r="W418" t="str">
            <v>JALISCO</v>
          </cell>
          <cell r="X418">
            <v>2019</v>
          </cell>
          <cell r="Y418" t="str">
            <v>Qtr 2</v>
          </cell>
          <cell r="Z418" t="str">
            <v>April</v>
          </cell>
          <cell r="AA418">
            <v>8</v>
          </cell>
          <cell r="AB418" t="str">
            <v>NA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</row>
        <row r="419">
          <cell r="B419" t="str">
            <v>03AG880355</v>
          </cell>
          <cell r="C419">
            <v>2019</v>
          </cell>
          <cell r="D419" t="str">
            <v>Qtr 2</v>
          </cell>
          <cell r="E419" t="str">
            <v>April</v>
          </cell>
          <cell r="F419">
            <v>7</v>
          </cell>
          <cell r="G419" t="str">
            <v>CORRECTIVO</v>
          </cell>
          <cell r="H419">
            <v>2.0333329999999998</v>
          </cell>
          <cell r="I419" t="str">
            <v>Departmental Digital</v>
          </cell>
          <cell r="J419">
            <v>655</v>
          </cell>
          <cell r="K419">
            <v>1365</v>
          </cell>
          <cell r="L419">
            <v>0</v>
          </cell>
          <cell r="M419">
            <v>0</v>
          </cell>
          <cell r="N419">
            <v>0.6</v>
          </cell>
          <cell r="O419">
            <v>0.8</v>
          </cell>
          <cell r="P419">
            <v>1.05</v>
          </cell>
          <cell r="Q419">
            <v>1.1000000000000001</v>
          </cell>
          <cell r="R419" t="str">
            <v>INTERIOR</v>
          </cell>
          <cell r="S419">
            <v>5</v>
          </cell>
          <cell r="T419">
            <v>9</v>
          </cell>
          <cell r="U419" t="str">
            <v>Ciudad principal</v>
          </cell>
          <cell r="V419" t="str">
            <v>Light Production Digital Business</v>
          </cell>
          <cell r="W419" t="str">
            <v>JALISCO</v>
          </cell>
          <cell r="X419">
            <v>2019</v>
          </cell>
          <cell r="Y419" t="str">
            <v>Qtr 2</v>
          </cell>
          <cell r="Z419" t="str">
            <v>April</v>
          </cell>
          <cell r="AA419">
            <v>8</v>
          </cell>
          <cell r="AB419">
            <v>0</v>
          </cell>
          <cell r="AC419">
            <v>4</v>
          </cell>
          <cell r="AD419">
            <v>0</v>
          </cell>
          <cell r="AE419">
            <v>0.40666659999999999</v>
          </cell>
          <cell r="AF419">
            <v>0</v>
          </cell>
        </row>
        <row r="420">
          <cell r="B420" t="str">
            <v>0XPN396574</v>
          </cell>
          <cell r="C420">
            <v>2019</v>
          </cell>
          <cell r="D420" t="str">
            <v>Qtr 2</v>
          </cell>
          <cell r="E420" t="str">
            <v>April</v>
          </cell>
          <cell r="F420">
            <v>7</v>
          </cell>
          <cell r="G420" t="str">
            <v>CORRECTIVO</v>
          </cell>
          <cell r="H420">
            <v>0.55000000000000004</v>
          </cell>
          <cell r="I420" t="str">
            <v>Entry Production Color Low/Mid</v>
          </cell>
          <cell r="J420">
            <v>803</v>
          </cell>
          <cell r="K420">
            <v>1573</v>
          </cell>
          <cell r="L420">
            <v>0.2</v>
          </cell>
          <cell r="M420">
            <v>0.6</v>
          </cell>
          <cell r="N420">
            <v>0.8</v>
          </cell>
          <cell r="O420">
            <v>1.05</v>
          </cell>
          <cell r="P420">
            <v>1.1000000000000001</v>
          </cell>
          <cell r="Q420">
            <v>1.1499999999999999</v>
          </cell>
          <cell r="R420" t="str">
            <v>INTERIOR</v>
          </cell>
          <cell r="S420">
            <v>4</v>
          </cell>
          <cell r="T420">
            <v>6</v>
          </cell>
          <cell r="U420" t="str">
            <v>Ciudad principal</v>
          </cell>
          <cell r="V420" t="str">
            <v>Entry Production Color Low/Mid</v>
          </cell>
          <cell r="W420" t="str">
            <v>JALISCO</v>
          </cell>
          <cell r="X420">
            <v>2019</v>
          </cell>
          <cell r="Y420" t="str">
            <v>Qtr 2</v>
          </cell>
          <cell r="Z420" t="str">
            <v>April</v>
          </cell>
          <cell r="AA420">
            <v>8</v>
          </cell>
          <cell r="AB420">
            <v>0</v>
          </cell>
          <cell r="AC420">
            <v>4</v>
          </cell>
          <cell r="AD420">
            <v>0.6</v>
          </cell>
          <cell r="AE420">
            <v>0.13750000000000001</v>
          </cell>
          <cell r="AF420">
            <v>943.8</v>
          </cell>
        </row>
        <row r="421">
          <cell r="B421" t="str">
            <v>9HB333175</v>
          </cell>
          <cell r="C421">
            <v>2019</v>
          </cell>
          <cell r="D421" t="str">
            <v>Qtr 2</v>
          </cell>
          <cell r="E421" t="str">
            <v>April</v>
          </cell>
          <cell r="F421">
            <v>7</v>
          </cell>
          <cell r="G421" t="str">
            <v>CORRECTIVO</v>
          </cell>
          <cell r="H421">
            <v>4.9333330000000002</v>
          </cell>
          <cell r="J421" t="str">
            <v>NA</v>
          </cell>
          <cell r="K421" t="str">
            <v>NA</v>
          </cell>
          <cell r="L421" t="str">
            <v>NA</v>
          </cell>
          <cell r="M421" t="str">
            <v>NA</v>
          </cell>
          <cell r="N421" t="str">
            <v>NA</v>
          </cell>
          <cell r="O421" t="str">
            <v>NA</v>
          </cell>
          <cell r="P421" t="str">
            <v>NA</v>
          </cell>
          <cell r="Q421" t="str">
            <v>NA</v>
          </cell>
          <cell r="S421" t="str">
            <v>NA</v>
          </cell>
          <cell r="T421" t="str">
            <v>NA</v>
          </cell>
          <cell r="V421" t="str">
            <v>A4 Mono MFPs</v>
          </cell>
          <cell r="W421" t="str">
            <v>MICHOACAN</v>
          </cell>
          <cell r="X421">
            <v>2019</v>
          </cell>
          <cell r="Y421" t="str">
            <v>Qtr 2</v>
          </cell>
          <cell r="Z421" t="str">
            <v>April</v>
          </cell>
          <cell r="AA421">
            <v>12</v>
          </cell>
          <cell r="AB421" t="str">
            <v>NA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</row>
        <row r="422">
          <cell r="B422" t="str">
            <v>0XPN393110</v>
          </cell>
          <cell r="C422">
            <v>2019</v>
          </cell>
          <cell r="D422" t="str">
            <v>Qtr 2</v>
          </cell>
          <cell r="E422" t="str">
            <v>April</v>
          </cell>
          <cell r="F422">
            <v>7</v>
          </cell>
          <cell r="G422" t="str">
            <v>CORRECTIVO</v>
          </cell>
          <cell r="H422">
            <v>0.55000000000000004</v>
          </cell>
          <cell r="I422" t="str">
            <v>Entry Production Color Low/Mid</v>
          </cell>
          <cell r="J422">
            <v>803</v>
          </cell>
          <cell r="K422">
            <v>1573</v>
          </cell>
          <cell r="L422">
            <v>0.2</v>
          </cell>
          <cell r="M422">
            <v>0.6</v>
          </cell>
          <cell r="N422">
            <v>0.8</v>
          </cell>
          <cell r="O422">
            <v>1.05</v>
          </cell>
          <cell r="P422">
            <v>1.1000000000000001</v>
          </cell>
          <cell r="Q422">
            <v>1.1499999999999999</v>
          </cell>
          <cell r="R422" t="str">
            <v>INTERIOR</v>
          </cell>
          <cell r="S422">
            <v>4</v>
          </cell>
          <cell r="T422">
            <v>6</v>
          </cell>
          <cell r="U422" t="str">
            <v>Ciudad principal</v>
          </cell>
          <cell r="V422" t="str">
            <v>Entry Production Color Low/Mid</v>
          </cell>
          <cell r="W422" t="str">
            <v>NUEVO LEON</v>
          </cell>
          <cell r="X422">
            <v>2019</v>
          </cell>
          <cell r="Y422" t="str">
            <v>Qtr 2</v>
          </cell>
          <cell r="Z422" t="str">
            <v>April</v>
          </cell>
          <cell r="AA422">
            <v>8</v>
          </cell>
          <cell r="AB422">
            <v>0</v>
          </cell>
          <cell r="AC422">
            <v>53</v>
          </cell>
          <cell r="AD422">
            <v>1.1000000000000001</v>
          </cell>
          <cell r="AE422">
            <v>0.13750000000000001</v>
          </cell>
          <cell r="AF422">
            <v>1730.3</v>
          </cell>
        </row>
        <row r="423">
          <cell r="B423" t="str">
            <v>0EX9297582</v>
          </cell>
          <cell r="C423">
            <v>2019</v>
          </cell>
          <cell r="D423" t="str">
            <v>Qtr 2</v>
          </cell>
          <cell r="E423" t="str">
            <v>April</v>
          </cell>
          <cell r="F423">
            <v>7</v>
          </cell>
          <cell r="G423" t="str">
            <v>MANTENIMIENTO PREVENTIVO</v>
          </cell>
          <cell r="H423">
            <v>0</v>
          </cell>
          <cell r="I423" t="str">
            <v>Departmental Digital</v>
          </cell>
          <cell r="J423">
            <v>655</v>
          </cell>
          <cell r="K423">
            <v>1365</v>
          </cell>
          <cell r="L423">
            <v>0</v>
          </cell>
          <cell r="M423">
            <v>0</v>
          </cell>
          <cell r="N423">
            <v>0.6</v>
          </cell>
          <cell r="O423">
            <v>0.8</v>
          </cell>
          <cell r="P423">
            <v>1.05</v>
          </cell>
          <cell r="Q423">
            <v>1.1000000000000001</v>
          </cell>
          <cell r="R423" t="str">
            <v>INTERIOR</v>
          </cell>
          <cell r="S423">
            <v>5</v>
          </cell>
          <cell r="T423">
            <v>9</v>
          </cell>
          <cell r="U423" t="str">
            <v>Otras</v>
          </cell>
          <cell r="V423" t="str">
            <v>Departmental Digital</v>
          </cell>
          <cell r="W423" t="str">
            <v>COAHUILA</v>
          </cell>
          <cell r="X423">
            <v>2019</v>
          </cell>
          <cell r="Y423" t="str">
            <v>Qtr 2</v>
          </cell>
          <cell r="Z423" t="str">
            <v>April</v>
          </cell>
          <cell r="AA423">
            <v>8</v>
          </cell>
          <cell r="AB423">
            <v>0</v>
          </cell>
          <cell r="AC423">
            <v>12</v>
          </cell>
          <cell r="AD423">
            <v>0</v>
          </cell>
          <cell r="AE423">
            <v>0</v>
          </cell>
          <cell r="AF423">
            <v>1365</v>
          </cell>
        </row>
        <row r="424">
          <cell r="B424" t="str">
            <v>0EX9284764</v>
          </cell>
          <cell r="C424">
            <v>2019</v>
          </cell>
          <cell r="D424" t="str">
            <v>Qtr 2</v>
          </cell>
          <cell r="E424" t="str">
            <v>April</v>
          </cell>
          <cell r="F424">
            <v>8</v>
          </cell>
          <cell r="G424" t="str">
            <v>MANTENIMIENTO PREVENTIVO</v>
          </cell>
          <cell r="H424">
            <v>0</v>
          </cell>
          <cell r="I424" t="str">
            <v>Departmental Digital</v>
          </cell>
          <cell r="J424">
            <v>655</v>
          </cell>
          <cell r="K424">
            <v>1365</v>
          </cell>
          <cell r="L424">
            <v>0</v>
          </cell>
          <cell r="M424">
            <v>0</v>
          </cell>
          <cell r="N424">
            <v>0.6</v>
          </cell>
          <cell r="O424">
            <v>0.8</v>
          </cell>
          <cell r="P424">
            <v>1.05</v>
          </cell>
          <cell r="Q424">
            <v>1.1000000000000001</v>
          </cell>
          <cell r="R424" t="str">
            <v>INTERIOR</v>
          </cell>
          <cell r="S424">
            <v>5</v>
          </cell>
          <cell r="T424">
            <v>9</v>
          </cell>
          <cell r="U424" t="str">
            <v>Ciudad principal</v>
          </cell>
          <cell r="V424" t="str">
            <v>Departmental Digital</v>
          </cell>
          <cell r="W424" t="str">
            <v>TAMAULIPAS</v>
          </cell>
          <cell r="X424">
            <v>2019</v>
          </cell>
          <cell r="Y424" t="str">
            <v>Qtr 2</v>
          </cell>
          <cell r="Z424" t="str">
            <v>April</v>
          </cell>
          <cell r="AA424">
            <v>8</v>
          </cell>
          <cell r="AB424">
            <v>0</v>
          </cell>
          <cell r="AC424">
            <v>13</v>
          </cell>
          <cell r="AD424">
            <v>0</v>
          </cell>
          <cell r="AE424">
            <v>0</v>
          </cell>
          <cell r="AF424">
            <v>1365</v>
          </cell>
        </row>
        <row r="425">
          <cell r="B425" t="str">
            <v>0E2B656981</v>
          </cell>
          <cell r="C425">
            <v>2019</v>
          </cell>
          <cell r="D425" t="str">
            <v>Qtr 2</v>
          </cell>
          <cell r="E425" t="str">
            <v>April</v>
          </cell>
          <cell r="F425">
            <v>8</v>
          </cell>
          <cell r="G425" t="str">
            <v>MANTENIMIENTO PREVENTIVO</v>
          </cell>
          <cell r="H425">
            <v>0</v>
          </cell>
          <cell r="I425" t="str">
            <v>Entry Production Color Low/Mid</v>
          </cell>
          <cell r="J425">
            <v>803</v>
          </cell>
          <cell r="K425">
            <v>1573</v>
          </cell>
          <cell r="L425">
            <v>0.2</v>
          </cell>
          <cell r="M425">
            <v>0.6</v>
          </cell>
          <cell r="N425">
            <v>0.8</v>
          </cell>
          <cell r="O425">
            <v>1.05</v>
          </cell>
          <cell r="P425">
            <v>1.1000000000000001</v>
          </cell>
          <cell r="Q425">
            <v>1.1499999999999999</v>
          </cell>
          <cell r="R425" t="str">
            <v>INTERIOR</v>
          </cell>
          <cell r="S425">
            <v>4</v>
          </cell>
          <cell r="T425">
            <v>6</v>
          </cell>
          <cell r="U425" t="str">
            <v>Ciudad principal</v>
          </cell>
          <cell r="V425" t="str">
            <v>Entry Production Color Low/Mid</v>
          </cell>
          <cell r="W425" t="str">
            <v>TAMAULIPAS</v>
          </cell>
          <cell r="X425">
            <v>2019</v>
          </cell>
          <cell r="Y425" t="str">
            <v>Qtr 2</v>
          </cell>
          <cell r="Z425" t="str">
            <v>April</v>
          </cell>
          <cell r="AA425">
            <v>8</v>
          </cell>
          <cell r="AB425">
            <v>0</v>
          </cell>
          <cell r="AC425">
            <v>5</v>
          </cell>
          <cell r="AD425">
            <v>0</v>
          </cell>
          <cell r="AE425">
            <v>0</v>
          </cell>
          <cell r="AF425">
            <v>1573</v>
          </cell>
        </row>
        <row r="426">
          <cell r="B426" t="str">
            <v>03AG877879</v>
          </cell>
          <cell r="C426">
            <v>2019</v>
          </cell>
          <cell r="D426" t="str">
            <v>Qtr 2</v>
          </cell>
          <cell r="E426" t="str">
            <v>April</v>
          </cell>
          <cell r="F426">
            <v>8</v>
          </cell>
          <cell r="G426" t="str">
            <v>CORRECTIVO</v>
          </cell>
          <cell r="H426">
            <v>1.5</v>
          </cell>
          <cell r="I426" t="str">
            <v>Departmental Digital</v>
          </cell>
          <cell r="J426">
            <v>655</v>
          </cell>
          <cell r="K426">
            <v>1365</v>
          </cell>
          <cell r="L426">
            <v>0</v>
          </cell>
          <cell r="M426">
            <v>0</v>
          </cell>
          <cell r="N426">
            <v>0.6</v>
          </cell>
          <cell r="O426">
            <v>0.8</v>
          </cell>
          <cell r="P426">
            <v>1.05</v>
          </cell>
          <cell r="Q426">
            <v>1.1000000000000001</v>
          </cell>
          <cell r="R426" t="str">
            <v>INTERIOR</v>
          </cell>
          <cell r="S426">
            <v>5</v>
          </cell>
          <cell r="T426">
            <v>9</v>
          </cell>
          <cell r="U426" t="str">
            <v>Ciudad principal</v>
          </cell>
          <cell r="V426" t="str">
            <v>Light Production Digital Business</v>
          </cell>
          <cell r="W426" t="str">
            <v>NUEVO LEON</v>
          </cell>
          <cell r="X426">
            <v>2019</v>
          </cell>
          <cell r="Y426" t="str">
            <v>Qtr 2</v>
          </cell>
          <cell r="Z426" t="str">
            <v>April</v>
          </cell>
          <cell r="AA426">
            <v>8</v>
          </cell>
          <cell r="AB426">
            <v>0</v>
          </cell>
          <cell r="AC426">
            <v>27</v>
          </cell>
          <cell r="AD426">
            <v>0.8</v>
          </cell>
          <cell r="AE426">
            <v>0.3</v>
          </cell>
          <cell r="AF426">
            <v>1092</v>
          </cell>
        </row>
        <row r="427">
          <cell r="B427" t="str">
            <v>0E2B106653</v>
          </cell>
          <cell r="C427">
            <v>2019</v>
          </cell>
          <cell r="D427" t="str">
            <v>Qtr 2</v>
          </cell>
          <cell r="E427" t="str">
            <v>April</v>
          </cell>
          <cell r="F427">
            <v>8</v>
          </cell>
          <cell r="G427" t="str">
            <v>CORRECTIVO</v>
          </cell>
          <cell r="H427">
            <v>1.6333329999999999</v>
          </cell>
          <cell r="I427" t="str">
            <v>Entry Production Color Low/Mid</v>
          </cell>
          <cell r="J427">
            <v>803</v>
          </cell>
          <cell r="K427">
            <v>1573</v>
          </cell>
          <cell r="L427">
            <v>0.2</v>
          </cell>
          <cell r="M427">
            <v>0.6</v>
          </cell>
          <cell r="N427">
            <v>0.8</v>
          </cell>
          <cell r="O427">
            <v>1.05</v>
          </cell>
          <cell r="P427">
            <v>1.1000000000000001</v>
          </cell>
          <cell r="Q427">
            <v>1.1499999999999999</v>
          </cell>
          <cell r="R427" t="str">
            <v>INTERIOR</v>
          </cell>
          <cell r="S427">
            <v>4</v>
          </cell>
          <cell r="T427">
            <v>6</v>
          </cell>
          <cell r="U427" t="str">
            <v>Ciudad principal</v>
          </cell>
          <cell r="V427" t="str">
            <v>Entry Production Color Low/Mid</v>
          </cell>
          <cell r="W427" t="str">
            <v>NUEVO LEON</v>
          </cell>
          <cell r="X427">
            <v>2019</v>
          </cell>
          <cell r="Y427" t="str">
            <v>Qtr 2</v>
          </cell>
          <cell r="Z427" t="str">
            <v>April</v>
          </cell>
          <cell r="AA427">
            <v>8</v>
          </cell>
          <cell r="AB427">
            <v>0</v>
          </cell>
          <cell r="AC427">
            <v>236</v>
          </cell>
          <cell r="AD427">
            <v>1.1499999999999999</v>
          </cell>
          <cell r="AE427">
            <v>0.40833324999999998</v>
          </cell>
          <cell r="AF427">
            <v>1808.95</v>
          </cell>
        </row>
        <row r="428">
          <cell r="B428" t="str">
            <v>0EX9297593</v>
          </cell>
          <cell r="C428">
            <v>2019</v>
          </cell>
          <cell r="D428" t="str">
            <v>Qtr 2</v>
          </cell>
          <cell r="E428" t="str">
            <v>April</v>
          </cell>
          <cell r="F428">
            <v>8</v>
          </cell>
          <cell r="G428" t="str">
            <v>CORRECTIVO</v>
          </cell>
          <cell r="H428">
            <v>1.6</v>
          </cell>
          <cell r="I428" t="str">
            <v>Departmental Digital</v>
          </cell>
          <cell r="J428">
            <v>655</v>
          </cell>
          <cell r="K428">
            <v>1365</v>
          </cell>
          <cell r="L428">
            <v>0</v>
          </cell>
          <cell r="M428">
            <v>0</v>
          </cell>
          <cell r="N428">
            <v>0.6</v>
          </cell>
          <cell r="O428">
            <v>0.8</v>
          </cell>
          <cell r="P428">
            <v>1.05</v>
          </cell>
          <cell r="Q428">
            <v>1.1000000000000001</v>
          </cell>
          <cell r="R428" t="str">
            <v>INTERIOR</v>
          </cell>
          <cell r="S428">
            <v>5</v>
          </cell>
          <cell r="T428">
            <v>9</v>
          </cell>
          <cell r="U428" t="str">
            <v>Ciudad principal</v>
          </cell>
          <cell r="V428" t="str">
            <v>Departmental Digital</v>
          </cell>
          <cell r="W428" t="str">
            <v>COAHUILA</v>
          </cell>
          <cell r="X428">
            <v>2019</v>
          </cell>
          <cell r="Y428" t="str">
            <v>Qtr 2</v>
          </cell>
          <cell r="Z428" t="str">
            <v>April</v>
          </cell>
          <cell r="AA428">
            <v>8</v>
          </cell>
          <cell r="AB428">
            <v>0</v>
          </cell>
          <cell r="AC428">
            <v>34</v>
          </cell>
          <cell r="AD428">
            <v>1.05</v>
          </cell>
          <cell r="AE428">
            <v>0.32</v>
          </cell>
          <cell r="AF428">
            <v>1433.25</v>
          </cell>
        </row>
        <row r="429">
          <cell r="B429" t="str">
            <v>0Y4X848752</v>
          </cell>
          <cell r="C429">
            <v>2019</v>
          </cell>
          <cell r="D429" t="str">
            <v>Qtr 2</v>
          </cell>
          <cell r="E429" t="str">
            <v>April</v>
          </cell>
          <cell r="F429">
            <v>8</v>
          </cell>
          <cell r="G429" t="str">
            <v>MANTENIMIENTO PREVENTIVO</v>
          </cell>
          <cell r="H429">
            <v>0</v>
          </cell>
          <cell r="I429" t="str">
            <v>Office Digital</v>
          </cell>
          <cell r="J429">
            <v>655</v>
          </cell>
          <cell r="K429">
            <v>1365</v>
          </cell>
          <cell r="L429">
            <v>0</v>
          </cell>
          <cell r="M429">
            <v>0</v>
          </cell>
          <cell r="N429">
            <v>0.6</v>
          </cell>
          <cell r="O429">
            <v>0.8</v>
          </cell>
          <cell r="P429">
            <v>1.05</v>
          </cell>
          <cell r="Q429">
            <v>1.1000000000000001</v>
          </cell>
          <cell r="R429" t="str">
            <v>INTERIOR</v>
          </cell>
          <cell r="S429">
            <v>5</v>
          </cell>
          <cell r="T429">
            <v>9</v>
          </cell>
          <cell r="U429" t="str">
            <v>Ciudad principal</v>
          </cell>
          <cell r="V429" t="str">
            <v>Light Production Digital Business</v>
          </cell>
          <cell r="W429" t="str">
            <v>JALISCO</v>
          </cell>
          <cell r="X429">
            <v>2019</v>
          </cell>
          <cell r="Y429" t="str">
            <v>Qtr 2</v>
          </cell>
          <cell r="Z429" t="str">
            <v>April</v>
          </cell>
          <cell r="AA429">
            <v>8</v>
          </cell>
          <cell r="AB429">
            <v>1</v>
          </cell>
          <cell r="AC429">
            <v>10</v>
          </cell>
          <cell r="AD429">
            <v>0</v>
          </cell>
          <cell r="AE429">
            <v>0</v>
          </cell>
          <cell r="AF429">
            <v>0</v>
          </cell>
        </row>
        <row r="430">
          <cell r="B430" t="str">
            <v>0BG2940370</v>
          </cell>
          <cell r="C430">
            <v>2019</v>
          </cell>
          <cell r="D430" t="str">
            <v>Qtr 2</v>
          </cell>
          <cell r="E430" t="str">
            <v>April</v>
          </cell>
          <cell r="F430">
            <v>8</v>
          </cell>
          <cell r="G430" t="str">
            <v>MANTENIMIENTO PREVENTIVO</v>
          </cell>
          <cell r="H430">
            <v>0</v>
          </cell>
          <cell r="I430" t="str">
            <v>Light Production Digital Business</v>
          </cell>
          <cell r="J430">
            <v>803</v>
          </cell>
          <cell r="K430">
            <v>1573</v>
          </cell>
          <cell r="L430">
            <v>0.2</v>
          </cell>
          <cell r="M430">
            <v>0.6</v>
          </cell>
          <cell r="N430">
            <v>0.8</v>
          </cell>
          <cell r="O430">
            <v>1.05</v>
          </cell>
          <cell r="P430">
            <v>1.1000000000000001</v>
          </cell>
          <cell r="Q430">
            <v>1.1499999999999999</v>
          </cell>
          <cell r="R430" t="str">
            <v>INTERIOR</v>
          </cell>
          <cell r="S430">
            <v>4</v>
          </cell>
          <cell r="T430">
            <v>6</v>
          </cell>
          <cell r="U430" t="str">
            <v>Ciudad principal</v>
          </cell>
          <cell r="V430" t="str">
            <v>High End Cut Sheet</v>
          </cell>
          <cell r="W430" t="str">
            <v>CHIHUAHUA</v>
          </cell>
          <cell r="X430">
            <v>2019</v>
          </cell>
          <cell r="Y430" t="str">
            <v>Qtr 2</v>
          </cell>
          <cell r="Z430" t="str">
            <v>April</v>
          </cell>
          <cell r="AA430">
            <v>8</v>
          </cell>
          <cell r="AB430">
            <v>0</v>
          </cell>
          <cell r="AC430">
            <v>-4</v>
          </cell>
          <cell r="AD430">
            <v>0</v>
          </cell>
          <cell r="AE430">
            <v>0</v>
          </cell>
          <cell r="AF430">
            <v>1573</v>
          </cell>
        </row>
        <row r="431">
          <cell r="B431" t="str">
            <v>0MX4777373</v>
          </cell>
          <cell r="C431">
            <v>2019</v>
          </cell>
          <cell r="D431" t="str">
            <v>Qtr 2</v>
          </cell>
          <cell r="E431" t="str">
            <v>April</v>
          </cell>
          <cell r="F431">
            <v>8</v>
          </cell>
          <cell r="G431" t="str">
            <v>CORRECTIVO</v>
          </cell>
          <cell r="H431">
            <v>0.76666670000000003</v>
          </cell>
          <cell r="I431" t="str">
            <v>A3 Office Color Laser MFPs</v>
          </cell>
          <cell r="J431">
            <v>655</v>
          </cell>
          <cell r="K431">
            <v>1365</v>
          </cell>
          <cell r="L431">
            <v>0</v>
          </cell>
          <cell r="M431">
            <v>0</v>
          </cell>
          <cell r="N431">
            <v>0.6</v>
          </cell>
          <cell r="O431">
            <v>0.8</v>
          </cell>
          <cell r="P431">
            <v>1.05</v>
          </cell>
          <cell r="Q431">
            <v>1.1000000000000001</v>
          </cell>
          <cell r="R431" t="str">
            <v>INTERIOR</v>
          </cell>
          <cell r="S431">
            <v>5</v>
          </cell>
          <cell r="T431">
            <v>9</v>
          </cell>
          <cell r="U431" t="str">
            <v>Ciudad principal</v>
          </cell>
          <cell r="V431" t="str">
            <v>A3 Office Color Laser MFPs</v>
          </cell>
          <cell r="W431" t="str">
            <v>CHIHUAHUA</v>
          </cell>
          <cell r="X431">
            <v>2019</v>
          </cell>
          <cell r="Y431" t="str">
            <v>Qtr 2</v>
          </cell>
          <cell r="Z431" t="str">
            <v>April</v>
          </cell>
          <cell r="AA431">
            <v>9</v>
          </cell>
          <cell r="AB431">
            <v>0</v>
          </cell>
          <cell r="AC431">
            <v>168</v>
          </cell>
          <cell r="AD431">
            <v>1.1000000000000001</v>
          </cell>
          <cell r="AE431">
            <v>0.15333334000000001</v>
          </cell>
          <cell r="AF431">
            <v>1501.5</v>
          </cell>
        </row>
        <row r="432">
          <cell r="B432" t="str">
            <v>0Y4X848042</v>
          </cell>
          <cell r="C432">
            <v>2019</v>
          </cell>
          <cell r="D432" t="str">
            <v>Qtr 2</v>
          </cell>
          <cell r="E432" t="str">
            <v>April</v>
          </cell>
          <cell r="F432">
            <v>8</v>
          </cell>
          <cell r="G432" t="str">
            <v>MANTENIMIENTO PREVENTIVO</v>
          </cell>
          <cell r="H432">
            <v>0</v>
          </cell>
          <cell r="I432" t="str">
            <v>Office Digital</v>
          </cell>
          <cell r="J432">
            <v>655</v>
          </cell>
          <cell r="K432">
            <v>1365</v>
          </cell>
          <cell r="L432">
            <v>0</v>
          </cell>
          <cell r="M432">
            <v>0</v>
          </cell>
          <cell r="N432">
            <v>0.6</v>
          </cell>
          <cell r="O432">
            <v>0.8</v>
          </cell>
          <cell r="P432">
            <v>1.05</v>
          </cell>
          <cell r="Q432">
            <v>1.1000000000000001</v>
          </cell>
          <cell r="R432" t="str">
            <v>INTERIOR</v>
          </cell>
          <cell r="S432">
            <v>5</v>
          </cell>
          <cell r="T432">
            <v>9</v>
          </cell>
          <cell r="U432" t="str">
            <v>Ciudad principal</v>
          </cell>
          <cell r="V432" t="str">
            <v>Light Production Digital Business</v>
          </cell>
          <cell r="W432" t="str">
            <v>JALISCO</v>
          </cell>
          <cell r="X432">
            <v>2019</v>
          </cell>
          <cell r="Y432" t="str">
            <v>Qtr 2</v>
          </cell>
          <cell r="Z432" t="str">
            <v>April</v>
          </cell>
          <cell r="AA432">
            <v>8</v>
          </cell>
          <cell r="AB432">
            <v>1</v>
          </cell>
          <cell r="AC432">
            <v>18</v>
          </cell>
          <cell r="AD432">
            <v>0</v>
          </cell>
          <cell r="AE432">
            <v>0</v>
          </cell>
          <cell r="AF432">
            <v>0</v>
          </cell>
        </row>
        <row r="433">
          <cell r="B433" t="str">
            <v>0PW4152292</v>
          </cell>
          <cell r="C433">
            <v>2019</v>
          </cell>
          <cell r="D433" t="str">
            <v>Qtr 2</v>
          </cell>
          <cell r="E433" t="str">
            <v>April</v>
          </cell>
          <cell r="F433">
            <v>8</v>
          </cell>
          <cell r="G433" t="str">
            <v>CORRECTIVO</v>
          </cell>
          <cell r="H433">
            <v>1.766667</v>
          </cell>
          <cell r="I433" t="str">
            <v>WF Mono Systems and Legacy Color</v>
          </cell>
          <cell r="J433">
            <v>803</v>
          </cell>
          <cell r="K433">
            <v>1573</v>
          </cell>
          <cell r="L433">
            <v>0.2</v>
          </cell>
          <cell r="M433">
            <v>0.6</v>
          </cell>
          <cell r="N433">
            <v>0.8</v>
          </cell>
          <cell r="O433">
            <v>1.05</v>
          </cell>
          <cell r="P433">
            <v>1.1000000000000001</v>
          </cell>
          <cell r="Q433">
            <v>1.1499999999999999</v>
          </cell>
          <cell r="R433" t="str">
            <v>INTERIOR</v>
          </cell>
          <cell r="S433">
            <v>4</v>
          </cell>
          <cell r="T433">
            <v>6</v>
          </cell>
          <cell r="U433" t="str">
            <v>Ciudad principal</v>
          </cell>
          <cell r="V433" t="str">
            <v>WF Mono Systems and Legacy Color</v>
          </cell>
          <cell r="W433" t="str">
            <v>JALISCO</v>
          </cell>
          <cell r="X433">
            <v>2019</v>
          </cell>
          <cell r="Y433" t="str">
            <v>Qtr 2</v>
          </cell>
          <cell r="Z433" t="str">
            <v>April</v>
          </cell>
          <cell r="AA433">
            <v>10</v>
          </cell>
          <cell r="AB433">
            <v>0</v>
          </cell>
          <cell r="AC433">
            <v>3</v>
          </cell>
          <cell r="AD433">
            <v>0.6</v>
          </cell>
          <cell r="AE433">
            <v>0.44166675</v>
          </cell>
          <cell r="AF433">
            <v>943.8</v>
          </cell>
        </row>
        <row r="434">
          <cell r="B434" t="str">
            <v>0XPN546541</v>
          </cell>
          <cell r="C434">
            <v>2019</v>
          </cell>
          <cell r="D434" t="str">
            <v>Qtr 2</v>
          </cell>
          <cell r="E434" t="str">
            <v>April</v>
          </cell>
          <cell r="F434">
            <v>8</v>
          </cell>
          <cell r="G434" t="str">
            <v>CORRECTIVO</v>
          </cell>
          <cell r="H434">
            <v>2.5499999999999998</v>
          </cell>
          <cell r="I434" t="str">
            <v>Entry Production Color Low/Mid</v>
          </cell>
          <cell r="J434">
            <v>803</v>
          </cell>
          <cell r="K434">
            <v>1573</v>
          </cell>
          <cell r="L434">
            <v>0.2</v>
          </cell>
          <cell r="M434">
            <v>0.6</v>
          </cell>
          <cell r="N434">
            <v>0.8</v>
          </cell>
          <cell r="O434">
            <v>1.05</v>
          </cell>
          <cell r="P434">
            <v>1.1000000000000001</v>
          </cell>
          <cell r="Q434">
            <v>1.1499999999999999</v>
          </cell>
          <cell r="R434" t="str">
            <v>INTERIOR</v>
          </cell>
          <cell r="S434">
            <v>4</v>
          </cell>
          <cell r="T434">
            <v>6</v>
          </cell>
          <cell r="U434" t="str">
            <v>Ciudad principal</v>
          </cell>
          <cell r="V434" t="str">
            <v>Entry Production Color Low/Mid</v>
          </cell>
          <cell r="W434" t="str">
            <v>COAHUILA</v>
          </cell>
          <cell r="X434">
            <v>2019</v>
          </cell>
          <cell r="Y434" t="str">
            <v>Qtr 2</v>
          </cell>
          <cell r="Z434" t="str">
            <v>April</v>
          </cell>
          <cell r="AA434">
            <v>8</v>
          </cell>
          <cell r="AB434">
            <v>0</v>
          </cell>
          <cell r="AC434">
            <v>19</v>
          </cell>
          <cell r="AD434">
            <v>1.05</v>
          </cell>
          <cell r="AE434">
            <v>0.63749999999999996</v>
          </cell>
          <cell r="AF434">
            <v>1651.65</v>
          </cell>
        </row>
        <row r="435">
          <cell r="B435" t="str">
            <v>0BG2951638</v>
          </cell>
          <cell r="C435">
            <v>2019</v>
          </cell>
          <cell r="D435" t="str">
            <v>Qtr 2</v>
          </cell>
          <cell r="E435" t="str">
            <v>April</v>
          </cell>
          <cell r="F435">
            <v>8</v>
          </cell>
          <cell r="G435" t="str">
            <v>CORRECTIVO</v>
          </cell>
          <cell r="H435">
            <v>0.53333339999999996</v>
          </cell>
          <cell r="I435" t="str">
            <v>Light Production Digital Business</v>
          </cell>
          <cell r="J435">
            <v>803</v>
          </cell>
          <cell r="K435">
            <v>1573</v>
          </cell>
          <cell r="L435">
            <v>0.2</v>
          </cell>
          <cell r="M435">
            <v>0.6</v>
          </cell>
          <cell r="N435">
            <v>0.8</v>
          </cell>
          <cell r="O435">
            <v>1.05</v>
          </cell>
          <cell r="P435">
            <v>1.1000000000000001</v>
          </cell>
          <cell r="Q435">
            <v>1.1499999999999999</v>
          </cell>
          <cell r="R435" t="str">
            <v>INTERIOR</v>
          </cell>
          <cell r="S435">
            <v>4</v>
          </cell>
          <cell r="T435">
            <v>6</v>
          </cell>
          <cell r="U435" t="str">
            <v>Ciudad principal</v>
          </cell>
          <cell r="V435" t="str">
            <v>High End Cut Sheet</v>
          </cell>
          <cell r="W435" t="str">
            <v>JALISCO</v>
          </cell>
          <cell r="X435">
            <v>2019</v>
          </cell>
          <cell r="Y435" t="str">
            <v>Qtr 2</v>
          </cell>
          <cell r="Z435" t="str">
            <v>April</v>
          </cell>
          <cell r="AA435">
            <v>10</v>
          </cell>
          <cell r="AB435">
            <v>0</v>
          </cell>
          <cell r="AC435">
            <v>19</v>
          </cell>
          <cell r="AD435">
            <v>1.05</v>
          </cell>
          <cell r="AE435">
            <v>0.13333334999999999</v>
          </cell>
          <cell r="AF435">
            <v>1651.65</v>
          </cell>
        </row>
        <row r="436">
          <cell r="B436" t="str">
            <v>09HB320873</v>
          </cell>
          <cell r="C436">
            <v>2019</v>
          </cell>
          <cell r="D436" t="str">
            <v>Qtr 2</v>
          </cell>
          <cell r="E436" t="str">
            <v>April</v>
          </cell>
          <cell r="F436">
            <v>8</v>
          </cell>
          <cell r="G436" t="str">
            <v>CORRECTIVO</v>
          </cell>
          <cell r="H436">
            <v>1.9</v>
          </cell>
          <cell r="I436" t="str">
            <v>A4 Mono MFPs</v>
          </cell>
          <cell r="J436">
            <v>468</v>
          </cell>
          <cell r="K436">
            <v>715</v>
          </cell>
          <cell r="L436">
            <v>0</v>
          </cell>
          <cell r="M436">
            <v>0</v>
          </cell>
          <cell r="N436">
            <v>0</v>
          </cell>
          <cell r="O436">
            <v>0.6</v>
          </cell>
          <cell r="P436">
            <v>0.8</v>
          </cell>
          <cell r="Q436">
            <v>1.05</v>
          </cell>
          <cell r="R436" t="str">
            <v>INTERIOR</v>
          </cell>
          <cell r="S436">
            <v>5</v>
          </cell>
          <cell r="T436">
            <v>9</v>
          </cell>
          <cell r="U436" t="str">
            <v>Ciudad principal</v>
          </cell>
          <cell r="V436" t="str">
            <v>A4 Mono MFPs</v>
          </cell>
          <cell r="W436" t="str">
            <v>ESTADO DE MEXICO</v>
          </cell>
          <cell r="X436">
            <v>2019</v>
          </cell>
          <cell r="Y436" t="str">
            <v>Qtr 2</v>
          </cell>
          <cell r="Z436" t="str">
            <v>April</v>
          </cell>
          <cell r="AA436">
            <v>8</v>
          </cell>
          <cell r="AB436">
            <v>0</v>
          </cell>
          <cell r="AC436">
            <v>255</v>
          </cell>
          <cell r="AD436">
            <v>1.05</v>
          </cell>
          <cell r="AE436">
            <v>0.38</v>
          </cell>
          <cell r="AF436">
            <v>750.75</v>
          </cell>
        </row>
        <row r="437">
          <cell r="B437" t="str">
            <v>0AE9196959</v>
          </cell>
          <cell r="C437">
            <v>2019</v>
          </cell>
          <cell r="D437" t="str">
            <v>Qtr 2</v>
          </cell>
          <cell r="E437" t="str">
            <v>April</v>
          </cell>
          <cell r="F437">
            <v>8</v>
          </cell>
          <cell r="G437" t="str">
            <v>CORRECTIVO</v>
          </cell>
          <cell r="H437">
            <v>0.43333329999999998</v>
          </cell>
          <cell r="J437" t="str">
            <v>NA</v>
          </cell>
          <cell r="K437" t="str">
            <v>NA</v>
          </cell>
          <cell r="L437" t="str">
            <v>NA</v>
          </cell>
          <cell r="M437" t="str">
            <v>NA</v>
          </cell>
          <cell r="N437" t="str">
            <v>NA</v>
          </cell>
          <cell r="O437" t="str">
            <v>NA</v>
          </cell>
          <cell r="P437" t="str">
            <v>NA</v>
          </cell>
          <cell r="Q437" t="str">
            <v>NA</v>
          </cell>
          <cell r="S437" t="str">
            <v>NA</v>
          </cell>
          <cell r="T437" t="str">
            <v>NA</v>
          </cell>
          <cell r="V437" t="str">
            <v>Departmental Digital</v>
          </cell>
          <cell r="W437" t="str">
            <v>COAHUILA</v>
          </cell>
          <cell r="X437">
            <v>2019</v>
          </cell>
          <cell r="Y437" t="str">
            <v>Qtr 2</v>
          </cell>
          <cell r="Z437" t="str">
            <v>April</v>
          </cell>
          <cell r="AA437">
            <v>11</v>
          </cell>
          <cell r="AB437" t="str">
            <v>NA</v>
          </cell>
          <cell r="AC437">
            <v>154</v>
          </cell>
          <cell r="AD437">
            <v>0</v>
          </cell>
          <cell r="AE437">
            <v>0</v>
          </cell>
          <cell r="AF437">
            <v>0</v>
          </cell>
        </row>
        <row r="438">
          <cell r="B438" t="str">
            <v>0E2B646574</v>
          </cell>
          <cell r="C438">
            <v>2019</v>
          </cell>
          <cell r="D438" t="str">
            <v>Qtr 2</v>
          </cell>
          <cell r="E438" t="str">
            <v>April</v>
          </cell>
          <cell r="F438">
            <v>8</v>
          </cell>
          <cell r="G438" t="str">
            <v>CORRECTIVO</v>
          </cell>
          <cell r="H438">
            <v>3.5</v>
          </cell>
          <cell r="I438" t="str">
            <v>Entry Production Color Low/Mid</v>
          </cell>
          <cell r="J438">
            <v>803</v>
          </cell>
          <cell r="K438">
            <v>1573</v>
          </cell>
          <cell r="L438">
            <v>0.2</v>
          </cell>
          <cell r="M438">
            <v>0.6</v>
          </cell>
          <cell r="N438">
            <v>0.8</v>
          </cell>
          <cell r="O438">
            <v>1.05</v>
          </cell>
          <cell r="P438">
            <v>1.1000000000000001</v>
          </cell>
          <cell r="Q438">
            <v>1.1499999999999999</v>
          </cell>
          <cell r="R438" t="str">
            <v>INTERIOR</v>
          </cell>
          <cell r="S438">
            <v>4</v>
          </cell>
          <cell r="T438">
            <v>6</v>
          </cell>
          <cell r="U438" t="str">
            <v>Ciudad principal</v>
          </cell>
          <cell r="V438" t="str">
            <v>Entry Production Color Low/Mid</v>
          </cell>
          <cell r="W438" t="str">
            <v>SAN LUIS POTOSI</v>
          </cell>
          <cell r="X438">
            <v>2019</v>
          </cell>
          <cell r="Y438" t="str">
            <v>Qtr 2</v>
          </cell>
          <cell r="Z438" t="str">
            <v>April</v>
          </cell>
          <cell r="AA438">
            <v>12</v>
          </cell>
          <cell r="AB438">
            <v>0</v>
          </cell>
          <cell r="AC438">
            <v>38</v>
          </cell>
          <cell r="AD438">
            <v>1.1000000000000001</v>
          </cell>
          <cell r="AE438">
            <v>0.875</v>
          </cell>
          <cell r="AF438">
            <v>1730.3</v>
          </cell>
        </row>
        <row r="439">
          <cell r="B439" t="str">
            <v>0BG2947123</v>
          </cell>
          <cell r="C439">
            <v>2019</v>
          </cell>
          <cell r="D439" t="str">
            <v>Qtr 2</v>
          </cell>
          <cell r="E439" t="str">
            <v>April</v>
          </cell>
          <cell r="F439">
            <v>8</v>
          </cell>
          <cell r="G439" t="str">
            <v>CORRECTIVO</v>
          </cell>
          <cell r="H439">
            <v>3.016667</v>
          </cell>
          <cell r="I439" t="str">
            <v>Light Production Digital Business</v>
          </cell>
          <cell r="J439">
            <v>803</v>
          </cell>
          <cell r="K439">
            <v>1573</v>
          </cell>
          <cell r="L439">
            <v>0.2</v>
          </cell>
          <cell r="M439">
            <v>0.6</v>
          </cell>
          <cell r="N439">
            <v>0.8</v>
          </cell>
          <cell r="O439">
            <v>1.05</v>
          </cell>
          <cell r="P439">
            <v>1.1000000000000001</v>
          </cell>
          <cell r="Q439">
            <v>1.1499999999999999</v>
          </cell>
          <cell r="R439" t="str">
            <v>INTERIOR</v>
          </cell>
          <cell r="S439">
            <v>4</v>
          </cell>
          <cell r="T439">
            <v>6</v>
          </cell>
          <cell r="U439" t="str">
            <v>Ciudad principal</v>
          </cell>
          <cell r="V439" t="str">
            <v>High End Cut Sheet</v>
          </cell>
          <cell r="W439" t="str">
            <v>SAN LUIS POTOSI</v>
          </cell>
          <cell r="X439">
            <v>2019</v>
          </cell>
          <cell r="Y439" t="str">
            <v>Qtr 2</v>
          </cell>
          <cell r="Z439" t="str">
            <v>April</v>
          </cell>
          <cell r="AA439">
            <v>8</v>
          </cell>
          <cell r="AB439">
            <v>0</v>
          </cell>
          <cell r="AC439">
            <v>31</v>
          </cell>
          <cell r="AD439">
            <v>1.1000000000000001</v>
          </cell>
          <cell r="AE439">
            <v>0.75416675</v>
          </cell>
          <cell r="AF439">
            <v>1730.3</v>
          </cell>
        </row>
        <row r="440">
          <cell r="B440" t="str">
            <v>0XPN396972</v>
          </cell>
          <cell r="C440">
            <v>2019</v>
          </cell>
          <cell r="D440" t="str">
            <v>Qtr 2</v>
          </cell>
          <cell r="E440" t="str">
            <v>April</v>
          </cell>
          <cell r="F440">
            <v>8</v>
          </cell>
          <cell r="G440" t="str">
            <v>CORRECTIVO</v>
          </cell>
          <cell r="H440">
            <v>1.1499999999999999</v>
          </cell>
          <cell r="I440" t="str">
            <v>Entry Production Color Low/Mid</v>
          </cell>
          <cell r="J440">
            <v>803</v>
          </cell>
          <cell r="K440">
            <v>1573</v>
          </cell>
          <cell r="L440">
            <v>0.2</v>
          </cell>
          <cell r="M440">
            <v>0.6</v>
          </cell>
          <cell r="N440">
            <v>0.8</v>
          </cell>
          <cell r="O440">
            <v>1.05</v>
          </cell>
          <cell r="P440">
            <v>1.1000000000000001</v>
          </cell>
          <cell r="Q440">
            <v>1.1499999999999999</v>
          </cell>
          <cell r="R440" t="str">
            <v>INTERIOR</v>
          </cell>
          <cell r="S440">
            <v>4</v>
          </cell>
          <cell r="T440">
            <v>6</v>
          </cell>
          <cell r="U440" t="str">
            <v>Ciudad principal</v>
          </cell>
          <cell r="V440" t="str">
            <v>Entry Production Color Low/Mid</v>
          </cell>
          <cell r="W440" t="str">
            <v>JALISCO</v>
          </cell>
          <cell r="X440">
            <v>2019</v>
          </cell>
          <cell r="Y440" t="str">
            <v>Qtr 2</v>
          </cell>
          <cell r="Z440" t="str">
            <v>April</v>
          </cell>
          <cell r="AA440">
            <v>8</v>
          </cell>
          <cell r="AB440">
            <v>0</v>
          </cell>
          <cell r="AC440">
            <v>4</v>
          </cell>
          <cell r="AD440">
            <v>0.6</v>
          </cell>
          <cell r="AE440">
            <v>0.28749999999999998</v>
          </cell>
          <cell r="AF440">
            <v>943.8</v>
          </cell>
        </row>
        <row r="441">
          <cell r="B441" t="str">
            <v>0D6X462113</v>
          </cell>
          <cell r="C441">
            <v>2019</v>
          </cell>
          <cell r="D441" t="str">
            <v>Qtr 2</v>
          </cell>
          <cell r="E441" t="str">
            <v>April</v>
          </cell>
          <cell r="F441">
            <v>8</v>
          </cell>
          <cell r="G441" t="str">
            <v>CORRECTIVO</v>
          </cell>
          <cell r="H441">
            <v>0</v>
          </cell>
          <cell r="I441" t="str">
            <v>Entry Mono Printers</v>
          </cell>
          <cell r="J441">
            <v>468</v>
          </cell>
          <cell r="K441">
            <v>715</v>
          </cell>
          <cell r="L441">
            <v>0</v>
          </cell>
          <cell r="M441">
            <v>0</v>
          </cell>
          <cell r="N441">
            <v>0</v>
          </cell>
          <cell r="O441">
            <v>0.6</v>
          </cell>
          <cell r="P441">
            <v>0.8</v>
          </cell>
          <cell r="Q441">
            <v>1.05</v>
          </cell>
          <cell r="R441" t="str">
            <v>INTERIOR</v>
          </cell>
          <cell r="S441">
            <v>5</v>
          </cell>
          <cell r="T441">
            <v>9</v>
          </cell>
          <cell r="U441" t="str">
            <v>Ciudad principal</v>
          </cell>
          <cell r="V441" t="str">
            <v>Entry Mono Printers</v>
          </cell>
          <cell r="W441" t="str">
            <v>CHIHUAHUA</v>
          </cell>
          <cell r="X441">
            <v>2019</v>
          </cell>
          <cell r="Y441" t="str">
            <v>Qtr 2</v>
          </cell>
          <cell r="Z441" t="str">
            <v>April</v>
          </cell>
          <cell r="AA441">
            <v>11</v>
          </cell>
          <cell r="AB441">
            <v>0</v>
          </cell>
          <cell r="AC441">
            <v>270</v>
          </cell>
          <cell r="AD441">
            <v>1.05</v>
          </cell>
          <cell r="AE441">
            <v>0</v>
          </cell>
          <cell r="AF441">
            <v>750.75</v>
          </cell>
        </row>
        <row r="442">
          <cell r="B442" t="str">
            <v>0X76706478</v>
          </cell>
          <cell r="C442">
            <v>2019</v>
          </cell>
          <cell r="D442" t="str">
            <v>Qtr 2</v>
          </cell>
          <cell r="E442" t="str">
            <v>April</v>
          </cell>
          <cell r="F442">
            <v>8</v>
          </cell>
          <cell r="G442" t="str">
            <v>CORRECTIVO</v>
          </cell>
          <cell r="H442">
            <v>1.4</v>
          </cell>
          <cell r="I442" t="str">
            <v>Office Digital</v>
          </cell>
          <cell r="J442">
            <v>655</v>
          </cell>
          <cell r="K442">
            <v>1365</v>
          </cell>
          <cell r="L442">
            <v>0</v>
          </cell>
          <cell r="M442">
            <v>0</v>
          </cell>
          <cell r="N442">
            <v>0.6</v>
          </cell>
          <cell r="O442">
            <v>0.8</v>
          </cell>
          <cell r="P442">
            <v>1.05</v>
          </cell>
          <cell r="Q442">
            <v>1.1000000000000001</v>
          </cell>
          <cell r="R442" t="str">
            <v>INTERIOR</v>
          </cell>
          <cell r="S442">
            <v>5</v>
          </cell>
          <cell r="T442">
            <v>9</v>
          </cell>
          <cell r="U442" t="str">
            <v>Ciudad principal</v>
          </cell>
          <cell r="V442" t="str">
            <v>Departmental Digital</v>
          </cell>
          <cell r="W442" t="str">
            <v>CHIHUAHUA</v>
          </cell>
          <cell r="X442">
            <v>2019</v>
          </cell>
          <cell r="Y442" t="str">
            <v>Qtr 2</v>
          </cell>
          <cell r="Z442" t="str">
            <v>April</v>
          </cell>
          <cell r="AA442">
            <v>8</v>
          </cell>
          <cell r="AB442">
            <v>0</v>
          </cell>
          <cell r="AC442">
            <v>229</v>
          </cell>
          <cell r="AD442">
            <v>1.1000000000000001</v>
          </cell>
          <cell r="AE442">
            <v>0.28000000000000003</v>
          </cell>
          <cell r="AF442">
            <v>1501.5</v>
          </cell>
        </row>
        <row r="443">
          <cell r="B443" t="str">
            <v>0Y4X843429</v>
          </cell>
          <cell r="C443">
            <v>2019</v>
          </cell>
          <cell r="D443" t="str">
            <v>Qtr 2</v>
          </cell>
          <cell r="E443" t="str">
            <v>April</v>
          </cell>
          <cell r="F443">
            <v>8</v>
          </cell>
          <cell r="G443" t="str">
            <v>CORRECTIVO</v>
          </cell>
          <cell r="H443">
            <v>0</v>
          </cell>
          <cell r="I443" t="str">
            <v>Office Digital</v>
          </cell>
          <cell r="J443">
            <v>655</v>
          </cell>
          <cell r="K443">
            <v>1365</v>
          </cell>
          <cell r="L443">
            <v>0</v>
          </cell>
          <cell r="M443">
            <v>0</v>
          </cell>
          <cell r="N443">
            <v>0.6</v>
          </cell>
          <cell r="O443">
            <v>0.8</v>
          </cell>
          <cell r="P443">
            <v>1.05</v>
          </cell>
          <cell r="Q443">
            <v>1.1000000000000001</v>
          </cell>
          <cell r="R443" t="str">
            <v>INTERIOR</v>
          </cell>
          <cell r="S443">
            <v>5</v>
          </cell>
          <cell r="T443">
            <v>9</v>
          </cell>
          <cell r="U443" t="str">
            <v>Ciudad principal</v>
          </cell>
          <cell r="V443" t="str">
            <v>Light Production Digital Business</v>
          </cell>
          <cell r="W443" t="str">
            <v>CHIHUAHUA</v>
          </cell>
          <cell r="X443">
            <v>2019</v>
          </cell>
          <cell r="Y443" t="str">
            <v>Qtr 2</v>
          </cell>
          <cell r="Z443" t="str">
            <v>April</v>
          </cell>
          <cell r="AA443">
            <v>8</v>
          </cell>
          <cell r="AB443">
            <v>0</v>
          </cell>
          <cell r="AC443">
            <v>0</v>
          </cell>
          <cell r="AD443">
            <v>1.1000000000000001</v>
          </cell>
          <cell r="AE443">
            <v>0</v>
          </cell>
          <cell r="AF443">
            <v>1501.5</v>
          </cell>
        </row>
        <row r="444">
          <cell r="B444" t="str">
            <v>0BG2941143</v>
          </cell>
          <cell r="C444">
            <v>2019</v>
          </cell>
          <cell r="D444" t="str">
            <v>Qtr 2</v>
          </cell>
          <cell r="E444" t="str">
            <v>April</v>
          </cell>
          <cell r="F444">
            <v>8</v>
          </cell>
          <cell r="G444" t="str">
            <v>CORRECTIVO</v>
          </cell>
          <cell r="H444">
            <v>0</v>
          </cell>
          <cell r="I444" t="str">
            <v>Light Production Digital Business</v>
          </cell>
          <cell r="J444">
            <v>803</v>
          </cell>
          <cell r="K444">
            <v>1573</v>
          </cell>
          <cell r="L444">
            <v>0.2</v>
          </cell>
          <cell r="M444">
            <v>0.6</v>
          </cell>
          <cell r="N444">
            <v>0.8</v>
          </cell>
          <cell r="O444">
            <v>1.05</v>
          </cell>
          <cell r="P444">
            <v>1.1000000000000001</v>
          </cell>
          <cell r="Q444">
            <v>1.1499999999999999</v>
          </cell>
          <cell r="R444" t="str">
            <v>INTERIOR</v>
          </cell>
          <cell r="S444">
            <v>4</v>
          </cell>
          <cell r="T444">
            <v>6</v>
          </cell>
          <cell r="U444" t="str">
            <v>Ciudad principal</v>
          </cell>
          <cell r="V444" t="str">
            <v>High End Cut Sheet</v>
          </cell>
          <cell r="W444" t="str">
            <v>TAMAULIPAS</v>
          </cell>
          <cell r="X444">
            <v>2019</v>
          </cell>
          <cell r="Y444" t="str">
            <v>Qtr 2</v>
          </cell>
          <cell r="Z444" t="str">
            <v>April</v>
          </cell>
          <cell r="AA444">
            <v>10</v>
          </cell>
          <cell r="AB444">
            <v>0</v>
          </cell>
          <cell r="AC444">
            <v>17</v>
          </cell>
          <cell r="AD444">
            <v>1.05</v>
          </cell>
          <cell r="AE444">
            <v>0</v>
          </cell>
          <cell r="AF444">
            <v>1651.65</v>
          </cell>
        </row>
        <row r="445">
          <cell r="B445" t="str">
            <v>09HB321202</v>
          </cell>
          <cell r="C445">
            <v>2019</v>
          </cell>
          <cell r="D445" t="str">
            <v>Qtr 2</v>
          </cell>
          <cell r="E445" t="str">
            <v>April</v>
          </cell>
          <cell r="F445">
            <v>8</v>
          </cell>
          <cell r="G445" t="str">
            <v>CORRECTIVO</v>
          </cell>
          <cell r="H445">
            <v>0.38333329999999999</v>
          </cell>
          <cell r="I445" t="str">
            <v>A4 Mono MFPs</v>
          </cell>
          <cell r="J445">
            <v>468</v>
          </cell>
          <cell r="K445">
            <v>715</v>
          </cell>
          <cell r="L445">
            <v>0</v>
          </cell>
          <cell r="M445">
            <v>0</v>
          </cell>
          <cell r="N445">
            <v>0</v>
          </cell>
          <cell r="O445">
            <v>0.6</v>
          </cell>
          <cell r="P445">
            <v>0.8</v>
          </cell>
          <cell r="Q445">
            <v>1.05</v>
          </cell>
          <cell r="R445" t="str">
            <v>INTERIOR</v>
          </cell>
          <cell r="S445">
            <v>5</v>
          </cell>
          <cell r="T445">
            <v>9</v>
          </cell>
          <cell r="U445" t="str">
            <v>Otras</v>
          </cell>
          <cell r="V445" t="str">
            <v>A4 Mono MFPs</v>
          </cell>
          <cell r="W445" t="str">
            <v>COAHUILA</v>
          </cell>
          <cell r="X445">
            <v>2019</v>
          </cell>
          <cell r="Y445" t="str">
            <v>Qtr 2</v>
          </cell>
          <cell r="Z445" t="str">
            <v>April</v>
          </cell>
          <cell r="AA445">
            <v>8</v>
          </cell>
          <cell r="AB445">
            <v>0</v>
          </cell>
          <cell r="AC445">
            <v>81</v>
          </cell>
          <cell r="AD445">
            <v>1.05</v>
          </cell>
          <cell r="AE445">
            <v>4.2592588888888901E-2</v>
          </cell>
          <cell r="AF445">
            <v>750.75</v>
          </cell>
        </row>
        <row r="446">
          <cell r="B446" t="str">
            <v>0A1H020685</v>
          </cell>
          <cell r="C446">
            <v>2019</v>
          </cell>
          <cell r="D446" t="str">
            <v>Qtr 2</v>
          </cell>
          <cell r="E446" t="str">
            <v>April</v>
          </cell>
          <cell r="F446">
            <v>8</v>
          </cell>
          <cell r="G446" t="str">
            <v>CORRECTIVO</v>
          </cell>
          <cell r="H446">
            <v>1.766667</v>
          </cell>
          <cell r="I446" t="str">
            <v>WF Mono Systems and Legacy Color</v>
          </cell>
          <cell r="J446">
            <v>803</v>
          </cell>
          <cell r="K446">
            <v>1573</v>
          </cell>
          <cell r="L446">
            <v>0.2</v>
          </cell>
          <cell r="M446">
            <v>0.6</v>
          </cell>
          <cell r="N446">
            <v>0.8</v>
          </cell>
          <cell r="O446">
            <v>1.05</v>
          </cell>
          <cell r="P446">
            <v>1.1000000000000001</v>
          </cell>
          <cell r="Q446">
            <v>1.1499999999999999</v>
          </cell>
          <cell r="R446" t="str">
            <v>INTERIOR</v>
          </cell>
          <cell r="S446">
            <v>4</v>
          </cell>
          <cell r="T446">
            <v>6</v>
          </cell>
          <cell r="U446" t="str">
            <v>Ciudad principal</v>
          </cell>
          <cell r="V446" t="str">
            <v>WF Mono Systems and Legacy Color</v>
          </cell>
          <cell r="W446" t="str">
            <v>GUANAJUATO</v>
          </cell>
          <cell r="X446">
            <v>2019</v>
          </cell>
          <cell r="Y446" t="str">
            <v>Qtr 2</v>
          </cell>
          <cell r="Z446" t="str">
            <v>April</v>
          </cell>
          <cell r="AA446">
            <v>9</v>
          </cell>
          <cell r="AB446">
            <v>0</v>
          </cell>
          <cell r="AC446">
            <v>40</v>
          </cell>
          <cell r="AD446">
            <v>1.1000000000000001</v>
          </cell>
          <cell r="AE446">
            <v>0.44166675</v>
          </cell>
          <cell r="AF446">
            <v>1730.3</v>
          </cell>
        </row>
        <row r="447">
          <cell r="B447" t="str">
            <v>0BG2949291</v>
          </cell>
          <cell r="C447">
            <v>2019</v>
          </cell>
          <cell r="D447" t="str">
            <v>Qtr 2</v>
          </cell>
          <cell r="E447" t="str">
            <v>April</v>
          </cell>
          <cell r="F447">
            <v>8</v>
          </cell>
          <cell r="G447" t="str">
            <v>CORRECTIVO</v>
          </cell>
          <cell r="H447">
            <v>2.75</v>
          </cell>
          <cell r="I447" t="str">
            <v>Light Production Digital Business</v>
          </cell>
          <cell r="J447">
            <v>803</v>
          </cell>
          <cell r="K447">
            <v>1573</v>
          </cell>
          <cell r="L447">
            <v>0.2</v>
          </cell>
          <cell r="M447">
            <v>0.6</v>
          </cell>
          <cell r="N447">
            <v>0.8</v>
          </cell>
          <cell r="O447">
            <v>1.05</v>
          </cell>
          <cell r="P447">
            <v>1.1000000000000001</v>
          </cell>
          <cell r="Q447">
            <v>1.1499999999999999</v>
          </cell>
          <cell r="R447" t="str">
            <v>INTERIOR</v>
          </cell>
          <cell r="S447">
            <v>4</v>
          </cell>
          <cell r="T447">
            <v>6</v>
          </cell>
          <cell r="U447" t="str">
            <v>Ciudad principal</v>
          </cell>
          <cell r="V447" t="str">
            <v>High End Cut Sheet</v>
          </cell>
          <cell r="W447" t="str">
            <v>GUANAJUATO</v>
          </cell>
          <cell r="X447">
            <v>2019</v>
          </cell>
          <cell r="Y447" t="str">
            <v>Qtr 2</v>
          </cell>
          <cell r="Z447" t="str">
            <v>April</v>
          </cell>
          <cell r="AA447">
            <v>9</v>
          </cell>
          <cell r="AB447">
            <v>0</v>
          </cell>
          <cell r="AC447">
            <v>13</v>
          </cell>
          <cell r="AD447">
            <v>0.8</v>
          </cell>
          <cell r="AE447">
            <v>0.6875</v>
          </cell>
          <cell r="AF447">
            <v>1258.4000000000001</v>
          </cell>
        </row>
        <row r="448">
          <cell r="B448" t="str">
            <v>0EX9282798</v>
          </cell>
          <cell r="C448">
            <v>2019</v>
          </cell>
          <cell r="D448" t="str">
            <v>Qtr 2</v>
          </cell>
          <cell r="E448" t="str">
            <v>April</v>
          </cell>
          <cell r="F448">
            <v>8</v>
          </cell>
          <cell r="G448" t="str">
            <v>CORRECTIVO</v>
          </cell>
          <cell r="H448">
            <v>3.75</v>
          </cell>
          <cell r="I448" t="str">
            <v>Departmental Digital</v>
          </cell>
          <cell r="J448">
            <v>655</v>
          </cell>
          <cell r="K448">
            <v>1365</v>
          </cell>
          <cell r="L448">
            <v>0</v>
          </cell>
          <cell r="M448">
            <v>0</v>
          </cell>
          <cell r="N448">
            <v>0.6</v>
          </cell>
          <cell r="O448">
            <v>0.8</v>
          </cell>
          <cell r="P448">
            <v>1.05</v>
          </cell>
          <cell r="Q448">
            <v>1.1000000000000001</v>
          </cell>
          <cell r="R448" t="str">
            <v>INTERIOR</v>
          </cell>
          <cell r="S448">
            <v>5</v>
          </cell>
          <cell r="T448">
            <v>9</v>
          </cell>
          <cell r="U448" t="str">
            <v>Ciudad principal</v>
          </cell>
          <cell r="V448" t="str">
            <v>Departmental Digital</v>
          </cell>
          <cell r="W448" t="str">
            <v>ESTADO DE MEXICO</v>
          </cell>
          <cell r="X448">
            <v>2019</v>
          </cell>
          <cell r="Y448" t="str">
            <v>Qtr 2</v>
          </cell>
          <cell r="Z448" t="str">
            <v>April</v>
          </cell>
          <cell r="AA448">
            <v>12</v>
          </cell>
          <cell r="AB448">
            <v>0</v>
          </cell>
          <cell r="AC448">
            <v>20</v>
          </cell>
          <cell r="AD448">
            <v>0.8</v>
          </cell>
          <cell r="AE448">
            <v>0.75</v>
          </cell>
          <cell r="AF448">
            <v>1092</v>
          </cell>
        </row>
        <row r="449">
          <cell r="B449" t="str">
            <v>0D6X464217</v>
          </cell>
          <cell r="C449">
            <v>2019</v>
          </cell>
          <cell r="D449" t="str">
            <v>Qtr 2</v>
          </cell>
          <cell r="E449" t="str">
            <v>April</v>
          </cell>
          <cell r="F449">
            <v>8</v>
          </cell>
          <cell r="G449" t="str">
            <v>CORRECTIVO</v>
          </cell>
          <cell r="H449">
            <v>2.25</v>
          </cell>
          <cell r="I449" t="str">
            <v>Entry Mono Printers</v>
          </cell>
          <cell r="J449">
            <v>468</v>
          </cell>
          <cell r="K449">
            <v>715</v>
          </cell>
          <cell r="L449">
            <v>0</v>
          </cell>
          <cell r="M449">
            <v>0</v>
          </cell>
          <cell r="N449">
            <v>0</v>
          </cell>
          <cell r="O449">
            <v>0.6</v>
          </cell>
          <cell r="P449">
            <v>0.8</v>
          </cell>
          <cell r="Q449">
            <v>1.05</v>
          </cell>
          <cell r="R449" t="str">
            <v>INTERIOR</v>
          </cell>
          <cell r="S449">
            <v>5</v>
          </cell>
          <cell r="T449">
            <v>9</v>
          </cell>
          <cell r="U449" t="str">
            <v>Ciudad principal</v>
          </cell>
          <cell r="V449" t="str">
            <v>Entry Mono Printers</v>
          </cell>
          <cell r="W449" t="str">
            <v>ESTADO DE MEXICO</v>
          </cell>
          <cell r="X449">
            <v>2019</v>
          </cell>
          <cell r="Y449" t="str">
            <v>Qtr 2</v>
          </cell>
          <cell r="Z449" t="str">
            <v>April</v>
          </cell>
          <cell r="AA449">
            <v>11</v>
          </cell>
          <cell r="AB449">
            <v>0</v>
          </cell>
          <cell r="AC449">
            <v>195</v>
          </cell>
          <cell r="AD449">
            <v>1.05</v>
          </cell>
          <cell r="AE449">
            <v>0.45</v>
          </cell>
          <cell r="AF449">
            <v>750.75</v>
          </cell>
        </row>
        <row r="450">
          <cell r="B450" t="str">
            <v>0BG0971716</v>
          </cell>
          <cell r="C450">
            <v>2019</v>
          </cell>
          <cell r="D450" t="str">
            <v>Qtr 2</v>
          </cell>
          <cell r="E450" t="str">
            <v>April</v>
          </cell>
          <cell r="F450">
            <v>8</v>
          </cell>
          <cell r="G450" t="str">
            <v>CORRECTIVO</v>
          </cell>
          <cell r="H450">
            <v>1.6666669999999999</v>
          </cell>
          <cell r="I450" t="str">
            <v>Light Production Digital Business</v>
          </cell>
          <cell r="J450">
            <v>803</v>
          </cell>
          <cell r="K450">
            <v>1573</v>
          </cell>
          <cell r="L450">
            <v>0.2</v>
          </cell>
          <cell r="M450">
            <v>0.6</v>
          </cell>
          <cell r="N450">
            <v>0.8</v>
          </cell>
          <cell r="O450">
            <v>1.05</v>
          </cell>
          <cell r="P450">
            <v>1.1000000000000001</v>
          </cell>
          <cell r="Q450">
            <v>1.1499999999999999</v>
          </cell>
          <cell r="R450" t="str">
            <v>INTERIOR</v>
          </cell>
          <cell r="S450">
            <v>4</v>
          </cell>
          <cell r="T450">
            <v>6</v>
          </cell>
          <cell r="U450" t="str">
            <v>Ciudad principal</v>
          </cell>
          <cell r="V450" t="str">
            <v>High End Cut Sheet</v>
          </cell>
          <cell r="W450" t="str">
            <v>NUEVO LEON</v>
          </cell>
          <cell r="X450">
            <v>2019</v>
          </cell>
          <cell r="Y450" t="str">
            <v>Qtr 2</v>
          </cell>
          <cell r="Z450" t="str">
            <v>April</v>
          </cell>
          <cell r="AA450">
            <v>8</v>
          </cell>
          <cell r="AB450">
            <v>0</v>
          </cell>
          <cell r="AC450">
            <v>5</v>
          </cell>
          <cell r="AD450">
            <v>0.6</v>
          </cell>
          <cell r="AE450">
            <v>0.41666674999999997</v>
          </cell>
          <cell r="AF450">
            <v>943.8</v>
          </cell>
        </row>
        <row r="451">
          <cell r="B451" t="str">
            <v>0E1B972284</v>
          </cell>
          <cell r="C451">
            <v>2019</v>
          </cell>
          <cell r="D451" t="str">
            <v>Qtr 2</v>
          </cell>
          <cell r="E451" t="str">
            <v>April</v>
          </cell>
          <cell r="F451">
            <v>8</v>
          </cell>
          <cell r="G451" t="str">
            <v>CORRECTIVO</v>
          </cell>
          <cell r="H451">
            <v>2.0333329999999998</v>
          </cell>
          <cell r="I451" t="str">
            <v>Color Laser Printers</v>
          </cell>
          <cell r="J451">
            <v>468</v>
          </cell>
          <cell r="K451">
            <v>715</v>
          </cell>
          <cell r="L451">
            <v>0</v>
          </cell>
          <cell r="M451">
            <v>0</v>
          </cell>
          <cell r="N451">
            <v>0</v>
          </cell>
          <cell r="O451">
            <v>0.6</v>
          </cell>
          <cell r="P451">
            <v>0.8</v>
          </cell>
          <cell r="Q451">
            <v>1.05</v>
          </cell>
          <cell r="R451" t="str">
            <v>INTERIOR</v>
          </cell>
          <cell r="S451">
            <v>5</v>
          </cell>
          <cell r="T451">
            <v>9</v>
          </cell>
          <cell r="U451" t="str">
            <v>Ciudad principal</v>
          </cell>
          <cell r="V451" t="str">
            <v>A4 Mono MFPs</v>
          </cell>
          <cell r="W451" t="str">
            <v>JALISCO</v>
          </cell>
          <cell r="X451">
            <v>2019</v>
          </cell>
          <cell r="Y451" t="str">
            <v>Qtr 2</v>
          </cell>
          <cell r="Z451" t="str">
            <v>April</v>
          </cell>
          <cell r="AA451">
            <v>8</v>
          </cell>
          <cell r="AB451">
            <v>0</v>
          </cell>
          <cell r="AC451">
            <v>300</v>
          </cell>
          <cell r="AD451">
            <v>1.05</v>
          </cell>
          <cell r="AE451">
            <v>0.40666659999999999</v>
          </cell>
          <cell r="AF451">
            <v>750.75</v>
          </cell>
        </row>
        <row r="452">
          <cell r="B452" t="str">
            <v>0BG0966730</v>
          </cell>
          <cell r="C452">
            <v>2019</v>
          </cell>
          <cell r="D452" t="str">
            <v>Qtr 2</v>
          </cell>
          <cell r="E452" t="str">
            <v>April</v>
          </cell>
          <cell r="F452">
            <v>8</v>
          </cell>
          <cell r="G452" t="str">
            <v>CORRECTIVO</v>
          </cell>
          <cell r="H452">
            <v>1.066667</v>
          </cell>
          <cell r="I452" t="str">
            <v>Light Production Digital Business</v>
          </cell>
          <cell r="J452">
            <v>803</v>
          </cell>
          <cell r="K452">
            <v>1573</v>
          </cell>
          <cell r="L452">
            <v>0.2</v>
          </cell>
          <cell r="M452">
            <v>0.6</v>
          </cell>
          <cell r="N452">
            <v>0.8</v>
          </cell>
          <cell r="O452">
            <v>1.05</v>
          </cell>
          <cell r="P452">
            <v>1.1000000000000001</v>
          </cell>
          <cell r="Q452">
            <v>1.1499999999999999</v>
          </cell>
          <cell r="R452" t="str">
            <v>INTERIOR</v>
          </cell>
          <cell r="S452">
            <v>4</v>
          </cell>
          <cell r="T452">
            <v>6</v>
          </cell>
          <cell r="U452" t="str">
            <v>Ciudad principal</v>
          </cell>
          <cell r="V452" t="str">
            <v>High End Cut Sheet</v>
          </cell>
          <cell r="W452" t="str">
            <v>MICHOACAN</v>
          </cell>
          <cell r="X452">
            <v>2019</v>
          </cell>
          <cell r="Y452" t="str">
            <v>Qtr 2</v>
          </cell>
          <cell r="Z452" t="str">
            <v>April</v>
          </cell>
          <cell r="AA452">
            <v>8</v>
          </cell>
          <cell r="AB452">
            <v>0</v>
          </cell>
          <cell r="AC452">
            <v>19</v>
          </cell>
          <cell r="AD452">
            <v>1.05</v>
          </cell>
          <cell r="AE452">
            <v>0.26666675000000001</v>
          </cell>
          <cell r="AF452">
            <v>1651.65</v>
          </cell>
        </row>
        <row r="453">
          <cell r="B453" t="str">
            <v>0MAV779133</v>
          </cell>
          <cell r="C453">
            <v>2019</v>
          </cell>
          <cell r="D453" t="str">
            <v>Qtr 2</v>
          </cell>
          <cell r="E453" t="str">
            <v>April</v>
          </cell>
          <cell r="F453">
            <v>8</v>
          </cell>
          <cell r="G453" t="str">
            <v>CORRECTIVO</v>
          </cell>
          <cell r="H453">
            <v>5.0999999999999996</v>
          </cell>
          <cell r="I453" t="str">
            <v>Entry Production Color Low/Mid</v>
          </cell>
          <cell r="J453">
            <v>803</v>
          </cell>
          <cell r="K453">
            <v>1573</v>
          </cell>
          <cell r="L453">
            <v>0.2</v>
          </cell>
          <cell r="M453">
            <v>0.6</v>
          </cell>
          <cell r="N453">
            <v>0.8</v>
          </cell>
          <cell r="O453">
            <v>1.05</v>
          </cell>
          <cell r="P453">
            <v>1.1000000000000001</v>
          </cell>
          <cell r="Q453">
            <v>1.1499999999999999</v>
          </cell>
          <cell r="R453" t="str">
            <v>INTERIOR</v>
          </cell>
          <cell r="S453">
            <v>4</v>
          </cell>
          <cell r="T453">
            <v>6</v>
          </cell>
          <cell r="U453" t="str">
            <v>Ciudad principal</v>
          </cell>
          <cell r="V453" t="str">
            <v>Xerox Color Press</v>
          </cell>
          <cell r="W453" t="str">
            <v>COLIMA</v>
          </cell>
          <cell r="X453">
            <v>2019</v>
          </cell>
          <cell r="Y453" t="str">
            <v>Qtr 2</v>
          </cell>
          <cell r="Z453" t="str">
            <v>April</v>
          </cell>
          <cell r="AA453">
            <v>22</v>
          </cell>
          <cell r="AB453">
            <v>1</v>
          </cell>
          <cell r="AC453">
            <v>3</v>
          </cell>
          <cell r="AD453">
            <v>0</v>
          </cell>
          <cell r="AE453">
            <v>0</v>
          </cell>
          <cell r="AF453">
            <v>0</v>
          </cell>
        </row>
        <row r="454">
          <cell r="B454" t="str">
            <v>0E2B651413</v>
          </cell>
          <cell r="C454">
            <v>2019</v>
          </cell>
          <cell r="D454" t="str">
            <v>Qtr 2</v>
          </cell>
          <cell r="E454" t="str">
            <v>April</v>
          </cell>
          <cell r="F454">
            <v>8</v>
          </cell>
          <cell r="G454" t="str">
            <v>CORRECTIVO</v>
          </cell>
          <cell r="H454">
            <v>2.2999999999999998</v>
          </cell>
          <cell r="I454" t="str">
            <v>Entry Production Color Low/Mid</v>
          </cell>
          <cell r="J454">
            <v>803</v>
          </cell>
          <cell r="K454">
            <v>1573</v>
          </cell>
          <cell r="L454">
            <v>0.2</v>
          </cell>
          <cell r="M454">
            <v>0.6</v>
          </cell>
          <cell r="N454">
            <v>0.8</v>
          </cell>
          <cell r="O454">
            <v>1.05</v>
          </cell>
          <cell r="P454">
            <v>1.1000000000000001</v>
          </cell>
          <cell r="Q454">
            <v>1.1499999999999999</v>
          </cell>
          <cell r="R454" t="str">
            <v>INTERIOR</v>
          </cell>
          <cell r="S454">
            <v>4</v>
          </cell>
          <cell r="T454">
            <v>6</v>
          </cell>
          <cell r="U454" t="str">
            <v>Ciudad principal</v>
          </cell>
          <cell r="V454" t="str">
            <v>Entry Production Color Low/Mid</v>
          </cell>
          <cell r="W454" t="str">
            <v>MICHOACAN</v>
          </cell>
          <cell r="X454">
            <v>2019</v>
          </cell>
          <cell r="Y454" t="str">
            <v>Qtr 2</v>
          </cell>
          <cell r="Z454" t="str">
            <v>April</v>
          </cell>
          <cell r="AA454">
            <v>10</v>
          </cell>
          <cell r="AB454">
            <v>0</v>
          </cell>
          <cell r="AC454">
            <v>165</v>
          </cell>
          <cell r="AD454">
            <v>1.1499999999999999</v>
          </cell>
          <cell r="AE454">
            <v>0.57499999999999996</v>
          </cell>
          <cell r="AF454">
            <v>1808.95</v>
          </cell>
        </row>
        <row r="455">
          <cell r="B455" t="str">
            <v>0EX9664778</v>
          </cell>
          <cell r="C455">
            <v>2019</v>
          </cell>
          <cell r="D455" t="str">
            <v>Qtr 2</v>
          </cell>
          <cell r="E455" t="str">
            <v>April</v>
          </cell>
          <cell r="F455">
            <v>8</v>
          </cell>
          <cell r="G455" t="str">
            <v>CORRECTIVO</v>
          </cell>
          <cell r="H455">
            <v>4.1500000000000004</v>
          </cell>
          <cell r="I455" t="str">
            <v>Departmental Digital</v>
          </cell>
          <cell r="J455">
            <v>655</v>
          </cell>
          <cell r="K455">
            <v>1365</v>
          </cell>
          <cell r="L455">
            <v>0</v>
          </cell>
          <cell r="M455">
            <v>0</v>
          </cell>
          <cell r="N455">
            <v>0.6</v>
          </cell>
          <cell r="O455">
            <v>0.8</v>
          </cell>
          <cell r="P455">
            <v>1.05</v>
          </cell>
          <cell r="Q455">
            <v>1.1000000000000001</v>
          </cell>
          <cell r="R455" t="str">
            <v>INTERIOR</v>
          </cell>
          <cell r="S455">
            <v>5</v>
          </cell>
          <cell r="T455">
            <v>9</v>
          </cell>
          <cell r="U455" t="str">
            <v>Otras</v>
          </cell>
          <cell r="V455" t="str">
            <v>Departmental Digital</v>
          </cell>
          <cell r="W455" t="str">
            <v>NUEVO LEON</v>
          </cell>
          <cell r="X455">
            <v>2019</v>
          </cell>
          <cell r="Y455" t="str">
            <v>Qtr 2</v>
          </cell>
          <cell r="Z455" t="str">
            <v>April</v>
          </cell>
          <cell r="AA455">
            <v>9</v>
          </cell>
          <cell r="AB455">
            <v>0</v>
          </cell>
          <cell r="AC455">
            <v>17</v>
          </cell>
          <cell r="AD455">
            <v>0.8</v>
          </cell>
          <cell r="AE455">
            <v>0.46111111111111103</v>
          </cell>
          <cell r="AF455">
            <v>1092</v>
          </cell>
        </row>
        <row r="456">
          <cell r="B456" t="str">
            <v>0B2R090061</v>
          </cell>
          <cell r="C456">
            <v>2019</v>
          </cell>
          <cell r="D456" t="str">
            <v>Qtr 2</v>
          </cell>
          <cell r="E456" t="str">
            <v>April</v>
          </cell>
          <cell r="F456">
            <v>8</v>
          </cell>
          <cell r="G456" t="str">
            <v>CORRECTIVO</v>
          </cell>
          <cell r="H456">
            <v>3.55</v>
          </cell>
          <cell r="I456" t="str">
            <v>Entry Production Color Low/Mid</v>
          </cell>
          <cell r="J456">
            <v>803</v>
          </cell>
          <cell r="K456">
            <v>1573</v>
          </cell>
          <cell r="L456">
            <v>0.2</v>
          </cell>
          <cell r="M456">
            <v>0.6</v>
          </cell>
          <cell r="N456">
            <v>0.8</v>
          </cell>
          <cell r="O456">
            <v>1.05</v>
          </cell>
          <cell r="P456">
            <v>1.1000000000000001</v>
          </cell>
          <cell r="Q456">
            <v>1.1499999999999999</v>
          </cell>
          <cell r="R456" t="str">
            <v>INTERIOR</v>
          </cell>
          <cell r="S456">
            <v>4</v>
          </cell>
          <cell r="T456">
            <v>6</v>
          </cell>
          <cell r="U456" t="str">
            <v>Ciudad principal</v>
          </cell>
          <cell r="V456" t="str">
            <v>High End Cut Sheet</v>
          </cell>
          <cell r="W456" t="str">
            <v>NUEVO LEON</v>
          </cell>
          <cell r="X456">
            <v>2019</v>
          </cell>
          <cell r="Y456" t="str">
            <v>Qtr 2</v>
          </cell>
          <cell r="Z456" t="str">
            <v>April</v>
          </cell>
          <cell r="AA456">
            <v>8</v>
          </cell>
          <cell r="AB456">
            <v>0</v>
          </cell>
          <cell r="AC456">
            <v>26</v>
          </cell>
          <cell r="AD456">
            <v>1.05</v>
          </cell>
          <cell r="AE456">
            <v>0.88749999999999996</v>
          </cell>
          <cell r="AF456">
            <v>1651.65</v>
          </cell>
        </row>
        <row r="457">
          <cell r="B457" t="str">
            <v>0Y2B003356</v>
          </cell>
          <cell r="C457">
            <v>2019</v>
          </cell>
          <cell r="D457" t="str">
            <v>Qtr 2</v>
          </cell>
          <cell r="E457" t="str">
            <v>April</v>
          </cell>
          <cell r="F457">
            <v>8</v>
          </cell>
          <cell r="G457" t="str">
            <v>CORRECTIVO</v>
          </cell>
          <cell r="H457">
            <v>1.4166669999999999</v>
          </cell>
          <cell r="I457" t="str">
            <v>Departmental Digital</v>
          </cell>
          <cell r="J457">
            <v>655</v>
          </cell>
          <cell r="K457">
            <v>1365</v>
          </cell>
          <cell r="L457">
            <v>0</v>
          </cell>
          <cell r="M457">
            <v>0</v>
          </cell>
          <cell r="N457">
            <v>0.6</v>
          </cell>
          <cell r="O457">
            <v>0.8</v>
          </cell>
          <cell r="P457">
            <v>1.05</v>
          </cell>
          <cell r="Q457">
            <v>1.1000000000000001</v>
          </cell>
          <cell r="R457" t="str">
            <v>INTERIOR</v>
          </cell>
          <cell r="S457">
            <v>5</v>
          </cell>
          <cell r="T457">
            <v>9</v>
          </cell>
          <cell r="U457" t="str">
            <v>Ciudad principal</v>
          </cell>
          <cell r="V457" t="str">
            <v>Departmental Digital</v>
          </cell>
          <cell r="W457" t="str">
            <v>CHIHUAHUA</v>
          </cell>
          <cell r="X457">
            <v>2019</v>
          </cell>
          <cell r="Y457" t="str">
            <v>Qtr 2</v>
          </cell>
          <cell r="Z457" t="str">
            <v>April</v>
          </cell>
          <cell r="AA457">
            <v>8</v>
          </cell>
          <cell r="AB457">
            <v>0</v>
          </cell>
          <cell r="AC457">
            <v>42</v>
          </cell>
          <cell r="AD457">
            <v>1.05</v>
          </cell>
          <cell r="AE457">
            <v>0.28333340000000001</v>
          </cell>
          <cell r="AF457">
            <v>1433.25</v>
          </cell>
        </row>
        <row r="458">
          <cell r="B458" t="str">
            <v>0MX1205880</v>
          </cell>
          <cell r="C458">
            <v>2019</v>
          </cell>
          <cell r="D458" t="str">
            <v>Qtr 2</v>
          </cell>
          <cell r="E458" t="str">
            <v>April</v>
          </cell>
          <cell r="F458">
            <v>8</v>
          </cell>
          <cell r="G458" t="str">
            <v>CORRECTIVO</v>
          </cell>
          <cell r="H458">
            <v>0.28333330000000001</v>
          </cell>
          <cell r="J458" t="str">
            <v>NA</v>
          </cell>
          <cell r="K458" t="str">
            <v>NA</v>
          </cell>
          <cell r="L458" t="str">
            <v>NA</v>
          </cell>
          <cell r="M458" t="str">
            <v>NA</v>
          </cell>
          <cell r="N458" t="str">
            <v>NA</v>
          </cell>
          <cell r="O458" t="str">
            <v>NA</v>
          </cell>
          <cell r="P458" t="str">
            <v>NA</v>
          </cell>
          <cell r="Q458" t="str">
            <v>NA</v>
          </cell>
          <cell r="S458" t="str">
            <v>NA</v>
          </cell>
          <cell r="T458" t="str">
            <v>NA</v>
          </cell>
          <cell r="V458" t="str">
            <v>A3 Office Color Laser MFPs</v>
          </cell>
          <cell r="W458" t="str">
            <v>COAHUILA</v>
          </cell>
          <cell r="X458">
            <v>2019</v>
          </cell>
          <cell r="Y458" t="str">
            <v>Qtr 2</v>
          </cell>
          <cell r="Z458" t="str">
            <v>April</v>
          </cell>
          <cell r="AA458">
            <v>10</v>
          </cell>
          <cell r="AB458" t="str">
            <v>NA</v>
          </cell>
          <cell r="AC458">
            <v>42</v>
          </cell>
          <cell r="AD458">
            <v>0</v>
          </cell>
          <cell r="AE458">
            <v>0</v>
          </cell>
          <cell r="AF458">
            <v>0</v>
          </cell>
        </row>
        <row r="459">
          <cell r="B459" t="str">
            <v>0Y4X846817</v>
          </cell>
          <cell r="C459">
            <v>2019</v>
          </cell>
          <cell r="D459" t="str">
            <v>Qtr 2</v>
          </cell>
          <cell r="E459" t="str">
            <v>April</v>
          </cell>
          <cell r="F459">
            <v>8</v>
          </cell>
          <cell r="G459" t="str">
            <v>MANTENIMIENTO PREVENTIVO</v>
          </cell>
          <cell r="H459">
            <v>0</v>
          </cell>
          <cell r="I459" t="str">
            <v>Office Digital</v>
          </cell>
          <cell r="J459">
            <v>655</v>
          </cell>
          <cell r="K459">
            <v>1365</v>
          </cell>
          <cell r="L459">
            <v>0</v>
          </cell>
          <cell r="M459">
            <v>0</v>
          </cell>
          <cell r="N459">
            <v>0.6</v>
          </cell>
          <cell r="O459">
            <v>0.8</v>
          </cell>
          <cell r="P459">
            <v>1.05</v>
          </cell>
          <cell r="Q459">
            <v>1.1000000000000001</v>
          </cell>
          <cell r="R459" t="str">
            <v>INTERIOR</v>
          </cell>
          <cell r="S459">
            <v>5</v>
          </cell>
          <cell r="T459">
            <v>9</v>
          </cell>
          <cell r="U459" t="str">
            <v>Ciudad principal</v>
          </cell>
          <cell r="V459" t="str">
            <v>Light Production Digital Business</v>
          </cell>
          <cell r="W459" t="str">
            <v>JALISCO</v>
          </cell>
          <cell r="X459">
            <v>2019</v>
          </cell>
          <cell r="Y459" t="str">
            <v>Qtr 2</v>
          </cell>
          <cell r="Z459" t="str">
            <v>April</v>
          </cell>
          <cell r="AA459">
            <v>8</v>
          </cell>
          <cell r="AB459">
            <v>1</v>
          </cell>
          <cell r="AC459">
            <v>14</v>
          </cell>
          <cell r="AD459">
            <v>0</v>
          </cell>
          <cell r="AE459">
            <v>0</v>
          </cell>
          <cell r="AF459">
            <v>0</v>
          </cell>
        </row>
        <row r="460">
          <cell r="B460" t="str">
            <v>09HB332063</v>
          </cell>
          <cell r="C460">
            <v>2019</v>
          </cell>
          <cell r="D460" t="str">
            <v>Qtr 2</v>
          </cell>
          <cell r="E460" t="str">
            <v>April</v>
          </cell>
          <cell r="F460">
            <v>8</v>
          </cell>
          <cell r="G460" t="str">
            <v>MANTENIMIENTO PREVENTIVO</v>
          </cell>
          <cell r="H460">
            <v>0</v>
          </cell>
          <cell r="I460" t="str">
            <v>A4 Mono MFPs</v>
          </cell>
          <cell r="J460">
            <v>468</v>
          </cell>
          <cell r="K460">
            <v>715</v>
          </cell>
          <cell r="L460">
            <v>0</v>
          </cell>
          <cell r="M460">
            <v>0</v>
          </cell>
          <cell r="N460">
            <v>0</v>
          </cell>
          <cell r="O460">
            <v>0.6</v>
          </cell>
          <cell r="P460">
            <v>0.8</v>
          </cell>
          <cell r="Q460">
            <v>1.05</v>
          </cell>
          <cell r="R460" t="str">
            <v>INTERIOR</v>
          </cell>
          <cell r="S460">
            <v>5</v>
          </cell>
          <cell r="T460">
            <v>9</v>
          </cell>
          <cell r="U460" t="str">
            <v>Ciudad principal</v>
          </cell>
          <cell r="V460" t="str">
            <v>A4 Mono MFPs</v>
          </cell>
          <cell r="W460" t="str">
            <v>JALISCO</v>
          </cell>
          <cell r="X460">
            <v>2019</v>
          </cell>
          <cell r="Y460" t="str">
            <v>Qtr 2</v>
          </cell>
          <cell r="Z460" t="str">
            <v>April</v>
          </cell>
          <cell r="AA460">
            <v>8</v>
          </cell>
          <cell r="AB460">
            <v>1</v>
          </cell>
          <cell r="AC460">
            <v>5</v>
          </cell>
          <cell r="AD460">
            <v>0</v>
          </cell>
          <cell r="AE460">
            <v>0</v>
          </cell>
          <cell r="AF460">
            <v>0</v>
          </cell>
        </row>
        <row r="461">
          <cell r="B461" t="str">
            <v>03AG879962</v>
          </cell>
          <cell r="C461">
            <v>2019</v>
          </cell>
          <cell r="D461" t="str">
            <v>Qtr 2</v>
          </cell>
          <cell r="E461" t="str">
            <v>April</v>
          </cell>
          <cell r="F461">
            <v>8</v>
          </cell>
          <cell r="G461" t="str">
            <v>CORRECTIVO</v>
          </cell>
          <cell r="H461">
            <v>0</v>
          </cell>
          <cell r="I461" t="str">
            <v>Departmental Digital</v>
          </cell>
          <cell r="J461">
            <v>655</v>
          </cell>
          <cell r="K461">
            <v>1365</v>
          </cell>
          <cell r="L461">
            <v>0</v>
          </cell>
          <cell r="M461">
            <v>0</v>
          </cell>
          <cell r="N461">
            <v>0.6</v>
          </cell>
          <cell r="O461">
            <v>0.8</v>
          </cell>
          <cell r="P461">
            <v>1.05</v>
          </cell>
          <cell r="Q461">
            <v>1.1000000000000001</v>
          </cell>
          <cell r="R461" t="str">
            <v>INTERIOR</v>
          </cell>
          <cell r="S461">
            <v>5</v>
          </cell>
          <cell r="T461">
            <v>9</v>
          </cell>
          <cell r="U461" t="str">
            <v>Ciudad principal</v>
          </cell>
          <cell r="V461" t="str">
            <v>Light Production Digital Business</v>
          </cell>
          <cell r="W461" t="str">
            <v>CHIHUAHUA</v>
          </cell>
          <cell r="X461">
            <v>2019</v>
          </cell>
          <cell r="Y461" t="str">
            <v>Qtr 2</v>
          </cell>
          <cell r="Z461" t="str">
            <v>April</v>
          </cell>
          <cell r="AA461">
            <v>8</v>
          </cell>
          <cell r="AB461">
            <v>0</v>
          </cell>
          <cell r="AC461">
            <v>14</v>
          </cell>
          <cell r="AD461">
            <v>0.6</v>
          </cell>
          <cell r="AE461">
            <v>0</v>
          </cell>
          <cell r="AF461">
            <v>819</v>
          </cell>
        </row>
        <row r="462">
          <cell r="B462" t="str">
            <v>0E2B666074</v>
          </cell>
          <cell r="C462">
            <v>2019</v>
          </cell>
          <cell r="D462" t="str">
            <v>Qtr 2</v>
          </cell>
          <cell r="E462" t="str">
            <v>April</v>
          </cell>
          <cell r="F462">
            <v>8</v>
          </cell>
          <cell r="G462" t="str">
            <v>CORRECTIVO</v>
          </cell>
          <cell r="H462">
            <v>0</v>
          </cell>
          <cell r="I462" t="str">
            <v>Entry Production Color Low/Mid</v>
          </cell>
          <cell r="J462">
            <v>803</v>
          </cell>
          <cell r="K462">
            <v>1573</v>
          </cell>
          <cell r="L462">
            <v>0.2</v>
          </cell>
          <cell r="M462">
            <v>0.6</v>
          </cell>
          <cell r="N462">
            <v>0.8</v>
          </cell>
          <cell r="O462">
            <v>1.05</v>
          </cell>
          <cell r="P462">
            <v>1.1000000000000001</v>
          </cell>
          <cell r="Q462">
            <v>1.1499999999999999</v>
          </cell>
          <cell r="R462" t="str">
            <v>INTERIOR</v>
          </cell>
          <cell r="S462">
            <v>4</v>
          </cell>
          <cell r="T462">
            <v>6</v>
          </cell>
          <cell r="U462" t="str">
            <v>Ciudad principal</v>
          </cell>
          <cell r="V462" t="str">
            <v>Entry Production Color Low/Mid</v>
          </cell>
          <cell r="W462" t="str">
            <v>CHIHUAHUA</v>
          </cell>
          <cell r="X462">
            <v>2019</v>
          </cell>
          <cell r="Y462" t="str">
            <v>Qtr 2</v>
          </cell>
          <cell r="Z462" t="str">
            <v>April</v>
          </cell>
          <cell r="AA462">
            <v>16</v>
          </cell>
          <cell r="AB462">
            <v>0</v>
          </cell>
          <cell r="AC462">
            <v>13</v>
          </cell>
          <cell r="AD462">
            <v>0.8</v>
          </cell>
          <cell r="AE462">
            <v>0</v>
          </cell>
          <cell r="AF462">
            <v>1258.4000000000001</v>
          </cell>
        </row>
        <row r="463">
          <cell r="B463" t="str">
            <v>0C4X006407</v>
          </cell>
          <cell r="C463">
            <v>2019</v>
          </cell>
          <cell r="D463" t="str">
            <v>Qtr 2</v>
          </cell>
          <cell r="E463" t="str">
            <v>April</v>
          </cell>
          <cell r="F463">
            <v>8</v>
          </cell>
          <cell r="G463" t="str">
            <v>CORRECTIVO</v>
          </cell>
          <cell r="H463">
            <v>1.6333329999999999</v>
          </cell>
          <cell r="I463" t="str">
            <v>A4 Mono MFPs</v>
          </cell>
          <cell r="J463">
            <v>468</v>
          </cell>
          <cell r="K463">
            <v>715</v>
          </cell>
          <cell r="L463">
            <v>0</v>
          </cell>
          <cell r="M463">
            <v>0</v>
          </cell>
          <cell r="N463">
            <v>0</v>
          </cell>
          <cell r="O463">
            <v>0.6</v>
          </cell>
          <cell r="P463">
            <v>0.8</v>
          </cell>
          <cell r="Q463">
            <v>1.05</v>
          </cell>
          <cell r="R463" t="str">
            <v>INTERIOR</v>
          </cell>
          <cell r="S463">
            <v>5</v>
          </cell>
          <cell r="T463">
            <v>9</v>
          </cell>
          <cell r="U463" t="str">
            <v>Ciudad principal</v>
          </cell>
          <cell r="V463" t="str">
            <v>A4 Mono MFPs</v>
          </cell>
          <cell r="W463" t="str">
            <v>CHIHUAHUA</v>
          </cell>
          <cell r="X463">
            <v>2019</v>
          </cell>
          <cell r="Y463" t="str">
            <v>Qtr 2</v>
          </cell>
          <cell r="Z463" t="str">
            <v>April</v>
          </cell>
          <cell r="AA463">
            <v>11</v>
          </cell>
          <cell r="AB463">
            <v>0</v>
          </cell>
          <cell r="AC463">
            <v>91</v>
          </cell>
          <cell r="AD463">
            <v>1.05</v>
          </cell>
          <cell r="AE463">
            <v>0.32666659999999997</v>
          </cell>
          <cell r="AF463">
            <v>750.75</v>
          </cell>
        </row>
        <row r="464">
          <cell r="B464" t="str">
            <v>0C4X008398</v>
          </cell>
          <cell r="C464">
            <v>2019</v>
          </cell>
          <cell r="D464" t="str">
            <v>Qtr 2</v>
          </cell>
          <cell r="E464" t="str">
            <v>April</v>
          </cell>
          <cell r="F464">
            <v>8</v>
          </cell>
          <cell r="G464" t="str">
            <v>CORRECTIVO</v>
          </cell>
          <cell r="H464">
            <v>2.2833329999999998</v>
          </cell>
          <cell r="I464" t="str">
            <v>A4 Mono MFPs</v>
          </cell>
          <cell r="J464">
            <v>468</v>
          </cell>
          <cell r="K464">
            <v>715</v>
          </cell>
          <cell r="L464">
            <v>0</v>
          </cell>
          <cell r="M464">
            <v>0</v>
          </cell>
          <cell r="N464">
            <v>0</v>
          </cell>
          <cell r="O464">
            <v>0.6</v>
          </cell>
          <cell r="P464">
            <v>0.8</v>
          </cell>
          <cell r="Q464">
            <v>1.05</v>
          </cell>
          <cell r="R464" t="str">
            <v>INTERIOR</v>
          </cell>
          <cell r="S464">
            <v>5</v>
          </cell>
          <cell r="T464">
            <v>9</v>
          </cell>
          <cell r="U464" t="str">
            <v>Ciudad principal</v>
          </cell>
          <cell r="V464" t="str">
            <v>A4 Mono MFPs</v>
          </cell>
          <cell r="W464" t="str">
            <v>JALISCO</v>
          </cell>
          <cell r="X464">
            <v>2019</v>
          </cell>
          <cell r="Y464" t="str">
            <v>Qtr 2</v>
          </cell>
          <cell r="Z464" t="str">
            <v>April</v>
          </cell>
          <cell r="AA464">
            <v>8</v>
          </cell>
          <cell r="AB464">
            <v>0</v>
          </cell>
          <cell r="AC464">
            <v>298</v>
          </cell>
          <cell r="AD464">
            <v>1.05</v>
          </cell>
          <cell r="AE464">
            <v>0.45666659999999998</v>
          </cell>
          <cell r="AF464">
            <v>750.75</v>
          </cell>
        </row>
        <row r="465">
          <cell r="B465" t="str">
            <v>09HB325731</v>
          </cell>
          <cell r="C465">
            <v>2019</v>
          </cell>
          <cell r="D465" t="str">
            <v>Qtr 2</v>
          </cell>
          <cell r="E465" t="str">
            <v>April</v>
          </cell>
          <cell r="F465">
            <v>8</v>
          </cell>
          <cell r="G465" t="str">
            <v>CORRECTIVO</v>
          </cell>
          <cell r="H465">
            <v>1.1333329999999999</v>
          </cell>
          <cell r="I465" t="str">
            <v>A4 Mono MFPs</v>
          </cell>
          <cell r="J465">
            <v>468</v>
          </cell>
          <cell r="K465">
            <v>715</v>
          </cell>
          <cell r="L465">
            <v>0</v>
          </cell>
          <cell r="M465">
            <v>0</v>
          </cell>
          <cell r="N465">
            <v>0</v>
          </cell>
          <cell r="O465">
            <v>0.6</v>
          </cell>
          <cell r="P465">
            <v>0.8</v>
          </cell>
          <cell r="Q465">
            <v>1.05</v>
          </cell>
          <cell r="R465" t="str">
            <v>INTERIOR</v>
          </cell>
          <cell r="S465">
            <v>5</v>
          </cell>
          <cell r="T465">
            <v>9</v>
          </cell>
          <cell r="U465" t="str">
            <v>Ciudad principal</v>
          </cell>
          <cell r="V465" t="str">
            <v>A4 Mono MFPs</v>
          </cell>
          <cell r="W465" t="str">
            <v>NUEVO LEON</v>
          </cell>
          <cell r="X465">
            <v>2019</v>
          </cell>
          <cell r="Y465" t="str">
            <v>Qtr 2</v>
          </cell>
          <cell r="Z465" t="str">
            <v>April</v>
          </cell>
          <cell r="AA465">
            <v>8</v>
          </cell>
          <cell r="AB465">
            <v>0</v>
          </cell>
          <cell r="AC465">
            <v>341</v>
          </cell>
          <cell r="AD465">
            <v>1.05</v>
          </cell>
          <cell r="AE465">
            <v>0.2266666</v>
          </cell>
          <cell r="AF465">
            <v>750.75</v>
          </cell>
        </row>
        <row r="466">
          <cell r="B466" t="str">
            <v>09HB331432</v>
          </cell>
          <cell r="C466">
            <v>2019</v>
          </cell>
          <cell r="D466" t="str">
            <v>Qtr 2</v>
          </cell>
          <cell r="E466" t="str">
            <v>April</v>
          </cell>
          <cell r="F466">
            <v>8</v>
          </cell>
          <cell r="G466" t="str">
            <v>MANTENIMIENTO PREVENTIVO</v>
          </cell>
          <cell r="H466">
            <v>0</v>
          </cell>
          <cell r="J466" t="str">
            <v>NA</v>
          </cell>
          <cell r="K466" t="str">
            <v>NA</v>
          </cell>
          <cell r="L466" t="str">
            <v>NA</v>
          </cell>
          <cell r="M466" t="str">
            <v>NA</v>
          </cell>
          <cell r="N466" t="str">
            <v>NA</v>
          </cell>
          <cell r="O466" t="str">
            <v>NA</v>
          </cell>
          <cell r="P466" t="str">
            <v>NA</v>
          </cell>
          <cell r="Q466" t="str">
            <v>NA</v>
          </cell>
          <cell r="S466" t="str">
            <v>NA</v>
          </cell>
          <cell r="T466" t="str">
            <v>NA</v>
          </cell>
          <cell r="V466" t="str">
            <v>A4 Mono MFPs</v>
          </cell>
          <cell r="W466" t="str">
            <v>JALISCO</v>
          </cell>
          <cell r="X466">
            <v>2019</v>
          </cell>
          <cell r="Y466" t="str">
            <v>Qtr 2</v>
          </cell>
          <cell r="Z466" t="str">
            <v>April</v>
          </cell>
          <cell r="AA466">
            <v>8</v>
          </cell>
          <cell r="AB466" t="str">
            <v>NA</v>
          </cell>
          <cell r="AC466">
            <v>5</v>
          </cell>
          <cell r="AD466">
            <v>0</v>
          </cell>
          <cell r="AE466">
            <v>0</v>
          </cell>
          <cell r="AF466">
            <v>0</v>
          </cell>
        </row>
        <row r="467">
          <cell r="B467" t="str">
            <v>06TB445795</v>
          </cell>
          <cell r="C467">
            <v>2019</v>
          </cell>
          <cell r="D467" t="str">
            <v>Qtr 2</v>
          </cell>
          <cell r="E467" t="str">
            <v>April</v>
          </cell>
          <cell r="F467">
            <v>8</v>
          </cell>
          <cell r="G467" t="str">
            <v>MANTENIMIENTO PREVENTIVO</v>
          </cell>
          <cell r="H467">
            <v>0</v>
          </cell>
          <cell r="I467" t="str">
            <v>A3 Office Color Laser MFPs</v>
          </cell>
          <cell r="J467">
            <v>655</v>
          </cell>
          <cell r="K467">
            <v>1365</v>
          </cell>
          <cell r="L467">
            <v>0</v>
          </cell>
          <cell r="M467">
            <v>0</v>
          </cell>
          <cell r="N467">
            <v>0.6</v>
          </cell>
          <cell r="O467">
            <v>0.8</v>
          </cell>
          <cell r="P467">
            <v>1.05</v>
          </cell>
          <cell r="Q467">
            <v>1.1000000000000001</v>
          </cell>
          <cell r="R467" t="str">
            <v>INTERIOR</v>
          </cell>
          <cell r="S467">
            <v>5</v>
          </cell>
          <cell r="T467">
            <v>9</v>
          </cell>
          <cell r="U467" t="str">
            <v>Ciudad principal</v>
          </cell>
          <cell r="V467" t="str">
            <v>A3 Office Color Laser MFPs</v>
          </cell>
          <cell r="W467" t="str">
            <v>JALISCO</v>
          </cell>
          <cell r="X467">
            <v>2019</v>
          </cell>
          <cell r="Y467" t="str">
            <v>Qtr 2</v>
          </cell>
          <cell r="Z467" t="str">
            <v>April</v>
          </cell>
          <cell r="AA467">
            <v>8</v>
          </cell>
          <cell r="AB467">
            <v>0</v>
          </cell>
          <cell r="AC467">
            <v>45</v>
          </cell>
          <cell r="AD467">
            <v>0</v>
          </cell>
          <cell r="AE467">
            <v>0</v>
          </cell>
          <cell r="AF467">
            <v>1365</v>
          </cell>
        </row>
        <row r="468">
          <cell r="B468" t="str">
            <v>0LA8194471</v>
          </cell>
          <cell r="C468">
            <v>2019</v>
          </cell>
          <cell r="D468" t="str">
            <v>Qtr 2</v>
          </cell>
          <cell r="E468" t="str">
            <v>April</v>
          </cell>
          <cell r="F468">
            <v>8</v>
          </cell>
          <cell r="G468" t="str">
            <v>CORRECTIVO</v>
          </cell>
          <cell r="H468">
            <v>0</v>
          </cell>
          <cell r="I468" t="str">
            <v>A4 Mono MFPs</v>
          </cell>
          <cell r="J468">
            <v>468</v>
          </cell>
          <cell r="K468">
            <v>715</v>
          </cell>
          <cell r="L468">
            <v>0</v>
          </cell>
          <cell r="M468">
            <v>0</v>
          </cell>
          <cell r="N468">
            <v>0</v>
          </cell>
          <cell r="O468">
            <v>0.6</v>
          </cell>
          <cell r="P468">
            <v>0.8</v>
          </cell>
          <cell r="Q468">
            <v>1.05</v>
          </cell>
          <cell r="R468" t="str">
            <v>INTERIOR</v>
          </cell>
          <cell r="S468">
            <v>5</v>
          </cell>
          <cell r="T468">
            <v>9</v>
          </cell>
          <cell r="U468" t="str">
            <v>Ciudad principal</v>
          </cell>
          <cell r="V468" t="str">
            <v>A4 Mono MFPs</v>
          </cell>
          <cell r="W468" t="str">
            <v>CHIHUAHUA</v>
          </cell>
          <cell r="X468">
            <v>2019</v>
          </cell>
          <cell r="Y468" t="str">
            <v>Qtr 2</v>
          </cell>
          <cell r="Z468" t="str">
            <v>April</v>
          </cell>
          <cell r="AA468">
            <v>9</v>
          </cell>
          <cell r="AB468">
            <v>1</v>
          </cell>
          <cell r="AC468">
            <v>139</v>
          </cell>
          <cell r="AD468">
            <v>0</v>
          </cell>
          <cell r="AE468">
            <v>0</v>
          </cell>
          <cell r="AF468">
            <v>0</v>
          </cell>
        </row>
        <row r="469">
          <cell r="B469" t="str">
            <v>0PW4112031</v>
          </cell>
          <cell r="C469">
            <v>2019</v>
          </cell>
          <cell r="D469" t="str">
            <v>Qtr 2</v>
          </cell>
          <cell r="E469" t="str">
            <v>April</v>
          </cell>
          <cell r="F469">
            <v>8</v>
          </cell>
          <cell r="G469" t="str">
            <v>CORRECTIVO</v>
          </cell>
          <cell r="H469">
            <v>1.5333330000000001</v>
          </cell>
          <cell r="I469" t="str">
            <v>WF Mono Systems and Legacy Color</v>
          </cell>
          <cell r="J469">
            <v>803</v>
          </cell>
          <cell r="K469">
            <v>1573</v>
          </cell>
          <cell r="L469">
            <v>0.2</v>
          </cell>
          <cell r="M469">
            <v>0.6</v>
          </cell>
          <cell r="N469">
            <v>0.8</v>
          </cell>
          <cell r="O469">
            <v>1.05</v>
          </cell>
          <cell r="P469">
            <v>1.1000000000000001</v>
          </cell>
          <cell r="Q469">
            <v>1.1499999999999999</v>
          </cell>
          <cell r="R469" t="str">
            <v>INTERIOR</v>
          </cell>
          <cell r="S469">
            <v>4</v>
          </cell>
          <cell r="T469">
            <v>6</v>
          </cell>
          <cell r="U469" t="str">
            <v>Ciudad principal</v>
          </cell>
          <cell r="V469" t="str">
            <v>WF Mono Systems and Legacy Color</v>
          </cell>
          <cell r="W469" t="str">
            <v>ESTADO DE MEXICO</v>
          </cell>
          <cell r="X469">
            <v>2019</v>
          </cell>
          <cell r="Y469" t="str">
            <v>Qtr 2</v>
          </cell>
          <cell r="Z469" t="str">
            <v>April</v>
          </cell>
          <cell r="AA469">
            <v>9</v>
          </cell>
          <cell r="AB469">
            <v>0</v>
          </cell>
          <cell r="AC469">
            <v>17</v>
          </cell>
          <cell r="AD469">
            <v>1.05</v>
          </cell>
          <cell r="AE469">
            <v>0.38333325000000001</v>
          </cell>
          <cell r="AF469">
            <v>1651.65</v>
          </cell>
        </row>
        <row r="470">
          <cell r="B470" t="str">
            <v>0A1H020640</v>
          </cell>
          <cell r="C470">
            <v>2019</v>
          </cell>
          <cell r="D470" t="str">
            <v>Qtr 2</v>
          </cell>
          <cell r="E470" t="str">
            <v>April</v>
          </cell>
          <cell r="F470">
            <v>8</v>
          </cell>
          <cell r="G470" t="str">
            <v>CORRECTIVO</v>
          </cell>
          <cell r="H470">
            <v>1.066667</v>
          </cell>
          <cell r="I470" t="str">
            <v>WF Mono Systems and Legacy Color</v>
          </cell>
          <cell r="J470">
            <v>803</v>
          </cell>
          <cell r="K470">
            <v>1573</v>
          </cell>
          <cell r="L470">
            <v>0.2</v>
          </cell>
          <cell r="M470">
            <v>0.6</v>
          </cell>
          <cell r="N470">
            <v>0.8</v>
          </cell>
          <cell r="O470">
            <v>1.05</v>
          </cell>
          <cell r="P470">
            <v>1.1000000000000001</v>
          </cell>
          <cell r="Q470">
            <v>1.1499999999999999</v>
          </cell>
          <cell r="R470" t="str">
            <v>INTERIOR</v>
          </cell>
          <cell r="S470">
            <v>4</v>
          </cell>
          <cell r="T470">
            <v>6</v>
          </cell>
          <cell r="U470" t="str">
            <v>Ciudad principal</v>
          </cell>
          <cell r="V470" t="str">
            <v>WF Mono Systems and Legacy Color</v>
          </cell>
          <cell r="W470" t="str">
            <v>ESTADO DE MEXICO</v>
          </cell>
          <cell r="X470">
            <v>2019</v>
          </cell>
          <cell r="Y470" t="str">
            <v>Qtr 2</v>
          </cell>
          <cell r="Z470" t="str">
            <v>April</v>
          </cell>
          <cell r="AA470">
            <v>15</v>
          </cell>
          <cell r="AB470">
            <v>0</v>
          </cell>
          <cell r="AC470">
            <v>14</v>
          </cell>
          <cell r="AD470">
            <v>0.8</v>
          </cell>
          <cell r="AE470">
            <v>0.26666675000000001</v>
          </cell>
          <cell r="AF470">
            <v>1258.4000000000001</v>
          </cell>
        </row>
        <row r="471">
          <cell r="B471" t="str">
            <v>0KPA018838</v>
          </cell>
          <cell r="C471">
            <v>2019</v>
          </cell>
          <cell r="D471" t="str">
            <v>Qtr 2</v>
          </cell>
          <cell r="E471" t="str">
            <v>April</v>
          </cell>
          <cell r="F471">
            <v>8</v>
          </cell>
          <cell r="G471" t="str">
            <v>MANTENIMIENTO PREVENTIVO</v>
          </cell>
          <cell r="H471">
            <v>0</v>
          </cell>
          <cell r="I471" t="str">
            <v>Entry Mono Printers</v>
          </cell>
          <cell r="J471">
            <v>468</v>
          </cell>
          <cell r="K471">
            <v>715</v>
          </cell>
          <cell r="L471">
            <v>0</v>
          </cell>
          <cell r="M471">
            <v>0</v>
          </cell>
          <cell r="N471">
            <v>0</v>
          </cell>
          <cell r="O471">
            <v>0.6</v>
          </cell>
          <cell r="P471">
            <v>0.8</v>
          </cell>
          <cell r="Q471">
            <v>1.05</v>
          </cell>
          <cell r="R471" t="str">
            <v>INTERIOR</v>
          </cell>
          <cell r="S471">
            <v>5</v>
          </cell>
          <cell r="T471">
            <v>9</v>
          </cell>
          <cell r="U471" t="str">
            <v>Ciudad principal</v>
          </cell>
          <cell r="V471" t="str">
            <v>Departmental Digital</v>
          </cell>
          <cell r="W471" t="str">
            <v>CHIHUAHUA</v>
          </cell>
          <cell r="X471">
            <v>2019</v>
          </cell>
          <cell r="Y471" t="str">
            <v>Qtr 2</v>
          </cell>
          <cell r="Z471" t="str">
            <v>April</v>
          </cell>
          <cell r="AA471">
            <v>10</v>
          </cell>
          <cell r="AB471">
            <v>0</v>
          </cell>
          <cell r="AC471">
            <v>7</v>
          </cell>
          <cell r="AD471">
            <v>0</v>
          </cell>
          <cell r="AE471">
            <v>0</v>
          </cell>
          <cell r="AF471">
            <v>715</v>
          </cell>
        </row>
        <row r="472">
          <cell r="B472" t="str">
            <v>0XLT282436</v>
          </cell>
          <cell r="C472">
            <v>2019</v>
          </cell>
          <cell r="D472" t="str">
            <v>Qtr 2</v>
          </cell>
          <cell r="E472" t="str">
            <v>April</v>
          </cell>
          <cell r="F472">
            <v>8</v>
          </cell>
          <cell r="G472" t="str">
            <v>CORRECTIVO</v>
          </cell>
          <cell r="H472">
            <v>0</v>
          </cell>
          <cell r="I472" t="str">
            <v>Entry Mono Printers</v>
          </cell>
          <cell r="J472">
            <v>468</v>
          </cell>
          <cell r="K472">
            <v>715</v>
          </cell>
          <cell r="L472">
            <v>0</v>
          </cell>
          <cell r="M472">
            <v>0</v>
          </cell>
          <cell r="N472">
            <v>0</v>
          </cell>
          <cell r="O472">
            <v>0.6</v>
          </cell>
          <cell r="P472">
            <v>0.8</v>
          </cell>
          <cell r="Q472">
            <v>1.05</v>
          </cell>
          <cell r="R472" t="str">
            <v>INTERIOR</v>
          </cell>
          <cell r="S472">
            <v>5</v>
          </cell>
          <cell r="T472">
            <v>9</v>
          </cell>
          <cell r="U472" t="str">
            <v>Ciudad principal</v>
          </cell>
          <cell r="V472" t="str">
            <v>Entry Mono Printers</v>
          </cell>
          <cell r="W472" t="str">
            <v>CHIHUAHUA</v>
          </cell>
          <cell r="X472">
            <v>2019</v>
          </cell>
          <cell r="Y472" t="str">
            <v>Qtr 2</v>
          </cell>
          <cell r="Z472" t="str">
            <v>April</v>
          </cell>
          <cell r="AA472">
            <v>9</v>
          </cell>
          <cell r="AB472">
            <v>0</v>
          </cell>
          <cell r="AC472">
            <v>293</v>
          </cell>
          <cell r="AD472">
            <v>1.05</v>
          </cell>
          <cell r="AE472">
            <v>0</v>
          </cell>
          <cell r="AF472">
            <v>750.75</v>
          </cell>
        </row>
        <row r="473">
          <cell r="B473" t="str">
            <v>0EX7382605</v>
          </cell>
          <cell r="C473">
            <v>2019</v>
          </cell>
          <cell r="D473" t="str">
            <v>Qtr 2</v>
          </cell>
          <cell r="E473" t="str">
            <v>April</v>
          </cell>
          <cell r="F473">
            <v>8</v>
          </cell>
          <cell r="G473" t="str">
            <v>CORRECTIVO</v>
          </cell>
          <cell r="H473">
            <v>0</v>
          </cell>
          <cell r="I473" t="str">
            <v>Office Digital</v>
          </cell>
          <cell r="J473">
            <v>655</v>
          </cell>
          <cell r="K473">
            <v>1365</v>
          </cell>
          <cell r="L473">
            <v>0</v>
          </cell>
          <cell r="M473">
            <v>0</v>
          </cell>
          <cell r="N473">
            <v>0.6</v>
          </cell>
          <cell r="O473">
            <v>0.8</v>
          </cell>
          <cell r="P473">
            <v>1.05</v>
          </cell>
          <cell r="Q473">
            <v>1.1000000000000001</v>
          </cell>
          <cell r="R473" t="str">
            <v>INTERIOR</v>
          </cell>
          <cell r="S473">
            <v>5</v>
          </cell>
          <cell r="T473">
            <v>9</v>
          </cell>
          <cell r="U473" t="str">
            <v>Ciudad principal</v>
          </cell>
          <cell r="V473" t="str">
            <v>Departmental Digital</v>
          </cell>
          <cell r="W473" t="str">
            <v>CHIHUAHUA</v>
          </cell>
          <cell r="X473">
            <v>2019</v>
          </cell>
          <cell r="Y473" t="str">
            <v>Qtr 2</v>
          </cell>
          <cell r="Z473" t="str">
            <v>April</v>
          </cell>
          <cell r="AA473">
            <v>9</v>
          </cell>
          <cell r="AB473">
            <v>0</v>
          </cell>
          <cell r="AC473">
            <v>10</v>
          </cell>
          <cell r="AD473">
            <v>0.6</v>
          </cell>
          <cell r="AE473">
            <v>0</v>
          </cell>
          <cell r="AF473">
            <v>819</v>
          </cell>
        </row>
        <row r="474">
          <cell r="B474" t="str">
            <v>0D6X465327</v>
          </cell>
          <cell r="C474">
            <v>2019</v>
          </cell>
          <cell r="D474" t="str">
            <v>Qtr 2</v>
          </cell>
          <cell r="E474" t="str">
            <v>April</v>
          </cell>
          <cell r="F474">
            <v>8</v>
          </cell>
          <cell r="G474" t="str">
            <v>CORRECTIVO</v>
          </cell>
          <cell r="H474">
            <v>1.5</v>
          </cell>
          <cell r="J474" t="str">
            <v>NA</v>
          </cell>
          <cell r="K474" t="str">
            <v>NA</v>
          </cell>
          <cell r="L474" t="str">
            <v>NA</v>
          </cell>
          <cell r="M474" t="str">
            <v>NA</v>
          </cell>
          <cell r="N474" t="str">
            <v>NA</v>
          </cell>
          <cell r="O474" t="str">
            <v>NA</v>
          </cell>
          <cell r="P474" t="str">
            <v>NA</v>
          </cell>
          <cell r="Q474" t="str">
            <v>NA</v>
          </cell>
          <cell r="S474" t="str">
            <v>NA</v>
          </cell>
          <cell r="T474" t="str">
            <v>NA</v>
          </cell>
          <cell r="V474" t="str">
            <v>Entry Mono Printers</v>
          </cell>
          <cell r="W474" t="str">
            <v>NUEVO LEON</v>
          </cell>
          <cell r="X474">
            <v>2019</v>
          </cell>
          <cell r="Y474" t="str">
            <v>Qtr 2</v>
          </cell>
          <cell r="Z474" t="str">
            <v>April</v>
          </cell>
          <cell r="AA474">
            <v>9</v>
          </cell>
          <cell r="AB474" t="str">
            <v>NA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</row>
        <row r="475">
          <cell r="B475" t="str">
            <v>0XPN399168</v>
          </cell>
          <cell r="C475">
            <v>2019</v>
          </cell>
          <cell r="D475" t="str">
            <v>Qtr 2</v>
          </cell>
          <cell r="E475" t="str">
            <v>April</v>
          </cell>
          <cell r="F475">
            <v>8</v>
          </cell>
          <cell r="G475" t="str">
            <v>CORRECTIVO</v>
          </cell>
          <cell r="H475">
            <v>0</v>
          </cell>
          <cell r="I475" t="str">
            <v>Entry Production Color Low/Mid</v>
          </cell>
          <cell r="J475">
            <v>803</v>
          </cell>
          <cell r="K475">
            <v>1573</v>
          </cell>
          <cell r="L475">
            <v>0.2</v>
          </cell>
          <cell r="M475">
            <v>0.6</v>
          </cell>
          <cell r="N475">
            <v>0.8</v>
          </cell>
          <cell r="O475">
            <v>1.05</v>
          </cell>
          <cell r="P475">
            <v>1.1000000000000001</v>
          </cell>
          <cell r="Q475">
            <v>1.1499999999999999</v>
          </cell>
          <cell r="R475" t="str">
            <v>INTERIOR</v>
          </cell>
          <cell r="S475">
            <v>4</v>
          </cell>
          <cell r="T475">
            <v>6</v>
          </cell>
          <cell r="U475" t="str">
            <v>Ciudad principal</v>
          </cell>
          <cell r="V475" t="str">
            <v>Entry Production Color Low/Mid</v>
          </cell>
          <cell r="W475" t="str">
            <v>QUERETARO</v>
          </cell>
          <cell r="X475">
            <v>2019</v>
          </cell>
          <cell r="Y475" t="str">
            <v>Qtr 2</v>
          </cell>
          <cell r="Z475" t="str">
            <v>April</v>
          </cell>
          <cell r="AA475">
            <v>9</v>
          </cell>
          <cell r="AB475">
            <v>0</v>
          </cell>
          <cell r="AC475">
            <v>38</v>
          </cell>
          <cell r="AD475">
            <v>1.1000000000000001</v>
          </cell>
          <cell r="AE475">
            <v>0</v>
          </cell>
          <cell r="AF475">
            <v>1730.3</v>
          </cell>
        </row>
        <row r="476">
          <cell r="B476" t="str">
            <v>0D6X451648</v>
          </cell>
          <cell r="C476">
            <v>2019</v>
          </cell>
          <cell r="D476" t="str">
            <v>Qtr 2</v>
          </cell>
          <cell r="E476" t="str">
            <v>April</v>
          </cell>
          <cell r="F476">
            <v>8</v>
          </cell>
          <cell r="G476" t="str">
            <v>CORRECTIVO</v>
          </cell>
          <cell r="H476">
            <v>0.31666670000000002</v>
          </cell>
          <cell r="I476" t="str">
            <v>Entry Mono Printers</v>
          </cell>
          <cell r="J476">
            <v>468</v>
          </cell>
          <cell r="K476">
            <v>715</v>
          </cell>
          <cell r="L476">
            <v>0</v>
          </cell>
          <cell r="M476">
            <v>0</v>
          </cell>
          <cell r="N476">
            <v>0</v>
          </cell>
          <cell r="O476">
            <v>0.6</v>
          </cell>
          <cell r="P476">
            <v>0.8</v>
          </cell>
          <cell r="Q476">
            <v>1.05</v>
          </cell>
          <cell r="R476" t="str">
            <v>INTERIOR</v>
          </cell>
          <cell r="S476">
            <v>5</v>
          </cell>
          <cell r="T476">
            <v>9</v>
          </cell>
          <cell r="U476" t="str">
            <v>Ciudad principal</v>
          </cell>
          <cell r="V476" t="str">
            <v>Entry Mono Printers</v>
          </cell>
          <cell r="W476" t="str">
            <v>CHIHUAHUA</v>
          </cell>
          <cell r="X476">
            <v>2019</v>
          </cell>
          <cell r="Y476" t="str">
            <v>Qtr 2</v>
          </cell>
          <cell r="Z476" t="str">
            <v>April</v>
          </cell>
          <cell r="AA476">
            <v>9</v>
          </cell>
          <cell r="AB476">
            <v>0</v>
          </cell>
          <cell r="AC476">
            <v>17</v>
          </cell>
          <cell r="AD476">
            <v>0.6</v>
          </cell>
          <cell r="AE476">
            <v>6.3333340000000002E-2</v>
          </cell>
          <cell r="AF476">
            <v>429</v>
          </cell>
        </row>
        <row r="477">
          <cell r="B477" t="str">
            <v>0BG2951480</v>
          </cell>
          <cell r="C477">
            <v>2019</v>
          </cell>
          <cell r="D477" t="str">
            <v>Qtr 2</v>
          </cell>
          <cell r="E477" t="str">
            <v>April</v>
          </cell>
          <cell r="F477">
            <v>8</v>
          </cell>
          <cell r="G477" t="str">
            <v>CORRECTIVO</v>
          </cell>
          <cell r="H477">
            <v>0.28333330000000001</v>
          </cell>
          <cell r="I477" t="str">
            <v>Light Production Digital Business</v>
          </cell>
          <cell r="J477">
            <v>803</v>
          </cell>
          <cell r="K477">
            <v>1573</v>
          </cell>
          <cell r="L477">
            <v>0.2</v>
          </cell>
          <cell r="M477">
            <v>0.6</v>
          </cell>
          <cell r="N477">
            <v>0.8</v>
          </cell>
          <cell r="O477">
            <v>1.05</v>
          </cell>
          <cell r="P477">
            <v>1.1000000000000001</v>
          </cell>
          <cell r="Q477">
            <v>1.1499999999999999</v>
          </cell>
          <cell r="R477" t="str">
            <v>INTERIOR</v>
          </cell>
          <cell r="S477">
            <v>4</v>
          </cell>
          <cell r="T477">
            <v>6</v>
          </cell>
          <cell r="U477" t="str">
            <v>Ciudad principal</v>
          </cell>
          <cell r="V477" t="str">
            <v>High End Cut Sheet</v>
          </cell>
          <cell r="W477" t="str">
            <v>SAN LUIS POTOSI</v>
          </cell>
          <cell r="X477">
            <v>2019</v>
          </cell>
          <cell r="Y477" t="str">
            <v>Qtr 2</v>
          </cell>
          <cell r="Z477" t="str">
            <v>April</v>
          </cell>
          <cell r="AA477">
            <v>10</v>
          </cell>
          <cell r="AB477">
            <v>0</v>
          </cell>
          <cell r="AC477">
            <v>34</v>
          </cell>
          <cell r="AD477">
            <v>1.1000000000000001</v>
          </cell>
          <cell r="AE477">
            <v>7.0833325000000003E-2</v>
          </cell>
          <cell r="AF477">
            <v>1730.3</v>
          </cell>
        </row>
        <row r="478">
          <cell r="B478" t="str">
            <v>0LX5822381</v>
          </cell>
          <cell r="C478">
            <v>2019</v>
          </cell>
          <cell r="D478" t="str">
            <v>Qtr 2</v>
          </cell>
          <cell r="E478" t="str">
            <v>April</v>
          </cell>
          <cell r="F478">
            <v>8</v>
          </cell>
          <cell r="G478" t="str">
            <v>CORRECTIVO</v>
          </cell>
          <cell r="H478">
            <v>3.3333340000000003E-2</v>
          </cell>
          <cell r="I478" t="str">
            <v>A3 Office Color Laser MFPs</v>
          </cell>
          <cell r="J478">
            <v>655</v>
          </cell>
          <cell r="K478">
            <v>1365</v>
          </cell>
          <cell r="L478">
            <v>0</v>
          </cell>
          <cell r="M478">
            <v>0</v>
          </cell>
          <cell r="N478">
            <v>0.6</v>
          </cell>
          <cell r="O478">
            <v>0.8</v>
          </cell>
          <cell r="P478">
            <v>1.05</v>
          </cell>
          <cell r="Q478">
            <v>1.1000000000000001</v>
          </cell>
          <cell r="R478" t="str">
            <v>INTERIOR</v>
          </cell>
          <cell r="S478">
            <v>5</v>
          </cell>
          <cell r="T478">
            <v>9</v>
          </cell>
          <cell r="U478" t="str">
            <v>Ciudad principal</v>
          </cell>
          <cell r="V478" t="str">
            <v>A3 Office Color Laser MFPs</v>
          </cell>
          <cell r="W478" t="str">
            <v>CHIHUAHUA</v>
          </cell>
          <cell r="X478">
            <v>2019</v>
          </cell>
          <cell r="Y478" t="str">
            <v>Qtr 2</v>
          </cell>
          <cell r="Z478" t="str">
            <v>April</v>
          </cell>
          <cell r="AA478">
            <v>11</v>
          </cell>
          <cell r="AB478">
            <v>0</v>
          </cell>
          <cell r="AC478">
            <v>32</v>
          </cell>
          <cell r="AD478">
            <v>1.05</v>
          </cell>
          <cell r="AE478">
            <v>6.6666679999999997E-3</v>
          </cell>
          <cell r="AF478">
            <v>1433.25</v>
          </cell>
        </row>
        <row r="479">
          <cell r="B479" t="str">
            <v>09RA664553</v>
          </cell>
          <cell r="C479">
            <v>2019</v>
          </cell>
          <cell r="D479" t="str">
            <v>Qtr 2</v>
          </cell>
          <cell r="E479" t="str">
            <v>April</v>
          </cell>
          <cell r="F479">
            <v>8</v>
          </cell>
          <cell r="G479" t="str">
            <v>CORRECTIVO</v>
          </cell>
          <cell r="H479">
            <v>0</v>
          </cell>
          <cell r="I479" t="str">
            <v>Color Laser Printers</v>
          </cell>
          <cell r="J479">
            <v>468</v>
          </cell>
          <cell r="K479">
            <v>715</v>
          </cell>
          <cell r="L479">
            <v>0</v>
          </cell>
          <cell r="M479">
            <v>0</v>
          </cell>
          <cell r="N479">
            <v>0</v>
          </cell>
          <cell r="O479">
            <v>0.6</v>
          </cell>
          <cell r="P479">
            <v>0.8</v>
          </cell>
          <cell r="Q479">
            <v>1.05</v>
          </cell>
          <cell r="R479" t="str">
            <v>INTERIOR</v>
          </cell>
          <cell r="S479">
            <v>5</v>
          </cell>
          <cell r="T479">
            <v>9</v>
          </cell>
          <cell r="U479" t="str">
            <v>Ciudad principal</v>
          </cell>
          <cell r="V479" t="str">
            <v>A4 Color Laser MFPs</v>
          </cell>
          <cell r="W479" t="str">
            <v>CHIHUAHUA</v>
          </cell>
          <cell r="X479">
            <v>2019</v>
          </cell>
          <cell r="Y479" t="str">
            <v>Qtr 2</v>
          </cell>
          <cell r="Z479" t="str">
            <v>April</v>
          </cell>
          <cell r="AA479">
            <v>8</v>
          </cell>
          <cell r="AB479">
            <v>1</v>
          </cell>
          <cell r="AC479">
            <v>12</v>
          </cell>
          <cell r="AD479">
            <v>0</v>
          </cell>
          <cell r="AE479">
            <v>0</v>
          </cell>
          <cell r="AF479">
            <v>0</v>
          </cell>
        </row>
        <row r="480">
          <cell r="B480" t="str">
            <v>0YTB131550</v>
          </cell>
          <cell r="C480">
            <v>2019</v>
          </cell>
          <cell r="D480" t="str">
            <v>Qtr 2</v>
          </cell>
          <cell r="E480" t="str">
            <v>April</v>
          </cell>
          <cell r="F480">
            <v>8</v>
          </cell>
          <cell r="G480" t="str">
            <v>CORRECTIVO</v>
          </cell>
          <cell r="H480">
            <v>0</v>
          </cell>
          <cell r="I480" t="str">
            <v>A4 Color Laser MFPs</v>
          </cell>
          <cell r="J480">
            <v>468</v>
          </cell>
          <cell r="K480">
            <v>715</v>
          </cell>
          <cell r="L480">
            <v>0</v>
          </cell>
          <cell r="M480">
            <v>0</v>
          </cell>
          <cell r="N480">
            <v>0</v>
          </cell>
          <cell r="O480">
            <v>0.6</v>
          </cell>
          <cell r="P480">
            <v>0.8</v>
          </cell>
          <cell r="Q480">
            <v>1.05</v>
          </cell>
          <cell r="R480" t="str">
            <v>INTERIOR</v>
          </cell>
          <cell r="S480">
            <v>5</v>
          </cell>
          <cell r="T480">
            <v>9</v>
          </cell>
          <cell r="U480" t="str">
            <v>Ciudad principal</v>
          </cell>
          <cell r="V480" t="str">
            <v>A4 Mono MFPs</v>
          </cell>
          <cell r="W480" t="str">
            <v>CHIHUAHUA</v>
          </cell>
          <cell r="X480">
            <v>2019</v>
          </cell>
          <cell r="Y480" t="str">
            <v>Qtr 2</v>
          </cell>
          <cell r="Z480" t="str">
            <v>April</v>
          </cell>
          <cell r="AA480">
            <v>8</v>
          </cell>
          <cell r="AB480">
            <v>1</v>
          </cell>
          <cell r="AC480">
            <v>10</v>
          </cell>
          <cell r="AD480">
            <v>0</v>
          </cell>
          <cell r="AE480">
            <v>0</v>
          </cell>
          <cell r="AF480">
            <v>0</v>
          </cell>
        </row>
        <row r="481">
          <cell r="B481" t="str">
            <v>0BG2948912</v>
          </cell>
          <cell r="C481">
            <v>2019</v>
          </cell>
          <cell r="D481" t="str">
            <v>Qtr 2</v>
          </cell>
          <cell r="E481" t="str">
            <v>April</v>
          </cell>
          <cell r="F481">
            <v>8</v>
          </cell>
          <cell r="G481" t="str">
            <v>CORRECTIVO</v>
          </cell>
          <cell r="H481">
            <v>0.05</v>
          </cell>
          <cell r="I481" t="str">
            <v>Light Production Digital Business</v>
          </cell>
          <cell r="J481">
            <v>803</v>
          </cell>
          <cell r="K481">
            <v>1573</v>
          </cell>
          <cell r="L481">
            <v>0.2</v>
          </cell>
          <cell r="M481">
            <v>0.6</v>
          </cell>
          <cell r="N481">
            <v>0.8</v>
          </cell>
          <cell r="O481">
            <v>1.05</v>
          </cell>
          <cell r="P481">
            <v>1.1000000000000001</v>
          </cell>
          <cell r="Q481">
            <v>1.1499999999999999</v>
          </cell>
          <cell r="R481" t="str">
            <v>INTERIOR</v>
          </cell>
          <cell r="S481">
            <v>4</v>
          </cell>
          <cell r="T481">
            <v>6</v>
          </cell>
          <cell r="U481" t="str">
            <v>Ciudad principal</v>
          </cell>
          <cell r="V481" t="str">
            <v>High End Cut Sheet</v>
          </cell>
          <cell r="W481" t="str">
            <v>TAMAULIPAS</v>
          </cell>
          <cell r="X481">
            <v>2019</v>
          </cell>
          <cell r="Y481" t="str">
            <v>Qtr 2</v>
          </cell>
          <cell r="Z481" t="str">
            <v>April</v>
          </cell>
          <cell r="AA481">
            <v>9</v>
          </cell>
          <cell r="AB481">
            <v>0</v>
          </cell>
          <cell r="AC481">
            <v>11</v>
          </cell>
          <cell r="AD481">
            <v>0.8</v>
          </cell>
          <cell r="AE481">
            <v>1.2500000000000001E-2</v>
          </cell>
          <cell r="AF481">
            <v>1258.4000000000001</v>
          </cell>
        </row>
        <row r="482">
          <cell r="B482" t="str">
            <v>0BG2951472</v>
          </cell>
          <cell r="C482">
            <v>2019</v>
          </cell>
          <cell r="D482" t="str">
            <v>Qtr 2</v>
          </cell>
          <cell r="E482" t="str">
            <v>April</v>
          </cell>
          <cell r="F482">
            <v>8</v>
          </cell>
          <cell r="G482" t="str">
            <v>CORRECTIVO</v>
          </cell>
          <cell r="H482">
            <v>0.4</v>
          </cell>
          <cell r="I482" t="str">
            <v>Light Production Digital Business</v>
          </cell>
          <cell r="J482">
            <v>803</v>
          </cell>
          <cell r="K482">
            <v>1573</v>
          </cell>
          <cell r="L482">
            <v>0.2</v>
          </cell>
          <cell r="M482">
            <v>0.6</v>
          </cell>
          <cell r="N482">
            <v>0.8</v>
          </cell>
          <cell r="O482">
            <v>1.05</v>
          </cell>
          <cell r="P482">
            <v>1.1000000000000001</v>
          </cell>
          <cell r="Q482">
            <v>1.1499999999999999</v>
          </cell>
          <cell r="R482" t="str">
            <v>INTERIOR</v>
          </cell>
          <cell r="S482">
            <v>4</v>
          </cell>
          <cell r="T482">
            <v>6</v>
          </cell>
          <cell r="U482" t="str">
            <v>Ciudad principal</v>
          </cell>
          <cell r="V482" t="str">
            <v>High End Cut Sheet</v>
          </cell>
          <cell r="W482" t="str">
            <v>JALISCO</v>
          </cell>
          <cell r="X482">
            <v>2019</v>
          </cell>
          <cell r="Y482" t="str">
            <v>Qtr 2</v>
          </cell>
          <cell r="Z482" t="str">
            <v>April</v>
          </cell>
          <cell r="AA482">
            <v>9</v>
          </cell>
          <cell r="AB482">
            <v>0</v>
          </cell>
          <cell r="AC482">
            <v>11</v>
          </cell>
          <cell r="AD482">
            <v>0.8</v>
          </cell>
          <cell r="AE482">
            <v>0.1</v>
          </cell>
          <cell r="AF482">
            <v>1258.4000000000001</v>
          </cell>
        </row>
        <row r="483">
          <cell r="B483" t="str">
            <v>0C4X003945</v>
          </cell>
          <cell r="C483">
            <v>2019</v>
          </cell>
          <cell r="D483" t="str">
            <v>Qtr 2</v>
          </cell>
          <cell r="E483" t="str">
            <v>April</v>
          </cell>
          <cell r="F483">
            <v>8</v>
          </cell>
          <cell r="G483" t="str">
            <v>CORRECTIVO</v>
          </cell>
          <cell r="H483">
            <v>1.5</v>
          </cell>
          <cell r="I483" t="str">
            <v>A4 Mono MFPs</v>
          </cell>
          <cell r="J483">
            <v>468</v>
          </cell>
          <cell r="K483">
            <v>715</v>
          </cell>
          <cell r="L483">
            <v>0</v>
          </cell>
          <cell r="M483">
            <v>0</v>
          </cell>
          <cell r="N483">
            <v>0</v>
          </cell>
          <cell r="O483">
            <v>0.6</v>
          </cell>
          <cell r="P483">
            <v>0.8</v>
          </cell>
          <cell r="Q483">
            <v>1.05</v>
          </cell>
          <cell r="R483" t="str">
            <v>INTERIOR</v>
          </cell>
          <cell r="S483">
            <v>5</v>
          </cell>
          <cell r="T483">
            <v>9</v>
          </cell>
          <cell r="U483" t="str">
            <v>Ciudad principal</v>
          </cell>
          <cell r="V483" t="str">
            <v>A4 Mono MFPs</v>
          </cell>
          <cell r="W483" t="str">
            <v>CHIHUAHUA</v>
          </cell>
          <cell r="X483">
            <v>2019</v>
          </cell>
          <cell r="Y483" t="str">
            <v>Qtr 2</v>
          </cell>
          <cell r="Z483" t="str">
            <v>April</v>
          </cell>
          <cell r="AA483">
            <v>9</v>
          </cell>
          <cell r="AB483">
            <v>0</v>
          </cell>
          <cell r="AC483">
            <v>103</v>
          </cell>
          <cell r="AD483">
            <v>1.05</v>
          </cell>
          <cell r="AE483">
            <v>0.3</v>
          </cell>
          <cell r="AF483">
            <v>750.75</v>
          </cell>
        </row>
        <row r="484">
          <cell r="B484" t="str">
            <v>0MX4466349</v>
          </cell>
          <cell r="C484">
            <v>2019</v>
          </cell>
          <cell r="D484" t="str">
            <v>Qtr 2</v>
          </cell>
          <cell r="E484" t="str">
            <v>April</v>
          </cell>
          <cell r="F484">
            <v>8</v>
          </cell>
          <cell r="G484" t="str">
            <v>MANTENIMIENTO PREVENTIVO</v>
          </cell>
          <cell r="H484">
            <v>0</v>
          </cell>
          <cell r="I484" t="str">
            <v>A3 Office Color Laser MFPs</v>
          </cell>
          <cell r="J484">
            <v>655</v>
          </cell>
          <cell r="K484">
            <v>1365</v>
          </cell>
          <cell r="L484">
            <v>0</v>
          </cell>
          <cell r="M484">
            <v>0</v>
          </cell>
          <cell r="N484">
            <v>0.6</v>
          </cell>
          <cell r="O484">
            <v>0.8</v>
          </cell>
          <cell r="P484">
            <v>1.05</v>
          </cell>
          <cell r="Q484">
            <v>1.1000000000000001</v>
          </cell>
          <cell r="R484" t="str">
            <v>INTERIOR</v>
          </cell>
          <cell r="S484">
            <v>5</v>
          </cell>
          <cell r="T484">
            <v>9</v>
          </cell>
          <cell r="U484" t="str">
            <v>Otras</v>
          </cell>
          <cell r="V484" t="str">
            <v>A3 Office Color Laser MFPs</v>
          </cell>
          <cell r="W484" t="str">
            <v>COAHUILA</v>
          </cell>
          <cell r="X484">
            <v>2019</v>
          </cell>
          <cell r="Y484" t="str">
            <v>Qtr 2</v>
          </cell>
          <cell r="Z484" t="str">
            <v>April</v>
          </cell>
          <cell r="AA484">
            <v>9</v>
          </cell>
          <cell r="AB484">
            <v>0</v>
          </cell>
          <cell r="AC484">
            <v>18</v>
          </cell>
          <cell r="AD484">
            <v>0</v>
          </cell>
          <cell r="AE484">
            <v>0</v>
          </cell>
          <cell r="AF484">
            <v>1365</v>
          </cell>
        </row>
        <row r="485">
          <cell r="B485" t="str">
            <v>09HB331829</v>
          </cell>
          <cell r="C485">
            <v>2019</v>
          </cell>
          <cell r="D485" t="str">
            <v>Qtr 2</v>
          </cell>
          <cell r="E485" t="str">
            <v>April</v>
          </cell>
          <cell r="F485">
            <v>8</v>
          </cell>
          <cell r="G485" t="str">
            <v>MANTENIMIENTO PREVENTIVO</v>
          </cell>
          <cell r="H485">
            <v>0</v>
          </cell>
          <cell r="I485" t="str">
            <v>A4 Mono MFPs</v>
          </cell>
          <cell r="J485">
            <v>468</v>
          </cell>
          <cell r="K485">
            <v>715</v>
          </cell>
          <cell r="L485">
            <v>0</v>
          </cell>
          <cell r="M485">
            <v>0</v>
          </cell>
          <cell r="N485">
            <v>0</v>
          </cell>
          <cell r="O485">
            <v>0.6</v>
          </cell>
          <cell r="P485">
            <v>0.8</v>
          </cell>
          <cell r="Q485">
            <v>1.05</v>
          </cell>
          <cell r="R485" t="str">
            <v>INTERIOR</v>
          </cell>
          <cell r="S485">
            <v>5</v>
          </cell>
          <cell r="T485">
            <v>9</v>
          </cell>
          <cell r="U485" t="str">
            <v>Ciudad principal</v>
          </cell>
          <cell r="V485" t="str">
            <v>A4 Mono MFPs</v>
          </cell>
          <cell r="W485" t="str">
            <v>JALISCO</v>
          </cell>
          <cell r="X485">
            <v>2019</v>
          </cell>
          <cell r="Y485" t="str">
            <v>Qtr 2</v>
          </cell>
          <cell r="Z485" t="str">
            <v>April</v>
          </cell>
          <cell r="AA485">
            <v>8</v>
          </cell>
          <cell r="AB485">
            <v>1</v>
          </cell>
          <cell r="AC485">
            <v>13</v>
          </cell>
          <cell r="AD485">
            <v>0</v>
          </cell>
          <cell r="AE485">
            <v>0</v>
          </cell>
          <cell r="AF485">
            <v>0</v>
          </cell>
        </row>
        <row r="486">
          <cell r="B486" t="str">
            <v>09HB331956</v>
          </cell>
          <cell r="C486">
            <v>2019</v>
          </cell>
          <cell r="D486" t="str">
            <v>Qtr 2</v>
          </cell>
          <cell r="E486" t="str">
            <v>April</v>
          </cell>
          <cell r="F486">
            <v>8</v>
          </cell>
          <cell r="G486" t="str">
            <v>MANTENIMIENTO PREVENTIVO</v>
          </cell>
          <cell r="H486">
            <v>0</v>
          </cell>
          <cell r="I486" t="str">
            <v>A4 Mono MFPs</v>
          </cell>
          <cell r="J486">
            <v>468</v>
          </cell>
          <cell r="K486">
            <v>715</v>
          </cell>
          <cell r="L486">
            <v>0</v>
          </cell>
          <cell r="M486">
            <v>0</v>
          </cell>
          <cell r="N486">
            <v>0</v>
          </cell>
          <cell r="O486">
            <v>0.6</v>
          </cell>
          <cell r="P486">
            <v>0.8</v>
          </cell>
          <cell r="Q486">
            <v>1.05</v>
          </cell>
          <cell r="R486" t="str">
            <v>INTERIOR</v>
          </cell>
          <cell r="S486">
            <v>5</v>
          </cell>
          <cell r="T486">
            <v>9</v>
          </cell>
          <cell r="U486" t="str">
            <v>Ciudad principal</v>
          </cell>
          <cell r="V486" t="str">
            <v>A4 Mono MFPs</v>
          </cell>
          <cell r="W486" t="str">
            <v>JALISCO</v>
          </cell>
          <cell r="X486">
            <v>2019</v>
          </cell>
          <cell r="Y486" t="str">
            <v>Qtr 2</v>
          </cell>
          <cell r="Z486" t="str">
            <v>April</v>
          </cell>
          <cell r="AA486">
            <v>8</v>
          </cell>
          <cell r="AB486">
            <v>1</v>
          </cell>
          <cell r="AC486">
            <v>33</v>
          </cell>
          <cell r="AD486">
            <v>0</v>
          </cell>
          <cell r="AE486">
            <v>0</v>
          </cell>
          <cell r="AF486">
            <v>0</v>
          </cell>
        </row>
        <row r="487">
          <cell r="B487" t="str">
            <v>0MX4465117</v>
          </cell>
          <cell r="C487">
            <v>2019</v>
          </cell>
          <cell r="D487" t="str">
            <v>Qtr 2</v>
          </cell>
          <cell r="E487" t="str">
            <v>April</v>
          </cell>
          <cell r="F487">
            <v>8</v>
          </cell>
          <cell r="G487" t="str">
            <v>MANTENIMIENTO PREVENTIVO</v>
          </cell>
          <cell r="H487">
            <v>0</v>
          </cell>
          <cell r="I487" t="str">
            <v>A3 Office Color Laser MFPs</v>
          </cell>
          <cell r="J487">
            <v>655</v>
          </cell>
          <cell r="K487">
            <v>1365</v>
          </cell>
          <cell r="L487">
            <v>0</v>
          </cell>
          <cell r="M487">
            <v>0</v>
          </cell>
          <cell r="N487">
            <v>0.6</v>
          </cell>
          <cell r="O487">
            <v>0.8</v>
          </cell>
          <cell r="P487">
            <v>1.05</v>
          </cell>
          <cell r="Q487">
            <v>1.1000000000000001</v>
          </cell>
          <cell r="R487" t="str">
            <v>INTERIOR</v>
          </cell>
          <cell r="S487">
            <v>5</v>
          </cell>
          <cell r="T487">
            <v>9</v>
          </cell>
          <cell r="U487" t="str">
            <v>Ciudad principal</v>
          </cell>
          <cell r="V487" t="str">
            <v>A3 Office Color Laser MFPs</v>
          </cell>
          <cell r="W487" t="str">
            <v>TAMAULIPAS</v>
          </cell>
          <cell r="X487">
            <v>2019</v>
          </cell>
          <cell r="Y487" t="str">
            <v>Qtr 2</v>
          </cell>
          <cell r="Z487" t="str">
            <v>April</v>
          </cell>
          <cell r="AA487">
            <v>9</v>
          </cell>
          <cell r="AB487">
            <v>0</v>
          </cell>
          <cell r="AC487">
            <v>4</v>
          </cell>
          <cell r="AD487">
            <v>0</v>
          </cell>
          <cell r="AE487">
            <v>0</v>
          </cell>
          <cell r="AF487">
            <v>1365</v>
          </cell>
        </row>
        <row r="488">
          <cell r="B488" t="str">
            <v>0EX9299999</v>
          </cell>
          <cell r="C488">
            <v>2019</v>
          </cell>
          <cell r="D488" t="str">
            <v>Qtr 2</v>
          </cell>
          <cell r="E488" t="str">
            <v>April</v>
          </cell>
          <cell r="F488">
            <v>9</v>
          </cell>
          <cell r="G488" t="str">
            <v>CORRECTIVO</v>
          </cell>
          <cell r="H488">
            <v>1</v>
          </cell>
          <cell r="I488" t="str">
            <v>Departmental Digital</v>
          </cell>
          <cell r="J488">
            <v>655</v>
          </cell>
          <cell r="K488">
            <v>1365</v>
          </cell>
          <cell r="L488">
            <v>0</v>
          </cell>
          <cell r="M488">
            <v>0</v>
          </cell>
          <cell r="N488">
            <v>0.6</v>
          </cell>
          <cell r="O488">
            <v>0.8</v>
          </cell>
          <cell r="P488">
            <v>1.05</v>
          </cell>
          <cell r="Q488">
            <v>1.1000000000000001</v>
          </cell>
          <cell r="R488" t="str">
            <v>INTERIOR</v>
          </cell>
          <cell r="S488">
            <v>5</v>
          </cell>
          <cell r="T488">
            <v>9</v>
          </cell>
          <cell r="U488" t="str">
            <v>Ciudad principal</v>
          </cell>
          <cell r="V488" t="str">
            <v>Departmental Digital</v>
          </cell>
          <cell r="W488" t="str">
            <v>QUERETARO</v>
          </cell>
          <cell r="X488">
            <v>2019</v>
          </cell>
          <cell r="Y488" t="str">
            <v>Qtr 2</v>
          </cell>
          <cell r="Z488" t="str">
            <v>April</v>
          </cell>
          <cell r="AA488">
            <v>9</v>
          </cell>
          <cell r="AB488">
            <v>0</v>
          </cell>
          <cell r="AC488">
            <v>176</v>
          </cell>
          <cell r="AD488">
            <v>1.1000000000000001</v>
          </cell>
          <cell r="AE488">
            <v>0.2</v>
          </cell>
          <cell r="AF488">
            <v>1501.5</v>
          </cell>
        </row>
        <row r="489">
          <cell r="B489" t="str">
            <v>0E2B654127</v>
          </cell>
          <cell r="C489">
            <v>2019</v>
          </cell>
          <cell r="D489" t="str">
            <v>Qtr 2</v>
          </cell>
          <cell r="E489" t="str">
            <v>April</v>
          </cell>
          <cell r="F489">
            <v>9</v>
          </cell>
          <cell r="G489" t="str">
            <v>CORRECTIVO</v>
          </cell>
          <cell r="H489">
            <v>3.983333</v>
          </cell>
          <cell r="I489" t="str">
            <v>Entry Production Color Low/Mid</v>
          </cell>
          <cell r="J489">
            <v>803</v>
          </cell>
          <cell r="K489">
            <v>1573</v>
          </cell>
          <cell r="L489">
            <v>0.2</v>
          </cell>
          <cell r="M489">
            <v>0.6</v>
          </cell>
          <cell r="N489">
            <v>0.8</v>
          </cell>
          <cell r="O489">
            <v>1.05</v>
          </cell>
          <cell r="P489">
            <v>1.1000000000000001</v>
          </cell>
          <cell r="Q489">
            <v>1.1499999999999999</v>
          </cell>
          <cell r="R489" t="str">
            <v>INTERIOR</v>
          </cell>
          <cell r="S489">
            <v>4</v>
          </cell>
          <cell r="T489">
            <v>6</v>
          </cell>
          <cell r="U489" t="str">
            <v>Ciudad principal</v>
          </cell>
          <cell r="V489" t="str">
            <v>Entry Production Color Low/Mid</v>
          </cell>
          <cell r="W489" t="str">
            <v>SAN LUIS POTOSI</v>
          </cell>
          <cell r="X489">
            <v>2019</v>
          </cell>
          <cell r="Y489" t="str">
            <v>Qtr 2</v>
          </cell>
          <cell r="Z489" t="str">
            <v>April</v>
          </cell>
          <cell r="AA489">
            <v>9</v>
          </cell>
          <cell r="AB489">
            <v>0</v>
          </cell>
          <cell r="AC489">
            <v>14</v>
          </cell>
          <cell r="AD489">
            <v>0.8</v>
          </cell>
          <cell r="AE489">
            <v>0.99583325</v>
          </cell>
          <cell r="AF489">
            <v>1258.4000000000001</v>
          </cell>
        </row>
        <row r="490">
          <cell r="B490" t="str">
            <v>0BG2949279</v>
          </cell>
          <cell r="C490">
            <v>2019</v>
          </cell>
          <cell r="D490" t="str">
            <v>Qtr 2</v>
          </cell>
          <cell r="E490" t="str">
            <v>April</v>
          </cell>
          <cell r="F490">
            <v>9</v>
          </cell>
          <cell r="G490" t="str">
            <v>CORRECTIVO</v>
          </cell>
          <cell r="H490">
            <v>2</v>
          </cell>
          <cell r="I490" t="str">
            <v>Light Production Digital Business</v>
          </cell>
          <cell r="J490">
            <v>803</v>
          </cell>
          <cell r="K490">
            <v>1573</v>
          </cell>
          <cell r="L490">
            <v>0.2</v>
          </cell>
          <cell r="M490">
            <v>0.6</v>
          </cell>
          <cell r="N490">
            <v>0.8</v>
          </cell>
          <cell r="O490">
            <v>1.05</v>
          </cell>
          <cell r="P490">
            <v>1.1000000000000001</v>
          </cell>
          <cell r="Q490">
            <v>1.1499999999999999</v>
          </cell>
          <cell r="R490" t="str">
            <v>INTERIOR</v>
          </cell>
          <cell r="S490">
            <v>4</v>
          </cell>
          <cell r="T490">
            <v>6</v>
          </cell>
          <cell r="U490" t="str">
            <v>Ciudad principal</v>
          </cell>
          <cell r="V490" t="str">
            <v>High End Cut Sheet</v>
          </cell>
          <cell r="W490" t="str">
            <v>SAN LUIS POTOSI</v>
          </cell>
          <cell r="X490">
            <v>2019</v>
          </cell>
          <cell r="Y490" t="str">
            <v>Qtr 2</v>
          </cell>
          <cell r="Z490" t="str">
            <v>April</v>
          </cell>
          <cell r="AA490">
            <v>15</v>
          </cell>
          <cell r="AB490">
            <v>0</v>
          </cell>
          <cell r="AC490">
            <v>127</v>
          </cell>
          <cell r="AD490">
            <v>1.1499999999999999</v>
          </cell>
          <cell r="AE490">
            <v>0.5</v>
          </cell>
          <cell r="AF490">
            <v>1808.95</v>
          </cell>
        </row>
        <row r="491">
          <cell r="B491" t="str">
            <v>0XEL555336</v>
          </cell>
          <cell r="C491">
            <v>2019</v>
          </cell>
          <cell r="D491" t="str">
            <v>Qtr 2</v>
          </cell>
          <cell r="E491" t="str">
            <v>April</v>
          </cell>
          <cell r="F491">
            <v>9</v>
          </cell>
          <cell r="G491" t="str">
            <v>CORRECTIVO</v>
          </cell>
          <cell r="H491">
            <v>0.48333330000000002</v>
          </cell>
          <cell r="I491" t="str">
            <v>Departmental Digital</v>
          </cell>
          <cell r="J491">
            <v>655</v>
          </cell>
          <cell r="K491">
            <v>1365</v>
          </cell>
          <cell r="L491">
            <v>0</v>
          </cell>
          <cell r="M491">
            <v>0</v>
          </cell>
          <cell r="N491">
            <v>0.6</v>
          </cell>
          <cell r="O491">
            <v>0.8</v>
          </cell>
          <cell r="P491">
            <v>1.05</v>
          </cell>
          <cell r="Q491">
            <v>1.1000000000000001</v>
          </cell>
          <cell r="R491" t="str">
            <v>INTERIOR</v>
          </cell>
          <cell r="S491">
            <v>5</v>
          </cell>
          <cell r="T491">
            <v>9</v>
          </cell>
          <cell r="U491" t="str">
            <v>Ciudad principal</v>
          </cell>
          <cell r="V491" t="str">
            <v>Departmental Digital</v>
          </cell>
          <cell r="W491" t="str">
            <v>SAN LUIS POTOSI</v>
          </cell>
          <cell r="X491">
            <v>2019</v>
          </cell>
          <cell r="Y491" t="str">
            <v>Qtr 2</v>
          </cell>
          <cell r="Z491" t="str">
            <v>April</v>
          </cell>
          <cell r="AA491">
            <v>9</v>
          </cell>
          <cell r="AB491">
            <v>0</v>
          </cell>
          <cell r="AC491">
            <v>140</v>
          </cell>
          <cell r="AD491">
            <v>1.1000000000000001</v>
          </cell>
          <cell r="AE491">
            <v>9.6666660000000001E-2</v>
          </cell>
          <cell r="AF491">
            <v>1501.5</v>
          </cell>
        </row>
        <row r="492">
          <cell r="B492" t="str">
            <v>0E1B088097</v>
          </cell>
          <cell r="C492">
            <v>2019</v>
          </cell>
          <cell r="D492" t="str">
            <v>Qtr 2</v>
          </cell>
          <cell r="E492" t="str">
            <v>April</v>
          </cell>
          <cell r="F492">
            <v>9</v>
          </cell>
          <cell r="G492" t="str">
            <v>CORRECTIVO</v>
          </cell>
          <cell r="H492">
            <v>1.65</v>
          </cell>
          <cell r="I492" t="str">
            <v>Color Laser Printers</v>
          </cell>
          <cell r="J492">
            <v>468</v>
          </cell>
          <cell r="K492">
            <v>715</v>
          </cell>
          <cell r="L492">
            <v>0</v>
          </cell>
          <cell r="M492">
            <v>0</v>
          </cell>
          <cell r="N492">
            <v>0</v>
          </cell>
          <cell r="O492">
            <v>0.6</v>
          </cell>
          <cell r="P492">
            <v>0.8</v>
          </cell>
          <cell r="Q492">
            <v>1.05</v>
          </cell>
          <cell r="R492" t="str">
            <v>INTERIOR</v>
          </cell>
          <cell r="S492">
            <v>5</v>
          </cell>
          <cell r="T492">
            <v>9</v>
          </cell>
          <cell r="U492" t="str">
            <v>Ciudad principal</v>
          </cell>
          <cell r="V492" t="str">
            <v>A4 Mono MFPs</v>
          </cell>
          <cell r="W492" t="str">
            <v>ESTADO DE MEXICO</v>
          </cell>
          <cell r="X492">
            <v>2019</v>
          </cell>
          <cell r="Y492" t="str">
            <v>Qtr 2</v>
          </cell>
          <cell r="Z492" t="str">
            <v>April</v>
          </cell>
          <cell r="AA492">
            <v>9</v>
          </cell>
          <cell r="AB492">
            <v>0</v>
          </cell>
          <cell r="AC492">
            <v>284</v>
          </cell>
          <cell r="AD492">
            <v>1.05</v>
          </cell>
          <cell r="AE492">
            <v>0.33</v>
          </cell>
          <cell r="AF492">
            <v>750.75</v>
          </cell>
        </row>
        <row r="493">
          <cell r="B493" t="str">
            <v>0EX9662403</v>
          </cell>
          <cell r="C493">
            <v>2019</v>
          </cell>
          <cell r="D493" t="str">
            <v>Qtr 2</v>
          </cell>
          <cell r="E493" t="str">
            <v>April</v>
          </cell>
          <cell r="F493">
            <v>9</v>
          </cell>
          <cell r="G493" t="str">
            <v>CORRECTIVO</v>
          </cell>
          <cell r="H493">
            <v>1.8666670000000001</v>
          </cell>
          <cell r="I493" t="str">
            <v>Departmental Digital</v>
          </cell>
          <cell r="J493">
            <v>655</v>
          </cell>
          <cell r="K493">
            <v>1365</v>
          </cell>
          <cell r="L493">
            <v>0</v>
          </cell>
          <cell r="M493">
            <v>0</v>
          </cell>
          <cell r="N493">
            <v>0.6</v>
          </cell>
          <cell r="O493">
            <v>0.8</v>
          </cell>
          <cell r="P493">
            <v>1.05</v>
          </cell>
          <cell r="Q493">
            <v>1.1000000000000001</v>
          </cell>
          <cell r="R493" t="str">
            <v>INTERIOR</v>
          </cell>
          <cell r="S493">
            <v>5</v>
          </cell>
          <cell r="T493">
            <v>9</v>
          </cell>
          <cell r="U493" t="str">
            <v>Ciudad principal</v>
          </cell>
          <cell r="V493" t="str">
            <v>Departmental Digital</v>
          </cell>
          <cell r="W493" t="str">
            <v>CHIHUAHUA</v>
          </cell>
          <cell r="X493">
            <v>2019</v>
          </cell>
          <cell r="Y493" t="str">
            <v>Qtr 2</v>
          </cell>
          <cell r="Z493" t="str">
            <v>April</v>
          </cell>
          <cell r="AA493">
            <v>10</v>
          </cell>
          <cell r="AB493">
            <v>0</v>
          </cell>
          <cell r="AC493">
            <v>13</v>
          </cell>
          <cell r="AD493">
            <v>0.6</v>
          </cell>
          <cell r="AE493">
            <v>0.37333339999999998</v>
          </cell>
          <cell r="AF493">
            <v>819</v>
          </cell>
        </row>
        <row r="494">
          <cell r="B494" t="str">
            <v>0Y2B003354</v>
          </cell>
          <cell r="C494">
            <v>2019</v>
          </cell>
          <cell r="D494" t="str">
            <v>Qtr 2</v>
          </cell>
          <cell r="E494" t="str">
            <v>April</v>
          </cell>
          <cell r="F494">
            <v>9</v>
          </cell>
          <cell r="G494" t="str">
            <v>CORRECTIVO</v>
          </cell>
          <cell r="H494">
            <v>3.9166669999999999</v>
          </cell>
          <cell r="I494" t="str">
            <v>Departmental Digital</v>
          </cell>
          <cell r="J494">
            <v>655</v>
          </cell>
          <cell r="K494">
            <v>1365</v>
          </cell>
          <cell r="L494">
            <v>0</v>
          </cell>
          <cell r="M494">
            <v>0</v>
          </cell>
          <cell r="N494">
            <v>0.6</v>
          </cell>
          <cell r="O494">
            <v>0.8</v>
          </cell>
          <cell r="P494">
            <v>1.05</v>
          </cell>
          <cell r="Q494">
            <v>1.1000000000000001</v>
          </cell>
          <cell r="R494" t="str">
            <v>INTERIOR</v>
          </cell>
          <cell r="S494">
            <v>5</v>
          </cell>
          <cell r="T494">
            <v>9</v>
          </cell>
          <cell r="U494" t="str">
            <v>Ciudad principal</v>
          </cell>
          <cell r="V494" t="str">
            <v>Departmental Digital</v>
          </cell>
          <cell r="W494" t="str">
            <v>ESTADO DE MEXICO</v>
          </cell>
          <cell r="X494">
            <v>2019</v>
          </cell>
          <cell r="Y494" t="str">
            <v>Qtr 2</v>
          </cell>
          <cell r="Z494" t="str">
            <v>April</v>
          </cell>
          <cell r="AA494">
            <v>11</v>
          </cell>
          <cell r="AB494">
            <v>0</v>
          </cell>
          <cell r="AC494">
            <v>228</v>
          </cell>
          <cell r="AD494">
            <v>1.1000000000000001</v>
          </cell>
          <cell r="AE494">
            <v>0.78333339999999996</v>
          </cell>
          <cell r="AF494">
            <v>1501.5</v>
          </cell>
        </row>
        <row r="495">
          <cell r="B495" t="str">
            <v>0AE9566556</v>
          </cell>
          <cell r="C495">
            <v>2019</v>
          </cell>
          <cell r="D495" t="str">
            <v>Qtr 2</v>
          </cell>
          <cell r="E495" t="str">
            <v>April</v>
          </cell>
          <cell r="F495">
            <v>9</v>
          </cell>
          <cell r="G495" t="str">
            <v>CORRECTIVO</v>
          </cell>
          <cell r="H495">
            <v>2.0666669999999998</v>
          </cell>
          <cell r="I495" t="str">
            <v>Office Digital</v>
          </cell>
          <cell r="J495">
            <v>655</v>
          </cell>
          <cell r="K495">
            <v>1365</v>
          </cell>
          <cell r="L495">
            <v>0</v>
          </cell>
          <cell r="M495">
            <v>0</v>
          </cell>
          <cell r="N495">
            <v>0.6</v>
          </cell>
          <cell r="O495">
            <v>0.8</v>
          </cell>
          <cell r="P495">
            <v>1.05</v>
          </cell>
          <cell r="Q495">
            <v>1.1000000000000001</v>
          </cell>
          <cell r="R495" t="str">
            <v>INTERIOR</v>
          </cell>
          <cell r="S495">
            <v>5</v>
          </cell>
          <cell r="T495">
            <v>9</v>
          </cell>
          <cell r="U495" t="str">
            <v>Ciudad principal</v>
          </cell>
          <cell r="V495" t="str">
            <v>Departmental Digital</v>
          </cell>
          <cell r="W495" t="str">
            <v>JALISCO</v>
          </cell>
          <cell r="X495">
            <v>2019</v>
          </cell>
          <cell r="Y495" t="str">
            <v>Qtr 2</v>
          </cell>
          <cell r="Z495" t="str">
            <v>April</v>
          </cell>
          <cell r="AA495">
            <v>11</v>
          </cell>
          <cell r="AB495">
            <v>0</v>
          </cell>
          <cell r="AC495">
            <v>39</v>
          </cell>
          <cell r="AD495">
            <v>1.05</v>
          </cell>
          <cell r="AE495">
            <v>0.41333340000000002</v>
          </cell>
          <cell r="AF495">
            <v>1433.25</v>
          </cell>
        </row>
        <row r="496">
          <cell r="B496" t="str">
            <v>0A4T562600</v>
          </cell>
          <cell r="C496">
            <v>2019</v>
          </cell>
          <cell r="D496" t="str">
            <v>Qtr 2</v>
          </cell>
          <cell r="E496" t="str">
            <v>April</v>
          </cell>
          <cell r="F496">
            <v>9</v>
          </cell>
          <cell r="G496" t="str">
            <v>CORRECTIVO</v>
          </cell>
          <cell r="H496">
            <v>0.78333339999999996</v>
          </cell>
          <cell r="J496" t="str">
            <v>NA</v>
          </cell>
          <cell r="K496" t="str">
            <v>NA</v>
          </cell>
          <cell r="L496" t="str">
            <v>NA</v>
          </cell>
          <cell r="M496" t="str">
            <v>NA</v>
          </cell>
          <cell r="N496" t="str">
            <v>NA</v>
          </cell>
          <cell r="O496" t="str">
            <v>NA</v>
          </cell>
          <cell r="P496" t="str">
            <v>NA</v>
          </cell>
          <cell r="Q496" t="str">
            <v>NA</v>
          </cell>
          <cell r="S496" t="str">
            <v>NA</v>
          </cell>
          <cell r="T496" t="str">
            <v>NA</v>
          </cell>
          <cell r="V496" t="str">
            <v>A4 Mono MFPs</v>
          </cell>
          <cell r="W496" t="str">
            <v>JALISCO</v>
          </cell>
          <cell r="X496">
            <v>2019</v>
          </cell>
          <cell r="Y496" t="str">
            <v>Qtr 2</v>
          </cell>
          <cell r="Z496" t="str">
            <v>April</v>
          </cell>
          <cell r="AA496">
            <v>11</v>
          </cell>
          <cell r="AB496" t="str">
            <v>NA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</row>
        <row r="497">
          <cell r="B497" t="str">
            <v>0EX9291417</v>
          </cell>
          <cell r="C497">
            <v>2019</v>
          </cell>
          <cell r="D497" t="str">
            <v>Qtr 2</v>
          </cell>
          <cell r="E497" t="str">
            <v>April</v>
          </cell>
          <cell r="F497">
            <v>9</v>
          </cell>
          <cell r="G497" t="str">
            <v>MANTENIMIENTO PREVENTIVO</v>
          </cell>
          <cell r="H497">
            <v>0</v>
          </cell>
          <cell r="I497" t="str">
            <v>Departmental Digital</v>
          </cell>
          <cell r="J497">
            <v>655</v>
          </cell>
          <cell r="K497">
            <v>1365</v>
          </cell>
          <cell r="L497">
            <v>0</v>
          </cell>
          <cell r="M497">
            <v>0</v>
          </cell>
          <cell r="N497">
            <v>0.6</v>
          </cell>
          <cell r="O497">
            <v>0.8</v>
          </cell>
          <cell r="P497">
            <v>1.05</v>
          </cell>
          <cell r="Q497">
            <v>1.1000000000000001</v>
          </cell>
          <cell r="R497" t="str">
            <v>INTERIOR</v>
          </cell>
          <cell r="S497">
            <v>5</v>
          </cell>
          <cell r="T497">
            <v>9</v>
          </cell>
          <cell r="U497" t="str">
            <v>Ciudad principal</v>
          </cell>
          <cell r="V497" t="str">
            <v>Departmental Digital</v>
          </cell>
          <cell r="W497" t="str">
            <v>CHIHUAHUA</v>
          </cell>
          <cell r="X497">
            <v>2019</v>
          </cell>
          <cell r="Y497" t="str">
            <v>Qtr 2</v>
          </cell>
          <cell r="Z497" t="str">
            <v>April</v>
          </cell>
          <cell r="AA497">
            <v>9</v>
          </cell>
          <cell r="AB497">
            <v>0</v>
          </cell>
          <cell r="AC497">
            <v>13</v>
          </cell>
          <cell r="AD497">
            <v>0</v>
          </cell>
          <cell r="AE497">
            <v>0</v>
          </cell>
          <cell r="AF497">
            <v>1365</v>
          </cell>
        </row>
        <row r="498">
          <cell r="B498" t="str">
            <v>0BG2940374</v>
          </cell>
          <cell r="C498">
            <v>2019</v>
          </cell>
          <cell r="D498" t="str">
            <v>Qtr 2</v>
          </cell>
          <cell r="E498" t="str">
            <v>April</v>
          </cell>
          <cell r="F498">
            <v>9</v>
          </cell>
          <cell r="G498" t="str">
            <v>CORRECTIVO</v>
          </cell>
          <cell r="H498">
            <v>1.5333330000000001</v>
          </cell>
          <cell r="I498" t="str">
            <v>Light Production Digital Business</v>
          </cell>
          <cell r="J498">
            <v>803</v>
          </cell>
          <cell r="K498">
            <v>1573</v>
          </cell>
          <cell r="L498">
            <v>0.2</v>
          </cell>
          <cell r="M498">
            <v>0.6</v>
          </cell>
          <cell r="N498">
            <v>0.8</v>
          </cell>
          <cell r="O498">
            <v>1.05</v>
          </cell>
          <cell r="P498">
            <v>1.1000000000000001</v>
          </cell>
          <cell r="Q498">
            <v>1.1499999999999999</v>
          </cell>
          <cell r="R498" t="str">
            <v>INTERIOR</v>
          </cell>
          <cell r="S498">
            <v>4</v>
          </cell>
          <cell r="T498">
            <v>6</v>
          </cell>
          <cell r="U498" t="str">
            <v>Ciudad principal</v>
          </cell>
          <cell r="V498" t="str">
            <v>High End Cut Sheet</v>
          </cell>
          <cell r="W498" t="str">
            <v>JALISCO</v>
          </cell>
          <cell r="X498">
            <v>2019</v>
          </cell>
          <cell r="Y498" t="str">
            <v>Qtr 2</v>
          </cell>
          <cell r="Z498" t="str">
            <v>April</v>
          </cell>
          <cell r="AA498">
            <v>9</v>
          </cell>
          <cell r="AB498">
            <v>0</v>
          </cell>
          <cell r="AC498">
            <v>12</v>
          </cell>
          <cell r="AD498">
            <v>0.8</v>
          </cell>
          <cell r="AE498">
            <v>0.38333325000000001</v>
          </cell>
          <cell r="AF498">
            <v>1258.4000000000001</v>
          </cell>
        </row>
        <row r="499">
          <cell r="B499" t="str">
            <v>0VGW632064</v>
          </cell>
          <cell r="C499">
            <v>2019</v>
          </cell>
          <cell r="D499" t="str">
            <v>Qtr 2</v>
          </cell>
          <cell r="E499" t="str">
            <v>April</v>
          </cell>
          <cell r="F499">
            <v>9</v>
          </cell>
          <cell r="G499" t="str">
            <v>CORRECTIVO</v>
          </cell>
          <cell r="H499">
            <v>2</v>
          </cell>
          <cell r="I499" t="str">
            <v>A3 Professional Color Laser MFPs</v>
          </cell>
          <cell r="J499">
            <v>655</v>
          </cell>
          <cell r="K499">
            <v>1365</v>
          </cell>
          <cell r="L499">
            <v>0</v>
          </cell>
          <cell r="M499">
            <v>0</v>
          </cell>
          <cell r="N499">
            <v>0.6</v>
          </cell>
          <cell r="O499">
            <v>0.8</v>
          </cell>
          <cell r="P499">
            <v>1.05</v>
          </cell>
          <cell r="Q499">
            <v>1.1000000000000001</v>
          </cell>
          <cell r="R499" t="str">
            <v>INTERIOR</v>
          </cell>
          <cell r="S499">
            <v>5</v>
          </cell>
          <cell r="T499">
            <v>9</v>
          </cell>
          <cell r="U499" t="str">
            <v>Ciudad principal</v>
          </cell>
          <cell r="V499" t="str">
            <v>Entry Production Color Low/Mid</v>
          </cell>
          <cell r="W499" t="str">
            <v>CHIHUAHUA</v>
          </cell>
          <cell r="X499">
            <v>2019</v>
          </cell>
          <cell r="Y499" t="str">
            <v>Qtr 2</v>
          </cell>
          <cell r="Z499" t="str">
            <v>April</v>
          </cell>
          <cell r="AA499">
            <v>9</v>
          </cell>
          <cell r="AB499">
            <v>0</v>
          </cell>
          <cell r="AC499">
            <v>4</v>
          </cell>
          <cell r="AD499">
            <v>0</v>
          </cell>
          <cell r="AE499">
            <v>0.4</v>
          </cell>
          <cell r="AF499">
            <v>0</v>
          </cell>
        </row>
        <row r="500">
          <cell r="B500" t="str">
            <v>0XU8464707</v>
          </cell>
          <cell r="C500">
            <v>2019</v>
          </cell>
          <cell r="D500" t="str">
            <v>Qtr 2</v>
          </cell>
          <cell r="E500" t="str">
            <v>April</v>
          </cell>
          <cell r="F500">
            <v>9</v>
          </cell>
          <cell r="G500" t="str">
            <v>CORRECTIVO</v>
          </cell>
          <cell r="H500">
            <v>1.1166670000000001</v>
          </cell>
          <cell r="I500" t="str">
            <v>Entry Production Color Mid</v>
          </cell>
          <cell r="J500">
            <v>803</v>
          </cell>
          <cell r="K500">
            <v>1573</v>
          </cell>
          <cell r="L500">
            <v>0.2</v>
          </cell>
          <cell r="M500">
            <v>0.6</v>
          </cell>
          <cell r="N500">
            <v>0.8</v>
          </cell>
          <cell r="O500">
            <v>1.05</v>
          </cell>
          <cell r="P500">
            <v>1.1000000000000001</v>
          </cell>
          <cell r="Q500">
            <v>1.1499999999999999</v>
          </cell>
          <cell r="R500" t="str">
            <v>INTERIOR</v>
          </cell>
          <cell r="S500">
            <v>4</v>
          </cell>
          <cell r="T500">
            <v>6</v>
          </cell>
          <cell r="U500" t="str">
            <v>Ciudad principal</v>
          </cell>
          <cell r="V500" t="str">
            <v>Xerox Color Press</v>
          </cell>
          <cell r="W500" t="str">
            <v>COLIMA</v>
          </cell>
          <cell r="X500">
            <v>2019</v>
          </cell>
          <cell r="Y500" t="str">
            <v>Qtr 2</v>
          </cell>
          <cell r="Z500" t="str">
            <v>April</v>
          </cell>
          <cell r="AA500">
            <v>9</v>
          </cell>
          <cell r="AB500">
            <v>1</v>
          </cell>
          <cell r="AC500">
            <v>12</v>
          </cell>
          <cell r="AD500">
            <v>0</v>
          </cell>
          <cell r="AE500">
            <v>0</v>
          </cell>
          <cell r="AF500">
            <v>0</v>
          </cell>
        </row>
        <row r="501">
          <cell r="B501" t="str">
            <v>09HB331489</v>
          </cell>
          <cell r="C501">
            <v>2019</v>
          </cell>
          <cell r="D501" t="str">
            <v>Qtr 2</v>
          </cell>
          <cell r="E501" t="str">
            <v>April</v>
          </cell>
          <cell r="F501">
            <v>9</v>
          </cell>
          <cell r="G501" t="str">
            <v>MANTENIMIENTO PREVENTIVO</v>
          </cell>
          <cell r="H501">
            <v>0</v>
          </cell>
          <cell r="J501" t="str">
            <v>NA</v>
          </cell>
          <cell r="K501" t="str">
            <v>NA</v>
          </cell>
          <cell r="L501" t="str">
            <v>NA</v>
          </cell>
          <cell r="M501" t="str">
            <v>NA</v>
          </cell>
          <cell r="N501" t="str">
            <v>NA</v>
          </cell>
          <cell r="O501" t="str">
            <v>NA</v>
          </cell>
          <cell r="P501" t="str">
            <v>NA</v>
          </cell>
          <cell r="Q501" t="str">
            <v>NA</v>
          </cell>
          <cell r="S501" t="str">
            <v>NA</v>
          </cell>
          <cell r="T501" t="str">
            <v>NA</v>
          </cell>
          <cell r="V501" t="str">
            <v>A4 Mono MFPs</v>
          </cell>
          <cell r="W501" t="str">
            <v>JALISCO</v>
          </cell>
          <cell r="X501">
            <v>2019</v>
          </cell>
          <cell r="Y501" t="str">
            <v>Qtr 2</v>
          </cell>
          <cell r="Z501" t="str">
            <v>April</v>
          </cell>
          <cell r="AA501">
            <v>9</v>
          </cell>
          <cell r="AB501" t="str">
            <v>NA</v>
          </cell>
          <cell r="AC501">
            <v>11</v>
          </cell>
          <cell r="AD501">
            <v>0</v>
          </cell>
          <cell r="AE501">
            <v>0</v>
          </cell>
          <cell r="AF501">
            <v>0</v>
          </cell>
        </row>
        <row r="502">
          <cell r="B502" t="str">
            <v>0EX7407574</v>
          </cell>
          <cell r="C502">
            <v>2019</v>
          </cell>
          <cell r="D502" t="str">
            <v>Qtr 2</v>
          </cell>
          <cell r="E502" t="str">
            <v>April</v>
          </cell>
          <cell r="F502">
            <v>9</v>
          </cell>
          <cell r="G502" t="str">
            <v>CORRECTIVO</v>
          </cell>
          <cell r="H502">
            <v>0</v>
          </cell>
          <cell r="I502" t="str">
            <v>Office Digital</v>
          </cell>
          <cell r="J502">
            <v>655</v>
          </cell>
          <cell r="K502">
            <v>1365</v>
          </cell>
          <cell r="L502">
            <v>0</v>
          </cell>
          <cell r="M502">
            <v>0</v>
          </cell>
          <cell r="N502">
            <v>0.6</v>
          </cell>
          <cell r="O502">
            <v>0.8</v>
          </cell>
          <cell r="P502">
            <v>1.05</v>
          </cell>
          <cell r="Q502">
            <v>1.1000000000000001</v>
          </cell>
          <cell r="R502" t="str">
            <v>INTERIOR</v>
          </cell>
          <cell r="S502">
            <v>5</v>
          </cell>
          <cell r="T502">
            <v>9</v>
          </cell>
          <cell r="U502" t="str">
            <v>Ciudad principal</v>
          </cell>
          <cell r="V502" t="str">
            <v>Departmental Digital</v>
          </cell>
          <cell r="W502" t="str">
            <v>CHIHUAHUA</v>
          </cell>
          <cell r="X502">
            <v>2019</v>
          </cell>
          <cell r="Y502" t="str">
            <v>Qtr 2</v>
          </cell>
          <cell r="Z502" t="str">
            <v>April</v>
          </cell>
          <cell r="AA502">
            <v>9</v>
          </cell>
          <cell r="AB502">
            <v>0</v>
          </cell>
          <cell r="AC502">
            <v>89</v>
          </cell>
          <cell r="AD502">
            <v>1.1000000000000001</v>
          </cell>
          <cell r="AE502">
            <v>0</v>
          </cell>
          <cell r="AF502">
            <v>1501.5</v>
          </cell>
        </row>
        <row r="503">
          <cell r="B503" t="str">
            <v>09HB331688</v>
          </cell>
          <cell r="C503">
            <v>2019</v>
          </cell>
          <cell r="D503" t="str">
            <v>Qtr 2</v>
          </cell>
          <cell r="E503" t="str">
            <v>April</v>
          </cell>
          <cell r="F503">
            <v>9</v>
          </cell>
          <cell r="G503" t="str">
            <v>MANTENIMIENTO PREVENTIVO</v>
          </cell>
          <cell r="H503">
            <v>0</v>
          </cell>
          <cell r="I503" t="str">
            <v>A4 Mono MFPs</v>
          </cell>
          <cell r="J503">
            <v>468</v>
          </cell>
          <cell r="K503">
            <v>715</v>
          </cell>
          <cell r="L503">
            <v>0</v>
          </cell>
          <cell r="M503">
            <v>0</v>
          </cell>
          <cell r="N503">
            <v>0</v>
          </cell>
          <cell r="O503">
            <v>0.6</v>
          </cell>
          <cell r="P503">
            <v>0.8</v>
          </cell>
          <cell r="Q503">
            <v>1.05</v>
          </cell>
          <cell r="R503" t="str">
            <v>INTERIOR</v>
          </cell>
          <cell r="S503">
            <v>5</v>
          </cell>
          <cell r="T503">
            <v>9</v>
          </cell>
          <cell r="U503" t="str">
            <v>Ciudad principal</v>
          </cell>
          <cell r="V503" t="str">
            <v>A4 Mono MFPs</v>
          </cell>
          <cell r="W503" t="str">
            <v>JALISCO</v>
          </cell>
          <cell r="X503">
            <v>2019</v>
          </cell>
          <cell r="Y503" t="str">
            <v>Qtr 2</v>
          </cell>
          <cell r="Z503" t="str">
            <v>April</v>
          </cell>
          <cell r="AA503">
            <v>12</v>
          </cell>
          <cell r="AB503">
            <v>1</v>
          </cell>
          <cell r="AC503">
            <v>18</v>
          </cell>
          <cell r="AD503">
            <v>0</v>
          </cell>
          <cell r="AE503">
            <v>0</v>
          </cell>
          <cell r="AF503">
            <v>0</v>
          </cell>
        </row>
        <row r="504">
          <cell r="B504" t="str">
            <v>09HB331652</v>
          </cell>
          <cell r="C504">
            <v>2019</v>
          </cell>
          <cell r="D504" t="str">
            <v>Qtr 2</v>
          </cell>
          <cell r="E504" t="str">
            <v>April</v>
          </cell>
          <cell r="F504">
            <v>9</v>
          </cell>
          <cell r="G504" t="str">
            <v>MANTENIMIENTO PREVENTIVO</v>
          </cell>
          <cell r="H504">
            <v>0</v>
          </cell>
          <cell r="I504" t="str">
            <v>A4 Mono MFPs</v>
          </cell>
          <cell r="J504">
            <v>468</v>
          </cell>
          <cell r="K504">
            <v>715</v>
          </cell>
          <cell r="L504">
            <v>0</v>
          </cell>
          <cell r="M504">
            <v>0</v>
          </cell>
          <cell r="N504">
            <v>0</v>
          </cell>
          <cell r="O504">
            <v>0.6</v>
          </cell>
          <cell r="P504">
            <v>0.8</v>
          </cell>
          <cell r="Q504">
            <v>1.05</v>
          </cell>
          <cell r="R504" t="str">
            <v>INTERIOR</v>
          </cell>
          <cell r="S504">
            <v>5</v>
          </cell>
          <cell r="T504">
            <v>9</v>
          </cell>
          <cell r="U504" t="str">
            <v>Ciudad principal</v>
          </cell>
          <cell r="V504" t="str">
            <v>A4 Mono MFPs</v>
          </cell>
          <cell r="W504" t="str">
            <v>JALISCO</v>
          </cell>
          <cell r="X504">
            <v>2019</v>
          </cell>
          <cell r="Y504" t="str">
            <v>Qtr 2</v>
          </cell>
          <cell r="Z504" t="str">
            <v>April</v>
          </cell>
          <cell r="AA504">
            <v>9</v>
          </cell>
          <cell r="AB504">
            <v>1</v>
          </cell>
          <cell r="AC504">
            <v>11</v>
          </cell>
          <cell r="AD504">
            <v>0</v>
          </cell>
          <cell r="AE504">
            <v>0</v>
          </cell>
          <cell r="AF504">
            <v>0</v>
          </cell>
        </row>
        <row r="505">
          <cell r="B505" t="str">
            <v>2TX059855</v>
          </cell>
          <cell r="C505">
            <v>2019</v>
          </cell>
          <cell r="D505" t="str">
            <v>Qtr 2</v>
          </cell>
          <cell r="E505" t="str">
            <v>April</v>
          </cell>
          <cell r="F505">
            <v>9</v>
          </cell>
          <cell r="G505" t="str">
            <v>CORRECTIVO</v>
          </cell>
          <cell r="H505">
            <v>3.6333329999999999</v>
          </cell>
          <cell r="I505" t="str">
            <v>A3 Office Color Laser MFPs</v>
          </cell>
          <cell r="J505">
            <v>655</v>
          </cell>
          <cell r="K505">
            <v>1365</v>
          </cell>
          <cell r="L505">
            <v>0</v>
          </cell>
          <cell r="M505">
            <v>0</v>
          </cell>
          <cell r="N505">
            <v>0.6</v>
          </cell>
          <cell r="O505">
            <v>0.8</v>
          </cell>
          <cell r="P505">
            <v>1.05</v>
          </cell>
          <cell r="Q505">
            <v>1.1000000000000001</v>
          </cell>
          <cell r="R505" t="str">
            <v>INTERIOR</v>
          </cell>
          <cell r="S505">
            <v>5</v>
          </cell>
          <cell r="T505">
            <v>9</v>
          </cell>
          <cell r="U505" t="str">
            <v>Otras</v>
          </cell>
          <cell r="V505" t="str">
            <v>A3 Office Color Laser MFPs</v>
          </cell>
          <cell r="W505" t="str">
            <v>NUEVO LEON</v>
          </cell>
          <cell r="X505">
            <v>2019</v>
          </cell>
          <cell r="Y505" t="str">
            <v>Qtr 2</v>
          </cell>
          <cell r="Z505" t="str">
            <v>April</v>
          </cell>
          <cell r="AA505">
            <v>9</v>
          </cell>
          <cell r="AB505">
            <v>0</v>
          </cell>
          <cell r="AC505">
            <v>146</v>
          </cell>
          <cell r="AD505">
            <v>1.1000000000000001</v>
          </cell>
          <cell r="AE505">
            <v>0.40370366666666702</v>
          </cell>
          <cell r="AF505">
            <v>1501.5</v>
          </cell>
        </row>
        <row r="506">
          <cell r="B506" t="str">
            <v>0BPB110617</v>
          </cell>
          <cell r="C506">
            <v>2019</v>
          </cell>
          <cell r="D506" t="str">
            <v>Qtr 2</v>
          </cell>
          <cell r="E506" t="str">
            <v>April</v>
          </cell>
          <cell r="F506">
            <v>9</v>
          </cell>
          <cell r="G506" t="str">
            <v>CORRECTIVO</v>
          </cell>
          <cell r="H506">
            <v>1.816667</v>
          </cell>
          <cell r="J506" t="str">
            <v>NA</v>
          </cell>
          <cell r="K506" t="str">
            <v>NA</v>
          </cell>
          <cell r="L506" t="str">
            <v>NA</v>
          </cell>
          <cell r="M506" t="str">
            <v>NA</v>
          </cell>
          <cell r="N506" t="str">
            <v>NA</v>
          </cell>
          <cell r="O506" t="str">
            <v>NA</v>
          </cell>
          <cell r="P506" t="str">
            <v>NA</v>
          </cell>
          <cell r="Q506" t="str">
            <v>NA</v>
          </cell>
          <cell r="S506" t="str">
            <v>NA</v>
          </cell>
          <cell r="T506" t="str">
            <v>NA</v>
          </cell>
          <cell r="V506" t="str">
            <v>High End Cut Sheet</v>
          </cell>
          <cell r="W506" t="str">
            <v>JALISCO</v>
          </cell>
          <cell r="X506">
            <v>2019</v>
          </cell>
          <cell r="Y506" t="str">
            <v>Qtr 2</v>
          </cell>
          <cell r="Z506" t="str">
            <v>April</v>
          </cell>
          <cell r="AA506">
            <v>9</v>
          </cell>
          <cell r="AB506" t="str">
            <v>NA</v>
          </cell>
          <cell r="AC506">
            <v>8</v>
          </cell>
          <cell r="AD506">
            <v>0</v>
          </cell>
          <cell r="AE506">
            <v>0</v>
          </cell>
          <cell r="AF506">
            <v>0</v>
          </cell>
        </row>
        <row r="507">
          <cell r="B507" t="str">
            <v>0EX9299901</v>
          </cell>
          <cell r="C507">
            <v>2019</v>
          </cell>
          <cell r="D507" t="str">
            <v>Qtr 2</v>
          </cell>
          <cell r="E507" t="str">
            <v>April</v>
          </cell>
          <cell r="F507">
            <v>9</v>
          </cell>
          <cell r="G507" t="str">
            <v>CORRECTIVO</v>
          </cell>
          <cell r="H507">
            <v>3.516667</v>
          </cell>
          <cell r="I507" t="str">
            <v>Departmental Digital</v>
          </cell>
          <cell r="J507">
            <v>655</v>
          </cell>
          <cell r="K507">
            <v>1365</v>
          </cell>
          <cell r="L507">
            <v>0</v>
          </cell>
          <cell r="M507">
            <v>0</v>
          </cell>
          <cell r="N507">
            <v>0.6</v>
          </cell>
          <cell r="O507">
            <v>0.8</v>
          </cell>
          <cell r="P507">
            <v>1.05</v>
          </cell>
          <cell r="Q507">
            <v>1.1000000000000001</v>
          </cell>
          <cell r="R507" t="str">
            <v>INTERIOR</v>
          </cell>
          <cell r="S507">
            <v>5</v>
          </cell>
          <cell r="T507">
            <v>9</v>
          </cell>
          <cell r="U507" t="str">
            <v>Ciudad principal</v>
          </cell>
          <cell r="V507" t="str">
            <v>Departmental Digital</v>
          </cell>
          <cell r="W507" t="str">
            <v>TAMAULIPAS</v>
          </cell>
          <cell r="X507">
            <v>2019</v>
          </cell>
          <cell r="Y507" t="str">
            <v>Qtr 2</v>
          </cell>
          <cell r="Z507" t="str">
            <v>April</v>
          </cell>
          <cell r="AA507">
            <v>9</v>
          </cell>
          <cell r="AB507">
            <v>0</v>
          </cell>
          <cell r="AC507">
            <v>6</v>
          </cell>
          <cell r="AD507">
            <v>0</v>
          </cell>
          <cell r="AE507">
            <v>0.7033334</v>
          </cell>
          <cell r="AF507">
            <v>0</v>
          </cell>
        </row>
        <row r="508">
          <cell r="B508" t="str">
            <v>0Y4X838103</v>
          </cell>
          <cell r="C508">
            <v>2019</v>
          </cell>
          <cell r="D508" t="str">
            <v>Qtr 2</v>
          </cell>
          <cell r="E508" t="str">
            <v>April</v>
          </cell>
          <cell r="F508">
            <v>9</v>
          </cell>
          <cell r="G508" t="str">
            <v>CORRECTIVO</v>
          </cell>
          <cell r="H508">
            <v>1.55</v>
          </cell>
          <cell r="I508" t="str">
            <v>Office Digital</v>
          </cell>
          <cell r="J508">
            <v>655</v>
          </cell>
          <cell r="K508">
            <v>1365</v>
          </cell>
          <cell r="L508">
            <v>0</v>
          </cell>
          <cell r="M508">
            <v>0</v>
          </cell>
          <cell r="N508">
            <v>0.6</v>
          </cell>
          <cell r="O508">
            <v>0.8</v>
          </cell>
          <cell r="P508">
            <v>1.05</v>
          </cell>
          <cell r="Q508">
            <v>1.1000000000000001</v>
          </cell>
          <cell r="R508" t="str">
            <v>INTERIOR</v>
          </cell>
          <cell r="S508">
            <v>5</v>
          </cell>
          <cell r="T508">
            <v>9</v>
          </cell>
          <cell r="U508" t="str">
            <v>Ciudad principal</v>
          </cell>
          <cell r="V508" t="str">
            <v>Light Production Digital Business</v>
          </cell>
          <cell r="W508" t="str">
            <v>ESTADO DE MEXICO</v>
          </cell>
          <cell r="X508">
            <v>2019</v>
          </cell>
          <cell r="Y508" t="str">
            <v>Qtr 2</v>
          </cell>
          <cell r="Z508" t="str">
            <v>April</v>
          </cell>
          <cell r="AA508">
            <v>9</v>
          </cell>
          <cell r="AB508">
            <v>0</v>
          </cell>
          <cell r="AC508">
            <v>11</v>
          </cell>
          <cell r="AD508">
            <v>0.6</v>
          </cell>
          <cell r="AE508">
            <v>0.31</v>
          </cell>
          <cell r="AF508">
            <v>819</v>
          </cell>
        </row>
        <row r="509">
          <cell r="B509" t="str">
            <v>Y4X830295</v>
          </cell>
          <cell r="C509">
            <v>2019</v>
          </cell>
          <cell r="D509" t="str">
            <v>Qtr 2</v>
          </cell>
          <cell r="E509" t="str">
            <v>April</v>
          </cell>
          <cell r="F509">
            <v>9</v>
          </cell>
          <cell r="G509" t="str">
            <v>CORRECTIVO</v>
          </cell>
          <cell r="H509">
            <v>2.4166669999999999</v>
          </cell>
          <cell r="I509" t="str">
            <v>Office Digital</v>
          </cell>
          <cell r="J509">
            <v>655</v>
          </cell>
          <cell r="K509">
            <v>1365</v>
          </cell>
          <cell r="L509">
            <v>0</v>
          </cell>
          <cell r="M509">
            <v>0</v>
          </cell>
          <cell r="N509">
            <v>0.6</v>
          </cell>
          <cell r="O509">
            <v>0.8</v>
          </cell>
          <cell r="P509">
            <v>1.05</v>
          </cell>
          <cell r="Q509">
            <v>1.1000000000000001</v>
          </cell>
          <cell r="R509" t="str">
            <v>INTERIOR</v>
          </cell>
          <cell r="S509">
            <v>5</v>
          </cell>
          <cell r="T509">
            <v>9</v>
          </cell>
          <cell r="U509" t="str">
            <v>Ciudad principal</v>
          </cell>
          <cell r="V509" t="str">
            <v>Light Production Digital Business</v>
          </cell>
          <cell r="W509" t="str">
            <v>ESTADO DE MEXICO</v>
          </cell>
          <cell r="X509">
            <v>2019</v>
          </cell>
          <cell r="Y509" t="str">
            <v>Qtr 2</v>
          </cell>
          <cell r="Z509" t="str">
            <v>April</v>
          </cell>
          <cell r="AA509">
            <v>10</v>
          </cell>
          <cell r="AB509">
            <v>0</v>
          </cell>
          <cell r="AC509">
            <v>6</v>
          </cell>
          <cell r="AD509">
            <v>0</v>
          </cell>
          <cell r="AE509">
            <v>0.48333340000000002</v>
          </cell>
          <cell r="AF509">
            <v>0</v>
          </cell>
        </row>
        <row r="510">
          <cell r="B510" t="str">
            <v>0XPN393392</v>
          </cell>
          <cell r="C510">
            <v>2019</v>
          </cell>
          <cell r="D510" t="str">
            <v>Qtr 2</v>
          </cell>
          <cell r="E510" t="str">
            <v>April</v>
          </cell>
          <cell r="F510">
            <v>9</v>
          </cell>
          <cell r="G510" t="str">
            <v>CORRECTIVO</v>
          </cell>
          <cell r="H510">
            <v>1.2</v>
          </cell>
          <cell r="I510" t="str">
            <v>Entry Production Color Low/Mid</v>
          </cell>
          <cell r="J510">
            <v>803</v>
          </cell>
          <cell r="K510">
            <v>1573</v>
          </cell>
          <cell r="L510">
            <v>0.2</v>
          </cell>
          <cell r="M510">
            <v>0.6</v>
          </cell>
          <cell r="N510">
            <v>0.8</v>
          </cell>
          <cell r="O510">
            <v>1.05</v>
          </cell>
          <cell r="P510">
            <v>1.1000000000000001</v>
          </cell>
          <cell r="Q510">
            <v>1.1499999999999999</v>
          </cell>
          <cell r="R510" t="str">
            <v>INTERIOR</v>
          </cell>
          <cell r="S510">
            <v>4</v>
          </cell>
          <cell r="T510">
            <v>6</v>
          </cell>
          <cell r="U510" t="str">
            <v>Ciudad principal</v>
          </cell>
          <cell r="V510" t="str">
            <v>Entry Production Color Low/Mid</v>
          </cell>
          <cell r="W510" t="str">
            <v>GUANAJUATO</v>
          </cell>
          <cell r="X510">
            <v>2019</v>
          </cell>
          <cell r="Y510" t="str">
            <v>Qtr 2</v>
          </cell>
          <cell r="Z510" t="str">
            <v>April</v>
          </cell>
          <cell r="AA510">
            <v>12</v>
          </cell>
          <cell r="AB510">
            <v>0</v>
          </cell>
          <cell r="AC510">
            <v>7</v>
          </cell>
          <cell r="AD510">
            <v>0.8</v>
          </cell>
          <cell r="AE510">
            <v>0.3</v>
          </cell>
          <cell r="AF510">
            <v>1258.4000000000001</v>
          </cell>
        </row>
        <row r="511">
          <cell r="B511" t="str">
            <v>0E2B654119</v>
          </cell>
          <cell r="C511">
            <v>2019</v>
          </cell>
          <cell r="D511" t="str">
            <v>Qtr 2</v>
          </cell>
          <cell r="E511" t="str">
            <v>April</v>
          </cell>
          <cell r="F511">
            <v>9</v>
          </cell>
          <cell r="G511" t="str">
            <v>CORRECTIVO</v>
          </cell>
          <cell r="H511">
            <v>2.3833329999999999</v>
          </cell>
          <cell r="I511" t="str">
            <v>Entry Production Color Low/Mid</v>
          </cell>
          <cell r="J511">
            <v>803</v>
          </cell>
          <cell r="K511">
            <v>1573</v>
          </cell>
          <cell r="L511">
            <v>0.2</v>
          </cell>
          <cell r="M511">
            <v>0.6</v>
          </cell>
          <cell r="N511">
            <v>0.8</v>
          </cell>
          <cell r="O511">
            <v>1.05</v>
          </cell>
          <cell r="P511">
            <v>1.1000000000000001</v>
          </cell>
          <cell r="Q511">
            <v>1.1499999999999999</v>
          </cell>
          <cell r="R511" t="str">
            <v>INTERIOR</v>
          </cell>
          <cell r="S511">
            <v>4</v>
          </cell>
          <cell r="T511">
            <v>6</v>
          </cell>
          <cell r="U511" t="str">
            <v>Otras</v>
          </cell>
          <cell r="V511" t="str">
            <v>Entry Production Color Low/Mid</v>
          </cell>
          <cell r="W511" t="str">
            <v>TAMAULIPAS</v>
          </cell>
          <cell r="X511">
            <v>2019</v>
          </cell>
          <cell r="Y511" t="str">
            <v>Qtr 2</v>
          </cell>
          <cell r="Z511" t="str">
            <v>April</v>
          </cell>
          <cell r="AA511">
            <v>12</v>
          </cell>
          <cell r="AB511">
            <v>0</v>
          </cell>
          <cell r="AC511">
            <v>33</v>
          </cell>
          <cell r="AD511">
            <v>1.1000000000000001</v>
          </cell>
          <cell r="AE511">
            <v>0.39722216666666699</v>
          </cell>
          <cell r="AF511">
            <v>1730.3</v>
          </cell>
        </row>
        <row r="512">
          <cell r="B512" t="str">
            <v>0A1H020675</v>
          </cell>
          <cell r="C512">
            <v>2019</v>
          </cell>
          <cell r="D512" t="str">
            <v>Qtr 2</v>
          </cell>
          <cell r="E512" t="str">
            <v>April</v>
          </cell>
          <cell r="F512">
            <v>9</v>
          </cell>
          <cell r="G512" t="str">
            <v>CORRECTIVO</v>
          </cell>
          <cell r="H512">
            <v>0.8</v>
          </cell>
          <cell r="I512" t="str">
            <v>WF Mono Systems and Legacy Color</v>
          </cell>
          <cell r="J512">
            <v>803</v>
          </cell>
          <cell r="K512">
            <v>1573</v>
          </cell>
          <cell r="L512">
            <v>0.2</v>
          </cell>
          <cell r="M512">
            <v>0.6</v>
          </cell>
          <cell r="N512">
            <v>0.8</v>
          </cell>
          <cell r="O512">
            <v>1.05</v>
          </cell>
          <cell r="P512">
            <v>1.1000000000000001</v>
          </cell>
          <cell r="Q512">
            <v>1.1499999999999999</v>
          </cell>
          <cell r="R512" t="str">
            <v>INTERIOR</v>
          </cell>
          <cell r="S512">
            <v>4</v>
          </cell>
          <cell r="T512">
            <v>6</v>
          </cell>
          <cell r="U512" t="str">
            <v>Ciudad principal</v>
          </cell>
          <cell r="V512" t="str">
            <v>WF Mono Systems and Legacy Color</v>
          </cell>
          <cell r="W512" t="str">
            <v>TAMAULIPAS</v>
          </cell>
          <cell r="X512">
            <v>2019</v>
          </cell>
          <cell r="Y512" t="str">
            <v>Qtr 2</v>
          </cell>
          <cell r="Z512" t="str">
            <v>April</v>
          </cell>
          <cell r="AA512">
            <v>9</v>
          </cell>
          <cell r="AB512">
            <v>0</v>
          </cell>
          <cell r="AC512">
            <v>26</v>
          </cell>
          <cell r="AD512">
            <v>1.05</v>
          </cell>
          <cell r="AE512">
            <v>0.2</v>
          </cell>
          <cell r="AF512">
            <v>1651.65</v>
          </cell>
        </row>
        <row r="513">
          <cell r="B513" t="str">
            <v>0Y4X846817</v>
          </cell>
          <cell r="C513">
            <v>2019</v>
          </cell>
          <cell r="D513" t="str">
            <v>Qtr 2</v>
          </cell>
          <cell r="E513" t="str">
            <v>April</v>
          </cell>
          <cell r="F513">
            <v>9</v>
          </cell>
          <cell r="G513" t="str">
            <v>MANTENIMIENTO PREVENTIVO</v>
          </cell>
          <cell r="H513">
            <v>0</v>
          </cell>
          <cell r="I513" t="str">
            <v>Office Digital</v>
          </cell>
          <cell r="J513">
            <v>655</v>
          </cell>
          <cell r="K513">
            <v>1365</v>
          </cell>
          <cell r="L513">
            <v>0</v>
          </cell>
          <cell r="M513">
            <v>0</v>
          </cell>
          <cell r="N513">
            <v>0.6</v>
          </cell>
          <cell r="O513">
            <v>0.8</v>
          </cell>
          <cell r="P513">
            <v>1.05</v>
          </cell>
          <cell r="Q513">
            <v>1.1000000000000001</v>
          </cell>
          <cell r="R513" t="str">
            <v>INTERIOR</v>
          </cell>
          <cell r="S513">
            <v>5</v>
          </cell>
          <cell r="T513">
            <v>9</v>
          </cell>
          <cell r="U513" t="str">
            <v>Ciudad principal</v>
          </cell>
          <cell r="V513" t="str">
            <v>Light Production Digital Business</v>
          </cell>
          <cell r="W513" t="str">
            <v>JALISCO</v>
          </cell>
          <cell r="X513">
            <v>2019</v>
          </cell>
          <cell r="Y513" t="str">
            <v>Qtr 2</v>
          </cell>
          <cell r="Z513" t="str">
            <v>April</v>
          </cell>
          <cell r="AA513">
            <v>9</v>
          </cell>
          <cell r="AB513">
            <v>1</v>
          </cell>
          <cell r="AC513">
            <v>1</v>
          </cell>
          <cell r="AD513">
            <v>0</v>
          </cell>
          <cell r="AE513">
            <v>0</v>
          </cell>
          <cell r="AF513">
            <v>0</v>
          </cell>
        </row>
        <row r="514">
          <cell r="B514" t="str">
            <v>0XPN548183</v>
          </cell>
          <cell r="C514">
            <v>2019</v>
          </cell>
          <cell r="D514" t="str">
            <v>Qtr 2</v>
          </cell>
          <cell r="E514" t="str">
            <v>April</v>
          </cell>
          <cell r="F514">
            <v>9</v>
          </cell>
          <cell r="G514" t="str">
            <v>CORRECTIVO</v>
          </cell>
          <cell r="H514">
            <v>0.86666670000000001</v>
          </cell>
          <cell r="I514" t="str">
            <v>Entry Production Color Low/Mid</v>
          </cell>
          <cell r="J514">
            <v>803</v>
          </cell>
          <cell r="K514">
            <v>1573</v>
          </cell>
          <cell r="L514">
            <v>0.2</v>
          </cell>
          <cell r="M514">
            <v>0.6</v>
          </cell>
          <cell r="N514">
            <v>0.8</v>
          </cell>
          <cell r="O514">
            <v>1.05</v>
          </cell>
          <cell r="P514">
            <v>1.1000000000000001</v>
          </cell>
          <cell r="Q514">
            <v>1.1499999999999999</v>
          </cell>
          <cell r="R514" t="str">
            <v>INTERIOR</v>
          </cell>
          <cell r="S514">
            <v>4</v>
          </cell>
          <cell r="T514">
            <v>6</v>
          </cell>
          <cell r="U514" t="str">
            <v>Ciudad principal</v>
          </cell>
          <cell r="V514" t="str">
            <v>Entry Production Color Low/Mid</v>
          </cell>
          <cell r="W514" t="str">
            <v>CHIHUAHUA</v>
          </cell>
          <cell r="X514">
            <v>2019</v>
          </cell>
          <cell r="Y514" t="str">
            <v>Qtr 2</v>
          </cell>
          <cell r="Z514" t="str">
            <v>April</v>
          </cell>
          <cell r="AA514">
            <v>9</v>
          </cell>
          <cell r="AB514">
            <v>0</v>
          </cell>
          <cell r="AC514">
            <v>13</v>
          </cell>
          <cell r="AD514">
            <v>0.8</v>
          </cell>
          <cell r="AE514">
            <v>0.216666675</v>
          </cell>
          <cell r="AF514">
            <v>1258.4000000000001</v>
          </cell>
        </row>
        <row r="515">
          <cell r="B515" t="str">
            <v>03AG873545</v>
          </cell>
          <cell r="C515">
            <v>2019</v>
          </cell>
          <cell r="D515" t="str">
            <v>Qtr 2</v>
          </cell>
          <cell r="E515" t="str">
            <v>April</v>
          </cell>
          <cell r="F515">
            <v>9</v>
          </cell>
          <cell r="G515" t="str">
            <v>CORRECTIVO</v>
          </cell>
          <cell r="H515">
            <v>0.53333339999999996</v>
          </cell>
          <cell r="I515" t="str">
            <v>Departmental Digital</v>
          </cell>
          <cell r="J515">
            <v>655</v>
          </cell>
          <cell r="K515">
            <v>1365</v>
          </cell>
          <cell r="L515">
            <v>0</v>
          </cell>
          <cell r="M515">
            <v>0</v>
          </cell>
          <cell r="N515">
            <v>0.6</v>
          </cell>
          <cell r="O515">
            <v>0.8</v>
          </cell>
          <cell r="P515">
            <v>1.05</v>
          </cell>
          <cell r="Q515">
            <v>1.1000000000000001</v>
          </cell>
          <cell r="R515" t="str">
            <v>INTERIOR</v>
          </cell>
          <cell r="S515">
            <v>5</v>
          </cell>
          <cell r="T515">
            <v>9</v>
          </cell>
          <cell r="U515" t="str">
            <v>Ciudad principal</v>
          </cell>
          <cell r="V515" t="str">
            <v>Light Production Digital Business</v>
          </cell>
          <cell r="W515" t="str">
            <v>QUERETARO</v>
          </cell>
          <cell r="X515">
            <v>2019</v>
          </cell>
          <cell r="Y515" t="str">
            <v>Qtr 2</v>
          </cell>
          <cell r="Z515" t="str">
            <v>April</v>
          </cell>
          <cell r="AA515">
            <v>11</v>
          </cell>
          <cell r="AB515">
            <v>0</v>
          </cell>
          <cell r="AC515">
            <v>75</v>
          </cell>
          <cell r="AD515">
            <v>1.1000000000000001</v>
          </cell>
          <cell r="AE515">
            <v>0.10666668</v>
          </cell>
          <cell r="AF515">
            <v>1501.5</v>
          </cell>
        </row>
        <row r="516">
          <cell r="B516" t="str">
            <v>0VMA675200</v>
          </cell>
          <cell r="C516">
            <v>2019</v>
          </cell>
          <cell r="D516" t="str">
            <v>Qtr 2</v>
          </cell>
          <cell r="E516" t="str">
            <v>April</v>
          </cell>
          <cell r="F516">
            <v>9</v>
          </cell>
          <cell r="G516" t="str">
            <v>MANTENIMIENTO PREVENTIVO</v>
          </cell>
          <cell r="H516">
            <v>0</v>
          </cell>
          <cell r="I516" t="str">
            <v>A4 Mono MFPs</v>
          </cell>
          <cell r="J516">
            <v>468</v>
          </cell>
          <cell r="K516">
            <v>715</v>
          </cell>
          <cell r="L516">
            <v>0</v>
          </cell>
          <cell r="M516">
            <v>0</v>
          </cell>
          <cell r="N516">
            <v>0</v>
          </cell>
          <cell r="O516">
            <v>0.6</v>
          </cell>
          <cell r="P516">
            <v>0.8</v>
          </cell>
          <cell r="Q516">
            <v>1.05</v>
          </cell>
          <cell r="R516" t="str">
            <v>INTERIOR</v>
          </cell>
          <cell r="S516">
            <v>5</v>
          </cell>
          <cell r="T516">
            <v>9</v>
          </cell>
          <cell r="U516" t="str">
            <v>Otras</v>
          </cell>
          <cell r="V516" t="str">
            <v>A4 Mono MFPs</v>
          </cell>
          <cell r="W516" t="str">
            <v>COAHUILA</v>
          </cell>
          <cell r="X516">
            <v>2019</v>
          </cell>
          <cell r="Y516" t="str">
            <v>Qtr 2</v>
          </cell>
          <cell r="Z516" t="str">
            <v>April</v>
          </cell>
          <cell r="AA516">
            <v>9</v>
          </cell>
          <cell r="AB516">
            <v>1</v>
          </cell>
          <cell r="AC516">
            <v>166</v>
          </cell>
          <cell r="AD516">
            <v>0</v>
          </cell>
          <cell r="AE516">
            <v>0</v>
          </cell>
          <cell r="AF516">
            <v>0</v>
          </cell>
        </row>
        <row r="517">
          <cell r="B517" t="str">
            <v>0VMA675216</v>
          </cell>
          <cell r="C517">
            <v>2019</v>
          </cell>
          <cell r="D517" t="str">
            <v>Qtr 2</v>
          </cell>
          <cell r="E517" t="str">
            <v>April</v>
          </cell>
          <cell r="F517">
            <v>9</v>
          </cell>
          <cell r="G517" t="str">
            <v>MANTENIMIENTO PREVENTIVO</v>
          </cell>
          <cell r="H517">
            <v>0</v>
          </cell>
          <cell r="I517" t="str">
            <v>A4 Mono MFPs</v>
          </cell>
          <cell r="J517">
            <v>468</v>
          </cell>
          <cell r="K517">
            <v>715</v>
          </cell>
          <cell r="L517">
            <v>0</v>
          </cell>
          <cell r="M517">
            <v>0</v>
          </cell>
          <cell r="N517">
            <v>0</v>
          </cell>
          <cell r="O517">
            <v>0.6</v>
          </cell>
          <cell r="P517">
            <v>0.8</v>
          </cell>
          <cell r="Q517">
            <v>1.05</v>
          </cell>
          <cell r="R517" t="str">
            <v>INTERIOR</v>
          </cell>
          <cell r="S517">
            <v>5</v>
          </cell>
          <cell r="T517">
            <v>9</v>
          </cell>
          <cell r="U517" t="str">
            <v>Otras</v>
          </cell>
          <cell r="V517" t="str">
            <v>A4 Mono MFPs</v>
          </cell>
          <cell r="W517" t="str">
            <v>COAHUILA</v>
          </cell>
          <cell r="X517">
            <v>2019</v>
          </cell>
          <cell r="Y517" t="str">
            <v>Qtr 2</v>
          </cell>
          <cell r="Z517" t="str">
            <v>April</v>
          </cell>
          <cell r="AA517">
            <v>9</v>
          </cell>
          <cell r="AB517">
            <v>1</v>
          </cell>
          <cell r="AC517">
            <v>46</v>
          </cell>
          <cell r="AD517">
            <v>0</v>
          </cell>
          <cell r="AE517">
            <v>0</v>
          </cell>
          <cell r="AF517">
            <v>0</v>
          </cell>
        </row>
        <row r="518">
          <cell r="B518" t="str">
            <v>0XPN399496</v>
          </cell>
          <cell r="C518">
            <v>2019</v>
          </cell>
          <cell r="D518" t="str">
            <v>Qtr 2</v>
          </cell>
          <cell r="E518" t="str">
            <v>April</v>
          </cell>
          <cell r="F518">
            <v>9</v>
          </cell>
          <cell r="G518" t="str">
            <v>CORRECTIVO</v>
          </cell>
          <cell r="H518">
            <v>1.483333</v>
          </cell>
          <cell r="I518" t="str">
            <v>Entry Production Color Low/Mid</v>
          </cell>
          <cell r="J518">
            <v>803</v>
          </cell>
          <cell r="K518">
            <v>1573</v>
          </cell>
          <cell r="L518">
            <v>0.2</v>
          </cell>
          <cell r="M518">
            <v>0.6</v>
          </cell>
          <cell r="N518">
            <v>0.8</v>
          </cell>
          <cell r="O518">
            <v>1.05</v>
          </cell>
          <cell r="P518">
            <v>1.1000000000000001</v>
          </cell>
          <cell r="Q518">
            <v>1.1499999999999999</v>
          </cell>
          <cell r="R518" t="str">
            <v>INTERIOR</v>
          </cell>
          <cell r="S518">
            <v>4</v>
          </cell>
          <cell r="T518">
            <v>6</v>
          </cell>
          <cell r="U518" t="str">
            <v>Ciudad principal</v>
          </cell>
          <cell r="V518" t="str">
            <v>Entry Production Color Low/Mid</v>
          </cell>
          <cell r="W518" t="str">
            <v>NUEVO LEON</v>
          </cell>
          <cell r="X518">
            <v>2019</v>
          </cell>
          <cell r="Y518" t="str">
            <v>Qtr 2</v>
          </cell>
          <cell r="Z518" t="str">
            <v>April</v>
          </cell>
          <cell r="AA518">
            <v>9</v>
          </cell>
          <cell r="AB518">
            <v>0</v>
          </cell>
          <cell r="AC518">
            <v>27</v>
          </cell>
          <cell r="AD518">
            <v>1.05</v>
          </cell>
          <cell r="AE518">
            <v>0.37083325</v>
          </cell>
          <cell r="AF518">
            <v>1651.65</v>
          </cell>
        </row>
        <row r="519">
          <cell r="B519" t="str">
            <v>0X76707977</v>
          </cell>
          <cell r="C519">
            <v>2019</v>
          </cell>
          <cell r="D519" t="str">
            <v>Qtr 2</v>
          </cell>
          <cell r="E519" t="str">
            <v>April</v>
          </cell>
          <cell r="F519">
            <v>9</v>
          </cell>
          <cell r="G519" t="str">
            <v>CORRECTIVO</v>
          </cell>
          <cell r="H519">
            <v>0.21666669999999999</v>
          </cell>
          <cell r="J519" t="str">
            <v>NA</v>
          </cell>
          <cell r="K519" t="str">
            <v>NA</v>
          </cell>
          <cell r="L519" t="str">
            <v>NA</v>
          </cell>
          <cell r="M519" t="str">
            <v>NA</v>
          </cell>
          <cell r="N519" t="str">
            <v>NA</v>
          </cell>
          <cell r="O519" t="str">
            <v>NA</v>
          </cell>
          <cell r="P519" t="str">
            <v>NA</v>
          </cell>
          <cell r="Q519" t="str">
            <v>NA</v>
          </cell>
          <cell r="S519" t="str">
            <v>NA</v>
          </cell>
          <cell r="T519" t="str">
            <v>NA</v>
          </cell>
          <cell r="V519" t="str">
            <v>Departmental Digital</v>
          </cell>
          <cell r="W519" t="str">
            <v>COAHUILA</v>
          </cell>
          <cell r="X519">
            <v>2019</v>
          </cell>
          <cell r="Y519" t="str">
            <v>Qtr 2</v>
          </cell>
          <cell r="Z519" t="str">
            <v>April</v>
          </cell>
          <cell r="AA519">
            <v>11</v>
          </cell>
          <cell r="AB519" t="str">
            <v>NA</v>
          </cell>
          <cell r="AC519">
            <v>15</v>
          </cell>
          <cell r="AD519">
            <v>0</v>
          </cell>
          <cell r="AE519">
            <v>0</v>
          </cell>
          <cell r="AF519">
            <v>0</v>
          </cell>
        </row>
        <row r="520">
          <cell r="B520" t="str">
            <v>AAQ100563</v>
          </cell>
          <cell r="C520">
            <v>2019</v>
          </cell>
          <cell r="D520" t="str">
            <v>Qtr 2</v>
          </cell>
          <cell r="E520" t="str">
            <v>April</v>
          </cell>
          <cell r="F520">
            <v>9</v>
          </cell>
          <cell r="G520" t="str">
            <v>CORRECTIVO</v>
          </cell>
          <cell r="H520">
            <v>3.05</v>
          </cell>
          <cell r="I520" t="str">
            <v>Office Digital</v>
          </cell>
          <cell r="J520">
            <v>655</v>
          </cell>
          <cell r="K520">
            <v>1365</v>
          </cell>
          <cell r="L520">
            <v>0</v>
          </cell>
          <cell r="M520">
            <v>0</v>
          </cell>
          <cell r="N520">
            <v>0.6</v>
          </cell>
          <cell r="O520">
            <v>0.8</v>
          </cell>
          <cell r="P520">
            <v>1.05</v>
          </cell>
          <cell r="Q520">
            <v>1.1000000000000001</v>
          </cell>
          <cell r="R520" t="str">
            <v>INTERIOR</v>
          </cell>
          <cell r="S520">
            <v>5</v>
          </cell>
          <cell r="T520">
            <v>9</v>
          </cell>
          <cell r="U520" t="str">
            <v>Ciudad principal</v>
          </cell>
          <cell r="V520" t="str">
            <v>A4 Mono MFPs</v>
          </cell>
          <cell r="W520" t="str">
            <v>MICHOACAN</v>
          </cell>
          <cell r="X520">
            <v>2019</v>
          </cell>
          <cell r="Y520" t="str">
            <v>Qtr 2</v>
          </cell>
          <cell r="Z520" t="str">
            <v>April</v>
          </cell>
          <cell r="AA520">
            <v>10</v>
          </cell>
          <cell r="AB520">
            <v>0</v>
          </cell>
          <cell r="AC520">
            <v>4</v>
          </cell>
          <cell r="AD520">
            <v>0</v>
          </cell>
          <cell r="AE520">
            <v>0.61</v>
          </cell>
          <cell r="AF520">
            <v>0</v>
          </cell>
        </row>
        <row r="521">
          <cell r="B521" t="str">
            <v>02TX061945</v>
          </cell>
          <cell r="C521">
            <v>2019</v>
          </cell>
          <cell r="D521" t="str">
            <v>Qtr 2</v>
          </cell>
          <cell r="E521" t="str">
            <v>April</v>
          </cell>
          <cell r="F521">
            <v>9</v>
          </cell>
          <cell r="G521" t="str">
            <v>CORRECTIVO</v>
          </cell>
          <cell r="H521">
            <v>0</v>
          </cell>
          <cell r="I521" t="str">
            <v>A3 Office Color Laser MFPs</v>
          </cell>
          <cell r="J521">
            <v>655</v>
          </cell>
          <cell r="K521">
            <v>1365</v>
          </cell>
          <cell r="L521">
            <v>0</v>
          </cell>
          <cell r="M521">
            <v>0</v>
          </cell>
          <cell r="N521">
            <v>0.6</v>
          </cell>
          <cell r="O521">
            <v>0.8</v>
          </cell>
          <cell r="P521">
            <v>1.05</v>
          </cell>
          <cell r="Q521">
            <v>1.1000000000000001</v>
          </cell>
          <cell r="R521" t="str">
            <v>INTERIOR</v>
          </cell>
          <cell r="S521">
            <v>5</v>
          </cell>
          <cell r="T521">
            <v>9</v>
          </cell>
          <cell r="U521" t="str">
            <v>Ciudad principal</v>
          </cell>
          <cell r="V521" t="str">
            <v>A3 Office Color Laser MFPs</v>
          </cell>
          <cell r="W521" t="str">
            <v>CHIHUAHUA</v>
          </cell>
          <cell r="X521">
            <v>2019</v>
          </cell>
          <cell r="Y521" t="str">
            <v>Qtr 2</v>
          </cell>
          <cell r="Z521" t="str">
            <v>April</v>
          </cell>
          <cell r="AA521">
            <v>10</v>
          </cell>
          <cell r="AB521">
            <v>0</v>
          </cell>
          <cell r="AC521">
            <v>147</v>
          </cell>
          <cell r="AD521">
            <v>1.1000000000000001</v>
          </cell>
          <cell r="AE521">
            <v>0</v>
          </cell>
          <cell r="AF521">
            <v>1501.5</v>
          </cell>
        </row>
        <row r="522">
          <cell r="B522" t="str">
            <v>0XPN550545</v>
          </cell>
          <cell r="C522">
            <v>2019</v>
          </cell>
          <cell r="D522" t="str">
            <v>Qtr 2</v>
          </cell>
          <cell r="E522" t="str">
            <v>April</v>
          </cell>
          <cell r="F522">
            <v>9</v>
          </cell>
          <cell r="G522" t="str">
            <v>CORRECTIVO</v>
          </cell>
          <cell r="H522">
            <v>0.73333329999999997</v>
          </cell>
          <cell r="I522" t="str">
            <v>Entry Production Color Low/Mid</v>
          </cell>
          <cell r="J522">
            <v>803</v>
          </cell>
          <cell r="K522">
            <v>1573</v>
          </cell>
          <cell r="L522">
            <v>0.2</v>
          </cell>
          <cell r="M522">
            <v>0.6</v>
          </cell>
          <cell r="N522">
            <v>0.8</v>
          </cell>
          <cell r="O522">
            <v>1.05</v>
          </cell>
          <cell r="P522">
            <v>1.1000000000000001</v>
          </cell>
          <cell r="Q522">
            <v>1.1499999999999999</v>
          </cell>
          <cell r="R522" t="str">
            <v>INTERIOR</v>
          </cell>
          <cell r="S522">
            <v>4</v>
          </cell>
          <cell r="T522">
            <v>6</v>
          </cell>
          <cell r="U522" t="str">
            <v>Ciudad principal</v>
          </cell>
          <cell r="V522" t="str">
            <v>Entry Production Color Low/Mid</v>
          </cell>
          <cell r="W522" t="str">
            <v>QUERETARO</v>
          </cell>
          <cell r="X522">
            <v>2019</v>
          </cell>
          <cell r="Y522" t="str">
            <v>Qtr 2</v>
          </cell>
          <cell r="Z522" t="str">
            <v>April</v>
          </cell>
          <cell r="AA522">
            <v>9</v>
          </cell>
          <cell r="AB522">
            <v>0</v>
          </cell>
          <cell r="AC522">
            <v>4</v>
          </cell>
          <cell r="AD522">
            <v>0.6</v>
          </cell>
          <cell r="AE522">
            <v>0.18333332499999999</v>
          </cell>
          <cell r="AF522">
            <v>943.8</v>
          </cell>
        </row>
        <row r="523">
          <cell r="B523" t="str">
            <v>0Y4X848639</v>
          </cell>
          <cell r="C523">
            <v>2019</v>
          </cell>
          <cell r="D523" t="str">
            <v>Qtr 2</v>
          </cell>
          <cell r="E523" t="str">
            <v>April</v>
          </cell>
          <cell r="F523">
            <v>9</v>
          </cell>
          <cell r="G523" t="str">
            <v>MANTENIMIENTO PREVENTIVO</v>
          </cell>
          <cell r="H523">
            <v>0</v>
          </cell>
          <cell r="I523" t="str">
            <v>Office Digital</v>
          </cell>
          <cell r="J523">
            <v>655</v>
          </cell>
          <cell r="K523">
            <v>1365</v>
          </cell>
          <cell r="L523">
            <v>0</v>
          </cell>
          <cell r="M523">
            <v>0</v>
          </cell>
          <cell r="N523">
            <v>0.6</v>
          </cell>
          <cell r="O523">
            <v>0.8</v>
          </cell>
          <cell r="P523">
            <v>1.05</v>
          </cell>
          <cell r="Q523">
            <v>1.1000000000000001</v>
          </cell>
          <cell r="R523" t="str">
            <v>INTERIOR</v>
          </cell>
          <cell r="S523">
            <v>5</v>
          </cell>
          <cell r="T523">
            <v>9</v>
          </cell>
          <cell r="U523" t="str">
            <v>Ciudad principal</v>
          </cell>
          <cell r="V523" t="str">
            <v>Light Production Digital Business</v>
          </cell>
          <cell r="W523" t="str">
            <v>JALISCO</v>
          </cell>
          <cell r="X523">
            <v>2019</v>
          </cell>
          <cell r="Y523" t="str">
            <v>Qtr 2</v>
          </cell>
          <cell r="Z523" t="str">
            <v>April</v>
          </cell>
          <cell r="AA523">
            <v>9</v>
          </cell>
          <cell r="AB523">
            <v>0</v>
          </cell>
          <cell r="AC523">
            <v>6</v>
          </cell>
          <cell r="AD523">
            <v>0</v>
          </cell>
          <cell r="AE523">
            <v>0</v>
          </cell>
          <cell r="AF523">
            <v>1365</v>
          </cell>
        </row>
        <row r="524">
          <cell r="B524" t="str">
            <v>0BG2940374</v>
          </cell>
          <cell r="C524">
            <v>2019</v>
          </cell>
          <cell r="D524" t="str">
            <v>Qtr 2</v>
          </cell>
          <cell r="E524" t="str">
            <v>April</v>
          </cell>
          <cell r="F524">
            <v>9</v>
          </cell>
          <cell r="G524" t="str">
            <v>CORRECTIVO</v>
          </cell>
          <cell r="H524">
            <v>1.7</v>
          </cell>
          <cell r="I524" t="str">
            <v>Light Production Digital Business</v>
          </cell>
          <cell r="J524">
            <v>803</v>
          </cell>
          <cell r="K524">
            <v>1573</v>
          </cell>
          <cell r="L524">
            <v>0.2</v>
          </cell>
          <cell r="M524">
            <v>0.6</v>
          </cell>
          <cell r="N524">
            <v>0.8</v>
          </cell>
          <cell r="O524">
            <v>1.05</v>
          </cell>
          <cell r="P524">
            <v>1.1000000000000001</v>
          </cell>
          <cell r="Q524">
            <v>1.1499999999999999</v>
          </cell>
          <cell r="R524" t="str">
            <v>INTERIOR</v>
          </cell>
          <cell r="S524">
            <v>4</v>
          </cell>
          <cell r="T524">
            <v>6</v>
          </cell>
          <cell r="U524" t="str">
            <v>Ciudad principal</v>
          </cell>
          <cell r="V524" t="str">
            <v>High End Cut Sheet</v>
          </cell>
          <cell r="W524" t="str">
            <v>JALISCO</v>
          </cell>
          <cell r="X524">
            <v>2019</v>
          </cell>
          <cell r="Y524" t="str">
            <v>Qtr 2</v>
          </cell>
          <cell r="Z524" t="str">
            <v>April</v>
          </cell>
          <cell r="AA524">
            <v>11</v>
          </cell>
          <cell r="AB524">
            <v>0</v>
          </cell>
          <cell r="AC524">
            <v>0</v>
          </cell>
          <cell r="AD524">
            <v>1.1499999999999999</v>
          </cell>
          <cell r="AE524">
            <v>0.42499999999999999</v>
          </cell>
          <cell r="AF524">
            <v>1808.95</v>
          </cell>
        </row>
        <row r="525">
          <cell r="B525" t="str">
            <v>0BG0966723</v>
          </cell>
          <cell r="C525">
            <v>2019</v>
          </cell>
          <cell r="D525" t="str">
            <v>Qtr 2</v>
          </cell>
          <cell r="E525" t="str">
            <v>April</v>
          </cell>
          <cell r="F525">
            <v>9</v>
          </cell>
          <cell r="G525" t="str">
            <v>CORRECTIVO</v>
          </cell>
          <cell r="H525">
            <v>2.4500000000000002</v>
          </cell>
          <cell r="I525" t="str">
            <v>Light Production Digital Business</v>
          </cell>
          <cell r="J525">
            <v>803</v>
          </cell>
          <cell r="K525">
            <v>1573</v>
          </cell>
          <cell r="L525">
            <v>0.2</v>
          </cell>
          <cell r="M525">
            <v>0.6</v>
          </cell>
          <cell r="N525">
            <v>0.8</v>
          </cell>
          <cell r="O525">
            <v>1.05</v>
          </cell>
          <cell r="P525">
            <v>1.1000000000000001</v>
          </cell>
          <cell r="Q525">
            <v>1.1499999999999999</v>
          </cell>
          <cell r="R525" t="str">
            <v>INTERIOR</v>
          </cell>
          <cell r="S525">
            <v>4</v>
          </cell>
          <cell r="T525">
            <v>6</v>
          </cell>
          <cell r="U525" t="str">
            <v>Ciudad principal</v>
          </cell>
          <cell r="V525" t="str">
            <v>High End Cut Sheet</v>
          </cell>
          <cell r="W525" t="str">
            <v>JALISCO</v>
          </cell>
          <cell r="X525">
            <v>2019</v>
          </cell>
          <cell r="Y525" t="str">
            <v>Qtr 2</v>
          </cell>
          <cell r="Z525" t="str">
            <v>April</v>
          </cell>
          <cell r="AA525">
            <v>11</v>
          </cell>
          <cell r="AB525">
            <v>0</v>
          </cell>
          <cell r="AC525">
            <v>21</v>
          </cell>
          <cell r="AD525">
            <v>1.05</v>
          </cell>
          <cell r="AE525">
            <v>0.61250000000000004</v>
          </cell>
          <cell r="AF525">
            <v>1651.65</v>
          </cell>
        </row>
        <row r="526">
          <cell r="B526" t="str">
            <v>0BG2951472</v>
          </cell>
          <cell r="C526">
            <v>2019</v>
          </cell>
          <cell r="D526" t="str">
            <v>Qtr 2</v>
          </cell>
          <cell r="E526" t="str">
            <v>April</v>
          </cell>
          <cell r="F526">
            <v>9</v>
          </cell>
          <cell r="G526" t="str">
            <v>CORRECTIVO</v>
          </cell>
          <cell r="H526">
            <v>2.1833330000000002</v>
          </cell>
          <cell r="I526" t="str">
            <v>Light Production Digital Business</v>
          </cell>
          <cell r="J526">
            <v>803</v>
          </cell>
          <cell r="K526">
            <v>1573</v>
          </cell>
          <cell r="L526">
            <v>0.2</v>
          </cell>
          <cell r="M526">
            <v>0.6</v>
          </cell>
          <cell r="N526">
            <v>0.8</v>
          </cell>
          <cell r="O526">
            <v>1.05</v>
          </cell>
          <cell r="P526">
            <v>1.1000000000000001</v>
          </cell>
          <cell r="Q526">
            <v>1.1499999999999999</v>
          </cell>
          <cell r="R526" t="str">
            <v>INTERIOR</v>
          </cell>
          <cell r="S526">
            <v>4</v>
          </cell>
          <cell r="T526">
            <v>6</v>
          </cell>
          <cell r="U526" t="str">
            <v>Ciudad principal</v>
          </cell>
          <cell r="V526" t="str">
            <v>High End Cut Sheet</v>
          </cell>
          <cell r="W526" t="str">
            <v>JALISCO</v>
          </cell>
          <cell r="X526">
            <v>2019</v>
          </cell>
          <cell r="Y526" t="str">
            <v>Qtr 2</v>
          </cell>
          <cell r="Z526" t="str">
            <v>April</v>
          </cell>
          <cell r="AA526">
            <v>11</v>
          </cell>
          <cell r="AB526">
            <v>0</v>
          </cell>
          <cell r="AC526">
            <v>0</v>
          </cell>
          <cell r="AD526">
            <v>1.1499999999999999</v>
          </cell>
          <cell r="AE526">
            <v>0.54583325000000005</v>
          </cell>
          <cell r="AF526">
            <v>1808.95</v>
          </cell>
        </row>
        <row r="527">
          <cell r="B527" t="str">
            <v>02TX060372</v>
          </cell>
          <cell r="C527">
            <v>2019</v>
          </cell>
          <cell r="D527" t="str">
            <v>Qtr 2</v>
          </cell>
          <cell r="E527" t="str">
            <v>April</v>
          </cell>
          <cell r="F527">
            <v>9</v>
          </cell>
          <cell r="G527" t="str">
            <v>MANTENIMIENTO PREVENTIVO</v>
          </cell>
          <cell r="H527">
            <v>0</v>
          </cell>
          <cell r="I527" t="str">
            <v>A3 Office Color Laser MFPs</v>
          </cell>
          <cell r="J527">
            <v>655</v>
          </cell>
          <cell r="K527">
            <v>1365</v>
          </cell>
          <cell r="L527">
            <v>0</v>
          </cell>
          <cell r="M527">
            <v>0</v>
          </cell>
          <cell r="N527">
            <v>0.6</v>
          </cell>
          <cell r="O527">
            <v>0.8</v>
          </cell>
          <cell r="P527">
            <v>1.05</v>
          </cell>
          <cell r="Q527">
            <v>1.1000000000000001</v>
          </cell>
          <cell r="R527" t="str">
            <v>INTERIOR</v>
          </cell>
          <cell r="S527">
            <v>5</v>
          </cell>
          <cell r="T527">
            <v>9</v>
          </cell>
          <cell r="U527" t="str">
            <v>Ciudad principal</v>
          </cell>
          <cell r="V527" t="str">
            <v>A3 Office Color Laser MFPs</v>
          </cell>
          <cell r="W527" t="str">
            <v>JALISCO</v>
          </cell>
          <cell r="X527">
            <v>2019</v>
          </cell>
          <cell r="Y527" t="str">
            <v>Qtr 2</v>
          </cell>
          <cell r="Z527" t="str">
            <v>April</v>
          </cell>
          <cell r="AA527">
            <v>9</v>
          </cell>
          <cell r="AB527">
            <v>1</v>
          </cell>
          <cell r="AC527">
            <v>6</v>
          </cell>
          <cell r="AD527">
            <v>0</v>
          </cell>
          <cell r="AE527">
            <v>0</v>
          </cell>
          <cell r="AF527">
            <v>0</v>
          </cell>
        </row>
        <row r="528">
          <cell r="B528" t="str">
            <v>09HB332044</v>
          </cell>
          <cell r="C528">
            <v>2019</v>
          </cell>
          <cell r="D528" t="str">
            <v>Qtr 2</v>
          </cell>
          <cell r="E528" t="str">
            <v>April</v>
          </cell>
          <cell r="F528">
            <v>9</v>
          </cell>
          <cell r="G528" t="str">
            <v>MANTENIMIENTO PREVENTIVO</v>
          </cell>
          <cell r="H528">
            <v>0</v>
          </cell>
          <cell r="I528" t="str">
            <v>A4 Mono MFPs</v>
          </cell>
          <cell r="J528">
            <v>468</v>
          </cell>
          <cell r="K528">
            <v>715</v>
          </cell>
          <cell r="L528">
            <v>0</v>
          </cell>
          <cell r="M528">
            <v>0</v>
          </cell>
          <cell r="N528">
            <v>0</v>
          </cell>
          <cell r="O528">
            <v>0.6</v>
          </cell>
          <cell r="P528">
            <v>0.8</v>
          </cell>
          <cell r="Q528">
            <v>1.05</v>
          </cell>
          <cell r="R528" t="str">
            <v>INTERIOR</v>
          </cell>
          <cell r="S528">
            <v>5</v>
          </cell>
          <cell r="T528">
            <v>9</v>
          </cell>
          <cell r="U528" t="str">
            <v>Ciudad principal</v>
          </cell>
          <cell r="V528" t="str">
            <v>A4 Mono MFPs</v>
          </cell>
          <cell r="W528" t="str">
            <v>JALISCO</v>
          </cell>
          <cell r="X528">
            <v>2019</v>
          </cell>
          <cell r="Y528" t="str">
            <v>Qtr 2</v>
          </cell>
          <cell r="Z528" t="str">
            <v>April</v>
          </cell>
          <cell r="AA528">
            <v>9</v>
          </cell>
          <cell r="AB528">
            <v>1</v>
          </cell>
          <cell r="AC528">
            <v>13</v>
          </cell>
          <cell r="AD528">
            <v>0</v>
          </cell>
          <cell r="AE528">
            <v>0</v>
          </cell>
          <cell r="AF528">
            <v>0</v>
          </cell>
        </row>
        <row r="529">
          <cell r="B529" t="str">
            <v>0Y4X849031</v>
          </cell>
          <cell r="C529">
            <v>2019</v>
          </cell>
          <cell r="D529" t="str">
            <v>Qtr 2</v>
          </cell>
          <cell r="E529" t="str">
            <v>April</v>
          </cell>
          <cell r="F529">
            <v>9</v>
          </cell>
          <cell r="G529" t="str">
            <v>MANTENIMIENTO PREVENTIVO</v>
          </cell>
          <cell r="H529">
            <v>0</v>
          </cell>
          <cell r="I529" t="str">
            <v>Office Digital</v>
          </cell>
          <cell r="J529">
            <v>655</v>
          </cell>
          <cell r="K529">
            <v>1365</v>
          </cell>
          <cell r="L529">
            <v>0</v>
          </cell>
          <cell r="M529">
            <v>0</v>
          </cell>
          <cell r="N529">
            <v>0.6</v>
          </cell>
          <cell r="O529">
            <v>0.8</v>
          </cell>
          <cell r="P529">
            <v>1.05</v>
          </cell>
          <cell r="Q529">
            <v>1.1000000000000001</v>
          </cell>
          <cell r="R529" t="str">
            <v>INTERIOR</v>
          </cell>
          <cell r="S529">
            <v>5</v>
          </cell>
          <cell r="T529">
            <v>9</v>
          </cell>
          <cell r="U529" t="str">
            <v>Ciudad principal</v>
          </cell>
          <cell r="V529" t="str">
            <v>A4 Mono MFPs</v>
          </cell>
          <cell r="W529" t="str">
            <v>JALISCO</v>
          </cell>
          <cell r="X529">
            <v>2019</v>
          </cell>
          <cell r="Y529" t="str">
            <v>Qtr 2</v>
          </cell>
          <cell r="Z529" t="str">
            <v>April</v>
          </cell>
          <cell r="AA529">
            <v>9</v>
          </cell>
          <cell r="AB529">
            <v>1</v>
          </cell>
          <cell r="AC529">
            <v>7</v>
          </cell>
          <cell r="AD529">
            <v>0</v>
          </cell>
          <cell r="AE529">
            <v>0</v>
          </cell>
          <cell r="AF529">
            <v>0</v>
          </cell>
        </row>
        <row r="530">
          <cell r="B530" t="str">
            <v>09HB320584</v>
          </cell>
          <cell r="C530">
            <v>2019</v>
          </cell>
          <cell r="D530" t="str">
            <v>Qtr 2</v>
          </cell>
          <cell r="E530" t="str">
            <v>April</v>
          </cell>
          <cell r="F530">
            <v>9</v>
          </cell>
          <cell r="G530" t="str">
            <v>CORRECTIVO</v>
          </cell>
          <cell r="H530">
            <v>3.25</v>
          </cell>
          <cell r="J530" t="str">
            <v>NA</v>
          </cell>
          <cell r="K530" t="str">
            <v>NA</v>
          </cell>
          <cell r="L530" t="str">
            <v>NA</v>
          </cell>
          <cell r="M530" t="str">
            <v>NA</v>
          </cell>
          <cell r="N530" t="str">
            <v>NA</v>
          </cell>
          <cell r="O530" t="str">
            <v>NA</v>
          </cell>
          <cell r="P530" t="str">
            <v>NA</v>
          </cell>
          <cell r="Q530" t="str">
            <v>NA</v>
          </cell>
          <cell r="S530" t="str">
            <v>NA</v>
          </cell>
          <cell r="T530" t="str">
            <v>NA</v>
          </cell>
          <cell r="V530" t="str">
            <v>A4 Mono MFPs</v>
          </cell>
          <cell r="W530" t="str">
            <v>CHIHUAHUA</v>
          </cell>
          <cell r="X530">
            <v>2019</v>
          </cell>
          <cell r="Y530" t="str">
            <v>Qtr 2</v>
          </cell>
          <cell r="Z530" t="str">
            <v>April</v>
          </cell>
          <cell r="AA530">
            <v>10</v>
          </cell>
          <cell r="AB530" t="str">
            <v>NA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</row>
        <row r="531">
          <cell r="B531" t="str">
            <v>0C4X006153</v>
          </cell>
          <cell r="C531">
            <v>2019</v>
          </cell>
          <cell r="D531" t="str">
            <v>Qtr 2</v>
          </cell>
          <cell r="E531" t="str">
            <v>April</v>
          </cell>
          <cell r="F531">
            <v>9</v>
          </cell>
          <cell r="G531" t="str">
            <v>CORRECTIVO</v>
          </cell>
          <cell r="H531">
            <v>0</v>
          </cell>
          <cell r="I531" t="str">
            <v>A4 Mono MFPs</v>
          </cell>
          <cell r="J531">
            <v>468</v>
          </cell>
          <cell r="K531">
            <v>715</v>
          </cell>
          <cell r="L531">
            <v>0</v>
          </cell>
          <cell r="M531">
            <v>0</v>
          </cell>
          <cell r="N531">
            <v>0</v>
          </cell>
          <cell r="O531">
            <v>0.6</v>
          </cell>
          <cell r="P531">
            <v>0.8</v>
          </cell>
          <cell r="Q531">
            <v>1.05</v>
          </cell>
          <cell r="R531" t="str">
            <v>INTERIOR</v>
          </cell>
          <cell r="S531">
            <v>5</v>
          </cell>
          <cell r="T531">
            <v>9</v>
          </cell>
          <cell r="U531" t="str">
            <v>Ciudad principal</v>
          </cell>
          <cell r="V531" t="str">
            <v>A4 Mono MFPs</v>
          </cell>
          <cell r="W531" t="str">
            <v>CHIHUAHUA</v>
          </cell>
          <cell r="X531">
            <v>2019</v>
          </cell>
          <cell r="Y531" t="str">
            <v>Qtr 2</v>
          </cell>
          <cell r="Z531" t="str">
            <v>April</v>
          </cell>
          <cell r="AA531">
            <v>12</v>
          </cell>
          <cell r="AB531">
            <v>0</v>
          </cell>
          <cell r="AC531">
            <v>239</v>
          </cell>
          <cell r="AD531">
            <v>1.05</v>
          </cell>
          <cell r="AE531">
            <v>0</v>
          </cell>
          <cell r="AF531">
            <v>750.75</v>
          </cell>
        </row>
        <row r="532">
          <cell r="B532" t="str">
            <v>0DRB131260</v>
          </cell>
          <cell r="C532">
            <v>2019</v>
          </cell>
          <cell r="D532" t="str">
            <v>Qtr 2</v>
          </cell>
          <cell r="E532" t="str">
            <v>April</v>
          </cell>
          <cell r="F532">
            <v>9</v>
          </cell>
          <cell r="G532" t="str">
            <v>CORRECTIVO</v>
          </cell>
          <cell r="H532">
            <v>0.83333330000000005</v>
          </cell>
          <cell r="I532" t="str">
            <v>Entry Production Color Low/Mid</v>
          </cell>
          <cell r="J532">
            <v>803</v>
          </cell>
          <cell r="K532">
            <v>1573</v>
          </cell>
          <cell r="L532">
            <v>0.2</v>
          </cell>
          <cell r="M532">
            <v>0.6</v>
          </cell>
          <cell r="N532">
            <v>0.8</v>
          </cell>
          <cell r="O532">
            <v>1.05</v>
          </cell>
          <cell r="P532">
            <v>1.1000000000000001</v>
          </cell>
          <cell r="Q532">
            <v>1.1499999999999999</v>
          </cell>
          <cell r="R532" t="str">
            <v>INTERIOR</v>
          </cell>
          <cell r="S532">
            <v>4</v>
          </cell>
          <cell r="T532">
            <v>6</v>
          </cell>
          <cell r="U532" t="str">
            <v>Ciudad principal</v>
          </cell>
          <cell r="V532" t="str">
            <v>Entry Production Color Low/Mid</v>
          </cell>
          <cell r="W532" t="str">
            <v>JALISCO</v>
          </cell>
          <cell r="X532">
            <v>2019</v>
          </cell>
          <cell r="Y532" t="str">
            <v>Qtr 2</v>
          </cell>
          <cell r="Z532" t="str">
            <v>April</v>
          </cell>
          <cell r="AA532">
            <v>9</v>
          </cell>
          <cell r="AB532">
            <v>0</v>
          </cell>
          <cell r="AC532">
            <v>4</v>
          </cell>
          <cell r="AD532">
            <v>0.6</v>
          </cell>
          <cell r="AE532">
            <v>0.20833332500000001</v>
          </cell>
          <cell r="AF532">
            <v>943.8</v>
          </cell>
        </row>
        <row r="533">
          <cell r="B533" t="str">
            <v>09HB328227</v>
          </cell>
          <cell r="C533">
            <v>2019</v>
          </cell>
          <cell r="D533" t="str">
            <v>Qtr 2</v>
          </cell>
          <cell r="E533" t="str">
            <v>April</v>
          </cell>
          <cell r="F533">
            <v>9</v>
          </cell>
          <cell r="G533" t="str">
            <v>CORRECTIVO</v>
          </cell>
          <cell r="H533">
            <v>1.433333</v>
          </cell>
          <cell r="J533" t="str">
            <v>NA</v>
          </cell>
          <cell r="K533" t="str">
            <v>NA</v>
          </cell>
          <cell r="L533" t="str">
            <v>NA</v>
          </cell>
          <cell r="M533" t="str">
            <v>NA</v>
          </cell>
          <cell r="N533" t="str">
            <v>NA</v>
          </cell>
          <cell r="O533" t="str">
            <v>NA</v>
          </cell>
          <cell r="P533" t="str">
            <v>NA</v>
          </cell>
          <cell r="Q533" t="str">
            <v>NA</v>
          </cell>
          <cell r="S533" t="str">
            <v>NA</v>
          </cell>
          <cell r="T533" t="str">
            <v>NA</v>
          </cell>
          <cell r="V533" t="str">
            <v>A4 Mono MFPs</v>
          </cell>
          <cell r="W533" t="str">
            <v>NUEVO LEON</v>
          </cell>
          <cell r="X533">
            <v>2019</v>
          </cell>
          <cell r="Y533" t="str">
            <v>Qtr 2</v>
          </cell>
          <cell r="Z533" t="str">
            <v>April</v>
          </cell>
          <cell r="AA533">
            <v>9</v>
          </cell>
          <cell r="AB533" t="str">
            <v>NA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</row>
        <row r="534">
          <cell r="B534" t="str">
            <v>0Y4X842988</v>
          </cell>
          <cell r="C534">
            <v>2019</v>
          </cell>
          <cell r="D534" t="str">
            <v>Qtr 2</v>
          </cell>
          <cell r="E534" t="str">
            <v>April</v>
          </cell>
          <cell r="F534">
            <v>9</v>
          </cell>
          <cell r="G534" t="str">
            <v>CORRECTIVO</v>
          </cell>
          <cell r="H534">
            <v>0.1166667</v>
          </cell>
          <cell r="I534" t="str">
            <v>Office Digital</v>
          </cell>
          <cell r="J534">
            <v>655</v>
          </cell>
          <cell r="K534">
            <v>1365</v>
          </cell>
          <cell r="L534">
            <v>0</v>
          </cell>
          <cell r="M534">
            <v>0</v>
          </cell>
          <cell r="N534">
            <v>0.6</v>
          </cell>
          <cell r="O534">
            <v>0.8</v>
          </cell>
          <cell r="P534">
            <v>1.05</v>
          </cell>
          <cell r="Q534">
            <v>1.1000000000000001</v>
          </cell>
          <cell r="R534" t="str">
            <v>INTERIOR</v>
          </cell>
          <cell r="S534">
            <v>5</v>
          </cell>
          <cell r="T534">
            <v>9</v>
          </cell>
          <cell r="U534" t="str">
            <v>Ciudad principal</v>
          </cell>
          <cell r="V534" t="str">
            <v>Light Production Digital Business</v>
          </cell>
          <cell r="W534" t="str">
            <v>CHIHUAHUA</v>
          </cell>
          <cell r="X534">
            <v>2019</v>
          </cell>
          <cell r="Y534" t="str">
            <v>Qtr 2</v>
          </cell>
          <cell r="Z534" t="str">
            <v>April</v>
          </cell>
          <cell r="AA534">
            <v>11</v>
          </cell>
          <cell r="AB534">
            <v>0</v>
          </cell>
          <cell r="AC534">
            <v>0</v>
          </cell>
          <cell r="AD534">
            <v>1.1000000000000001</v>
          </cell>
          <cell r="AE534">
            <v>2.3333340000000001E-2</v>
          </cell>
          <cell r="AF534">
            <v>1501.5</v>
          </cell>
        </row>
        <row r="535">
          <cell r="B535" t="str">
            <v>0A2T386303</v>
          </cell>
          <cell r="C535">
            <v>2019</v>
          </cell>
          <cell r="D535" t="str">
            <v>Qtr 2</v>
          </cell>
          <cell r="E535" t="str">
            <v>April</v>
          </cell>
          <cell r="F535">
            <v>9</v>
          </cell>
          <cell r="G535" t="str">
            <v>CORRECTIVO</v>
          </cell>
          <cell r="H535">
            <v>0.73333329999999997</v>
          </cell>
          <cell r="J535" t="str">
            <v>NA</v>
          </cell>
          <cell r="K535" t="str">
            <v>NA</v>
          </cell>
          <cell r="L535" t="str">
            <v>NA</v>
          </cell>
          <cell r="M535" t="str">
            <v>NA</v>
          </cell>
          <cell r="N535" t="str">
            <v>NA</v>
          </cell>
          <cell r="O535" t="str">
            <v>NA</v>
          </cell>
          <cell r="P535" t="str">
            <v>NA</v>
          </cell>
          <cell r="Q535" t="str">
            <v>NA</v>
          </cell>
          <cell r="S535" t="str">
            <v>NA</v>
          </cell>
          <cell r="T535" t="str">
            <v>NA</v>
          </cell>
          <cell r="V535" t="str">
            <v>A4 Mono MFPs</v>
          </cell>
          <cell r="W535" t="str">
            <v>SAN LUIS POTOSI</v>
          </cell>
          <cell r="X535">
            <v>2019</v>
          </cell>
          <cell r="Y535" t="str">
            <v>Qtr 2</v>
          </cell>
          <cell r="Z535" t="str">
            <v>April</v>
          </cell>
          <cell r="AA535">
            <v>15</v>
          </cell>
          <cell r="AB535" t="str">
            <v>NA</v>
          </cell>
          <cell r="AC535">
            <v>12</v>
          </cell>
          <cell r="AD535">
            <v>0</v>
          </cell>
          <cell r="AE535">
            <v>0</v>
          </cell>
          <cell r="AF535">
            <v>0</v>
          </cell>
        </row>
        <row r="536">
          <cell r="B536" t="str">
            <v>0XLT278481</v>
          </cell>
          <cell r="C536">
            <v>2019</v>
          </cell>
          <cell r="D536" t="str">
            <v>Qtr 2</v>
          </cell>
          <cell r="E536" t="str">
            <v>April</v>
          </cell>
          <cell r="F536">
            <v>9</v>
          </cell>
          <cell r="G536" t="str">
            <v>CORRECTIVO</v>
          </cell>
          <cell r="H536">
            <v>0</v>
          </cell>
          <cell r="I536" t="str">
            <v>Entry Mono Printers</v>
          </cell>
          <cell r="J536">
            <v>468</v>
          </cell>
          <cell r="K536">
            <v>715</v>
          </cell>
          <cell r="L536">
            <v>0</v>
          </cell>
          <cell r="M536">
            <v>0</v>
          </cell>
          <cell r="N536">
            <v>0</v>
          </cell>
          <cell r="O536">
            <v>0.6</v>
          </cell>
          <cell r="P536">
            <v>0.8</v>
          </cell>
          <cell r="Q536">
            <v>1.05</v>
          </cell>
          <cell r="R536" t="str">
            <v>INTERIOR</v>
          </cell>
          <cell r="S536">
            <v>5</v>
          </cell>
          <cell r="T536">
            <v>9</v>
          </cell>
          <cell r="U536" t="str">
            <v>Ciudad principal</v>
          </cell>
          <cell r="V536" t="str">
            <v>Entry Mono Printers</v>
          </cell>
          <cell r="W536" t="str">
            <v>CHIHUAHUA</v>
          </cell>
          <cell r="X536">
            <v>2019</v>
          </cell>
          <cell r="Y536" t="str">
            <v>Qtr 2</v>
          </cell>
          <cell r="Z536" t="str">
            <v>April</v>
          </cell>
          <cell r="AA536">
            <v>11</v>
          </cell>
          <cell r="AB536">
            <v>0</v>
          </cell>
          <cell r="AC536">
            <v>187</v>
          </cell>
          <cell r="AD536">
            <v>1.05</v>
          </cell>
          <cell r="AE536">
            <v>0</v>
          </cell>
          <cell r="AF536">
            <v>750.75</v>
          </cell>
        </row>
        <row r="537">
          <cell r="B537" t="str">
            <v>0A2T370560</v>
          </cell>
          <cell r="C537">
            <v>2019</v>
          </cell>
          <cell r="D537" t="str">
            <v>Qtr 2</v>
          </cell>
          <cell r="E537" t="str">
            <v>April</v>
          </cell>
          <cell r="F537">
            <v>9</v>
          </cell>
          <cell r="G537" t="str">
            <v>CORRECTIVO</v>
          </cell>
          <cell r="H537">
            <v>8.3333340000000006E-2</v>
          </cell>
          <cell r="I537" t="str">
            <v>A4 Mono MFPs</v>
          </cell>
          <cell r="J537">
            <v>468</v>
          </cell>
          <cell r="K537">
            <v>715</v>
          </cell>
          <cell r="L537">
            <v>0</v>
          </cell>
          <cell r="M537">
            <v>0</v>
          </cell>
          <cell r="N537">
            <v>0</v>
          </cell>
          <cell r="O537">
            <v>0.6</v>
          </cell>
          <cell r="P537">
            <v>0.8</v>
          </cell>
          <cell r="Q537">
            <v>1.05</v>
          </cell>
          <cell r="R537" t="str">
            <v>INTERIOR</v>
          </cell>
          <cell r="S537">
            <v>5</v>
          </cell>
          <cell r="T537">
            <v>9</v>
          </cell>
          <cell r="U537" t="str">
            <v>Ciudad principal</v>
          </cell>
          <cell r="V537" t="str">
            <v>A4 Mono MFPs</v>
          </cell>
          <cell r="W537" t="str">
            <v>CHIHUAHUA</v>
          </cell>
          <cell r="X537">
            <v>2019</v>
          </cell>
          <cell r="Y537" t="str">
            <v>Qtr 2</v>
          </cell>
          <cell r="Z537" t="str">
            <v>April</v>
          </cell>
          <cell r="AA537">
            <v>11</v>
          </cell>
          <cell r="AB537">
            <v>0</v>
          </cell>
          <cell r="AC537">
            <v>91</v>
          </cell>
          <cell r="AD537">
            <v>1.05</v>
          </cell>
          <cell r="AE537">
            <v>1.6666667999999999E-2</v>
          </cell>
          <cell r="AF537">
            <v>750.75</v>
          </cell>
        </row>
        <row r="538">
          <cell r="B538" t="str">
            <v>0C7X239180</v>
          </cell>
          <cell r="C538">
            <v>2019</v>
          </cell>
          <cell r="D538" t="str">
            <v>Qtr 2</v>
          </cell>
          <cell r="E538" t="str">
            <v>April</v>
          </cell>
          <cell r="F538">
            <v>9</v>
          </cell>
          <cell r="G538" t="str">
            <v>CORRECTIVO</v>
          </cell>
          <cell r="H538">
            <v>8.3333340000000006E-2</v>
          </cell>
          <cell r="I538" t="str">
            <v>A4 Mono MFPs</v>
          </cell>
          <cell r="J538">
            <v>468</v>
          </cell>
          <cell r="K538">
            <v>715</v>
          </cell>
          <cell r="L538">
            <v>0</v>
          </cell>
          <cell r="M538">
            <v>0</v>
          </cell>
          <cell r="N538">
            <v>0</v>
          </cell>
          <cell r="O538">
            <v>0.6</v>
          </cell>
          <cell r="P538">
            <v>0.8</v>
          </cell>
          <cell r="Q538">
            <v>1.05</v>
          </cell>
          <cell r="R538" t="str">
            <v>INTERIOR</v>
          </cell>
          <cell r="S538">
            <v>5</v>
          </cell>
          <cell r="T538">
            <v>9</v>
          </cell>
          <cell r="U538" t="str">
            <v>Ciudad principal</v>
          </cell>
          <cell r="V538" t="str">
            <v>A4 Mono MFPs</v>
          </cell>
          <cell r="W538" t="str">
            <v>TAMAULIPAS</v>
          </cell>
          <cell r="X538">
            <v>2019</v>
          </cell>
          <cell r="Y538" t="str">
            <v>Qtr 2</v>
          </cell>
          <cell r="Z538" t="str">
            <v>April</v>
          </cell>
          <cell r="AA538">
            <v>12</v>
          </cell>
          <cell r="AB538">
            <v>0</v>
          </cell>
          <cell r="AC538">
            <v>125</v>
          </cell>
          <cell r="AD538">
            <v>1.05</v>
          </cell>
          <cell r="AE538">
            <v>1.6666667999999999E-2</v>
          </cell>
          <cell r="AF538">
            <v>750.75</v>
          </cell>
        </row>
        <row r="539">
          <cell r="B539" t="str">
            <v>0Y4X826231</v>
          </cell>
          <cell r="C539">
            <v>2019</v>
          </cell>
          <cell r="D539" t="str">
            <v>Qtr 2</v>
          </cell>
          <cell r="E539" t="str">
            <v>April</v>
          </cell>
          <cell r="F539">
            <v>9</v>
          </cell>
          <cell r="G539" t="str">
            <v>CORRECTIVO</v>
          </cell>
          <cell r="H539">
            <v>1.8</v>
          </cell>
          <cell r="I539" t="str">
            <v>Office Digital</v>
          </cell>
          <cell r="J539">
            <v>655</v>
          </cell>
          <cell r="K539">
            <v>1365</v>
          </cell>
          <cell r="L539">
            <v>0</v>
          </cell>
          <cell r="M539">
            <v>0</v>
          </cell>
          <cell r="N539">
            <v>0.6</v>
          </cell>
          <cell r="O539">
            <v>0.8</v>
          </cell>
          <cell r="P539">
            <v>1.05</v>
          </cell>
          <cell r="Q539">
            <v>1.1000000000000001</v>
          </cell>
          <cell r="R539" t="str">
            <v>INTERIOR</v>
          </cell>
          <cell r="S539">
            <v>5</v>
          </cell>
          <cell r="T539">
            <v>9</v>
          </cell>
          <cell r="U539" t="str">
            <v>Ciudad principal</v>
          </cell>
          <cell r="V539" t="str">
            <v>Light Production Digital Business</v>
          </cell>
          <cell r="W539" t="str">
            <v>CHIHUAHUA</v>
          </cell>
          <cell r="X539">
            <v>2019</v>
          </cell>
          <cell r="Y539" t="str">
            <v>Qtr 2</v>
          </cell>
          <cell r="Z539" t="str">
            <v>April</v>
          </cell>
          <cell r="AA539">
            <v>11</v>
          </cell>
          <cell r="AB539">
            <v>1</v>
          </cell>
          <cell r="AC539">
            <v>168</v>
          </cell>
          <cell r="AD539">
            <v>0</v>
          </cell>
          <cell r="AE539">
            <v>0</v>
          </cell>
          <cell r="AF539">
            <v>0</v>
          </cell>
        </row>
        <row r="540">
          <cell r="B540" t="str">
            <v>0XPN396972</v>
          </cell>
          <cell r="C540">
            <v>2019</v>
          </cell>
          <cell r="D540" t="str">
            <v>Qtr 2</v>
          </cell>
          <cell r="E540" t="str">
            <v>April</v>
          </cell>
          <cell r="F540">
            <v>9</v>
          </cell>
          <cell r="G540" t="str">
            <v>CONFIGURACION</v>
          </cell>
          <cell r="H540">
            <v>0</v>
          </cell>
          <cell r="I540" t="str">
            <v>Entry Production Color Low/Mid</v>
          </cell>
          <cell r="J540">
            <v>803</v>
          </cell>
          <cell r="K540">
            <v>1573</v>
          </cell>
          <cell r="L540">
            <v>0.2</v>
          </cell>
          <cell r="M540">
            <v>0.6</v>
          </cell>
          <cell r="N540">
            <v>0.8</v>
          </cell>
          <cell r="O540">
            <v>1.05</v>
          </cell>
          <cell r="P540">
            <v>1.1000000000000001</v>
          </cell>
          <cell r="Q540">
            <v>1.1499999999999999</v>
          </cell>
          <cell r="R540" t="str">
            <v>INTERIOR</v>
          </cell>
          <cell r="S540">
            <v>4</v>
          </cell>
          <cell r="T540">
            <v>6</v>
          </cell>
          <cell r="U540" t="str">
            <v>Ciudad principal</v>
          </cell>
          <cell r="V540" t="str">
            <v>Entry Production Color Low/Mid</v>
          </cell>
          <cell r="W540" t="str">
            <v>JALISCO</v>
          </cell>
          <cell r="X540">
            <v>2019</v>
          </cell>
          <cell r="Y540" t="str">
            <v>Qtr 2</v>
          </cell>
          <cell r="Z540" t="str">
            <v>April</v>
          </cell>
          <cell r="AA540">
            <v>12</v>
          </cell>
          <cell r="AB540">
            <v>0</v>
          </cell>
          <cell r="AC540">
            <v>1</v>
          </cell>
          <cell r="AD540">
            <v>0.2</v>
          </cell>
          <cell r="AE540">
            <v>0</v>
          </cell>
          <cell r="AF540">
            <v>314.60000000000002</v>
          </cell>
        </row>
        <row r="541">
          <cell r="B541" t="str">
            <v>0EX9664780</v>
          </cell>
          <cell r="C541">
            <v>2019</v>
          </cell>
          <cell r="D541" t="str">
            <v>Qtr 2</v>
          </cell>
          <cell r="E541" t="str">
            <v>April</v>
          </cell>
          <cell r="F541">
            <v>9</v>
          </cell>
          <cell r="G541" t="str">
            <v>MANTENIMIENTO PREVENTIVO</v>
          </cell>
          <cell r="H541">
            <v>0</v>
          </cell>
          <cell r="I541" t="str">
            <v>Departmental Digital</v>
          </cell>
          <cell r="J541">
            <v>655</v>
          </cell>
          <cell r="K541">
            <v>1365</v>
          </cell>
          <cell r="L541">
            <v>0</v>
          </cell>
          <cell r="M541">
            <v>0</v>
          </cell>
          <cell r="N541">
            <v>0.6</v>
          </cell>
          <cell r="O541">
            <v>0.8</v>
          </cell>
          <cell r="P541">
            <v>1.05</v>
          </cell>
          <cell r="Q541">
            <v>1.1000000000000001</v>
          </cell>
          <cell r="R541" t="str">
            <v>INTERIOR</v>
          </cell>
          <cell r="S541">
            <v>5</v>
          </cell>
          <cell r="T541">
            <v>9</v>
          </cell>
          <cell r="U541" t="str">
            <v>Ciudad principal</v>
          </cell>
          <cell r="V541" t="str">
            <v>Departmental Digital</v>
          </cell>
          <cell r="W541" t="str">
            <v>COAHUILA</v>
          </cell>
          <cell r="X541">
            <v>2019</v>
          </cell>
          <cell r="Y541" t="str">
            <v>Qtr 2</v>
          </cell>
          <cell r="Z541" t="str">
            <v>April</v>
          </cell>
          <cell r="AA541">
            <v>9</v>
          </cell>
          <cell r="AB541">
            <v>0</v>
          </cell>
          <cell r="AC541">
            <v>5</v>
          </cell>
          <cell r="AD541">
            <v>0</v>
          </cell>
          <cell r="AE541">
            <v>0</v>
          </cell>
          <cell r="AF541">
            <v>1365</v>
          </cell>
        </row>
        <row r="542">
          <cell r="B542" t="str">
            <v>09HB331436</v>
          </cell>
          <cell r="C542">
            <v>2019</v>
          </cell>
          <cell r="D542" t="str">
            <v>Qtr 2</v>
          </cell>
          <cell r="E542" t="str">
            <v>April</v>
          </cell>
          <cell r="F542">
            <v>9</v>
          </cell>
          <cell r="G542" t="str">
            <v>MANTENIMIENTO PREVENTIVO</v>
          </cell>
          <cell r="H542">
            <v>0</v>
          </cell>
          <cell r="J542" t="str">
            <v>NA</v>
          </cell>
          <cell r="K542" t="str">
            <v>NA</v>
          </cell>
          <cell r="L542" t="str">
            <v>NA</v>
          </cell>
          <cell r="M542" t="str">
            <v>NA</v>
          </cell>
          <cell r="N542" t="str">
            <v>NA</v>
          </cell>
          <cell r="O542" t="str">
            <v>NA</v>
          </cell>
          <cell r="P542" t="str">
            <v>NA</v>
          </cell>
          <cell r="Q542" t="str">
            <v>NA</v>
          </cell>
          <cell r="S542" t="str">
            <v>NA</v>
          </cell>
          <cell r="T542" t="str">
            <v>NA</v>
          </cell>
          <cell r="V542" t="str">
            <v>A4 Mono MFPs</v>
          </cell>
          <cell r="W542" t="str">
            <v>JALISCO</v>
          </cell>
          <cell r="X542">
            <v>2019</v>
          </cell>
          <cell r="Y542" t="str">
            <v>Qtr 2</v>
          </cell>
          <cell r="Z542" t="str">
            <v>April</v>
          </cell>
          <cell r="AA542">
            <v>9</v>
          </cell>
          <cell r="AB542" t="str">
            <v>NA</v>
          </cell>
          <cell r="AC542">
            <v>50</v>
          </cell>
          <cell r="AD542">
            <v>0</v>
          </cell>
          <cell r="AE542">
            <v>0</v>
          </cell>
          <cell r="AF542">
            <v>0</v>
          </cell>
        </row>
        <row r="543">
          <cell r="B543" t="str">
            <v>0Y4X820889</v>
          </cell>
          <cell r="C543">
            <v>2019</v>
          </cell>
          <cell r="D543" t="str">
            <v>Qtr 2</v>
          </cell>
          <cell r="E543" t="str">
            <v>April</v>
          </cell>
          <cell r="F543">
            <v>9</v>
          </cell>
          <cell r="G543" t="str">
            <v>MANTENIMIENTO PREVENTIVO</v>
          </cell>
          <cell r="H543">
            <v>0</v>
          </cell>
          <cell r="I543" t="str">
            <v>Office Digital</v>
          </cell>
          <cell r="J543">
            <v>655</v>
          </cell>
          <cell r="K543">
            <v>1365</v>
          </cell>
          <cell r="L543">
            <v>0</v>
          </cell>
          <cell r="M543">
            <v>0</v>
          </cell>
          <cell r="N543">
            <v>0.6</v>
          </cell>
          <cell r="O543">
            <v>0.8</v>
          </cell>
          <cell r="P543">
            <v>1.05</v>
          </cell>
          <cell r="Q543">
            <v>1.1000000000000001</v>
          </cell>
          <cell r="R543" t="str">
            <v>INTERIOR</v>
          </cell>
          <cell r="S543">
            <v>5</v>
          </cell>
          <cell r="T543">
            <v>9</v>
          </cell>
          <cell r="U543" t="str">
            <v>Ciudad principal</v>
          </cell>
          <cell r="V543" t="str">
            <v>Light Production Digital Business</v>
          </cell>
          <cell r="W543" t="str">
            <v>TAMAULIPAS</v>
          </cell>
          <cell r="X543">
            <v>2019</v>
          </cell>
          <cell r="Y543" t="str">
            <v>Qtr 2</v>
          </cell>
          <cell r="Z543" t="str">
            <v>April</v>
          </cell>
          <cell r="AA543">
            <v>10</v>
          </cell>
          <cell r="AB543">
            <v>0</v>
          </cell>
          <cell r="AC543">
            <v>76</v>
          </cell>
          <cell r="AD543">
            <v>0</v>
          </cell>
          <cell r="AE543">
            <v>0</v>
          </cell>
          <cell r="AF543">
            <v>1365</v>
          </cell>
        </row>
        <row r="544">
          <cell r="B544" t="str">
            <v>0Y4X829447</v>
          </cell>
          <cell r="C544">
            <v>2019</v>
          </cell>
          <cell r="D544" t="str">
            <v>Qtr 2</v>
          </cell>
          <cell r="E544" t="str">
            <v>April</v>
          </cell>
          <cell r="F544">
            <v>9</v>
          </cell>
          <cell r="G544" t="str">
            <v>CORRECTIVO</v>
          </cell>
          <cell r="H544">
            <v>1.6666670000000001E-2</v>
          </cell>
          <cell r="I544" t="str">
            <v>Office Digital</v>
          </cell>
          <cell r="J544">
            <v>655</v>
          </cell>
          <cell r="K544">
            <v>1365</v>
          </cell>
          <cell r="L544">
            <v>0</v>
          </cell>
          <cell r="M544">
            <v>0</v>
          </cell>
          <cell r="N544">
            <v>0.6</v>
          </cell>
          <cell r="O544">
            <v>0.8</v>
          </cell>
          <cell r="P544">
            <v>1.05</v>
          </cell>
          <cell r="Q544">
            <v>1.1000000000000001</v>
          </cell>
          <cell r="R544" t="str">
            <v>INTERIOR</v>
          </cell>
          <cell r="S544">
            <v>5</v>
          </cell>
          <cell r="T544">
            <v>9</v>
          </cell>
          <cell r="U544" t="str">
            <v>Ciudad principal</v>
          </cell>
          <cell r="V544" t="str">
            <v>Light Production Digital Business</v>
          </cell>
          <cell r="W544" t="str">
            <v>TAMAULIPAS</v>
          </cell>
          <cell r="X544">
            <v>2019</v>
          </cell>
          <cell r="Y544" t="str">
            <v>Qtr 2</v>
          </cell>
          <cell r="Z544" t="str">
            <v>April</v>
          </cell>
          <cell r="AA544">
            <v>10</v>
          </cell>
          <cell r="AB544">
            <v>0</v>
          </cell>
          <cell r="AC544">
            <v>42</v>
          </cell>
          <cell r="AD544">
            <v>1.05</v>
          </cell>
          <cell r="AE544">
            <v>3.3333339999999999E-3</v>
          </cell>
          <cell r="AF544">
            <v>1433.25</v>
          </cell>
        </row>
        <row r="545">
          <cell r="B545" t="str">
            <v>0BG1000997</v>
          </cell>
          <cell r="C545">
            <v>2019</v>
          </cell>
          <cell r="D545" t="str">
            <v>Qtr 2</v>
          </cell>
          <cell r="E545" t="str">
            <v>April</v>
          </cell>
          <cell r="F545">
            <v>9</v>
          </cell>
          <cell r="G545" t="str">
            <v>CORRECTIVO</v>
          </cell>
          <cell r="H545">
            <v>0.45</v>
          </cell>
          <cell r="I545" t="str">
            <v>Light Production Digital Business</v>
          </cell>
          <cell r="J545">
            <v>803</v>
          </cell>
          <cell r="K545">
            <v>1573</v>
          </cell>
          <cell r="L545">
            <v>0.2</v>
          </cell>
          <cell r="M545">
            <v>0.6</v>
          </cell>
          <cell r="N545">
            <v>0.8</v>
          </cell>
          <cell r="O545">
            <v>1.05</v>
          </cell>
          <cell r="P545">
            <v>1.1000000000000001</v>
          </cell>
          <cell r="Q545">
            <v>1.1499999999999999</v>
          </cell>
          <cell r="R545" t="str">
            <v>INTERIOR</v>
          </cell>
          <cell r="S545">
            <v>4</v>
          </cell>
          <cell r="T545">
            <v>6</v>
          </cell>
          <cell r="U545" t="str">
            <v>Ciudad principal</v>
          </cell>
          <cell r="V545" t="str">
            <v>High End Cut Sheet</v>
          </cell>
          <cell r="W545" t="str">
            <v>NUEVO LEON</v>
          </cell>
          <cell r="X545">
            <v>2019</v>
          </cell>
          <cell r="Y545" t="str">
            <v>Qtr 2</v>
          </cell>
          <cell r="Z545" t="str">
            <v>April</v>
          </cell>
          <cell r="AA545">
            <v>10</v>
          </cell>
          <cell r="AB545">
            <v>0</v>
          </cell>
          <cell r="AC545">
            <v>4</v>
          </cell>
          <cell r="AD545">
            <v>0.6</v>
          </cell>
          <cell r="AE545">
            <v>0.1125</v>
          </cell>
          <cell r="AF545">
            <v>943.8</v>
          </cell>
        </row>
        <row r="546">
          <cell r="B546" t="str">
            <v>0A4T562089</v>
          </cell>
          <cell r="C546">
            <v>2019</v>
          </cell>
          <cell r="D546" t="str">
            <v>Qtr 2</v>
          </cell>
          <cell r="E546" t="str">
            <v>April</v>
          </cell>
          <cell r="F546">
            <v>9</v>
          </cell>
          <cell r="G546" t="str">
            <v>CORRECTIVO</v>
          </cell>
          <cell r="H546">
            <v>0.25</v>
          </cell>
          <cell r="J546" t="str">
            <v>NA</v>
          </cell>
          <cell r="K546" t="str">
            <v>NA</v>
          </cell>
          <cell r="L546" t="str">
            <v>NA</v>
          </cell>
          <cell r="M546" t="str">
            <v>NA</v>
          </cell>
          <cell r="N546" t="str">
            <v>NA</v>
          </cell>
          <cell r="O546" t="str">
            <v>NA</v>
          </cell>
          <cell r="P546" t="str">
            <v>NA</v>
          </cell>
          <cell r="Q546" t="str">
            <v>NA</v>
          </cell>
          <cell r="S546" t="str">
            <v>NA</v>
          </cell>
          <cell r="T546" t="str">
            <v>NA</v>
          </cell>
          <cell r="V546" t="str">
            <v>A4 Mono MFPs</v>
          </cell>
          <cell r="W546" t="str">
            <v>CHIHUAHUA</v>
          </cell>
          <cell r="X546">
            <v>2019</v>
          </cell>
          <cell r="Y546" t="str">
            <v>Qtr 2</v>
          </cell>
          <cell r="Z546" t="str">
            <v>April</v>
          </cell>
          <cell r="AA546">
            <v>10</v>
          </cell>
          <cell r="AB546" t="str">
            <v>NA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</row>
        <row r="547">
          <cell r="B547" t="str">
            <v>09HB331532</v>
          </cell>
          <cell r="C547">
            <v>2019</v>
          </cell>
          <cell r="D547" t="str">
            <v>Qtr 2</v>
          </cell>
          <cell r="E547" t="str">
            <v>April</v>
          </cell>
          <cell r="F547">
            <v>9</v>
          </cell>
          <cell r="G547" t="str">
            <v>MANTENIMIENTO PREVENTIVO</v>
          </cell>
          <cell r="H547">
            <v>0</v>
          </cell>
          <cell r="J547" t="str">
            <v>NA</v>
          </cell>
          <cell r="K547" t="str">
            <v>NA</v>
          </cell>
          <cell r="L547" t="str">
            <v>NA</v>
          </cell>
          <cell r="M547" t="str">
            <v>NA</v>
          </cell>
          <cell r="N547" t="str">
            <v>NA</v>
          </cell>
          <cell r="O547" t="str">
            <v>NA</v>
          </cell>
          <cell r="P547" t="str">
            <v>NA</v>
          </cell>
          <cell r="Q547" t="str">
            <v>NA</v>
          </cell>
          <cell r="S547" t="str">
            <v>NA</v>
          </cell>
          <cell r="T547" t="str">
            <v>NA</v>
          </cell>
          <cell r="V547" t="str">
            <v>A4 Mono MFPs</v>
          </cell>
          <cell r="W547" t="str">
            <v>JALISCO</v>
          </cell>
          <cell r="X547">
            <v>2019</v>
          </cell>
          <cell r="Y547" t="str">
            <v>Qtr 2</v>
          </cell>
          <cell r="Z547" t="str">
            <v>April</v>
          </cell>
          <cell r="AA547">
            <v>9</v>
          </cell>
          <cell r="AB547" t="str">
            <v>NA</v>
          </cell>
          <cell r="AC547">
            <v>7</v>
          </cell>
          <cell r="AD547">
            <v>0</v>
          </cell>
          <cell r="AE547">
            <v>0</v>
          </cell>
          <cell r="AF547">
            <v>0</v>
          </cell>
        </row>
        <row r="548">
          <cell r="B548" t="str">
            <v>0C4X003297</v>
          </cell>
          <cell r="C548">
            <v>2019</v>
          </cell>
          <cell r="D548" t="str">
            <v>Qtr 2</v>
          </cell>
          <cell r="E548" t="str">
            <v>April</v>
          </cell>
          <cell r="F548">
            <v>10</v>
          </cell>
          <cell r="G548" t="str">
            <v>CORRECTIVO</v>
          </cell>
          <cell r="H548">
            <v>0</v>
          </cell>
          <cell r="I548" t="str">
            <v>A4 Mono MFPs</v>
          </cell>
          <cell r="J548">
            <v>468</v>
          </cell>
          <cell r="K548">
            <v>715</v>
          </cell>
          <cell r="L548">
            <v>0</v>
          </cell>
          <cell r="M548">
            <v>0</v>
          </cell>
          <cell r="N548">
            <v>0</v>
          </cell>
          <cell r="O548">
            <v>0.6</v>
          </cell>
          <cell r="P548">
            <v>0.8</v>
          </cell>
          <cell r="Q548">
            <v>1.05</v>
          </cell>
          <cell r="R548" t="str">
            <v>INTERIOR</v>
          </cell>
          <cell r="S548">
            <v>5</v>
          </cell>
          <cell r="T548">
            <v>9</v>
          </cell>
          <cell r="U548" t="str">
            <v>Ciudad principal</v>
          </cell>
          <cell r="V548" t="str">
            <v>A4 Mono MFPs</v>
          </cell>
          <cell r="W548" t="str">
            <v>CHIHUAHUA</v>
          </cell>
          <cell r="X548">
            <v>2019</v>
          </cell>
          <cell r="Y548" t="str">
            <v>Qtr 2</v>
          </cell>
          <cell r="Z548" t="str">
            <v>April</v>
          </cell>
          <cell r="AA548">
            <v>10</v>
          </cell>
          <cell r="AB548">
            <v>0</v>
          </cell>
          <cell r="AC548">
            <v>26</v>
          </cell>
          <cell r="AD548">
            <v>0.6</v>
          </cell>
          <cell r="AE548">
            <v>0</v>
          </cell>
          <cell r="AF548">
            <v>429</v>
          </cell>
        </row>
        <row r="549">
          <cell r="B549" t="str">
            <v>0C4X003017</v>
          </cell>
          <cell r="C549">
            <v>2019</v>
          </cell>
          <cell r="D549" t="str">
            <v>Qtr 2</v>
          </cell>
          <cell r="E549" t="str">
            <v>April</v>
          </cell>
          <cell r="F549">
            <v>10</v>
          </cell>
          <cell r="G549" t="str">
            <v>CORRECTIVO</v>
          </cell>
          <cell r="H549">
            <v>1.75</v>
          </cell>
          <cell r="I549" t="str">
            <v>A4 Mono MFPs</v>
          </cell>
          <cell r="J549">
            <v>468</v>
          </cell>
          <cell r="K549">
            <v>715</v>
          </cell>
          <cell r="L549">
            <v>0</v>
          </cell>
          <cell r="M549">
            <v>0</v>
          </cell>
          <cell r="N549">
            <v>0</v>
          </cell>
          <cell r="O549">
            <v>0.6</v>
          </cell>
          <cell r="P549">
            <v>0.8</v>
          </cell>
          <cell r="Q549">
            <v>1.05</v>
          </cell>
          <cell r="R549" t="str">
            <v>INTERIOR</v>
          </cell>
          <cell r="S549">
            <v>5</v>
          </cell>
          <cell r="T549">
            <v>9</v>
          </cell>
          <cell r="U549" t="str">
            <v>Otras</v>
          </cell>
          <cell r="V549" t="str">
            <v>A4 Mono MFPs</v>
          </cell>
          <cell r="W549" t="str">
            <v>CHIHUAHUA</v>
          </cell>
          <cell r="X549">
            <v>2019</v>
          </cell>
          <cell r="Y549" t="str">
            <v>Qtr 2</v>
          </cell>
          <cell r="Z549" t="str">
            <v>April</v>
          </cell>
          <cell r="AA549">
            <v>10</v>
          </cell>
          <cell r="AB549">
            <v>0</v>
          </cell>
          <cell r="AC549">
            <v>42</v>
          </cell>
          <cell r="AD549">
            <v>0.8</v>
          </cell>
          <cell r="AE549">
            <v>0.194444444444444</v>
          </cell>
          <cell r="AF549">
            <v>572</v>
          </cell>
        </row>
        <row r="550">
          <cell r="B550" t="str">
            <v>0EX9293168</v>
          </cell>
          <cell r="C550">
            <v>2019</v>
          </cell>
          <cell r="D550" t="str">
            <v>Qtr 2</v>
          </cell>
          <cell r="E550" t="str">
            <v>April</v>
          </cell>
          <cell r="F550">
            <v>10</v>
          </cell>
          <cell r="G550" t="str">
            <v>MANTENIMIENTO PREVENTIVO</v>
          </cell>
          <cell r="H550">
            <v>0</v>
          </cell>
          <cell r="I550" t="str">
            <v>Departmental Digital</v>
          </cell>
          <cell r="J550">
            <v>655</v>
          </cell>
          <cell r="K550">
            <v>1365</v>
          </cell>
          <cell r="L550">
            <v>0</v>
          </cell>
          <cell r="M550">
            <v>0</v>
          </cell>
          <cell r="N550">
            <v>0.6</v>
          </cell>
          <cell r="O550">
            <v>0.8</v>
          </cell>
          <cell r="P550">
            <v>1.05</v>
          </cell>
          <cell r="Q550">
            <v>1.1000000000000001</v>
          </cell>
          <cell r="R550" t="str">
            <v>INTERIOR</v>
          </cell>
          <cell r="S550">
            <v>5</v>
          </cell>
          <cell r="T550">
            <v>9</v>
          </cell>
          <cell r="U550" t="str">
            <v>Ciudad principal</v>
          </cell>
          <cell r="V550" t="str">
            <v>Departmental Digital</v>
          </cell>
          <cell r="W550" t="str">
            <v>GUANAJUATO</v>
          </cell>
          <cell r="X550">
            <v>2019</v>
          </cell>
          <cell r="Y550" t="str">
            <v>Qtr 2</v>
          </cell>
          <cell r="Z550" t="str">
            <v>April</v>
          </cell>
          <cell r="AA550">
            <v>10</v>
          </cell>
          <cell r="AB550">
            <v>0</v>
          </cell>
          <cell r="AC550">
            <v>6</v>
          </cell>
          <cell r="AD550">
            <v>0</v>
          </cell>
          <cell r="AE550">
            <v>0</v>
          </cell>
          <cell r="AF550">
            <v>1365</v>
          </cell>
        </row>
        <row r="551">
          <cell r="B551" t="str">
            <v>9HB327127</v>
          </cell>
          <cell r="C551">
            <v>2019</v>
          </cell>
          <cell r="D551" t="str">
            <v>Qtr 2</v>
          </cell>
          <cell r="E551" t="str">
            <v>April</v>
          </cell>
          <cell r="F551">
            <v>10</v>
          </cell>
          <cell r="G551" t="str">
            <v>CORRECTIVO</v>
          </cell>
          <cell r="H551">
            <v>1.6666669999999999</v>
          </cell>
          <cell r="I551" t="str">
            <v>A4 Mono MFPs</v>
          </cell>
          <cell r="J551">
            <v>468</v>
          </cell>
          <cell r="K551">
            <v>715</v>
          </cell>
          <cell r="L551">
            <v>0</v>
          </cell>
          <cell r="M551">
            <v>0</v>
          </cell>
          <cell r="N551">
            <v>0</v>
          </cell>
          <cell r="O551">
            <v>0.6</v>
          </cell>
          <cell r="P551">
            <v>0.8</v>
          </cell>
          <cell r="Q551">
            <v>1.05</v>
          </cell>
          <cell r="R551" t="str">
            <v>INTERIOR</v>
          </cell>
          <cell r="S551">
            <v>5</v>
          </cell>
          <cell r="T551">
            <v>9</v>
          </cell>
          <cell r="U551" t="str">
            <v>Ciudad principal</v>
          </cell>
          <cell r="V551" t="str">
            <v>A4 Mono MFPs</v>
          </cell>
          <cell r="W551" t="str">
            <v>JALISCO</v>
          </cell>
          <cell r="X551">
            <v>2019</v>
          </cell>
          <cell r="Y551" t="str">
            <v>Qtr 2</v>
          </cell>
          <cell r="Z551" t="str">
            <v>April</v>
          </cell>
          <cell r="AA551">
            <v>10</v>
          </cell>
          <cell r="AB551">
            <v>0</v>
          </cell>
          <cell r="AC551">
            <v>0</v>
          </cell>
          <cell r="AD551">
            <v>1.05</v>
          </cell>
          <cell r="AE551">
            <v>0.3333334</v>
          </cell>
          <cell r="AF551">
            <v>750.75</v>
          </cell>
        </row>
        <row r="552">
          <cell r="B552" t="str">
            <v>0VMA675199</v>
          </cell>
          <cell r="C552">
            <v>2019</v>
          </cell>
          <cell r="D552" t="str">
            <v>Qtr 2</v>
          </cell>
          <cell r="E552" t="str">
            <v>April</v>
          </cell>
          <cell r="F552">
            <v>10</v>
          </cell>
          <cell r="G552" t="str">
            <v>MANTENIMIENTO PREVENTIVO</v>
          </cell>
          <cell r="H552">
            <v>0</v>
          </cell>
          <cell r="I552" t="str">
            <v>A4 Mono MFPs</v>
          </cell>
          <cell r="J552">
            <v>468</v>
          </cell>
          <cell r="K552">
            <v>715</v>
          </cell>
          <cell r="L552">
            <v>0</v>
          </cell>
          <cell r="M552">
            <v>0</v>
          </cell>
          <cell r="N552">
            <v>0</v>
          </cell>
          <cell r="O552">
            <v>0.6</v>
          </cell>
          <cell r="P552">
            <v>0.8</v>
          </cell>
          <cell r="Q552">
            <v>1.05</v>
          </cell>
          <cell r="R552" t="str">
            <v>INTERIOR</v>
          </cell>
          <cell r="S552">
            <v>5</v>
          </cell>
          <cell r="T552">
            <v>9</v>
          </cell>
          <cell r="U552" t="str">
            <v>Otras</v>
          </cell>
          <cell r="V552" t="str">
            <v>A4 Mono MFPs</v>
          </cell>
          <cell r="W552" t="str">
            <v>COAHUILA</v>
          </cell>
          <cell r="X552">
            <v>2019</v>
          </cell>
          <cell r="Y552" t="str">
            <v>Qtr 2</v>
          </cell>
          <cell r="Z552" t="str">
            <v>April</v>
          </cell>
          <cell r="AA552">
            <v>10</v>
          </cell>
          <cell r="AB552">
            <v>1</v>
          </cell>
          <cell r="AC552">
            <v>169</v>
          </cell>
          <cell r="AD552">
            <v>0</v>
          </cell>
          <cell r="AE552">
            <v>0</v>
          </cell>
          <cell r="AF552">
            <v>0</v>
          </cell>
        </row>
        <row r="553">
          <cell r="B553" t="str">
            <v>0VMA558280</v>
          </cell>
          <cell r="C553">
            <v>2019</v>
          </cell>
          <cell r="D553" t="str">
            <v>Qtr 2</v>
          </cell>
          <cell r="E553" t="str">
            <v>April</v>
          </cell>
          <cell r="F553">
            <v>10</v>
          </cell>
          <cell r="G553" t="str">
            <v>MANTENIMIENTO PREVENTIVO</v>
          </cell>
          <cell r="H553">
            <v>0</v>
          </cell>
          <cell r="I553" t="str">
            <v>A4 Mono MFPs</v>
          </cell>
          <cell r="J553">
            <v>468</v>
          </cell>
          <cell r="K553">
            <v>715</v>
          </cell>
          <cell r="L553">
            <v>0</v>
          </cell>
          <cell r="M553">
            <v>0</v>
          </cell>
          <cell r="N553">
            <v>0</v>
          </cell>
          <cell r="O553">
            <v>0.6</v>
          </cell>
          <cell r="P553">
            <v>0.8</v>
          </cell>
          <cell r="Q553">
            <v>1.05</v>
          </cell>
          <cell r="R553" t="str">
            <v>INTERIOR</v>
          </cell>
          <cell r="S553">
            <v>5</v>
          </cell>
          <cell r="T553">
            <v>9</v>
          </cell>
          <cell r="U553" t="str">
            <v>Otras</v>
          </cell>
          <cell r="V553" t="str">
            <v>A4 Mono MFPs</v>
          </cell>
          <cell r="W553" t="str">
            <v>COAHUILA</v>
          </cell>
          <cell r="X553">
            <v>2019</v>
          </cell>
          <cell r="Y553" t="str">
            <v>Qtr 2</v>
          </cell>
          <cell r="Z553" t="str">
            <v>April</v>
          </cell>
          <cell r="AA553">
            <v>10</v>
          </cell>
          <cell r="AB553">
            <v>1</v>
          </cell>
          <cell r="AC553">
            <v>167</v>
          </cell>
          <cell r="AD553">
            <v>0</v>
          </cell>
          <cell r="AE553">
            <v>0</v>
          </cell>
          <cell r="AF553">
            <v>0</v>
          </cell>
        </row>
        <row r="554">
          <cell r="B554" t="str">
            <v>09HB331543</v>
          </cell>
          <cell r="C554">
            <v>2019</v>
          </cell>
          <cell r="D554" t="str">
            <v>Qtr 2</v>
          </cell>
          <cell r="E554" t="str">
            <v>April</v>
          </cell>
          <cell r="F554">
            <v>10</v>
          </cell>
          <cell r="G554" t="str">
            <v>MANTENIMIENTO PREVENTIVO</v>
          </cell>
          <cell r="H554">
            <v>0</v>
          </cell>
          <cell r="J554" t="str">
            <v>NA</v>
          </cell>
          <cell r="K554" t="str">
            <v>NA</v>
          </cell>
          <cell r="L554" t="str">
            <v>NA</v>
          </cell>
          <cell r="M554" t="str">
            <v>NA</v>
          </cell>
          <cell r="N554" t="str">
            <v>NA</v>
          </cell>
          <cell r="O554" t="str">
            <v>NA</v>
          </cell>
          <cell r="P554" t="str">
            <v>NA</v>
          </cell>
          <cell r="Q554" t="str">
            <v>NA</v>
          </cell>
          <cell r="S554" t="str">
            <v>NA</v>
          </cell>
          <cell r="T554" t="str">
            <v>NA</v>
          </cell>
          <cell r="V554" t="str">
            <v>A4 Mono MFPs</v>
          </cell>
          <cell r="W554" t="str">
            <v>JALISCO</v>
          </cell>
          <cell r="X554">
            <v>2019</v>
          </cell>
          <cell r="Y554" t="str">
            <v>Qtr 2</v>
          </cell>
          <cell r="Z554" t="str">
            <v>April</v>
          </cell>
          <cell r="AA554">
            <v>10</v>
          </cell>
          <cell r="AB554" t="str">
            <v>NA</v>
          </cell>
          <cell r="AC554">
            <v>33</v>
          </cell>
          <cell r="AD554">
            <v>0</v>
          </cell>
          <cell r="AE554">
            <v>0</v>
          </cell>
          <cell r="AF554">
            <v>0</v>
          </cell>
        </row>
        <row r="555">
          <cell r="B555" t="str">
            <v>0MX4465095</v>
          </cell>
          <cell r="C555">
            <v>2019</v>
          </cell>
          <cell r="D555" t="str">
            <v>Qtr 2</v>
          </cell>
          <cell r="E555" t="str">
            <v>April</v>
          </cell>
          <cell r="F555">
            <v>10</v>
          </cell>
          <cell r="G555" t="str">
            <v>CORRECTIVO</v>
          </cell>
          <cell r="H555">
            <v>0.93333330000000003</v>
          </cell>
          <cell r="I555" t="str">
            <v>A3 Office Color Laser MFPs</v>
          </cell>
          <cell r="J555">
            <v>655</v>
          </cell>
          <cell r="K555">
            <v>1365</v>
          </cell>
          <cell r="L555">
            <v>0</v>
          </cell>
          <cell r="M555">
            <v>0</v>
          </cell>
          <cell r="N555">
            <v>0.6</v>
          </cell>
          <cell r="O555">
            <v>0.8</v>
          </cell>
          <cell r="P555">
            <v>1.05</v>
          </cell>
          <cell r="Q555">
            <v>1.1000000000000001</v>
          </cell>
          <cell r="R555" t="str">
            <v>INTERIOR</v>
          </cell>
          <cell r="S555">
            <v>5</v>
          </cell>
          <cell r="T555">
            <v>9</v>
          </cell>
          <cell r="U555" t="str">
            <v>Ciudad principal</v>
          </cell>
          <cell r="V555" t="str">
            <v>A3 Office Color Laser MFPs</v>
          </cell>
          <cell r="W555" t="str">
            <v>NUEVO LEON</v>
          </cell>
          <cell r="X555">
            <v>2019</v>
          </cell>
          <cell r="Y555" t="str">
            <v>Qtr 2</v>
          </cell>
          <cell r="Z555" t="str">
            <v>April</v>
          </cell>
          <cell r="AA555">
            <v>10</v>
          </cell>
          <cell r="AB555">
            <v>0</v>
          </cell>
          <cell r="AC555">
            <v>44</v>
          </cell>
          <cell r="AD555">
            <v>1.05</v>
          </cell>
          <cell r="AE555">
            <v>0.18666666000000001</v>
          </cell>
          <cell r="AF555">
            <v>1433.25</v>
          </cell>
        </row>
        <row r="556">
          <cell r="B556" t="str">
            <v>0Y4X847281</v>
          </cell>
          <cell r="C556">
            <v>2019</v>
          </cell>
          <cell r="D556" t="str">
            <v>Qtr 2</v>
          </cell>
          <cell r="E556" t="str">
            <v>April</v>
          </cell>
          <cell r="F556">
            <v>10</v>
          </cell>
          <cell r="G556" t="str">
            <v>MANTENIMIENTO PREVENTIVO</v>
          </cell>
          <cell r="H556">
            <v>0</v>
          </cell>
          <cell r="I556" t="str">
            <v>Office Digital</v>
          </cell>
          <cell r="J556">
            <v>655</v>
          </cell>
          <cell r="K556">
            <v>1365</v>
          </cell>
          <cell r="L556">
            <v>0</v>
          </cell>
          <cell r="M556">
            <v>0</v>
          </cell>
          <cell r="N556">
            <v>0.6</v>
          </cell>
          <cell r="O556">
            <v>0.8</v>
          </cell>
          <cell r="P556">
            <v>1.05</v>
          </cell>
          <cell r="Q556">
            <v>1.1000000000000001</v>
          </cell>
          <cell r="R556" t="str">
            <v>INTERIOR</v>
          </cell>
          <cell r="S556">
            <v>5</v>
          </cell>
          <cell r="T556">
            <v>9</v>
          </cell>
          <cell r="U556" t="str">
            <v>Ciudad principal</v>
          </cell>
          <cell r="V556" t="str">
            <v>Light Production Digital Business</v>
          </cell>
          <cell r="W556" t="str">
            <v>JALISCO</v>
          </cell>
          <cell r="X556">
            <v>2019</v>
          </cell>
          <cell r="Y556" t="str">
            <v>Qtr 2</v>
          </cell>
          <cell r="Z556" t="str">
            <v>April</v>
          </cell>
          <cell r="AA556">
            <v>10</v>
          </cell>
          <cell r="AB556">
            <v>0</v>
          </cell>
          <cell r="AC556">
            <v>29</v>
          </cell>
          <cell r="AD556">
            <v>0</v>
          </cell>
          <cell r="AE556">
            <v>0</v>
          </cell>
          <cell r="AF556">
            <v>1365</v>
          </cell>
        </row>
        <row r="557">
          <cell r="B557" t="str">
            <v>0BG2946876</v>
          </cell>
          <cell r="C557">
            <v>2019</v>
          </cell>
          <cell r="D557" t="str">
            <v>Qtr 2</v>
          </cell>
          <cell r="E557" t="str">
            <v>April</v>
          </cell>
          <cell r="F557">
            <v>10</v>
          </cell>
          <cell r="G557" t="str">
            <v>CORRECTIVO</v>
          </cell>
          <cell r="H557">
            <v>1.266667</v>
          </cell>
          <cell r="I557" t="str">
            <v>Light Production Digital Business</v>
          </cell>
          <cell r="J557">
            <v>803</v>
          </cell>
          <cell r="K557">
            <v>1573</v>
          </cell>
          <cell r="L557">
            <v>0.2</v>
          </cell>
          <cell r="M557">
            <v>0.6</v>
          </cell>
          <cell r="N557">
            <v>0.8</v>
          </cell>
          <cell r="O557">
            <v>1.05</v>
          </cell>
          <cell r="P557">
            <v>1.1000000000000001</v>
          </cell>
          <cell r="Q557">
            <v>1.1499999999999999</v>
          </cell>
          <cell r="R557" t="str">
            <v>INTERIOR</v>
          </cell>
          <cell r="S557">
            <v>4</v>
          </cell>
          <cell r="T557">
            <v>6</v>
          </cell>
          <cell r="U557" t="str">
            <v>Ciudad principal</v>
          </cell>
          <cell r="V557" t="str">
            <v>High End Cut Sheet</v>
          </cell>
          <cell r="W557" t="str">
            <v>GUANAJUATO</v>
          </cell>
          <cell r="X557">
            <v>2019</v>
          </cell>
          <cell r="Y557" t="str">
            <v>Qtr 2</v>
          </cell>
          <cell r="Z557" t="str">
            <v>April</v>
          </cell>
          <cell r="AA557">
            <v>11</v>
          </cell>
          <cell r="AB557">
            <v>0</v>
          </cell>
          <cell r="AC557">
            <v>8</v>
          </cell>
          <cell r="AD557">
            <v>0.8</v>
          </cell>
          <cell r="AE557">
            <v>0.31666675</v>
          </cell>
          <cell r="AF557">
            <v>1258.4000000000001</v>
          </cell>
        </row>
        <row r="558">
          <cell r="B558" t="str">
            <v>0BG2939611</v>
          </cell>
          <cell r="C558">
            <v>2019</v>
          </cell>
          <cell r="D558" t="str">
            <v>Qtr 2</v>
          </cell>
          <cell r="E558" t="str">
            <v>April</v>
          </cell>
          <cell r="F558">
            <v>10</v>
          </cell>
          <cell r="G558" t="str">
            <v>MANTENIMIENTO PREVENTIVO</v>
          </cell>
          <cell r="H558">
            <v>0</v>
          </cell>
          <cell r="I558" t="str">
            <v>Light Production Digital Business</v>
          </cell>
          <cell r="J558">
            <v>803</v>
          </cell>
          <cell r="K558">
            <v>1573</v>
          </cell>
          <cell r="L558">
            <v>0.2</v>
          </cell>
          <cell r="M558">
            <v>0.6</v>
          </cell>
          <cell r="N558">
            <v>0.8</v>
          </cell>
          <cell r="O558">
            <v>1.05</v>
          </cell>
          <cell r="P558">
            <v>1.1000000000000001</v>
          </cell>
          <cell r="Q558">
            <v>1.1499999999999999</v>
          </cell>
          <cell r="R558" t="str">
            <v>INTERIOR</v>
          </cell>
          <cell r="S558">
            <v>4</v>
          </cell>
          <cell r="T558">
            <v>6</v>
          </cell>
          <cell r="U558" t="str">
            <v>Ciudad principal</v>
          </cell>
          <cell r="V558" t="str">
            <v>High End Cut Sheet</v>
          </cell>
          <cell r="W558" t="str">
            <v>TAMAULIPAS</v>
          </cell>
          <cell r="X558">
            <v>2019</v>
          </cell>
          <cell r="Y558" t="str">
            <v>Qtr 2</v>
          </cell>
          <cell r="Z558" t="str">
            <v>April</v>
          </cell>
          <cell r="AA558">
            <v>10</v>
          </cell>
          <cell r="AB558">
            <v>0</v>
          </cell>
          <cell r="AC558">
            <v>8</v>
          </cell>
          <cell r="AD558">
            <v>0</v>
          </cell>
          <cell r="AE558">
            <v>0</v>
          </cell>
          <cell r="AF558">
            <v>1573</v>
          </cell>
        </row>
        <row r="559">
          <cell r="B559" t="str">
            <v>09HB918111</v>
          </cell>
          <cell r="C559">
            <v>2019</v>
          </cell>
          <cell r="D559" t="str">
            <v>Qtr 2</v>
          </cell>
          <cell r="E559" t="str">
            <v>April</v>
          </cell>
          <cell r="F559">
            <v>10</v>
          </cell>
          <cell r="G559" t="str">
            <v>INSTALACION NUEVA</v>
          </cell>
          <cell r="H559">
            <v>1.1666669999999999</v>
          </cell>
          <cell r="J559" t="str">
            <v>NA</v>
          </cell>
          <cell r="K559" t="str">
            <v>NA</v>
          </cell>
          <cell r="L559" t="str">
            <v>NA</v>
          </cell>
          <cell r="M559" t="str">
            <v>NA</v>
          </cell>
          <cell r="N559" t="str">
            <v>NA</v>
          </cell>
          <cell r="O559" t="str">
            <v>NA</v>
          </cell>
          <cell r="P559" t="str">
            <v>NA</v>
          </cell>
          <cell r="Q559" t="str">
            <v>NA</v>
          </cell>
          <cell r="S559" t="str">
            <v>NA</v>
          </cell>
          <cell r="T559" t="str">
            <v>NA</v>
          </cell>
          <cell r="V559" t="str">
            <v>A4 Mono MFPs</v>
          </cell>
          <cell r="W559" t="str">
            <v>SAN LUIS POTOSI</v>
          </cell>
          <cell r="X559">
            <v>2019</v>
          </cell>
          <cell r="Y559" t="str">
            <v>Qtr 2</v>
          </cell>
          <cell r="Z559" t="str">
            <v>April</v>
          </cell>
          <cell r="AA559">
            <v>12</v>
          </cell>
          <cell r="AB559" t="str">
            <v>NA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</row>
        <row r="560">
          <cell r="B560" t="str">
            <v>0BG2946786</v>
          </cell>
          <cell r="C560">
            <v>2019</v>
          </cell>
          <cell r="D560" t="str">
            <v>Qtr 2</v>
          </cell>
          <cell r="E560" t="str">
            <v>April</v>
          </cell>
          <cell r="F560">
            <v>10</v>
          </cell>
          <cell r="G560" t="str">
            <v>CORRECTIVO</v>
          </cell>
          <cell r="H560">
            <v>2.2833329999999998</v>
          </cell>
          <cell r="I560" t="str">
            <v>Light Production Digital Business</v>
          </cell>
          <cell r="J560">
            <v>803</v>
          </cell>
          <cell r="K560">
            <v>1573</v>
          </cell>
          <cell r="L560">
            <v>0.2</v>
          </cell>
          <cell r="M560">
            <v>0.6</v>
          </cell>
          <cell r="N560">
            <v>0.8</v>
          </cell>
          <cell r="O560">
            <v>1.05</v>
          </cell>
          <cell r="P560">
            <v>1.1000000000000001</v>
          </cell>
          <cell r="Q560">
            <v>1.1499999999999999</v>
          </cell>
          <cell r="R560" t="str">
            <v>INTERIOR</v>
          </cell>
          <cell r="S560">
            <v>4</v>
          </cell>
          <cell r="T560">
            <v>6</v>
          </cell>
          <cell r="U560" t="str">
            <v>Ciudad principal</v>
          </cell>
          <cell r="V560" t="str">
            <v>High End Cut Sheet</v>
          </cell>
          <cell r="W560" t="str">
            <v>NUEVO LEON</v>
          </cell>
          <cell r="X560">
            <v>2019</v>
          </cell>
          <cell r="Y560" t="str">
            <v>Qtr 2</v>
          </cell>
          <cell r="Z560" t="str">
            <v>April</v>
          </cell>
          <cell r="AA560">
            <v>11</v>
          </cell>
          <cell r="AB560">
            <v>0</v>
          </cell>
          <cell r="AC560">
            <v>2</v>
          </cell>
          <cell r="AD560">
            <v>0.2</v>
          </cell>
          <cell r="AE560">
            <v>0.57083324999999996</v>
          </cell>
          <cell r="AF560">
            <v>314.60000000000002</v>
          </cell>
        </row>
        <row r="561">
          <cell r="B561" t="str">
            <v>0MX4505031</v>
          </cell>
          <cell r="C561">
            <v>2019</v>
          </cell>
          <cell r="D561" t="str">
            <v>Qtr 2</v>
          </cell>
          <cell r="E561" t="str">
            <v>April</v>
          </cell>
          <cell r="F561">
            <v>10</v>
          </cell>
          <cell r="G561" t="str">
            <v>CORRECTIVO</v>
          </cell>
          <cell r="H561">
            <v>3.1333329999999999</v>
          </cell>
          <cell r="I561" t="str">
            <v>A3 Office Color Laser MFPs</v>
          </cell>
          <cell r="J561">
            <v>655</v>
          </cell>
          <cell r="K561">
            <v>1365</v>
          </cell>
          <cell r="L561">
            <v>0</v>
          </cell>
          <cell r="M561">
            <v>0</v>
          </cell>
          <cell r="N561">
            <v>0.6</v>
          </cell>
          <cell r="O561">
            <v>0.8</v>
          </cell>
          <cell r="P561">
            <v>1.05</v>
          </cell>
          <cell r="Q561">
            <v>1.1000000000000001</v>
          </cell>
          <cell r="R561" t="str">
            <v>INTERIOR</v>
          </cell>
          <cell r="S561">
            <v>5</v>
          </cell>
          <cell r="T561">
            <v>9</v>
          </cell>
          <cell r="U561" t="str">
            <v>Ciudad principal</v>
          </cell>
          <cell r="V561" t="str">
            <v>A3 Office Color Laser MFPs</v>
          </cell>
          <cell r="W561" t="str">
            <v>SAN LUIS POTOSI</v>
          </cell>
          <cell r="X561">
            <v>2019</v>
          </cell>
          <cell r="Y561" t="str">
            <v>Qtr 2</v>
          </cell>
          <cell r="Z561" t="str">
            <v>April</v>
          </cell>
          <cell r="AA561">
            <v>10</v>
          </cell>
          <cell r="AB561">
            <v>0</v>
          </cell>
          <cell r="AC561">
            <v>41</v>
          </cell>
          <cell r="AD561">
            <v>1.05</v>
          </cell>
          <cell r="AE561">
            <v>0.62666659999999996</v>
          </cell>
          <cell r="AF561">
            <v>1433.25</v>
          </cell>
        </row>
        <row r="562">
          <cell r="B562" t="str">
            <v>09HB331490</v>
          </cell>
          <cell r="C562">
            <v>2019</v>
          </cell>
          <cell r="D562" t="str">
            <v>Qtr 2</v>
          </cell>
          <cell r="E562" t="str">
            <v>April</v>
          </cell>
          <cell r="F562">
            <v>10</v>
          </cell>
          <cell r="G562" t="str">
            <v>MANTENIMIENTO PREVENTIVO</v>
          </cell>
          <cell r="H562">
            <v>0</v>
          </cell>
          <cell r="J562" t="str">
            <v>NA</v>
          </cell>
          <cell r="K562" t="str">
            <v>NA</v>
          </cell>
          <cell r="L562" t="str">
            <v>NA</v>
          </cell>
          <cell r="M562" t="str">
            <v>NA</v>
          </cell>
          <cell r="N562" t="str">
            <v>NA</v>
          </cell>
          <cell r="O562" t="str">
            <v>NA</v>
          </cell>
          <cell r="P562" t="str">
            <v>NA</v>
          </cell>
          <cell r="Q562" t="str">
            <v>NA</v>
          </cell>
          <cell r="S562" t="str">
            <v>NA</v>
          </cell>
          <cell r="T562" t="str">
            <v>NA</v>
          </cell>
          <cell r="V562" t="str">
            <v>A4 Mono MFPs</v>
          </cell>
          <cell r="W562" t="str">
            <v>JALISCO</v>
          </cell>
          <cell r="X562">
            <v>2019</v>
          </cell>
          <cell r="Y562" t="str">
            <v>Qtr 2</v>
          </cell>
          <cell r="Z562" t="str">
            <v>April</v>
          </cell>
          <cell r="AA562">
            <v>10</v>
          </cell>
          <cell r="AB562" t="str">
            <v>NA</v>
          </cell>
          <cell r="AC562">
            <v>44</v>
          </cell>
          <cell r="AD562">
            <v>0</v>
          </cell>
          <cell r="AE562">
            <v>0</v>
          </cell>
          <cell r="AF562">
            <v>0</v>
          </cell>
        </row>
        <row r="563">
          <cell r="B563" t="str">
            <v>0BG2939652</v>
          </cell>
          <cell r="C563">
            <v>2019</v>
          </cell>
          <cell r="D563" t="str">
            <v>Qtr 2</v>
          </cell>
          <cell r="E563" t="str">
            <v>April</v>
          </cell>
          <cell r="F563">
            <v>10</v>
          </cell>
          <cell r="G563" t="str">
            <v>CORRECTIVO</v>
          </cell>
          <cell r="H563">
            <v>1.1499999999999999</v>
          </cell>
          <cell r="I563" t="str">
            <v>Light Production Digital Business</v>
          </cell>
          <cell r="J563">
            <v>803</v>
          </cell>
          <cell r="K563">
            <v>1573</v>
          </cell>
          <cell r="L563">
            <v>0.2</v>
          </cell>
          <cell r="M563">
            <v>0.6</v>
          </cell>
          <cell r="N563">
            <v>0.8</v>
          </cell>
          <cell r="O563">
            <v>1.05</v>
          </cell>
          <cell r="P563">
            <v>1.1000000000000001</v>
          </cell>
          <cell r="Q563">
            <v>1.1499999999999999</v>
          </cell>
          <cell r="R563" t="str">
            <v>INTERIOR</v>
          </cell>
          <cell r="S563">
            <v>4</v>
          </cell>
          <cell r="T563">
            <v>6</v>
          </cell>
          <cell r="U563" t="str">
            <v>Ciudad principal</v>
          </cell>
          <cell r="V563" t="str">
            <v>High End Cut Sheet</v>
          </cell>
          <cell r="W563" t="str">
            <v>JALISCO</v>
          </cell>
          <cell r="X563">
            <v>2019</v>
          </cell>
          <cell r="Y563" t="str">
            <v>Qtr 2</v>
          </cell>
          <cell r="Z563" t="str">
            <v>April</v>
          </cell>
          <cell r="AA563">
            <v>11</v>
          </cell>
          <cell r="AB563">
            <v>0</v>
          </cell>
          <cell r="AC563">
            <v>19</v>
          </cell>
          <cell r="AD563">
            <v>1.05</v>
          </cell>
          <cell r="AE563">
            <v>0.28749999999999998</v>
          </cell>
          <cell r="AF563">
            <v>1651.65</v>
          </cell>
        </row>
        <row r="564">
          <cell r="B564" t="str">
            <v>0BG2947152</v>
          </cell>
          <cell r="C564">
            <v>2019</v>
          </cell>
          <cell r="D564" t="str">
            <v>Qtr 2</v>
          </cell>
          <cell r="E564" t="str">
            <v>April</v>
          </cell>
          <cell r="F564">
            <v>10</v>
          </cell>
          <cell r="G564" t="str">
            <v>CORRECTIVO</v>
          </cell>
          <cell r="H564">
            <v>3.1666669999999999</v>
          </cell>
          <cell r="I564" t="str">
            <v>Light Production Digital Business</v>
          </cell>
          <cell r="J564">
            <v>803</v>
          </cell>
          <cell r="K564">
            <v>1573</v>
          </cell>
          <cell r="L564">
            <v>0.2</v>
          </cell>
          <cell r="M564">
            <v>0.6</v>
          </cell>
          <cell r="N564">
            <v>0.8</v>
          </cell>
          <cell r="O564">
            <v>1.05</v>
          </cell>
          <cell r="P564">
            <v>1.1000000000000001</v>
          </cell>
          <cell r="Q564">
            <v>1.1499999999999999</v>
          </cell>
          <cell r="R564" t="str">
            <v>INTERIOR</v>
          </cell>
          <cell r="S564">
            <v>4</v>
          </cell>
          <cell r="T564">
            <v>6</v>
          </cell>
          <cell r="U564" t="str">
            <v>Ciudad principal</v>
          </cell>
          <cell r="V564" t="str">
            <v>High End Cut Sheet</v>
          </cell>
          <cell r="W564" t="str">
            <v>JALISCO</v>
          </cell>
          <cell r="X564">
            <v>2019</v>
          </cell>
          <cell r="Y564" t="str">
            <v>Qtr 2</v>
          </cell>
          <cell r="Z564" t="str">
            <v>April</v>
          </cell>
          <cell r="AA564">
            <v>10</v>
          </cell>
          <cell r="AB564">
            <v>0</v>
          </cell>
          <cell r="AC564">
            <v>13</v>
          </cell>
          <cell r="AD564">
            <v>0.8</v>
          </cell>
          <cell r="AE564">
            <v>0.79166674999999997</v>
          </cell>
          <cell r="AF564">
            <v>1258.4000000000001</v>
          </cell>
        </row>
        <row r="565">
          <cell r="B565" t="str">
            <v>0BG2949219</v>
          </cell>
          <cell r="C565">
            <v>2019</v>
          </cell>
          <cell r="D565" t="str">
            <v>Qtr 2</v>
          </cell>
          <cell r="E565" t="str">
            <v>April</v>
          </cell>
          <cell r="F565">
            <v>10</v>
          </cell>
          <cell r="G565" t="str">
            <v>CORRECTIVO</v>
          </cell>
          <cell r="H565">
            <v>0.8</v>
          </cell>
          <cell r="I565" t="str">
            <v>Light Production Digital Business</v>
          </cell>
          <cell r="J565">
            <v>803</v>
          </cell>
          <cell r="K565">
            <v>1573</v>
          </cell>
          <cell r="L565">
            <v>0.2</v>
          </cell>
          <cell r="M565">
            <v>0.6</v>
          </cell>
          <cell r="N565">
            <v>0.8</v>
          </cell>
          <cell r="O565">
            <v>1.05</v>
          </cell>
          <cell r="P565">
            <v>1.1000000000000001</v>
          </cell>
          <cell r="Q565">
            <v>1.1499999999999999</v>
          </cell>
          <cell r="R565" t="str">
            <v>INTERIOR</v>
          </cell>
          <cell r="S565">
            <v>4</v>
          </cell>
          <cell r="T565">
            <v>6</v>
          </cell>
          <cell r="U565" t="str">
            <v>Ciudad principal</v>
          </cell>
          <cell r="V565" t="str">
            <v>High End Cut Sheet</v>
          </cell>
          <cell r="W565" t="str">
            <v>COLIMA</v>
          </cell>
          <cell r="X565">
            <v>2019</v>
          </cell>
          <cell r="Y565" t="str">
            <v>Qtr 2</v>
          </cell>
          <cell r="Z565" t="str">
            <v>April</v>
          </cell>
          <cell r="AA565">
            <v>11</v>
          </cell>
          <cell r="AB565">
            <v>1</v>
          </cell>
          <cell r="AC565">
            <v>13</v>
          </cell>
          <cell r="AD565">
            <v>0</v>
          </cell>
          <cell r="AE565">
            <v>0</v>
          </cell>
          <cell r="AF565">
            <v>0</v>
          </cell>
        </row>
        <row r="566">
          <cell r="B566" t="str">
            <v>09HB331427</v>
          </cell>
          <cell r="C566">
            <v>2019</v>
          </cell>
          <cell r="D566" t="str">
            <v>Qtr 2</v>
          </cell>
          <cell r="E566" t="str">
            <v>April</v>
          </cell>
          <cell r="F566">
            <v>10</v>
          </cell>
          <cell r="G566" t="str">
            <v>MANTENIMIENTO PREVENTIVO</v>
          </cell>
          <cell r="H566">
            <v>0</v>
          </cell>
          <cell r="J566" t="str">
            <v>NA</v>
          </cell>
          <cell r="K566" t="str">
            <v>NA</v>
          </cell>
          <cell r="L566" t="str">
            <v>NA</v>
          </cell>
          <cell r="M566" t="str">
            <v>NA</v>
          </cell>
          <cell r="N566" t="str">
            <v>NA</v>
          </cell>
          <cell r="O566" t="str">
            <v>NA</v>
          </cell>
          <cell r="P566" t="str">
            <v>NA</v>
          </cell>
          <cell r="Q566" t="str">
            <v>NA</v>
          </cell>
          <cell r="S566" t="str">
            <v>NA</v>
          </cell>
          <cell r="T566" t="str">
            <v>NA</v>
          </cell>
          <cell r="V566" t="str">
            <v>A4 Mono MFPs</v>
          </cell>
          <cell r="W566" t="str">
            <v>JALISCO</v>
          </cell>
          <cell r="X566">
            <v>2019</v>
          </cell>
          <cell r="Y566" t="str">
            <v>Qtr 2</v>
          </cell>
          <cell r="Z566" t="str">
            <v>April</v>
          </cell>
          <cell r="AA566">
            <v>10</v>
          </cell>
          <cell r="AB566" t="str">
            <v>NA</v>
          </cell>
          <cell r="AC566">
            <v>51</v>
          </cell>
          <cell r="AD566">
            <v>0</v>
          </cell>
          <cell r="AE566">
            <v>0</v>
          </cell>
          <cell r="AF566">
            <v>0</v>
          </cell>
        </row>
        <row r="567">
          <cell r="B567" t="str">
            <v>0EX7407186</v>
          </cell>
          <cell r="C567">
            <v>2019</v>
          </cell>
          <cell r="D567" t="str">
            <v>Qtr 2</v>
          </cell>
          <cell r="E567" t="str">
            <v>April</v>
          </cell>
          <cell r="F567">
            <v>10</v>
          </cell>
          <cell r="G567" t="str">
            <v>CORRECTIVO</v>
          </cell>
          <cell r="H567">
            <v>0.43333329999999998</v>
          </cell>
          <cell r="I567" t="str">
            <v>Office Digital</v>
          </cell>
          <cell r="J567">
            <v>655</v>
          </cell>
          <cell r="K567">
            <v>1365</v>
          </cell>
          <cell r="L567">
            <v>0</v>
          </cell>
          <cell r="M567">
            <v>0</v>
          </cell>
          <cell r="N567">
            <v>0.6</v>
          </cell>
          <cell r="O567">
            <v>0.8</v>
          </cell>
          <cell r="P567">
            <v>1.05</v>
          </cell>
          <cell r="Q567">
            <v>1.1000000000000001</v>
          </cell>
          <cell r="R567" t="str">
            <v>INTERIOR</v>
          </cell>
          <cell r="S567">
            <v>5</v>
          </cell>
          <cell r="T567">
            <v>9</v>
          </cell>
          <cell r="U567" t="str">
            <v>Ciudad principal</v>
          </cell>
          <cell r="V567" t="str">
            <v>Departmental Digital</v>
          </cell>
          <cell r="W567" t="str">
            <v>CHIHUAHUA</v>
          </cell>
          <cell r="X567">
            <v>2019</v>
          </cell>
          <cell r="Y567" t="str">
            <v>Qtr 2</v>
          </cell>
          <cell r="Z567" t="str">
            <v>April</v>
          </cell>
          <cell r="AA567">
            <v>10</v>
          </cell>
          <cell r="AB567">
            <v>0</v>
          </cell>
          <cell r="AC567">
            <v>119</v>
          </cell>
          <cell r="AD567">
            <v>1.1000000000000001</v>
          </cell>
          <cell r="AE567">
            <v>8.6666660000000006E-2</v>
          </cell>
          <cell r="AF567">
            <v>1501.5</v>
          </cell>
        </row>
        <row r="568">
          <cell r="B568" t="str">
            <v>0MX4742856</v>
          </cell>
          <cell r="C568">
            <v>2019</v>
          </cell>
          <cell r="D568" t="str">
            <v>Qtr 2</v>
          </cell>
          <cell r="E568" t="str">
            <v>April</v>
          </cell>
          <cell r="F568">
            <v>10</v>
          </cell>
          <cell r="G568" t="str">
            <v>CORRECTIVO</v>
          </cell>
          <cell r="H568">
            <v>1.266667</v>
          </cell>
          <cell r="I568" t="str">
            <v>A3 Office Color Laser MFPs</v>
          </cell>
          <cell r="J568">
            <v>655</v>
          </cell>
          <cell r="K568">
            <v>1365</v>
          </cell>
          <cell r="L568">
            <v>0</v>
          </cell>
          <cell r="M568">
            <v>0</v>
          </cell>
          <cell r="N568">
            <v>0.6</v>
          </cell>
          <cell r="O568">
            <v>0.8</v>
          </cell>
          <cell r="P568">
            <v>1.05</v>
          </cell>
          <cell r="Q568">
            <v>1.1000000000000001</v>
          </cell>
          <cell r="R568" t="str">
            <v>INTERIOR</v>
          </cell>
          <cell r="S568">
            <v>5</v>
          </cell>
          <cell r="T568">
            <v>9</v>
          </cell>
          <cell r="U568" t="str">
            <v>Ciudad principal</v>
          </cell>
          <cell r="V568" t="str">
            <v>A3 Office Color Laser MFPs</v>
          </cell>
          <cell r="W568" t="str">
            <v>CHIHUAHUA</v>
          </cell>
          <cell r="X568">
            <v>2019</v>
          </cell>
          <cell r="Y568" t="str">
            <v>Qtr 2</v>
          </cell>
          <cell r="Z568" t="str">
            <v>April</v>
          </cell>
          <cell r="AA568">
            <v>12</v>
          </cell>
          <cell r="AB568">
            <v>0</v>
          </cell>
          <cell r="AC568">
            <v>56</v>
          </cell>
          <cell r="AD568">
            <v>1.05</v>
          </cell>
          <cell r="AE568">
            <v>0.25333339999999999</v>
          </cell>
          <cell r="AF568">
            <v>1433.25</v>
          </cell>
        </row>
        <row r="569">
          <cell r="B569" t="str">
            <v>0XLT280340</v>
          </cell>
          <cell r="C569">
            <v>2019</v>
          </cell>
          <cell r="D569" t="str">
            <v>Qtr 2</v>
          </cell>
          <cell r="E569" t="str">
            <v>April</v>
          </cell>
          <cell r="F569">
            <v>10</v>
          </cell>
          <cell r="G569" t="str">
            <v>CORRECTIVO</v>
          </cell>
          <cell r="H569">
            <v>0</v>
          </cell>
          <cell r="I569" t="str">
            <v>Entry Mono Printers</v>
          </cell>
          <cell r="J569">
            <v>468</v>
          </cell>
          <cell r="K569">
            <v>715</v>
          </cell>
          <cell r="L569">
            <v>0</v>
          </cell>
          <cell r="M569">
            <v>0</v>
          </cell>
          <cell r="N569">
            <v>0</v>
          </cell>
          <cell r="O569">
            <v>0.6</v>
          </cell>
          <cell r="P569">
            <v>0.8</v>
          </cell>
          <cell r="Q569">
            <v>1.05</v>
          </cell>
          <cell r="R569" t="str">
            <v>INTERIOR</v>
          </cell>
          <cell r="S569">
            <v>5</v>
          </cell>
          <cell r="T569">
            <v>9</v>
          </cell>
          <cell r="U569" t="str">
            <v>Ciudad principal</v>
          </cell>
          <cell r="V569" t="str">
            <v>Entry Mono Printers</v>
          </cell>
          <cell r="W569" t="str">
            <v>CHIHUAHUA</v>
          </cell>
          <cell r="X569">
            <v>2019</v>
          </cell>
          <cell r="Y569" t="str">
            <v>Qtr 2</v>
          </cell>
          <cell r="Z569" t="str">
            <v>April</v>
          </cell>
          <cell r="AA569">
            <v>12</v>
          </cell>
          <cell r="AB569">
            <v>1</v>
          </cell>
          <cell r="AC569">
            <v>35</v>
          </cell>
          <cell r="AD569">
            <v>0</v>
          </cell>
          <cell r="AE569">
            <v>0</v>
          </cell>
          <cell r="AF569">
            <v>0</v>
          </cell>
        </row>
        <row r="570">
          <cell r="B570" t="str">
            <v>09HB331906</v>
          </cell>
          <cell r="C570">
            <v>2019</v>
          </cell>
          <cell r="D570" t="str">
            <v>Qtr 2</v>
          </cell>
          <cell r="E570" t="str">
            <v>April</v>
          </cell>
          <cell r="F570">
            <v>10</v>
          </cell>
          <cell r="G570" t="str">
            <v>MANTENIMIENTO PREVENTIVO</v>
          </cell>
          <cell r="H570">
            <v>0</v>
          </cell>
          <cell r="I570" t="str">
            <v>A4 Mono MFPs</v>
          </cell>
          <cell r="J570">
            <v>468</v>
          </cell>
          <cell r="K570">
            <v>715</v>
          </cell>
          <cell r="L570">
            <v>0</v>
          </cell>
          <cell r="M570">
            <v>0</v>
          </cell>
          <cell r="N570">
            <v>0</v>
          </cell>
          <cell r="O570">
            <v>0.6</v>
          </cell>
          <cell r="P570">
            <v>0.8</v>
          </cell>
          <cell r="Q570">
            <v>1.05</v>
          </cell>
          <cell r="R570" t="str">
            <v>INTERIOR</v>
          </cell>
          <cell r="S570">
            <v>5</v>
          </cell>
          <cell r="T570">
            <v>9</v>
          </cell>
          <cell r="U570" t="str">
            <v>Ciudad principal</v>
          </cell>
          <cell r="V570" t="str">
            <v>A4 Mono MFPs</v>
          </cell>
          <cell r="W570" t="str">
            <v>JALISCO</v>
          </cell>
          <cell r="X570">
            <v>2019</v>
          </cell>
          <cell r="Y570" t="str">
            <v>Qtr 2</v>
          </cell>
          <cell r="Z570" t="str">
            <v>April</v>
          </cell>
          <cell r="AA570">
            <v>10</v>
          </cell>
          <cell r="AB570">
            <v>1</v>
          </cell>
          <cell r="AC570">
            <v>72</v>
          </cell>
          <cell r="AD570">
            <v>0</v>
          </cell>
          <cell r="AE570">
            <v>0</v>
          </cell>
          <cell r="AF570">
            <v>0</v>
          </cell>
        </row>
        <row r="571">
          <cell r="B571" t="str">
            <v>09HB331542</v>
          </cell>
          <cell r="C571">
            <v>2019</v>
          </cell>
          <cell r="D571" t="str">
            <v>Qtr 2</v>
          </cell>
          <cell r="E571" t="str">
            <v>April</v>
          </cell>
          <cell r="F571">
            <v>10</v>
          </cell>
          <cell r="G571" t="str">
            <v>MANTENIMIENTO PREVENTIVO</v>
          </cell>
          <cell r="H571">
            <v>0</v>
          </cell>
          <cell r="I571" t="str">
            <v>A4 Mono MFPs</v>
          </cell>
          <cell r="J571">
            <v>468</v>
          </cell>
          <cell r="K571">
            <v>715</v>
          </cell>
          <cell r="L571">
            <v>0</v>
          </cell>
          <cell r="M571">
            <v>0</v>
          </cell>
          <cell r="N571">
            <v>0</v>
          </cell>
          <cell r="O571">
            <v>0.6</v>
          </cell>
          <cell r="P571">
            <v>0.8</v>
          </cell>
          <cell r="Q571">
            <v>1.05</v>
          </cell>
          <cell r="R571" t="str">
            <v>INTERIOR</v>
          </cell>
          <cell r="S571">
            <v>5</v>
          </cell>
          <cell r="T571">
            <v>9</v>
          </cell>
          <cell r="U571" t="str">
            <v>Ciudad principal</v>
          </cell>
          <cell r="V571" t="str">
            <v>A4 Mono MFPs</v>
          </cell>
          <cell r="W571" t="str">
            <v>JALISCO</v>
          </cell>
          <cell r="X571">
            <v>2019</v>
          </cell>
          <cell r="Y571" t="str">
            <v>Qtr 2</v>
          </cell>
          <cell r="Z571" t="str">
            <v>April</v>
          </cell>
          <cell r="AA571">
            <v>10</v>
          </cell>
          <cell r="AB571">
            <v>1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</row>
        <row r="572">
          <cell r="B572" t="str">
            <v>09HB331517</v>
          </cell>
          <cell r="C572">
            <v>2019</v>
          </cell>
          <cell r="D572" t="str">
            <v>Qtr 2</v>
          </cell>
          <cell r="E572" t="str">
            <v>April</v>
          </cell>
          <cell r="F572">
            <v>10</v>
          </cell>
          <cell r="G572" t="str">
            <v>MANTENIMIENTO PREVENTIVO</v>
          </cell>
          <cell r="H572">
            <v>0</v>
          </cell>
          <cell r="J572" t="str">
            <v>NA</v>
          </cell>
          <cell r="K572" t="str">
            <v>NA</v>
          </cell>
          <cell r="L572" t="str">
            <v>NA</v>
          </cell>
          <cell r="M572" t="str">
            <v>NA</v>
          </cell>
          <cell r="N572" t="str">
            <v>NA</v>
          </cell>
          <cell r="O572" t="str">
            <v>NA</v>
          </cell>
          <cell r="P572" t="str">
            <v>NA</v>
          </cell>
          <cell r="Q572" t="str">
            <v>NA</v>
          </cell>
          <cell r="S572" t="str">
            <v>NA</v>
          </cell>
          <cell r="T572" t="str">
            <v>NA</v>
          </cell>
          <cell r="V572" t="str">
            <v>A4 Mono MFPs</v>
          </cell>
          <cell r="W572" t="str">
            <v>JALISCO</v>
          </cell>
          <cell r="X572">
            <v>2019</v>
          </cell>
          <cell r="Y572" t="str">
            <v>Qtr 2</v>
          </cell>
          <cell r="Z572" t="str">
            <v>April</v>
          </cell>
          <cell r="AA572">
            <v>10</v>
          </cell>
          <cell r="AB572" t="str">
            <v>NA</v>
          </cell>
          <cell r="AC572">
            <v>51</v>
          </cell>
          <cell r="AD572">
            <v>0</v>
          </cell>
          <cell r="AE572">
            <v>0</v>
          </cell>
          <cell r="AF572">
            <v>0</v>
          </cell>
        </row>
        <row r="573">
          <cell r="B573" t="str">
            <v>03AG877768</v>
          </cell>
          <cell r="C573">
            <v>2019</v>
          </cell>
          <cell r="D573" t="str">
            <v>Qtr 2</v>
          </cell>
          <cell r="E573" t="str">
            <v>April</v>
          </cell>
          <cell r="F573">
            <v>10</v>
          </cell>
          <cell r="G573" t="str">
            <v>CORRECTIVO</v>
          </cell>
          <cell r="H573">
            <v>0.58333330000000005</v>
          </cell>
          <cell r="I573" t="str">
            <v>Departmental Digital</v>
          </cell>
          <cell r="J573">
            <v>655</v>
          </cell>
          <cell r="K573">
            <v>1365</v>
          </cell>
          <cell r="L573">
            <v>0</v>
          </cell>
          <cell r="M573">
            <v>0</v>
          </cell>
          <cell r="N573">
            <v>0.6</v>
          </cell>
          <cell r="O573">
            <v>0.8</v>
          </cell>
          <cell r="P573">
            <v>1.05</v>
          </cell>
          <cell r="Q573">
            <v>1.1000000000000001</v>
          </cell>
          <cell r="R573" t="str">
            <v>INTERIOR</v>
          </cell>
          <cell r="S573">
            <v>5</v>
          </cell>
          <cell r="T573">
            <v>9</v>
          </cell>
          <cell r="U573" t="str">
            <v>Ciudad principal</v>
          </cell>
          <cell r="V573" t="str">
            <v>Light Production Digital Business</v>
          </cell>
          <cell r="W573" t="str">
            <v>QUERETARO</v>
          </cell>
          <cell r="X573">
            <v>2019</v>
          </cell>
          <cell r="Y573" t="str">
            <v>Qtr 2</v>
          </cell>
          <cell r="Z573" t="str">
            <v>April</v>
          </cell>
          <cell r="AA573">
            <v>10</v>
          </cell>
          <cell r="AB573">
            <v>0</v>
          </cell>
          <cell r="AC573">
            <v>35</v>
          </cell>
          <cell r="AD573">
            <v>1.05</v>
          </cell>
          <cell r="AE573">
            <v>0.11666666000000001</v>
          </cell>
          <cell r="AF573">
            <v>1433.25</v>
          </cell>
        </row>
        <row r="574">
          <cell r="B574" t="str">
            <v>0E2B658299</v>
          </cell>
          <cell r="C574">
            <v>2019</v>
          </cell>
          <cell r="D574" t="str">
            <v>Qtr 2</v>
          </cell>
          <cell r="E574" t="str">
            <v>April</v>
          </cell>
          <cell r="F574">
            <v>10</v>
          </cell>
          <cell r="G574" t="str">
            <v>CORRECTIVO</v>
          </cell>
          <cell r="H574">
            <v>2.516667</v>
          </cell>
          <cell r="I574" t="str">
            <v>Entry Production Color Low/Mid</v>
          </cell>
          <cell r="J574">
            <v>803</v>
          </cell>
          <cell r="K574">
            <v>1573</v>
          </cell>
          <cell r="L574">
            <v>0.2</v>
          </cell>
          <cell r="M574">
            <v>0.6</v>
          </cell>
          <cell r="N574">
            <v>0.8</v>
          </cell>
          <cell r="O574">
            <v>1.05</v>
          </cell>
          <cell r="P574">
            <v>1.1000000000000001</v>
          </cell>
          <cell r="Q574">
            <v>1.1499999999999999</v>
          </cell>
          <cell r="R574" t="str">
            <v>INTERIOR</v>
          </cell>
          <cell r="S574">
            <v>4</v>
          </cell>
          <cell r="T574">
            <v>6</v>
          </cell>
          <cell r="U574" t="str">
            <v>Ciudad principal</v>
          </cell>
          <cell r="V574" t="str">
            <v>Entry Production Color Low/Mid</v>
          </cell>
          <cell r="W574" t="str">
            <v>NUEVO LEON</v>
          </cell>
          <cell r="X574">
            <v>2019</v>
          </cell>
          <cell r="Y574" t="str">
            <v>Qtr 2</v>
          </cell>
          <cell r="Z574" t="str">
            <v>April</v>
          </cell>
          <cell r="AA574">
            <v>11</v>
          </cell>
          <cell r="AB574">
            <v>0</v>
          </cell>
          <cell r="AC574">
            <v>37</v>
          </cell>
          <cell r="AD574">
            <v>1.1000000000000001</v>
          </cell>
          <cell r="AE574">
            <v>0.62916675</v>
          </cell>
          <cell r="AF574">
            <v>1730.3</v>
          </cell>
        </row>
        <row r="575">
          <cell r="B575" t="str">
            <v>0E2B666229</v>
          </cell>
          <cell r="C575">
            <v>2019</v>
          </cell>
          <cell r="D575" t="str">
            <v>Qtr 2</v>
          </cell>
          <cell r="E575" t="str">
            <v>April</v>
          </cell>
          <cell r="F575">
            <v>10</v>
          </cell>
          <cell r="G575" t="str">
            <v>CORRECTIVO</v>
          </cell>
          <cell r="H575">
            <v>1.3</v>
          </cell>
          <cell r="I575" t="str">
            <v>Entry Production Color Low/Mid</v>
          </cell>
          <cell r="J575">
            <v>803</v>
          </cell>
          <cell r="K575">
            <v>1573</v>
          </cell>
          <cell r="L575">
            <v>0.2</v>
          </cell>
          <cell r="M575">
            <v>0.6</v>
          </cell>
          <cell r="N575">
            <v>0.8</v>
          </cell>
          <cell r="O575">
            <v>1.05</v>
          </cell>
          <cell r="P575">
            <v>1.1000000000000001</v>
          </cell>
          <cell r="Q575">
            <v>1.1499999999999999</v>
          </cell>
          <cell r="R575" t="str">
            <v>INTERIOR</v>
          </cell>
          <cell r="S575">
            <v>4</v>
          </cell>
          <cell r="T575">
            <v>6</v>
          </cell>
          <cell r="U575" t="str">
            <v>Ciudad principal</v>
          </cell>
          <cell r="V575" t="str">
            <v>Entry Production Color Low/Mid</v>
          </cell>
          <cell r="W575" t="str">
            <v>NUEVO LEON</v>
          </cell>
          <cell r="X575">
            <v>2019</v>
          </cell>
          <cell r="Y575" t="str">
            <v>Qtr 2</v>
          </cell>
          <cell r="Z575" t="str">
            <v>April</v>
          </cell>
          <cell r="AA575">
            <v>10</v>
          </cell>
          <cell r="AB575">
            <v>0</v>
          </cell>
          <cell r="AC575">
            <v>15</v>
          </cell>
          <cell r="AD575">
            <v>0.8</v>
          </cell>
          <cell r="AE575">
            <v>0.32500000000000001</v>
          </cell>
          <cell r="AF575">
            <v>1258.4000000000001</v>
          </cell>
        </row>
        <row r="576">
          <cell r="B576" t="str">
            <v>0C7X246842</v>
          </cell>
          <cell r="C576">
            <v>2019</v>
          </cell>
          <cell r="D576" t="str">
            <v>Qtr 2</v>
          </cell>
          <cell r="E576" t="str">
            <v>April</v>
          </cell>
          <cell r="F576">
            <v>10</v>
          </cell>
          <cell r="G576" t="str">
            <v>CORRECTIVO</v>
          </cell>
          <cell r="H576">
            <v>1.316667</v>
          </cell>
          <cell r="I576" t="str">
            <v>A4 Mono MFPs</v>
          </cell>
          <cell r="J576">
            <v>468</v>
          </cell>
          <cell r="K576">
            <v>715</v>
          </cell>
          <cell r="L576">
            <v>0</v>
          </cell>
          <cell r="M576">
            <v>0</v>
          </cell>
          <cell r="N576">
            <v>0</v>
          </cell>
          <cell r="O576">
            <v>0.6</v>
          </cell>
          <cell r="P576">
            <v>0.8</v>
          </cell>
          <cell r="Q576">
            <v>1.05</v>
          </cell>
          <cell r="R576" t="str">
            <v>INTERIOR</v>
          </cell>
          <cell r="S576">
            <v>5</v>
          </cell>
          <cell r="T576">
            <v>9</v>
          </cell>
          <cell r="U576" t="str">
            <v>Ciudad principal</v>
          </cell>
          <cell r="V576" t="str">
            <v>A4 Mono MFPs</v>
          </cell>
          <cell r="W576" t="str">
            <v>JALISCO</v>
          </cell>
          <cell r="X576">
            <v>2019</v>
          </cell>
          <cell r="Y576" t="str">
            <v>Qtr 2</v>
          </cell>
          <cell r="Z576" t="str">
            <v>April</v>
          </cell>
          <cell r="AA576">
            <v>12</v>
          </cell>
          <cell r="AB576">
            <v>0</v>
          </cell>
          <cell r="AC576">
            <v>55</v>
          </cell>
          <cell r="AD576">
            <v>0.8</v>
          </cell>
          <cell r="AE576">
            <v>0.2633334</v>
          </cell>
          <cell r="AF576">
            <v>572</v>
          </cell>
        </row>
        <row r="577">
          <cell r="B577" t="str">
            <v>0EX9297705</v>
          </cell>
          <cell r="C577">
            <v>2019</v>
          </cell>
          <cell r="D577" t="str">
            <v>Qtr 2</v>
          </cell>
          <cell r="E577" t="str">
            <v>April</v>
          </cell>
          <cell r="F577">
            <v>10</v>
          </cell>
          <cell r="G577" t="str">
            <v>CORRECTIVO</v>
          </cell>
          <cell r="H577">
            <v>2.1</v>
          </cell>
          <cell r="I577" t="str">
            <v>Departmental Digital</v>
          </cell>
          <cell r="J577">
            <v>655</v>
          </cell>
          <cell r="K577">
            <v>1365</v>
          </cell>
          <cell r="L577">
            <v>0</v>
          </cell>
          <cell r="M577">
            <v>0</v>
          </cell>
          <cell r="N577">
            <v>0.6</v>
          </cell>
          <cell r="O577">
            <v>0.8</v>
          </cell>
          <cell r="P577">
            <v>1.05</v>
          </cell>
          <cell r="Q577">
            <v>1.1000000000000001</v>
          </cell>
          <cell r="R577" t="str">
            <v>INTERIOR</v>
          </cell>
          <cell r="S577">
            <v>5</v>
          </cell>
          <cell r="T577">
            <v>9</v>
          </cell>
          <cell r="U577" t="str">
            <v>Ciudad principal</v>
          </cell>
          <cell r="V577" t="str">
            <v>Departmental Digital</v>
          </cell>
          <cell r="W577" t="str">
            <v>NUEVO LEON</v>
          </cell>
          <cell r="X577">
            <v>2019</v>
          </cell>
          <cell r="Y577" t="str">
            <v>Qtr 2</v>
          </cell>
          <cell r="Z577" t="str">
            <v>April</v>
          </cell>
          <cell r="AA577">
            <v>15</v>
          </cell>
          <cell r="AB577">
            <v>0</v>
          </cell>
          <cell r="AC577">
            <v>0</v>
          </cell>
          <cell r="AD577">
            <v>1.1000000000000001</v>
          </cell>
          <cell r="AE577">
            <v>0.42</v>
          </cell>
          <cell r="AF577">
            <v>1501.5</v>
          </cell>
        </row>
        <row r="578">
          <cell r="B578" t="str">
            <v>0MX4766757</v>
          </cell>
          <cell r="C578">
            <v>2019</v>
          </cell>
          <cell r="D578" t="str">
            <v>Qtr 2</v>
          </cell>
          <cell r="E578" t="str">
            <v>April</v>
          </cell>
          <cell r="F578">
            <v>10</v>
          </cell>
          <cell r="G578" t="str">
            <v>CORRECTIVO</v>
          </cell>
          <cell r="H578">
            <v>1.016667</v>
          </cell>
          <cell r="I578" t="str">
            <v>A3 Office Color Laser MFPs</v>
          </cell>
          <cell r="J578">
            <v>655</v>
          </cell>
          <cell r="K578">
            <v>1365</v>
          </cell>
          <cell r="L578">
            <v>0</v>
          </cell>
          <cell r="M578">
            <v>0</v>
          </cell>
          <cell r="N578">
            <v>0.6</v>
          </cell>
          <cell r="O578">
            <v>0.8</v>
          </cell>
          <cell r="P578">
            <v>1.05</v>
          </cell>
          <cell r="Q578">
            <v>1.1000000000000001</v>
          </cell>
          <cell r="R578" t="str">
            <v>INTERIOR</v>
          </cell>
          <cell r="S578">
            <v>5</v>
          </cell>
          <cell r="T578">
            <v>9</v>
          </cell>
          <cell r="U578" t="str">
            <v>Ciudad principal</v>
          </cell>
          <cell r="V578" t="str">
            <v>A3 Office Color Laser MFPs</v>
          </cell>
          <cell r="W578" t="str">
            <v>CHIHUAHUA</v>
          </cell>
          <cell r="X578">
            <v>2019</v>
          </cell>
          <cell r="Y578" t="str">
            <v>Qtr 2</v>
          </cell>
          <cell r="Z578" t="str">
            <v>April</v>
          </cell>
          <cell r="AA578">
            <v>10</v>
          </cell>
          <cell r="AB578">
            <v>0</v>
          </cell>
          <cell r="AC578">
            <v>63</v>
          </cell>
          <cell r="AD578">
            <v>1.1000000000000001</v>
          </cell>
          <cell r="AE578">
            <v>0.2033334</v>
          </cell>
          <cell r="AF578">
            <v>1501.5</v>
          </cell>
        </row>
        <row r="579">
          <cell r="B579" t="str">
            <v>0BG1000839</v>
          </cell>
          <cell r="C579">
            <v>2019</v>
          </cell>
          <cell r="D579" t="str">
            <v>Qtr 2</v>
          </cell>
          <cell r="E579" t="str">
            <v>April</v>
          </cell>
          <cell r="F579">
            <v>10</v>
          </cell>
          <cell r="G579" t="str">
            <v>CORRECTIVO</v>
          </cell>
          <cell r="H579">
            <v>0</v>
          </cell>
          <cell r="I579" t="str">
            <v>Light Production Digital Business</v>
          </cell>
          <cell r="J579">
            <v>803</v>
          </cell>
          <cell r="K579">
            <v>1573</v>
          </cell>
          <cell r="L579">
            <v>0.2</v>
          </cell>
          <cell r="M579">
            <v>0.6</v>
          </cell>
          <cell r="N579">
            <v>0.8</v>
          </cell>
          <cell r="O579">
            <v>1.05</v>
          </cell>
          <cell r="P579">
            <v>1.1000000000000001</v>
          </cell>
          <cell r="Q579">
            <v>1.1499999999999999</v>
          </cell>
          <cell r="R579" t="str">
            <v>INTERIOR</v>
          </cell>
          <cell r="S579">
            <v>4</v>
          </cell>
          <cell r="T579">
            <v>6</v>
          </cell>
          <cell r="U579" t="str">
            <v>Ciudad principal</v>
          </cell>
          <cell r="V579" t="str">
            <v>High End Cut Sheet</v>
          </cell>
          <cell r="W579" t="str">
            <v>CHIHUAHUA</v>
          </cell>
          <cell r="X579">
            <v>2019</v>
          </cell>
          <cell r="Y579" t="str">
            <v>Qtr 2</v>
          </cell>
          <cell r="Z579" t="str">
            <v>April</v>
          </cell>
          <cell r="AA579">
            <v>25</v>
          </cell>
          <cell r="AB579">
            <v>0</v>
          </cell>
          <cell r="AC579">
            <v>44</v>
          </cell>
          <cell r="AD579">
            <v>1.1000000000000001</v>
          </cell>
          <cell r="AE579">
            <v>0</v>
          </cell>
          <cell r="AF579">
            <v>1730.3</v>
          </cell>
        </row>
        <row r="580">
          <cell r="B580" t="str">
            <v>0LX5825590</v>
          </cell>
          <cell r="C580">
            <v>2019</v>
          </cell>
          <cell r="D580" t="str">
            <v>Qtr 2</v>
          </cell>
          <cell r="E580" t="str">
            <v>April</v>
          </cell>
          <cell r="F580">
            <v>10</v>
          </cell>
          <cell r="G580" t="str">
            <v>CORRECTIVO</v>
          </cell>
          <cell r="H580">
            <v>0</v>
          </cell>
          <cell r="I580" t="str">
            <v>A3 Office Color Laser MFPs</v>
          </cell>
          <cell r="J580">
            <v>655</v>
          </cell>
          <cell r="K580">
            <v>1365</v>
          </cell>
          <cell r="L580">
            <v>0</v>
          </cell>
          <cell r="M580">
            <v>0</v>
          </cell>
          <cell r="N580">
            <v>0.6</v>
          </cell>
          <cell r="O580">
            <v>0.8</v>
          </cell>
          <cell r="P580">
            <v>1.05</v>
          </cell>
          <cell r="Q580">
            <v>1.1000000000000001</v>
          </cell>
          <cell r="R580" t="str">
            <v>INTERIOR</v>
          </cell>
          <cell r="S580">
            <v>5</v>
          </cell>
          <cell r="T580">
            <v>9</v>
          </cell>
          <cell r="U580" t="str">
            <v>Ciudad principal</v>
          </cell>
          <cell r="V580" t="str">
            <v>A3 Office Color Laser MFPs</v>
          </cell>
          <cell r="W580" t="str">
            <v>CHIHUAHUA</v>
          </cell>
          <cell r="X580">
            <v>2019</v>
          </cell>
          <cell r="Y580" t="str">
            <v>Qtr 2</v>
          </cell>
          <cell r="Z580" t="str">
            <v>April</v>
          </cell>
          <cell r="AA580">
            <v>24</v>
          </cell>
          <cell r="AB580">
            <v>0</v>
          </cell>
          <cell r="AC580">
            <v>155</v>
          </cell>
          <cell r="AD580">
            <v>1.1000000000000001</v>
          </cell>
          <cell r="AE580">
            <v>0</v>
          </cell>
          <cell r="AF580">
            <v>1501.5</v>
          </cell>
        </row>
        <row r="581">
          <cell r="B581" t="str">
            <v>0MX4777397</v>
          </cell>
          <cell r="C581">
            <v>2019</v>
          </cell>
          <cell r="D581" t="str">
            <v>Qtr 2</v>
          </cell>
          <cell r="E581" t="str">
            <v>April</v>
          </cell>
          <cell r="F581">
            <v>10</v>
          </cell>
          <cell r="G581" t="str">
            <v>CORRECTIVO</v>
          </cell>
          <cell r="H581">
            <v>1.5333330000000001</v>
          </cell>
          <cell r="I581" t="str">
            <v>A3 Office Color Laser MFPs</v>
          </cell>
          <cell r="J581">
            <v>655</v>
          </cell>
          <cell r="K581">
            <v>1365</v>
          </cell>
          <cell r="L581">
            <v>0</v>
          </cell>
          <cell r="M581">
            <v>0</v>
          </cell>
          <cell r="N581">
            <v>0.6</v>
          </cell>
          <cell r="O581">
            <v>0.8</v>
          </cell>
          <cell r="P581">
            <v>1.05</v>
          </cell>
          <cell r="Q581">
            <v>1.1000000000000001</v>
          </cell>
          <cell r="R581" t="str">
            <v>INTERIOR</v>
          </cell>
          <cell r="S581">
            <v>5</v>
          </cell>
          <cell r="T581">
            <v>9</v>
          </cell>
          <cell r="U581" t="str">
            <v>Ciudad principal</v>
          </cell>
          <cell r="V581" t="str">
            <v>A3 Office Color Laser MFPs</v>
          </cell>
          <cell r="W581" t="str">
            <v>CHIHUAHUA</v>
          </cell>
          <cell r="X581">
            <v>2019</v>
          </cell>
          <cell r="Y581" t="str">
            <v>Qtr 2</v>
          </cell>
          <cell r="Z581" t="str">
            <v>April</v>
          </cell>
          <cell r="AA581">
            <v>17</v>
          </cell>
          <cell r="AB581">
            <v>0</v>
          </cell>
          <cell r="AC581">
            <v>153</v>
          </cell>
          <cell r="AD581">
            <v>1.1000000000000001</v>
          </cell>
          <cell r="AE581">
            <v>0.30666660000000001</v>
          </cell>
          <cell r="AF581">
            <v>1501.5</v>
          </cell>
        </row>
        <row r="582">
          <cell r="B582" t="str">
            <v>08TB572617</v>
          </cell>
          <cell r="C582">
            <v>2019</v>
          </cell>
          <cell r="D582" t="str">
            <v>Qtr 2</v>
          </cell>
          <cell r="E582" t="str">
            <v>April</v>
          </cell>
          <cell r="F582">
            <v>10</v>
          </cell>
          <cell r="G582" t="str">
            <v>CORRECTIVO</v>
          </cell>
          <cell r="H582">
            <v>0.78333339999999996</v>
          </cell>
          <cell r="I582" t="str">
            <v>A3 Office Color Laser MFPs</v>
          </cell>
          <cell r="J582">
            <v>655</v>
          </cell>
          <cell r="K582">
            <v>1365</v>
          </cell>
          <cell r="L582">
            <v>0</v>
          </cell>
          <cell r="M582">
            <v>0</v>
          </cell>
          <cell r="N582">
            <v>0.6</v>
          </cell>
          <cell r="O582">
            <v>0.8</v>
          </cell>
          <cell r="P582">
            <v>1.05</v>
          </cell>
          <cell r="Q582">
            <v>1.1000000000000001</v>
          </cell>
          <cell r="R582" t="str">
            <v>INTERIOR</v>
          </cell>
          <cell r="S582">
            <v>5</v>
          </cell>
          <cell r="T582">
            <v>9</v>
          </cell>
          <cell r="U582" t="str">
            <v>Ciudad principal</v>
          </cell>
          <cell r="V582" t="str">
            <v>A3 Office Color Laser MFPs</v>
          </cell>
          <cell r="W582" t="str">
            <v>CHIHUAHUA</v>
          </cell>
          <cell r="X582">
            <v>2019</v>
          </cell>
          <cell r="Y582" t="str">
            <v>Qtr 2</v>
          </cell>
          <cell r="Z582" t="str">
            <v>April</v>
          </cell>
          <cell r="AA582">
            <v>12</v>
          </cell>
          <cell r="AB582">
            <v>0</v>
          </cell>
          <cell r="AC582">
            <v>386</v>
          </cell>
          <cell r="AD582">
            <v>1.1000000000000001</v>
          </cell>
          <cell r="AE582">
            <v>0.15666668</v>
          </cell>
          <cell r="AF582">
            <v>1501.5</v>
          </cell>
        </row>
        <row r="583">
          <cell r="B583" t="str">
            <v>0EX7380352</v>
          </cell>
          <cell r="C583">
            <v>2019</v>
          </cell>
          <cell r="D583" t="str">
            <v>Qtr 2</v>
          </cell>
          <cell r="E583" t="str">
            <v>April</v>
          </cell>
          <cell r="F583">
            <v>10</v>
          </cell>
          <cell r="G583" t="str">
            <v>CORRECTIVO</v>
          </cell>
          <cell r="H583">
            <v>0</v>
          </cell>
          <cell r="I583" t="str">
            <v>Office Digital</v>
          </cell>
          <cell r="J583">
            <v>655</v>
          </cell>
          <cell r="K583">
            <v>1365</v>
          </cell>
          <cell r="L583">
            <v>0</v>
          </cell>
          <cell r="M583">
            <v>0</v>
          </cell>
          <cell r="N583">
            <v>0.6</v>
          </cell>
          <cell r="O583">
            <v>0.8</v>
          </cell>
          <cell r="P583">
            <v>1.05</v>
          </cell>
          <cell r="Q583">
            <v>1.1000000000000001</v>
          </cell>
          <cell r="R583" t="str">
            <v>INTERIOR</v>
          </cell>
          <cell r="S583">
            <v>5</v>
          </cell>
          <cell r="T583">
            <v>9</v>
          </cell>
          <cell r="U583" t="str">
            <v>Ciudad principal</v>
          </cell>
          <cell r="V583" t="str">
            <v>Departmental Digital</v>
          </cell>
          <cell r="W583" t="str">
            <v>CHIHUAHUA</v>
          </cell>
          <cell r="X583">
            <v>2019</v>
          </cell>
          <cell r="Y583" t="str">
            <v>Qtr 2</v>
          </cell>
          <cell r="Z583" t="str">
            <v>April</v>
          </cell>
          <cell r="AA583">
            <v>10</v>
          </cell>
          <cell r="AB583">
            <v>1</v>
          </cell>
          <cell r="AC583">
            <v>146</v>
          </cell>
          <cell r="AD583">
            <v>0</v>
          </cell>
          <cell r="AE583">
            <v>0</v>
          </cell>
          <cell r="AF583">
            <v>0</v>
          </cell>
        </row>
        <row r="584">
          <cell r="B584" t="str">
            <v>09HB332043</v>
          </cell>
          <cell r="C584">
            <v>2019</v>
          </cell>
          <cell r="D584" t="str">
            <v>Qtr 2</v>
          </cell>
          <cell r="E584" t="str">
            <v>April</v>
          </cell>
          <cell r="F584">
            <v>10</v>
          </cell>
          <cell r="G584" t="str">
            <v>MANTENIMIENTO PREVENTIVO</v>
          </cell>
          <cell r="H584">
            <v>0</v>
          </cell>
          <cell r="I584" t="str">
            <v>A4 Mono MFPs</v>
          </cell>
          <cell r="J584">
            <v>468</v>
          </cell>
          <cell r="K584">
            <v>715</v>
          </cell>
          <cell r="L584">
            <v>0</v>
          </cell>
          <cell r="M584">
            <v>0</v>
          </cell>
          <cell r="N584">
            <v>0</v>
          </cell>
          <cell r="O584">
            <v>0.6</v>
          </cell>
          <cell r="P584">
            <v>0.8</v>
          </cell>
          <cell r="Q584">
            <v>1.05</v>
          </cell>
          <cell r="R584" t="str">
            <v>INTERIOR</v>
          </cell>
          <cell r="S584">
            <v>5</v>
          </cell>
          <cell r="T584">
            <v>9</v>
          </cell>
          <cell r="U584" t="str">
            <v>Ciudad principal</v>
          </cell>
          <cell r="V584" t="str">
            <v>A4 Mono MFPs</v>
          </cell>
          <cell r="W584" t="str">
            <v>JALISCO</v>
          </cell>
          <cell r="X584">
            <v>2019</v>
          </cell>
          <cell r="Y584" t="str">
            <v>Qtr 2</v>
          </cell>
          <cell r="Z584" t="str">
            <v>April</v>
          </cell>
          <cell r="AA584">
            <v>10</v>
          </cell>
          <cell r="AB584">
            <v>1</v>
          </cell>
          <cell r="AC584">
            <v>14</v>
          </cell>
          <cell r="AD584">
            <v>0</v>
          </cell>
          <cell r="AE584">
            <v>0</v>
          </cell>
          <cell r="AF584">
            <v>0</v>
          </cell>
        </row>
        <row r="585">
          <cell r="B585" t="str">
            <v>0A2T200293</v>
          </cell>
          <cell r="C585">
            <v>2019</v>
          </cell>
          <cell r="D585" t="str">
            <v>Qtr 2</v>
          </cell>
          <cell r="E585" t="str">
            <v>April</v>
          </cell>
          <cell r="F585">
            <v>10</v>
          </cell>
          <cell r="G585" t="str">
            <v>CORRECTIVO</v>
          </cell>
          <cell r="H585">
            <v>1</v>
          </cell>
          <cell r="J585" t="str">
            <v>NA</v>
          </cell>
          <cell r="K585" t="str">
            <v>NA</v>
          </cell>
          <cell r="L585" t="str">
            <v>NA</v>
          </cell>
          <cell r="M585" t="str">
            <v>NA</v>
          </cell>
          <cell r="N585" t="str">
            <v>NA</v>
          </cell>
          <cell r="O585" t="str">
            <v>NA</v>
          </cell>
          <cell r="P585" t="str">
            <v>NA</v>
          </cell>
          <cell r="Q585" t="str">
            <v>NA</v>
          </cell>
          <cell r="S585" t="str">
            <v>NA</v>
          </cell>
          <cell r="T585" t="str">
            <v>NA</v>
          </cell>
          <cell r="V585" t="str">
            <v>A4 Mono MFPs</v>
          </cell>
          <cell r="W585" t="str">
            <v>QUERETARO</v>
          </cell>
          <cell r="X585">
            <v>2019</v>
          </cell>
          <cell r="Y585" t="str">
            <v>Qtr 2</v>
          </cell>
          <cell r="Z585" t="str">
            <v>April</v>
          </cell>
          <cell r="AA585">
            <v>10</v>
          </cell>
          <cell r="AB585" t="str">
            <v>NA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</row>
        <row r="586">
          <cell r="B586" t="str">
            <v>08TB572633</v>
          </cell>
          <cell r="C586">
            <v>2019</v>
          </cell>
          <cell r="D586" t="str">
            <v>Qtr 2</v>
          </cell>
          <cell r="E586" t="str">
            <v>April</v>
          </cell>
          <cell r="F586">
            <v>10</v>
          </cell>
          <cell r="G586" t="str">
            <v>CORRECTIVO</v>
          </cell>
          <cell r="H586">
            <v>1.183333</v>
          </cell>
          <cell r="I586" t="str">
            <v>A3 Office Color Laser MFPs</v>
          </cell>
          <cell r="J586">
            <v>655</v>
          </cell>
          <cell r="K586">
            <v>1365</v>
          </cell>
          <cell r="L586">
            <v>0</v>
          </cell>
          <cell r="M586">
            <v>0</v>
          </cell>
          <cell r="N586">
            <v>0.6</v>
          </cell>
          <cell r="O586">
            <v>0.8</v>
          </cell>
          <cell r="P586">
            <v>1.05</v>
          </cell>
          <cell r="Q586">
            <v>1.1000000000000001</v>
          </cell>
          <cell r="R586" t="str">
            <v>INTERIOR</v>
          </cell>
          <cell r="S586">
            <v>5</v>
          </cell>
          <cell r="T586">
            <v>9</v>
          </cell>
          <cell r="U586" t="str">
            <v>Ciudad principal</v>
          </cell>
          <cell r="V586" t="str">
            <v>A3 Office Color Laser MFPs</v>
          </cell>
          <cell r="W586" t="str">
            <v>CHIHUAHUA</v>
          </cell>
          <cell r="X586">
            <v>2019</v>
          </cell>
          <cell r="Y586" t="str">
            <v>Qtr 2</v>
          </cell>
          <cell r="Z586" t="str">
            <v>April</v>
          </cell>
          <cell r="AA586">
            <v>15</v>
          </cell>
          <cell r="AB586">
            <v>0</v>
          </cell>
          <cell r="AC586">
            <v>343</v>
          </cell>
          <cell r="AD586">
            <v>1.1000000000000001</v>
          </cell>
          <cell r="AE586">
            <v>0.2366666</v>
          </cell>
          <cell r="AF586">
            <v>1501.5</v>
          </cell>
        </row>
        <row r="587">
          <cell r="B587" t="str">
            <v>9HB326753</v>
          </cell>
          <cell r="C587">
            <v>2019</v>
          </cell>
          <cell r="D587" t="str">
            <v>Qtr 2</v>
          </cell>
          <cell r="E587" t="str">
            <v>April</v>
          </cell>
          <cell r="F587">
            <v>10</v>
          </cell>
          <cell r="G587" t="str">
            <v>CORRECTIVO</v>
          </cell>
          <cell r="H587">
            <v>1.9666669999999999</v>
          </cell>
          <cell r="I587" t="str">
            <v>A4 Mono MFPs</v>
          </cell>
          <cell r="J587">
            <v>468</v>
          </cell>
          <cell r="K587">
            <v>715</v>
          </cell>
          <cell r="L587">
            <v>0</v>
          </cell>
          <cell r="M587">
            <v>0</v>
          </cell>
          <cell r="N587">
            <v>0</v>
          </cell>
          <cell r="O587">
            <v>0.6</v>
          </cell>
          <cell r="P587">
            <v>0.8</v>
          </cell>
          <cell r="Q587">
            <v>1.05</v>
          </cell>
          <cell r="R587" t="str">
            <v>INTERIOR</v>
          </cell>
          <cell r="S587">
            <v>5</v>
          </cell>
          <cell r="T587">
            <v>9</v>
          </cell>
          <cell r="U587" t="str">
            <v>Ciudad principal</v>
          </cell>
          <cell r="V587" t="str">
            <v>A4 Mono MFPs</v>
          </cell>
          <cell r="W587" t="str">
            <v>TAMAULIPAS</v>
          </cell>
          <cell r="X587">
            <v>2019</v>
          </cell>
          <cell r="Y587" t="str">
            <v>Qtr 2</v>
          </cell>
          <cell r="Z587" t="str">
            <v>April</v>
          </cell>
          <cell r="AA587">
            <v>10</v>
          </cell>
          <cell r="AB587">
            <v>0</v>
          </cell>
          <cell r="AC587">
            <v>114</v>
          </cell>
          <cell r="AD587">
            <v>1.05</v>
          </cell>
          <cell r="AE587">
            <v>0.3933334</v>
          </cell>
          <cell r="AF587">
            <v>750.75</v>
          </cell>
        </row>
        <row r="588">
          <cell r="B588" t="str">
            <v>09HB320532</v>
          </cell>
          <cell r="C588">
            <v>2019</v>
          </cell>
          <cell r="D588" t="str">
            <v>Qtr 2</v>
          </cell>
          <cell r="E588" t="str">
            <v>April</v>
          </cell>
          <cell r="F588">
            <v>10</v>
          </cell>
          <cell r="G588" t="str">
            <v>CORRECTIVO</v>
          </cell>
          <cell r="H588">
            <v>3.0833330000000001</v>
          </cell>
          <cell r="J588" t="str">
            <v>NA</v>
          </cell>
          <cell r="K588" t="str">
            <v>NA</v>
          </cell>
          <cell r="L588" t="str">
            <v>NA</v>
          </cell>
          <cell r="M588" t="str">
            <v>NA</v>
          </cell>
          <cell r="N588" t="str">
            <v>NA</v>
          </cell>
          <cell r="O588" t="str">
            <v>NA</v>
          </cell>
          <cell r="P588" t="str">
            <v>NA</v>
          </cell>
          <cell r="Q588" t="str">
            <v>NA</v>
          </cell>
          <cell r="S588" t="str">
            <v>NA</v>
          </cell>
          <cell r="T588" t="str">
            <v>NA</v>
          </cell>
          <cell r="V588" t="str">
            <v>A4 Mono MFPs</v>
          </cell>
          <cell r="W588" t="str">
            <v>TAMAULIPAS</v>
          </cell>
          <cell r="X588">
            <v>2019</v>
          </cell>
          <cell r="Y588" t="str">
            <v>Qtr 2</v>
          </cell>
          <cell r="Z588" t="str">
            <v>April</v>
          </cell>
          <cell r="AA588">
            <v>11</v>
          </cell>
          <cell r="AB588" t="str">
            <v>NA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</row>
        <row r="589">
          <cell r="B589" t="str">
            <v>0VMA662943</v>
          </cell>
          <cell r="C589">
            <v>2019</v>
          </cell>
          <cell r="D589" t="str">
            <v>Qtr 2</v>
          </cell>
          <cell r="E589" t="str">
            <v>April</v>
          </cell>
          <cell r="F589">
            <v>10</v>
          </cell>
          <cell r="G589" t="str">
            <v>CORRECTIVO</v>
          </cell>
          <cell r="H589">
            <v>0.05</v>
          </cell>
          <cell r="I589" t="str">
            <v>A4 Mono MFPs</v>
          </cell>
          <cell r="J589">
            <v>468</v>
          </cell>
          <cell r="K589">
            <v>715</v>
          </cell>
          <cell r="L589">
            <v>0</v>
          </cell>
          <cell r="M589">
            <v>0</v>
          </cell>
          <cell r="N589">
            <v>0</v>
          </cell>
          <cell r="O589">
            <v>0.6</v>
          </cell>
          <cell r="P589">
            <v>0.8</v>
          </cell>
          <cell r="Q589">
            <v>1.05</v>
          </cell>
          <cell r="R589" t="str">
            <v>INTERIOR</v>
          </cell>
          <cell r="S589">
            <v>5</v>
          </cell>
          <cell r="T589">
            <v>9</v>
          </cell>
          <cell r="U589" t="str">
            <v>Otras</v>
          </cell>
          <cell r="V589" t="str">
            <v>A4 Mono MFPs</v>
          </cell>
          <cell r="W589" t="str">
            <v>COAHUILA</v>
          </cell>
          <cell r="X589">
            <v>2019</v>
          </cell>
          <cell r="Y589" t="str">
            <v>Qtr 2</v>
          </cell>
          <cell r="Z589" t="str">
            <v>April</v>
          </cell>
          <cell r="AA589">
            <v>15</v>
          </cell>
          <cell r="AB589">
            <v>1</v>
          </cell>
          <cell r="AC589">
            <v>34</v>
          </cell>
          <cell r="AD589">
            <v>0</v>
          </cell>
          <cell r="AE589">
            <v>0</v>
          </cell>
          <cell r="AF589">
            <v>0</v>
          </cell>
        </row>
        <row r="590">
          <cell r="B590" t="str">
            <v>0B2R088357</v>
          </cell>
          <cell r="C590">
            <v>2019</v>
          </cell>
          <cell r="D590" t="str">
            <v>Qtr 2</v>
          </cell>
          <cell r="E590" t="str">
            <v>April</v>
          </cell>
          <cell r="F590">
            <v>10</v>
          </cell>
          <cell r="G590" t="str">
            <v>CORRECTIVO</v>
          </cell>
          <cell r="H590">
            <v>0.2</v>
          </cell>
          <cell r="I590" t="str">
            <v>Entry Production Color Low/Mid</v>
          </cell>
          <cell r="J590">
            <v>803</v>
          </cell>
          <cell r="K590">
            <v>1573</v>
          </cell>
          <cell r="L590">
            <v>0.2</v>
          </cell>
          <cell r="M590">
            <v>0.6</v>
          </cell>
          <cell r="N590">
            <v>0.8</v>
          </cell>
          <cell r="O590">
            <v>1.05</v>
          </cell>
          <cell r="P590">
            <v>1.1000000000000001</v>
          </cell>
          <cell r="Q590">
            <v>1.1499999999999999</v>
          </cell>
          <cell r="R590" t="str">
            <v>INTERIOR</v>
          </cell>
          <cell r="S590">
            <v>4</v>
          </cell>
          <cell r="T590">
            <v>6</v>
          </cell>
          <cell r="U590" t="str">
            <v>Ciudad principal</v>
          </cell>
          <cell r="V590" t="str">
            <v>High End Cut Sheet</v>
          </cell>
          <cell r="W590" t="str">
            <v>COLIMA</v>
          </cell>
          <cell r="X590">
            <v>2019</v>
          </cell>
          <cell r="Y590" t="str">
            <v>Qtr 2</v>
          </cell>
          <cell r="Z590" t="str">
            <v>April</v>
          </cell>
          <cell r="AA590">
            <v>17</v>
          </cell>
          <cell r="AB590">
            <v>1</v>
          </cell>
          <cell r="AC590">
            <v>8</v>
          </cell>
          <cell r="AD590">
            <v>0</v>
          </cell>
          <cell r="AE590">
            <v>0</v>
          </cell>
          <cell r="AF590">
            <v>0</v>
          </cell>
        </row>
        <row r="591">
          <cell r="B591" t="str">
            <v>0E2B654128</v>
          </cell>
          <cell r="C591">
            <v>2019</v>
          </cell>
          <cell r="D591" t="str">
            <v>Qtr 2</v>
          </cell>
          <cell r="E591" t="str">
            <v>April</v>
          </cell>
          <cell r="F591">
            <v>10</v>
          </cell>
          <cell r="G591" t="str">
            <v>CORRECTIVO</v>
          </cell>
          <cell r="H591">
            <v>1.233333</v>
          </cell>
          <cell r="I591" t="str">
            <v>Entry Production Color Low/Mid</v>
          </cell>
          <cell r="J591">
            <v>803</v>
          </cell>
          <cell r="K591">
            <v>1573</v>
          </cell>
          <cell r="L591">
            <v>0.2</v>
          </cell>
          <cell r="M591">
            <v>0.6</v>
          </cell>
          <cell r="N591">
            <v>0.8</v>
          </cell>
          <cell r="O591">
            <v>1.05</v>
          </cell>
          <cell r="P591">
            <v>1.1000000000000001</v>
          </cell>
          <cell r="Q591">
            <v>1.1499999999999999</v>
          </cell>
          <cell r="R591" t="str">
            <v>INTERIOR</v>
          </cell>
          <cell r="S591">
            <v>4</v>
          </cell>
          <cell r="T591">
            <v>6</v>
          </cell>
          <cell r="U591" t="str">
            <v>Ciudad principal</v>
          </cell>
          <cell r="V591" t="str">
            <v>Entry Production Color Low/Mid</v>
          </cell>
          <cell r="W591" t="str">
            <v>JALISCO</v>
          </cell>
          <cell r="X591">
            <v>2019</v>
          </cell>
          <cell r="Y591" t="str">
            <v>Qtr 2</v>
          </cell>
          <cell r="Z591" t="str">
            <v>April</v>
          </cell>
          <cell r="AA591">
            <v>12</v>
          </cell>
          <cell r="AB591">
            <v>0</v>
          </cell>
          <cell r="AC591">
            <v>30</v>
          </cell>
          <cell r="AD591">
            <v>1.05</v>
          </cell>
          <cell r="AE591">
            <v>0.30833325</v>
          </cell>
          <cell r="AF591">
            <v>1651.65</v>
          </cell>
        </row>
        <row r="592">
          <cell r="B592" t="str">
            <v>09HB331462</v>
          </cell>
          <cell r="C592">
            <v>2019</v>
          </cell>
          <cell r="D592" t="str">
            <v>Qtr 2</v>
          </cell>
          <cell r="E592" t="str">
            <v>April</v>
          </cell>
          <cell r="F592">
            <v>10</v>
          </cell>
          <cell r="G592" t="str">
            <v>MANTENIMIENTO PREVENTIVO</v>
          </cell>
          <cell r="H592">
            <v>0</v>
          </cell>
          <cell r="J592" t="str">
            <v>NA</v>
          </cell>
          <cell r="K592" t="str">
            <v>NA</v>
          </cell>
          <cell r="L592" t="str">
            <v>NA</v>
          </cell>
          <cell r="M592" t="str">
            <v>NA</v>
          </cell>
          <cell r="N592" t="str">
            <v>NA</v>
          </cell>
          <cell r="O592" t="str">
            <v>NA</v>
          </cell>
          <cell r="P592" t="str">
            <v>NA</v>
          </cell>
          <cell r="Q592" t="str">
            <v>NA</v>
          </cell>
          <cell r="S592" t="str">
            <v>NA</v>
          </cell>
          <cell r="T592" t="str">
            <v>NA</v>
          </cell>
          <cell r="V592" t="str">
            <v>A4 Mono MFPs</v>
          </cell>
          <cell r="W592" t="str">
            <v>JALISCO</v>
          </cell>
          <cell r="X592">
            <v>2019</v>
          </cell>
          <cell r="Y592" t="str">
            <v>Qtr 2</v>
          </cell>
          <cell r="Z592" t="str">
            <v>April</v>
          </cell>
          <cell r="AA592">
            <v>10</v>
          </cell>
          <cell r="AB592" t="str">
            <v>NA</v>
          </cell>
          <cell r="AC592">
            <v>51</v>
          </cell>
          <cell r="AD592">
            <v>0</v>
          </cell>
          <cell r="AE592">
            <v>0</v>
          </cell>
          <cell r="AF592">
            <v>0</v>
          </cell>
        </row>
        <row r="593">
          <cell r="B593" t="str">
            <v>0C7X273362</v>
          </cell>
          <cell r="C593">
            <v>2019</v>
          </cell>
          <cell r="D593" t="str">
            <v>Qtr 2</v>
          </cell>
          <cell r="E593" t="str">
            <v>April</v>
          </cell>
          <cell r="F593">
            <v>10</v>
          </cell>
          <cell r="G593" t="str">
            <v>CORRECTIVO</v>
          </cell>
          <cell r="H593">
            <v>1.3</v>
          </cell>
          <cell r="J593" t="str">
            <v>NA</v>
          </cell>
          <cell r="K593" t="str">
            <v>NA</v>
          </cell>
          <cell r="L593" t="str">
            <v>NA</v>
          </cell>
          <cell r="M593" t="str">
            <v>NA</v>
          </cell>
          <cell r="N593" t="str">
            <v>NA</v>
          </cell>
          <cell r="O593" t="str">
            <v>NA</v>
          </cell>
          <cell r="P593" t="str">
            <v>NA</v>
          </cell>
          <cell r="Q593" t="str">
            <v>NA</v>
          </cell>
          <cell r="S593" t="str">
            <v>NA</v>
          </cell>
          <cell r="T593" t="str">
            <v>NA</v>
          </cell>
          <cell r="V593" t="str">
            <v>A4 Mono MFPs</v>
          </cell>
          <cell r="W593" t="str">
            <v>QUERETARO</v>
          </cell>
          <cell r="X593">
            <v>2019</v>
          </cell>
          <cell r="Y593" t="str">
            <v>Qtr 2</v>
          </cell>
          <cell r="Z593" t="str">
            <v>April</v>
          </cell>
          <cell r="AA593">
            <v>11</v>
          </cell>
          <cell r="AB593" t="str">
            <v>NA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</row>
        <row r="594">
          <cell r="B594" t="str">
            <v>0X76372692</v>
          </cell>
          <cell r="C594">
            <v>2019</v>
          </cell>
          <cell r="D594" t="str">
            <v>Qtr 2</v>
          </cell>
          <cell r="E594" t="str">
            <v>April</v>
          </cell>
          <cell r="F594">
            <v>10</v>
          </cell>
          <cell r="G594" t="str">
            <v>CORRECTIVO</v>
          </cell>
          <cell r="H594">
            <v>2.266667</v>
          </cell>
          <cell r="I594" t="str">
            <v>Office Digital</v>
          </cell>
          <cell r="J594">
            <v>655</v>
          </cell>
          <cell r="K594">
            <v>1365</v>
          </cell>
          <cell r="L594">
            <v>0</v>
          </cell>
          <cell r="M594">
            <v>0</v>
          </cell>
          <cell r="N594">
            <v>0.6</v>
          </cell>
          <cell r="O594">
            <v>0.8</v>
          </cell>
          <cell r="P594">
            <v>1.05</v>
          </cell>
          <cell r="Q594">
            <v>1.1000000000000001</v>
          </cell>
          <cell r="R594" t="str">
            <v>INTERIOR</v>
          </cell>
          <cell r="S594">
            <v>5</v>
          </cell>
          <cell r="T594">
            <v>9</v>
          </cell>
          <cell r="U594" t="str">
            <v>Ciudad principal</v>
          </cell>
          <cell r="V594" t="str">
            <v>Departmental Digital</v>
          </cell>
          <cell r="W594" t="str">
            <v>QUERETARO</v>
          </cell>
          <cell r="X594">
            <v>2019</v>
          </cell>
          <cell r="Y594" t="str">
            <v>Qtr 2</v>
          </cell>
          <cell r="Z594" t="str">
            <v>April</v>
          </cell>
          <cell r="AA594">
            <v>11</v>
          </cell>
          <cell r="AB594">
            <v>0</v>
          </cell>
          <cell r="AC594">
            <v>117</v>
          </cell>
          <cell r="AD594">
            <v>1.1000000000000001</v>
          </cell>
          <cell r="AE594">
            <v>0.4533334</v>
          </cell>
          <cell r="AF594">
            <v>1501.5</v>
          </cell>
        </row>
        <row r="595">
          <cell r="B595" t="str">
            <v>0LA6297372</v>
          </cell>
          <cell r="C595">
            <v>2019</v>
          </cell>
          <cell r="D595" t="str">
            <v>Qtr 2</v>
          </cell>
          <cell r="E595" t="str">
            <v>April</v>
          </cell>
          <cell r="F595">
            <v>10</v>
          </cell>
          <cell r="G595" t="str">
            <v>CORRECTIVO</v>
          </cell>
          <cell r="H595">
            <v>1</v>
          </cell>
          <cell r="I595" t="str">
            <v>A4 Mono MFPs</v>
          </cell>
          <cell r="J595">
            <v>468</v>
          </cell>
          <cell r="K595">
            <v>715</v>
          </cell>
          <cell r="L595">
            <v>0</v>
          </cell>
          <cell r="M595">
            <v>0</v>
          </cell>
          <cell r="N595">
            <v>0</v>
          </cell>
          <cell r="O595">
            <v>0.6</v>
          </cell>
          <cell r="P595">
            <v>0.8</v>
          </cell>
          <cell r="Q595">
            <v>1.05</v>
          </cell>
          <cell r="R595" t="str">
            <v>INTERIOR</v>
          </cell>
          <cell r="S595">
            <v>5</v>
          </cell>
          <cell r="T595">
            <v>9</v>
          </cell>
          <cell r="U595" t="str">
            <v>Ciudad principal</v>
          </cell>
          <cell r="V595" t="str">
            <v>A4 Mono MFPs</v>
          </cell>
          <cell r="W595" t="str">
            <v>MICHOACAN</v>
          </cell>
          <cell r="X595">
            <v>2019</v>
          </cell>
          <cell r="Y595" t="str">
            <v>Qtr 2</v>
          </cell>
          <cell r="Z595" t="str">
            <v>April</v>
          </cell>
          <cell r="AA595">
            <v>12</v>
          </cell>
          <cell r="AB595">
            <v>0</v>
          </cell>
          <cell r="AC595">
            <v>26</v>
          </cell>
          <cell r="AD595">
            <v>0.6</v>
          </cell>
          <cell r="AE595">
            <v>0.2</v>
          </cell>
          <cell r="AF595">
            <v>429</v>
          </cell>
        </row>
        <row r="596">
          <cell r="B596" t="str">
            <v>0A2T382394</v>
          </cell>
          <cell r="C596">
            <v>2019</v>
          </cell>
          <cell r="D596" t="str">
            <v>Qtr 2</v>
          </cell>
          <cell r="E596" t="str">
            <v>April</v>
          </cell>
          <cell r="F596">
            <v>10</v>
          </cell>
          <cell r="G596" t="str">
            <v>MANTENIMIENTO PREVENTIVO</v>
          </cell>
          <cell r="H596">
            <v>0</v>
          </cell>
          <cell r="I596" t="str">
            <v>A4 Mono MFPs</v>
          </cell>
          <cell r="J596">
            <v>468</v>
          </cell>
          <cell r="K596">
            <v>715</v>
          </cell>
          <cell r="L596">
            <v>0</v>
          </cell>
          <cell r="M596">
            <v>0</v>
          </cell>
          <cell r="N596">
            <v>0</v>
          </cell>
          <cell r="O596">
            <v>0.6</v>
          </cell>
          <cell r="P596">
            <v>0.8</v>
          </cell>
          <cell r="Q596">
            <v>1.05</v>
          </cell>
          <cell r="R596" t="str">
            <v>INTERIOR</v>
          </cell>
          <cell r="S596">
            <v>5</v>
          </cell>
          <cell r="T596">
            <v>9</v>
          </cell>
          <cell r="U596" t="str">
            <v>Ciudad principal</v>
          </cell>
          <cell r="V596" t="str">
            <v>A4 Mono MFPs</v>
          </cell>
          <cell r="W596" t="str">
            <v>CHIHUAHUA</v>
          </cell>
          <cell r="X596">
            <v>2019</v>
          </cell>
          <cell r="Y596" t="str">
            <v>Qtr 2</v>
          </cell>
          <cell r="Z596" t="str">
            <v>April</v>
          </cell>
          <cell r="AA596">
            <v>11</v>
          </cell>
          <cell r="AB596">
            <v>0</v>
          </cell>
          <cell r="AC596">
            <v>147</v>
          </cell>
          <cell r="AD596">
            <v>0</v>
          </cell>
          <cell r="AE596">
            <v>0</v>
          </cell>
          <cell r="AF596">
            <v>715</v>
          </cell>
        </row>
        <row r="597">
          <cell r="B597" t="str">
            <v>0EX7422511</v>
          </cell>
          <cell r="C597">
            <v>2019</v>
          </cell>
          <cell r="D597" t="str">
            <v>Qtr 2</v>
          </cell>
          <cell r="E597" t="str">
            <v>April</v>
          </cell>
          <cell r="F597">
            <v>10</v>
          </cell>
          <cell r="G597" t="str">
            <v>CORRECTIVO</v>
          </cell>
          <cell r="H597">
            <v>1.6666670000000001E-2</v>
          </cell>
          <cell r="I597" t="str">
            <v>Departmental Digital</v>
          </cell>
          <cell r="J597">
            <v>655</v>
          </cell>
          <cell r="K597">
            <v>1365</v>
          </cell>
          <cell r="L597">
            <v>0</v>
          </cell>
          <cell r="M597">
            <v>0</v>
          </cell>
          <cell r="N597">
            <v>0.6</v>
          </cell>
          <cell r="O597">
            <v>0.8</v>
          </cell>
          <cell r="P597">
            <v>1.05</v>
          </cell>
          <cell r="Q597">
            <v>1.1000000000000001</v>
          </cell>
          <cell r="R597" t="str">
            <v>INTERIOR</v>
          </cell>
          <cell r="S597">
            <v>5</v>
          </cell>
          <cell r="T597">
            <v>9</v>
          </cell>
          <cell r="U597" t="str">
            <v>Ciudad principal</v>
          </cell>
          <cell r="V597" t="str">
            <v>Departmental Digital</v>
          </cell>
          <cell r="W597" t="str">
            <v>COAHUILA</v>
          </cell>
          <cell r="X597">
            <v>2019</v>
          </cell>
          <cell r="Y597" t="str">
            <v>Qtr 2</v>
          </cell>
          <cell r="Z597" t="str">
            <v>April</v>
          </cell>
          <cell r="AA597">
            <v>10</v>
          </cell>
          <cell r="AB597">
            <v>0</v>
          </cell>
          <cell r="AC597">
            <v>160</v>
          </cell>
          <cell r="AD597">
            <v>1.1000000000000001</v>
          </cell>
          <cell r="AE597">
            <v>3.3333339999999999E-3</v>
          </cell>
          <cell r="AF597">
            <v>1501.5</v>
          </cell>
        </row>
        <row r="598">
          <cell r="B598" t="str">
            <v>0A4T558166</v>
          </cell>
          <cell r="C598">
            <v>2019</v>
          </cell>
          <cell r="D598" t="str">
            <v>Qtr 2</v>
          </cell>
          <cell r="E598" t="str">
            <v>April</v>
          </cell>
          <cell r="F598">
            <v>10</v>
          </cell>
          <cell r="G598" t="str">
            <v>CORRECTIVO</v>
          </cell>
          <cell r="H598">
            <v>0.1666667</v>
          </cell>
          <cell r="I598" t="str">
            <v>Entry Mono Printers</v>
          </cell>
          <cell r="J598">
            <v>468</v>
          </cell>
          <cell r="K598">
            <v>715</v>
          </cell>
          <cell r="L598">
            <v>0</v>
          </cell>
          <cell r="M598">
            <v>0</v>
          </cell>
          <cell r="N598">
            <v>0</v>
          </cell>
          <cell r="O598">
            <v>0.6</v>
          </cell>
          <cell r="P598">
            <v>0.8</v>
          </cell>
          <cell r="Q598">
            <v>1.05</v>
          </cell>
          <cell r="R598" t="str">
            <v>INTERIOR</v>
          </cell>
          <cell r="S598">
            <v>5</v>
          </cell>
          <cell r="T598">
            <v>9</v>
          </cell>
          <cell r="U598" t="str">
            <v>Ciudad principal</v>
          </cell>
          <cell r="V598" t="str">
            <v>A4 Mono MFPs</v>
          </cell>
          <cell r="W598" t="str">
            <v>JALISCO</v>
          </cell>
          <cell r="X598">
            <v>2019</v>
          </cell>
          <cell r="Y598" t="str">
            <v>Qtr 2</v>
          </cell>
          <cell r="Z598" t="str">
            <v>April</v>
          </cell>
          <cell r="AA598">
            <v>11</v>
          </cell>
          <cell r="AB598">
            <v>0</v>
          </cell>
          <cell r="AC598">
            <v>89</v>
          </cell>
          <cell r="AD598">
            <v>1.05</v>
          </cell>
          <cell r="AE598">
            <v>3.3333340000000003E-2</v>
          </cell>
          <cell r="AF598">
            <v>750.75</v>
          </cell>
        </row>
        <row r="599">
          <cell r="B599" t="str">
            <v>09HB328227</v>
          </cell>
          <cell r="C599">
            <v>2019</v>
          </cell>
          <cell r="D599" t="str">
            <v>Qtr 2</v>
          </cell>
          <cell r="E599" t="str">
            <v>April</v>
          </cell>
          <cell r="F599">
            <v>10</v>
          </cell>
          <cell r="G599" t="str">
            <v>CORRECTIVO</v>
          </cell>
          <cell r="H599">
            <v>0.56666669999999997</v>
          </cell>
          <cell r="J599" t="str">
            <v>NA</v>
          </cell>
          <cell r="K599" t="str">
            <v>NA</v>
          </cell>
          <cell r="L599" t="str">
            <v>NA</v>
          </cell>
          <cell r="M599" t="str">
            <v>NA</v>
          </cell>
          <cell r="N599" t="str">
            <v>NA</v>
          </cell>
          <cell r="O599" t="str">
            <v>NA</v>
          </cell>
          <cell r="P599" t="str">
            <v>NA</v>
          </cell>
          <cell r="Q599" t="str">
            <v>NA</v>
          </cell>
          <cell r="S599" t="str">
            <v>NA</v>
          </cell>
          <cell r="T599" t="str">
            <v>NA</v>
          </cell>
          <cell r="V599" t="str">
            <v>A4 Mono MFPs</v>
          </cell>
          <cell r="W599" t="str">
            <v>NUEVO LEON</v>
          </cell>
          <cell r="X599">
            <v>2019</v>
          </cell>
          <cell r="Y599" t="str">
            <v>Qtr 2</v>
          </cell>
          <cell r="Z599" t="str">
            <v>April</v>
          </cell>
          <cell r="AA599">
            <v>11</v>
          </cell>
          <cell r="AB599" t="str">
            <v>NA</v>
          </cell>
          <cell r="AC599">
            <v>1</v>
          </cell>
          <cell r="AD599">
            <v>0</v>
          </cell>
          <cell r="AE599">
            <v>0</v>
          </cell>
          <cell r="AF599">
            <v>0</v>
          </cell>
        </row>
        <row r="600">
          <cell r="B600" t="str">
            <v>09HB328227</v>
          </cell>
          <cell r="C600">
            <v>2019</v>
          </cell>
          <cell r="D600" t="str">
            <v>Qtr 2</v>
          </cell>
          <cell r="E600" t="str">
            <v>April</v>
          </cell>
          <cell r="F600">
            <v>10</v>
          </cell>
          <cell r="G600" t="str">
            <v>MANTENIMIENTO PREVENTIVO</v>
          </cell>
          <cell r="H600">
            <v>0</v>
          </cell>
          <cell r="J600" t="str">
            <v>NA</v>
          </cell>
          <cell r="K600" t="str">
            <v>NA</v>
          </cell>
          <cell r="L600" t="str">
            <v>NA</v>
          </cell>
          <cell r="M600" t="str">
            <v>NA</v>
          </cell>
          <cell r="N600" t="str">
            <v>NA</v>
          </cell>
          <cell r="O600" t="str">
            <v>NA</v>
          </cell>
          <cell r="P600" t="str">
            <v>NA</v>
          </cell>
          <cell r="Q600" t="str">
            <v>NA</v>
          </cell>
          <cell r="S600" t="str">
            <v>NA</v>
          </cell>
          <cell r="T600" t="str">
            <v>NA</v>
          </cell>
          <cell r="V600" t="str">
            <v>A4 Mono MFPs</v>
          </cell>
          <cell r="W600" t="str">
            <v>NUEVO LEON</v>
          </cell>
          <cell r="X600">
            <v>2019</v>
          </cell>
          <cell r="Y600" t="str">
            <v>Qtr 2</v>
          </cell>
          <cell r="Z600" t="str">
            <v>April</v>
          </cell>
          <cell r="AA600">
            <v>11</v>
          </cell>
          <cell r="AB600" t="str">
            <v>NA</v>
          </cell>
          <cell r="AC600">
            <v>-1</v>
          </cell>
          <cell r="AD600">
            <v>0</v>
          </cell>
          <cell r="AE600">
            <v>0</v>
          </cell>
          <cell r="AF600">
            <v>0</v>
          </cell>
        </row>
        <row r="601">
          <cell r="B601" t="str">
            <v>0BG2939611</v>
          </cell>
          <cell r="C601">
            <v>2019</v>
          </cell>
          <cell r="D601" t="str">
            <v>Qtr 2</v>
          </cell>
          <cell r="E601" t="str">
            <v>April</v>
          </cell>
          <cell r="F601">
            <v>11</v>
          </cell>
          <cell r="G601" t="str">
            <v>MANTENIMIENTO PREVENTIVO</v>
          </cell>
          <cell r="H601">
            <v>0</v>
          </cell>
          <cell r="I601" t="str">
            <v>Light Production Digital Business</v>
          </cell>
          <cell r="J601">
            <v>803</v>
          </cell>
          <cell r="K601">
            <v>1573</v>
          </cell>
          <cell r="L601">
            <v>0.2</v>
          </cell>
          <cell r="M601">
            <v>0.6</v>
          </cell>
          <cell r="N601">
            <v>0.8</v>
          </cell>
          <cell r="O601">
            <v>1.05</v>
          </cell>
          <cell r="P601">
            <v>1.1000000000000001</v>
          </cell>
          <cell r="Q601">
            <v>1.1499999999999999</v>
          </cell>
          <cell r="R601" t="str">
            <v>INTERIOR</v>
          </cell>
          <cell r="S601">
            <v>4</v>
          </cell>
          <cell r="T601">
            <v>6</v>
          </cell>
          <cell r="U601" t="str">
            <v>Ciudad principal</v>
          </cell>
          <cell r="V601" t="str">
            <v>High End Cut Sheet</v>
          </cell>
          <cell r="W601" t="str">
            <v>TAMAULIPAS</v>
          </cell>
          <cell r="X601">
            <v>2019</v>
          </cell>
          <cell r="Y601" t="str">
            <v>Qtr 2</v>
          </cell>
          <cell r="Z601" t="str">
            <v>April</v>
          </cell>
          <cell r="AA601">
            <v>11</v>
          </cell>
          <cell r="AB601">
            <v>0</v>
          </cell>
          <cell r="AC601">
            <v>1</v>
          </cell>
          <cell r="AD601">
            <v>0</v>
          </cell>
          <cell r="AE601">
            <v>0</v>
          </cell>
          <cell r="AF601">
            <v>1573</v>
          </cell>
        </row>
        <row r="602">
          <cell r="B602" t="str">
            <v>0EX9283345</v>
          </cell>
          <cell r="C602">
            <v>2019</v>
          </cell>
          <cell r="D602" t="str">
            <v>Qtr 2</v>
          </cell>
          <cell r="E602" t="str">
            <v>April</v>
          </cell>
          <cell r="F602">
            <v>11</v>
          </cell>
          <cell r="G602" t="str">
            <v>MANTENIMIENTO PREVENTIVO</v>
          </cell>
          <cell r="H602">
            <v>0</v>
          </cell>
          <cell r="I602" t="str">
            <v>Departmental Digital</v>
          </cell>
          <cell r="J602">
            <v>655</v>
          </cell>
          <cell r="K602">
            <v>1365</v>
          </cell>
          <cell r="L602">
            <v>0</v>
          </cell>
          <cell r="M602">
            <v>0</v>
          </cell>
          <cell r="N602">
            <v>0.6</v>
          </cell>
          <cell r="O602">
            <v>0.8</v>
          </cell>
          <cell r="P602">
            <v>1.05</v>
          </cell>
          <cell r="Q602">
            <v>1.1000000000000001</v>
          </cell>
          <cell r="R602" t="str">
            <v>INTERIOR</v>
          </cell>
          <cell r="S602">
            <v>5</v>
          </cell>
          <cell r="T602">
            <v>9</v>
          </cell>
          <cell r="U602" t="str">
            <v>Ciudad principal</v>
          </cell>
          <cell r="V602" t="str">
            <v>Departmental Digital</v>
          </cell>
          <cell r="W602" t="str">
            <v>GUANAJUATO</v>
          </cell>
          <cell r="X602">
            <v>2019</v>
          </cell>
          <cell r="Y602" t="str">
            <v>Qtr 2</v>
          </cell>
          <cell r="Z602" t="str">
            <v>April</v>
          </cell>
          <cell r="AA602">
            <v>11</v>
          </cell>
          <cell r="AB602">
            <v>0</v>
          </cell>
          <cell r="AC602">
            <v>16</v>
          </cell>
          <cell r="AD602">
            <v>0</v>
          </cell>
          <cell r="AE602">
            <v>0</v>
          </cell>
          <cell r="AF602">
            <v>1365</v>
          </cell>
        </row>
        <row r="603">
          <cell r="B603" t="str">
            <v>0C4X008011</v>
          </cell>
          <cell r="C603">
            <v>2019</v>
          </cell>
          <cell r="D603" t="str">
            <v>Qtr 2</v>
          </cell>
          <cell r="E603" t="str">
            <v>April</v>
          </cell>
          <cell r="F603">
            <v>11</v>
          </cell>
          <cell r="G603" t="str">
            <v>CORRECTIVO</v>
          </cell>
          <cell r="H603">
            <v>1.816667</v>
          </cell>
          <cell r="I603" t="str">
            <v>A4 Mono MFPs</v>
          </cell>
          <cell r="J603">
            <v>468</v>
          </cell>
          <cell r="K603">
            <v>715</v>
          </cell>
          <cell r="L603">
            <v>0</v>
          </cell>
          <cell r="M603">
            <v>0</v>
          </cell>
          <cell r="N603">
            <v>0</v>
          </cell>
          <cell r="O603">
            <v>0.6</v>
          </cell>
          <cell r="P603">
            <v>0.8</v>
          </cell>
          <cell r="Q603">
            <v>1.05</v>
          </cell>
          <cell r="R603" t="str">
            <v>INTERIOR</v>
          </cell>
          <cell r="S603">
            <v>5</v>
          </cell>
          <cell r="T603">
            <v>9</v>
          </cell>
          <cell r="U603" t="str">
            <v>Ciudad principal</v>
          </cell>
          <cell r="V603" t="str">
            <v>A4 Mono MFPs</v>
          </cell>
          <cell r="W603" t="str">
            <v>MICHOACAN</v>
          </cell>
          <cell r="X603">
            <v>2019</v>
          </cell>
          <cell r="Y603" t="str">
            <v>Qtr 2</v>
          </cell>
          <cell r="Z603" t="str">
            <v>April</v>
          </cell>
          <cell r="AA603">
            <v>22</v>
          </cell>
          <cell r="AB603">
            <v>0</v>
          </cell>
          <cell r="AC603">
            <v>85</v>
          </cell>
          <cell r="AD603">
            <v>1.05</v>
          </cell>
          <cell r="AE603">
            <v>0.36333339999999997</v>
          </cell>
          <cell r="AF603">
            <v>750.75</v>
          </cell>
        </row>
        <row r="604">
          <cell r="B604" t="str">
            <v>0EX9293483</v>
          </cell>
          <cell r="C604">
            <v>2019</v>
          </cell>
          <cell r="D604" t="str">
            <v>Qtr 2</v>
          </cell>
          <cell r="E604" t="str">
            <v>April</v>
          </cell>
          <cell r="F604">
            <v>11</v>
          </cell>
          <cell r="G604" t="str">
            <v>CORRECTIVO</v>
          </cell>
          <cell r="H604">
            <v>4.8333329999999997</v>
          </cell>
          <cell r="I604" t="str">
            <v>Departmental Digital</v>
          </cell>
          <cell r="J604">
            <v>655</v>
          </cell>
          <cell r="K604">
            <v>1365</v>
          </cell>
          <cell r="L604">
            <v>0</v>
          </cell>
          <cell r="M604">
            <v>0</v>
          </cell>
          <cell r="N604">
            <v>0.6</v>
          </cell>
          <cell r="O604">
            <v>0.8</v>
          </cell>
          <cell r="P604">
            <v>1.05</v>
          </cell>
          <cell r="Q604">
            <v>1.1000000000000001</v>
          </cell>
          <cell r="R604" t="str">
            <v>INTERIOR</v>
          </cell>
          <cell r="S604">
            <v>5</v>
          </cell>
          <cell r="T604">
            <v>9</v>
          </cell>
          <cell r="U604" t="str">
            <v>Ciudad principal</v>
          </cell>
          <cell r="V604" t="str">
            <v>Departmental Digital</v>
          </cell>
          <cell r="W604" t="str">
            <v>SAN LUIS POTOSI</v>
          </cell>
          <cell r="X604">
            <v>2019</v>
          </cell>
          <cell r="Y604" t="str">
            <v>Qtr 2</v>
          </cell>
          <cell r="Z604" t="str">
            <v>April</v>
          </cell>
          <cell r="AA604">
            <v>11</v>
          </cell>
          <cell r="AB604">
            <v>0</v>
          </cell>
          <cell r="AC604">
            <v>14</v>
          </cell>
          <cell r="AD604">
            <v>0.6</v>
          </cell>
          <cell r="AE604">
            <v>0.96666660000000004</v>
          </cell>
          <cell r="AF604">
            <v>819</v>
          </cell>
        </row>
        <row r="605">
          <cell r="B605" t="str">
            <v>0E2B106687</v>
          </cell>
          <cell r="C605">
            <v>2019</v>
          </cell>
          <cell r="D605" t="str">
            <v>Qtr 2</v>
          </cell>
          <cell r="E605" t="str">
            <v>April</v>
          </cell>
          <cell r="F605">
            <v>11</v>
          </cell>
          <cell r="G605" t="str">
            <v>CORRECTIVO</v>
          </cell>
          <cell r="H605">
            <v>4</v>
          </cell>
          <cell r="I605" t="str">
            <v>Entry Production Color Low/Mid</v>
          </cell>
          <cell r="J605">
            <v>803</v>
          </cell>
          <cell r="K605">
            <v>1573</v>
          </cell>
          <cell r="L605">
            <v>0.2</v>
          </cell>
          <cell r="M605">
            <v>0.6</v>
          </cell>
          <cell r="N605">
            <v>0.8</v>
          </cell>
          <cell r="O605">
            <v>1.05</v>
          </cell>
          <cell r="P605">
            <v>1.1000000000000001</v>
          </cell>
          <cell r="Q605">
            <v>1.1499999999999999</v>
          </cell>
          <cell r="R605" t="str">
            <v>INTERIOR</v>
          </cell>
          <cell r="S605">
            <v>4</v>
          </cell>
          <cell r="T605">
            <v>6</v>
          </cell>
          <cell r="U605" t="str">
            <v>Ciudad principal</v>
          </cell>
          <cell r="V605" t="str">
            <v>Entry Production Color Low/Mid</v>
          </cell>
          <cell r="W605" t="str">
            <v>SAN LUIS POTOSI</v>
          </cell>
          <cell r="X605">
            <v>2019</v>
          </cell>
          <cell r="Y605" t="str">
            <v>Qtr 2</v>
          </cell>
          <cell r="Z605" t="str">
            <v>April</v>
          </cell>
          <cell r="AA605">
            <v>11</v>
          </cell>
          <cell r="AB605">
            <v>0</v>
          </cell>
          <cell r="AC605">
            <v>0</v>
          </cell>
          <cell r="AD605">
            <v>1.1499999999999999</v>
          </cell>
          <cell r="AE605">
            <v>1</v>
          </cell>
          <cell r="AF605">
            <v>1808.95</v>
          </cell>
        </row>
        <row r="606">
          <cell r="B606" t="str">
            <v>09HB331392</v>
          </cell>
          <cell r="C606">
            <v>2019</v>
          </cell>
          <cell r="D606" t="str">
            <v>Qtr 2</v>
          </cell>
          <cell r="E606" t="str">
            <v>April</v>
          </cell>
          <cell r="F606">
            <v>11</v>
          </cell>
          <cell r="G606" t="str">
            <v>MANTENIMIENTO PREVENTIVO</v>
          </cell>
          <cell r="H606">
            <v>0</v>
          </cell>
          <cell r="J606" t="str">
            <v>NA</v>
          </cell>
          <cell r="K606" t="str">
            <v>NA</v>
          </cell>
          <cell r="L606" t="str">
            <v>NA</v>
          </cell>
          <cell r="M606" t="str">
            <v>NA</v>
          </cell>
          <cell r="N606" t="str">
            <v>NA</v>
          </cell>
          <cell r="O606" t="str">
            <v>NA</v>
          </cell>
          <cell r="P606" t="str">
            <v>NA</v>
          </cell>
          <cell r="Q606" t="str">
            <v>NA</v>
          </cell>
          <cell r="S606" t="str">
            <v>NA</v>
          </cell>
          <cell r="T606" t="str">
            <v>NA</v>
          </cell>
          <cell r="V606" t="str">
            <v>A4 Mono MFPs</v>
          </cell>
          <cell r="W606" t="str">
            <v>JALISCO</v>
          </cell>
          <cell r="X606">
            <v>2019</v>
          </cell>
          <cell r="Y606" t="str">
            <v>Qtr 2</v>
          </cell>
          <cell r="Z606" t="str">
            <v>April</v>
          </cell>
          <cell r="AA606">
            <v>11</v>
          </cell>
          <cell r="AB606" t="str">
            <v>NA</v>
          </cell>
          <cell r="AC606">
            <v>52</v>
          </cell>
          <cell r="AD606">
            <v>0</v>
          </cell>
          <cell r="AE606">
            <v>0</v>
          </cell>
          <cell r="AF606">
            <v>0</v>
          </cell>
        </row>
        <row r="607">
          <cell r="B607" t="str">
            <v>0Y4X849031</v>
          </cell>
          <cell r="C607">
            <v>2019</v>
          </cell>
          <cell r="D607" t="str">
            <v>Qtr 2</v>
          </cell>
          <cell r="E607" t="str">
            <v>April</v>
          </cell>
          <cell r="F607">
            <v>11</v>
          </cell>
          <cell r="G607" t="str">
            <v>MANTENIMIENTO PREVENTIVO</v>
          </cell>
          <cell r="H607">
            <v>0</v>
          </cell>
          <cell r="I607" t="str">
            <v>Office Digital</v>
          </cell>
          <cell r="J607">
            <v>655</v>
          </cell>
          <cell r="K607">
            <v>1365</v>
          </cell>
          <cell r="L607">
            <v>0</v>
          </cell>
          <cell r="M607">
            <v>0</v>
          </cell>
          <cell r="N607">
            <v>0.6</v>
          </cell>
          <cell r="O607">
            <v>0.8</v>
          </cell>
          <cell r="P607">
            <v>1.05</v>
          </cell>
          <cell r="Q607">
            <v>1.1000000000000001</v>
          </cell>
          <cell r="R607" t="str">
            <v>INTERIOR</v>
          </cell>
          <cell r="S607">
            <v>5</v>
          </cell>
          <cell r="T607">
            <v>9</v>
          </cell>
          <cell r="U607" t="str">
            <v>Ciudad principal</v>
          </cell>
          <cell r="V607" t="str">
            <v>A4 Mono MFPs</v>
          </cell>
          <cell r="W607" t="str">
            <v>JALISCO</v>
          </cell>
          <cell r="X607">
            <v>2019</v>
          </cell>
          <cell r="Y607" t="str">
            <v>Qtr 2</v>
          </cell>
          <cell r="Z607" t="str">
            <v>April</v>
          </cell>
          <cell r="AA607">
            <v>11</v>
          </cell>
          <cell r="AB607">
            <v>1</v>
          </cell>
          <cell r="AC607">
            <v>2</v>
          </cell>
          <cell r="AD607">
            <v>0</v>
          </cell>
          <cell r="AE607">
            <v>0</v>
          </cell>
          <cell r="AF607">
            <v>0</v>
          </cell>
        </row>
        <row r="608">
          <cell r="B608" t="str">
            <v>09HB331585</v>
          </cell>
          <cell r="C608">
            <v>2019</v>
          </cell>
          <cell r="D608" t="str">
            <v>Qtr 2</v>
          </cell>
          <cell r="E608" t="str">
            <v>April</v>
          </cell>
          <cell r="F608">
            <v>11</v>
          </cell>
          <cell r="G608" t="str">
            <v>CONFIGURACION</v>
          </cell>
          <cell r="H608">
            <v>0</v>
          </cell>
          <cell r="I608" t="str">
            <v>A4 Mono MFPs</v>
          </cell>
          <cell r="J608">
            <v>468</v>
          </cell>
          <cell r="K608">
            <v>715</v>
          </cell>
          <cell r="L608">
            <v>0</v>
          </cell>
          <cell r="M608">
            <v>0</v>
          </cell>
          <cell r="N608">
            <v>0</v>
          </cell>
          <cell r="O608">
            <v>0.6</v>
          </cell>
          <cell r="P608">
            <v>0.8</v>
          </cell>
          <cell r="Q608">
            <v>1.05</v>
          </cell>
          <cell r="R608" t="str">
            <v>INTERIOR</v>
          </cell>
          <cell r="S608">
            <v>5</v>
          </cell>
          <cell r="T608">
            <v>9</v>
          </cell>
          <cell r="U608" t="str">
            <v>Ciudad principal</v>
          </cell>
          <cell r="V608" t="str">
            <v>A4 Mono MFPs</v>
          </cell>
          <cell r="W608" t="str">
            <v>JALISCO</v>
          </cell>
          <cell r="X608">
            <v>2019</v>
          </cell>
          <cell r="Y608" t="str">
            <v>Qtr 2</v>
          </cell>
          <cell r="Z608" t="str">
            <v>April</v>
          </cell>
          <cell r="AA608">
            <v>11</v>
          </cell>
          <cell r="AB608">
            <v>1</v>
          </cell>
          <cell r="AC608">
            <v>37</v>
          </cell>
          <cell r="AD608">
            <v>0</v>
          </cell>
          <cell r="AE608">
            <v>0</v>
          </cell>
          <cell r="AF608">
            <v>0</v>
          </cell>
        </row>
        <row r="609">
          <cell r="B609" t="str">
            <v>0Y4X848009</v>
          </cell>
          <cell r="C609">
            <v>2019</v>
          </cell>
          <cell r="D609" t="str">
            <v>Qtr 2</v>
          </cell>
          <cell r="E609" t="str">
            <v>April</v>
          </cell>
          <cell r="F609">
            <v>11</v>
          </cell>
          <cell r="G609" t="str">
            <v>CORRECTIVO</v>
          </cell>
          <cell r="H609">
            <v>6.6666669999999997E-2</v>
          </cell>
          <cell r="I609" t="str">
            <v>Office Digital</v>
          </cell>
          <cell r="J609">
            <v>655</v>
          </cell>
          <cell r="K609">
            <v>1365</v>
          </cell>
          <cell r="L609">
            <v>0</v>
          </cell>
          <cell r="M609">
            <v>0</v>
          </cell>
          <cell r="N609">
            <v>0.6</v>
          </cell>
          <cell r="O609">
            <v>0.8</v>
          </cell>
          <cell r="P609">
            <v>1.05</v>
          </cell>
          <cell r="Q609">
            <v>1.1000000000000001</v>
          </cell>
          <cell r="R609" t="str">
            <v>METRO</v>
          </cell>
          <cell r="S609">
            <v>5</v>
          </cell>
          <cell r="T609">
            <v>9</v>
          </cell>
          <cell r="U609" t="str">
            <v>Ciudad principal</v>
          </cell>
          <cell r="V609" t="str">
            <v>Light Production Digital Business</v>
          </cell>
          <cell r="W609" t="str">
            <v>CIUDAD DE MEXICO</v>
          </cell>
          <cell r="X609">
            <v>2019</v>
          </cell>
          <cell r="Y609" t="str">
            <v>Qtr 2</v>
          </cell>
          <cell r="Z609" t="str">
            <v>April</v>
          </cell>
          <cell r="AA609">
            <v>11</v>
          </cell>
          <cell r="AB609">
            <v>1</v>
          </cell>
          <cell r="AC609">
            <v>10</v>
          </cell>
          <cell r="AD609">
            <v>0</v>
          </cell>
          <cell r="AE609">
            <v>0</v>
          </cell>
          <cell r="AF609">
            <v>0</v>
          </cell>
        </row>
        <row r="610">
          <cell r="B610" t="str">
            <v>0XPN548183</v>
          </cell>
          <cell r="C610">
            <v>2019</v>
          </cell>
          <cell r="D610" t="str">
            <v>Qtr 2</v>
          </cell>
          <cell r="E610" t="str">
            <v>April</v>
          </cell>
          <cell r="F610">
            <v>11</v>
          </cell>
          <cell r="G610" t="str">
            <v>CORRECTIVO</v>
          </cell>
          <cell r="H610">
            <v>3</v>
          </cell>
          <cell r="I610" t="str">
            <v>Entry Production Color Low/Mid</v>
          </cell>
          <cell r="J610">
            <v>803</v>
          </cell>
          <cell r="K610">
            <v>1573</v>
          </cell>
          <cell r="L610">
            <v>0.2</v>
          </cell>
          <cell r="M610">
            <v>0.6</v>
          </cell>
          <cell r="N610">
            <v>0.8</v>
          </cell>
          <cell r="O610">
            <v>1.05</v>
          </cell>
          <cell r="P610">
            <v>1.1000000000000001</v>
          </cell>
          <cell r="Q610">
            <v>1.1499999999999999</v>
          </cell>
          <cell r="R610" t="str">
            <v>INTERIOR</v>
          </cell>
          <cell r="S610">
            <v>4</v>
          </cell>
          <cell r="T610">
            <v>6</v>
          </cell>
          <cell r="U610" t="str">
            <v>Ciudad principal</v>
          </cell>
          <cell r="V610" t="str">
            <v>Entry Production Color Low/Mid</v>
          </cell>
          <cell r="W610" t="str">
            <v>CHIHUAHUA</v>
          </cell>
          <cell r="X610">
            <v>2019</v>
          </cell>
          <cell r="Y610" t="str">
            <v>Qtr 2</v>
          </cell>
          <cell r="Z610" t="str">
            <v>April</v>
          </cell>
          <cell r="AA610">
            <v>11</v>
          </cell>
          <cell r="AB610">
            <v>0</v>
          </cell>
          <cell r="AC610">
            <v>2</v>
          </cell>
          <cell r="AD610">
            <v>0.2</v>
          </cell>
          <cell r="AE610">
            <v>0.75</v>
          </cell>
          <cell r="AF610">
            <v>314.60000000000002</v>
          </cell>
        </row>
        <row r="611">
          <cell r="B611" t="str">
            <v>0A1H020683</v>
          </cell>
          <cell r="C611">
            <v>2019</v>
          </cell>
          <cell r="D611" t="str">
            <v>Qtr 2</v>
          </cell>
          <cell r="E611" t="str">
            <v>April</v>
          </cell>
          <cell r="F611">
            <v>11</v>
          </cell>
          <cell r="G611" t="str">
            <v>CORRECTIVO</v>
          </cell>
          <cell r="H611">
            <v>2.4666670000000002</v>
          </cell>
          <cell r="I611" t="str">
            <v>WF Mono Systems and Legacy Color</v>
          </cell>
          <cell r="J611">
            <v>803</v>
          </cell>
          <cell r="K611">
            <v>1573</v>
          </cell>
          <cell r="L611">
            <v>0.2</v>
          </cell>
          <cell r="M611">
            <v>0.6</v>
          </cell>
          <cell r="N611">
            <v>0.8</v>
          </cell>
          <cell r="O611">
            <v>1.05</v>
          </cell>
          <cell r="P611">
            <v>1.1000000000000001</v>
          </cell>
          <cell r="Q611">
            <v>1.1499999999999999</v>
          </cell>
          <cell r="R611" t="str">
            <v>INTERIOR</v>
          </cell>
          <cell r="S611">
            <v>4</v>
          </cell>
          <cell r="T611">
            <v>6</v>
          </cell>
          <cell r="U611" t="str">
            <v>Ciudad principal</v>
          </cell>
          <cell r="V611" t="str">
            <v>WF Mono Systems and Legacy Color</v>
          </cell>
          <cell r="W611" t="str">
            <v>GUANAJUATO</v>
          </cell>
          <cell r="X611">
            <v>2019</v>
          </cell>
          <cell r="Y611" t="str">
            <v>Qtr 2</v>
          </cell>
          <cell r="Z611" t="str">
            <v>April</v>
          </cell>
          <cell r="AA611">
            <v>11</v>
          </cell>
          <cell r="AB611">
            <v>0</v>
          </cell>
          <cell r="AC611">
            <v>72</v>
          </cell>
          <cell r="AD611">
            <v>1.1499999999999999</v>
          </cell>
          <cell r="AE611">
            <v>0.61666675000000004</v>
          </cell>
          <cell r="AF611">
            <v>1808.95</v>
          </cell>
        </row>
        <row r="612">
          <cell r="B612" t="str">
            <v>0E2B656940</v>
          </cell>
          <cell r="C612">
            <v>2019</v>
          </cell>
          <cell r="D612" t="str">
            <v>Qtr 2</v>
          </cell>
          <cell r="E612" t="str">
            <v>April</v>
          </cell>
          <cell r="F612">
            <v>11</v>
          </cell>
          <cell r="G612" t="str">
            <v>CORRECTIVO</v>
          </cell>
          <cell r="H612">
            <v>1.066667</v>
          </cell>
          <cell r="I612" t="str">
            <v>Entry Production Color Low/Mid</v>
          </cell>
          <cell r="J612">
            <v>803</v>
          </cell>
          <cell r="K612">
            <v>1573</v>
          </cell>
          <cell r="L612">
            <v>0.2</v>
          </cell>
          <cell r="M612">
            <v>0.6</v>
          </cell>
          <cell r="N612">
            <v>0.8</v>
          </cell>
          <cell r="O612">
            <v>1.05</v>
          </cell>
          <cell r="P612">
            <v>1.1000000000000001</v>
          </cell>
          <cell r="Q612">
            <v>1.1499999999999999</v>
          </cell>
          <cell r="R612" t="str">
            <v>INTERIOR</v>
          </cell>
          <cell r="S612">
            <v>4</v>
          </cell>
          <cell r="T612">
            <v>6</v>
          </cell>
          <cell r="U612" t="str">
            <v>Ciudad principal</v>
          </cell>
          <cell r="V612" t="str">
            <v>Entry Production Color Low/Mid</v>
          </cell>
          <cell r="W612" t="str">
            <v>ESTADO DE MEXICO</v>
          </cell>
          <cell r="X612">
            <v>2019</v>
          </cell>
          <cell r="Y612" t="str">
            <v>Qtr 2</v>
          </cell>
          <cell r="Z612" t="str">
            <v>April</v>
          </cell>
          <cell r="AA612">
            <v>11</v>
          </cell>
          <cell r="AB612">
            <v>0</v>
          </cell>
          <cell r="AC612">
            <v>34</v>
          </cell>
          <cell r="AD612">
            <v>1.1000000000000001</v>
          </cell>
          <cell r="AE612">
            <v>0.26666675000000001</v>
          </cell>
          <cell r="AF612">
            <v>1730.3</v>
          </cell>
        </row>
        <row r="613">
          <cell r="B613" t="str">
            <v>0BG2948808</v>
          </cell>
          <cell r="C613">
            <v>2019</v>
          </cell>
          <cell r="D613" t="str">
            <v>Qtr 2</v>
          </cell>
          <cell r="E613" t="str">
            <v>April</v>
          </cell>
          <cell r="F613">
            <v>11</v>
          </cell>
          <cell r="G613" t="str">
            <v>CORRECTIVO</v>
          </cell>
          <cell r="H613">
            <v>3.1</v>
          </cell>
          <cell r="I613" t="str">
            <v>Light Production Digital Business</v>
          </cell>
          <cell r="J613">
            <v>803</v>
          </cell>
          <cell r="K613">
            <v>1573</v>
          </cell>
          <cell r="L613">
            <v>0.2</v>
          </cell>
          <cell r="M613">
            <v>0.6</v>
          </cell>
          <cell r="N613">
            <v>0.8</v>
          </cell>
          <cell r="O613">
            <v>1.05</v>
          </cell>
          <cell r="P613">
            <v>1.1000000000000001</v>
          </cell>
          <cell r="Q613">
            <v>1.1499999999999999</v>
          </cell>
          <cell r="R613" t="str">
            <v>INTERIOR</v>
          </cell>
          <cell r="S613">
            <v>4</v>
          </cell>
          <cell r="T613">
            <v>6</v>
          </cell>
          <cell r="U613" t="str">
            <v>Ciudad principal</v>
          </cell>
          <cell r="V613" t="str">
            <v>High End Cut Sheet</v>
          </cell>
          <cell r="W613" t="str">
            <v>ESTADO DE MEXICO</v>
          </cell>
          <cell r="X613">
            <v>2019</v>
          </cell>
          <cell r="Y613" t="str">
            <v>Qtr 2</v>
          </cell>
          <cell r="Z613" t="str">
            <v>April</v>
          </cell>
          <cell r="AA613">
            <v>16</v>
          </cell>
          <cell r="AB613">
            <v>0</v>
          </cell>
          <cell r="AC613">
            <v>31</v>
          </cell>
          <cell r="AD613">
            <v>1.1000000000000001</v>
          </cell>
          <cell r="AE613">
            <v>0.77500000000000002</v>
          </cell>
          <cell r="AF613">
            <v>1730.3</v>
          </cell>
        </row>
        <row r="614">
          <cell r="B614" t="str">
            <v>0BG2951663</v>
          </cell>
          <cell r="C614">
            <v>2019</v>
          </cell>
          <cell r="D614" t="str">
            <v>Qtr 2</v>
          </cell>
          <cell r="E614" t="str">
            <v>April</v>
          </cell>
          <cell r="F614">
            <v>11</v>
          </cell>
          <cell r="G614" t="str">
            <v>CORRECTIVO</v>
          </cell>
          <cell r="H614">
            <v>2.3666670000000001</v>
          </cell>
          <cell r="I614" t="str">
            <v>Light Production Digital Business</v>
          </cell>
          <cell r="J614">
            <v>803</v>
          </cell>
          <cell r="K614">
            <v>1573</v>
          </cell>
          <cell r="L614">
            <v>0.2</v>
          </cell>
          <cell r="M614">
            <v>0.6</v>
          </cell>
          <cell r="N614">
            <v>0.8</v>
          </cell>
          <cell r="O614">
            <v>1.05</v>
          </cell>
          <cell r="P614">
            <v>1.1000000000000001</v>
          </cell>
          <cell r="Q614">
            <v>1.1499999999999999</v>
          </cell>
          <cell r="R614" t="str">
            <v>INTERIOR</v>
          </cell>
          <cell r="S614">
            <v>4</v>
          </cell>
          <cell r="T614">
            <v>6</v>
          </cell>
          <cell r="U614" t="str">
            <v>Ciudad principal</v>
          </cell>
          <cell r="V614" t="str">
            <v>High End Cut Sheet</v>
          </cell>
          <cell r="W614" t="str">
            <v>ESTADO DE MEXICO</v>
          </cell>
          <cell r="X614">
            <v>2019</v>
          </cell>
          <cell r="Y614" t="str">
            <v>Qtr 2</v>
          </cell>
          <cell r="Z614" t="str">
            <v>April</v>
          </cell>
          <cell r="AA614">
            <v>12</v>
          </cell>
          <cell r="AB614">
            <v>0</v>
          </cell>
          <cell r="AC614">
            <v>28</v>
          </cell>
          <cell r="AD614">
            <v>1.05</v>
          </cell>
          <cell r="AE614">
            <v>0.59166675000000002</v>
          </cell>
          <cell r="AF614">
            <v>1651.65</v>
          </cell>
        </row>
        <row r="615">
          <cell r="B615" t="str">
            <v>09HB333616</v>
          </cell>
          <cell r="C615">
            <v>2019</v>
          </cell>
          <cell r="D615" t="str">
            <v>Qtr 2</v>
          </cell>
          <cell r="E615" t="str">
            <v>April</v>
          </cell>
          <cell r="F615">
            <v>11</v>
          </cell>
          <cell r="G615" t="str">
            <v>CORRECTIVO</v>
          </cell>
          <cell r="H615">
            <v>1.766667</v>
          </cell>
          <cell r="J615" t="str">
            <v>NA</v>
          </cell>
          <cell r="K615" t="str">
            <v>NA</v>
          </cell>
          <cell r="L615" t="str">
            <v>NA</v>
          </cell>
          <cell r="M615" t="str">
            <v>NA</v>
          </cell>
          <cell r="N615" t="str">
            <v>NA</v>
          </cell>
          <cell r="O615" t="str">
            <v>NA</v>
          </cell>
          <cell r="P615" t="str">
            <v>NA</v>
          </cell>
          <cell r="Q615" t="str">
            <v>NA</v>
          </cell>
          <cell r="S615" t="str">
            <v>NA</v>
          </cell>
          <cell r="T615" t="str">
            <v>NA</v>
          </cell>
          <cell r="V615" t="str">
            <v>A4 Mono MFPs</v>
          </cell>
          <cell r="W615" t="str">
            <v>JALISCO</v>
          </cell>
          <cell r="X615">
            <v>2019</v>
          </cell>
          <cell r="Y615" t="str">
            <v>Qtr 2</v>
          </cell>
          <cell r="Z615" t="str">
            <v>April</v>
          </cell>
          <cell r="AA615">
            <v>11</v>
          </cell>
          <cell r="AB615" t="str">
            <v>NA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</row>
        <row r="616">
          <cell r="B616" t="str">
            <v>0X76705839</v>
          </cell>
          <cell r="C616">
            <v>2019</v>
          </cell>
          <cell r="D616" t="str">
            <v>Qtr 2</v>
          </cell>
          <cell r="E616" t="str">
            <v>April</v>
          </cell>
          <cell r="F616">
            <v>11</v>
          </cell>
          <cell r="G616" t="str">
            <v>CORRECTIVO</v>
          </cell>
          <cell r="H616">
            <v>0.21666669999999999</v>
          </cell>
          <cell r="I616" t="str">
            <v>Office Digital</v>
          </cell>
          <cell r="J616">
            <v>655</v>
          </cell>
          <cell r="K616">
            <v>1365</v>
          </cell>
          <cell r="L616">
            <v>0</v>
          </cell>
          <cell r="M616">
            <v>0</v>
          </cell>
          <cell r="N616">
            <v>0.6</v>
          </cell>
          <cell r="O616">
            <v>0.8</v>
          </cell>
          <cell r="P616">
            <v>1.05</v>
          </cell>
          <cell r="Q616">
            <v>1.1000000000000001</v>
          </cell>
          <cell r="R616" t="str">
            <v>INTERIOR</v>
          </cell>
          <cell r="S616">
            <v>5</v>
          </cell>
          <cell r="T616">
            <v>9</v>
          </cell>
          <cell r="U616" t="str">
            <v>Ciudad principal</v>
          </cell>
          <cell r="V616" t="str">
            <v>Departmental Digital</v>
          </cell>
          <cell r="W616" t="str">
            <v>CHIHUAHUA</v>
          </cell>
          <cell r="X616">
            <v>2019</v>
          </cell>
          <cell r="Y616" t="str">
            <v>Qtr 2</v>
          </cell>
          <cell r="Z616" t="str">
            <v>April</v>
          </cell>
          <cell r="AA616">
            <v>11</v>
          </cell>
          <cell r="AB616">
            <v>0</v>
          </cell>
          <cell r="AC616">
            <v>0</v>
          </cell>
          <cell r="AD616">
            <v>1.1000000000000001</v>
          </cell>
          <cell r="AE616">
            <v>4.3333339999999998E-2</v>
          </cell>
          <cell r="AF616">
            <v>1501.5</v>
          </cell>
        </row>
        <row r="617">
          <cell r="B617" t="str">
            <v>0RXD142390</v>
          </cell>
          <cell r="C617">
            <v>2019</v>
          </cell>
          <cell r="D617" t="str">
            <v>Qtr 2</v>
          </cell>
          <cell r="E617" t="str">
            <v>April</v>
          </cell>
          <cell r="F617">
            <v>11</v>
          </cell>
          <cell r="G617" t="str">
            <v>MANTENIMIENTO PREVENTIVO</v>
          </cell>
          <cell r="H617">
            <v>0</v>
          </cell>
          <cell r="I617" t="str">
            <v>Color Laser Printers</v>
          </cell>
          <cell r="J617">
            <v>468</v>
          </cell>
          <cell r="K617">
            <v>715</v>
          </cell>
          <cell r="L617">
            <v>0</v>
          </cell>
          <cell r="M617">
            <v>0</v>
          </cell>
          <cell r="N617">
            <v>0</v>
          </cell>
          <cell r="O617">
            <v>0.6</v>
          </cell>
          <cell r="P617">
            <v>0.8</v>
          </cell>
          <cell r="Q617">
            <v>1.05</v>
          </cell>
          <cell r="R617" t="str">
            <v>INTERIOR</v>
          </cell>
          <cell r="S617">
            <v>5</v>
          </cell>
          <cell r="T617">
            <v>9</v>
          </cell>
          <cell r="U617" t="str">
            <v>Ciudad principal</v>
          </cell>
          <cell r="V617" t="str">
            <v>A3 Office Color Laser MFPs</v>
          </cell>
          <cell r="W617" t="str">
            <v>CHIHUAHUA</v>
          </cell>
          <cell r="X617">
            <v>2019</v>
          </cell>
          <cell r="Y617" t="str">
            <v>Qtr 2</v>
          </cell>
          <cell r="Z617" t="str">
            <v>April</v>
          </cell>
          <cell r="AA617">
            <v>11</v>
          </cell>
          <cell r="AB617">
            <v>0</v>
          </cell>
          <cell r="AC617">
            <v>175</v>
          </cell>
          <cell r="AD617">
            <v>0</v>
          </cell>
          <cell r="AE617">
            <v>0</v>
          </cell>
          <cell r="AF617">
            <v>715</v>
          </cell>
        </row>
        <row r="618">
          <cell r="B618" t="str">
            <v>0UHA002004</v>
          </cell>
          <cell r="C618">
            <v>2019</v>
          </cell>
          <cell r="D618" t="str">
            <v>Qtr 2</v>
          </cell>
          <cell r="E618" t="str">
            <v>April</v>
          </cell>
          <cell r="F618">
            <v>11</v>
          </cell>
          <cell r="G618" t="str">
            <v>CORRECTIVO</v>
          </cell>
          <cell r="H618">
            <v>0.88333329999999999</v>
          </cell>
          <cell r="I618" t="str">
            <v>High End Cut Sheet</v>
          </cell>
          <cell r="J618">
            <v>1116</v>
          </cell>
          <cell r="K618">
            <v>2145</v>
          </cell>
          <cell r="L618">
            <v>0.6</v>
          </cell>
          <cell r="M618">
            <v>0.8</v>
          </cell>
          <cell r="N618">
            <v>1.05</v>
          </cell>
          <cell r="O618">
            <v>1.1000000000000001</v>
          </cell>
          <cell r="P618">
            <v>1.1499999999999999</v>
          </cell>
          <cell r="Q618">
            <v>1.2</v>
          </cell>
          <cell r="R618" t="str">
            <v>INTERIOR</v>
          </cell>
          <cell r="S618">
            <v>3</v>
          </cell>
          <cell r="T618">
            <v>6</v>
          </cell>
          <cell r="U618" t="str">
            <v>Ciudad principal</v>
          </cell>
          <cell r="V618" t="str">
            <v>High End Cut Sheet</v>
          </cell>
          <cell r="W618" t="str">
            <v>JALISCO</v>
          </cell>
          <cell r="X618">
            <v>2019</v>
          </cell>
          <cell r="Y618" t="str">
            <v>Qtr 2</v>
          </cell>
          <cell r="Z618" t="str">
            <v>April</v>
          </cell>
          <cell r="AA618">
            <v>17</v>
          </cell>
          <cell r="AB618">
            <v>0</v>
          </cell>
          <cell r="AC618">
            <v>3</v>
          </cell>
          <cell r="AD618">
            <v>0.8</v>
          </cell>
          <cell r="AE618">
            <v>0.29444443333333298</v>
          </cell>
          <cell r="AF618">
            <v>1716</v>
          </cell>
        </row>
        <row r="619">
          <cell r="B619" t="str">
            <v>0X76703918</v>
          </cell>
          <cell r="C619">
            <v>2019</v>
          </cell>
          <cell r="D619" t="str">
            <v>Qtr 2</v>
          </cell>
          <cell r="E619" t="str">
            <v>April</v>
          </cell>
          <cell r="F619">
            <v>11</v>
          </cell>
          <cell r="G619" t="str">
            <v>CORRECTIVO</v>
          </cell>
          <cell r="H619">
            <v>2.2999999999999998</v>
          </cell>
          <cell r="I619" t="str">
            <v>Departmental Digital</v>
          </cell>
          <cell r="J619">
            <v>655</v>
          </cell>
          <cell r="K619">
            <v>1365</v>
          </cell>
          <cell r="L619">
            <v>0</v>
          </cell>
          <cell r="M619">
            <v>0</v>
          </cell>
          <cell r="N619">
            <v>0.6</v>
          </cell>
          <cell r="O619">
            <v>0.8</v>
          </cell>
          <cell r="P619">
            <v>1.05</v>
          </cell>
          <cell r="Q619">
            <v>1.1000000000000001</v>
          </cell>
          <cell r="R619" t="str">
            <v>INTERIOR</v>
          </cell>
          <cell r="S619">
            <v>5</v>
          </cell>
          <cell r="T619">
            <v>9</v>
          </cell>
          <cell r="U619" t="str">
            <v>Ciudad principal</v>
          </cell>
          <cell r="V619" t="str">
            <v>Departmental Digital</v>
          </cell>
          <cell r="W619" t="str">
            <v>CHIHUAHUA</v>
          </cell>
          <cell r="X619">
            <v>2019</v>
          </cell>
          <cell r="Y619" t="str">
            <v>Qtr 2</v>
          </cell>
          <cell r="Z619" t="str">
            <v>April</v>
          </cell>
          <cell r="AA619">
            <v>16</v>
          </cell>
          <cell r="AB619">
            <v>0</v>
          </cell>
          <cell r="AC619">
            <v>43</v>
          </cell>
          <cell r="AD619">
            <v>1.05</v>
          </cell>
          <cell r="AE619">
            <v>0.46</v>
          </cell>
          <cell r="AF619">
            <v>1433.25</v>
          </cell>
        </row>
        <row r="620">
          <cell r="B620" t="str">
            <v>0BG0966729</v>
          </cell>
          <cell r="C620">
            <v>2019</v>
          </cell>
          <cell r="D620" t="str">
            <v>Qtr 2</v>
          </cell>
          <cell r="E620" t="str">
            <v>April</v>
          </cell>
          <cell r="F620">
            <v>11</v>
          </cell>
          <cell r="G620" t="str">
            <v>CORRECTIVO</v>
          </cell>
          <cell r="H620">
            <v>3.9</v>
          </cell>
          <cell r="I620" t="str">
            <v>Light Production Digital Business</v>
          </cell>
          <cell r="J620">
            <v>803</v>
          </cell>
          <cell r="K620">
            <v>1573</v>
          </cell>
          <cell r="L620">
            <v>0.2</v>
          </cell>
          <cell r="M620">
            <v>0.6</v>
          </cell>
          <cell r="N620">
            <v>0.8</v>
          </cell>
          <cell r="O620">
            <v>1.05</v>
          </cell>
          <cell r="P620">
            <v>1.1000000000000001</v>
          </cell>
          <cell r="Q620">
            <v>1.1499999999999999</v>
          </cell>
          <cell r="R620" t="str">
            <v>INTERIOR</v>
          </cell>
          <cell r="S620">
            <v>4</v>
          </cell>
          <cell r="T620">
            <v>6</v>
          </cell>
          <cell r="U620" t="str">
            <v>Ciudad principal</v>
          </cell>
          <cell r="V620" t="str">
            <v>High End Cut Sheet</v>
          </cell>
          <cell r="W620" t="str">
            <v>SAN LUIS POTOSI</v>
          </cell>
          <cell r="X620">
            <v>2019</v>
          </cell>
          <cell r="Y620" t="str">
            <v>Qtr 2</v>
          </cell>
          <cell r="Z620" t="str">
            <v>April</v>
          </cell>
          <cell r="AA620">
            <v>18</v>
          </cell>
          <cell r="AB620">
            <v>0</v>
          </cell>
          <cell r="AC620">
            <v>16</v>
          </cell>
          <cell r="AD620">
            <v>1.05</v>
          </cell>
          <cell r="AE620">
            <v>0.97499999999999998</v>
          </cell>
          <cell r="AF620">
            <v>1651.65</v>
          </cell>
        </row>
        <row r="621">
          <cell r="B621" t="str">
            <v>0D6X457987</v>
          </cell>
          <cell r="C621">
            <v>2019</v>
          </cell>
          <cell r="D621" t="str">
            <v>Qtr 2</v>
          </cell>
          <cell r="E621" t="str">
            <v>April</v>
          </cell>
          <cell r="F621">
            <v>11</v>
          </cell>
          <cell r="G621" t="str">
            <v>CORRECTIVO</v>
          </cell>
          <cell r="H621">
            <v>1.8333330000000001</v>
          </cell>
          <cell r="I621" t="str">
            <v>Entry Mono Printers</v>
          </cell>
          <cell r="J621">
            <v>468</v>
          </cell>
          <cell r="K621">
            <v>715</v>
          </cell>
          <cell r="L621">
            <v>0</v>
          </cell>
          <cell r="M621">
            <v>0</v>
          </cell>
          <cell r="N621">
            <v>0</v>
          </cell>
          <cell r="O621">
            <v>0.6</v>
          </cell>
          <cell r="P621">
            <v>0.8</v>
          </cell>
          <cell r="Q621">
            <v>1.05</v>
          </cell>
          <cell r="R621" t="str">
            <v>INTERIOR</v>
          </cell>
          <cell r="S621">
            <v>5</v>
          </cell>
          <cell r="T621">
            <v>9</v>
          </cell>
          <cell r="U621" t="str">
            <v>Ciudad principal</v>
          </cell>
          <cell r="V621" t="str">
            <v>Entry Mono Printers</v>
          </cell>
          <cell r="W621" t="str">
            <v>CHIHUAHUA</v>
          </cell>
          <cell r="X621">
            <v>2019</v>
          </cell>
          <cell r="Y621" t="str">
            <v>Qtr 2</v>
          </cell>
          <cell r="Z621" t="str">
            <v>April</v>
          </cell>
          <cell r="AA621">
            <v>11</v>
          </cell>
          <cell r="AB621">
            <v>0</v>
          </cell>
          <cell r="AC621">
            <v>176</v>
          </cell>
          <cell r="AD621">
            <v>1.05</v>
          </cell>
          <cell r="AE621">
            <v>0.36666660000000001</v>
          </cell>
          <cell r="AF621">
            <v>750.75</v>
          </cell>
        </row>
        <row r="622">
          <cell r="B622" t="str">
            <v>0C4X011210</v>
          </cell>
          <cell r="C622">
            <v>2019</v>
          </cell>
          <cell r="D622" t="str">
            <v>Qtr 2</v>
          </cell>
          <cell r="E622" t="str">
            <v>April</v>
          </cell>
          <cell r="F622">
            <v>11</v>
          </cell>
          <cell r="G622" t="str">
            <v>CORRECTIVO</v>
          </cell>
          <cell r="H622">
            <v>1.733333</v>
          </cell>
          <cell r="J622" t="str">
            <v>NA</v>
          </cell>
          <cell r="K622" t="str">
            <v>NA</v>
          </cell>
          <cell r="L622" t="str">
            <v>NA</v>
          </cell>
          <cell r="M622" t="str">
            <v>NA</v>
          </cell>
          <cell r="N622" t="str">
            <v>NA</v>
          </cell>
          <cell r="O622" t="str">
            <v>NA</v>
          </cell>
          <cell r="P622" t="str">
            <v>NA</v>
          </cell>
          <cell r="Q622" t="str">
            <v>NA</v>
          </cell>
          <cell r="S622" t="str">
            <v>NA</v>
          </cell>
          <cell r="T622" t="str">
            <v>NA</v>
          </cell>
          <cell r="V622" t="str">
            <v>A4 Mono MFPs</v>
          </cell>
          <cell r="W622" t="str">
            <v>JALISCO</v>
          </cell>
          <cell r="X622">
            <v>2019</v>
          </cell>
          <cell r="Y622" t="str">
            <v>Qtr 2</v>
          </cell>
          <cell r="Z622" t="str">
            <v>April</v>
          </cell>
          <cell r="AA622">
            <v>11</v>
          </cell>
          <cell r="AB622" t="str">
            <v>NA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</row>
        <row r="623">
          <cell r="B623" t="str">
            <v>09HB331906</v>
          </cell>
          <cell r="C623">
            <v>2019</v>
          </cell>
          <cell r="D623" t="str">
            <v>Qtr 2</v>
          </cell>
          <cell r="E623" t="str">
            <v>April</v>
          </cell>
          <cell r="F623">
            <v>11</v>
          </cell>
          <cell r="G623" t="str">
            <v>MANTENIMIENTO PREVENTIVO</v>
          </cell>
          <cell r="H623">
            <v>0</v>
          </cell>
          <cell r="I623" t="str">
            <v>A4 Mono MFPs</v>
          </cell>
          <cell r="J623">
            <v>468</v>
          </cell>
          <cell r="K623">
            <v>715</v>
          </cell>
          <cell r="L623">
            <v>0</v>
          </cell>
          <cell r="M623">
            <v>0</v>
          </cell>
          <cell r="N623">
            <v>0</v>
          </cell>
          <cell r="O623">
            <v>0.6</v>
          </cell>
          <cell r="P623">
            <v>0.8</v>
          </cell>
          <cell r="Q623">
            <v>1.05</v>
          </cell>
          <cell r="R623" t="str">
            <v>INTERIOR</v>
          </cell>
          <cell r="S623">
            <v>5</v>
          </cell>
          <cell r="T623">
            <v>9</v>
          </cell>
          <cell r="U623" t="str">
            <v>Ciudad principal</v>
          </cell>
          <cell r="V623" t="str">
            <v>A4 Mono MFPs</v>
          </cell>
          <cell r="W623" t="str">
            <v>JALISCO</v>
          </cell>
          <cell r="X623">
            <v>2019</v>
          </cell>
          <cell r="Y623" t="str">
            <v>Qtr 2</v>
          </cell>
          <cell r="Z623" t="str">
            <v>April</v>
          </cell>
          <cell r="AA623">
            <v>11</v>
          </cell>
          <cell r="AB623">
            <v>1</v>
          </cell>
          <cell r="AC623">
            <v>1</v>
          </cell>
          <cell r="AD623">
            <v>0</v>
          </cell>
          <cell r="AE623">
            <v>0</v>
          </cell>
          <cell r="AF623">
            <v>0</v>
          </cell>
        </row>
        <row r="624">
          <cell r="B624" t="str">
            <v>09HB331709</v>
          </cell>
          <cell r="C624">
            <v>2019</v>
          </cell>
          <cell r="D624" t="str">
            <v>Qtr 2</v>
          </cell>
          <cell r="E624" t="str">
            <v>April</v>
          </cell>
          <cell r="F624">
            <v>11</v>
          </cell>
          <cell r="G624" t="str">
            <v>MANTENIMIENTO PREVENTIVO</v>
          </cell>
          <cell r="H624">
            <v>0</v>
          </cell>
          <cell r="I624" t="str">
            <v>A4 Mono MFPs</v>
          </cell>
          <cell r="J624">
            <v>468</v>
          </cell>
          <cell r="K624">
            <v>715</v>
          </cell>
          <cell r="L624">
            <v>0</v>
          </cell>
          <cell r="M624">
            <v>0</v>
          </cell>
          <cell r="N624">
            <v>0</v>
          </cell>
          <cell r="O624">
            <v>0.6</v>
          </cell>
          <cell r="P624">
            <v>0.8</v>
          </cell>
          <cell r="Q624">
            <v>1.05</v>
          </cell>
          <cell r="R624" t="str">
            <v>INTERIOR</v>
          </cell>
          <cell r="S624">
            <v>5</v>
          </cell>
          <cell r="T624">
            <v>9</v>
          </cell>
          <cell r="U624" t="str">
            <v>Ciudad principal</v>
          </cell>
          <cell r="V624" t="str">
            <v>A4 Mono MFPs</v>
          </cell>
          <cell r="W624" t="str">
            <v>JALISCO</v>
          </cell>
          <cell r="X624">
            <v>2019</v>
          </cell>
          <cell r="Y624" t="str">
            <v>Qtr 2</v>
          </cell>
          <cell r="Z624" t="str">
            <v>April</v>
          </cell>
          <cell r="AA624">
            <v>11</v>
          </cell>
          <cell r="AB624">
            <v>1</v>
          </cell>
          <cell r="AC624">
            <v>16</v>
          </cell>
          <cell r="AD624">
            <v>0</v>
          </cell>
          <cell r="AE624">
            <v>0</v>
          </cell>
          <cell r="AF624">
            <v>0</v>
          </cell>
        </row>
        <row r="625">
          <cell r="B625" t="str">
            <v>09HB331869</v>
          </cell>
          <cell r="C625">
            <v>2019</v>
          </cell>
          <cell r="D625" t="str">
            <v>Qtr 2</v>
          </cell>
          <cell r="E625" t="str">
            <v>April</v>
          </cell>
          <cell r="F625">
            <v>11</v>
          </cell>
          <cell r="G625" t="str">
            <v>MANTENIMIENTO PREVENTIVO</v>
          </cell>
          <cell r="H625">
            <v>0</v>
          </cell>
          <cell r="I625" t="str">
            <v>A4 Mono MFPs</v>
          </cell>
          <cell r="J625">
            <v>468</v>
          </cell>
          <cell r="K625">
            <v>715</v>
          </cell>
          <cell r="L625">
            <v>0</v>
          </cell>
          <cell r="M625">
            <v>0</v>
          </cell>
          <cell r="N625">
            <v>0</v>
          </cell>
          <cell r="O625">
            <v>0.6</v>
          </cell>
          <cell r="P625">
            <v>0.8</v>
          </cell>
          <cell r="Q625">
            <v>1.05</v>
          </cell>
          <cell r="R625" t="str">
            <v>INTERIOR</v>
          </cell>
          <cell r="S625">
            <v>5</v>
          </cell>
          <cell r="T625">
            <v>9</v>
          </cell>
          <cell r="U625" t="str">
            <v>Ciudad principal</v>
          </cell>
          <cell r="V625" t="str">
            <v>A4 Mono MFPs</v>
          </cell>
          <cell r="W625" t="str">
            <v>JALISCO</v>
          </cell>
          <cell r="X625">
            <v>2019</v>
          </cell>
          <cell r="Y625" t="str">
            <v>Qtr 2</v>
          </cell>
          <cell r="Z625" t="str">
            <v>April</v>
          </cell>
          <cell r="AA625">
            <v>11</v>
          </cell>
          <cell r="AB625">
            <v>1</v>
          </cell>
          <cell r="AC625">
            <v>76</v>
          </cell>
          <cell r="AD625">
            <v>0</v>
          </cell>
          <cell r="AE625">
            <v>0</v>
          </cell>
          <cell r="AF625">
            <v>0</v>
          </cell>
        </row>
        <row r="626">
          <cell r="B626" t="str">
            <v>09HB318209</v>
          </cell>
          <cell r="C626">
            <v>2019</v>
          </cell>
          <cell r="D626" t="str">
            <v>Qtr 2</v>
          </cell>
          <cell r="E626" t="str">
            <v>April</v>
          </cell>
          <cell r="F626">
            <v>11</v>
          </cell>
          <cell r="G626" t="str">
            <v>CORRECTIVO</v>
          </cell>
          <cell r="H626">
            <v>0.76666670000000003</v>
          </cell>
          <cell r="I626" t="str">
            <v>A4 Mono MFPs</v>
          </cell>
          <cell r="J626">
            <v>468</v>
          </cell>
          <cell r="K626">
            <v>715</v>
          </cell>
          <cell r="L626">
            <v>0</v>
          </cell>
          <cell r="M626">
            <v>0</v>
          </cell>
          <cell r="N626">
            <v>0</v>
          </cell>
          <cell r="O626">
            <v>0.6</v>
          </cell>
          <cell r="P626">
            <v>0.8</v>
          </cell>
          <cell r="Q626">
            <v>1.05</v>
          </cell>
          <cell r="R626" t="str">
            <v>INTERIOR</v>
          </cell>
          <cell r="S626">
            <v>5</v>
          </cell>
          <cell r="T626">
            <v>9</v>
          </cell>
          <cell r="U626" t="str">
            <v>Otras</v>
          </cell>
          <cell r="V626" t="str">
            <v>A4 Mono MFPs</v>
          </cell>
          <cell r="W626" t="str">
            <v>COAHUILA</v>
          </cell>
          <cell r="X626">
            <v>2019</v>
          </cell>
          <cell r="Y626" t="str">
            <v>Qtr 2</v>
          </cell>
          <cell r="Z626" t="str">
            <v>April</v>
          </cell>
          <cell r="AA626">
            <v>11</v>
          </cell>
          <cell r="AB626">
            <v>0</v>
          </cell>
          <cell r="AC626">
            <v>73</v>
          </cell>
          <cell r="AD626">
            <v>1.05</v>
          </cell>
          <cell r="AE626">
            <v>8.5185188888888902E-2</v>
          </cell>
          <cell r="AF626">
            <v>750.75</v>
          </cell>
        </row>
        <row r="627">
          <cell r="B627" t="str">
            <v>06TB445797</v>
          </cell>
          <cell r="C627">
            <v>2019</v>
          </cell>
          <cell r="D627" t="str">
            <v>Qtr 2</v>
          </cell>
          <cell r="E627" t="str">
            <v>April</v>
          </cell>
          <cell r="F627">
            <v>11</v>
          </cell>
          <cell r="G627" t="str">
            <v>CONFIGURACION</v>
          </cell>
          <cell r="H627">
            <v>0</v>
          </cell>
          <cell r="I627" t="str">
            <v>A3 Office Color Laser MFPs</v>
          </cell>
          <cell r="J627">
            <v>655</v>
          </cell>
          <cell r="K627">
            <v>1365</v>
          </cell>
          <cell r="L627">
            <v>0</v>
          </cell>
          <cell r="M627">
            <v>0</v>
          </cell>
          <cell r="N627">
            <v>0.6</v>
          </cell>
          <cell r="O627">
            <v>0.8</v>
          </cell>
          <cell r="P627">
            <v>1.05</v>
          </cell>
          <cell r="Q627">
            <v>1.1000000000000001</v>
          </cell>
          <cell r="R627" t="str">
            <v>INTERIOR</v>
          </cell>
          <cell r="S627">
            <v>5</v>
          </cell>
          <cell r="T627">
            <v>9</v>
          </cell>
          <cell r="U627" t="str">
            <v>Ciudad principal</v>
          </cell>
          <cell r="V627" t="str">
            <v>A3 Office Color Laser MFPs</v>
          </cell>
          <cell r="W627" t="str">
            <v>JALISCO</v>
          </cell>
          <cell r="X627">
            <v>2019</v>
          </cell>
          <cell r="Y627" t="str">
            <v>Qtr 2</v>
          </cell>
          <cell r="Z627" t="str">
            <v>April</v>
          </cell>
          <cell r="AA627">
            <v>11</v>
          </cell>
          <cell r="AB627">
            <v>0</v>
          </cell>
          <cell r="AC627">
            <v>34</v>
          </cell>
          <cell r="AD627">
            <v>1.05</v>
          </cell>
          <cell r="AE627">
            <v>0</v>
          </cell>
          <cell r="AF627">
            <v>1433.25</v>
          </cell>
        </row>
        <row r="628">
          <cell r="B628" t="str">
            <v>03BT801958</v>
          </cell>
          <cell r="C628">
            <v>2019</v>
          </cell>
          <cell r="D628" t="str">
            <v>Qtr 2</v>
          </cell>
          <cell r="E628" t="str">
            <v>April</v>
          </cell>
          <cell r="F628">
            <v>11</v>
          </cell>
          <cell r="G628" t="str">
            <v>CORRECTIVO</v>
          </cell>
          <cell r="H628">
            <v>2.3333330000000001</v>
          </cell>
          <cell r="I628" t="str">
            <v>A4 Mono MFPs</v>
          </cell>
          <cell r="J628">
            <v>468</v>
          </cell>
          <cell r="K628">
            <v>715</v>
          </cell>
          <cell r="L628">
            <v>0</v>
          </cell>
          <cell r="M628">
            <v>0</v>
          </cell>
          <cell r="N628">
            <v>0</v>
          </cell>
          <cell r="O628">
            <v>0.6</v>
          </cell>
          <cell r="P628">
            <v>0.8</v>
          </cell>
          <cell r="Q628">
            <v>1.05</v>
          </cell>
          <cell r="R628" t="str">
            <v>INTERIOR</v>
          </cell>
          <cell r="S628">
            <v>5</v>
          </cell>
          <cell r="T628">
            <v>9</v>
          </cell>
          <cell r="U628" t="str">
            <v>Otras</v>
          </cell>
          <cell r="V628" t="str">
            <v>A4 Mono MFPs</v>
          </cell>
          <cell r="W628" t="str">
            <v>COAHUILA</v>
          </cell>
          <cell r="X628">
            <v>2019</v>
          </cell>
          <cell r="Y628" t="str">
            <v>Qtr 2</v>
          </cell>
          <cell r="Z628" t="str">
            <v>April</v>
          </cell>
          <cell r="AA628">
            <v>11</v>
          </cell>
          <cell r="AB628">
            <v>0</v>
          </cell>
          <cell r="AC628">
            <v>14</v>
          </cell>
          <cell r="AD628">
            <v>0</v>
          </cell>
          <cell r="AE628">
            <v>0.25925922222222197</v>
          </cell>
          <cell r="AF628">
            <v>0</v>
          </cell>
        </row>
        <row r="629">
          <cell r="B629" t="str">
            <v>09HB331915</v>
          </cell>
          <cell r="C629">
            <v>2019</v>
          </cell>
          <cell r="D629" t="str">
            <v>Qtr 2</v>
          </cell>
          <cell r="E629" t="str">
            <v>April</v>
          </cell>
          <cell r="F629">
            <v>11</v>
          </cell>
          <cell r="G629" t="str">
            <v>MANTENIMIENTO PREVENTIVO</v>
          </cell>
          <cell r="H629">
            <v>0</v>
          </cell>
          <cell r="J629" t="str">
            <v>NA</v>
          </cell>
          <cell r="K629" t="str">
            <v>NA</v>
          </cell>
          <cell r="L629" t="str">
            <v>NA</v>
          </cell>
          <cell r="M629" t="str">
            <v>NA</v>
          </cell>
          <cell r="N629" t="str">
            <v>NA</v>
          </cell>
          <cell r="O629" t="str">
            <v>NA</v>
          </cell>
          <cell r="P629" t="str">
            <v>NA</v>
          </cell>
          <cell r="Q629" t="str">
            <v>NA</v>
          </cell>
          <cell r="S629" t="str">
            <v>NA</v>
          </cell>
          <cell r="T629" t="str">
            <v>NA</v>
          </cell>
          <cell r="V629" t="str">
            <v>A4 Mono MFPs</v>
          </cell>
          <cell r="W629" t="str">
            <v>JALISCO</v>
          </cell>
          <cell r="X629">
            <v>2019</v>
          </cell>
          <cell r="Y629" t="str">
            <v>Qtr 2</v>
          </cell>
          <cell r="Z629" t="str">
            <v>April</v>
          </cell>
          <cell r="AA629">
            <v>11</v>
          </cell>
          <cell r="AB629" t="str">
            <v>NA</v>
          </cell>
          <cell r="AC629">
            <v>29</v>
          </cell>
          <cell r="AD629">
            <v>0</v>
          </cell>
          <cell r="AE629">
            <v>0</v>
          </cell>
          <cell r="AF629">
            <v>0</v>
          </cell>
        </row>
        <row r="630">
          <cell r="B630" t="str">
            <v>0BG0966730</v>
          </cell>
          <cell r="C630">
            <v>2019</v>
          </cell>
          <cell r="D630" t="str">
            <v>Qtr 2</v>
          </cell>
          <cell r="E630" t="str">
            <v>April</v>
          </cell>
          <cell r="F630">
            <v>11</v>
          </cell>
          <cell r="G630" t="str">
            <v>CORRECTIVO</v>
          </cell>
          <cell r="H630">
            <v>2.2833329999999998</v>
          </cell>
          <cell r="I630" t="str">
            <v>Light Production Digital Business</v>
          </cell>
          <cell r="J630">
            <v>803</v>
          </cell>
          <cell r="K630">
            <v>1573</v>
          </cell>
          <cell r="L630">
            <v>0.2</v>
          </cell>
          <cell r="M630">
            <v>0.6</v>
          </cell>
          <cell r="N630">
            <v>0.8</v>
          </cell>
          <cell r="O630">
            <v>1.05</v>
          </cell>
          <cell r="P630">
            <v>1.1000000000000001</v>
          </cell>
          <cell r="Q630">
            <v>1.1499999999999999</v>
          </cell>
          <cell r="R630" t="str">
            <v>INTERIOR</v>
          </cell>
          <cell r="S630">
            <v>4</v>
          </cell>
          <cell r="T630">
            <v>6</v>
          </cell>
          <cell r="U630" t="str">
            <v>Ciudad principal</v>
          </cell>
          <cell r="V630" t="str">
            <v>High End Cut Sheet</v>
          </cell>
          <cell r="W630" t="str">
            <v>MICHOACAN</v>
          </cell>
          <cell r="X630">
            <v>2019</v>
          </cell>
          <cell r="Y630" t="str">
            <v>Qtr 2</v>
          </cell>
          <cell r="Z630" t="str">
            <v>April</v>
          </cell>
          <cell r="AA630">
            <v>11</v>
          </cell>
          <cell r="AB630">
            <v>0</v>
          </cell>
          <cell r="AC630">
            <v>3</v>
          </cell>
          <cell r="AD630">
            <v>0.6</v>
          </cell>
          <cell r="AE630">
            <v>0.57083324999999996</v>
          </cell>
          <cell r="AF630">
            <v>943.8</v>
          </cell>
        </row>
        <row r="631">
          <cell r="B631" t="str">
            <v>0XLT269172</v>
          </cell>
          <cell r="C631">
            <v>2019</v>
          </cell>
          <cell r="D631" t="str">
            <v>Qtr 2</v>
          </cell>
          <cell r="E631" t="str">
            <v>April</v>
          </cell>
          <cell r="F631">
            <v>11</v>
          </cell>
          <cell r="G631" t="str">
            <v>CORRECTIVO</v>
          </cell>
          <cell r="H631">
            <v>2.8833329999999999</v>
          </cell>
          <cell r="I631" t="str">
            <v>Entry Mono Printers</v>
          </cell>
          <cell r="J631">
            <v>468</v>
          </cell>
          <cell r="K631">
            <v>715</v>
          </cell>
          <cell r="L631">
            <v>0</v>
          </cell>
          <cell r="M631">
            <v>0</v>
          </cell>
          <cell r="N631">
            <v>0</v>
          </cell>
          <cell r="O631">
            <v>0.6</v>
          </cell>
          <cell r="P631">
            <v>0.8</v>
          </cell>
          <cell r="Q631">
            <v>1.05</v>
          </cell>
          <cell r="R631" t="str">
            <v>INTERIOR</v>
          </cell>
          <cell r="S631">
            <v>5</v>
          </cell>
          <cell r="T631">
            <v>9</v>
          </cell>
          <cell r="U631" t="str">
            <v>Ciudad principal</v>
          </cell>
          <cell r="V631" t="str">
            <v>Entry Mono Printers</v>
          </cell>
          <cell r="W631" t="str">
            <v>TAMAULIPAS</v>
          </cell>
          <cell r="X631">
            <v>2019</v>
          </cell>
          <cell r="Y631" t="str">
            <v>Qtr 2</v>
          </cell>
          <cell r="Z631" t="str">
            <v>April</v>
          </cell>
          <cell r="AA631">
            <v>12</v>
          </cell>
          <cell r="AB631">
            <v>0</v>
          </cell>
          <cell r="AC631">
            <v>87</v>
          </cell>
          <cell r="AD631">
            <v>1.05</v>
          </cell>
          <cell r="AE631">
            <v>0.57666660000000003</v>
          </cell>
          <cell r="AF631">
            <v>750.75</v>
          </cell>
        </row>
        <row r="632">
          <cell r="B632" t="str">
            <v>09HB331843</v>
          </cell>
          <cell r="C632">
            <v>2019</v>
          </cell>
          <cell r="D632" t="str">
            <v>Qtr 2</v>
          </cell>
          <cell r="E632" t="str">
            <v>April</v>
          </cell>
          <cell r="F632">
            <v>11</v>
          </cell>
          <cell r="G632" t="str">
            <v>MANTENIMIENTO PREVENTIVO</v>
          </cell>
          <cell r="H632">
            <v>0</v>
          </cell>
          <cell r="I632" t="str">
            <v>A4 Mono MFPs</v>
          </cell>
          <cell r="J632">
            <v>468</v>
          </cell>
          <cell r="K632">
            <v>715</v>
          </cell>
          <cell r="L632">
            <v>0</v>
          </cell>
          <cell r="M632">
            <v>0</v>
          </cell>
          <cell r="N632">
            <v>0</v>
          </cell>
          <cell r="O632">
            <v>0.6</v>
          </cell>
          <cell r="P632">
            <v>0.8</v>
          </cell>
          <cell r="Q632">
            <v>1.05</v>
          </cell>
          <cell r="R632" t="str">
            <v>INTERIOR</v>
          </cell>
          <cell r="S632">
            <v>5</v>
          </cell>
          <cell r="T632">
            <v>9</v>
          </cell>
          <cell r="U632" t="str">
            <v>Ciudad principal</v>
          </cell>
          <cell r="V632" t="str">
            <v>A4 Mono MFPs</v>
          </cell>
          <cell r="W632" t="str">
            <v>JALISCO</v>
          </cell>
          <cell r="X632">
            <v>2019</v>
          </cell>
          <cell r="Y632" t="str">
            <v>Qtr 2</v>
          </cell>
          <cell r="Z632" t="str">
            <v>April</v>
          </cell>
          <cell r="AA632">
            <v>11</v>
          </cell>
          <cell r="AB632">
            <v>1</v>
          </cell>
          <cell r="AC632">
            <v>22</v>
          </cell>
          <cell r="AD632">
            <v>0</v>
          </cell>
          <cell r="AE632">
            <v>0</v>
          </cell>
          <cell r="AF632">
            <v>0</v>
          </cell>
        </row>
        <row r="633">
          <cell r="B633" t="str">
            <v>0BB1252025</v>
          </cell>
          <cell r="C633">
            <v>2019</v>
          </cell>
          <cell r="D633" t="str">
            <v>Qtr 2</v>
          </cell>
          <cell r="E633" t="str">
            <v>April</v>
          </cell>
          <cell r="F633">
            <v>11</v>
          </cell>
          <cell r="G633" t="str">
            <v>CORRECTIVO</v>
          </cell>
          <cell r="H633">
            <v>2.5</v>
          </cell>
          <cell r="I633" t="str">
            <v>A4 Mono MFPs</v>
          </cell>
          <cell r="J633">
            <v>468</v>
          </cell>
          <cell r="K633">
            <v>715</v>
          </cell>
          <cell r="L633">
            <v>0</v>
          </cell>
          <cell r="M633">
            <v>0</v>
          </cell>
          <cell r="N633">
            <v>0</v>
          </cell>
          <cell r="O633">
            <v>0.6</v>
          </cell>
          <cell r="P633">
            <v>0.8</v>
          </cell>
          <cell r="Q633">
            <v>1.05</v>
          </cell>
          <cell r="R633" t="str">
            <v>INTERIOR</v>
          </cell>
          <cell r="S633">
            <v>5</v>
          </cell>
          <cell r="T633">
            <v>9</v>
          </cell>
          <cell r="U633" t="str">
            <v>Ciudad principal</v>
          </cell>
          <cell r="V633" t="str">
            <v>A4 Mono MFPs</v>
          </cell>
          <cell r="W633" t="str">
            <v>CHIHUAHUA</v>
          </cell>
          <cell r="X633">
            <v>2019</v>
          </cell>
          <cell r="Y633" t="str">
            <v>Qtr 2</v>
          </cell>
          <cell r="Z633" t="str">
            <v>April</v>
          </cell>
          <cell r="AA633">
            <v>11</v>
          </cell>
          <cell r="AB633">
            <v>0</v>
          </cell>
          <cell r="AC633">
            <v>17</v>
          </cell>
          <cell r="AD633">
            <v>0.6</v>
          </cell>
          <cell r="AE633">
            <v>0.5</v>
          </cell>
          <cell r="AF633">
            <v>429</v>
          </cell>
        </row>
        <row r="634">
          <cell r="B634" t="str">
            <v>0PW4792201</v>
          </cell>
          <cell r="C634">
            <v>2019</v>
          </cell>
          <cell r="D634" t="str">
            <v>Qtr 2</v>
          </cell>
          <cell r="E634" t="str">
            <v>April</v>
          </cell>
          <cell r="F634">
            <v>11</v>
          </cell>
          <cell r="G634" t="str">
            <v>CORRECTIVO</v>
          </cell>
          <cell r="H634">
            <v>0.23333329999999999</v>
          </cell>
          <cell r="I634" t="str">
            <v>WF Mono Systems and Legacy Color</v>
          </cell>
          <cell r="J634">
            <v>803</v>
          </cell>
          <cell r="K634">
            <v>1573</v>
          </cell>
          <cell r="L634">
            <v>0.2</v>
          </cell>
          <cell r="M634">
            <v>0.6</v>
          </cell>
          <cell r="N634">
            <v>0.8</v>
          </cell>
          <cell r="O634">
            <v>1.05</v>
          </cell>
          <cell r="P634">
            <v>1.1000000000000001</v>
          </cell>
          <cell r="Q634">
            <v>1.1499999999999999</v>
          </cell>
          <cell r="R634" t="str">
            <v>INTERIOR</v>
          </cell>
          <cell r="S634">
            <v>4</v>
          </cell>
          <cell r="T634">
            <v>6</v>
          </cell>
          <cell r="U634" t="str">
            <v>Ciudad principal</v>
          </cell>
          <cell r="V634" t="str">
            <v>WF Mono Systems and Legacy Color</v>
          </cell>
          <cell r="W634" t="str">
            <v>CHIHUAHUA</v>
          </cell>
          <cell r="X634">
            <v>2019</v>
          </cell>
          <cell r="Y634" t="str">
            <v>Qtr 2</v>
          </cell>
          <cell r="Z634" t="str">
            <v>April</v>
          </cell>
          <cell r="AA634">
            <v>11</v>
          </cell>
          <cell r="AB634">
            <v>0</v>
          </cell>
          <cell r="AC634">
            <v>63</v>
          </cell>
          <cell r="AD634">
            <v>1.1499999999999999</v>
          </cell>
          <cell r="AE634">
            <v>5.8333324999999998E-2</v>
          </cell>
          <cell r="AF634">
            <v>1808.95</v>
          </cell>
        </row>
        <row r="635">
          <cell r="B635" t="str">
            <v>09HB331385</v>
          </cell>
          <cell r="C635">
            <v>2019</v>
          </cell>
          <cell r="D635" t="str">
            <v>Qtr 2</v>
          </cell>
          <cell r="E635" t="str">
            <v>April</v>
          </cell>
          <cell r="F635">
            <v>11</v>
          </cell>
          <cell r="G635" t="str">
            <v>CORRECTIVO</v>
          </cell>
          <cell r="H635">
            <v>2.4</v>
          </cell>
          <cell r="I635" t="str">
            <v>A4 Mono MFPs</v>
          </cell>
          <cell r="J635">
            <v>468</v>
          </cell>
          <cell r="K635">
            <v>715</v>
          </cell>
          <cell r="L635">
            <v>0</v>
          </cell>
          <cell r="M635">
            <v>0</v>
          </cell>
          <cell r="N635">
            <v>0</v>
          </cell>
          <cell r="O635">
            <v>0.6</v>
          </cell>
          <cell r="P635">
            <v>0.8</v>
          </cell>
          <cell r="Q635">
            <v>1.05</v>
          </cell>
          <cell r="R635" t="str">
            <v>METRO</v>
          </cell>
          <cell r="S635">
            <v>5</v>
          </cell>
          <cell r="T635">
            <v>9</v>
          </cell>
          <cell r="U635" t="str">
            <v>Ciudad principal</v>
          </cell>
          <cell r="V635" t="str">
            <v>A4 Mono MFPs</v>
          </cell>
          <cell r="W635" t="str">
            <v>ESTADO DE MEXICO</v>
          </cell>
          <cell r="X635">
            <v>2019</v>
          </cell>
          <cell r="Y635" t="str">
            <v>Qtr 2</v>
          </cell>
          <cell r="Z635" t="str">
            <v>April</v>
          </cell>
          <cell r="AA635">
            <v>11</v>
          </cell>
          <cell r="AB635">
            <v>1</v>
          </cell>
          <cell r="AC635">
            <v>64</v>
          </cell>
          <cell r="AD635">
            <v>0</v>
          </cell>
          <cell r="AE635">
            <v>0</v>
          </cell>
          <cell r="AF635">
            <v>0</v>
          </cell>
        </row>
        <row r="636">
          <cell r="B636" t="str">
            <v>0KPA018612</v>
          </cell>
          <cell r="C636">
            <v>2019</v>
          </cell>
          <cell r="D636" t="str">
            <v>Qtr 2</v>
          </cell>
          <cell r="E636" t="str">
            <v>April</v>
          </cell>
          <cell r="F636">
            <v>11</v>
          </cell>
          <cell r="G636" t="str">
            <v>MANTENIMIENTO PREVENTIVO</v>
          </cell>
          <cell r="H636">
            <v>0</v>
          </cell>
          <cell r="I636" t="str">
            <v>Entry Mono Printers</v>
          </cell>
          <cell r="J636">
            <v>468</v>
          </cell>
          <cell r="K636">
            <v>715</v>
          </cell>
          <cell r="L636">
            <v>0</v>
          </cell>
          <cell r="M636">
            <v>0</v>
          </cell>
          <cell r="N636">
            <v>0</v>
          </cell>
          <cell r="O636">
            <v>0.6</v>
          </cell>
          <cell r="P636">
            <v>0.8</v>
          </cell>
          <cell r="Q636">
            <v>1.05</v>
          </cell>
          <cell r="R636" t="str">
            <v>INTERIOR</v>
          </cell>
          <cell r="S636">
            <v>5</v>
          </cell>
          <cell r="T636">
            <v>9</v>
          </cell>
          <cell r="U636" t="str">
            <v>Ciudad principal</v>
          </cell>
          <cell r="V636" t="str">
            <v>Departmental Digital</v>
          </cell>
          <cell r="W636" t="str">
            <v>CHIHUAHUA</v>
          </cell>
          <cell r="X636">
            <v>2019</v>
          </cell>
          <cell r="Y636" t="str">
            <v>Qtr 2</v>
          </cell>
          <cell r="Z636" t="str">
            <v>April</v>
          </cell>
          <cell r="AA636">
            <v>12</v>
          </cell>
          <cell r="AB636">
            <v>0</v>
          </cell>
          <cell r="AC636">
            <v>29</v>
          </cell>
          <cell r="AD636">
            <v>0</v>
          </cell>
          <cell r="AE636">
            <v>0</v>
          </cell>
          <cell r="AF636">
            <v>715</v>
          </cell>
        </row>
        <row r="637">
          <cell r="B637" t="str">
            <v>09HB331353</v>
          </cell>
          <cell r="C637">
            <v>2019</v>
          </cell>
          <cell r="D637" t="str">
            <v>Qtr 2</v>
          </cell>
          <cell r="E637" t="str">
            <v>April</v>
          </cell>
          <cell r="F637">
            <v>11</v>
          </cell>
          <cell r="G637" t="str">
            <v>MANTENIMIENTO PREVENTIVO</v>
          </cell>
          <cell r="H637">
            <v>0</v>
          </cell>
          <cell r="J637" t="str">
            <v>NA</v>
          </cell>
          <cell r="K637" t="str">
            <v>NA</v>
          </cell>
          <cell r="L637" t="str">
            <v>NA</v>
          </cell>
          <cell r="M637" t="str">
            <v>NA</v>
          </cell>
          <cell r="N637" t="str">
            <v>NA</v>
          </cell>
          <cell r="O637" t="str">
            <v>NA</v>
          </cell>
          <cell r="P637" t="str">
            <v>NA</v>
          </cell>
          <cell r="Q637" t="str">
            <v>NA</v>
          </cell>
          <cell r="S637" t="str">
            <v>NA</v>
          </cell>
          <cell r="T637" t="str">
            <v>NA</v>
          </cell>
          <cell r="V637" t="str">
            <v>A4 Mono MFPs</v>
          </cell>
          <cell r="W637" t="str">
            <v>JALISCO</v>
          </cell>
          <cell r="X637">
            <v>2019</v>
          </cell>
          <cell r="Y637" t="str">
            <v>Qtr 2</v>
          </cell>
          <cell r="Z637" t="str">
            <v>April</v>
          </cell>
          <cell r="AA637">
            <v>11</v>
          </cell>
          <cell r="AB637" t="str">
            <v>NA</v>
          </cell>
          <cell r="AC637">
            <v>22</v>
          </cell>
          <cell r="AD637">
            <v>0</v>
          </cell>
          <cell r="AE637">
            <v>0</v>
          </cell>
          <cell r="AF637">
            <v>0</v>
          </cell>
        </row>
        <row r="638">
          <cell r="B638" t="str">
            <v>09HB331604</v>
          </cell>
          <cell r="C638">
            <v>2019</v>
          </cell>
          <cell r="D638" t="str">
            <v>Qtr 2</v>
          </cell>
          <cell r="E638" t="str">
            <v>April</v>
          </cell>
          <cell r="F638">
            <v>11</v>
          </cell>
          <cell r="G638" t="str">
            <v>MANTENIMIENTO PREVENTIVO</v>
          </cell>
          <cell r="H638">
            <v>0</v>
          </cell>
          <cell r="J638" t="str">
            <v>NA</v>
          </cell>
          <cell r="K638" t="str">
            <v>NA</v>
          </cell>
          <cell r="L638" t="str">
            <v>NA</v>
          </cell>
          <cell r="M638" t="str">
            <v>NA</v>
          </cell>
          <cell r="N638" t="str">
            <v>NA</v>
          </cell>
          <cell r="O638" t="str">
            <v>NA</v>
          </cell>
          <cell r="P638" t="str">
            <v>NA</v>
          </cell>
          <cell r="Q638" t="str">
            <v>NA</v>
          </cell>
          <cell r="S638" t="str">
            <v>NA</v>
          </cell>
          <cell r="T638" t="str">
            <v>NA</v>
          </cell>
          <cell r="V638" t="str">
            <v>A4 Mono MFPs</v>
          </cell>
          <cell r="W638" t="str">
            <v>JALISCO</v>
          </cell>
          <cell r="X638">
            <v>2019</v>
          </cell>
          <cell r="Y638" t="str">
            <v>Qtr 2</v>
          </cell>
          <cell r="Z638" t="str">
            <v>April</v>
          </cell>
          <cell r="AA638">
            <v>11</v>
          </cell>
          <cell r="AB638" t="str">
            <v>NA</v>
          </cell>
          <cell r="AC638">
            <v>22</v>
          </cell>
          <cell r="AD638">
            <v>0</v>
          </cell>
          <cell r="AE638">
            <v>0</v>
          </cell>
          <cell r="AF638">
            <v>0</v>
          </cell>
        </row>
        <row r="639">
          <cell r="B639" t="str">
            <v>0Y4X821406</v>
          </cell>
          <cell r="C639">
            <v>2019</v>
          </cell>
          <cell r="D639" t="str">
            <v>Qtr 2</v>
          </cell>
          <cell r="E639" t="str">
            <v>April</v>
          </cell>
          <cell r="F639">
            <v>11</v>
          </cell>
          <cell r="G639" t="str">
            <v>CORRECTIVO</v>
          </cell>
          <cell r="H639">
            <v>1.5333330000000001</v>
          </cell>
          <cell r="I639" t="str">
            <v>Departmental Digital</v>
          </cell>
          <cell r="J639">
            <v>655</v>
          </cell>
          <cell r="K639">
            <v>1365</v>
          </cell>
          <cell r="L639">
            <v>0</v>
          </cell>
          <cell r="M639">
            <v>0</v>
          </cell>
          <cell r="N639">
            <v>0.6</v>
          </cell>
          <cell r="O639">
            <v>0.8</v>
          </cell>
          <cell r="P639">
            <v>1.05</v>
          </cell>
          <cell r="Q639">
            <v>1.1000000000000001</v>
          </cell>
          <cell r="R639" t="str">
            <v>INTERIOR</v>
          </cell>
          <cell r="S639">
            <v>5</v>
          </cell>
          <cell r="T639">
            <v>9</v>
          </cell>
          <cell r="U639" t="str">
            <v>Ciudad principal</v>
          </cell>
          <cell r="V639" t="str">
            <v>Light Production Digital Business</v>
          </cell>
          <cell r="W639" t="str">
            <v>CHIHUAHUA</v>
          </cell>
          <cell r="X639">
            <v>2019</v>
          </cell>
          <cell r="Y639" t="str">
            <v>Qtr 2</v>
          </cell>
          <cell r="Z639" t="str">
            <v>April</v>
          </cell>
          <cell r="AA639">
            <v>11</v>
          </cell>
          <cell r="AB639">
            <v>0</v>
          </cell>
          <cell r="AC639">
            <v>86</v>
          </cell>
          <cell r="AD639">
            <v>1.1000000000000001</v>
          </cell>
          <cell r="AE639">
            <v>0.30666660000000001</v>
          </cell>
          <cell r="AF639">
            <v>1501.5</v>
          </cell>
        </row>
        <row r="640">
          <cell r="B640" t="str">
            <v>0BG2948884</v>
          </cell>
          <cell r="C640">
            <v>2019</v>
          </cell>
          <cell r="D640" t="str">
            <v>Qtr 2</v>
          </cell>
          <cell r="E640" t="str">
            <v>April</v>
          </cell>
          <cell r="F640">
            <v>11</v>
          </cell>
          <cell r="G640" t="str">
            <v>CORRECTIVO</v>
          </cell>
          <cell r="H640">
            <v>1.45</v>
          </cell>
          <cell r="I640" t="str">
            <v>Light Production Digital Business</v>
          </cell>
          <cell r="J640">
            <v>803</v>
          </cell>
          <cell r="K640">
            <v>1573</v>
          </cell>
          <cell r="L640">
            <v>0.2</v>
          </cell>
          <cell r="M640">
            <v>0.6</v>
          </cell>
          <cell r="N640">
            <v>0.8</v>
          </cell>
          <cell r="O640">
            <v>1.05</v>
          </cell>
          <cell r="P640">
            <v>1.1000000000000001</v>
          </cell>
          <cell r="Q640">
            <v>1.1499999999999999</v>
          </cell>
          <cell r="R640" t="str">
            <v>INTERIOR</v>
          </cell>
          <cell r="S640">
            <v>4</v>
          </cell>
          <cell r="T640">
            <v>6</v>
          </cell>
          <cell r="U640" t="str">
            <v>Otras</v>
          </cell>
          <cell r="V640" t="str">
            <v>High End Cut Sheet</v>
          </cell>
          <cell r="W640" t="str">
            <v>COAHUILA</v>
          </cell>
          <cell r="X640">
            <v>2019</v>
          </cell>
          <cell r="Y640" t="str">
            <v>Qtr 2</v>
          </cell>
          <cell r="Z640" t="str">
            <v>April</v>
          </cell>
          <cell r="AA640">
            <v>12</v>
          </cell>
          <cell r="AB640">
            <v>0</v>
          </cell>
          <cell r="AC640">
            <v>231</v>
          </cell>
          <cell r="AD640">
            <v>1.1499999999999999</v>
          </cell>
          <cell r="AE640">
            <v>0.241666666666667</v>
          </cell>
          <cell r="AF640">
            <v>1808.95</v>
          </cell>
        </row>
        <row r="641">
          <cell r="B641" t="str">
            <v>0XKP536906</v>
          </cell>
          <cell r="C641">
            <v>2019</v>
          </cell>
          <cell r="D641" t="str">
            <v>Qtr 2</v>
          </cell>
          <cell r="E641" t="str">
            <v>April</v>
          </cell>
          <cell r="F641">
            <v>11</v>
          </cell>
          <cell r="G641" t="str">
            <v>CORRECTIVO</v>
          </cell>
          <cell r="H641">
            <v>0</v>
          </cell>
          <cell r="I641" t="str">
            <v>A3 Office Color Laser MFPs</v>
          </cell>
          <cell r="J641">
            <v>655</v>
          </cell>
          <cell r="K641">
            <v>1365</v>
          </cell>
          <cell r="L641">
            <v>0</v>
          </cell>
          <cell r="M641">
            <v>0</v>
          </cell>
          <cell r="N641">
            <v>0.6</v>
          </cell>
          <cell r="O641">
            <v>0.8</v>
          </cell>
          <cell r="P641">
            <v>1.05</v>
          </cell>
          <cell r="Q641">
            <v>1.1000000000000001</v>
          </cell>
          <cell r="R641" t="str">
            <v>INTERIOR</v>
          </cell>
          <cell r="S641">
            <v>5</v>
          </cell>
          <cell r="T641">
            <v>9</v>
          </cell>
          <cell r="U641" t="str">
            <v>Ciudad principal</v>
          </cell>
          <cell r="V641" t="str">
            <v>A3 Office Color Laser MFPs</v>
          </cell>
          <cell r="W641" t="str">
            <v>CHIHUAHUA</v>
          </cell>
          <cell r="X641">
            <v>2019</v>
          </cell>
          <cell r="Y641" t="str">
            <v>Qtr 2</v>
          </cell>
          <cell r="Z641" t="str">
            <v>April</v>
          </cell>
          <cell r="AA641">
            <v>15</v>
          </cell>
          <cell r="AB641">
            <v>0</v>
          </cell>
          <cell r="AC641">
            <v>92</v>
          </cell>
          <cell r="AD641">
            <v>1.1000000000000001</v>
          </cell>
          <cell r="AE641">
            <v>0</v>
          </cell>
          <cell r="AF641">
            <v>1501.5</v>
          </cell>
        </row>
        <row r="642">
          <cell r="B642" t="str">
            <v>05BT705082</v>
          </cell>
          <cell r="C642">
            <v>2019</v>
          </cell>
          <cell r="D642" t="str">
            <v>Qtr 2</v>
          </cell>
          <cell r="E642" t="str">
            <v>April</v>
          </cell>
          <cell r="F642">
            <v>11</v>
          </cell>
          <cell r="G642" t="str">
            <v>CORRECTIVO</v>
          </cell>
          <cell r="H642">
            <v>0.96666660000000004</v>
          </cell>
          <cell r="I642" t="str">
            <v>A4 Mono MFPs</v>
          </cell>
          <cell r="J642">
            <v>468</v>
          </cell>
          <cell r="K642">
            <v>715</v>
          </cell>
          <cell r="L642">
            <v>0</v>
          </cell>
          <cell r="M642">
            <v>0</v>
          </cell>
          <cell r="N642">
            <v>0</v>
          </cell>
          <cell r="O642">
            <v>0.6</v>
          </cell>
          <cell r="P642">
            <v>0.8</v>
          </cell>
          <cell r="Q642">
            <v>1.05</v>
          </cell>
          <cell r="R642" t="str">
            <v>INTERIOR</v>
          </cell>
          <cell r="S642">
            <v>5</v>
          </cell>
          <cell r="T642">
            <v>9</v>
          </cell>
          <cell r="U642" t="str">
            <v>Ciudad principal</v>
          </cell>
          <cell r="V642" t="str">
            <v>A4 Mono MFPs</v>
          </cell>
          <cell r="W642" t="str">
            <v>NUEVO LEON</v>
          </cell>
          <cell r="X642">
            <v>2019</v>
          </cell>
          <cell r="Y642" t="str">
            <v>Qtr 2</v>
          </cell>
          <cell r="Z642" t="str">
            <v>April</v>
          </cell>
          <cell r="AA642">
            <v>11</v>
          </cell>
          <cell r="AB642">
            <v>0</v>
          </cell>
          <cell r="AC642">
            <v>58</v>
          </cell>
          <cell r="AD642">
            <v>0.8</v>
          </cell>
          <cell r="AE642">
            <v>0.19333332</v>
          </cell>
          <cell r="AF642">
            <v>572</v>
          </cell>
        </row>
        <row r="643">
          <cell r="B643" t="str">
            <v>0EX9299901</v>
          </cell>
          <cell r="C643">
            <v>2019</v>
          </cell>
          <cell r="D643" t="str">
            <v>Qtr 2</v>
          </cell>
          <cell r="E643" t="str">
            <v>April</v>
          </cell>
          <cell r="F643">
            <v>11</v>
          </cell>
          <cell r="G643" t="str">
            <v>CORRECTIVO</v>
          </cell>
          <cell r="H643">
            <v>1.6</v>
          </cell>
          <cell r="I643" t="str">
            <v>Departmental Digital</v>
          </cell>
          <cell r="J643">
            <v>655</v>
          </cell>
          <cell r="K643">
            <v>1365</v>
          </cell>
          <cell r="L643">
            <v>0</v>
          </cell>
          <cell r="M643">
            <v>0</v>
          </cell>
          <cell r="N643">
            <v>0.6</v>
          </cell>
          <cell r="O643">
            <v>0.8</v>
          </cell>
          <cell r="P643">
            <v>1.05</v>
          </cell>
          <cell r="Q643">
            <v>1.1000000000000001</v>
          </cell>
          <cell r="R643" t="str">
            <v>INTERIOR</v>
          </cell>
          <cell r="S643">
            <v>5</v>
          </cell>
          <cell r="T643">
            <v>9</v>
          </cell>
          <cell r="U643" t="str">
            <v>Ciudad principal</v>
          </cell>
          <cell r="V643" t="str">
            <v>Departmental Digital</v>
          </cell>
          <cell r="W643" t="str">
            <v>TAMAULIPAS</v>
          </cell>
          <cell r="X643">
            <v>2019</v>
          </cell>
          <cell r="Y643" t="str">
            <v>Qtr 2</v>
          </cell>
          <cell r="Z643" t="str">
            <v>April</v>
          </cell>
          <cell r="AA643">
            <v>12</v>
          </cell>
          <cell r="AB643">
            <v>0</v>
          </cell>
          <cell r="AC643">
            <v>2</v>
          </cell>
          <cell r="AD643">
            <v>0</v>
          </cell>
          <cell r="AE643">
            <v>0.32</v>
          </cell>
          <cell r="AF643">
            <v>0</v>
          </cell>
        </row>
        <row r="644">
          <cell r="B644" t="str">
            <v>0D6X468370</v>
          </cell>
          <cell r="C644">
            <v>2019</v>
          </cell>
          <cell r="D644" t="str">
            <v>Qtr 2</v>
          </cell>
          <cell r="E644" t="str">
            <v>April</v>
          </cell>
          <cell r="F644">
            <v>11</v>
          </cell>
          <cell r="G644" t="str">
            <v>CORRECTIVO</v>
          </cell>
          <cell r="H644">
            <v>5.016667</v>
          </cell>
          <cell r="J644" t="str">
            <v>NA</v>
          </cell>
          <cell r="K644" t="str">
            <v>NA</v>
          </cell>
          <cell r="L644" t="str">
            <v>NA</v>
          </cell>
          <cell r="M644" t="str">
            <v>NA</v>
          </cell>
          <cell r="N644" t="str">
            <v>NA</v>
          </cell>
          <cell r="O644" t="str">
            <v>NA</v>
          </cell>
          <cell r="P644" t="str">
            <v>NA</v>
          </cell>
          <cell r="Q644" t="str">
            <v>NA</v>
          </cell>
          <cell r="S644" t="str">
            <v>NA</v>
          </cell>
          <cell r="T644" t="str">
            <v>NA</v>
          </cell>
          <cell r="V644" t="str">
            <v>Entry Mono Printers</v>
          </cell>
          <cell r="W644" t="str">
            <v>SAN LUIS POTOSI</v>
          </cell>
          <cell r="X644">
            <v>2019</v>
          </cell>
          <cell r="Y644" t="str">
            <v>Qtr 2</v>
          </cell>
          <cell r="Z644" t="str">
            <v>April</v>
          </cell>
          <cell r="AA644">
            <v>12</v>
          </cell>
          <cell r="AB644" t="str">
            <v>NA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</row>
        <row r="645">
          <cell r="B645" t="str">
            <v>06TB445692</v>
          </cell>
          <cell r="C645">
            <v>2019</v>
          </cell>
          <cell r="D645" t="str">
            <v>Qtr 2</v>
          </cell>
          <cell r="E645" t="str">
            <v>April</v>
          </cell>
          <cell r="F645">
            <v>11</v>
          </cell>
          <cell r="G645" t="str">
            <v>CORRECTIVO</v>
          </cell>
          <cell r="H645">
            <v>1.1499999999999999</v>
          </cell>
          <cell r="I645" t="str">
            <v>A3 Office Color Laser MFPs</v>
          </cell>
          <cell r="J645">
            <v>655</v>
          </cell>
          <cell r="K645">
            <v>1365</v>
          </cell>
          <cell r="L645">
            <v>0</v>
          </cell>
          <cell r="M645">
            <v>0</v>
          </cell>
          <cell r="N645">
            <v>0.6</v>
          </cell>
          <cell r="O645">
            <v>0.8</v>
          </cell>
          <cell r="P645">
            <v>1.05</v>
          </cell>
          <cell r="Q645">
            <v>1.1000000000000001</v>
          </cell>
          <cell r="R645" t="str">
            <v>INTERIOR</v>
          </cell>
          <cell r="S645">
            <v>5</v>
          </cell>
          <cell r="T645">
            <v>9</v>
          </cell>
          <cell r="U645" t="str">
            <v>Ciudad principal</v>
          </cell>
          <cell r="V645" t="str">
            <v>A3 Office Color Laser MFPs</v>
          </cell>
          <cell r="W645" t="str">
            <v>JALISCO</v>
          </cell>
          <cell r="X645">
            <v>2019</v>
          </cell>
          <cell r="Y645" t="str">
            <v>Qtr 2</v>
          </cell>
          <cell r="Z645" t="str">
            <v>April</v>
          </cell>
          <cell r="AA645">
            <v>11</v>
          </cell>
          <cell r="AB645">
            <v>1</v>
          </cell>
          <cell r="AC645">
            <v>6</v>
          </cell>
          <cell r="AD645">
            <v>0</v>
          </cell>
          <cell r="AE645">
            <v>0</v>
          </cell>
          <cell r="AF645">
            <v>0</v>
          </cell>
        </row>
        <row r="646">
          <cell r="B646" t="str">
            <v>0X76373107</v>
          </cell>
          <cell r="C646">
            <v>2019</v>
          </cell>
          <cell r="D646" t="str">
            <v>Qtr 2</v>
          </cell>
          <cell r="E646" t="str">
            <v>April</v>
          </cell>
          <cell r="F646">
            <v>11</v>
          </cell>
          <cell r="G646" t="str">
            <v>CORRECTIVO</v>
          </cell>
          <cell r="H646">
            <v>0.86666670000000001</v>
          </cell>
          <cell r="I646" t="str">
            <v>Office Digital</v>
          </cell>
          <cell r="J646">
            <v>655</v>
          </cell>
          <cell r="K646">
            <v>1365</v>
          </cell>
          <cell r="L646">
            <v>0</v>
          </cell>
          <cell r="M646">
            <v>0</v>
          </cell>
          <cell r="N646">
            <v>0.6</v>
          </cell>
          <cell r="O646">
            <v>0.8</v>
          </cell>
          <cell r="P646">
            <v>1.05</v>
          </cell>
          <cell r="Q646">
            <v>1.1000000000000001</v>
          </cell>
          <cell r="R646" t="str">
            <v>INTERIOR</v>
          </cell>
          <cell r="S646">
            <v>5</v>
          </cell>
          <cell r="T646">
            <v>9</v>
          </cell>
          <cell r="U646" t="str">
            <v>Ciudad principal</v>
          </cell>
          <cell r="V646" t="str">
            <v>Departmental Digital</v>
          </cell>
          <cell r="W646" t="str">
            <v>MICHOACAN</v>
          </cell>
          <cell r="X646">
            <v>2019</v>
          </cell>
          <cell r="Y646" t="str">
            <v>Qtr 2</v>
          </cell>
          <cell r="Z646" t="str">
            <v>April</v>
          </cell>
          <cell r="AA646">
            <v>11</v>
          </cell>
          <cell r="AB646">
            <v>0</v>
          </cell>
          <cell r="AC646">
            <v>253</v>
          </cell>
          <cell r="AD646">
            <v>1.1000000000000001</v>
          </cell>
          <cell r="AE646">
            <v>0.17333334</v>
          </cell>
          <cell r="AF646">
            <v>1501.5</v>
          </cell>
        </row>
        <row r="647">
          <cell r="B647" t="str">
            <v>0A2T367031</v>
          </cell>
          <cell r="C647">
            <v>2019</v>
          </cell>
          <cell r="D647" t="str">
            <v>Qtr 2</v>
          </cell>
          <cell r="E647" t="str">
            <v>April</v>
          </cell>
          <cell r="F647">
            <v>11</v>
          </cell>
          <cell r="G647" t="str">
            <v>CORRECTIVO</v>
          </cell>
          <cell r="H647">
            <v>2.8333330000000001</v>
          </cell>
          <cell r="I647" t="str">
            <v>A4 Mono MFPs</v>
          </cell>
          <cell r="J647">
            <v>468</v>
          </cell>
          <cell r="K647">
            <v>715</v>
          </cell>
          <cell r="L647">
            <v>0</v>
          </cell>
          <cell r="M647">
            <v>0</v>
          </cell>
          <cell r="N647">
            <v>0</v>
          </cell>
          <cell r="O647">
            <v>0.6</v>
          </cell>
          <cell r="P647">
            <v>0.8</v>
          </cell>
          <cell r="Q647">
            <v>1.05</v>
          </cell>
          <cell r="R647" t="str">
            <v>INTERIOR</v>
          </cell>
          <cell r="S647">
            <v>5</v>
          </cell>
          <cell r="T647">
            <v>9</v>
          </cell>
          <cell r="U647" t="str">
            <v>Otras</v>
          </cell>
          <cell r="V647" t="str">
            <v>A4 Mono MFPs</v>
          </cell>
          <cell r="W647" t="str">
            <v>NUEVO LEON</v>
          </cell>
          <cell r="X647">
            <v>2019</v>
          </cell>
          <cell r="Y647" t="str">
            <v>Qtr 2</v>
          </cell>
          <cell r="Z647" t="str">
            <v>April</v>
          </cell>
          <cell r="AA647">
            <v>12</v>
          </cell>
          <cell r="AB647">
            <v>0</v>
          </cell>
          <cell r="AC647">
            <v>182</v>
          </cell>
          <cell r="AD647">
            <v>1.05</v>
          </cell>
          <cell r="AE647">
            <v>0.314814777777778</v>
          </cell>
          <cell r="AF647">
            <v>750.75</v>
          </cell>
        </row>
        <row r="648">
          <cell r="B648" t="str">
            <v>0EX9293515</v>
          </cell>
          <cell r="C648">
            <v>2019</v>
          </cell>
          <cell r="D648" t="str">
            <v>Qtr 2</v>
          </cell>
          <cell r="E648" t="str">
            <v>April</v>
          </cell>
          <cell r="F648">
            <v>11</v>
          </cell>
          <cell r="G648" t="str">
            <v>CORRECTIVO</v>
          </cell>
          <cell r="H648">
            <v>0.98333329999999997</v>
          </cell>
          <cell r="I648" t="str">
            <v>Departmental Digital</v>
          </cell>
          <cell r="J648">
            <v>655</v>
          </cell>
          <cell r="K648">
            <v>1365</v>
          </cell>
          <cell r="L648">
            <v>0</v>
          </cell>
          <cell r="M648">
            <v>0</v>
          </cell>
          <cell r="N648">
            <v>0.6</v>
          </cell>
          <cell r="O648">
            <v>0.8</v>
          </cell>
          <cell r="P648">
            <v>1.05</v>
          </cell>
          <cell r="Q648">
            <v>1.1000000000000001</v>
          </cell>
          <cell r="R648" t="str">
            <v>INTERIOR</v>
          </cell>
          <cell r="S648">
            <v>5</v>
          </cell>
          <cell r="T648">
            <v>9</v>
          </cell>
          <cell r="U648" t="str">
            <v>Ciudad principal</v>
          </cell>
          <cell r="V648" t="str">
            <v>Departmental Digital</v>
          </cell>
          <cell r="W648" t="str">
            <v>JALISCO</v>
          </cell>
          <cell r="X648">
            <v>2019</v>
          </cell>
          <cell r="Y648" t="str">
            <v>Qtr 2</v>
          </cell>
          <cell r="Z648" t="str">
            <v>April</v>
          </cell>
          <cell r="AA648">
            <v>15</v>
          </cell>
          <cell r="AB648">
            <v>0</v>
          </cell>
          <cell r="AC648">
            <v>10</v>
          </cell>
          <cell r="AD648">
            <v>0.6</v>
          </cell>
          <cell r="AE648">
            <v>0.19666665999999999</v>
          </cell>
          <cell r="AF648">
            <v>819</v>
          </cell>
        </row>
        <row r="649">
          <cell r="B649" t="str">
            <v>0BG2956818</v>
          </cell>
          <cell r="C649">
            <v>2019</v>
          </cell>
          <cell r="D649" t="str">
            <v>Qtr 2</v>
          </cell>
          <cell r="E649" t="str">
            <v>April</v>
          </cell>
          <cell r="F649">
            <v>11</v>
          </cell>
          <cell r="G649" t="str">
            <v>CORRECTIVO</v>
          </cell>
          <cell r="H649">
            <v>0.56666669999999997</v>
          </cell>
          <cell r="I649" t="str">
            <v>Light Production Digital Business</v>
          </cell>
          <cell r="J649">
            <v>803</v>
          </cell>
          <cell r="K649">
            <v>1573</v>
          </cell>
          <cell r="L649">
            <v>0.2</v>
          </cell>
          <cell r="M649">
            <v>0.6</v>
          </cell>
          <cell r="N649">
            <v>0.8</v>
          </cell>
          <cell r="O649">
            <v>1.05</v>
          </cell>
          <cell r="P649">
            <v>1.1000000000000001</v>
          </cell>
          <cell r="Q649">
            <v>1.1499999999999999</v>
          </cell>
          <cell r="R649" t="str">
            <v>INTERIOR</v>
          </cell>
          <cell r="S649">
            <v>4</v>
          </cell>
          <cell r="T649">
            <v>6</v>
          </cell>
          <cell r="U649" t="str">
            <v>Ciudad principal</v>
          </cell>
          <cell r="V649" t="str">
            <v>High End Cut Sheet</v>
          </cell>
          <cell r="W649" t="str">
            <v>JALISCO</v>
          </cell>
          <cell r="X649">
            <v>2019</v>
          </cell>
          <cell r="Y649" t="str">
            <v>Qtr 2</v>
          </cell>
          <cell r="Z649" t="str">
            <v>April</v>
          </cell>
          <cell r="AA649">
            <v>15</v>
          </cell>
          <cell r="AB649">
            <v>0</v>
          </cell>
          <cell r="AC649">
            <v>45</v>
          </cell>
          <cell r="AD649">
            <v>1.1000000000000001</v>
          </cell>
          <cell r="AE649">
            <v>0.14166667499999999</v>
          </cell>
          <cell r="AF649">
            <v>1730.3</v>
          </cell>
        </row>
        <row r="650">
          <cell r="B650" t="str">
            <v>0X76707969</v>
          </cell>
          <cell r="C650">
            <v>2019</v>
          </cell>
          <cell r="D650" t="str">
            <v>Qtr 2</v>
          </cell>
          <cell r="E650" t="str">
            <v>April</v>
          </cell>
          <cell r="F650">
            <v>11</v>
          </cell>
          <cell r="G650" t="str">
            <v>CORRECTIVO</v>
          </cell>
          <cell r="H650">
            <v>0.35</v>
          </cell>
          <cell r="I650" t="str">
            <v>Departmental Digital</v>
          </cell>
          <cell r="J650">
            <v>655</v>
          </cell>
          <cell r="K650">
            <v>1365</v>
          </cell>
          <cell r="L650">
            <v>0</v>
          </cell>
          <cell r="M650">
            <v>0</v>
          </cell>
          <cell r="N650">
            <v>0.6</v>
          </cell>
          <cell r="O650">
            <v>0.8</v>
          </cell>
          <cell r="P650">
            <v>1.05</v>
          </cell>
          <cell r="Q650">
            <v>1.1000000000000001</v>
          </cell>
          <cell r="R650" t="str">
            <v>INTERIOR</v>
          </cell>
          <cell r="S650">
            <v>5</v>
          </cell>
          <cell r="T650">
            <v>9</v>
          </cell>
          <cell r="U650" t="str">
            <v>Ciudad principal</v>
          </cell>
          <cell r="V650" t="str">
            <v>Departmental Digital</v>
          </cell>
          <cell r="W650" t="str">
            <v>ESTADO DE MEXICO</v>
          </cell>
          <cell r="X650">
            <v>2019</v>
          </cell>
          <cell r="Y650" t="str">
            <v>Qtr 2</v>
          </cell>
          <cell r="Z650" t="str">
            <v>April</v>
          </cell>
          <cell r="AA650">
            <v>12</v>
          </cell>
          <cell r="AB650">
            <v>0</v>
          </cell>
          <cell r="AC650">
            <v>323</v>
          </cell>
          <cell r="AD650">
            <v>1.1000000000000001</v>
          </cell>
          <cell r="AE650">
            <v>7.0000000000000007E-2</v>
          </cell>
          <cell r="AF650">
            <v>1501.5</v>
          </cell>
        </row>
        <row r="651">
          <cell r="B651" t="str">
            <v>0EX9664447</v>
          </cell>
          <cell r="C651">
            <v>2019</v>
          </cell>
          <cell r="D651" t="str">
            <v>Qtr 2</v>
          </cell>
          <cell r="E651" t="str">
            <v>April</v>
          </cell>
          <cell r="F651">
            <v>11</v>
          </cell>
          <cell r="G651" t="str">
            <v>CORRECTIVO</v>
          </cell>
          <cell r="H651">
            <v>0.66666669999999995</v>
          </cell>
          <cell r="I651" t="str">
            <v>Departmental Digital</v>
          </cell>
          <cell r="J651">
            <v>655</v>
          </cell>
          <cell r="K651">
            <v>1365</v>
          </cell>
          <cell r="L651">
            <v>0</v>
          </cell>
          <cell r="M651">
            <v>0</v>
          </cell>
          <cell r="N651">
            <v>0.6</v>
          </cell>
          <cell r="O651">
            <v>0.8</v>
          </cell>
          <cell r="P651">
            <v>1.05</v>
          </cell>
          <cell r="Q651">
            <v>1.1000000000000001</v>
          </cell>
          <cell r="R651" t="str">
            <v>INTERIOR</v>
          </cell>
          <cell r="S651">
            <v>5</v>
          </cell>
          <cell r="T651">
            <v>9</v>
          </cell>
          <cell r="U651" t="str">
            <v>Ciudad principal</v>
          </cell>
          <cell r="V651" t="str">
            <v>Departmental Digital</v>
          </cell>
          <cell r="W651" t="str">
            <v>JALISCO</v>
          </cell>
          <cell r="X651">
            <v>2019</v>
          </cell>
          <cell r="Y651" t="str">
            <v>Qtr 2</v>
          </cell>
          <cell r="Z651" t="str">
            <v>April</v>
          </cell>
          <cell r="AA651">
            <v>12</v>
          </cell>
          <cell r="AB651">
            <v>0</v>
          </cell>
          <cell r="AC651">
            <v>10</v>
          </cell>
          <cell r="AD651">
            <v>0.6</v>
          </cell>
          <cell r="AE651">
            <v>0.13333333999999999</v>
          </cell>
          <cell r="AF651">
            <v>819</v>
          </cell>
        </row>
        <row r="652">
          <cell r="B652" t="str">
            <v>0A1H022378</v>
          </cell>
          <cell r="C652">
            <v>2019</v>
          </cell>
          <cell r="D652" t="str">
            <v>Qtr 2</v>
          </cell>
          <cell r="E652" t="str">
            <v>April</v>
          </cell>
          <cell r="F652">
            <v>11</v>
          </cell>
          <cell r="G652" t="str">
            <v>CORRECTIVO</v>
          </cell>
          <cell r="H652">
            <v>0.15</v>
          </cell>
          <cell r="I652" t="str">
            <v>WF Mono Systems and Legacy Color</v>
          </cell>
          <cell r="J652">
            <v>803</v>
          </cell>
          <cell r="K652">
            <v>1573</v>
          </cell>
          <cell r="L652">
            <v>0.2</v>
          </cell>
          <cell r="M652">
            <v>0.6</v>
          </cell>
          <cell r="N652">
            <v>0.8</v>
          </cell>
          <cell r="O652">
            <v>1.05</v>
          </cell>
          <cell r="P652">
            <v>1.1000000000000001</v>
          </cell>
          <cell r="Q652">
            <v>1.1499999999999999</v>
          </cell>
          <cell r="R652" t="str">
            <v>METRO</v>
          </cell>
          <cell r="S652">
            <v>4</v>
          </cell>
          <cell r="T652">
            <v>6</v>
          </cell>
          <cell r="U652" t="str">
            <v>Ciudad principal</v>
          </cell>
          <cell r="V652" t="str">
            <v>WF Mono Systems and Legacy Color</v>
          </cell>
          <cell r="W652" t="str">
            <v>NUEVO LEON</v>
          </cell>
          <cell r="X652">
            <v>2019</v>
          </cell>
          <cell r="Y652" t="str">
            <v>Qtr 2</v>
          </cell>
          <cell r="Z652" t="str">
            <v>April</v>
          </cell>
          <cell r="AA652">
            <v>15</v>
          </cell>
          <cell r="AB652">
            <v>0</v>
          </cell>
          <cell r="AC652">
            <v>374</v>
          </cell>
          <cell r="AD652">
            <v>1.1499999999999999</v>
          </cell>
          <cell r="AE652">
            <v>3.7499999999999999E-2</v>
          </cell>
          <cell r="AF652">
            <v>923.45</v>
          </cell>
        </row>
        <row r="653">
          <cell r="B653" t="str">
            <v>0XPN399404</v>
          </cell>
          <cell r="C653">
            <v>2019</v>
          </cell>
          <cell r="D653" t="str">
            <v>Qtr 2</v>
          </cell>
          <cell r="E653" t="str">
            <v>April</v>
          </cell>
          <cell r="F653">
            <v>11</v>
          </cell>
          <cell r="G653" t="str">
            <v>CORRECTIVO</v>
          </cell>
          <cell r="H653">
            <v>0</v>
          </cell>
          <cell r="I653" t="str">
            <v>Entry Production Color Low/Mid</v>
          </cell>
          <cell r="J653">
            <v>803</v>
          </cell>
          <cell r="K653">
            <v>1573</v>
          </cell>
          <cell r="L653">
            <v>0.2</v>
          </cell>
          <cell r="M653">
            <v>0.6</v>
          </cell>
          <cell r="N653">
            <v>0.8</v>
          </cell>
          <cell r="O653">
            <v>1.05</v>
          </cell>
          <cell r="P653">
            <v>1.1000000000000001</v>
          </cell>
          <cell r="Q653">
            <v>1.1499999999999999</v>
          </cell>
          <cell r="R653" t="str">
            <v>INTERIOR</v>
          </cell>
          <cell r="S653">
            <v>4</v>
          </cell>
          <cell r="T653">
            <v>6</v>
          </cell>
          <cell r="U653" t="str">
            <v>Ciudad principal</v>
          </cell>
          <cell r="V653" t="str">
            <v>Entry Production Color Low/Mid</v>
          </cell>
          <cell r="W653" t="str">
            <v>QUERETARO</v>
          </cell>
          <cell r="X653">
            <v>2019</v>
          </cell>
          <cell r="Y653" t="str">
            <v>Qtr 2</v>
          </cell>
          <cell r="Z653" t="str">
            <v>April</v>
          </cell>
          <cell r="AA653">
            <v>15</v>
          </cell>
          <cell r="AB653">
            <v>0</v>
          </cell>
          <cell r="AC653">
            <v>31</v>
          </cell>
          <cell r="AD653">
            <v>1.1000000000000001</v>
          </cell>
          <cell r="AE653">
            <v>0</v>
          </cell>
          <cell r="AF653">
            <v>1730.3</v>
          </cell>
        </row>
        <row r="654">
          <cell r="B654" t="str">
            <v>0A1H022401</v>
          </cell>
          <cell r="C654">
            <v>2019</v>
          </cell>
          <cell r="D654" t="str">
            <v>Qtr 2</v>
          </cell>
          <cell r="E654" t="str">
            <v>April</v>
          </cell>
          <cell r="F654">
            <v>11</v>
          </cell>
          <cell r="G654" t="str">
            <v>CORRECTIVO</v>
          </cell>
          <cell r="H654">
            <v>0.48333330000000002</v>
          </cell>
          <cell r="I654" t="str">
            <v>WF Mono Systems and Legacy Color</v>
          </cell>
          <cell r="J654">
            <v>803</v>
          </cell>
          <cell r="K654">
            <v>1573</v>
          </cell>
          <cell r="L654">
            <v>0.2</v>
          </cell>
          <cell r="M654">
            <v>0.6</v>
          </cell>
          <cell r="N654">
            <v>0.8</v>
          </cell>
          <cell r="O654">
            <v>1.05</v>
          </cell>
          <cell r="P654">
            <v>1.1000000000000001</v>
          </cell>
          <cell r="Q654">
            <v>1.1499999999999999</v>
          </cell>
          <cell r="R654" t="str">
            <v>INTERIOR</v>
          </cell>
          <cell r="S654">
            <v>4</v>
          </cell>
          <cell r="T654">
            <v>6</v>
          </cell>
          <cell r="U654" t="str">
            <v>Ciudad principal</v>
          </cell>
          <cell r="V654" t="str">
            <v>WF Mono Systems and Legacy Color</v>
          </cell>
          <cell r="W654" t="str">
            <v>QUERETARO</v>
          </cell>
          <cell r="X654">
            <v>2019</v>
          </cell>
          <cell r="Y654" t="str">
            <v>Qtr 2</v>
          </cell>
          <cell r="Z654" t="str">
            <v>April</v>
          </cell>
          <cell r="AA654">
            <v>12</v>
          </cell>
          <cell r="AB654">
            <v>0</v>
          </cell>
          <cell r="AC654">
            <v>93</v>
          </cell>
          <cell r="AD654">
            <v>1.1499999999999999</v>
          </cell>
          <cell r="AE654">
            <v>0.12083332500000001</v>
          </cell>
          <cell r="AF654">
            <v>1808.95</v>
          </cell>
        </row>
        <row r="655">
          <cell r="B655" t="str">
            <v>09HB331790</v>
          </cell>
          <cell r="C655">
            <v>2019</v>
          </cell>
          <cell r="D655" t="str">
            <v>Qtr 2</v>
          </cell>
          <cell r="E655" t="str">
            <v>April</v>
          </cell>
          <cell r="F655">
            <v>11</v>
          </cell>
          <cell r="G655" t="str">
            <v>MANTENIMIENTO PREVENTIVO</v>
          </cell>
          <cell r="H655">
            <v>0</v>
          </cell>
          <cell r="I655" t="str">
            <v>A4 Mono MFPs</v>
          </cell>
          <cell r="J655">
            <v>468</v>
          </cell>
          <cell r="K655">
            <v>715</v>
          </cell>
          <cell r="L655">
            <v>0</v>
          </cell>
          <cell r="M655">
            <v>0</v>
          </cell>
          <cell r="N655">
            <v>0</v>
          </cell>
          <cell r="O655">
            <v>0.6</v>
          </cell>
          <cell r="P655">
            <v>0.8</v>
          </cell>
          <cell r="Q655">
            <v>1.05</v>
          </cell>
          <cell r="R655" t="str">
            <v>INTERIOR</v>
          </cell>
          <cell r="S655">
            <v>5</v>
          </cell>
          <cell r="T655">
            <v>9</v>
          </cell>
          <cell r="U655" t="str">
            <v>Ciudad principal</v>
          </cell>
          <cell r="V655" t="str">
            <v>A4 Mono MFPs</v>
          </cell>
          <cell r="W655" t="str">
            <v>JALISCO</v>
          </cell>
          <cell r="X655">
            <v>2019</v>
          </cell>
          <cell r="Y655" t="str">
            <v>Qtr 2</v>
          </cell>
          <cell r="Z655" t="str">
            <v>April</v>
          </cell>
          <cell r="AA655">
            <v>11</v>
          </cell>
          <cell r="AB655">
            <v>1</v>
          </cell>
          <cell r="AC655">
            <v>16</v>
          </cell>
          <cell r="AD655">
            <v>0</v>
          </cell>
          <cell r="AE655">
            <v>0</v>
          </cell>
          <cell r="AF655">
            <v>0</v>
          </cell>
        </row>
        <row r="656">
          <cell r="B656" t="str">
            <v>0XEH805087</v>
          </cell>
          <cell r="C656">
            <v>2019</v>
          </cell>
          <cell r="D656" t="str">
            <v>Qtr 2</v>
          </cell>
          <cell r="E656" t="str">
            <v>April</v>
          </cell>
          <cell r="F656">
            <v>11</v>
          </cell>
          <cell r="G656" t="str">
            <v>MANTENIMIENTO PREVENTIVO</v>
          </cell>
          <cell r="H656">
            <v>0</v>
          </cell>
          <cell r="I656" t="str">
            <v>Office Digital</v>
          </cell>
          <cell r="J656">
            <v>655</v>
          </cell>
          <cell r="K656">
            <v>1365</v>
          </cell>
          <cell r="L656">
            <v>0</v>
          </cell>
          <cell r="M656">
            <v>0</v>
          </cell>
          <cell r="N656">
            <v>0.6</v>
          </cell>
          <cell r="O656">
            <v>0.8</v>
          </cell>
          <cell r="P656">
            <v>1.05</v>
          </cell>
          <cell r="Q656">
            <v>1.1000000000000001</v>
          </cell>
          <cell r="R656" t="str">
            <v>INTERIOR</v>
          </cell>
          <cell r="S656">
            <v>5</v>
          </cell>
          <cell r="T656">
            <v>9</v>
          </cell>
          <cell r="U656" t="str">
            <v>Ciudad principal</v>
          </cell>
          <cell r="V656" t="str">
            <v>Departmental Digital</v>
          </cell>
          <cell r="W656" t="str">
            <v>CHIHUAHUA</v>
          </cell>
          <cell r="X656">
            <v>2019</v>
          </cell>
          <cell r="Y656" t="str">
            <v>Qtr 2</v>
          </cell>
          <cell r="Z656" t="str">
            <v>April</v>
          </cell>
          <cell r="AA656">
            <v>12</v>
          </cell>
          <cell r="AB656">
            <v>0</v>
          </cell>
          <cell r="AC656">
            <v>28</v>
          </cell>
          <cell r="AD656">
            <v>0</v>
          </cell>
          <cell r="AE656">
            <v>0</v>
          </cell>
          <cell r="AF656">
            <v>1365</v>
          </cell>
        </row>
        <row r="657">
          <cell r="B657" t="str">
            <v>09HB331708</v>
          </cell>
          <cell r="C657">
            <v>2019</v>
          </cell>
          <cell r="D657" t="str">
            <v>Qtr 2</v>
          </cell>
          <cell r="E657" t="str">
            <v>April</v>
          </cell>
          <cell r="F657">
            <v>11</v>
          </cell>
          <cell r="G657" t="str">
            <v>MANTENIMIENTO PREVENTIVO</v>
          </cell>
          <cell r="H657">
            <v>0</v>
          </cell>
          <cell r="I657" t="str">
            <v>A4 Mono MFPs</v>
          </cell>
          <cell r="J657">
            <v>468</v>
          </cell>
          <cell r="K657">
            <v>715</v>
          </cell>
          <cell r="L657">
            <v>0</v>
          </cell>
          <cell r="M657">
            <v>0</v>
          </cell>
          <cell r="N657">
            <v>0</v>
          </cell>
          <cell r="O657">
            <v>0.6</v>
          </cell>
          <cell r="P657">
            <v>0.8</v>
          </cell>
          <cell r="Q657">
            <v>1.05</v>
          </cell>
          <cell r="R657" t="str">
            <v>INTERIOR</v>
          </cell>
          <cell r="S657">
            <v>5</v>
          </cell>
          <cell r="T657">
            <v>9</v>
          </cell>
          <cell r="U657" t="str">
            <v>Ciudad principal</v>
          </cell>
          <cell r="V657" t="str">
            <v>A4 Mono MFPs</v>
          </cell>
          <cell r="W657" t="str">
            <v>JALISCO</v>
          </cell>
          <cell r="X657">
            <v>2019</v>
          </cell>
          <cell r="Y657" t="str">
            <v>Qtr 2</v>
          </cell>
          <cell r="Z657" t="str">
            <v>April</v>
          </cell>
          <cell r="AA657">
            <v>11</v>
          </cell>
          <cell r="AB657">
            <v>1</v>
          </cell>
          <cell r="AC657">
            <v>16</v>
          </cell>
          <cell r="AD657">
            <v>0</v>
          </cell>
          <cell r="AE657">
            <v>0</v>
          </cell>
          <cell r="AF657">
            <v>0</v>
          </cell>
        </row>
        <row r="658">
          <cell r="B658" t="str">
            <v>09HB331782</v>
          </cell>
          <cell r="C658">
            <v>2019</v>
          </cell>
          <cell r="D658" t="str">
            <v>Qtr 2</v>
          </cell>
          <cell r="E658" t="str">
            <v>April</v>
          </cell>
          <cell r="F658">
            <v>11</v>
          </cell>
          <cell r="G658" t="str">
            <v>MANTENIMIENTO PREVENTIVO</v>
          </cell>
          <cell r="H658">
            <v>0</v>
          </cell>
          <cell r="I658" t="str">
            <v>A4 Mono MFPs</v>
          </cell>
          <cell r="J658">
            <v>468</v>
          </cell>
          <cell r="K658">
            <v>715</v>
          </cell>
          <cell r="L658">
            <v>0</v>
          </cell>
          <cell r="M658">
            <v>0</v>
          </cell>
          <cell r="N658">
            <v>0</v>
          </cell>
          <cell r="O658">
            <v>0.6</v>
          </cell>
          <cell r="P658">
            <v>0.8</v>
          </cell>
          <cell r="Q658">
            <v>1.05</v>
          </cell>
          <cell r="R658" t="str">
            <v>INTERIOR</v>
          </cell>
          <cell r="S658">
            <v>5</v>
          </cell>
          <cell r="T658">
            <v>9</v>
          </cell>
          <cell r="U658" t="str">
            <v>Ciudad principal</v>
          </cell>
          <cell r="V658" t="str">
            <v>A4 Mono MFPs</v>
          </cell>
          <cell r="W658" t="str">
            <v>JALISCO</v>
          </cell>
          <cell r="X658">
            <v>2019</v>
          </cell>
          <cell r="Y658" t="str">
            <v>Qtr 2</v>
          </cell>
          <cell r="Z658" t="str">
            <v>April</v>
          </cell>
          <cell r="AA658">
            <v>11</v>
          </cell>
          <cell r="AB658">
            <v>1</v>
          </cell>
          <cell r="AC658">
            <v>50</v>
          </cell>
          <cell r="AD658">
            <v>0</v>
          </cell>
          <cell r="AE658">
            <v>0</v>
          </cell>
          <cell r="AF658">
            <v>0</v>
          </cell>
        </row>
        <row r="659">
          <cell r="B659" t="str">
            <v>09HB331371</v>
          </cell>
          <cell r="C659">
            <v>2019</v>
          </cell>
          <cell r="D659" t="str">
            <v>Qtr 2</v>
          </cell>
          <cell r="E659" t="str">
            <v>April</v>
          </cell>
          <cell r="F659">
            <v>11</v>
          </cell>
          <cell r="G659" t="str">
            <v>MANTENIMIENTO PREVENTIVO</v>
          </cell>
          <cell r="H659">
            <v>0</v>
          </cell>
          <cell r="I659" t="str">
            <v>A4 Mono MFPs</v>
          </cell>
          <cell r="J659">
            <v>468</v>
          </cell>
          <cell r="K659">
            <v>715</v>
          </cell>
          <cell r="L659">
            <v>0</v>
          </cell>
          <cell r="M659">
            <v>0</v>
          </cell>
          <cell r="N659">
            <v>0</v>
          </cell>
          <cell r="O659">
            <v>0.6</v>
          </cell>
          <cell r="P659">
            <v>0.8</v>
          </cell>
          <cell r="Q659">
            <v>1.05</v>
          </cell>
          <cell r="R659" t="str">
            <v>INTERIOR</v>
          </cell>
          <cell r="S659">
            <v>5</v>
          </cell>
          <cell r="T659">
            <v>9</v>
          </cell>
          <cell r="U659" t="str">
            <v>Ciudad principal</v>
          </cell>
          <cell r="V659" t="str">
            <v>A4 Mono MFPs</v>
          </cell>
          <cell r="W659" t="str">
            <v>JALISCO</v>
          </cell>
          <cell r="X659">
            <v>2019</v>
          </cell>
          <cell r="Y659" t="str">
            <v>Qtr 2</v>
          </cell>
          <cell r="Z659" t="str">
            <v>April</v>
          </cell>
          <cell r="AA659">
            <v>11</v>
          </cell>
          <cell r="AB659">
            <v>1</v>
          </cell>
          <cell r="AC659">
            <v>17</v>
          </cell>
          <cell r="AD659">
            <v>0</v>
          </cell>
          <cell r="AE659">
            <v>0</v>
          </cell>
          <cell r="AF659">
            <v>0</v>
          </cell>
        </row>
        <row r="660">
          <cell r="B660" t="str">
            <v>0X76375119</v>
          </cell>
          <cell r="C660">
            <v>2019</v>
          </cell>
          <cell r="D660" t="str">
            <v>Qtr 2</v>
          </cell>
          <cell r="E660" t="str">
            <v>April</v>
          </cell>
          <cell r="F660">
            <v>11</v>
          </cell>
          <cell r="G660" t="str">
            <v>MANTENIMIENTO PREVENTIVO</v>
          </cell>
          <cell r="H660">
            <v>0</v>
          </cell>
          <cell r="I660" t="str">
            <v>Office Digital</v>
          </cell>
          <cell r="J660">
            <v>655</v>
          </cell>
          <cell r="K660">
            <v>1365</v>
          </cell>
          <cell r="L660">
            <v>0</v>
          </cell>
          <cell r="M660">
            <v>0</v>
          </cell>
          <cell r="N660">
            <v>0.6</v>
          </cell>
          <cell r="O660">
            <v>0.8</v>
          </cell>
          <cell r="P660">
            <v>1.05</v>
          </cell>
          <cell r="Q660">
            <v>1.1000000000000001</v>
          </cell>
          <cell r="R660" t="str">
            <v>INTERIOR</v>
          </cell>
          <cell r="S660">
            <v>5</v>
          </cell>
          <cell r="T660">
            <v>9</v>
          </cell>
          <cell r="U660" t="str">
            <v>Ciudad principal</v>
          </cell>
          <cell r="V660" t="str">
            <v>Departmental Digital</v>
          </cell>
          <cell r="W660" t="str">
            <v>CHIHUAHUA</v>
          </cell>
          <cell r="X660">
            <v>2019</v>
          </cell>
          <cell r="Y660" t="str">
            <v>Qtr 2</v>
          </cell>
          <cell r="Z660" t="str">
            <v>April</v>
          </cell>
          <cell r="AA660">
            <v>12</v>
          </cell>
          <cell r="AB660">
            <v>0</v>
          </cell>
          <cell r="AC660">
            <v>92</v>
          </cell>
          <cell r="AD660">
            <v>0</v>
          </cell>
          <cell r="AE660">
            <v>0</v>
          </cell>
          <cell r="AF660">
            <v>1365</v>
          </cell>
        </row>
        <row r="661">
          <cell r="B661" t="str">
            <v>Y4X822461</v>
          </cell>
          <cell r="C661">
            <v>2019</v>
          </cell>
          <cell r="D661" t="str">
            <v>Qtr 2</v>
          </cell>
          <cell r="E661" t="str">
            <v>April</v>
          </cell>
          <cell r="F661">
            <v>11</v>
          </cell>
          <cell r="G661" t="str">
            <v>MANTENIMIENTO PREVENTIVO</v>
          </cell>
          <cell r="H661">
            <v>0</v>
          </cell>
          <cell r="I661" t="str">
            <v>Departmental Digital</v>
          </cell>
          <cell r="J661">
            <v>655</v>
          </cell>
          <cell r="K661">
            <v>1365</v>
          </cell>
          <cell r="L661">
            <v>0</v>
          </cell>
          <cell r="M661">
            <v>0</v>
          </cell>
          <cell r="N661">
            <v>0.6</v>
          </cell>
          <cell r="O661">
            <v>0.8</v>
          </cell>
          <cell r="P661">
            <v>1.05</v>
          </cell>
          <cell r="Q661">
            <v>1.1000000000000001</v>
          </cell>
          <cell r="R661" t="str">
            <v>INTERIOR</v>
          </cell>
          <cell r="S661">
            <v>5</v>
          </cell>
          <cell r="T661">
            <v>9</v>
          </cell>
          <cell r="U661" t="str">
            <v>Ciudad principal</v>
          </cell>
          <cell r="V661" t="str">
            <v>Light Production Digital Business</v>
          </cell>
          <cell r="W661" t="str">
            <v>TAMAULIPAS</v>
          </cell>
          <cell r="X661">
            <v>2019</v>
          </cell>
          <cell r="Y661" t="str">
            <v>Qtr 2</v>
          </cell>
          <cell r="Z661" t="str">
            <v>April</v>
          </cell>
          <cell r="AA661">
            <v>12</v>
          </cell>
          <cell r="AB661">
            <v>0</v>
          </cell>
          <cell r="AC661">
            <v>27</v>
          </cell>
          <cell r="AD661">
            <v>0</v>
          </cell>
          <cell r="AE661">
            <v>0</v>
          </cell>
          <cell r="AF661">
            <v>1365</v>
          </cell>
        </row>
        <row r="662">
          <cell r="B662" t="str">
            <v>0E2B659015</v>
          </cell>
          <cell r="C662">
            <v>2019</v>
          </cell>
          <cell r="D662" t="str">
            <v>Qtr 2</v>
          </cell>
          <cell r="E662" t="str">
            <v>April</v>
          </cell>
          <cell r="F662">
            <v>12</v>
          </cell>
          <cell r="G662" t="str">
            <v>CORRECTIVO</v>
          </cell>
          <cell r="H662">
            <v>2.6166670000000001</v>
          </cell>
          <cell r="I662" t="str">
            <v>Entry Production Color Low/Mid</v>
          </cell>
          <cell r="J662">
            <v>803</v>
          </cell>
          <cell r="K662">
            <v>1573</v>
          </cell>
          <cell r="L662">
            <v>0.2</v>
          </cell>
          <cell r="M662">
            <v>0.6</v>
          </cell>
          <cell r="N662">
            <v>0.8</v>
          </cell>
          <cell r="O662">
            <v>1.05</v>
          </cell>
          <cell r="P662">
            <v>1.1000000000000001</v>
          </cell>
          <cell r="Q662">
            <v>1.1499999999999999</v>
          </cell>
          <cell r="R662" t="str">
            <v>INTERIOR</v>
          </cell>
          <cell r="S662">
            <v>4</v>
          </cell>
          <cell r="T662">
            <v>6</v>
          </cell>
          <cell r="U662" t="str">
            <v>Ciudad principal</v>
          </cell>
          <cell r="V662" t="str">
            <v>Entry Production Color Low/Mid</v>
          </cell>
          <cell r="W662" t="str">
            <v>JALISCO</v>
          </cell>
          <cell r="X662">
            <v>2019</v>
          </cell>
          <cell r="Y662" t="str">
            <v>Qtr 2</v>
          </cell>
          <cell r="Z662" t="str">
            <v>April</v>
          </cell>
          <cell r="AA662">
            <v>12</v>
          </cell>
          <cell r="AB662">
            <v>0</v>
          </cell>
          <cell r="AC662">
            <v>7</v>
          </cell>
          <cell r="AD662">
            <v>0.8</v>
          </cell>
          <cell r="AE662">
            <v>0.65416675000000002</v>
          </cell>
          <cell r="AF662">
            <v>1258.4000000000001</v>
          </cell>
        </row>
        <row r="663">
          <cell r="B663" t="str">
            <v>0EX9662181</v>
          </cell>
          <cell r="C663">
            <v>2019</v>
          </cell>
          <cell r="D663" t="str">
            <v>Qtr 2</v>
          </cell>
          <cell r="E663" t="str">
            <v>April</v>
          </cell>
          <cell r="F663">
            <v>12</v>
          </cell>
          <cell r="G663" t="str">
            <v>CORRECTIVO</v>
          </cell>
          <cell r="H663">
            <v>3.5</v>
          </cell>
          <cell r="I663" t="str">
            <v>Departmental Digital</v>
          </cell>
          <cell r="J663">
            <v>655</v>
          </cell>
          <cell r="K663">
            <v>1365</v>
          </cell>
          <cell r="L663">
            <v>0</v>
          </cell>
          <cell r="M663">
            <v>0</v>
          </cell>
          <cell r="N663">
            <v>0.6</v>
          </cell>
          <cell r="O663">
            <v>0.8</v>
          </cell>
          <cell r="P663">
            <v>1.05</v>
          </cell>
          <cell r="Q663">
            <v>1.1000000000000001</v>
          </cell>
          <cell r="R663" t="str">
            <v>INTERIOR</v>
          </cell>
          <cell r="S663">
            <v>5</v>
          </cell>
          <cell r="T663">
            <v>9</v>
          </cell>
          <cell r="U663" t="str">
            <v>Ciudad principal</v>
          </cell>
          <cell r="V663" t="str">
            <v>Departmental Digital</v>
          </cell>
          <cell r="W663" t="str">
            <v>JALISCO</v>
          </cell>
          <cell r="X663">
            <v>2019</v>
          </cell>
          <cell r="Y663" t="str">
            <v>Qtr 2</v>
          </cell>
          <cell r="Z663" t="str">
            <v>April</v>
          </cell>
          <cell r="AA663">
            <v>12</v>
          </cell>
          <cell r="AB663">
            <v>0</v>
          </cell>
          <cell r="AC663">
            <v>8</v>
          </cell>
          <cell r="AD663">
            <v>0.6</v>
          </cell>
          <cell r="AE663">
            <v>0.7</v>
          </cell>
          <cell r="AF663">
            <v>819</v>
          </cell>
        </row>
        <row r="664">
          <cell r="B664" t="str">
            <v>0Y4X848752</v>
          </cell>
          <cell r="C664">
            <v>2019</v>
          </cell>
          <cell r="D664" t="str">
            <v>Qtr 2</v>
          </cell>
          <cell r="E664" t="str">
            <v>April</v>
          </cell>
          <cell r="F664">
            <v>12</v>
          </cell>
          <cell r="G664" t="str">
            <v>MANTENIMIENTO PREVENTIVO</v>
          </cell>
          <cell r="H664">
            <v>0</v>
          </cell>
          <cell r="I664" t="str">
            <v>Office Digital</v>
          </cell>
          <cell r="J664">
            <v>655</v>
          </cell>
          <cell r="K664">
            <v>1365</v>
          </cell>
          <cell r="L664">
            <v>0</v>
          </cell>
          <cell r="M664">
            <v>0</v>
          </cell>
          <cell r="N664">
            <v>0.6</v>
          </cell>
          <cell r="O664">
            <v>0.8</v>
          </cell>
          <cell r="P664">
            <v>1.05</v>
          </cell>
          <cell r="Q664">
            <v>1.1000000000000001</v>
          </cell>
          <cell r="R664" t="str">
            <v>INTERIOR</v>
          </cell>
          <cell r="S664">
            <v>5</v>
          </cell>
          <cell r="T664">
            <v>9</v>
          </cell>
          <cell r="U664" t="str">
            <v>Ciudad principal</v>
          </cell>
          <cell r="V664" t="str">
            <v>Light Production Digital Business</v>
          </cell>
          <cell r="W664" t="str">
            <v>JALISCO</v>
          </cell>
          <cell r="X664">
            <v>2019</v>
          </cell>
          <cell r="Y664" t="str">
            <v>Qtr 2</v>
          </cell>
          <cell r="Z664" t="str">
            <v>April</v>
          </cell>
          <cell r="AA664">
            <v>12</v>
          </cell>
          <cell r="AB664">
            <v>1</v>
          </cell>
          <cell r="AC664">
            <v>4</v>
          </cell>
          <cell r="AD664">
            <v>0</v>
          </cell>
          <cell r="AE664">
            <v>0</v>
          </cell>
          <cell r="AF664">
            <v>0</v>
          </cell>
        </row>
        <row r="665">
          <cell r="B665" t="str">
            <v>0VMA558265</v>
          </cell>
          <cell r="C665">
            <v>2019</v>
          </cell>
          <cell r="D665" t="str">
            <v>Qtr 2</v>
          </cell>
          <cell r="E665" t="str">
            <v>April</v>
          </cell>
          <cell r="F665">
            <v>12</v>
          </cell>
          <cell r="G665" t="str">
            <v>MANTENIMIENTO PREVENTIVO</v>
          </cell>
          <cell r="H665">
            <v>0</v>
          </cell>
          <cell r="I665" t="str">
            <v>A4 Mono MFPs</v>
          </cell>
          <cell r="J665">
            <v>468</v>
          </cell>
          <cell r="K665">
            <v>715</v>
          </cell>
          <cell r="L665">
            <v>0</v>
          </cell>
          <cell r="M665">
            <v>0</v>
          </cell>
          <cell r="N665">
            <v>0</v>
          </cell>
          <cell r="O665">
            <v>0.6</v>
          </cell>
          <cell r="P665">
            <v>0.8</v>
          </cell>
          <cell r="Q665">
            <v>1.05</v>
          </cell>
          <cell r="R665" t="str">
            <v>INTERIOR</v>
          </cell>
          <cell r="S665">
            <v>5</v>
          </cell>
          <cell r="T665">
            <v>9</v>
          </cell>
          <cell r="U665" t="str">
            <v>Otras</v>
          </cell>
          <cell r="V665" t="str">
            <v>A4 Mono MFPs</v>
          </cell>
          <cell r="W665" t="str">
            <v>COAHUILA</v>
          </cell>
          <cell r="X665">
            <v>2019</v>
          </cell>
          <cell r="Y665" t="str">
            <v>Qtr 2</v>
          </cell>
          <cell r="Z665" t="str">
            <v>April</v>
          </cell>
          <cell r="AA665">
            <v>12</v>
          </cell>
          <cell r="AB665">
            <v>1</v>
          </cell>
          <cell r="AC665">
            <v>200</v>
          </cell>
          <cell r="AD665">
            <v>0</v>
          </cell>
          <cell r="AE665">
            <v>0</v>
          </cell>
          <cell r="AF665">
            <v>0</v>
          </cell>
        </row>
        <row r="666">
          <cell r="B666" t="str">
            <v>09HB331506</v>
          </cell>
          <cell r="C666">
            <v>2019</v>
          </cell>
          <cell r="D666" t="str">
            <v>Qtr 2</v>
          </cell>
          <cell r="E666" t="str">
            <v>April</v>
          </cell>
          <cell r="F666">
            <v>12</v>
          </cell>
          <cell r="G666" t="str">
            <v>MANTENIMIENTO PREVENTIVO</v>
          </cell>
          <cell r="H666">
            <v>0</v>
          </cell>
          <cell r="I666" t="str">
            <v>A4 Mono MFPs</v>
          </cell>
          <cell r="J666">
            <v>468</v>
          </cell>
          <cell r="K666">
            <v>715</v>
          </cell>
          <cell r="L666">
            <v>0</v>
          </cell>
          <cell r="M666">
            <v>0</v>
          </cell>
          <cell r="N666">
            <v>0</v>
          </cell>
          <cell r="O666">
            <v>0.6</v>
          </cell>
          <cell r="P666">
            <v>0.8</v>
          </cell>
          <cell r="Q666">
            <v>1.05</v>
          </cell>
          <cell r="R666" t="str">
            <v>INTERIOR</v>
          </cell>
          <cell r="S666">
            <v>5</v>
          </cell>
          <cell r="T666">
            <v>9</v>
          </cell>
          <cell r="U666" t="str">
            <v>Ciudad principal</v>
          </cell>
          <cell r="V666" t="str">
            <v>A4 Mono MFPs</v>
          </cell>
          <cell r="W666" t="str">
            <v>JALISCO</v>
          </cell>
          <cell r="X666">
            <v>2019</v>
          </cell>
          <cell r="Y666" t="str">
            <v>Qtr 2</v>
          </cell>
          <cell r="Z666" t="str">
            <v>April</v>
          </cell>
          <cell r="AA666">
            <v>12</v>
          </cell>
          <cell r="AB666">
            <v>1</v>
          </cell>
          <cell r="AC666">
            <v>14</v>
          </cell>
          <cell r="AD666">
            <v>0</v>
          </cell>
          <cell r="AE666">
            <v>0</v>
          </cell>
          <cell r="AF666">
            <v>0</v>
          </cell>
        </row>
        <row r="667">
          <cell r="B667" t="str">
            <v>0VMA675057</v>
          </cell>
          <cell r="C667">
            <v>2019</v>
          </cell>
          <cell r="D667" t="str">
            <v>Qtr 2</v>
          </cell>
          <cell r="E667" t="str">
            <v>April</v>
          </cell>
          <cell r="F667">
            <v>12</v>
          </cell>
          <cell r="G667" t="str">
            <v>MANTENIMIENTO PREVENTIVO</v>
          </cell>
          <cell r="H667">
            <v>0</v>
          </cell>
          <cell r="I667" t="str">
            <v>A4 Mono MFPs</v>
          </cell>
          <cell r="J667">
            <v>468</v>
          </cell>
          <cell r="K667">
            <v>715</v>
          </cell>
          <cell r="L667">
            <v>0</v>
          </cell>
          <cell r="M667">
            <v>0</v>
          </cell>
          <cell r="N667">
            <v>0</v>
          </cell>
          <cell r="O667">
            <v>0.6</v>
          </cell>
          <cell r="P667">
            <v>0.8</v>
          </cell>
          <cell r="Q667">
            <v>1.05</v>
          </cell>
          <cell r="R667" t="str">
            <v>INTERIOR</v>
          </cell>
          <cell r="S667">
            <v>5</v>
          </cell>
          <cell r="T667">
            <v>9</v>
          </cell>
          <cell r="U667" t="str">
            <v>Otras</v>
          </cell>
          <cell r="V667" t="str">
            <v>A4 Mono MFPs</v>
          </cell>
          <cell r="W667" t="str">
            <v>COAHUILA</v>
          </cell>
          <cell r="X667">
            <v>2019</v>
          </cell>
          <cell r="Y667" t="str">
            <v>Qtr 2</v>
          </cell>
          <cell r="Z667" t="str">
            <v>April</v>
          </cell>
          <cell r="AA667">
            <v>12</v>
          </cell>
          <cell r="AB667">
            <v>1</v>
          </cell>
          <cell r="AC667">
            <v>200</v>
          </cell>
          <cell r="AD667">
            <v>0</v>
          </cell>
          <cell r="AE667">
            <v>0</v>
          </cell>
          <cell r="AF667">
            <v>0</v>
          </cell>
        </row>
        <row r="668">
          <cell r="B668" t="str">
            <v>0A1H020594</v>
          </cell>
          <cell r="C668">
            <v>2019</v>
          </cell>
          <cell r="D668" t="str">
            <v>Qtr 2</v>
          </cell>
          <cell r="E668" t="str">
            <v>April</v>
          </cell>
          <cell r="F668">
            <v>12</v>
          </cell>
          <cell r="G668" t="str">
            <v>MANTENIMIENTO PREVENTIVO</v>
          </cell>
          <cell r="H668">
            <v>0.4166667</v>
          </cell>
          <cell r="I668" t="str">
            <v>WF Mono Systems and Legacy Color</v>
          </cell>
          <cell r="J668">
            <v>803</v>
          </cell>
          <cell r="K668">
            <v>1573</v>
          </cell>
          <cell r="L668">
            <v>0.2</v>
          </cell>
          <cell r="M668">
            <v>0.6</v>
          </cell>
          <cell r="N668">
            <v>0.8</v>
          </cell>
          <cell r="O668">
            <v>1.05</v>
          </cell>
          <cell r="P668">
            <v>1.1000000000000001</v>
          </cell>
          <cell r="Q668">
            <v>1.1499999999999999</v>
          </cell>
          <cell r="R668" t="str">
            <v>INTERIOR</v>
          </cell>
          <cell r="S668">
            <v>4</v>
          </cell>
          <cell r="T668">
            <v>6</v>
          </cell>
          <cell r="U668" t="str">
            <v>Ciudad principal</v>
          </cell>
          <cell r="V668" t="str">
            <v>WF Mono Systems and Legacy Color</v>
          </cell>
          <cell r="W668" t="str">
            <v>CHIHUAHUA</v>
          </cell>
          <cell r="X668">
            <v>2019</v>
          </cell>
          <cell r="Y668" t="str">
            <v>Qtr 2</v>
          </cell>
          <cell r="Z668" t="str">
            <v>April</v>
          </cell>
          <cell r="AA668">
            <v>12</v>
          </cell>
          <cell r="AB668">
            <v>0</v>
          </cell>
          <cell r="AC668">
            <v>18</v>
          </cell>
          <cell r="AD668">
            <v>0</v>
          </cell>
          <cell r="AE668">
            <v>0</v>
          </cell>
          <cell r="AF668">
            <v>1573</v>
          </cell>
        </row>
        <row r="669">
          <cell r="B669" t="str">
            <v>0XEL566166</v>
          </cell>
          <cell r="C669">
            <v>2019</v>
          </cell>
          <cell r="D669" t="str">
            <v>Qtr 2</v>
          </cell>
          <cell r="E669" t="str">
            <v>April</v>
          </cell>
          <cell r="F669">
            <v>12</v>
          </cell>
          <cell r="G669" t="str">
            <v>CORRECTIVO</v>
          </cell>
          <cell r="H669">
            <v>1.45</v>
          </cell>
          <cell r="I669" t="str">
            <v>Departmental Digital</v>
          </cell>
          <cell r="J669">
            <v>655</v>
          </cell>
          <cell r="K669">
            <v>1365</v>
          </cell>
          <cell r="L669">
            <v>0</v>
          </cell>
          <cell r="M669">
            <v>0</v>
          </cell>
          <cell r="N669">
            <v>0.6</v>
          </cell>
          <cell r="O669">
            <v>0.8</v>
          </cell>
          <cell r="P669">
            <v>1.05</v>
          </cell>
          <cell r="Q669">
            <v>1.1000000000000001</v>
          </cell>
          <cell r="R669" t="str">
            <v>INTERIOR</v>
          </cell>
          <cell r="S669">
            <v>5</v>
          </cell>
          <cell r="T669">
            <v>9</v>
          </cell>
          <cell r="U669" t="str">
            <v>Ciudad principal</v>
          </cell>
          <cell r="V669" t="str">
            <v>Departmental Digital</v>
          </cell>
          <cell r="W669" t="str">
            <v>TAMAULIPAS</v>
          </cell>
          <cell r="X669">
            <v>2019</v>
          </cell>
          <cell r="Y669" t="str">
            <v>Qtr 2</v>
          </cell>
          <cell r="Z669" t="str">
            <v>April</v>
          </cell>
          <cell r="AA669">
            <v>12</v>
          </cell>
          <cell r="AB669">
            <v>0</v>
          </cell>
          <cell r="AC669">
            <v>21</v>
          </cell>
          <cell r="AD669">
            <v>0.8</v>
          </cell>
          <cell r="AE669">
            <v>0.28999999999999998</v>
          </cell>
          <cell r="AF669">
            <v>1092</v>
          </cell>
        </row>
        <row r="670">
          <cell r="B670">
            <v>2411031</v>
          </cell>
          <cell r="C670">
            <v>2019</v>
          </cell>
          <cell r="D670" t="str">
            <v>Qtr 2</v>
          </cell>
          <cell r="E670" t="str">
            <v>April</v>
          </cell>
          <cell r="F670">
            <v>12</v>
          </cell>
          <cell r="G670" t="str">
            <v>CONFIGURACION</v>
          </cell>
          <cell r="H670">
            <v>0.66666669999999995</v>
          </cell>
          <cell r="I670" t="str">
            <v>WF Mono Systems and Legacy Color</v>
          </cell>
          <cell r="J670">
            <v>803</v>
          </cell>
          <cell r="K670">
            <v>1573</v>
          </cell>
          <cell r="L670">
            <v>0.2</v>
          </cell>
          <cell r="M670">
            <v>0.6</v>
          </cell>
          <cell r="N670">
            <v>0.8</v>
          </cell>
          <cell r="O670">
            <v>1.05</v>
          </cell>
          <cell r="P670">
            <v>1.1000000000000001</v>
          </cell>
          <cell r="Q670">
            <v>1.1499999999999999</v>
          </cell>
          <cell r="R670" t="str">
            <v>INTERIOR</v>
          </cell>
          <cell r="S670">
            <v>4</v>
          </cell>
          <cell r="T670">
            <v>6</v>
          </cell>
          <cell r="U670" t="str">
            <v>Ciudad principal</v>
          </cell>
          <cell r="V670" t="str">
            <v>WF Mono Systems and Legacy Color</v>
          </cell>
          <cell r="W670" t="str">
            <v>QUERETARO</v>
          </cell>
          <cell r="X670">
            <v>2019</v>
          </cell>
          <cell r="Y670" t="str">
            <v>Qtr 2</v>
          </cell>
          <cell r="Z670" t="str">
            <v>April</v>
          </cell>
          <cell r="AA670">
            <v>12</v>
          </cell>
          <cell r="AB670">
            <v>0</v>
          </cell>
          <cell r="AC670">
            <v>21</v>
          </cell>
          <cell r="AD670">
            <v>1.05</v>
          </cell>
          <cell r="AE670">
            <v>0.16666667499999999</v>
          </cell>
          <cell r="AF670">
            <v>1651.65</v>
          </cell>
        </row>
        <row r="671">
          <cell r="B671" t="str">
            <v>0XLT861820</v>
          </cell>
          <cell r="C671">
            <v>2019</v>
          </cell>
          <cell r="D671" t="str">
            <v>Qtr 2</v>
          </cell>
          <cell r="E671" t="str">
            <v>April</v>
          </cell>
          <cell r="F671">
            <v>12</v>
          </cell>
          <cell r="G671" t="str">
            <v>CORRECTIVO</v>
          </cell>
          <cell r="H671">
            <v>0</v>
          </cell>
          <cell r="I671" t="str">
            <v>Entry Mono Printers</v>
          </cell>
          <cell r="J671">
            <v>468</v>
          </cell>
          <cell r="K671">
            <v>715</v>
          </cell>
          <cell r="L671">
            <v>0</v>
          </cell>
          <cell r="M671">
            <v>0</v>
          </cell>
          <cell r="N671">
            <v>0</v>
          </cell>
          <cell r="O671">
            <v>0.6</v>
          </cell>
          <cell r="P671">
            <v>0.8</v>
          </cell>
          <cell r="Q671">
            <v>1.05</v>
          </cell>
          <cell r="R671" t="str">
            <v>INTERIOR</v>
          </cell>
          <cell r="S671">
            <v>5</v>
          </cell>
          <cell r="T671">
            <v>9</v>
          </cell>
          <cell r="U671" t="str">
            <v>Ciudad principal</v>
          </cell>
          <cell r="V671" t="str">
            <v>Entry Mono Printers</v>
          </cell>
          <cell r="W671" t="str">
            <v>CHIHUAHUA</v>
          </cell>
          <cell r="X671">
            <v>2019</v>
          </cell>
          <cell r="Y671" t="str">
            <v>Qtr 2</v>
          </cell>
          <cell r="Z671" t="str">
            <v>April</v>
          </cell>
          <cell r="AA671">
            <v>17</v>
          </cell>
          <cell r="AB671">
            <v>0</v>
          </cell>
          <cell r="AC671">
            <v>178</v>
          </cell>
          <cell r="AD671">
            <v>1.05</v>
          </cell>
          <cell r="AE671">
            <v>0</v>
          </cell>
          <cell r="AF671">
            <v>750.75</v>
          </cell>
        </row>
        <row r="672">
          <cell r="B672" t="str">
            <v>0UHA001710</v>
          </cell>
          <cell r="C672">
            <v>2019</v>
          </cell>
          <cell r="D672" t="str">
            <v>Qtr 2</v>
          </cell>
          <cell r="E672" t="str">
            <v>April</v>
          </cell>
          <cell r="F672">
            <v>12</v>
          </cell>
          <cell r="G672" t="str">
            <v>MANTENIMIENTO PREVENTIVO</v>
          </cell>
          <cell r="H672">
            <v>0</v>
          </cell>
          <cell r="I672" t="str">
            <v>High End Cut Sheet</v>
          </cell>
          <cell r="J672">
            <v>1116</v>
          </cell>
          <cell r="K672">
            <v>2145</v>
          </cell>
          <cell r="L672">
            <v>0.6</v>
          </cell>
          <cell r="M672">
            <v>0.8</v>
          </cell>
          <cell r="N672">
            <v>1.05</v>
          </cell>
          <cell r="O672">
            <v>1.1000000000000001</v>
          </cell>
          <cell r="P672">
            <v>1.1499999999999999</v>
          </cell>
          <cell r="Q672">
            <v>1.2</v>
          </cell>
          <cell r="R672" t="str">
            <v>INTERIOR</v>
          </cell>
          <cell r="S672">
            <v>3</v>
          </cell>
          <cell r="T672">
            <v>6</v>
          </cell>
          <cell r="U672" t="str">
            <v>Ciudad principal</v>
          </cell>
          <cell r="V672" t="str">
            <v>High End Cut Sheet</v>
          </cell>
          <cell r="W672" t="str">
            <v>NUEVO LEON</v>
          </cell>
          <cell r="X672">
            <v>2019</v>
          </cell>
          <cell r="Y672" t="str">
            <v>Qtr 2</v>
          </cell>
          <cell r="Z672" t="str">
            <v>April</v>
          </cell>
          <cell r="AA672">
            <v>12</v>
          </cell>
          <cell r="AB672">
            <v>0</v>
          </cell>
          <cell r="AC672">
            <v>2</v>
          </cell>
          <cell r="AD672">
            <v>0</v>
          </cell>
          <cell r="AE672">
            <v>0</v>
          </cell>
          <cell r="AF672">
            <v>2145</v>
          </cell>
        </row>
        <row r="673">
          <cell r="B673" t="str">
            <v>0KPA018838</v>
          </cell>
          <cell r="C673">
            <v>2019</v>
          </cell>
          <cell r="D673" t="str">
            <v>Qtr 2</v>
          </cell>
          <cell r="E673" t="str">
            <v>April</v>
          </cell>
          <cell r="F673">
            <v>12</v>
          </cell>
          <cell r="G673" t="str">
            <v>MANTENIMIENTO PREVENTIVO</v>
          </cell>
          <cell r="H673">
            <v>0</v>
          </cell>
          <cell r="I673" t="str">
            <v>Entry Mono Printers</v>
          </cell>
          <cell r="J673">
            <v>468</v>
          </cell>
          <cell r="K673">
            <v>715</v>
          </cell>
          <cell r="L673">
            <v>0</v>
          </cell>
          <cell r="M673">
            <v>0</v>
          </cell>
          <cell r="N673">
            <v>0</v>
          </cell>
          <cell r="O673">
            <v>0.6</v>
          </cell>
          <cell r="P673">
            <v>0.8</v>
          </cell>
          <cell r="Q673">
            <v>1.05</v>
          </cell>
          <cell r="R673" t="str">
            <v>INTERIOR</v>
          </cell>
          <cell r="S673">
            <v>5</v>
          </cell>
          <cell r="T673">
            <v>9</v>
          </cell>
          <cell r="U673" t="str">
            <v>Ciudad principal</v>
          </cell>
          <cell r="V673" t="str">
            <v>Departmental Digital</v>
          </cell>
          <cell r="W673" t="str">
            <v>CHIHUAHUA</v>
          </cell>
          <cell r="X673">
            <v>2019</v>
          </cell>
          <cell r="Y673" t="str">
            <v>Qtr 2</v>
          </cell>
          <cell r="Z673" t="str">
            <v>April</v>
          </cell>
          <cell r="AA673">
            <v>12</v>
          </cell>
          <cell r="AB673">
            <v>0</v>
          </cell>
          <cell r="AC673">
            <v>2</v>
          </cell>
          <cell r="AD673">
            <v>0</v>
          </cell>
          <cell r="AE673">
            <v>0</v>
          </cell>
          <cell r="AF673">
            <v>715</v>
          </cell>
        </row>
        <row r="674">
          <cell r="B674" t="str">
            <v>09HB320557</v>
          </cell>
          <cell r="C674">
            <v>2019</v>
          </cell>
          <cell r="D674" t="str">
            <v>Qtr 2</v>
          </cell>
          <cell r="E674" t="str">
            <v>April</v>
          </cell>
          <cell r="F674">
            <v>12</v>
          </cell>
          <cell r="G674" t="str">
            <v>CORRECTIVO</v>
          </cell>
          <cell r="H674">
            <v>1.4166669999999999</v>
          </cell>
          <cell r="J674" t="str">
            <v>NA</v>
          </cell>
          <cell r="K674" t="str">
            <v>NA</v>
          </cell>
          <cell r="L674" t="str">
            <v>NA</v>
          </cell>
          <cell r="M674" t="str">
            <v>NA</v>
          </cell>
          <cell r="N674" t="str">
            <v>NA</v>
          </cell>
          <cell r="O674" t="str">
            <v>NA</v>
          </cell>
          <cell r="P674" t="str">
            <v>NA</v>
          </cell>
          <cell r="Q674" t="str">
            <v>NA</v>
          </cell>
          <cell r="S674" t="str">
            <v>NA</v>
          </cell>
          <cell r="T674" t="str">
            <v>NA</v>
          </cell>
          <cell r="V674" t="str">
            <v>A4 Mono MFPs</v>
          </cell>
          <cell r="W674" t="str">
            <v>CHIHUAHUA</v>
          </cell>
          <cell r="X674">
            <v>2019</v>
          </cell>
          <cell r="Y674" t="str">
            <v>Qtr 2</v>
          </cell>
          <cell r="Z674" t="str">
            <v>April</v>
          </cell>
          <cell r="AA674">
            <v>12</v>
          </cell>
          <cell r="AB674" t="str">
            <v>NA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</row>
        <row r="675">
          <cell r="B675" t="str">
            <v>0VGW624391</v>
          </cell>
          <cell r="C675">
            <v>2019</v>
          </cell>
          <cell r="D675" t="str">
            <v>Qtr 2</v>
          </cell>
          <cell r="E675" t="str">
            <v>April</v>
          </cell>
          <cell r="F675">
            <v>12</v>
          </cell>
          <cell r="G675" t="str">
            <v>CORRECTIVO</v>
          </cell>
          <cell r="H675">
            <v>3.3333340000000003E-2</v>
          </cell>
          <cell r="I675" t="str">
            <v>Entry Production Color Low/Mid</v>
          </cell>
          <cell r="J675">
            <v>803</v>
          </cell>
          <cell r="K675">
            <v>1573</v>
          </cell>
          <cell r="L675">
            <v>0.2</v>
          </cell>
          <cell r="M675">
            <v>0.6</v>
          </cell>
          <cell r="N675">
            <v>0.8</v>
          </cell>
          <cell r="O675">
            <v>1.05</v>
          </cell>
          <cell r="P675">
            <v>1.1000000000000001</v>
          </cell>
          <cell r="Q675">
            <v>1.1499999999999999</v>
          </cell>
          <cell r="R675" t="str">
            <v>INTERIOR</v>
          </cell>
          <cell r="S675">
            <v>4</v>
          </cell>
          <cell r="T675">
            <v>6</v>
          </cell>
          <cell r="U675" t="str">
            <v>Ciudad principal</v>
          </cell>
          <cell r="V675" t="str">
            <v>Entry Production Color Low/Mid</v>
          </cell>
          <cell r="W675" t="str">
            <v>CHIHUAHUA</v>
          </cell>
          <cell r="X675">
            <v>2019</v>
          </cell>
          <cell r="Y675" t="str">
            <v>Qtr 2</v>
          </cell>
          <cell r="Z675" t="str">
            <v>April</v>
          </cell>
          <cell r="AA675">
            <v>12</v>
          </cell>
          <cell r="AB675">
            <v>0</v>
          </cell>
          <cell r="AC675">
            <v>10</v>
          </cell>
          <cell r="AD675">
            <v>0.8</v>
          </cell>
          <cell r="AE675">
            <v>8.3333350000000007E-3</v>
          </cell>
          <cell r="AF675">
            <v>1258.4000000000001</v>
          </cell>
        </row>
        <row r="676">
          <cell r="B676" t="str">
            <v>0BB1252169</v>
          </cell>
          <cell r="C676">
            <v>2019</v>
          </cell>
          <cell r="D676" t="str">
            <v>Qtr 2</v>
          </cell>
          <cell r="E676" t="str">
            <v>April</v>
          </cell>
          <cell r="F676">
            <v>12</v>
          </cell>
          <cell r="G676" t="str">
            <v>CORRECTIVO</v>
          </cell>
          <cell r="H676">
            <v>1.2833330000000001</v>
          </cell>
          <cell r="I676" t="str">
            <v>A4 Mono MFPs</v>
          </cell>
          <cell r="J676">
            <v>468</v>
          </cell>
          <cell r="K676">
            <v>715</v>
          </cell>
          <cell r="L676">
            <v>0</v>
          </cell>
          <cell r="M676">
            <v>0</v>
          </cell>
          <cell r="N676">
            <v>0</v>
          </cell>
          <cell r="O676">
            <v>0.6</v>
          </cell>
          <cell r="P676">
            <v>0.8</v>
          </cell>
          <cell r="Q676">
            <v>1.05</v>
          </cell>
          <cell r="R676" t="str">
            <v>INTERIOR</v>
          </cell>
          <cell r="S676">
            <v>5</v>
          </cell>
          <cell r="T676">
            <v>9</v>
          </cell>
          <cell r="U676" t="str">
            <v>Ciudad principal</v>
          </cell>
          <cell r="V676" t="str">
            <v>A4 Mono MFPs</v>
          </cell>
          <cell r="W676" t="str">
            <v>CHIHUAHUA</v>
          </cell>
          <cell r="X676">
            <v>2019</v>
          </cell>
          <cell r="Y676" t="str">
            <v>Qtr 2</v>
          </cell>
          <cell r="Z676" t="str">
            <v>April</v>
          </cell>
          <cell r="AA676">
            <v>12</v>
          </cell>
          <cell r="AB676">
            <v>0</v>
          </cell>
          <cell r="AC676">
            <v>28</v>
          </cell>
          <cell r="AD676">
            <v>0.6</v>
          </cell>
          <cell r="AE676">
            <v>0.25666660000000002</v>
          </cell>
          <cell r="AF676">
            <v>429</v>
          </cell>
        </row>
        <row r="677">
          <cell r="B677" t="str">
            <v>0MX1185934</v>
          </cell>
          <cell r="C677">
            <v>2019</v>
          </cell>
          <cell r="D677" t="str">
            <v>Qtr 2</v>
          </cell>
          <cell r="E677" t="str">
            <v>April</v>
          </cell>
          <cell r="F677">
            <v>12</v>
          </cell>
          <cell r="G677" t="str">
            <v>CORRECTIVO</v>
          </cell>
          <cell r="H677">
            <v>0.1833333</v>
          </cell>
          <cell r="I677" t="str">
            <v>A3 Office Color Laser MFPs</v>
          </cell>
          <cell r="J677">
            <v>655</v>
          </cell>
          <cell r="K677">
            <v>1365</v>
          </cell>
          <cell r="L677">
            <v>0</v>
          </cell>
          <cell r="M677">
            <v>0</v>
          </cell>
          <cell r="N677">
            <v>0.6</v>
          </cell>
          <cell r="O677">
            <v>0.8</v>
          </cell>
          <cell r="P677">
            <v>1.05</v>
          </cell>
          <cell r="Q677">
            <v>1.1000000000000001</v>
          </cell>
          <cell r="R677" t="str">
            <v>INTERIOR</v>
          </cell>
          <cell r="S677">
            <v>5</v>
          </cell>
          <cell r="T677">
            <v>9</v>
          </cell>
          <cell r="U677" t="str">
            <v>Ciudad principal</v>
          </cell>
          <cell r="V677" t="str">
            <v>A3 Office Color Laser MFPs</v>
          </cell>
          <cell r="W677" t="str">
            <v>CHIHUAHUA</v>
          </cell>
          <cell r="X677">
            <v>2019</v>
          </cell>
          <cell r="Y677" t="str">
            <v>Qtr 2</v>
          </cell>
          <cell r="Z677" t="str">
            <v>April</v>
          </cell>
          <cell r="AA677">
            <v>15</v>
          </cell>
          <cell r="AB677">
            <v>0</v>
          </cell>
          <cell r="AC677">
            <v>9</v>
          </cell>
          <cell r="AD677">
            <v>0.6</v>
          </cell>
          <cell r="AE677">
            <v>3.6666659999999997E-2</v>
          </cell>
          <cell r="AF677">
            <v>819</v>
          </cell>
        </row>
        <row r="678">
          <cell r="B678" t="str">
            <v>0BG2940184</v>
          </cell>
          <cell r="C678">
            <v>2019</v>
          </cell>
          <cell r="D678" t="str">
            <v>Qtr 2</v>
          </cell>
          <cell r="E678" t="str">
            <v>April</v>
          </cell>
          <cell r="F678">
            <v>12</v>
          </cell>
          <cell r="G678" t="str">
            <v>CORRECTIVO</v>
          </cell>
          <cell r="H678">
            <v>1.5</v>
          </cell>
          <cell r="I678" t="str">
            <v>Light Production Digital Business</v>
          </cell>
          <cell r="J678">
            <v>803</v>
          </cell>
          <cell r="K678">
            <v>1573</v>
          </cell>
          <cell r="L678">
            <v>0.2</v>
          </cell>
          <cell r="M678">
            <v>0.6</v>
          </cell>
          <cell r="N678">
            <v>0.8</v>
          </cell>
          <cell r="O678">
            <v>1.05</v>
          </cell>
          <cell r="P678">
            <v>1.1000000000000001</v>
          </cell>
          <cell r="Q678">
            <v>1.1499999999999999</v>
          </cell>
          <cell r="R678" t="str">
            <v>INTERIOR</v>
          </cell>
          <cell r="S678">
            <v>4</v>
          </cell>
          <cell r="T678">
            <v>6</v>
          </cell>
          <cell r="U678" t="str">
            <v>Ciudad principal</v>
          </cell>
          <cell r="V678" t="str">
            <v>High End Cut Sheet</v>
          </cell>
          <cell r="W678" t="str">
            <v>JALISCO</v>
          </cell>
          <cell r="X678">
            <v>2019</v>
          </cell>
          <cell r="Y678" t="str">
            <v>Qtr 2</v>
          </cell>
          <cell r="Z678" t="str">
            <v>April</v>
          </cell>
          <cell r="AA678">
            <v>15</v>
          </cell>
          <cell r="AB678">
            <v>0</v>
          </cell>
          <cell r="AC678">
            <v>8</v>
          </cell>
          <cell r="AD678">
            <v>0.8</v>
          </cell>
          <cell r="AE678">
            <v>0.375</v>
          </cell>
          <cell r="AF678">
            <v>1258.4000000000001</v>
          </cell>
        </row>
        <row r="679">
          <cell r="B679" t="str">
            <v>09HB320824</v>
          </cell>
          <cell r="C679">
            <v>2019</v>
          </cell>
          <cell r="D679" t="str">
            <v>Qtr 2</v>
          </cell>
          <cell r="E679" t="str">
            <v>April</v>
          </cell>
          <cell r="F679">
            <v>12</v>
          </cell>
          <cell r="G679" t="str">
            <v>CORRECTIVO</v>
          </cell>
          <cell r="H679">
            <v>1.183333</v>
          </cell>
          <cell r="I679" t="str">
            <v>A4 Mono MFPs</v>
          </cell>
          <cell r="J679">
            <v>468</v>
          </cell>
          <cell r="K679">
            <v>715</v>
          </cell>
          <cell r="L679">
            <v>0</v>
          </cell>
          <cell r="M679">
            <v>0</v>
          </cell>
          <cell r="N679">
            <v>0</v>
          </cell>
          <cell r="O679">
            <v>0.6</v>
          </cell>
          <cell r="P679">
            <v>0.8</v>
          </cell>
          <cell r="Q679">
            <v>1.05</v>
          </cell>
          <cell r="R679" t="str">
            <v>INTERIOR</v>
          </cell>
          <cell r="S679">
            <v>5</v>
          </cell>
          <cell r="T679">
            <v>9</v>
          </cell>
          <cell r="U679" t="str">
            <v>Ciudad principal</v>
          </cell>
          <cell r="V679" t="str">
            <v>A4 Mono MFPs</v>
          </cell>
          <cell r="W679" t="str">
            <v>NUEVO LEON</v>
          </cell>
          <cell r="X679">
            <v>2019</v>
          </cell>
          <cell r="Y679" t="str">
            <v>Qtr 2</v>
          </cell>
          <cell r="Z679" t="str">
            <v>April</v>
          </cell>
          <cell r="AA679">
            <v>12</v>
          </cell>
          <cell r="AB679">
            <v>0</v>
          </cell>
          <cell r="AC679">
            <v>260</v>
          </cell>
          <cell r="AD679">
            <v>1.05</v>
          </cell>
          <cell r="AE679">
            <v>0.2366666</v>
          </cell>
          <cell r="AF679">
            <v>750.75</v>
          </cell>
        </row>
        <row r="680">
          <cell r="B680" t="str">
            <v>06HB015876</v>
          </cell>
          <cell r="C680">
            <v>2019</v>
          </cell>
          <cell r="D680" t="str">
            <v>Qtr 2</v>
          </cell>
          <cell r="E680" t="str">
            <v>April</v>
          </cell>
          <cell r="F680">
            <v>12</v>
          </cell>
          <cell r="G680" t="str">
            <v>CORRECTIVO</v>
          </cell>
          <cell r="H680">
            <v>0</v>
          </cell>
          <cell r="I680" t="str">
            <v>Entry Mono Printers</v>
          </cell>
          <cell r="J680">
            <v>468</v>
          </cell>
          <cell r="K680">
            <v>715</v>
          </cell>
          <cell r="L680">
            <v>0</v>
          </cell>
          <cell r="M680">
            <v>0</v>
          </cell>
          <cell r="N680">
            <v>0</v>
          </cell>
          <cell r="O680">
            <v>0.6</v>
          </cell>
          <cell r="P680">
            <v>0.8</v>
          </cell>
          <cell r="Q680">
            <v>1.05</v>
          </cell>
          <cell r="R680" t="str">
            <v>INTERIOR</v>
          </cell>
          <cell r="S680">
            <v>5</v>
          </cell>
          <cell r="T680">
            <v>9</v>
          </cell>
          <cell r="U680" t="str">
            <v>Ciudad principal</v>
          </cell>
          <cell r="V680" t="str">
            <v>A4 Mono MFPs</v>
          </cell>
          <cell r="W680" t="str">
            <v>CHIHUAHUA</v>
          </cell>
          <cell r="X680">
            <v>2019</v>
          </cell>
          <cell r="Y680" t="str">
            <v>Qtr 2</v>
          </cell>
          <cell r="Z680" t="str">
            <v>April</v>
          </cell>
          <cell r="AA680">
            <v>12</v>
          </cell>
          <cell r="AB680">
            <v>1</v>
          </cell>
          <cell r="AC680">
            <v>44</v>
          </cell>
          <cell r="AD680">
            <v>0</v>
          </cell>
          <cell r="AE680">
            <v>0</v>
          </cell>
          <cell r="AF680">
            <v>0</v>
          </cell>
        </row>
        <row r="681">
          <cell r="B681" t="str">
            <v>0X76370965</v>
          </cell>
          <cell r="C681">
            <v>2019</v>
          </cell>
          <cell r="D681" t="str">
            <v>Qtr 2</v>
          </cell>
          <cell r="E681" t="str">
            <v>April</v>
          </cell>
          <cell r="F681">
            <v>12</v>
          </cell>
          <cell r="G681" t="str">
            <v>CORRECTIVO</v>
          </cell>
          <cell r="H681">
            <v>1.4666669999999999</v>
          </cell>
          <cell r="I681" t="str">
            <v>Office Digital</v>
          </cell>
          <cell r="J681">
            <v>655</v>
          </cell>
          <cell r="K681">
            <v>1365</v>
          </cell>
          <cell r="L681">
            <v>0</v>
          </cell>
          <cell r="M681">
            <v>0</v>
          </cell>
          <cell r="N681">
            <v>0.6</v>
          </cell>
          <cell r="O681">
            <v>0.8</v>
          </cell>
          <cell r="P681">
            <v>1.05</v>
          </cell>
          <cell r="Q681">
            <v>1.1000000000000001</v>
          </cell>
          <cell r="R681" t="str">
            <v>INTERIOR</v>
          </cell>
          <cell r="S681">
            <v>5</v>
          </cell>
          <cell r="T681">
            <v>9</v>
          </cell>
          <cell r="U681" t="str">
            <v>Ciudad principal</v>
          </cell>
          <cell r="V681" t="str">
            <v>Departmental Digital</v>
          </cell>
          <cell r="W681" t="str">
            <v>CHIHUAHUA</v>
          </cell>
          <cell r="X681">
            <v>2019</v>
          </cell>
          <cell r="Y681" t="str">
            <v>Qtr 2</v>
          </cell>
          <cell r="Z681" t="str">
            <v>April</v>
          </cell>
          <cell r="AA681">
            <v>12</v>
          </cell>
          <cell r="AB681">
            <v>0</v>
          </cell>
          <cell r="AC681">
            <v>154</v>
          </cell>
          <cell r="AD681">
            <v>1.1000000000000001</v>
          </cell>
          <cell r="AE681">
            <v>0.29333340000000002</v>
          </cell>
          <cell r="AF681">
            <v>1501.5</v>
          </cell>
        </row>
        <row r="682">
          <cell r="B682" t="str">
            <v>03BT802581</v>
          </cell>
          <cell r="C682">
            <v>2019</v>
          </cell>
          <cell r="D682" t="str">
            <v>Qtr 2</v>
          </cell>
          <cell r="E682" t="str">
            <v>April</v>
          </cell>
          <cell r="F682">
            <v>12</v>
          </cell>
          <cell r="G682" t="str">
            <v>CORRECTIVO</v>
          </cell>
          <cell r="H682">
            <v>1.6666669999999999</v>
          </cell>
          <cell r="I682" t="str">
            <v>A4 Mono MFPs</v>
          </cell>
          <cell r="J682">
            <v>468</v>
          </cell>
          <cell r="K682">
            <v>715</v>
          </cell>
          <cell r="L682">
            <v>0</v>
          </cell>
          <cell r="M682">
            <v>0</v>
          </cell>
          <cell r="N682">
            <v>0</v>
          </cell>
          <cell r="O682">
            <v>0.6</v>
          </cell>
          <cell r="P682">
            <v>0.8</v>
          </cell>
          <cell r="Q682">
            <v>1.05</v>
          </cell>
          <cell r="R682" t="str">
            <v>INTERIOR</v>
          </cell>
          <cell r="S682">
            <v>5</v>
          </cell>
          <cell r="T682">
            <v>9</v>
          </cell>
          <cell r="U682" t="str">
            <v>Ciudad principal</v>
          </cell>
          <cell r="V682" t="str">
            <v>A4 Mono MFPs</v>
          </cell>
          <cell r="W682" t="str">
            <v>TAMAULIPAS</v>
          </cell>
          <cell r="X682">
            <v>2019</v>
          </cell>
          <cell r="Y682" t="str">
            <v>Qtr 2</v>
          </cell>
          <cell r="Z682" t="str">
            <v>April</v>
          </cell>
          <cell r="AA682">
            <v>12</v>
          </cell>
          <cell r="AB682">
            <v>0</v>
          </cell>
          <cell r="AC682">
            <v>331</v>
          </cell>
          <cell r="AD682">
            <v>1.05</v>
          </cell>
          <cell r="AE682">
            <v>0.3333334</v>
          </cell>
          <cell r="AF682">
            <v>750.75</v>
          </cell>
        </row>
        <row r="683">
          <cell r="B683" t="str">
            <v>0C4X003927</v>
          </cell>
          <cell r="C683">
            <v>2019</v>
          </cell>
          <cell r="D683" t="str">
            <v>Qtr 2</v>
          </cell>
          <cell r="E683" t="str">
            <v>April</v>
          </cell>
          <cell r="F683">
            <v>12</v>
          </cell>
          <cell r="G683" t="str">
            <v>CORRECTIVO</v>
          </cell>
          <cell r="H683">
            <v>0.66666669999999995</v>
          </cell>
          <cell r="I683" t="str">
            <v>A4 Mono MFPs</v>
          </cell>
          <cell r="J683">
            <v>468</v>
          </cell>
          <cell r="K683">
            <v>715</v>
          </cell>
          <cell r="L683">
            <v>0</v>
          </cell>
          <cell r="M683">
            <v>0</v>
          </cell>
          <cell r="N683">
            <v>0</v>
          </cell>
          <cell r="O683">
            <v>0.6</v>
          </cell>
          <cell r="P683">
            <v>0.8</v>
          </cell>
          <cell r="Q683">
            <v>1.05</v>
          </cell>
          <cell r="R683" t="str">
            <v>INTERIOR</v>
          </cell>
          <cell r="S683">
            <v>5</v>
          </cell>
          <cell r="T683">
            <v>9</v>
          </cell>
          <cell r="U683" t="str">
            <v>Ciudad principal</v>
          </cell>
          <cell r="V683" t="str">
            <v>A4 Mono MFPs</v>
          </cell>
          <cell r="W683" t="str">
            <v>CHIHUAHUA</v>
          </cell>
          <cell r="X683">
            <v>2019</v>
          </cell>
          <cell r="Y683" t="str">
            <v>Qtr 2</v>
          </cell>
          <cell r="Z683" t="str">
            <v>April</v>
          </cell>
          <cell r="AA683">
            <v>12</v>
          </cell>
          <cell r="AB683">
            <v>0</v>
          </cell>
          <cell r="AC683">
            <v>71</v>
          </cell>
          <cell r="AD683">
            <v>1.05</v>
          </cell>
          <cell r="AE683">
            <v>0.13333333999999999</v>
          </cell>
          <cell r="AF683">
            <v>750.75</v>
          </cell>
        </row>
        <row r="684">
          <cell r="B684" t="str">
            <v>0C4X002927</v>
          </cell>
          <cell r="C684">
            <v>2019</v>
          </cell>
          <cell r="D684" t="str">
            <v>Qtr 2</v>
          </cell>
          <cell r="E684" t="str">
            <v>April</v>
          </cell>
          <cell r="F684">
            <v>12</v>
          </cell>
          <cell r="G684" t="str">
            <v>CORRECTIVO</v>
          </cell>
          <cell r="H684">
            <v>0.98333329999999997</v>
          </cell>
          <cell r="I684" t="str">
            <v>A4 Mono MFPs</v>
          </cell>
          <cell r="J684">
            <v>468</v>
          </cell>
          <cell r="K684">
            <v>715</v>
          </cell>
          <cell r="L684">
            <v>0</v>
          </cell>
          <cell r="M684">
            <v>0</v>
          </cell>
          <cell r="N684">
            <v>0</v>
          </cell>
          <cell r="O684">
            <v>0.6</v>
          </cell>
          <cell r="P684">
            <v>0.8</v>
          </cell>
          <cell r="Q684">
            <v>1.05</v>
          </cell>
          <cell r="R684" t="str">
            <v>INTERIOR</v>
          </cell>
          <cell r="S684">
            <v>5</v>
          </cell>
          <cell r="T684">
            <v>9</v>
          </cell>
          <cell r="U684" t="str">
            <v>Ciudad principal</v>
          </cell>
          <cell r="V684" t="str">
            <v>A4 Mono MFPs</v>
          </cell>
          <cell r="W684" t="str">
            <v>CHIHUAHUA</v>
          </cell>
          <cell r="X684">
            <v>2019</v>
          </cell>
          <cell r="Y684" t="str">
            <v>Qtr 2</v>
          </cell>
          <cell r="Z684" t="str">
            <v>April</v>
          </cell>
          <cell r="AA684">
            <v>12</v>
          </cell>
          <cell r="AB684">
            <v>0</v>
          </cell>
          <cell r="AC684">
            <v>8</v>
          </cell>
          <cell r="AD684">
            <v>0</v>
          </cell>
          <cell r="AE684">
            <v>0.19666665999999999</v>
          </cell>
          <cell r="AF684">
            <v>0</v>
          </cell>
        </row>
        <row r="685">
          <cell r="B685" t="str">
            <v>06TB445710</v>
          </cell>
          <cell r="C685">
            <v>2019</v>
          </cell>
          <cell r="D685" t="str">
            <v>Qtr 2</v>
          </cell>
          <cell r="E685" t="str">
            <v>April</v>
          </cell>
          <cell r="F685">
            <v>12</v>
          </cell>
          <cell r="G685" t="str">
            <v>MANTENIMIENTO PREVENTIVO</v>
          </cell>
          <cell r="H685">
            <v>0</v>
          </cell>
          <cell r="I685" t="str">
            <v>A3 Office Color Laser MFPs</v>
          </cell>
          <cell r="J685">
            <v>655</v>
          </cell>
          <cell r="K685">
            <v>1365</v>
          </cell>
          <cell r="L685">
            <v>0</v>
          </cell>
          <cell r="M685">
            <v>0</v>
          </cell>
          <cell r="N685">
            <v>0.6</v>
          </cell>
          <cell r="O685">
            <v>0.8</v>
          </cell>
          <cell r="P685">
            <v>1.05</v>
          </cell>
          <cell r="Q685">
            <v>1.1000000000000001</v>
          </cell>
          <cell r="R685" t="str">
            <v>INTERIOR</v>
          </cell>
          <cell r="S685">
            <v>5</v>
          </cell>
          <cell r="T685">
            <v>9</v>
          </cell>
          <cell r="U685" t="str">
            <v>Ciudad principal</v>
          </cell>
          <cell r="V685" t="str">
            <v>A3 Office Color Laser MFPs</v>
          </cell>
          <cell r="W685" t="str">
            <v>JALISCO</v>
          </cell>
          <cell r="X685">
            <v>2019</v>
          </cell>
          <cell r="Y685" t="str">
            <v>Qtr 2</v>
          </cell>
          <cell r="Z685" t="str">
            <v>April</v>
          </cell>
          <cell r="AA685">
            <v>12</v>
          </cell>
          <cell r="AB685">
            <v>0</v>
          </cell>
          <cell r="AC685">
            <v>11</v>
          </cell>
          <cell r="AD685">
            <v>0</v>
          </cell>
          <cell r="AE685">
            <v>0</v>
          </cell>
          <cell r="AF685">
            <v>1365</v>
          </cell>
        </row>
        <row r="686">
          <cell r="B686" t="str">
            <v>0XKK398474</v>
          </cell>
          <cell r="C686">
            <v>2019</v>
          </cell>
          <cell r="D686" t="str">
            <v>Qtr 2</v>
          </cell>
          <cell r="E686" t="str">
            <v>April</v>
          </cell>
          <cell r="F686">
            <v>12</v>
          </cell>
          <cell r="G686" t="str">
            <v>CORRECTIVO</v>
          </cell>
          <cell r="H686">
            <v>0.35</v>
          </cell>
          <cell r="J686" t="str">
            <v>NA</v>
          </cell>
          <cell r="K686" t="str">
            <v>NA</v>
          </cell>
          <cell r="L686" t="str">
            <v>NA</v>
          </cell>
          <cell r="M686" t="str">
            <v>NA</v>
          </cell>
          <cell r="N686" t="str">
            <v>NA</v>
          </cell>
          <cell r="O686" t="str">
            <v>NA</v>
          </cell>
          <cell r="P686" t="str">
            <v>NA</v>
          </cell>
          <cell r="Q686" t="str">
            <v>NA</v>
          </cell>
          <cell r="S686" t="str">
            <v>NA</v>
          </cell>
          <cell r="T686" t="str">
            <v>NA</v>
          </cell>
          <cell r="V686" t="str">
            <v>A3 Office Color Laser MFPs</v>
          </cell>
          <cell r="W686" t="str">
            <v>COAHUILA</v>
          </cell>
          <cell r="X686">
            <v>2019</v>
          </cell>
          <cell r="Y686" t="str">
            <v>Qtr 2</v>
          </cell>
          <cell r="Z686" t="str">
            <v>April</v>
          </cell>
          <cell r="AA686">
            <v>17</v>
          </cell>
          <cell r="AB686" t="str">
            <v>NA</v>
          </cell>
          <cell r="AC686">
            <v>21</v>
          </cell>
          <cell r="AD686">
            <v>0</v>
          </cell>
          <cell r="AE686">
            <v>0</v>
          </cell>
          <cell r="AF686">
            <v>0</v>
          </cell>
        </row>
        <row r="687">
          <cell r="B687" t="str">
            <v>0A1H020874</v>
          </cell>
          <cell r="C687">
            <v>2019</v>
          </cell>
          <cell r="D687" t="str">
            <v>Qtr 2</v>
          </cell>
          <cell r="E687" t="str">
            <v>April</v>
          </cell>
          <cell r="F687">
            <v>12</v>
          </cell>
          <cell r="G687" t="str">
            <v>CORRECTIVO</v>
          </cell>
          <cell r="H687">
            <v>2.0333329999999998</v>
          </cell>
          <cell r="J687" t="str">
            <v>NA</v>
          </cell>
          <cell r="K687" t="str">
            <v>NA</v>
          </cell>
          <cell r="L687" t="str">
            <v>NA</v>
          </cell>
          <cell r="M687" t="str">
            <v>NA</v>
          </cell>
          <cell r="N687" t="str">
            <v>NA</v>
          </cell>
          <cell r="O687" t="str">
            <v>NA</v>
          </cell>
          <cell r="P687" t="str">
            <v>NA</v>
          </cell>
          <cell r="Q687" t="str">
            <v>NA</v>
          </cell>
          <cell r="S687" t="str">
            <v>NA</v>
          </cell>
          <cell r="T687" t="str">
            <v>NA</v>
          </cell>
          <cell r="V687" t="str">
            <v>WF Mono Systems and Legacy Color</v>
          </cell>
          <cell r="W687" t="str">
            <v>HIDALGO</v>
          </cell>
          <cell r="X687">
            <v>2019</v>
          </cell>
          <cell r="Y687" t="str">
            <v>Qtr 2</v>
          </cell>
          <cell r="Z687" t="str">
            <v>April</v>
          </cell>
          <cell r="AA687">
            <v>12</v>
          </cell>
          <cell r="AB687" t="str">
            <v>NA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</row>
        <row r="688">
          <cell r="B688" t="str">
            <v>09HB331848</v>
          </cell>
          <cell r="C688">
            <v>2019</v>
          </cell>
          <cell r="D688" t="str">
            <v>Qtr 2</v>
          </cell>
          <cell r="E688" t="str">
            <v>April</v>
          </cell>
          <cell r="F688">
            <v>12</v>
          </cell>
          <cell r="G688" t="str">
            <v>MANTENIMIENTO PREVENTIVO</v>
          </cell>
          <cell r="H688">
            <v>0</v>
          </cell>
          <cell r="I688" t="str">
            <v>A4 Mono MFPs</v>
          </cell>
          <cell r="J688">
            <v>468</v>
          </cell>
          <cell r="K688">
            <v>715</v>
          </cell>
          <cell r="L688">
            <v>0</v>
          </cell>
          <cell r="M688">
            <v>0</v>
          </cell>
          <cell r="N688">
            <v>0</v>
          </cell>
          <cell r="O688">
            <v>0.6</v>
          </cell>
          <cell r="P688">
            <v>0.8</v>
          </cell>
          <cell r="Q688">
            <v>1.05</v>
          </cell>
          <cell r="R688" t="str">
            <v>INTERIOR</v>
          </cell>
          <cell r="S688">
            <v>5</v>
          </cell>
          <cell r="T688">
            <v>9</v>
          </cell>
          <cell r="U688" t="str">
            <v>Ciudad principal</v>
          </cell>
          <cell r="V688" t="str">
            <v>A4 Mono MFPs</v>
          </cell>
          <cell r="W688" t="str">
            <v>JALISCO</v>
          </cell>
          <cell r="X688">
            <v>2019</v>
          </cell>
          <cell r="Y688" t="str">
            <v>Qtr 2</v>
          </cell>
          <cell r="Z688" t="str">
            <v>April</v>
          </cell>
          <cell r="AA688">
            <v>12</v>
          </cell>
          <cell r="AB688">
            <v>1</v>
          </cell>
          <cell r="AC688">
            <v>9</v>
          </cell>
          <cell r="AD688">
            <v>0</v>
          </cell>
          <cell r="AE688">
            <v>0</v>
          </cell>
          <cell r="AF688">
            <v>0</v>
          </cell>
        </row>
        <row r="689">
          <cell r="B689" t="str">
            <v>0XEH070338</v>
          </cell>
          <cell r="C689">
            <v>2019</v>
          </cell>
          <cell r="D689" t="str">
            <v>Qtr 2</v>
          </cell>
          <cell r="E689" t="str">
            <v>April</v>
          </cell>
          <cell r="F689">
            <v>12</v>
          </cell>
          <cell r="G689" t="str">
            <v>MANTENIMIENTO PREVENTIVO</v>
          </cell>
          <cell r="H689">
            <v>0</v>
          </cell>
          <cell r="I689" t="str">
            <v>Office Digital</v>
          </cell>
          <cell r="J689">
            <v>655</v>
          </cell>
          <cell r="K689">
            <v>1365</v>
          </cell>
          <cell r="L689">
            <v>0</v>
          </cell>
          <cell r="M689">
            <v>0</v>
          </cell>
          <cell r="N689">
            <v>0.6</v>
          </cell>
          <cell r="O689">
            <v>0.8</v>
          </cell>
          <cell r="P689">
            <v>1.05</v>
          </cell>
          <cell r="Q689">
            <v>1.1000000000000001</v>
          </cell>
          <cell r="R689" t="str">
            <v>INTERIOR</v>
          </cell>
          <cell r="S689">
            <v>5</v>
          </cell>
          <cell r="T689">
            <v>9</v>
          </cell>
          <cell r="U689" t="str">
            <v>Ciudad principal</v>
          </cell>
          <cell r="V689" t="str">
            <v>Departmental Digital</v>
          </cell>
          <cell r="W689" t="str">
            <v>CHIHUAHUA</v>
          </cell>
          <cell r="X689">
            <v>2019</v>
          </cell>
          <cell r="Y689" t="str">
            <v>Qtr 2</v>
          </cell>
          <cell r="Z689" t="str">
            <v>April</v>
          </cell>
          <cell r="AA689">
            <v>15</v>
          </cell>
          <cell r="AB689">
            <v>0</v>
          </cell>
          <cell r="AC689">
            <v>23</v>
          </cell>
          <cell r="AD689">
            <v>0</v>
          </cell>
          <cell r="AE689">
            <v>0</v>
          </cell>
          <cell r="AF689">
            <v>1365</v>
          </cell>
        </row>
        <row r="690">
          <cell r="B690" t="str">
            <v>09HB331830</v>
          </cell>
          <cell r="C690">
            <v>2019</v>
          </cell>
          <cell r="D690" t="str">
            <v>Qtr 2</v>
          </cell>
          <cell r="E690" t="str">
            <v>April</v>
          </cell>
          <cell r="F690">
            <v>12</v>
          </cell>
          <cell r="G690" t="str">
            <v>MANTENIMIENTO PREVENTIVO</v>
          </cell>
          <cell r="H690">
            <v>0</v>
          </cell>
          <cell r="I690" t="str">
            <v>A4 Mono MFPs</v>
          </cell>
          <cell r="J690">
            <v>468</v>
          </cell>
          <cell r="K690">
            <v>715</v>
          </cell>
          <cell r="L690">
            <v>0</v>
          </cell>
          <cell r="M690">
            <v>0</v>
          </cell>
          <cell r="N690">
            <v>0</v>
          </cell>
          <cell r="O690">
            <v>0.6</v>
          </cell>
          <cell r="P690">
            <v>0.8</v>
          </cell>
          <cell r="Q690">
            <v>1.05</v>
          </cell>
          <cell r="R690" t="str">
            <v>INTERIOR</v>
          </cell>
          <cell r="S690">
            <v>5</v>
          </cell>
          <cell r="T690">
            <v>9</v>
          </cell>
          <cell r="U690" t="str">
            <v>Ciudad principal</v>
          </cell>
          <cell r="V690" t="str">
            <v>A4 Mono MFPs</v>
          </cell>
          <cell r="W690" t="str">
            <v>JALISCO</v>
          </cell>
          <cell r="X690">
            <v>2019</v>
          </cell>
          <cell r="Y690" t="str">
            <v>Qtr 2</v>
          </cell>
          <cell r="Z690" t="str">
            <v>April</v>
          </cell>
          <cell r="AA690">
            <v>12</v>
          </cell>
          <cell r="AB690">
            <v>1</v>
          </cell>
          <cell r="AC690">
            <v>43</v>
          </cell>
          <cell r="AD690">
            <v>0</v>
          </cell>
          <cell r="AE690">
            <v>0</v>
          </cell>
          <cell r="AF690">
            <v>0</v>
          </cell>
        </row>
        <row r="691">
          <cell r="B691" t="str">
            <v>09HB331761</v>
          </cell>
          <cell r="C691">
            <v>2019</v>
          </cell>
          <cell r="D691" t="str">
            <v>Qtr 2</v>
          </cell>
          <cell r="E691" t="str">
            <v>April</v>
          </cell>
          <cell r="F691">
            <v>12</v>
          </cell>
          <cell r="G691" t="str">
            <v>MANTENIMIENTO PREVENTIVO</v>
          </cell>
          <cell r="H691">
            <v>0</v>
          </cell>
          <cell r="J691" t="str">
            <v>NA</v>
          </cell>
          <cell r="K691" t="str">
            <v>NA</v>
          </cell>
          <cell r="L691" t="str">
            <v>NA</v>
          </cell>
          <cell r="M691" t="str">
            <v>NA</v>
          </cell>
          <cell r="N691" t="str">
            <v>NA</v>
          </cell>
          <cell r="O691" t="str">
            <v>NA</v>
          </cell>
          <cell r="P691" t="str">
            <v>NA</v>
          </cell>
          <cell r="Q691" t="str">
            <v>NA</v>
          </cell>
          <cell r="S691" t="str">
            <v>NA</v>
          </cell>
          <cell r="T691" t="str">
            <v>NA</v>
          </cell>
          <cell r="V691" t="str">
            <v>A4 Mono MFPs</v>
          </cell>
          <cell r="W691" t="str">
            <v>JALISCO</v>
          </cell>
          <cell r="X691">
            <v>2019</v>
          </cell>
          <cell r="Y691" t="str">
            <v>Qtr 2</v>
          </cell>
          <cell r="Z691" t="str">
            <v>April</v>
          </cell>
          <cell r="AA691">
            <v>12</v>
          </cell>
          <cell r="AB691" t="str">
            <v>NA</v>
          </cell>
          <cell r="AC691">
            <v>21</v>
          </cell>
          <cell r="AD691">
            <v>0</v>
          </cell>
          <cell r="AE691">
            <v>0</v>
          </cell>
          <cell r="AF691">
            <v>0</v>
          </cell>
        </row>
        <row r="692">
          <cell r="B692" t="str">
            <v>0A1H020707</v>
          </cell>
          <cell r="C692">
            <v>2019</v>
          </cell>
          <cell r="D692" t="str">
            <v>Qtr 2</v>
          </cell>
          <cell r="E692" t="str">
            <v>April</v>
          </cell>
          <cell r="F692">
            <v>12</v>
          </cell>
          <cell r="G692" t="str">
            <v>CORRECTIVO</v>
          </cell>
          <cell r="H692">
            <v>2.75</v>
          </cell>
          <cell r="I692" t="str">
            <v>WF Mono Systems and Legacy Color</v>
          </cell>
          <cell r="J692">
            <v>803</v>
          </cell>
          <cell r="K692">
            <v>1573</v>
          </cell>
          <cell r="L692">
            <v>0.2</v>
          </cell>
          <cell r="M692">
            <v>0.6</v>
          </cell>
          <cell r="N692">
            <v>0.8</v>
          </cell>
          <cell r="O692">
            <v>1.05</v>
          </cell>
          <cell r="P692">
            <v>1.1000000000000001</v>
          </cell>
          <cell r="Q692">
            <v>1.1499999999999999</v>
          </cell>
          <cell r="R692" t="str">
            <v>INTERIOR</v>
          </cell>
          <cell r="S692">
            <v>4</v>
          </cell>
          <cell r="T692">
            <v>6</v>
          </cell>
          <cell r="U692" t="str">
            <v>Ciudad principal</v>
          </cell>
          <cell r="V692" t="str">
            <v>WF Mono Systems and Legacy Color</v>
          </cell>
          <cell r="W692" t="str">
            <v>QUERETARO</v>
          </cell>
          <cell r="X692">
            <v>2019</v>
          </cell>
          <cell r="Y692" t="str">
            <v>Qtr 2</v>
          </cell>
          <cell r="Z692" t="str">
            <v>April</v>
          </cell>
          <cell r="AA692">
            <v>15</v>
          </cell>
          <cell r="AB692">
            <v>0</v>
          </cell>
          <cell r="AC692">
            <v>65</v>
          </cell>
          <cell r="AD692">
            <v>1.1499999999999999</v>
          </cell>
          <cell r="AE692">
            <v>0.6875</v>
          </cell>
          <cell r="AF692">
            <v>1808.95</v>
          </cell>
        </row>
        <row r="693">
          <cell r="B693" t="str">
            <v>0C7X246842</v>
          </cell>
          <cell r="C693">
            <v>2019</v>
          </cell>
          <cell r="D693" t="str">
            <v>Qtr 2</v>
          </cell>
          <cell r="E693" t="str">
            <v>April</v>
          </cell>
          <cell r="F693">
            <v>12</v>
          </cell>
          <cell r="G693" t="str">
            <v>MANTENIMIENTO PREVENTIVO</v>
          </cell>
          <cell r="H693">
            <v>0</v>
          </cell>
          <cell r="I693" t="str">
            <v>A4 Mono MFPs</v>
          </cell>
          <cell r="J693">
            <v>468</v>
          </cell>
          <cell r="K693">
            <v>715</v>
          </cell>
          <cell r="L693">
            <v>0</v>
          </cell>
          <cell r="M693">
            <v>0</v>
          </cell>
          <cell r="N693">
            <v>0</v>
          </cell>
          <cell r="O693">
            <v>0.6</v>
          </cell>
          <cell r="P693">
            <v>0.8</v>
          </cell>
          <cell r="Q693">
            <v>1.05</v>
          </cell>
          <cell r="R693" t="str">
            <v>INTERIOR</v>
          </cell>
          <cell r="S693">
            <v>5</v>
          </cell>
          <cell r="T693">
            <v>9</v>
          </cell>
          <cell r="U693" t="str">
            <v>Ciudad principal</v>
          </cell>
          <cell r="V693" t="str">
            <v>A4 Mono MFPs</v>
          </cell>
          <cell r="W693" t="str">
            <v>JALISCO</v>
          </cell>
          <cell r="X693">
            <v>2019</v>
          </cell>
          <cell r="Y693" t="str">
            <v>Qtr 2</v>
          </cell>
          <cell r="Z693" t="str">
            <v>April</v>
          </cell>
          <cell r="AA693">
            <v>12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715</v>
          </cell>
        </row>
        <row r="694">
          <cell r="B694" t="str">
            <v>09HB331516</v>
          </cell>
          <cell r="C694">
            <v>2019</v>
          </cell>
          <cell r="D694" t="str">
            <v>Qtr 2</v>
          </cell>
          <cell r="E694" t="str">
            <v>April</v>
          </cell>
          <cell r="F694">
            <v>12</v>
          </cell>
          <cell r="G694" t="str">
            <v>MANTENIMIENTO PREVENTIVO</v>
          </cell>
          <cell r="H694">
            <v>0</v>
          </cell>
          <cell r="I694" t="str">
            <v>A4 Mono MFPs</v>
          </cell>
          <cell r="J694">
            <v>468</v>
          </cell>
          <cell r="K694">
            <v>715</v>
          </cell>
          <cell r="L694">
            <v>0</v>
          </cell>
          <cell r="M694">
            <v>0</v>
          </cell>
          <cell r="N694">
            <v>0</v>
          </cell>
          <cell r="O694">
            <v>0.6</v>
          </cell>
          <cell r="P694">
            <v>0.8</v>
          </cell>
          <cell r="Q694">
            <v>1.05</v>
          </cell>
          <cell r="R694" t="str">
            <v>INTERIOR</v>
          </cell>
          <cell r="S694">
            <v>5</v>
          </cell>
          <cell r="T694">
            <v>9</v>
          </cell>
          <cell r="U694" t="str">
            <v>Ciudad principal</v>
          </cell>
          <cell r="V694" t="str">
            <v>A4 Mono MFPs</v>
          </cell>
          <cell r="W694" t="str">
            <v>JALISCO</v>
          </cell>
          <cell r="X694">
            <v>2019</v>
          </cell>
          <cell r="Y694" t="str">
            <v>Qtr 2</v>
          </cell>
          <cell r="Z694" t="str">
            <v>April</v>
          </cell>
          <cell r="AA694">
            <v>12</v>
          </cell>
          <cell r="AB694">
            <v>1</v>
          </cell>
          <cell r="AC694">
            <v>11</v>
          </cell>
          <cell r="AD694">
            <v>0</v>
          </cell>
          <cell r="AE694">
            <v>0</v>
          </cell>
          <cell r="AF694">
            <v>0</v>
          </cell>
        </row>
        <row r="695">
          <cell r="B695" t="str">
            <v>0EX9293419</v>
          </cell>
          <cell r="C695">
            <v>2019</v>
          </cell>
          <cell r="D695" t="str">
            <v>Qtr 2</v>
          </cell>
          <cell r="E695" t="str">
            <v>April</v>
          </cell>
          <cell r="F695">
            <v>12</v>
          </cell>
          <cell r="G695" t="str">
            <v>CORRECTIVO</v>
          </cell>
          <cell r="H695">
            <v>0.66666669999999995</v>
          </cell>
          <cell r="I695" t="str">
            <v>Departmental Digital</v>
          </cell>
          <cell r="J695">
            <v>655</v>
          </cell>
          <cell r="K695">
            <v>1365</v>
          </cell>
          <cell r="L695">
            <v>0</v>
          </cell>
          <cell r="M695">
            <v>0</v>
          </cell>
          <cell r="N695">
            <v>0.6</v>
          </cell>
          <cell r="O695">
            <v>0.8</v>
          </cell>
          <cell r="P695">
            <v>1.05</v>
          </cell>
          <cell r="Q695">
            <v>1.1000000000000001</v>
          </cell>
          <cell r="R695" t="str">
            <v>INTERIOR</v>
          </cell>
          <cell r="S695">
            <v>5</v>
          </cell>
          <cell r="T695">
            <v>9</v>
          </cell>
          <cell r="U695" t="str">
            <v>Ciudad principal</v>
          </cell>
          <cell r="V695" t="str">
            <v>Departmental Digital</v>
          </cell>
          <cell r="W695" t="str">
            <v>NUEVO LEON</v>
          </cell>
          <cell r="X695">
            <v>2019</v>
          </cell>
          <cell r="Y695" t="str">
            <v>Qtr 2</v>
          </cell>
          <cell r="Z695" t="str">
            <v>April</v>
          </cell>
          <cell r="AA695">
            <v>17</v>
          </cell>
          <cell r="AB695">
            <v>0</v>
          </cell>
          <cell r="AC695">
            <v>15</v>
          </cell>
          <cell r="AD695">
            <v>0.6</v>
          </cell>
          <cell r="AE695">
            <v>0.13333333999999999</v>
          </cell>
          <cell r="AF695">
            <v>819</v>
          </cell>
        </row>
        <row r="696">
          <cell r="B696" t="str">
            <v>0XLT861631</v>
          </cell>
          <cell r="C696">
            <v>2019</v>
          </cell>
          <cell r="D696" t="str">
            <v>Qtr 2</v>
          </cell>
          <cell r="E696" t="str">
            <v>April</v>
          </cell>
          <cell r="F696">
            <v>12</v>
          </cell>
          <cell r="G696" t="str">
            <v>MANTENIMIENTO PREVENTIVO</v>
          </cell>
          <cell r="H696">
            <v>0</v>
          </cell>
          <cell r="I696" t="str">
            <v>Entry Mono Printers</v>
          </cell>
          <cell r="J696">
            <v>468</v>
          </cell>
          <cell r="K696">
            <v>715</v>
          </cell>
          <cell r="L696">
            <v>0</v>
          </cell>
          <cell r="M696">
            <v>0</v>
          </cell>
          <cell r="N696">
            <v>0</v>
          </cell>
          <cell r="O696">
            <v>0.6</v>
          </cell>
          <cell r="P696">
            <v>0.8</v>
          </cell>
          <cell r="Q696">
            <v>1.05</v>
          </cell>
          <cell r="R696" t="str">
            <v>INTERIOR</v>
          </cell>
          <cell r="S696">
            <v>5</v>
          </cell>
          <cell r="T696">
            <v>9</v>
          </cell>
          <cell r="U696" t="str">
            <v>Ciudad principal</v>
          </cell>
          <cell r="V696" t="str">
            <v>Entry Mono Printers</v>
          </cell>
          <cell r="W696" t="str">
            <v>CHIHUAHUA</v>
          </cell>
          <cell r="X696">
            <v>2019</v>
          </cell>
          <cell r="Y696" t="str">
            <v>Qtr 2</v>
          </cell>
          <cell r="Z696" t="str">
            <v>April</v>
          </cell>
          <cell r="AA696">
            <v>12</v>
          </cell>
          <cell r="AB696">
            <v>0</v>
          </cell>
          <cell r="AC696">
            <v>66</v>
          </cell>
          <cell r="AD696">
            <v>0</v>
          </cell>
          <cell r="AE696">
            <v>0</v>
          </cell>
          <cell r="AF696">
            <v>715</v>
          </cell>
        </row>
        <row r="697">
          <cell r="B697" t="str">
            <v>03AG879544</v>
          </cell>
          <cell r="C697">
            <v>2019</v>
          </cell>
          <cell r="D697" t="str">
            <v>Qtr 2</v>
          </cell>
          <cell r="E697" t="str">
            <v>April</v>
          </cell>
          <cell r="F697">
            <v>12</v>
          </cell>
          <cell r="G697" t="str">
            <v>CORRECTIVO</v>
          </cell>
          <cell r="H697">
            <v>2.1</v>
          </cell>
          <cell r="I697" t="str">
            <v>Departmental Digital</v>
          </cell>
          <cell r="J697">
            <v>655</v>
          </cell>
          <cell r="K697">
            <v>1365</v>
          </cell>
          <cell r="L697">
            <v>0</v>
          </cell>
          <cell r="M697">
            <v>0</v>
          </cell>
          <cell r="N697">
            <v>0.6</v>
          </cell>
          <cell r="O697">
            <v>0.8</v>
          </cell>
          <cell r="P697">
            <v>1.05</v>
          </cell>
          <cell r="Q697">
            <v>1.1000000000000001</v>
          </cell>
          <cell r="R697" t="str">
            <v>INTERIOR</v>
          </cell>
          <cell r="S697">
            <v>5</v>
          </cell>
          <cell r="T697">
            <v>9</v>
          </cell>
          <cell r="U697" t="str">
            <v>Ciudad principal</v>
          </cell>
          <cell r="V697" t="str">
            <v>Light Production Digital Business</v>
          </cell>
          <cell r="W697" t="str">
            <v>JALISCO</v>
          </cell>
          <cell r="X697">
            <v>2019</v>
          </cell>
          <cell r="Y697" t="str">
            <v>Qtr 2</v>
          </cell>
          <cell r="Z697" t="str">
            <v>April</v>
          </cell>
          <cell r="AA697">
            <v>16</v>
          </cell>
          <cell r="AB697">
            <v>0</v>
          </cell>
          <cell r="AC697">
            <v>17</v>
          </cell>
          <cell r="AD697">
            <v>0.8</v>
          </cell>
          <cell r="AE697">
            <v>0.42</v>
          </cell>
          <cell r="AF697">
            <v>1092</v>
          </cell>
        </row>
        <row r="698">
          <cell r="B698" t="str">
            <v>0BG0972350</v>
          </cell>
          <cell r="C698">
            <v>2019</v>
          </cell>
          <cell r="D698" t="str">
            <v>Qtr 2</v>
          </cell>
          <cell r="E698" t="str">
            <v>April</v>
          </cell>
          <cell r="F698">
            <v>12</v>
          </cell>
          <cell r="G698" t="str">
            <v>CORRECTIVO</v>
          </cell>
          <cell r="H698">
            <v>1.6666669999999999</v>
          </cell>
          <cell r="I698" t="str">
            <v>Light Production Digital Business</v>
          </cell>
          <cell r="J698">
            <v>803</v>
          </cell>
          <cell r="K698">
            <v>1573</v>
          </cell>
          <cell r="L698">
            <v>0.2</v>
          </cell>
          <cell r="M698">
            <v>0.6</v>
          </cell>
          <cell r="N698">
            <v>0.8</v>
          </cell>
          <cell r="O698">
            <v>1.05</v>
          </cell>
          <cell r="P698">
            <v>1.1000000000000001</v>
          </cell>
          <cell r="Q698">
            <v>1.1499999999999999</v>
          </cell>
          <cell r="R698" t="str">
            <v>INTERIOR</v>
          </cell>
          <cell r="S698">
            <v>4</v>
          </cell>
          <cell r="T698">
            <v>6</v>
          </cell>
          <cell r="U698" t="str">
            <v>Ciudad principal</v>
          </cell>
          <cell r="V698" t="str">
            <v>High End Cut Sheet</v>
          </cell>
          <cell r="W698" t="str">
            <v>NUEVO LEON</v>
          </cell>
          <cell r="X698">
            <v>2019</v>
          </cell>
          <cell r="Y698" t="str">
            <v>Qtr 2</v>
          </cell>
          <cell r="Z698" t="str">
            <v>April</v>
          </cell>
          <cell r="AA698">
            <v>12</v>
          </cell>
          <cell r="AB698">
            <v>0</v>
          </cell>
          <cell r="AC698">
            <v>15</v>
          </cell>
          <cell r="AD698">
            <v>0.8</v>
          </cell>
          <cell r="AE698">
            <v>0.41666674999999997</v>
          </cell>
          <cell r="AF698">
            <v>1258.4000000000001</v>
          </cell>
        </row>
        <row r="699">
          <cell r="B699" t="str">
            <v>0Y4X848752</v>
          </cell>
          <cell r="C699">
            <v>2019</v>
          </cell>
          <cell r="D699" t="str">
            <v>Qtr 2</v>
          </cell>
          <cell r="E699" t="str">
            <v>April</v>
          </cell>
          <cell r="F699">
            <v>12</v>
          </cell>
          <cell r="G699" t="str">
            <v>CORRECTIVO</v>
          </cell>
          <cell r="H699">
            <v>0.76666670000000003</v>
          </cell>
          <cell r="I699" t="str">
            <v>Office Digital</v>
          </cell>
          <cell r="J699">
            <v>655</v>
          </cell>
          <cell r="K699">
            <v>1365</v>
          </cell>
          <cell r="L699">
            <v>0</v>
          </cell>
          <cell r="M699">
            <v>0</v>
          </cell>
          <cell r="N699">
            <v>0.6</v>
          </cell>
          <cell r="O699">
            <v>0.8</v>
          </cell>
          <cell r="P699">
            <v>1.05</v>
          </cell>
          <cell r="Q699">
            <v>1.1000000000000001</v>
          </cell>
          <cell r="R699" t="str">
            <v>INTERIOR</v>
          </cell>
          <cell r="S699">
            <v>5</v>
          </cell>
          <cell r="T699">
            <v>9</v>
          </cell>
          <cell r="U699" t="str">
            <v>Ciudad principal</v>
          </cell>
          <cell r="V699" t="str">
            <v>Light Production Digital Business</v>
          </cell>
          <cell r="W699" t="str">
            <v>JALISCO</v>
          </cell>
          <cell r="X699">
            <v>2019</v>
          </cell>
          <cell r="Y699" t="str">
            <v>Qtr 2</v>
          </cell>
          <cell r="Z699" t="str">
            <v>April</v>
          </cell>
          <cell r="AA699">
            <v>12</v>
          </cell>
          <cell r="AB699">
            <v>1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</row>
        <row r="700">
          <cell r="B700" t="str">
            <v>0EX7387236</v>
          </cell>
          <cell r="C700">
            <v>2019</v>
          </cell>
          <cell r="D700" t="str">
            <v>Qtr 2</v>
          </cell>
          <cell r="E700" t="str">
            <v>April</v>
          </cell>
          <cell r="F700">
            <v>12</v>
          </cell>
          <cell r="G700" t="str">
            <v>CORRECTIVO</v>
          </cell>
          <cell r="H700">
            <v>0</v>
          </cell>
          <cell r="I700" t="str">
            <v>Departmental Digital</v>
          </cell>
          <cell r="J700">
            <v>655</v>
          </cell>
          <cell r="K700">
            <v>1365</v>
          </cell>
          <cell r="L700">
            <v>0</v>
          </cell>
          <cell r="M700">
            <v>0</v>
          </cell>
          <cell r="N700">
            <v>0.6</v>
          </cell>
          <cell r="O700">
            <v>0.8</v>
          </cell>
          <cell r="P700">
            <v>1.05</v>
          </cell>
          <cell r="Q700">
            <v>1.1000000000000001</v>
          </cell>
          <cell r="R700" t="str">
            <v>INTERIOR</v>
          </cell>
          <cell r="S700">
            <v>5</v>
          </cell>
          <cell r="T700">
            <v>9</v>
          </cell>
          <cell r="U700" t="str">
            <v>Ciudad principal</v>
          </cell>
          <cell r="V700" t="str">
            <v>Departmental Digital</v>
          </cell>
          <cell r="W700" t="str">
            <v>CHIHUAHUA</v>
          </cell>
          <cell r="X700">
            <v>2019</v>
          </cell>
          <cell r="Y700" t="str">
            <v>Qtr 2</v>
          </cell>
          <cell r="Z700" t="str">
            <v>April</v>
          </cell>
          <cell r="AA700">
            <v>12</v>
          </cell>
          <cell r="AB700">
            <v>0</v>
          </cell>
          <cell r="AC700">
            <v>11</v>
          </cell>
          <cell r="AD700">
            <v>0.6</v>
          </cell>
          <cell r="AE700">
            <v>0</v>
          </cell>
          <cell r="AF700">
            <v>819</v>
          </cell>
        </row>
        <row r="701">
          <cell r="B701" t="str">
            <v>0Y4X831638</v>
          </cell>
          <cell r="C701">
            <v>2019</v>
          </cell>
          <cell r="D701" t="str">
            <v>Qtr 2</v>
          </cell>
          <cell r="E701" t="str">
            <v>April</v>
          </cell>
          <cell r="F701">
            <v>12</v>
          </cell>
          <cell r="G701" t="str">
            <v>CORRECTIVO</v>
          </cell>
          <cell r="H701">
            <v>3.4333330000000002</v>
          </cell>
          <cell r="I701" t="str">
            <v>Departmental Digital</v>
          </cell>
          <cell r="J701">
            <v>655</v>
          </cell>
          <cell r="K701">
            <v>1365</v>
          </cell>
          <cell r="L701">
            <v>0</v>
          </cell>
          <cell r="M701">
            <v>0</v>
          </cell>
          <cell r="N701">
            <v>0.6</v>
          </cell>
          <cell r="O701">
            <v>0.8</v>
          </cell>
          <cell r="P701">
            <v>1.05</v>
          </cell>
          <cell r="Q701">
            <v>1.1000000000000001</v>
          </cell>
          <cell r="R701" t="str">
            <v>INTERIOR</v>
          </cell>
          <cell r="S701">
            <v>5</v>
          </cell>
          <cell r="T701">
            <v>9</v>
          </cell>
          <cell r="U701" t="str">
            <v>Otras</v>
          </cell>
          <cell r="V701" t="str">
            <v>Light Production Digital Business</v>
          </cell>
          <cell r="W701" t="str">
            <v>CHIHUAHUA</v>
          </cell>
          <cell r="X701">
            <v>2019</v>
          </cell>
          <cell r="Y701" t="str">
            <v>Qtr 2</v>
          </cell>
          <cell r="Z701" t="str">
            <v>April</v>
          </cell>
          <cell r="AA701">
            <v>15</v>
          </cell>
          <cell r="AB701">
            <v>0</v>
          </cell>
          <cell r="AC701">
            <v>113</v>
          </cell>
          <cell r="AD701">
            <v>1.1000000000000001</v>
          </cell>
          <cell r="AE701">
            <v>0.38148144444444398</v>
          </cell>
          <cell r="AF701">
            <v>1501.5</v>
          </cell>
        </row>
        <row r="702">
          <cell r="B702" t="str">
            <v>0X76707644</v>
          </cell>
          <cell r="C702">
            <v>2019</v>
          </cell>
          <cell r="D702" t="str">
            <v>Qtr 2</v>
          </cell>
          <cell r="E702" t="str">
            <v>April</v>
          </cell>
          <cell r="F702">
            <v>12</v>
          </cell>
          <cell r="G702" t="str">
            <v>CORRECTIVO</v>
          </cell>
          <cell r="H702">
            <v>0.3333333</v>
          </cell>
          <cell r="I702" t="str">
            <v>Departmental Digital</v>
          </cell>
          <cell r="J702">
            <v>655</v>
          </cell>
          <cell r="K702">
            <v>1365</v>
          </cell>
          <cell r="L702">
            <v>0</v>
          </cell>
          <cell r="M702">
            <v>0</v>
          </cell>
          <cell r="N702">
            <v>0.6</v>
          </cell>
          <cell r="O702">
            <v>0.8</v>
          </cell>
          <cell r="P702">
            <v>1.05</v>
          </cell>
          <cell r="Q702">
            <v>1.1000000000000001</v>
          </cell>
          <cell r="R702" t="str">
            <v>INTERIOR</v>
          </cell>
          <cell r="S702">
            <v>5</v>
          </cell>
          <cell r="T702">
            <v>9</v>
          </cell>
          <cell r="U702" t="str">
            <v>Ciudad principal</v>
          </cell>
          <cell r="V702" t="str">
            <v>Departmental Digital</v>
          </cell>
          <cell r="W702" t="str">
            <v>ESTADO DE MEXICO</v>
          </cell>
          <cell r="X702">
            <v>2019</v>
          </cell>
          <cell r="Y702" t="str">
            <v>Qtr 2</v>
          </cell>
          <cell r="Z702" t="str">
            <v>April</v>
          </cell>
          <cell r="AA702">
            <v>15</v>
          </cell>
          <cell r="AB702">
            <v>0</v>
          </cell>
          <cell r="AC702">
            <v>149</v>
          </cell>
          <cell r="AD702">
            <v>1.1000000000000001</v>
          </cell>
          <cell r="AE702">
            <v>6.6666660000000003E-2</v>
          </cell>
          <cell r="AF702">
            <v>1501.5</v>
          </cell>
        </row>
        <row r="703">
          <cell r="B703" t="str">
            <v>0E2B658304</v>
          </cell>
          <cell r="C703">
            <v>2019</v>
          </cell>
          <cell r="D703" t="str">
            <v>Qtr 2</v>
          </cell>
          <cell r="E703" t="str">
            <v>April</v>
          </cell>
          <cell r="F703">
            <v>12</v>
          </cell>
          <cell r="G703" t="str">
            <v>CORRECTIVO</v>
          </cell>
          <cell r="H703">
            <v>0.4</v>
          </cell>
          <cell r="I703" t="str">
            <v>Entry Production Color Low/Mid</v>
          </cell>
          <cell r="J703">
            <v>803</v>
          </cell>
          <cell r="K703">
            <v>1573</v>
          </cell>
          <cell r="L703">
            <v>0.2</v>
          </cell>
          <cell r="M703">
            <v>0.6</v>
          </cell>
          <cell r="N703">
            <v>0.8</v>
          </cell>
          <cell r="O703">
            <v>1.05</v>
          </cell>
          <cell r="P703">
            <v>1.1000000000000001</v>
          </cell>
          <cell r="Q703">
            <v>1.1499999999999999</v>
          </cell>
          <cell r="R703" t="str">
            <v>INTERIOR</v>
          </cell>
          <cell r="S703">
            <v>4</v>
          </cell>
          <cell r="T703">
            <v>6</v>
          </cell>
          <cell r="U703" t="str">
            <v>Ciudad principal</v>
          </cell>
          <cell r="V703" t="str">
            <v>Entry Production Color Low/Mid</v>
          </cell>
          <cell r="W703" t="str">
            <v>NUEVO LEON</v>
          </cell>
          <cell r="X703">
            <v>2019</v>
          </cell>
          <cell r="Y703" t="str">
            <v>Qtr 2</v>
          </cell>
          <cell r="Z703" t="str">
            <v>April</v>
          </cell>
          <cell r="AA703">
            <v>17</v>
          </cell>
          <cell r="AB703">
            <v>0</v>
          </cell>
          <cell r="AC703">
            <v>10</v>
          </cell>
          <cell r="AD703">
            <v>0.8</v>
          </cell>
          <cell r="AE703">
            <v>0.1</v>
          </cell>
          <cell r="AF703">
            <v>1258.4000000000001</v>
          </cell>
        </row>
        <row r="704">
          <cell r="B704" t="str">
            <v>09HB333642</v>
          </cell>
          <cell r="C704">
            <v>2019</v>
          </cell>
          <cell r="D704" t="str">
            <v>Qtr 2</v>
          </cell>
          <cell r="E704" t="str">
            <v>April</v>
          </cell>
          <cell r="F704">
            <v>12</v>
          </cell>
          <cell r="G704" t="str">
            <v>MANTENIMIENTO PREVENTIVO</v>
          </cell>
          <cell r="H704">
            <v>0</v>
          </cell>
          <cell r="J704" t="str">
            <v>NA</v>
          </cell>
          <cell r="K704" t="str">
            <v>NA</v>
          </cell>
          <cell r="L704" t="str">
            <v>NA</v>
          </cell>
          <cell r="M704" t="str">
            <v>NA</v>
          </cell>
          <cell r="N704" t="str">
            <v>NA</v>
          </cell>
          <cell r="O704" t="str">
            <v>NA</v>
          </cell>
          <cell r="P704" t="str">
            <v>NA</v>
          </cell>
          <cell r="Q704" t="str">
            <v>NA</v>
          </cell>
          <cell r="S704" t="str">
            <v>NA</v>
          </cell>
          <cell r="T704" t="str">
            <v>NA</v>
          </cell>
          <cell r="V704" t="str">
            <v>A4 Mono MFPs</v>
          </cell>
          <cell r="W704" t="str">
            <v>JALISCO</v>
          </cell>
          <cell r="X704">
            <v>2019</v>
          </cell>
          <cell r="Y704" t="str">
            <v>Qtr 2</v>
          </cell>
          <cell r="Z704" t="str">
            <v>April</v>
          </cell>
          <cell r="AA704">
            <v>12</v>
          </cell>
          <cell r="AB704" t="str">
            <v>NA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</row>
        <row r="705">
          <cell r="B705" t="str">
            <v>09HB332064</v>
          </cell>
          <cell r="C705">
            <v>2019</v>
          </cell>
          <cell r="D705" t="str">
            <v>Qtr 2</v>
          </cell>
          <cell r="E705" t="str">
            <v>April</v>
          </cell>
          <cell r="F705">
            <v>12</v>
          </cell>
          <cell r="G705" t="str">
            <v>MANTENIMIENTO PREVENTIVO</v>
          </cell>
          <cell r="H705">
            <v>0</v>
          </cell>
          <cell r="J705" t="str">
            <v>NA</v>
          </cell>
          <cell r="K705" t="str">
            <v>NA</v>
          </cell>
          <cell r="L705" t="str">
            <v>NA</v>
          </cell>
          <cell r="M705" t="str">
            <v>NA</v>
          </cell>
          <cell r="N705" t="str">
            <v>NA</v>
          </cell>
          <cell r="O705" t="str">
            <v>NA</v>
          </cell>
          <cell r="P705" t="str">
            <v>NA</v>
          </cell>
          <cell r="Q705" t="str">
            <v>NA</v>
          </cell>
          <cell r="S705" t="str">
            <v>NA</v>
          </cell>
          <cell r="T705" t="str">
            <v>NA</v>
          </cell>
          <cell r="V705" t="str">
            <v>A4 Mono MFPs</v>
          </cell>
          <cell r="W705" t="str">
            <v>JALISCO</v>
          </cell>
          <cell r="X705">
            <v>2019</v>
          </cell>
          <cell r="Y705" t="str">
            <v>Qtr 2</v>
          </cell>
          <cell r="Z705" t="str">
            <v>April</v>
          </cell>
          <cell r="AA705">
            <v>12</v>
          </cell>
          <cell r="AB705" t="str">
            <v>NA</v>
          </cell>
          <cell r="AC705">
            <v>16</v>
          </cell>
          <cell r="AD705">
            <v>0</v>
          </cell>
          <cell r="AE705">
            <v>0</v>
          </cell>
          <cell r="AF705">
            <v>0</v>
          </cell>
        </row>
        <row r="706">
          <cell r="B706" t="str">
            <v>0BG2951480</v>
          </cell>
          <cell r="C706">
            <v>2019</v>
          </cell>
          <cell r="D706" t="str">
            <v>Qtr 2</v>
          </cell>
          <cell r="E706" t="str">
            <v>April</v>
          </cell>
          <cell r="F706">
            <v>14</v>
          </cell>
          <cell r="G706" t="str">
            <v>CORRECTIVO</v>
          </cell>
          <cell r="H706">
            <v>8.3333340000000006E-2</v>
          </cell>
          <cell r="I706" t="str">
            <v>Light Production Digital Business</v>
          </cell>
          <cell r="J706">
            <v>803</v>
          </cell>
          <cell r="K706">
            <v>1573</v>
          </cell>
          <cell r="L706">
            <v>0.2</v>
          </cell>
          <cell r="M706">
            <v>0.6</v>
          </cell>
          <cell r="N706">
            <v>0.8</v>
          </cell>
          <cell r="O706">
            <v>1.05</v>
          </cell>
          <cell r="P706">
            <v>1.1000000000000001</v>
          </cell>
          <cell r="Q706">
            <v>1.1499999999999999</v>
          </cell>
          <cell r="R706" t="str">
            <v>INTERIOR</v>
          </cell>
          <cell r="S706">
            <v>4</v>
          </cell>
          <cell r="T706">
            <v>6</v>
          </cell>
          <cell r="U706" t="str">
            <v>Ciudad principal</v>
          </cell>
          <cell r="V706" t="str">
            <v>High End Cut Sheet</v>
          </cell>
          <cell r="W706" t="str">
            <v>SAN LUIS POTOSI</v>
          </cell>
          <cell r="X706">
            <v>2019</v>
          </cell>
          <cell r="Y706" t="str">
            <v>Qtr 2</v>
          </cell>
          <cell r="Z706" t="str">
            <v>April</v>
          </cell>
          <cell r="AA706">
            <v>15</v>
          </cell>
          <cell r="AB706">
            <v>0</v>
          </cell>
          <cell r="AC706">
            <v>4</v>
          </cell>
          <cell r="AD706">
            <v>0.6</v>
          </cell>
          <cell r="AE706">
            <v>2.0833335000000001E-2</v>
          </cell>
          <cell r="AF706">
            <v>943.8</v>
          </cell>
        </row>
        <row r="707">
          <cell r="B707" t="str">
            <v>0VGW624391</v>
          </cell>
          <cell r="C707">
            <v>2019</v>
          </cell>
          <cell r="D707" t="str">
            <v>Qtr 2</v>
          </cell>
          <cell r="E707" t="str">
            <v>April</v>
          </cell>
          <cell r="F707">
            <v>14</v>
          </cell>
          <cell r="G707" t="str">
            <v>CORRECTIVO</v>
          </cell>
          <cell r="H707">
            <v>0.25</v>
          </cell>
          <cell r="I707" t="str">
            <v>Entry Production Color Low/Mid</v>
          </cell>
          <cell r="J707">
            <v>803</v>
          </cell>
          <cell r="K707">
            <v>1573</v>
          </cell>
          <cell r="L707">
            <v>0.2</v>
          </cell>
          <cell r="M707">
            <v>0.6</v>
          </cell>
          <cell r="N707">
            <v>0.8</v>
          </cell>
          <cell r="O707">
            <v>1.05</v>
          </cell>
          <cell r="P707">
            <v>1.1000000000000001</v>
          </cell>
          <cell r="Q707">
            <v>1.1499999999999999</v>
          </cell>
          <cell r="R707" t="str">
            <v>INTERIOR</v>
          </cell>
          <cell r="S707">
            <v>4</v>
          </cell>
          <cell r="T707">
            <v>6</v>
          </cell>
          <cell r="U707" t="str">
            <v>Ciudad principal</v>
          </cell>
          <cell r="V707" t="str">
            <v>Entry Production Color Low/Mid</v>
          </cell>
          <cell r="W707" t="str">
            <v>CHIHUAHUA</v>
          </cell>
          <cell r="X707">
            <v>2019</v>
          </cell>
          <cell r="Y707" t="str">
            <v>Qtr 2</v>
          </cell>
          <cell r="Z707" t="str">
            <v>April</v>
          </cell>
          <cell r="AA707">
            <v>17</v>
          </cell>
          <cell r="AB707">
            <v>0</v>
          </cell>
          <cell r="AC707">
            <v>2</v>
          </cell>
          <cell r="AD707">
            <v>0.2</v>
          </cell>
          <cell r="AE707">
            <v>6.25E-2</v>
          </cell>
          <cell r="AF707">
            <v>314.60000000000002</v>
          </cell>
        </row>
        <row r="708">
          <cell r="B708" t="str">
            <v>0MX4465075</v>
          </cell>
          <cell r="C708">
            <v>2019</v>
          </cell>
          <cell r="D708" t="str">
            <v>Qtr 2</v>
          </cell>
          <cell r="E708" t="str">
            <v>April</v>
          </cell>
          <cell r="F708">
            <v>14</v>
          </cell>
          <cell r="G708" t="str">
            <v>CORRECTIVO</v>
          </cell>
          <cell r="H708">
            <v>0.2</v>
          </cell>
          <cell r="J708" t="str">
            <v>NA</v>
          </cell>
          <cell r="K708" t="str">
            <v>NA</v>
          </cell>
          <cell r="L708" t="str">
            <v>NA</v>
          </cell>
          <cell r="M708" t="str">
            <v>NA</v>
          </cell>
          <cell r="N708" t="str">
            <v>NA</v>
          </cell>
          <cell r="O708" t="str">
            <v>NA</v>
          </cell>
          <cell r="P708" t="str">
            <v>NA</v>
          </cell>
          <cell r="Q708" t="str">
            <v>NA</v>
          </cell>
          <cell r="S708" t="str">
            <v>NA</v>
          </cell>
          <cell r="T708" t="str">
            <v>NA</v>
          </cell>
          <cell r="V708" t="str">
            <v>A3 Office Color Laser MFPs</v>
          </cell>
          <cell r="W708" t="str">
            <v>GUANAJUATO</v>
          </cell>
          <cell r="X708">
            <v>2019</v>
          </cell>
          <cell r="Y708" t="str">
            <v>Qtr 2</v>
          </cell>
          <cell r="Z708" t="str">
            <v>April</v>
          </cell>
          <cell r="AA708">
            <v>23</v>
          </cell>
          <cell r="AB708" t="str">
            <v>NA</v>
          </cell>
          <cell r="AC708">
            <v>12</v>
          </cell>
          <cell r="AD708">
            <v>0</v>
          </cell>
          <cell r="AE708">
            <v>0</v>
          </cell>
          <cell r="AF708">
            <v>0</v>
          </cell>
        </row>
        <row r="709">
          <cell r="B709" t="str">
            <v>0XPN548352</v>
          </cell>
          <cell r="C709">
            <v>2019</v>
          </cell>
          <cell r="D709" t="str">
            <v>Qtr 2</v>
          </cell>
          <cell r="E709" t="str">
            <v>April</v>
          </cell>
          <cell r="F709">
            <v>14</v>
          </cell>
          <cell r="G709" t="str">
            <v>CORRECTIVO</v>
          </cell>
          <cell r="H709">
            <v>0.43333329999999998</v>
          </cell>
          <cell r="I709" t="str">
            <v>Entry Production Color Low/Mid</v>
          </cell>
          <cell r="J709">
            <v>803</v>
          </cell>
          <cell r="K709">
            <v>1573</v>
          </cell>
          <cell r="L709">
            <v>0.2</v>
          </cell>
          <cell r="M709">
            <v>0.6</v>
          </cell>
          <cell r="N709">
            <v>0.8</v>
          </cell>
          <cell r="O709">
            <v>1.05</v>
          </cell>
          <cell r="P709">
            <v>1.1000000000000001</v>
          </cell>
          <cell r="Q709">
            <v>1.1499999999999999</v>
          </cell>
          <cell r="R709" t="str">
            <v>INTERIOR</v>
          </cell>
          <cell r="S709">
            <v>4</v>
          </cell>
          <cell r="T709">
            <v>6</v>
          </cell>
          <cell r="U709" t="str">
            <v>Ciudad principal</v>
          </cell>
          <cell r="V709" t="str">
            <v>Entry Production Color Low/Mid</v>
          </cell>
          <cell r="W709" t="str">
            <v>JALISCO</v>
          </cell>
          <cell r="X709">
            <v>2019</v>
          </cell>
          <cell r="Y709" t="str">
            <v>Qtr 2</v>
          </cell>
          <cell r="Z709" t="str">
            <v>April</v>
          </cell>
          <cell r="AA709">
            <v>17</v>
          </cell>
          <cell r="AB709">
            <v>0</v>
          </cell>
          <cell r="AC709">
            <v>25</v>
          </cell>
          <cell r="AD709">
            <v>1.05</v>
          </cell>
          <cell r="AE709">
            <v>0.10833332499999999</v>
          </cell>
          <cell r="AF709">
            <v>1651.65</v>
          </cell>
        </row>
        <row r="710">
          <cell r="B710" t="str">
            <v>0BG2950141</v>
          </cell>
          <cell r="C710">
            <v>2019</v>
          </cell>
          <cell r="D710" t="str">
            <v>Qtr 2</v>
          </cell>
          <cell r="E710" t="str">
            <v>April</v>
          </cell>
          <cell r="F710">
            <v>14</v>
          </cell>
          <cell r="G710" t="str">
            <v>CORRECTIVO</v>
          </cell>
          <cell r="H710">
            <v>0.43333329999999998</v>
          </cell>
          <cell r="I710" t="str">
            <v>Light Production Digital Business</v>
          </cell>
          <cell r="J710">
            <v>803</v>
          </cell>
          <cell r="K710">
            <v>1573</v>
          </cell>
          <cell r="L710">
            <v>0.2</v>
          </cell>
          <cell r="M710">
            <v>0.6</v>
          </cell>
          <cell r="N710">
            <v>0.8</v>
          </cell>
          <cell r="O710">
            <v>1.05</v>
          </cell>
          <cell r="P710">
            <v>1.1000000000000001</v>
          </cell>
          <cell r="Q710">
            <v>1.1499999999999999</v>
          </cell>
          <cell r="R710" t="str">
            <v>INTERIOR</v>
          </cell>
          <cell r="S710">
            <v>4</v>
          </cell>
          <cell r="T710">
            <v>6</v>
          </cell>
          <cell r="U710" t="str">
            <v>Ciudad principal</v>
          </cell>
          <cell r="V710" t="str">
            <v>High End Cut Sheet</v>
          </cell>
          <cell r="W710" t="str">
            <v>JALISCO</v>
          </cell>
          <cell r="X710">
            <v>2019</v>
          </cell>
          <cell r="Y710" t="str">
            <v>Qtr 2</v>
          </cell>
          <cell r="Z710" t="str">
            <v>April</v>
          </cell>
          <cell r="AA710">
            <v>15</v>
          </cell>
          <cell r="AB710">
            <v>0</v>
          </cell>
          <cell r="AC710">
            <v>31</v>
          </cell>
          <cell r="AD710">
            <v>1.1000000000000001</v>
          </cell>
          <cell r="AE710">
            <v>0.10833332499999999</v>
          </cell>
          <cell r="AF710">
            <v>1730.3</v>
          </cell>
        </row>
        <row r="711">
          <cell r="B711" t="str">
            <v>0BG2951638</v>
          </cell>
          <cell r="C711">
            <v>2019</v>
          </cell>
          <cell r="D711" t="str">
            <v>Qtr 2</v>
          </cell>
          <cell r="E711" t="str">
            <v>April</v>
          </cell>
          <cell r="F711">
            <v>14</v>
          </cell>
          <cell r="G711" t="str">
            <v>CORRECTIVO</v>
          </cell>
          <cell r="H711">
            <v>1.5</v>
          </cell>
          <cell r="I711" t="str">
            <v>Light Production Digital Business</v>
          </cell>
          <cell r="J711">
            <v>803</v>
          </cell>
          <cell r="K711">
            <v>1573</v>
          </cell>
          <cell r="L711">
            <v>0.2</v>
          </cell>
          <cell r="M711">
            <v>0.6</v>
          </cell>
          <cell r="N711">
            <v>0.8</v>
          </cell>
          <cell r="O711">
            <v>1.05</v>
          </cell>
          <cell r="P711">
            <v>1.1000000000000001</v>
          </cell>
          <cell r="Q711">
            <v>1.1499999999999999</v>
          </cell>
          <cell r="R711" t="str">
            <v>INTERIOR</v>
          </cell>
          <cell r="S711">
            <v>4</v>
          </cell>
          <cell r="T711">
            <v>6</v>
          </cell>
          <cell r="U711" t="str">
            <v>Ciudad principal</v>
          </cell>
          <cell r="V711" t="str">
            <v>High End Cut Sheet</v>
          </cell>
          <cell r="W711" t="str">
            <v>JALISCO</v>
          </cell>
          <cell r="X711">
            <v>2019</v>
          </cell>
          <cell r="Y711" t="str">
            <v>Qtr 2</v>
          </cell>
          <cell r="Z711" t="str">
            <v>April</v>
          </cell>
          <cell r="AA711">
            <v>15</v>
          </cell>
          <cell r="AB711">
            <v>0</v>
          </cell>
          <cell r="AC711">
            <v>4</v>
          </cell>
          <cell r="AD711">
            <v>0.6</v>
          </cell>
          <cell r="AE711">
            <v>0.375</v>
          </cell>
          <cell r="AF711">
            <v>943.8</v>
          </cell>
        </row>
        <row r="712">
          <cell r="B712" t="str">
            <v>0BG2948799</v>
          </cell>
          <cell r="C712">
            <v>2019</v>
          </cell>
          <cell r="D712" t="str">
            <v>Qtr 2</v>
          </cell>
          <cell r="E712" t="str">
            <v>April</v>
          </cell>
          <cell r="F712">
            <v>14</v>
          </cell>
          <cell r="G712" t="str">
            <v>CORRECTIVO</v>
          </cell>
          <cell r="H712">
            <v>1.1499999999999999</v>
          </cell>
          <cell r="I712" t="str">
            <v>Light Production Digital Business</v>
          </cell>
          <cell r="J712">
            <v>803</v>
          </cell>
          <cell r="K712">
            <v>1573</v>
          </cell>
          <cell r="L712">
            <v>0.2</v>
          </cell>
          <cell r="M712">
            <v>0.6</v>
          </cell>
          <cell r="N712">
            <v>0.8</v>
          </cell>
          <cell r="O712">
            <v>1.05</v>
          </cell>
          <cell r="P712">
            <v>1.1000000000000001</v>
          </cell>
          <cell r="Q712">
            <v>1.1499999999999999</v>
          </cell>
          <cell r="R712" t="str">
            <v>INTERIOR</v>
          </cell>
          <cell r="S712">
            <v>4</v>
          </cell>
          <cell r="T712">
            <v>6</v>
          </cell>
          <cell r="U712" t="str">
            <v>Ciudad principal</v>
          </cell>
          <cell r="V712" t="str">
            <v>High End Cut Sheet</v>
          </cell>
          <cell r="W712" t="str">
            <v>JALISCO</v>
          </cell>
          <cell r="X712">
            <v>2019</v>
          </cell>
          <cell r="Y712" t="str">
            <v>Qtr 2</v>
          </cell>
          <cell r="Z712" t="str">
            <v>April</v>
          </cell>
          <cell r="AA712">
            <v>17</v>
          </cell>
          <cell r="AB712">
            <v>0</v>
          </cell>
          <cell r="AC712">
            <v>30</v>
          </cell>
          <cell r="AD712">
            <v>1.05</v>
          </cell>
          <cell r="AE712">
            <v>0.28749999999999998</v>
          </cell>
          <cell r="AF712">
            <v>1651.65</v>
          </cell>
        </row>
        <row r="713">
          <cell r="B713" t="str">
            <v>0A1H020531</v>
          </cell>
          <cell r="C713">
            <v>2019</v>
          </cell>
          <cell r="D713" t="str">
            <v>Qtr 2</v>
          </cell>
          <cell r="E713" t="str">
            <v>April</v>
          </cell>
          <cell r="F713">
            <v>14</v>
          </cell>
          <cell r="G713" t="str">
            <v>MANTENIMIENTO PREVENTIVO</v>
          </cell>
          <cell r="H713">
            <v>0</v>
          </cell>
          <cell r="I713" t="str">
            <v>WF Mono Systems and Legacy Color</v>
          </cell>
          <cell r="J713">
            <v>803</v>
          </cell>
          <cell r="K713">
            <v>1573</v>
          </cell>
          <cell r="L713">
            <v>0.2</v>
          </cell>
          <cell r="M713">
            <v>0.6</v>
          </cell>
          <cell r="N713">
            <v>0.8</v>
          </cell>
          <cell r="O713">
            <v>1.05</v>
          </cell>
          <cell r="P713">
            <v>1.1000000000000001</v>
          </cell>
          <cell r="Q713">
            <v>1.1499999999999999</v>
          </cell>
          <cell r="R713" t="str">
            <v>INTERIOR</v>
          </cell>
          <cell r="S713">
            <v>4</v>
          </cell>
          <cell r="T713">
            <v>6</v>
          </cell>
          <cell r="U713" t="str">
            <v>Ciudad principal</v>
          </cell>
          <cell r="V713" t="str">
            <v>WF Mono Systems and Legacy Color</v>
          </cell>
          <cell r="W713" t="str">
            <v>TAMAULIPAS</v>
          </cell>
          <cell r="X713">
            <v>2019</v>
          </cell>
          <cell r="Y713" t="str">
            <v>Qtr 2</v>
          </cell>
          <cell r="Z713" t="str">
            <v>April</v>
          </cell>
          <cell r="AA713">
            <v>15</v>
          </cell>
          <cell r="AB713">
            <v>0</v>
          </cell>
          <cell r="AC713">
            <v>398</v>
          </cell>
          <cell r="AD713">
            <v>0</v>
          </cell>
          <cell r="AE713">
            <v>0</v>
          </cell>
          <cell r="AF713">
            <v>1573</v>
          </cell>
        </row>
        <row r="714">
          <cell r="B714" t="str">
            <v>0EX9293168</v>
          </cell>
          <cell r="C714">
            <v>2019</v>
          </cell>
          <cell r="D714" t="str">
            <v>Qtr 2</v>
          </cell>
          <cell r="E714" t="str">
            <v>April</v>
          </cell>
          <cell r="F714">
            <v>15</v>
          </cell>
          <cell r="G714" t="str">
            <v>MANTENIMIENTO PREVENTIVO</v>
          </cell>
          <cell r="H714">
            <v>0</v>
          </cell>
          <cell r="I714" t="str">
            <v>Departmental Digital</v>
          </cell>
          <cell r="J714">
            <v>655</v>
          </cell>
          <cell r="K714">
            <v>1365</v>
          </cell>
          <cell r="L714">
            <v>0</v>
          </cell>
          <cell r="M714">
            <v>0</v>
          </cell>
          <cell r="N714">
            <v>0.6</v>
          </cell>
          <cell r="O714">
            <v>0.8</v>
          </cell>
          <cell r="P714">
            <v>1.05</v>
          </cell>
          <cell r="Q714">
            <v>1.1000000000000001</v>
          </cell>
          <cell r="R714" t="str">
            <v>INTERIOR</v>
          </cell>
          <cell r="S714">
            <v>5</v>
          </cell>
          <cell r="T714">
            <v>9</v>
          </cell>
          <cell r="U714" t="str">
            <v>Ciudad principal</v>
          </cell>
          <cell r="V714" t="str">
            <v>Departmental Digital</v>
          </cell>
          <cell r="W714" t="str">
            <v>GUANAJUATO</v>
          </cell>
          <cell r="X714">
            <v>2019</v>
          </cell>
          <cell r="Y714" t="str">
            <v>Qtr 2</v>
          </cell>
          <cell r="Z714" t="str">
            <v>April</v>
          </cell>
          <cell r="AA714">
            <v>15</v>
          </cell>
          <cell r="AB714">
            <v>0</v>
          </cell>
          <cell r="AC714">
            <v>5</v>
          </cell>
          <cell r="AD714">
            <v>0</v>
          </cell>
          <cell r="AE714">
            <v>0</v>
          </cell>
          <cell r="AF714">
            <v>1365</v>
          </cell>
        </row>
        <row r="715">
          <cell r="B715" t="str">
            <v>0AGE474522</v>
          </cell>
          <cell r="C715">
            <v>2019</v>
          </cell>
          <cell r="D715" t="str">
            <v>Qtr 2</v>
          </cell>
          <cell r="E715" t="str">
            <v>April</v>
          </cell>
          <cell r="F715">
            <v>15</v>
          </cell>
          <cell r="G715" t="str">
            <v>MANTENIMIENTO PREVENTIVO</v>
          </cell>
          <cell r="H715">
            <v>0</v>
          </cell>
          <cell r="I715" t="str">
            <v>WF Mono Systems and Legacy Color</v>
          </cell>
          <cell r="J715">
            <v>803</v>
          </cell>
          <cell r="K715">
            <v>1573</v>
          </cell>
          <cell r="L715">
            <v>0.2</v>
          </cell>
          <cell r="M715">
            <v>0.6</v>
          </cell>
          <cell r="N715">
            <v>0.8</v>
          </cell>
          <cell r="O715">
            <v>1.05</v>
          </cell>
          <cell r="P715">
            <v>1.1000000000000001</v>
          </cell>
          <cell r="Q715">
            <v>1.1499999999999999</v>
          </cell>
          <cell r="R715" t="str">
            <v>INTERIOR</v>
          </cell>
          <cell r="S715">
            <v>4</v>
          </cell>
          <cell r="T715">
            <v>6</v>
          </cell>
          <cell r="U715" t="str">
            <v>Ciudad principal</v>
          </cell>
          <cell r="V715" t="str">
            <v>WF Mono Systems and Legacy Color</v>
          </cell>
          <cell r="W715" t="str">
            <v>TAMAULIPAS</v>
          </cell>
          <cell r="X715">
            <v>2019</v>
          </cell>
          <cell r="Y715" t="str">
            <v>Qtr 2</v>
          </cell>
          <cell r="Z715" t="str">
            <v>April</v>
          </cell>
          <cell r="AA715">
            <v>15</v>
          </cell>
          <cell r="AB715">
            <v>0</v>
          </cell>
          <cell r="AC715">
            <v>11</v>
          </cell>
          <cell r="AD715">
            <v>0</v>
          </cell>
          <cell r="AE715">
            <v>0</v>
          </cell>
          <cell r="AF715">
            <v>1573</v>
          </cell>
        </row>
        <row r="716">
          <cell r="B716" t="str">
            <v>0EX9293386</v>
          </cell>
          <cell r="C716">
            <v>2019</v>
          </cell>
          <cell r="D716" t="str">
            <v>Qtr 2</v>
          </cell>
          <cell r="E716" t="str">
            <v>April</v>
          </cell>
          <cell r="F716">
            <v>15</v>
          </cell>
          <cell r="G716" t="str">
            <v>CORRECTIVO</v>
          </cell>
          <cell r="H716">
            <v>3.75</v>
          </cell>
          <cell r="I716" t="str">
            <v>Departmental Digital</v>
          </cell>
          <cell r="J716">
            <v>655</v>
          </cell>
          <cell r="K716">
            <v>1365</v>
          </cell>
          <cell r="L716">
            <v>0</v>
          </cell>
          <cell r="M716">
            <v>0</v>
          </cell>
          <cell r="N716">
            <v>0.6</v>
          </cell>
          <cell r="O716">
            <v>0.8</v>
          </cell>
          <cell r="P716">
            <v>1.05</v>
          </cell>
          <cell r="Q716">
            <v>1.1000000000000001</v>
          </cell>
          <cell r="R716" t="str">
            <v>INTERIOR</v>
          </cell>
          <cell r="S716">
            <v>5</v>
          </cell>
          <cell r="T716">
            <v>9</v>
          </cell>
          <cell r="U716" t="str">
            <v>Ciudad principal</v>
          </cell>
          <cell r="V716" t="str">
            <v>Departmental Digital</v>
          </cell>
          <cell r="W716" t="str">
            <v>GUANAJUATO</v>
          </cell>
          <cell r="X716">
            <v>2019</v>
          </cell>
          <cell r="Y716" t="str">
            <v>Qtr 2</v>
          </cell>
          <cell r="Z716" t="str">
            <v>April</v>
          </cell>
          <cell r="AA716">
            <v>15</v>
          </cell>
          <cell r="AB716">
            <v>0</v>
          </cell>
          <cell r="AC716">
            <v>17</v>
          </cell>
          <cell r="AD716">
            <v>0.8</v>
          </cell>
          <cell r="AE716">
            <v>0.75</v>
          </cell>
          <cell r="AF716">
            <v>1092</v>
          </cell>
        </row>
        <row r="717">
          <cell r="B717" t="str">
            <v>0EX9293387</v>
          </cell>
          <cell r="C717">
            <v>2019</v>
          </cell>
          <cell r="D717" t="str">
            <v>Qtr 2</v>
          </cell>
          <cell r="E717" t="str">
            <v>April</v>
          </cell>
          <cell r="F717">
            <v>15</v>
          </cell>
          <cell r="G717" t="str">
            <v>CORRECTIVO</v>
          </cell>
          <cell r="H717">
            <v>5.266667</v>
          </cell>
          <cell r="I717" t="str">
            <v>Departmental Digital</v>
          </cell>
          <cell r="J717">
            <v>655</v>
          </cell>
          <cell r="K717">
            <v>1365</v>
          </cell>
          <cell r="L717">
            <v>0</v>
          </cell>
          <cell r="M717">
            <v>0</v>
          </cell>
          <cell r="N717">
            <v>0.6</v>
          </cell>
          <cell r="O717">
            <v>0.8</v>
          </cell>
          <cell r="P717">
            <v>1.05</v>
          </cell>
          <cell r="Q717">
            <v>1.1000000000000001</v>
          </cell>
          <cell r="R717" t="str">
            <v>INTERIOR</v>
          </cell>
          <cell r="S717">
            <v>5</v>
          </cell>
          <cell r="T717">
            <v>9</v>
          </cell>
          <cell r="U717" t="str">
            <v>Ciudad principal</v>
          </cell>
          <cell r="V717" t="str">
            <v>Departmental Digital</v>
          </cell>
          <cell r="W717" t="str">
            <v>GUANAJUATO</v>
          </cell>
          <cell r="X717">
            <v>2019</v>
          </cell>
          <cell r="Y717" t="str">
            <v>Qtr 2</v>
          </cell>
          <cell r="Z717" t="str">
            <v>April</v>
          </cell>
          <cell r="AA717">
            <v>15</v>
          </cell>
          <cell r="AB717">
            <v>0</v>
          </cell>
          <cell r="AC717">
            <v>41</v>
          </cell>
          <cell r="AD717">
            <v>1.05</v>
          </cell>
          <cell r="AE717">
            <v>1.0533334000000001</v>
          </cell>
          <cell r="AF717">
            <v>1415.04997725</v>
          </cell>
        </row>
        <row r="718">
          <cell r="B718" t="str">
            <v>0BG2941143</v>
          </cell>
          <cell r="C718">
            <v>2019</v>
          </cell>
          <cell r="D718" t="str">
            <v>Qtr 2</v>
          </cell>
          <cell r="E718" t="str">
            <v>April</v>
          </cell>
          <cell r="F718">
            <v>15</v>
          </cell>
          <cell r="G718" t="str">
            <v>CORRECTIVO</v>
          </cell>
          <cell r="H718">
            <v>1.0833330000000001</v>
          </cell>
          <cell r="I718" t="str">
            <v>Light Production Digital Business</v>
          </cell>
          <cell r="J718">
            <v>803</v>
          </cell>
          <cell r="K718">
            <v>1573</v>
          </cell>
          <cell r="L718">
            <v>0.2</v>
          </cell>
          <cell r="M718">
            <v>0.6</v>
          </cell>
          <cell r="N718">
            <v>0.8</v>
          </cell>
          <cell r="O718">
            <v>1.05</v>
          </cell>
          <cell r="P718">
            <v>1.1000000000000001</v>
          </cell>
          <cell r="Q718">
            <v>1.1499999999999999</v>
          </cell>
          <cell r="R718" t="str">
            <v>INTERIOR</v>
          </cell>
          <cell r="S718">
            <v>4</v>
          </cell>
          <cell r="T718">
            <v>6</v>
          </cell>
          <cell r="U718" t="str">
            <v>Ciudad principal</v>
          </cell>
          <cell r="V718" t="str">
            <v>High End Cut Sheet</v>
          </cell>
          <cell r="W718" t="str">
            <v>TAMAULIPAS</v>
          </cell>
          <cell r="X718">
            <v>2019</v>
          </cell>
          <cell r="Y718" t="str">
            <v>Qtr 2</v>
          </cell>
          <cell r="Z718" t="str">
            <v>April</v>
          </cell>
          <cell r="AA718">
            <v>17</v>
          </cell>
          <cell r="AB718">
            <v>0</v>
          </cell>
          <cell r="AC718">
            <v>5</v>
          </cell>
          <cell r="AD718">
            <v>0.6</v>
          </cell>
          <cell r="AE718">
            <v>0.27083325000000003</v>
          </cell>
          <cell r="AF718">
            <v>943.8</v>
          </cell>
        </row>
        <row r="719">
          <cell r="B719" t="str">
            <v>0BG0974969</v>
          </cell>
          <cell r="C719">
            <v>2019</v>
          </cell>
          <cell r="D719" t="str">
            <v>Qtr 2</v>
          </cell>
          <cell r="E719" t="str">
            <v>April</v>
          </cell>
          <cell r="F719">
            <v>15</v>
          </cell>
          <cell r="G719" t="str">
            <v>MANTENIMIENTO PREVENTIVO</v>
          </cell>
          <cell r="H719">
            <v>0</v>
          </cell>
          <cell r="I719" t="str">
            <v>Light Production Digital Business</v>
          </cell>
          <cell r="J719">
            <v>803</v>
          </cell>
          <cell r="K719">
            <v>1573</v>
          </cell>
          <cell r="L719">
            <v>0.2</v>
          </cell>
          <cell r="M719">
            <v>0.6</v>
          </cell>
          <cell r="N719">
            <v>0.8</v>
          </cell>
          <cell r="O719">
            <v>1.05</v>
          </cell>
          <cell r="P719">
            <v>1.1000000000000001</v>
          </cell>
          <cell r="Q719">
            <v>1.1499999999999999</v>
          </cell>
          <cell r="R719" t="str">
            <v>INTERIOR</v>
          </cell>
          <cell r="S719">
            <v>4</v>
          </cell>
          <cell r="T719">
            <v>6</v>
          </cell>
          <cell r="U719" t="str">
            <v>Ciudad principal</v>
          </cell>
          <cell r="V719" t="str">
            <v>High End Cut Sheet</v>
          </cell>
          <cell r="W719" t="str">
            <v>JALISCO</v>
          </cell>
          <cell r="X719">
            <v>2019</v>
          </cell>
          <cell r="Y719" t="str">
            <v>Qtr 2</v>
          </cell>
          <cell r="Z719" t="str">
            <v>April</v>
          </cell>
          <cell r="AA719">
            <v>15</v>
          </cell>
          <cell r="AB719">
            <v>1</v>
          </cell>
          <cell r="AC719">
            <v>13</v>
          </cell>
          <cell r="AD719">
            <v>0</v>
          </cell>
          <cell r="AE719">
            <v>0</v>
          </cell>
          <cell r="AF719">
            <v>0</v>
          </cell>
        </row>
        <row r="720">
          <cell r="B720" t="str">
            <v>0E2B646633</v>
          </cell>
          <cell r="C720">
            <v>2019</v>
          </cell>
          <cell r="D720" t="str">
            <v>Qtr 2</v>
          </cell>
          <cell r="E720" t="str">
            <v>April</v>
          </cell>
          <cell r="F720">
            <v>15</v>
          </cell>
          <cell r="G720" t="str">
            <v>CORRECTIVO</v>
          </cell>
          <cell r="H720">
            <v>0.66666669999999995</v>
          </cell>
          <cell r="I720" t="str">
            <v>Entry Production Color Low/Mid</v>
          </cell>
          <cell r="J720">
            <v>803</v>
          </cell>
          <cell r="K720">
            <v>1573</v>
          </cell>
          <cell r="L720">
            <v>0.2</v>
          </cell>
          <cell r="M720">
            <v>0.6</v>
          </cell>
          <cell r="N720">
            <v>0.8</v>
          </cell>
          <cell r="O720">
            <v>1.05</v>
          </cell>
          <cell r="P720">
            <v>1.1000000000000001</v>
          </cell>
          <cell r="Q720">
            <v>1.1499999999999999</v>
          </cell>
          <cell r="R720" t="str">
            <v>INTERIOR</v>
          </cell>
          <cell r="S720">
            <v>4</v>
          </cell>
          <cell r="T720">
            <v>6</v>
          </cell>
          <cell r="U720" t="str">
            <v>Ciudad principal</v>
          </cell>
          <cell r="V720" t="str">
            <v>Entry Production Color Low/Mid</v>
          </cell>
          <cell r="W720" t="str">
            <v>TAMAULIPAS</v>
          </cell>
          <cell r="X720">
            <v>2019</v>
          </cell>
          <cell r="Y720" t="str">
            <v>Qtr 2</v>
          </cell>
          <cell r="Z720" t="str">
            <v>April</v>
          </cell>
          <cell r="AA720">
            <v>17</v>
          </cell>
          <cell r="AB720">
            <v>0</v>
          </cell>
          <cell r="AC720">
            <v>10</v>
          </cell>
          <cell r="AD720">
            <v>0.8</v>
          </cell>
          <cell r="AE720">
            <v>0.16666667499999999</v>
          </cell>
          <cell r="AF720">
            <v>1258.4000000000001</v>
          </cell>
        </row>
        <row r="721">
          <cell r="B721" t="str">
            <v>0BG2947509</v>
          </cell>
          <cell r="C721">
            <v>2019</v>
          </cell>
          <cell r="D721" t="str">
            <v>Qtr 2</v>
          </cell>
          <cell r="E721" t="str">
            <v>April</v>
          </cell>
          <cell r="F721">
            <v>15</v>
          </cell>
          <cell r="G721" t="str">
            <v>CORRECTIVO</v>
          </cell>
          <cell r="H721">
            <v>0.85</v>
          </cell>
          <cell r="I721" t="str">
            <v>Light Production Digital Business</v>
          </cell>
          <cell r="J721">
            <v>803</v>
          </cell>
          <cell r="K721">
            <v>1573</v>
          </cell>
          <cell r="L721">
            <v>0.2</v>
          </cell>
          <cell r="M721">
            <v>0.6</v>
          </cell>
          <cell r="N721">
            <v>0.8</v>
          </cell>
          <cell r="O721">
            <v>1.05</v>
          </cell>
          <cell r="P721">
            <v>1.1000000000000001</v>
          </cell>
          <cell r="Q721">
            <v>1.1499999999999999</v>
          </cell>
          <cell r="R721" t="str">
            <v>INTERIOR</v>
          </cell>
          <cell r="S721">
            <v>4</v>
          </cell>
          <cell r="T721">
            <v>6</v>
          </cell>
          <cell r="U721" t="str">
            <v>Ciudad principal</v>
          </cell>
          <cell r="V721" t="str">
            <v>High End Cut Sheet</v>
          </cell>
          <cell r="W721" t="str">
            <v>JALISCO</v>
          </cell>
          <cell r="X721">
            <v>2019</v>
          </cell>
          <cell r="Y721" t="str">
            <v>Qtr 2</v>
          </cell>
          <cell r="Z721" t="str">
            <v>April</v>
          </cell>
          <cell r="AA721">
            <v>15</v>
          </cell>
          <cell r="AB721">
            <v>0</v>
          </cell>
          <cell r="AC721">
            <v>33</v>
          </cell>
          <cell r="AD721">
            <v>1.1000000000000001</v>
          </cell>
          <cell r="AE721">
            <v>0.21249999999999999</v>
          </cell>
          <cell r="AF721">
            <v>1730.3</v>
          </cell>
        </row>
        <row r="722">
          <cell r="B722" t="str">
            <v>0BG2947147</v>
          </cell>
          <cell r="C722">
            <v>2019</v>
          </cell>
          <cell r="D722" t="str">
            <v>Qtr 2</v>
          </cell>
          <cell r="E722" t="str">
            <v>April</v>
          </cell>
          <cell r="F722">
            <v>15</v>
          </cell>
          <cell r="G722" t="str">
            <v>CORRECTIVO</v>
          </cell>
          <cell r="H722">
            <v>1.1666669999999999</v>
          </cell>
          <cell r="I722" t="str">
            <v>Light Production Digital Business</v>
          </cell>
          <cell r="J722">
            <v>803</v>
          </cell>
          <cell r="K722">
            <v>1573</v>
          </cell>
          <cell r="L722">
            <v>0.2</v>
          </cell>
          <cell r="M722">
            <v>0.6</v>
          </cell>
          <cell r="N722">
            <v>0.8</v>
          </cell>
          <cell r="O722">
            <v>1.05</v>
          </cell>
          <cell r="P722">
            <v>1.1000000000000001</v>
          </cell>
          <cell r="Q722">
            <v>1.1499999999999999</v>
          </cell>
          <cell r="R722" t="str">
            <v>INTERIOR</v>
          </cell>
          <cell r="S722">
            <v>4</v>
          </cell>
          <cell r="T722">
            <v>6</v>
          </cell>
          <cell r="U722" t="str">
            <v>Ciudad principal</v>
          </cell>
          <cell r="V722" t="str">
            <v>High End Cut Sheet</v>
          </cell>
          <cell r="W722" t="str">
            <v>GUANAJUATO</v>
          </cell>
          <cell r="X722">
            <v>2019</v>
          </cell>
          <cell r="Y722" t="str">
            <v>Qtr 2</v>
          </cell>
          <cell r="Z722" t="str">
            <v>April</v>
          </cell>
          <cell r="AA722">
            <v>15</v>
          </cell>
          <cell r="AB722">
            <v>0</v>
          </cell>
          <cell r="AC722">
            <v>82</v>
          </cell>
          <cell r="AD722">
            <v>1.1499999999999999</v>
          </cell>
          <cell r="AE722">
            <v>0.29166674999999997</v>
          </cell>
          <cell r="AF722">
            <v>1808.95</v>
          </cell>
        </row>
        <row r="723">
          <cell r="B723" t="str">
            <v>0C4X011365</v>
          </cell>
          <cell r="C723">
            <v>2019</v>
          </cell>
          <cell r="D723" t="str">
            <v>Qtr 2</v>
          </cell>
          <cell r="E723" t="str">
            <v>April</v>
          </cell>
          <cell r="F723">
            <v>15</v>
          </cell>
          <cell r="G723" t="str">
            <v>CORRECTIVO</v>
          </cell>
          <cell r="H723">
            <v>2.8666670000000001</v>
          </cell>
          <cell r="I723" t="str">
            <v>A4 Mono MFPs</v>
          </cell>
          <cell r="J723">
            <v>468</v>
          </cell>
          <cell r="K723">
            <v>715</v>
          </cell>
          <cell r="L723">
            <v>0</v>
          </cell>
          <cell r="M723">
            <v>0</v>
          </cell>
          <cell r="N723">
            <v>0</v>
          </cell>
          <cell r="O723">
            <v>0.6</v>
          </cell>
          <cell r="P723">
            <v>0.8</v>
          </cell>
          <cell r="Q723">
            <v>1.05</v>
          </cell>
          <cell r="R723" t="str">
            <v>INTERIOR</v>
          </cell>
          <cell r="S723">
            <v>5</v>
          </cell>
          <cell r="T723">
            <v>9</v>
          </cell>
          <cell r="U723" t="str">
            <v>Ciudad principal</v>
          </cell>
          <cell r="V723" t="str">
            <v>A4 Mono MFPs</v>
          </cell>
          <cell r="W723" t="str">
            <v>JALISCO</v>
          </cell>
          <cell r="X723">
            <v>2019</v>
          </cell>
          <cell r="Y723" t="str">
            <v>Qtr 2</v>
          </cell>
          <cell r="Z723" t="str">
            <v>April</v>
          </cell>
          <cell r="AA723">
            <v>16</v>
          </cell>
          <cell r="AB723">
            <v>0</v>
          </cell>
          <cell r="AC723">
            <v>46</v>
          </cell>
          <cell r="AD723">
            <v>0.8</v>
          </cell>
          <cell r="AE723">
            <v>0.57333339999999999</v>
          </cell>
          <cell r="AF723">
            <v>572</v>
          </cell>
        </row>
        <row r="724">
          <cell r="B724" t="str">
            <v>0A1H020600</v>
          </cell>
          <cell r="C724">
            <v>2019</v>
          </cell>
          <cell r="D724" t="str">
            <v>Qtr 2</v>
          </cell>
          <cell r="E724" t="str">
            <v>April</v>
          </cell>
          <cell r="F724">
            <v>15</v>
          </cell>
          <cell r="G724" t="str">
            <v>CORRECTIVO</v>
          </cell>
          <cell r="H724">
            <v>0</v>
          </cell>
          <cell r="I724" t="str">
            <v>WF Mono Systems and Legacy Color</v>
          </cell>
          <cell r="J724">
            <v>803</v>
          </cell>
          <cell r="K724">
            <v>1573</v>
          </cell>
          <cell r="L724">
            <v>0.2</v>
          </cell>
          <cell r="M724">
            <v>0.6</v>
          </cell>
          <cell r="N724">
            <v>0.8</v>
          </cell>
          <cell r="O724">
            <v>1.05</v>
          </cell>
          <cell r="P724">
            <v>1.1000000000000001</v>
          </cell>
          <cell r="Q724">
            <v>1.1499999999999999</v>
          </cell>
          <cell r="R724" t="str">
            <v>INTERIOR</v>
          </cell>
          <cell r="S724">
            <v>4</v>
          </cell>
          <cell r="T724">
            <v>6</v>
          </cell>
          <cell r="U724" t="str">
            <v>Ciudad principal</v>
          </cell>
          <cell r="V724" t="str">
            <v>WF Mono Systems and Legacy Color</v>
          </cell>
          <cell r="W724" t="str">
            <v>GUANAJUATO</v>
          </cell>
          <cell r="X724">
            <v>2019</v>
          </cell>
          <cell r="Y724" t="str">
            <v>Qtr 2</v>
          </cell>
          <cell r="Z724" t="str">
            <v>April</v>
          </cell>
          <cell r="AA724">
            <v>16</v>
          </cell>
          <cell r="AB724">
            <v>0</v>
          </cell>
          <cell r="AC724">
            <v>118</v>
          </cell>
          <cell r="AD724">
            <v>1.1499999999999999</v>
          </cell>
          <cell r="AE724">
            <v>0</v>
          </cell>
          <cell r="AF724">
            <v>1808.95</v>
          </cell>
        </row>
        <row r="725">
          <cell r="B725" t="str">
            <v>0D6X451648</v>
          </cell>
          <cell r="C725">
            <v>2019</v>
          </cell>
          <cell r="D725" t="str">
            <v>Qtr 2</v>
          </cell>
          <cell r="E725" t="str">
            <v>April</v>
          </cell>
          <cell r="F725">
            <v>15</v>
          </cell>
          <cell r="G725" t="str">
            <v>MANTENIMIENTO PREVENTIVO</v>
          </cell>
          <cell r="H725">
            <v>0</v>
          </cell>
          <cell r="I725" t="str">
            <v>Entry Mono Printers</v>
          </cell>
          <cell r="J725">
            <v>468</v>
          </cell>
          <cell r="K725">
            <v>715</v>
          </cell>
          <cell r="L725">
            <v>0</v>
          </cell>
          <cell r="M725">
            <v>0</v>
          </cell>
          <cell r="N725">
            <v>0</v>
          </cell>
          <cell r="O725">
            <v>0.6</v>
          </cell>
          <cell r="P725">
            <v>0.8</v>
          </cell>
          <cell r="Q725">
            <v>1.05</v>
          </cell>
          <cell r="R725" t="str">
            <v>INTERIOR</v>
          </cell>
          <cell r="S725">
            <v>5</v>
          </cell>
          <cell r="T725">
            <v>9</v>
          </cell>
          <cell r="U725" t="str">
            <v>Ciudad principal</v>
          </cell>
          <cell r="V725" t="str">
            <v>Entry Mono Printers</v>
          </cell>
          <cell r="W725" t="str">
            <v>CHIHUAHUA</v>
          </cell>
          <cell r="X725">
            <v>2019</v>
          </cell>
          <cell r="Y725" t="str">
            <v>Qtr 2</v>
          </cell>
          <cell r="Z725" t="str">
            <v>April</v>
          </cell>
          <cell r="AA725">
            <v>15</v>
          </cell>
          <cell r="AB725">
            <v>0</v>
          </cell>
          <cell r="AC725">
            <v>6</v>
          </cell>
          <cell r="AD725">
            <v>0</v>
          </cell>
          <cell r="AE725">
            <v>0</v>
          </cell>
          <cell r="AF725">
            <v>715</v>
          </cell>
        </row>
        <row r="726">
          <cell r="B726" t="str">
            <v>0BG2946876</v>
          </cell>
          <cell r="C726">
            <v>2019</v>
          </cell>
          <cell r="D726" t="str">
            <v>Qtr 2</v>
          </cell>
          <cell r="E726" t="str">
            <v>April</v>
          </cell>
          <cell r="F726">
            <v>15</v>
          </cell>
          <cell r="G726" t="str">
            <v>CORRECTIVO</v>
          </cell>
          <cell r="H726">
            <v>7.6166669999999996</v>
          </cell>
          <cell r="I726" t="str">
            <v>Light Production Digital Business</v>
          </cell>
          <cell r="J726">
            <v>803</v>
          </cell>
          <cell r="K726">
            <v>1573</v>
          </cell>
          <cell r="L726">
            <v>0.2</v>
          </cell>
          <cell r="M726">
            <v>0.6</v>
          </cell>
          <cell r="N726">
            <v>0.8</v>
          </cell>
          <cell r="O726">
            <v>1.05</v>
          </cell>
          <cell r="P726">
            <v>1.1000000000000001</v>
          </cell>
          <cell r="Q726">
            <v>1.1499999999999999</v>
          </cell>
          <cell r="R726" t="str">
            <v>INTERIOR</v>
          </cell>
          <cell r="S726">
            <v>4</v>
          </cell>
          <cell r="T726">
            <v>6</v>
          </cell>
          <cell r="U726" t="str">
            <v>Ciudad principal</v>
          </cell>
          <cell r="V726" t="str">
            <v>High End Cut Sheet</v>
          </cell>
          <cell r="W726" t="str">
            <v>GUANAJUATO</v>
          </cell>
          <cell r="X726">
            <v>2019</v>
          </cell>
          <cell r="Y726" t="str">
            <v>Qtr 2</v>
          </cell>
          <cell r="Z726" t="str">
            <v>April</v>
          </cell>
          <cell r="AA726">
            <v>22</v>
          </cell>
          <cell r="AB726">
            <v>0</v>
          </cell>
          <cell r="AC726">
            <v>4</v>
          </cell>
          <cell r="AD726">
            <v>0.6</v>
          </cell>
          <cell r="AE726">
            <v>1.9041667499999999</v>
          </cell>
          <cell r="AF726">
            <v>588.23642556250002</v>
          </cell>
        </row>
        <row r="727">
          <cell r="B727" t="str">
            <v>0XPN397749</v>
          </cell>
          <cell r="C727">
            <v>2019</v>
          </cell>
          <cell r="D727" t="str">
            <v>Qtr 2</v>
          </cell>
          <cell r="E727" t="str">
            <v>April</v>
          </cell>
          <cell r="F727">
            <v>15</v>
          </cell>
          <cell r="G727" t="str">
            <v>CORRECTIVO</v>
          </cell>
          <cell r="H727">
            <v>1.5833330000000001</v>
          </cell>
          <cell r="I727" t="str">
            <v>Entry Production Color Low/Mid</v>
          </cell>
          <cell r="J727">
            <v>803</v>
          </cell>
          <cell r="K727">
            <v>1573</v>
          </cell>
          <cell r="L727">
            <v>0.2</v>
          </cell>
          <cell r="M727">
            <v>0.6</v>
          </cell>
          <cell r="N727">
            <v>0.8</v>
          </cell>
          <cell r="O727">
            <v>1.05</v>
          </cell>
          <cell r="P727">
            <v>1.1000000000000001</v>
          </cell>
          <cell r="Q727">
            <v>1.1499999999999999</v>
          </cell>
          <cell r="R727" t="str">
            <v>INTERIOR</v>
          </cell>
          <cell r="S727">
            <v>4</v>
          </cell>
          <cell r="T727">
            <v>6</v>
          </cell>
          <cell r="U727" t="str">
            <v>Ciudad principal</v>
          </cell>
          <cell r="V727" t="str">
            <v>Entry Production Color Low/Mid</v>
          </cell>
          <cell r="W727" t="str">
            <v>GUANAJUATO</v>
          </cell>
          <cell r="X727">
            <v>2019</v>
          </cell>
          <cell r="Y727" t="str">
            <v>Qtr 2</v>
          </cell>
          <cell r="Z727" t="str">
            <v>April</v>
          </cell>
          <cell r="AA727">
            <v>16</v>
          </cell>
          <cell r="AB727">
            <v>0</v>
          </cell>
          <cell r="AC727">
            <v>179</v>
          </cell>
          <cell r="AD727">
            <v>1.1499999999999999</v>
          </cell>
          <cell r="AE727">
            <v>0.39583325000000003</v>
          </cell>
          <cell r="AF727">
            <v>1808.95</v>
          </cell>
        </row>
        <row r="728">
          <cell r="B728" t="str">
            <v>09HB916191</v>
          </cell>
          <cell r="C728">
            <v>2019</v>
          </cell>
          <cell r="D728" t="str">
            <v>Qtr 2</v>
          </cell>
          <cell r="E728" t="str">
            <v>April</v>
          </cell>
          <cell r="F728">
            <v>15</v>
          </cell>
          <cell r="G728" t="str">
            <v>CORRECTIVO</v>
          </cell>
          <cell r="H728">
            <v>0.8</v>
          </cell>
          <cell r="I728" t="str">
            <v>A4 Mono MFPs</v>
          </cell>
          <cell r="J728">
            <v>468</v>
          </cell>
          <cell r="K728">
            <v>715</v>
          </cell>
          <cell r="L728">
            <v>0</v>
          </cell>
          <cell r="M728">
            <v>0</v>
          </cell>
          <cell r="N728">
            <v>0</v>
          </cell>
          <cell r="O728">
            <v>0.6</v>
          </cell>
          <cell r="P728">
            <v>0.8</v>
          </cell>
          <cell r="Q728">
            <v>1.05</v>
          </cell>
          <cell r="R728" t="str">
            <v>INTERIOR</v>
          </cell>
          <cell r="S728">
            <v>5</v>
          </cell>
          <cell r="T728">
            <v>9</v>
          </cell>
          <cell r="U728" t="str">
            <v>Ciudad principal</v>
          </cell>
          <cell r="V728" t="str">
            <v>A4 Mono MFPs</v>
          </cell>
          <cell r="W728" t="str">
            <v>CHIHUAHUA</v>
          </cell>
          <cell r="X728">
            <v>2019</v>
          </cell>
          <cell r="Y728" t="str">
            <v>Qtr 2</v>
          </cell>
          <cell r="Z728" t="str">
            <v>April</v>
          </cell>
          <cell r="AA728">
            <v>15</v>
          </cell>
          <cell r="AB728">
            <v>0</v>
          </cell>
          <cell r="AC728">
            <v>26</v>
          </cell>
          <cell r="AD728">
            <v>0.6</v>
          </cell>
          <cell r="AE728">
            <v>0.16</v>
          </cell>
          <cell r="AF728">
            <v>429</v>
          </cell>
        </row>
        <row r="729">
          <cell r="B729" t="str">
            <v>0XLT278481</v>
          </cell>
          <cell r="C729">
            <v>2019</v>
          </cell>
          <cell r="D729" t="str">
            <v>Qtr 2</v>
          </cell>
          <cell r="E729" t="str">
            <v>April</v>
          </cell>
          <cell r="F729">
            <v>15</v>
          </cell>
          <cell r="G729" t="str">
            <v>CORRECTIVO</v>
          </cell>
          <cell r="H729">
            <v>1.266667</v>
          </cell>
          <cell r="I729" t="str">
            <v>Entry Mono Printers</v>
          </cell>
          <cell r="J729">
            <v>468</v>
          </cell>
          <cell r="K729">
            <v>715</v>
          </cell>
          <cell r="L729">
            <v>0</v>
          </cell>
          <cell r="M729">
            <v>0</v>
          </cell>
          <cell r="N729">
            <v>0</v>
          </cell>
          <cell r="O729">
            <v>0.6</v>
          </cell>
          <cell r="P729">
            <v>0.8</v>
          </cell>
          <cell r="Q729">
            <v>1.05</v>
          </cell>
          <cell r="R729" t="str">
            <v>INTERIOR</v>
          </cell>
          <cell r="S729">
            <v>5</v>
          </cell>
          <cell r="T729">
            <v>9</v>
          </cell>
          <cell r="U729" t="str">
            <v>Ciudad principal</v>
          </cell>
          <cell r="V729" t="str">
            <v>Entry Mono Printers</v>
          </cell>
          <cell r="W729" t="str">
            <v>CHIHUAHUA</v>
          </cell>
          <cell r="X729">
            <v>2019</v>
          </cell>
          <cell r="Y729" t="str">
            <v>Qtr 2</v>
          </cell>
          <cell r="Z729" t="str">
            <v>April</v>
          </cell>
          <cell r="AA729">
            <v>16</v>
          </cell>
          <cell r="AB729">
            <v>0</v>
          </cell>
          <cell r="AC729">
            <v>4</v>
          </cell>
          <cell r="AD729">
            <v>0</v>
          </cell>
          <cell r="AE729">
            <v>0.25333339999999999</v>
          </cell>
          <cell r="AF729">
            <v>0</v>
          </cell>
        </row>
        <row r="730">
          <cell r="B730" t="str">
            <v xml:space="preserve"> 09HB914002</v>
          </cell>
          <cell r="C730">
            <v>2019</v>
          </cell>
          <cell r="D730" t="str">
            <v>Qtr 2</v>
          </cell>
          <cell r="E730" t="str">
            <v>April</v>
          </cell>
          <cell r="F730">
            <v>15</v>
          </cell>
          <cell r="G730" t="str">
            <v>CORRECTIVO</v>
          </cell>
          <cell r="H730">
            <v>1.2166669999999999</v>
          </cell>
          <cell r="J730" t="str">
            <v>NA</v>
          </cell>
          <cell r="K730" t="str">
            <v>NA</v>
          </cell>
          <cell r="L730" t="str">
            <v>NA</v>
          </cell>
          <cell r="M730" t="str">
            <v>NA</v>
          </cell>
          <cell r="N730" t="str">
            <v>NA</v>
          </cell>
          <cell r="O730" t="str">
            <v>NA</v>
          </cell>
          <cell r="P730" t="str">
            <v>NA</v>
          </cell>
          <cell r="Q730" t="str">
            <v>NA</v>
          </cell>
          <cell r="S730" t="str">
            <v>NA</v>
          </cell>
          <cell r="T730" t="str">
            <v>NA</v>
          </cell>
          <cell r="V730" t="str">
            <v>A4 Mono MFPs</v>
          </cell>
          <cell r="W730" t="str">
            <v>CHIHUAHUA</v>
          </cell>
          <cell r="X730">
            <v>2019</v>
          </cell>
          <cell r="Y730" t="str">
            <v>Qtr 2</v>
          </cell>
          <cell r="Z730" t="str">
            <v>April</v>
          </cell>
          <cell r="AA730">
            <v>15</v>
          </cell>
          <cell r="AB730" t="str">
            <v>NA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</row>
        <row r="731">
          <cell r="B731" t="str">
            <v>0Y4X846817</v>
          </cell>
          <cell r="C731">
            <v>2019</v>
          </cell>
          <cell r="D731" t="str">
            <v>Qtr 2</v>
          </cell>
          <cell r="E731" t="str">
            <v>April</v>
          </cell>
          <cell r="F731">
            <v>15</v>
          </cell>
          <cell r="G731" t="str">
            <v>MANTENIMIENTO PREVENTIVO</v>
          </cell>
          <cell r="H731">
            <v>0</v>
          </cell>
          <cell r="I731" t="str">
            <v>Office Digital</v>
          </cell>
          <cell r="J731">
            <v>655</v>
          </cell>
          <cell r="K731">
            <v>1365</v>
          </cell>
          <cell r="L731">
            <v>0</v>
          </cell>
          <cell r="M731">
            <v>0</v>
          </cell>
          <cell r="N731">
            <v>0.6</v>
          </cell>
          <cell r="O731">
            <v>0.8</v>
          </cell>
          <cell r="P731">
            <v>1.05</v>
          </cell>
          <cell r="Q731">
            <v>1.1000000000000001</v>
          </cell>
          <cell r="R731" t="str">
            <v>INTERIOR</v>
          </cell>
          <cell r="S731">
            <v>5</v>
          </cell>
          <cell r="T731">
            <v>9</v>
          </cell>
          <cell r="U731" t="str">
            <v>Ciudad principal</v>
          </cell>
          <cell r="V731" t="str">
            <v>Light Production Digital Business</v>
          </cell>
          <cell r="W731" t="str">
            <v>JALISCO</v>
          </cell>
          <cell r="X731">
            <v>2019</v>
          </cell>
          <cell r="Y731" t="str">
            <v>Qtr 2</v>
          </cell>
          <cell r="Z731" t="str">
            <v>April</v>
          </cell>
          <cell r="AA731">
            <v>15</v>
          </cell>
          <cell r="AB731">
            <v>1</v>
          </cell>
          <cell r="AC731">
            <v>6</v>
          </cell>
          <cell r="AD731">
            <v>0</v>
          </cell>
          <cell r="AE731">
            <v>0</v>
          </cell>
          <cell r="AF731">
            <v>0</v>
          </cell>
        </row>
        <row r="732">
          <cell r="B732" t="str">
            <v>09HB331483</v>
          </cell>
          <cell r="C732">
            <v>2019</v>
          </cell>
          <cell r="D732" t="str">
            <v>Qtr 2</v>
          </cell>
          <cell r="E732" t="str">
            <v>April</v>
          </cell>
          <cell r="F732">
            <v>15</v>
          </cell>
          <cell r="G732" t="str">
            <v>MANTENIMIENTO PREVENTIVO</v>
          </cell>
          <cell r="H732">
            <v>0</v>
          </cell>
          <cell r="J732" t="str">
            <v>NA</v>
          </cell>
          <cell r="K732" t="str">
            <v>NA</v>
          </cell>
          <cell r="L732" t="str">
            <v>NA</v>
          </cell>
          <cell r="M732" t="str">
            <v>NA</v>
          </cell>
          <cell r="N732" t="str">
            <v>NA</v>
          </cell>
          <cell r="O732" t="str">
            <v>NA</v>
          </cell>
          <cell r="P732" t="str">
            <v>NA</v>
          </cell>
          <cell r="Q732" t="str">
            <v>NA</v>
          </cell>
          <cell r="S732" t="str">
            <v>NA</v>
          </cell>
          <cell r="T732" t="str">
            <v>NA</v>
          </cell>
          <cell r="V732" t="str">
            <v>A4 Mono MFPs</v>
          </cell>
          <cell r="W732" t="str">
            <v>JALISCO</v>
          </cell>
          <cell r="X732">
            <v>2019</v>
          </cell>
          <cell r="Y732" t="str">
            <v>Qtr 2</v>
          </cell>
          <cell r="Z732" t="str">
            <v>April</v>
          </cell>
          <cell r="AA732">
            <v>15</v>
          </cell>
          <cell r="AB732" t="str">
            <v>NA</v>
          </cell>
          <cell r="AC732">
            <v>88</v>
          </cell>
          <cell r="AD732">
            <v>0</v>
          </cell>
          <cell r="AE732">
            <v>0</v>
          </cell>
          <cell r="AF732">
            <v>0</v>
          </cell>
        </row>
        <row r="733">
          <cell r="B733" t="str">
            <v>0VGW686533</v>
          </cell>
          <cell r="C733">
            <v>2019</v>
          </cell>
          <cell r="D733" t="str">
            <v>Qtr 2</v>
          </cell>
          <cell r="E733" t="str">
            <v>April</v>
          </cell>
          <cell r="F733">
            <v>15</v>
          </cell>
          <cell r="G733" t="str">
            <v>CORRECTIVO</v>
          </cell>
          <cell r="H733">
            <v>0.4</v>
          </cell>
          <cell r="I733" t="str">
            <v>A3 Professional Color Laser MFPs</v>
          </cell>
          <cell r="J733">
            <v>655</v>
          </cell>
          <cell r="K733">
            <v>1365</v>
          </cell>
          <cell r="L733">
            <v>0</v>
          </cell>
          <cell r="M733">
            <v>0</v>
          </cell>
          <cell r="N733">
            <v>0.6</v>
          </cell>
          <cell r="O733">
            <v>0.8</v>
          </cell>
          <cell r="P733">
            <v>1.05</v>
          </cell>
          <cell r="Q733">
            <v>1.1000000000000001</v>
          </cell>
          <cell r="R733" t="str">
            <v>INTERIOR</v>
          </cell>
          <cell r="S733">
            <v>5</v>
          </cell>
          <cell r="T733">
            <v>9</v>
          </cell>
          <cell r="U733" t="str">
            <v>Ciudad principal</v>
          </cell>
          <cell r="V733" t="str">
            <v>Entry Production Color Low/Mid</v>
          </cell>
          <cell r="W733" t="str">
            <v>CHIHUAHUA</v>
          </cell>
          <cell r="X733">
            <v>2019</v>
          </cell>
          <cell r="Y733" t="str">
            <v>Qtr 2</v>
          </cell>
          <cell r="Z733" t="str">
            <v>April</v>
          </cell>
          <cell r="AA733">
            <v>15</v>
          </cell>
          <cell r="AB733">
            <v>0</v>
          </cell>
          <cell r="AC733">
            <v>6</v>
          </cell>
          <cell r="AD733">
            <v>0</v>
          </cell>
          <cell r="AE733">
            <v>0.08</v>
          </cell>
          <cell r="AF733">
            <v>0</v>
          </cell>
        </row>
        <row r="734">
          <cell r="B734" t="str">
            <v>0BG0973607</v>
          </cell>
          <cell r="C734">
            <v>2019</v>
          </cell>
          <cell r="D734" t="str">
            <v>Qtr 2</v>
          </cell>
          <cell r="E734" t="str">
            <v>April</v>
          </cell>
          <cell r="F734">
            <v>15</v>
          </cell>
          <cell r="G734" t="str">
            <v>CORRECTIVO</v>
          </cell>
          <cell r="H734">
            <v>1.433333</v>
          </cell>
          <cell r="I734" t="str">
            <v>Light Production Digital Business</v>
          </cell>
          <cell r="J734">
            <v>803</v>
          </cell>
          <cell r="K734">
            <v>1573</v>
          </cell>
          <cell r="L734">
            <v>0.2</v>
          </cell>
          <cell r="M734">
            <v>0.6</v>
          </cell>
          <cell r="N734">
            <v>0.8</v>
          </cell>
          <cell r="O734">
            <v>1.05</v>
          </cell>
          <cell r="P734">
            <v>1.1000000000000001</v>
          </cell>
          <cell r="Q734">
            <v>1.1499999999999999</v>
          </cell>
          <cell r="R734" t="str">
            <v>INTERIOR</v>
          </cell>
          <cell r="S734">
            <v>4</v>
          </cell>
          <cell r="T734">
            <v>6</v>
          </cell>
          <cell r="U734" t="str">
            <v>Ciudad principal</v>
          </cell>
          <cell r="V734" t="str">
            <v>High End Cut Sheet</v>
          </cell>
          <cell r="W734" t="str">
            <v>ESTADO DE MEXICO</v>
          </cell>
          <cell r="X734">
            <v>2019</v>
          </cell>
          <cell r="Y734" t="str">
            <v>Qtr 2</v>
          </cell>
          <cell r="Z734" t="str">
            <v>April</v>
          </cell>
          <cell r="AA734">
            <v>15</v>
          </cell>
          <cell r="AB734">
            <v>0</v>
          </cell>
          <cell r="AC734">
            <v>26</v>
          </cell>
          <cell r="AD734">
            <v>1.05</v>
          </cell>
          <cell r="AE734">
            <v>0.35833324999999999</v>
          </cell>
          <cell r="AF734">
            <v>1651.65</v>
          </cell>
        </row>
        <row r="735">
          <cell r="B735" t="str">
            <v>0XFN116939</v>
          </cell>
          <cell r="C735">
            <v>2019</v>
          </cell>
          <cell r="D735" t="str">
            <v>Qtr 2</v>
          </cell>
          <cell r="E735" t="str">
            <v>April</v>
          </cell>
          <cell r="F735">
            <v>15</v>
          </cell>
          <cell r="G735" t="str">
            <v>MANTENIMIENTO PREVENTIVO</v>
          </cell>
          <cell r="H735">
            <v>0</v>
          </cell>
          <cell r="I735" t="str">
            <v>Color Solid Ink Printers</v>
          </cell>
          <cell r="J735">
            <v>468</v>
          </cell>
          <cell r="K735">
            <v>715</v>
          </cell>
          <cell r="L735">
            <v>0</v>
          </cell>
          <cell r="M735">
            <v>0</v>
          </cell>
          <cell r="N735">
            <v>0</v>
          </cell>
          <cell r="O735">
            <v>0.6</v>
          </cell>
          <cell r="P735">
            <v>0.8</v>
          </cell>
          <cell r="Q735">
            <v>1.05</v>
          </cell>
          <cell r="R735" t="str">
            <v>INTERIOR</v>
          </cell>
          <cell r="S735">
            <v>5</v>
          </cell>
          <cell r="T735">
            <v>9</v>
          </cell>
          <cell r="U735" t="str">
            <v>Ciudad principal</v>
          </cell>
          <cell r="V735" t="str">
            <v>Color Solid Ink Printers</v>
          </cell>
          <cell r="W735" t="str">
            <v>CHIHUAHUA</v>
          </cell>
          <cell r="X735">
            <v>2019</v>
          </cell>
          <cell r="Y735" t="str">
            <v>Qtr 2</v>
          </cell>
          <cell r="Z735" t="str">
            <v>April</v>
          </cell>
          <cell r="AA735">
            <v>16</v>
          </cell>
          <cell r="AB735">
            <v>0</v>
          </cell>
          <cell r="AC735">
            <v>126</v>
          </cell>
          <cell r="AD735">
            <v>0</v>
          </cell>
          <cell r="AE735">
            <v>0</v>
          </cell>
          <cell r="AF735">
            <v>715</v>
          </cell>
        </row>
        <row r="736">
          <cell r="B736" t="str">
            <v>0X76093349</v>
          </cell>
          <cell r="C736">
            <v>2019</v>
          </cell>
          <cell r="D736" t="str">
            <v>Qtr 2</v>
          </cell>
          <cell r="E736" t="str">
            <v>April</v>
          </cell>
          <cell r="F736">
            <v>15</v>
          </cell>
          <cell r="G736" t="str">
            <v>CORRECTIVO</v>
          </cell>
          <cell r="H736">
            <v>0.61666670000000001</v>
          </cell>
          <cell r="I736" t="str">
            <v>Departmental Digital</v>
          </cell>
          <cell r="J736">
            <v>655</v>
          </cell>
          <cell r="K736">
            <v>1365</v>
          </cell>
          <cell r="L736">
            <v>0</v>
          </cell>
          <cell r="M736">
            <v>0</v>
          </cell>
          <cell r="N736">
            <v>0.6</v>
          </cell>
          <cell r="O736">
            <v>0.8</v>
          </cell>
          <cell r="P736">
            <v>1.05</v>
          </cell>
          <cell r="Q736">
            <v>1.1000000000000001</v>
          </cell>
          <cell r="R736" t="str">
            <v>INTERIOR</v>
          </cell>
          <cell r="S736">
            <v>5</v>
          </cell>
          <cell r="T736">
            <v>9</v>
          </cell>
          <cell r="U736" t="str">
            <v>Ciudad principal</v>
          </cell>
          <cell r="V736" t="str">
            <v>Departmental Digital</v>
          </cell>
          <cell r="W736" t="str">
            <v>TAMAULIPAS</v>
          </cell>
          <cell r="X736">
            <v>2019</v>
          </cell>
          <cell r="Y736" t="str">
            <v>Qtr 2</v>
          </cell>
          <cell r="Z736" t="str">
            <v>April</v>
          </cell>
          <cell r="AA736">
            <v>17</v>
          </cell>
          <cell r="AB736">
            <v>0</v>
          </cell>
          <cell r="AC736">
            <v>63</v>
          </cell>
          <cell r="AD736">
            <v>1.1000000000000001</v>
          </cell>
          <cell r="AE736">
            <v>0.12333334</v>
          </cell>
          <cell r="AF736">
            <v>1501.5</v>
          </cell>
        </row>
        <row r="737">
          <cell r="B737" t="str">
            <v>0EX9293159</v>
          </cell>
          <cell r="C737">
            <v>2019</v>
          </cell>
          <cell r="D737" t="str">
            <v>Qtr 2</v>
          </cell>
          <cell r="E737" t="str">
            <v>April</v>
          </cell>
          <cell r="F737">
            <v>15</v>
          </cell>
          <cell r="G737" t="str">
            <v>CORRECTIVO</v>
          </cell>
          <cell r="H737">
            <v>2.9</v>
          </cell>
          <cell r="I737" t="str">
            <v>Departmental Digital</v>
          </cell>
          <cell r="J737">
            <v>655</v>
          </cell>
          <cell r="K737">
            <v>1365</v>
          </cell>
          <cell r="L737">
            <v>0</v>
          </cell>
          <cell r="M737">
            <v>0</v>
          </cell>
          <cell r="N737">
            <v>0.6</v>
          </cell>
          <cell r="O737">
            <v>0.8</v>
          </cell>
          <cell r="P737">
            <v>1.05</v>
          </cell>
          <cell r="Q737">
            <v>1.1000000000000001</v>
          </cell>
          <cell r="R737" t="str">
            <v>INTERIOR</v>
          </cell>
          <cell r="S737">
            <v>5</v>
          </cell>
          <cell r="T737">
            <v>9</v>
          </cell>
          <cell r="U737" t="str">
            <v>Ciudad principal</v>
          </cell>
          <cell r="V737" t="str">
            <v>Departmental Digital</v>
          </cell>
          <cell r="W737" t="str">
            <v>GUANAJUATO</v>
          </cell>
          <cell r="X737">
            <v>2019</v>
          </cell>
          <cell r="Y737" t="str">
            <v>Qtr 2</v>
          </cell>
          <cell r="Z737" t="str">
            <v>April</v>
          </cell>
          <cell r="AA737">
            <v>15</v>
          </cell>
          <cell r="AB737">
            <v>0</v>
          </cell>
          <cell r="AC737">
            <v>11</v>
          </cell>
          <cell r="AD737">
            <v>0.6</v>
          </cell>
          <cell r="AE737">
            <v>0.57999999999999996</v>
          </cell>
          <cell r="AF737">
            <v>819</v>
          </cell>
        </row>
        <row r="738">
          <cell r="B738" t="str">
            <v>0Y4X848035</v>
          </cell>
          <cell r="C738">
            <v>2019</v>
          </cell>
          <cell r="D738" t="str">
            <v>Qtr 2</v>
          </cell>
          <cell r="E738" t="str">
            <v>April</v>
          </cell>
          <cell r="F738">
            <v>15</v>
          </cell>
          <cell r="G738" t="str">
            <v>MANTENIMIENTO PREVENTIVO</v>
          </cell>
          <cell r="H738">
            <v>0</v>
          </cell>
          <cell r="I738" t="str">
            <v>Office Digital</v>
          </cell>
          <cell r="J738">
            <v>655</v>
          </cell>
          <cell r="K738">
            <v>1365</v>
          </cell>
          <cell r="L738">
            <v>0</v>
          </cell>
          <cell r="M738">
            <v>0</v>
          </cell>
          <cell r="N738">
            <v>0.6</v>
          </cell>
          <cell r="O738">
            <v>0.8</v>
          </cell>
          <cell r="P738">
            <v>1.05</v>
          </cell>
          <cell r="Q738">
            <v>1.1000000000000001</v>
          </cell>
          <cell r="R738" t="str">
            <v>INTERIOR</v>
          </cell>
          <cell r="S738">
            <v>5</v>
          </cell>
          <cell r="T738">
            <v>9</v>
          </cell>
          <cell r="U738" t="str">
            <v>Ciudad principal</v>
          </cell>
          <cell r="V738" t="str">
            <v>Light Production Digital Business</v>
          </cell>
          <cell r="W738" t="str">
            <v>JALISCO</v>
          </cell>
          <cell r="X738">
            <v>2019</v>
          </cell>
          <cell r="Y738" t="str">
            <v>Qtr 2</v>
          </cell>
          <cell r="Z738" t="str">
            <v>April</v>
          </cell>
          <cell r="AA738">
            <v>15</v>
          </cell>
          <cell r="AB738">
            <v>1</v>
          </cell>
          <cell r="AC738">
            <v>27</v>
          </cell>
          <cell r="AD738">
            <v>0</v>
          </cell>
          <cell r="AE738">
            <v>0</v>
          </cell>
          <cell r="AF738">
            <v>0</v>
          </cell>
        </row>
        <row r="739">
          <cell r="B739" t="str">
            <v>0A1H022210</v>
          </cell>
          <cell r="C739">
            <v>2019</v>
          </cell>
          <cell r="D739" t="str">
            <v>Qtr 2</v>
          </cell>
          <cell r="E739" t="str">
            <v>April</v>
          </cell>
          <cell r="F739">
            <v>15</v>
          </cell>
          <cell r="G739" t="str">
            <v>CORRECTIVO</v>
          </cell>
          <cell r="H739">
            <v>1.183333</v>
          </cell>
          <cell r="I739" t="str">
            <v>WF Mono Systems and Legacy Color</v>
          </cell>
          <cell r="J739">
            <v>803</v>
          </cell>
          <cell r="K739">
            <v>1573</v>
          </cell>
          <cell r="L739">
            <v>0.2</v>
          </cell>
          <cell r="M739">
            <v>0.6</v>
          </cell>
          <cell r="N739">
            <v>0.8</v>
          </cell>
          <cell r="O739">
            <v>1.05</v>
          </cell>
          <cell r="P739">
            <v>1.1000000000000001</v>
          </cell>
          <cell r="Q739">
            <v>1.1499999999999999</v>
          </cell>
          <cell r="R739" t="str">
            <v>INTERIOR</v>
          </cell>
          <cell r="S739">
            <v>4</v>
          </cell>
          <cell r="T739">
            <v>6</v>
          </cell>
          <cell r="U739" t="str">
            <v>Ciudad principal</v>
          </cell>
          <cell r="V739" t="str">
            <v>WF Mono Systems and Legacy Color</v>
          </cell>
          <cell r="W739" t="str">
            <v>JALISCO</v>
          </cell>
          <cell r="X739">
            <v>2019</v>
          </cell>
          <cell r="Y739" t="str">
            <v>Qtr 2</v>
          </cell>
          <cell r="Z739" t="str">
            <v>April</v>
          </cell>
          <cell r="AA739">
            <v>15</v>
          </cell>
          <cell r="AB739">
            <v>0</v>
          </cell>
          <cell r="AC739">
            <v>248</v>
          </cell>
          <cell r="AD739">
            <v>1.1499999999999999</v>
          </cell>
          <cell r="AE739">
            <v>0.29583324999999999</v>
          </cell>
          <cell r="AF739">
            <v>1808.95</v>
          </cell>
        </row>
        <row r="740">
          <cell r="B740" t="str">
            <v>0BG2943221</v>
          </cell>
          <cell r="C740">
            <v>2019</v>
          </cell>
          <cell r="D740" t="str">
            <v>Qtr 2</v>
          </cell>
          <cell r="E740" t="str">
            <v>April</v>
          </cell>
          <cell r="F740">
            <v>15</v>
          </cell>
          <cell r="G740" t="str">
            <v>CORRECTIVO</v>
          </cell>
          <cell r="H740">
            <v>0.98333329999999997</v>
          </cell>
          <cell r="I740" t="str">
            <v>Light Production Digital Business</v>
          </cell>
          <cell r="J740">
            <v>803</v>
          </cell>
          <cell r="K740">
            <v>1573</v>
          </cell>
          <cell r="L740">
            <v>0.2</v>
          </cell>
          <cell r="M740">
            <v>0.6</v>
          </cell>
          <cell r="N740">
            <v>0.8</v>
          </cell>
          <cell r="O740">
            <v>1.05</v>
          </cell>
          <cell r="P740">
            <v>1.1000000000000001</v>
          </cell>
          <cell r="Q740">
            <v>1.1499999999999999</v>
          </cell>
          <cell r="R740" t="str">
            <v>INTERIOR</v>
          </cell>
          <cell r="S740">
            <v>4</v>
          </cell>
          <cell r="T740">
            <v>6</v>
          </cell>
          <cell r="U740" t="str">
            <v>Ciudad principal</v>
          </cell>
          <cell r="V740" t="str">
            <v>High End Cut Sheet</v>
          </cell>
          <cell r="W740" t="str">
            <v>ESTADO DE MEXICO</v>
          </cell>
          <cell r="X740">
            <v>2019</v>
          </cell>
          <cell r="Y740" t="str">
            <v>Qtr 2</v>
          </cell>
          <cell r="Z740" t="str">
            <v>April</v>
          </cell>
          <cell r="AA740">
            <v>15</v>
          </cell>
          <cell r="AB740">
            <v>0</v>
          </cell>
          <cell r="AC740">
            <v>7</v>
          </cell>
          <cell r="AD740">
            <v>0.8</v>
          </cell>
          <cell r="AE740">
            <v>0.24583332499999999</v>
          </cell>
          <cell r="AF740">
            <v>1258.4000000000001</v>
          </cell>
        </row>
        <row r="741">
          <cell r="B741" t="str">
            <v>0AE9551066</v>
          </cell>
          <cell r="C741">
            <v>2019</v>
          </cell>
          <cell r="D741" t="str">
            <v>Qtr 2</v>
          </cell>
          <cell r="E741" t="str">
            <v>April</v>
          </cell>
          <cell r="F741">
            <v>15</v>
          </cell>
          <cell r="G741" t="str">
            <v>CORRECTIVO</v>
          </cell>
          <cell r="H741">
            <v>0.1666667</v>
          </cell>
          <cell r="I741" t="str">
            <v>Office Digital</v>
          </cell>
          <cell r="J741">
            <v>655</v>
          </cell>
          <cell r="K741">
            <v>1365</v>
          </cell>
          <cell r="L741">
            <v>0</v>
          </cell>
          <cell r="M741">
            <v>0</v>
          </cell>
          <cell r="N741">
            <v>0.6</v>
          </cell>
          <cell r="O741">
            <v>0.8</v>
          </cell>
          <cell r="P741">
            <v>1.05</v>
          </cell>
          <cell r="Q741">
            <v>1.1000000000000001</v>
          </cell>
          <cell r="R741" t="str">
            <v>INTERIOR</v>
          </cell>
          <cell r="S741">
            <v>5</v>
          </cell>
          <cell r="T741">
            <v>9</v>
          </cell>
          <cell r="U741" t="str">
            <v>Ciudad principal</v>
          </cell>
          <cell r="V741" t="str">
            <v>Departmental Digital</v>
          </cell>
          <cell r="W741" t="str">
            <v>ESTADO DE MEXICO</v>
          </cell>
          <cell r="X741">
            <v>2019</v>
          </cell>
          <cell r="Y741" t="str">
            <v>Qtr 2</v>
          </cell>
          <cell r="Z741" t="str">
            <v>April</v>
          </cell>
          <cell r="AA741">
            <v>16</v>
          </cell>
          <cell r="AB741">
            <v>1</v>
          </cell>
          <cell r="AC741">
            <v>40</v>
          </cell>
          <cell r="AD741">
            <v>0</v>
          </cell>
          <cell r="AE741">
            <v>0</v>
          </cell>
          <cell r="AF741">
            <v>0</v>
          </cell>
        </row>
        <row r="742">
          <cell r="B742" t="str">
            <v>03AG880297</v>
          </cell>
          <cell r="C742">
            <v>2019</v>
          </cell>
          <cell r="D742" t="str">
            <v>Qtr 2</v>
          </cell>
          <cell r="E742" t="str">
            <v>April</v>
          </cell>
          <cell r="F742">
            <v>15</v>
          </cell>
          <cell r="G742" t="str">
            <v>CORRECTIVO</v>
          </cell>
          <cell r="H742">
            <v>2.5833330000000001</v>
          </cell>
          <cell r="I742" t="str">
            <v>Departmental Digital</v>
          </cell>
          <cell r="J742">
            <v>655</v>
          </cell>
          <cell r="K742">
            <v>1365</v>
          </cell>
          <cell r="L742">
            <v>0</v>
          </cell>
          <cell r="M742">
            <v>0</v>
          </cell>
          <cell r="N742">
            <v>0.6</v>
          </cell>
          <cell r="O742">
            <v>0.8</v>
          </cell>
          <cell r="P742">
            <v>1.05</v>
          </cell>
          <cell r="Q742">
            <v>1.1000000000000001</v>
          </cell>
          <cell r="R742" t="str">
            <v>INTERIOR</v>
          </cell>
          <cell r="S742">
            <v>5</v>
          </cell>
          <cell r="T742">
            <v>9</v>
          </cell>
          <cell r="U742" t="str">
            <v>Ciudad principal</v>
          </cell>
          <cell r="V742" t="str">
            <v>Light Production Digital Business</v>
          </cell>
          <cell r="W742" t="str">
            <v>JALISCO</v>
          </cell>
          <cell r="X742">
            <v>2019</v>
          </cell>
          <cell r="Y742" t="str">
            <v>Qtr 2</v>
          </cell>
          <cell r="Z742" t="str">
            <v>April</v>
          </cell>
          <cell r="AA742">
            <v>18</v>
          </cell>
          <cell r="AB742">
            <v>0</v>
          </cell>
          <cell r="AC742">
            <v>41</v>
          </cell>
          <cell r="AD742">
            <v>1.05</v>
          </cell>
          <cell r="AE742">
            <v>0.51666659999999998</v>
          </cell>
          <cell r="AF742">
            <v>1433.25</v>
          </cell>
        </row>
        <row r="743">
          <cell r="B743" t="str">
            <v>09HB333253</v>
          </cell>
          <cell r="C743">
            <v>2019</v>
          </cell>
          <cell r="D743" t="str">
            <v>Qtr 2</v>
          </cell>
          <cell r="E743" t="str">
            <v>April</v>
          </cell>
          <cell r="F743">
            <v>15</v>
          </cell>
          <cell r="G743" t="str">
            <v>CORRECTIVO</v>
          </cell>
          <cell r="H743">
            <v>2.766667</v>
          </cell>
          <cell r="I743" t="str">
            <v>A4 Mono MFPs</v>
          </cell>
          <cell r="J743">
            <v>468</v>
          </cell>
          <cell r="K743">
            <v>715</v>
          </cell>
          <cell r="L743">
            <v>0</v>
          </cell>
          <cell r="M743">
            <v>0</v>
          </cell>
          <cell r="N743">
            <v>0</v>
          </cell>
          <cell r="O743">
            <v>0.6</v>
          </cell>
          <cell r="P743">
            <v>0.8</v>
          </cell>
          <cell r="Q743">
            <v>1.05</v>
          </cell>
          <cell r="R743" t="str">
            <v>INTERIOR</v>
          </cell>
          <cell r="S743">
            <v>5</v>
          </cell>
          <cell r="T743">
            <v>9</v>
          </cell>
          <cell r="U743" t="str">
            <v>Ciudad principal</v>
          </cell>
          <cell r="V743" t="str">
            <v>A4 Mono MFPs</v>
          </cell>
          <cell r="W743" t="str">
            <v>QUERETARO</v>
          </cell>
          <cell r="X743">
            <v>2019</v>
          </cell>
          <cell r="Y743" t="str">
            <v>Qtr 2</v>
          </cell>
          <cell r="Z743" t="str">
            <v>April</v>
          </cell>
          <cell r="AA743">
            <v>17</v>
          </cell>
          <cell r="AB743">
            <v>0</v>
          </cell>
          <cell r="AC743">
            <v>19</v>
          </cell>
          <cell r="AD743">
            <v>0.6</v>
          </cell>
          <cell r="AE743">
            <v>0.55333339999999998</v>
          </cell>
          <cell r="AF743">
            <v>429</v>
          </cell>
        </row>
        <row r="744">
          <cell r="B744" t="str">
            <v>09HB331352</v>
          </cell>
          <cell r="C744">
            <v>2019</v>
          </cell>
          <cell r="D744" t="str">
            <v>Qtr 2</v>
          </cell>
          <cell r="E744" t="str">
            <v>April</v>
          </cell>
          <cell r="F744">
            <v>15</v>
          </cell>
          <cell r="G744" t="str">
            <v>CORRECTIVO</v>
          </cell>
          <cell r="H744">
            <v>1.3833329999999999</v>
          </cell>
          <cell r="J744" t="str">
            <v>NA</v>
          </cell>
          <cell r="K744" t="str">
            <v>NA</v>
          </cell>
          <cell r="L744" t="str">
            <v>NA</v>
          </cell>
          <cell r="M744" t="str">
            <v>NA</v>
          </cell>
          <cell r="N744" t="str">
            <v>NA</v>
          </cell>
          <cell r="O744" t="str">
            <v>NA</v>
          </cell>
          <cell r="P744" t="str">
            <v>NA</v>
          </cell>
          <cell r="Q744" t="str">
            <v>NA</v>
          </cell>
          <cell r="S744" t="str">
            <v>NA</v>
          </cell>
          <cell r="T744" t="str">
            <v>NA</v>
          </cell>
          <cell r="V744" t="str">
            <v>A4 Mono MFPs</v>
          </cell>
          <cell r="W744" t="str">
            <v>ESTADO DE MEXICO</v>
          </cell>
          <cell r="X744">
            <v>2019</v>
          </cell>
          <cell r="Y744" t="str">
            <v>Qtr 2</v>
          </cell>
          <cell r="Z744" t="str">
            <v>April</v>
          </cell>
          <cell r="AA744">
            <v>15</v>
          </cell>
          <cell r="AB744" t="str">
            <v>NA</v>
          </cell>
          <cell r="AC744">
            <v>33</v>
          </cell>
          <cell r="AD744">
            <v>0</v>
          </cell>
          <cell r="AE744">
            <v>0</v>
          </cell>
          <cell r="AF744">
            <v>0</v>
          </cell>
        </row>
        <row r="745">
          <cell r="B745" t="str">
            <v>09HB331484</v>
          </cell>
          <cell r="C745">
            <v>2019</v>
          </cell>
          <cell r="D745" t="str">
            <v>Qtr 2</v>
          </cell>
          <cell r="E745" t="str">
            <v>April</v>
          </cell>
          <cell r="F745">
            <v>15</v>
          </cell>
          <cell r="G745" t="str">
            <v>MANTENIMIENTO PREVENTIVO</v>
          </cell>
          <cell r="H745">
            <v>0</v>
          </cell>
          <cell r="J745" t="str">
            <v>NA</v>
          </cell>
          <cell r="K745" t="str">
            <v>NA</v>
          </cell>
          <cell r="L745" t="str">
            <v>NA</v>
          </cell>
          <cell r="M745" t="str">
            <v>NA</v>
          </cell>
          <cell r="N745" t="str">
            <v>NA</v>
          </cell>
          <cell r="O745" t="str">
            <v>NA</v>
          </cell>
          <cell r="P745" t="str">
            <v>NA</v>
          </cell>
          <cell r="Q745" t="str">
            <v>NA</v>
          </cell>
          <cell r="S745" t="str">
            <v>NA</v>
          </cell>
          <cell r="T745" t="str">
            <v>NA</v>
          </cell>
          <cell r="V745" t="str">
            <v>A4 Mono MFPs</v>
          </cell>
          <cell r="W745" t="str">
            <v>JALISCO</v>
          </cell>
          <cell r="X745">
            <v>2019</v>
          </cell>
          <cell r="Y745" t="str">
            <v>Qtr 2</v>
          </cell>
          <cell r="Z745" t="str">
            <v>April</v>
          </cell>
          <cell r="AA745">
            <v>15</v>
          </cell>
          <cell r="AB745" t="str">
            <v>NA</v>
          </cell>
          <cell r="AC745">
            <v>54</v>
          </cell>
          <cell r="AD745">
            <v>0</v>
          </cell>
          <cell r="AE745">
            <v>0</v>
          </cell>
          <cell r="AF745">
            <v>0</v>
          </cell>
        </row>
        <row r="746">
          <cell r="B746" t="str">
            <v>0D6X463381</v>
          </cell>
          <cell r="C746">
            <v>2019</v>
          </cell>
          <cell r="D746" t="str">
            <v>Qtr 2</v>
          </cell>
          <cell r="E746" t="str">
            <v>April</v>
          </cell>
          <cell r="F746">
            <v>15</v>
          </cell>
          <cell r="G746" t="str">
            <v>CORRECTIVO</v>
          </cell>
          <cell r="H746">
            <v>1.4</v>
          </cell>
          <cell r="I746" t="str">
            <v>Entry Mono Printers</v>
          </cell>
          <cell r="J746">
            <v>468</v>
          </cell>
          <cell r="K746">
            <v>715</v>
          </cell>
          <cell r="L746">
            <v>0</v>
          </cell>
          <cell r="M746">
            <v>0</v>
          </cell>
          <cell r="N746">
            <v>0</v>
          </cell>
          <cell r="O746">
            <v>0.6</v>
          </cell>
          <cell r="P746">
            <v>0.8</v>
          </cell>
          <cell r="Q746">
            <v>1.05</v>
          </cell>
          <cell r="R746" t="str">
            <v>INTERIOR</v>
          </cell>
          <cell r="S746">
            <v>5</v>
          </cell>
          <cell r="T746">
            <v>9</v>
          </cell>
          <cell r="U746" t="str">
            <v>Otras</v>
          </cell>
          <cell r="V746" t="str">
            <v>Entry Mono Printers</v>
          </cell>
          <cell r="W746" t="str">
            <v>NUEVO LEON</v>
          </cell>
          <cell r="X746">
            <v>2019</v>
          </cell>
          <cell r="Y746" t="str">
            <v>Qtr 2</v>
          </cell>
          <cell r="Z746" t="str">
            <v>April</v>
          </cell>
          <cell r="AA746">
            <v>15</v>
          </cell>
          <cell r="AB746">
            <v>0</v>
          </cell>
          <cell r="AC746">
            <v>62</v>
          </cell>
          <cell r="AD746">
            <v>1.05</v>
          </cell>
          <cell r="AE746">
            <v>0.155555555555556</v>
          </cell>
          <cell r="AF746">
            <v>750.75</v>
          </cell>
        </row>
        <row r="747">
          <cell r="B747" t="str">
            <v>09HB331571</v>
          </cell>
          <cell r="C747">
            <v>2019</v>
          </cell>
          <cell r="D747" t="str">
            <v>Qtr 2</v>
          </cell>
          <cell r="E747" t="str">
            <v>April</v>
          </cell>
          <cell r="F747">
            <v>15</v>
          </cell>
          <cell r="G747" t="str">
            <v>MANTENIMIENTO PREVENTIVO</v>
          </cell>
          <cell r="H747">
            <v>0</v>
          </cell>
          <cell r="I747" t="str">
            <v>A4 Mono MFPs</v>
          </cell>
          <cell r="J747">
            <v>468</v>
          </cell>
          <cell r="K747">
            <v>715</v>
          </cell>
          <cell r="L747">
            <v>0</v>
          </cell>
          <cell r="M747">
            <v>0</v>
          </cell>
          <cell r="N747">
            <v>0</v>
          </cell>
          <cell r="O747">
            <v>0.6</v>
          </cell>
          <cell r="P747">
            <v>0.8</v>
          </cell>
          <cell r="Q747">
            <v>1.05</v>
          </cell>
          <cell r="R747" t="str">
            <v>INTERIOR</v>
          </cell>
          <cell r="S747">
            <v>5</v>
          </cell>
          <cell r="T747">
            <v>9</v>
          </cell>
          <cell r="U747" t="str">
            <v>Ciudad principal</v>
          </cell>
          <cell r="V747" t="str">
            <v>A4 Mono MFPs</v>
          </cell>
          <cell r="W747" t="str">
            <v>JALISCO</v>
          </cell>
          <cell r="X747">
            <v>2019</v>
          </cell>
          <cell r="Y747" t="str">
            <v>Qtr 2</v>
          </cell>
          <cell r="Z747" t="str">
            <v>April</v>
          </cell>
          <cell r="AA747">
            <v>15</v>
          </cell>
          <cell r="AB747">
            <v>1</v>
          </cell>
          <cell r="AC747">
            <v>46</v>
          </cell>
          <cell r="AD747">
            <v>0</v>
          </cell>
          <cell r="AE747">
            <v>0</v>
          </cell>
          <cell r="AF747">
            <v>0</v>
          </cell>
        </row>
        <row r="748">
          <cell r="B748" t="str">
            <v>06HB007261</v>
          </cell>
          <cell r="C748">
            <v>2019</v>
          </cell>
          <cell r="D748" t="str">
            <v>Qtr 2</v>
          </cell>
          <cell r="E748" t="str">
            <v>April</v>
          </cell>
          <cell r="F748">
            <v>15</v>
          </cell>
          <cell r="G748" t="str">
            <v>INSTALACION NUEVA</v>
          </cell>
          <cell r="H748">
            <v>0</v>
          </cell>
          <cell r="J748" t="str">
            <v>NA</v>
          </cell>
          <cell r="K748" t="str">
            <v>NA</v>
          </cell>
          <cell r="L748" t="str">
            <v>NA</v>
          </cell>
          <cell r="M748" t="str">
            <v>NA</v>
          </cell>
          <cell r="N748" t="str">
            <v>NA</v>
          </cell>
          <cell r="O748" t="str">
            <v>NA</v>
          </cell>
          <cell r="P748" t="str">
            <v>NA</v>
          </cell>
          <cell r="Q748" t="str">
            <v>NA</v>
          </cell>
          <cell r="S748" t="str">
            <v>NA</v>
          </cell>
          <cell r="T748" t="str">
            <v>NA</v>
          </cell>
          <cell r="V748" t="str">
            <v>A4 Mono MFPs</v>
          </cell>
          <cell r="W748" t="str">
            <v>CHIHUAHUA</v>
          </cell>
          <cell r="X748">
            <v>2019</v>
          </cell>
          <cell r="Y748" t="str">
            <v>Qtr 2</v>
          </cell>
          <cell r="Z748" t="str">
            <v>April</v>
          </cell>
          <cell r="AA748">
            <v>24</v>
          </cell>
          <cell r="AB748" t="str">
            <v>NA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</row>
        <row r="749">
          <cell r="B749" t="str">
            <v>09HB333888</v>
          </cell>
          <cell r="C749">
            <v>2019</v>
          </cell>
          <cell r="D749" t="str">
            <v>Qtr 2</v>
          </cell>
          <cell r="E749" t="str">
            <v>April</v>
          </cell>
          <cell r="F749">
            <v>15</v>
          </cell>
          <cell r="G749" t="str">
            <v>MANTENIMIENTO PREVENTIVO</v>
          </cell>
          <cell r="H749">
            <v>0</v>
          </cell>
          <cell r="J749" t="str">
            <v>NA</v>
          </cell>
          <cell r="K749" t="str">
            <v>NA</v>
          </cell>
          <cell r="L749" t="str">
            <v>NA</v>
          </cell>
          <cell r="M749" t="str">
            <v>NA</v>
          </cell>
          <cell r="N749" t="str">
            <v>NA</v>
          </cell>
          <cell r="O749" t="str">
            <v>NA</v>
          </cell>
          <cell r="P749" t="str">
            <v>NA</v>
          </cell>
          <cell r="Q749" t="str">
            <v>NA</v>
          </cell>
          <cell r="S749" t="str">
            <v>NA</v>
          </cell>
          <cell r="T749" t="str">
            <v>NA</v>
          </cell>
          <cell r="V749" t="str">
            <v>A4 Mono MFPs</v>
          </cell>
          <cell r="W749" t="str">
            <v>JALISCO</v>
          </cell>
          <cell r="X749">
            <v>2019</v>
          </cell>
          <cell r="Y749" t="str">
            <v>Qtr 2</v>
          </cell>
          <cell r="Z749" t="str">
            <v>April</v>
          </cell>
          <cell r="AA749">
            <v>15</v>
          </cell>
          <cell r="AB749" t="str">
            <v>NA</v>
          </cell>
          <cell r="AC749">
            <v>21</v>
          </cell>
          <cell r="AD749">
            <v>0</v>
          </cell>
          <cell r="AE749">
            <v>0</v>
          </cell>
          <cell r="AF749">
            <v>0</v>
          </cell>
        </row>
        <row r="750">
          <cell r="B750" t="str">
            <v>0A1H022530</v>
          </cell>
          <cell r="C750">
            <v>2019</v>
          </cell>
          <cell r="D750" t="str">
            <v>Qtr 2</v>
          </cell>
          <cell r="E750" t="str">
            <v>April</v>
          </cell>
          <cell r="F750">
            <v>15</v>
          </cell>
          <cell r="G750" t="str">
            <v>CORRECTIVO</v>
          </cell>
          <cell r="H750">
            <v>1.1166670000000001</v>
          </cell>
          <cell r="I750" t="str">
            <v>WF Mono Systems and Legacy Color</v>
          </cell>
          <cell r="J750">
            <v>803</v>
          </cell>
          <cell r="K750">
            <v>1573</v>
          </cell>
          <cell r="L750">
            <v>0.2</v>
          </cell>
          <cell r="M750">
            <v>0.6</v>
          </cell>
          <cell r="N750">
            <v>0.8</v>
          </cell>
          <cell r="O750">
            <v>1.05</v>
          </cell>
          <cell r="P750">
            <v>1.1000000000000001</v>
          </cell>
          <cell r="Q750">
            <v>1.1499999999999999</v>
          </cell>
          <cell r="R750" t="str">
            <v>INTERIOR</v>
          </cell>
          <cell r="S750">
            <v>4</v>
          </cell>
          <cell r="T750">
            <v>6</v>
          </cell>
          <cell r="U750" t="str">
            <v>Ciudad principal</v>
          </cell>
          <cell r="V750" t="str">
            <v>WF Mono Systems and Legacy Color</v>
          </cell>
          <cell r="W750" t="str">
            <v>JALISCO</v>
          </cell>
          <cell r="X750">
            <v>2019</v>
          </cell>
          <cell r="Y750" t="str">
            <v>Qtr 2</v>
          </cell>
          <cell r="Z750" t="str">
            <v>April</v>
          </cell>
          <cell r="AA750">
            <v>15</v>
          </cell>
          <cell r="AB750">
            <v>0</v>
          </cell>
          <cell r="AC750">
            <v>34</v>
          </cell>
          <cell r="AD750">
            <v>1.1000000000000001</v>
          </cell>
          <cell r="AE750">
            <v>0.27916675000000002</v>
          </cell>
          <cell r="AF750">
            <v>1730.3</v>
          </cell>
        </row>
        <row r="751">
          <cell r="B751" t="str">
            <v>0BG2941133</v>
          </cell>
          <cell r="C751">
            <v>2019</v>
          </cell>
          <cell r="D751" t="str">
            <v>Qtr 2</v>
          </cell>
          <cell r="E751" t="str">
            <v>April</v>
          </cell>
          <cell r="F751">
            <v>15</v>
          </cell>
          <cell r="G751" t="str">
            <v>CORRECTIVO</v>
          </cell>
          <cell r="H751">
            <v>1.05</v>
          </cell>
          <cell r="I751" t="str">
            <v>Light Production Digital Business</v>
          </cell>
          <cell r="J751">
            <v>803</v>
          </cell>
          <cell r="K751">
            <v>1573</v>
          </cell>
          <cell r="L751">
            <v>0.2</v>
          </cell>
          <cell r="M751">
            <v>0.6</v>
          </cell>
          <cell r="N751">
            <v>0.8</v>
          </cell>
          <cell r="O751">
            <v>1.05</v>
          </cell>
          <cell r="P751">
            <v>1.1000000000000001</v>
          </cell>
          <cell r="Q751">
            <v>1.1499999999999999</v>
          </cell>
          <cell r="R751" t="str">
            <v>INTERIOR</v>
          </cell>
          <cell r="S751">
            <v>4</v>
          </cell>
          <cell r="T751">
            <v>6</v>
          </cell>
          <cell r="U751" t="str">
            <v>Ciudad principal</v>
          </cell>
          <cell r="V751" t="str">
            <v>High End Cut Sheet</v>
          </cell>
          <cell r="W751" t="str">
            <v>TAMAULIPAS</v>
          </cell>
          <cell r="X751">
            <v>2019</v>
          </cell>
          <cell r="Y751" t="str">
            <v>Qtr 2</v>
          </cell>
          <cell r="Z751" t="str">
            <v>April</v>
          </cell>
          <cell r="AA751">
            <v>24</v>
          </cell>
          <cell r="AB751">
            <v>0</v>
          </cell>
          <cell r="AC751">
            <v>76</v>
          </cell>
          <cell r="AD751">
            <v>1.1499999999999999</v>
          </cell>
          <cell r="AE751">
            <v>0.26250000000000001</v>
          </cell>
          <cell r="AF751">
            <v>1808.95</v>
          </cell>
        </row>
        <row r="752">
          <cell r="B752" t="str">
            <v>0BG2951498</v>
          </cell>
          <cell r="C752">
            <v>2019</v>
          </cell>
          <cell r="D752" t="str">
            <v>Qtr 2</v>
          </cell>
          <cell r="E752" t="str">
            <v>April</v>
          </cell>
          <cell r="F752">
            <v>15</v>
          </cell>
          <cell r="G752" t="str">
            <v>CORRECTIVO</v>
          </cell>
          <cell r="H752">
            <v>0.88333329999999999</v>
          </cell>
          <cell r="I752" t="str">
            <v>Light Production Digital Business</v>
          </cell>
          <cell r="J752">
            <v>803</v>
          </cell>
          <cell r="K752">
            <v>1573</v>
          </cell>
          <cell r="L752">
            <v>0.2</v>
          </cell>
          <cell r="M752">
            <v>0.6</v>
          </cell>
          <cell r="N752">
            <v>0.8</v>
          </cell>
          <cell r="O752">
            <v>1.05</v>
          </cell>
          <cell r="P752">
            <v>1.1000000000000001</v>
          </cell>
          <cell r="Q752">
            <v>1.1499999999999999</v>
          </cell>
          <cell r="R752" t="str">
            <v>INTERIOR</v>
          </cell>
          <cell r="S752">
            <v>4</v>
          </cell>
          <cell r="T752">
            <v>6</v>
          </cell>
          <cell r="U752" t="str">
            <v>Ciudad principal</v>
          </cell>
          <cell r="V752" t="str">
            <v>High End Cut Sheet</v>
          </cell>
          <cell r="W752" t="str">
            <v>DURANGO</v>
          </cell>
          <cell r="X752">
            <v>2019</v>
          </cell>
          <cell r="Y752" t="str">
            <v>Qtr 2</v>
          </cell>
          <cell r="Z752" t="str">
            <v>April</v>
          </cell>
          <cell r="AA752">
            <v>23</v>
          </cell>
          <cell r="AB752">
            <v>0</v>
          </cell>
          <cell r="AC752">
            <v>80</v>
          </cell>
          <cell r="AD752">
            <v>1.1499999999999999</v>
          </cell>
          <cell r="AE752">
            <v>0.220833325</v>
          </cell>
          <cell r="AF752">
            <v>1808.95</v>
          </cell>
        </row>
        <row r="753">
          <cell r="B753" t="str">
            <v>0AGD461521</v>
          </cell>
          <cell r="C753">
            <v>2019</v>
          </cell>
          <cell r="D753" t="str">
            <v>Qtr 2</v>
          </cell>
          <cell r="E753" t="str">
            <v>April</v>
          </cell>
          <cell r="F753">
            <v>15</v>
          </cell>
          <cell r="G753" t="str">
            <v>CORRECTIVO</v>
          </cell>
          <cell r="H753">
            <v>1.733333</v>
          </cell>
          <cell r="I753" t="str">
            <v>WF Mono Systems and Legacy Color</v>
          </cell>
          <cell r="J753">
            <v>803</v>
          </cell>
          <cell r="K753">
            <v>1573</v>
          </cell>
          <cell r="L753">
            <v>0.2</v>
          </cell>
          <cell r="M753">
            <v>0.6</v>
          </cell>
          <cell r="N753">
            <v>0.8</v>
          </cell>
          <cell r="O753">
            <v>1.05</v>
          </cell>
          <cell r="P753">
            <v>1.1000000000000001</v>
          </cell>
          <cell r="Q753">
            <v>1.1499999999999999</v>
          </cell>
          <cell r="R753" t="str">
            <v>INTERIOR</v>
          </cell>
          <cell r="S753">
            <v>4</v>
          </cell>
          <cell r="T753">
            <v>6</v>
          </cell>
          <cell r="U753" t="str">
            <v>Ciudad principal</v>
          </cell>
          <cell r="V753" t="str">
            <v>WF Mono Systems and Legacy Color</v>
          </cell>
          <cell r="W753" t="str">
            <v>DURANGO</v>
          </cell>
          <cell r="X753">
            <v>2019</v>
          </cell>
          <cell r="Y753" t="str">
            <v>Qtr 2</v>
          </cell>
          <cell r="Z753" t="str">
            <v>April</v>
          </cell>
          <cell r="AA753">
            <v>15</v>
          </cell>
          <cell r="AB753">
            <v>0</v>
          </cell>
          <cell r="AC753">
            <v>35</v>
          </cell>
          <cell r="AD753">
            <v>1.1000000000000001</v>
          </cell>
          <cell r="AE753">
            <v>0.43333325</v>
          </cell>
          <cell r="AF753">
            <v>1730.3</v>
          </cell>
        </row>
        <row r="754">
          <cell r="B754" t="str">
            <v>0C7X246884</v>
          </cell>
          <cell r="C754">
            <v>2019</v>
          </cell>
          <cell r="D754" t="str">
            <v>Qtr 2</v>
          </cell>
          <cell r="E754" t="str">
            <v>April</v>
          </cell>
          <cell r="F754">
            <v>15</v>
          </cell>
          <cell r="G754" t="str">
            <v>CORRECTIVO</v>
          </cell>
          <cell r="H754">
            <v>1.1499999999999999</v>
          </cell>
          <cell r="I754" t="str">
            <v>A4 Mono MFPs</v>
          </cell>
          <cell r="J754">
            <v>468</v>
          </cell>
          <cell r="K754">
            <v>715</v>
          </cell>
          <cell r="L754">
            <v>0</v>
          </cell>
          <cell r="M754">
            <v>0</v>
          </cell>
          <cell r="N754">
            <v>0</v>
          </cell>
          <cell r="O754">
            <v>0.6</v>
          </cell>
          <cell r="P754">
            <v>0.8</v>
          </cell>
          <cell r="Q754">
            <v>1.05</v>
          </cell>
          <cell r="R754" t="str">
            <v>INTERIOR</v>
          </cell>
          <cell r="S754">
            <v>5</v>
          </cell>
          <cell r="T754">
            <v>9</v>
          </cell>
          <cell r="U754" t="str">
            <v>Ciudad principal</v>
          </cell>
          <cell r="V754" t="str">
            <v>A4 Mono MFPs</v>
          </cell>
          <cell r="W754" t="str">
            <v>JALISCO</v>
          </cell>
          <cell r="X754">
            <v>2019</v>
          </cell>
          <cell r="Y754" t="str">
            <v>Qtr 2</v>
          </cell>
          <cell r="Z754" t="str">
            <v>April</v>
          </cell>
          <cell r="AA754">
            <v>15</v>
          </cell>
          <cell r="AB754">
            <v>0</v>
          </cell>
          <cell r="AC754">
            <v>229</v>
          </cell>
          <cell r="AD754">
            <v>1.05</v>
          </cell>
          <cell r="AE754">
            <v>0.23</v>
          </cell>
          <cell r="AF754">
            <v>750.75</v>
          </cell>
        </row>
        <row r="755">
          <cell r="B755" t="str">
            <v>03AG880355</v>
          </cell>
          <cell r="C755">
            <v>2019</v>
          </cell>
          <cell r="D755" t="str">
            <v>Qtr 2</v>
          </cell>
          <cell r="E755" t="str">
            <v>April</v>
          </cell>
          <cell r="F755">
            <v>15</v>
          </cell>
          <cell r="G755" t="str">
            <v>CORRECTIVO</v>
          </cell>
          <cell r="H755">
            <v>0.38333329999999999</v>
          </cell>
          <cell r="I755" t="str">
            <v>Departmental Digital</v>
          </cell>
          <cell r="J755">
            <v>655</v>
          </cell>
          <cell r="K755">
            <v>1365</v>
          </cell>
          <cell r="L755">
            <v>0</v>
          </cell>
          <cell r="M755">
            <v>0</v>
          </cell>
          <cell r="N755">
            <v>0.6</v>
          </cell>
          <cell r="O755">
            <v>0.8</v>
          </cell>
          <cell r="P755">
            <v>1.05</v>
          </cell>
          <cell r="Q755">
            <v>1.1000000000000001</v>
          </cell>
          <cell r="R755" t="str">
            <v>INTERIOR</v>
          </cell>
          <cell r="S755">
            <v>5</v>
          </cell>
          <cell r="T755">
            <v>9</v>
          </cell>
          <cell r="U755" t="str">
            <v>Ciudad principal</v>
          </cell>
          <cell r="V755" t="str">
            <v>Light Production Digital Business</v>
          </cell>
          <cell r="W755" t="str">
            <v>JALISCO</v>
          </cell>
          <cell r="X755">
            <v>2019</v>
          </cell>
          <cell r="Y755" t="str">
            <v>Qtr 2</v>
          </cell>
          <cell r="Z755" t="str">
            <v>April</v>
          </cell>
          <cell r="AA755">
            <v>15</v>
          </cell>
          <cell r="AB755">
            <v>0</v>
          </cell>
          <cell r="AC755">
            <v>7</v>
          </cell>
          <cell r="AD755">
            <v>0.6</v>
          </cell>
          <cell r="AE755">
            <v>7.6666659999999998E-2</v>
          </cell>
          <cell r="AF755">
            <v>819</v>
          </cell>
        </row>
        <row r="756">
          <cell r="B756" t="str">
            <v>0Y4X842970</v>
          </cell>
          <cell r="C756">
            <v>2019</v>
          </cell>
          <cell r="D756" t="str">
            <v>Qtr 2</v>
          </cell>
          <cell r="E756" t="str">
            <v>April</v>
          </cell>
          <cell r="F756">
            <v>15</v>
          </cell>
          <cell r="G756" t="str">
            <v>CORRECTIVO</v>
          </cell>
          <cell r="H756">
            <v>1.683333</v>
          </cell>
          <cell r="I756" t="str">
            <v>Office Digital</v>
          </cell>
          <cell r="J756">
            <v>655</v>
          </cell>
          <cell r="K756">
            <v>1365</v>
          </cell>
          <cell r="L756">
            <v>0</v>
          </cell>
          <cell r="M756">
            <v>0</v>
          </cell>
          <cell r="N756">
            <v>0.6</v>
          </cell>
          <cell r="O756">
            <v>0.8</v>
          </cell>
          <cell r="P756">
            <v>1.05</v>
          </cell>
          <cell r="Q756">
            <v>1.1000000000000001</v>
          </cell>
          <cell r="R756" t="str">
            <v>INTERIOR</v>
          </cell>
          <cell r="S756">
            <v>5</v>
          </cell>
          <cell r="T756">
            <v>9</v>
          </cell>
          <cell r="U756" t="str">
            <v>Ciudad principal</v>
          </cell>
          <cell r="V756" t="str">
            <v>Light Production Digital Business</v>
          </cell>
          <cell r="W756" t="str">
            <v>GUANAJUATO</v>
          </cell>
          <cell r="X756">
            <v>2019</v>
          </cell>
          <cell r="Y756" t="str">
            <v>Qtr 2</v>
          </cell>
          <cell r="Z756" t="str">
            <v>April</v>
          </cell>
          <cell r="AA756">
            <v>16</v>
          </cell>
          <cell r="AB756">
            <v>0</v>
          </cell>
          <cell r="AC756">
            <v>25</v>
          </cell>
          <cell r="AD756">
            <v>0.8</v>
          </cell>
          <cell r="AE756">
            <v>0.33666659999999998</v>
          </cell>
          <cell r="AF756">
            <v>1092</v>
          </cell>
        </row>
        <row r="757">
          <cell r="B757" t="str">
            <v>0XPN397750</v>
          </cell>
          <cell r="C757">
            <v>2019</v>
          </cell>
          <cell r="D757" t="str">
            <v>Qtr 2</v>
          </cell>
          <cell r="E757" t="str">
            <v>April</v>
          </cell>
          <cell r="F757">
            <v>15</v>
          </cell>
          <cell r="G757" t="str">
            <v>CORRECTIVO</v>
          </cell>
          <cell r="H757">
            <v>1.066667</v>
          </cell>
          <cell r="I757" t="str">
            <v>Entry Production Color Low/Mid</v>
          </cell>
          <cell r="J757">
            <v>803</v>
          </cell>
          <cell r="K757">
            <v>1573</v>
          </cell>
          <cell r="L757">
            <v>0.2</v>
          </cell>
          <cell r="M757">
            <v>0.6</v>
          </cell>
          <cell r="N757">
            <v>0.8</v>
          </cell>
          <cell r="O757">
            <v>1.05</v>
          </cell>
          <cell r="P757">
            <v>1.1000000000000001</v>
          </cell>
          <cell r="Q757">
            <v>1.1499999999999999</v>
          </cell>
          <cell r="R757" t="str">
            <v>INTERIOR</v>
          </cell>
          <cell r="S757">
            <v>4</v>
          </cell>
          <cell r="T757">
            <v>6</v>
          </cell>
          <cell r="U757" t="str">
            <v>Otras</v>
          </cell>
          <cell r="V757" t="str">
            <v>Entry Production Color Low/Mid</v>
          </cell>
          <cell r="W757" t="str">
            <v>QUERETARO</v>
          </cell>
          <cell r="X757">
            <v>2019</v>
          </cell>
          <cell r="Y757" t="str">
            <v>Qtr 2</v>
          </cell>
          <cell r="Z757" t="str">
            <v>April</v>
          </cell>
          <cell r="AA757">
            <v>16</v>
          </cell>
          <cell r="AB757">
            <v>0</v>
          </cell>
          <cell r="AC757">
            <v>94</v>
          </cell>
          <cell r="AD757">
            <v>1.1499999999999999</v>
          </cell>
          <cell r="AE757">
            <v>0.177777833333333</v>
          </cell>
          <cell r="AF757">
            <v>1808.95</v>
          </cell>
        </row>
        <row r="758">
          <cell r="B758" t="str">
            <v>0C7X246857</v>
          </cell>
          <cell r="C758">
            <v>2019</v>
          </cell>
          <cell r="D758" t="str">
            <v>Qtr 2</v>
          </cell>
          <cell r="E758" t="str">
            <v>April</v>
          </cell>
          <cell r="F758">
            <v>15</v>
          </cell>
          <cell r="G758" t="str">
            <v>CORRECTIVO</v>
          </cell>
          <cell r="H758">
            <v>1.516667</v>
          </cell>
          <cell r="I758" t="str">
            <v>A4 Mono MFPs</v>
          </cell>
          <cell r="J758">
            <v>468</v>
          </cell>
          <cell r="K758">
            <v>715</v>
          </cell>
          <cell r="L758">
            <v>0</v>
          </cell>
          <cell r="M758">
            <v>0</v>
          </cell>
          <cell r="N758">
            <v>0</v>
          </cell>
          <cell r="O758">
            <v>0.6</v>
          </cell>
          <cell r="P758">
            <v>0.8</v>
          </cell>
          <cell r="Q758">
            <v>1.05</v>
          </cell>
          <cell r="R758" t="str">
            <v>INTERIOR</v>
          </cell>
          <cell r="S758">
            <v>5</v>
          </cell>
          <cell r="T758">
            <v>9</v>
          </cell>
          <cell r="U758" t="str">
            <v>Ciudad principal</v>
          </cell>
          <cell r="V758" t="str">
            <v>A4 Mono MFPs</v>
          </cell>
          <cell r="W758" t="str">
            <v>JALISCO</v>
          </cell>
          <cell r="X758">
            <v>2019</v>
          </cell>
          <cell r="Y758" t="str">
            <v>Qtr 2</v>
          </cell>
          <cell r="Z758" t="str">
            <v>April</v>
          </cell>
          <cell r="AA758">
            <v>15</v>
          </cell>
          <cell r="AB758">
            <v>0</v>
          </cell>
          <cell r="AC758">
            <v>42</v>
          </cell>
          <cell r="AD758">
            <v>0.8</v>
          </cell>
          <cell r="AE758">
            <v>0.30333339999999998</v>
          </cell>
          <cell r="AF758">
            <v>572</v>
          </cell>
        </row>
        <row r="759">
          <cell r="B759" t="str">
            <v>0C7X246698</v>
          </cell>
          <cell r="C759">
            <v>2019</v>
          </cell>
          <cell r="D759" t="str">
            <v>Qtr 2</v>
          </cell>
          <cell r="E759" t="str">
            <v>April</v>
          </cell>
          <cell r="F759">
            <v>15</v>
          </cell>
          <cell r="G759" t="str">
            <v>CORRECTIVO</v>
          </cell>
          <cell r="H759">
            <v>0.93333330000000003</v>
          </cell>
          <cell r="I759" t="str">
            <v>A4 Mono MFPs</v>
          </cell>
          <cell r="J759">
            <v>468</v>
          </cell>
          <cell r="K759">
            <v>715</v>
          </cell>
          <cell r="L759">
            <v>0</v>
          </cell>
          <cell r="M759">
            <v>0</v>
          </cell>
          <cell r="N759">
            <v>0</v>
          </cell>
          <cell r="O759">
            <v>0.6</v>
          </cell>
          <cell r="P759">
            <v>0.8</v>
          </cell>
          <cell r="Q759">
            <v>1.05</v>
          </cell>
          <cell r="R759" t="str">
            <v>INTERIOR</v>
          </cell>
          <cell r="S759">
            <v>5</v>
          </cell>
          <cell r="T759">
            <v>9</v>
          </cell>
          <cell r="U759" t="str">
            <v>Ciudad principal</v>
          </cell>
          <cell r="V759" t="str">
            <v>A4 Mono MFPs</v>
          </cell>
          <cell r="W759" t="str">
            <v>JALISCO</v>
          </cell>
          <cell r="X759">
            <v>2019</v>
          </cell>
          <cell r="Y759" t="str">
            <v>Qtr 2</v>
          </cell>
          <cell r="Z759" t="str">
            <v>April</v>
          </cell>
          <cell r="AA759">
            <v>16</v>
          </cell>
          <cell r="AB759">
            <v>0</v>
          </cell>
          <cell r="AC759">
            <v>34</v>
          </cell>
          <cell r="AD759">
            <v>0.8</v>
          </cell>
          <cell r="AE759">
            <v>0.18666666000000001</v>
          </cell>
          <cell r="AF759">
            <v>572</v>
          </cell>
        </row>
        <row r="760">
          <cell r="B760" t="str">
            <v>0C7X246888</v>
          </cell>
          <cell r="C760">
            <v>2019</v>
          </cell>
          <cell r="D760" t="str">
            <v>Qtr 2</v>
          </cell>
          <cell r="E760" t="str">
            <v>April</v>
          </cell>
          <cell r="F760">
            <v>15</v>
          </cell>
          <cell r="G760" t="str">
            <v>CORRECTIVO</v>
          </cell>
          <cell r="H760">
            <v>2.8333330000000001</v>
          </cell>
          <cell r="I760" t="str">
            <v>A4 Mono MFPs</v>
          </cell>
          <cell r="J760">
            <v>468</v>
          </cell>
          <cell r="K760">
            <v>715</v>
          </cell>
          <cell r="L760">
            <v>0</v>
          </cell>
          <cell r="M760">
            <v>0</v>
          </cell>
          <cell r="N760">
            <v>0</v>
          </cell>
          <cell r="O760">
            <v>0.6</v>
          </cell>
          <cell r="P760">
            <v>0.8</v>
          </cell>
          <cell r="Q760">
            <v>1.05</v>
          </cell>
          <cell r="R760" t="str">
            <v>INTERIOR</v>
          </cell>
          <cell r="S760">
            <v>5</v>
          </cell>
          <cell r="T760">
            <v>9</v>
          </cell>
          <cell r="U760" t="str">
            <v>Ciudad principal</v>
          </cell>
          <cell r="V760" t="str">
            <v>A4 Mono MFPs</v>
          </cell>
          <cell r="W760" t="str">
            <v>JALISCO</v>
          </cell>
          <cell r="X760">
            <v>2019</v>
          </cell>
          <cell r="Y760" t="str">
            <v>Qtr 2</v>
          </cell>
          <cell r="Z760" t="str">
            <v>April</v>
          </cell>
          <cell r="AA760">
            <v>16</v>
          </cell>
          <cell r="AB760">
            <v>0</v>
          </cell>
          <cell r="AC760">
            <v>19</v>
          </cell>
          <cell r="AD760">
            <v>0.6</v>
          </cell>
          <cell r="AE760">
            <v>0.56666660000000002</v>
          </cell>
          <cell r="AF760">
            <v>429</v>
          </cell>
        </row>
        <row r="761">
          <cell r="B761" t="str">
            <v>0XU8464707</v>
          </cell>
          <cell r="C761">
            <v>2019</v>
          </cell>
          <cell r="D761" t="str">
            <v>Qtr 2</v>
          </cell>
          <cell r="E761" t="str">
            <v>April</v>
          </cell>
          <cell r="F761">
            <v>15</v>
          </cell>
          <cell r="G761" t="str">
            <v>CORRECTIVO</v>
          </cell>
          <cell r="H761">
            <v>0.96666660000000004</v>
          </cell>
          <cell r="I761" t="str">
            <v>Entry Production Color Mid</v>
          </cell>
          <cell r="J761">
            <v>803</v>
          </cell>
          <cell r="K761">
            <v>1573</v>
          </cell>
          <cell r="L761">
            <v>0.2</v>
          </cell>
          <cell r="M761">
            <v>0.6</v>
          </cell>
          <cell r="N761">
            <v>0.8</v>
          </cell>
          <cell r="O761">
            <v>1.05</v>
          </cell>
          <cell r="P761">
            <v>1.1000000000000001</v>
          </cell>
          <cell r="Q761">
            <v>1.1499999999999999</v>
          </cell>
          <cell r="R761" t="str">
            <v>INTERIOR</v>
          </cell>
          <cell r="S761">
            <v>4</v>
          </cell>
          <cell r="T761">
            <v>6</v>
          </cell>
          <cell r="U761" t="str">
            <v>Ciudad principal</v>
          </cell>
          <cell r="V761" t="str">
            <v>Xerox Color Press</v>
          </cell>
          <cell r="W761" t="str">
            <v>COLIMA</v>
          </cell>
          <cell r="X761">
            <v>2019</v>
          </cell>
          <cell r="Y761" t="str">
            <v>Qtr 2</v>
          </cell>
          <cell r="Z761" t="str">
            <v>April</v>
          </cell>
          <cell r="AA761">
            <v>15</v>
          </cell>
          <cell r="AB761">
            <v>1</v>
          </cell>
          <cell r="AC761">
            <v>6</v>
          </cell>
          <cell r="AD761">
            <v>0</v>
          </cell>
          <cell r="AE761">
            <v>0</v>
          </cell>
          <cell r="AF761">
            <v>0</v>
          </cell>
        </row>
        <row r="762">
          <cell r="B762" t="str">
            <v>0D6X459986</v>
          </cell>
          <cell r="C762">
            <v>2019</v>
          </cell>
          <cell r="D762" t="str">
            <v>Qtr 2</v>
          </cell>
          <cell r="E762" t="str">
            <v>April</v>
          </cell>
          <cell r="F762">
            <v>15</v>
          </cell>
          <cell r="G762" t="str">
            <v>CORRECTIVO</v>
          </cell>
          <cell r="H762">
            <v>2.5499999999999998</v>
          </cell>
          <cell r="J762" t="str">
            <v>NA</v>
          </cell>
          <cell r="K762" t="str">
            <v>NA</v>
          </cell>
          <cell r="L762" t="str">
            <v>NA</v>
          </cell>
          <cell r="M762" t="str">
            <v>NA</v>
          </cell>
          <cell r="N762" t="str">
            <v>NA</v>
          </cell>
          <cell r="O762" t="str">
            <v>NA</v>
          </cell>
          <cell r="P762" t="str">
            <v>NA</v>
          </cell>
          <cell r="Q762" t="str">
            <v>NA</v>
          </cell>
          <cell r="S762" t="str">
            <v>NA</v>
          </cell>
          <cell r="T762" t="str">
            <v>NA</v>
          </cell>
          <cell r="V762" t="str">
            <v>Entry Mono Printers</v>
          </cell>
          <cell r="W762" t="str">
            <v>TAMAULIPAS</v>
          </cell>
          <cell r="X762">
            <v>2019</v>
          </cell>
          <cell r="Y762" t="str">
            <v>Qtr 2</v>
          </cell>
          <cell r="Z762" t="str">
            <v>April</v>
          </cell>
          <cell r="AA762">
            <v>16</v>
          </cell>
          <cell r="AB762" t="str">
            <v>NA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</row>
        <row r="763">
          <cell r="B763" t="str">
            <v>0C7X371958</v>
          </cell>
          <cell r="C763">
            <v>2019</v>
          </cell>
          <cell r="D763" t="str">
            <v>Qtr 2</v>
          </cell>
          <cell r="E763" t="str">
            <v>April</v>
          </cell>
          <cell r="F763">
            <v>15</v>
          </cell>
          <cell r="G763" t="str">
            <v>CORRECTIVO</v>
          </cell>
          <cell r="H763">
            <v>4.1833330000000002</v>
          </cell>
          <cell r="I763" t="str">
            <v>A4 Mono MFPs</v>
          </cell>
          <cell r="J763">
            <v>468</v>
          </cell>
          <cell r="K763">
            <v>715</v>
          </cell>
          <cell r="L763">
            <v>0</v>
          </cell>
          <cell r="M763">
            <v>0</v>
          </cell>
          <cell r="N763">
            <v>0</v>
          </cell>
          <cell r="O763">
            <v>0.6</v>
          </cell>
          <cell r="P763">
            <v>0.8</v>
          </cell>
          <cell r="Q763">
            <v>1.05</v>
          </cell>
          <cell r="R763" t="str">
            <v>INTERIOR</v>
          </cell>
          <cell r="S763">
            <v>5</v>
          </cell>
          <cell r="T763">
            <v>9</v>
          </cell>
          <cell r="U763" t="str">
            <v>Otras</v>
          </cell>
          <cell r="V763" t="str">
            <v>A4 Mono MFPs</v>
          </cell>
          <cell r="W763" t="str">
            <v>COAHUILA</v>
          </cell>
          <cell r="X763">
            <v>2019</v>
          </cell>
          <cell r="Y763" t="str">
            <v>Qtr 2</v>
          </cell>
          <cell r="Z763" t="str">
            <v>April</v>
          </cell>
          <cell r="AA763">
            <v>30</v>
          </cell>
          <cell r="AB763">
            <v>0</v>
          </cell>
          <cell r="AC763">
            <v>12</v>
          </cell>
          <cell r="AD763">
            <v>0</v>
          </cell>
          <cell r="AE763">
            <v>0.46481477777777802</v>
          </cell>
          <cell r="AF763">
            <v>0</v>
          </cell>
        </row>
        <row r="764">
          <cell r="B764" t="str">
            <v>0D6X459991</v>
          </cell>
          <cell r="C764">
            <v>2019</v>
          </cell>
          <cell r="D764" t="str">
            <v>Qtr 2</v>
          </cell>
          <cell r="E764" t="str">
            <v>April</v>
          </cell>
          <cell r="F764">
            <v>15</v>
          </cell>
          <cell r="G764" t="str">
            <v>CORRECTIVO</v>
          </cell>
          <cell r="H764">
            <v>1.3</v>
          </cell>
          <cell r="I764" t="str">
            <v>Entry Mono Printers</v>
          </cell>
          <cell r="J764">
            <v>468</v>
          </cell>
          <cell r="K764">
            <v>715</v>
          </cell>
          <cell r="L764">
            <v>0</v>
          </cell>
          <cell r="M764">
            <v>0</v>
          </cell>
          <cell r="N764">
            <v>0</v>
          </cell>
          <cell r="O764">
            <v>0.6</v>
          </cell>
          <cell r="P764">
            <v>0.8</v>
          </cell>
          <cell r="Q764">
            <v>1.05</v>
          </cell>
          <cell r="R764" t="str">
            <v>INTERIOR</v>
          </cell>
          <cell r="S764">
            <v>5</v>
          </cell>
          <cell r="T764">
            <v>9</v>
          </cell>
          <cell r="U764" t="str">
            <v>Ciudad principal</v>
          </cell>
          <cell r="V764" t="str">
            <v>Entry Mono Printers</v>
          </cell>
          <cell r="W764" t="str">
            <v>TAMAULIPAS</v>
          </cell>
          <cell r="X764">
            <v>2019</v>
          </cell>
          <cell r="Y764" t="str">
            <v>Qtr 2</v>
          </cell>
          <cell r="Z764" t="str">
            <v>April</v>
          </cell>
          <cell r="AA764">
            <v>16</v>
          </cell>
          <cell r="AB764">
            <v>0</v>
          </cell>
          <cell r="AC764">
            <v>152</v>
          </cell>
          <cell r="AD764">
            <v>1.05</v>
          </cell>
          <cell r="AE764">
            <v>0.26</v>
          </cell>
          <cell r="AF764">
            <v>750.75</v>
          </cell>
        </row>
        <row r="765">
          <cell r="B765" t="str">
            <v>09HB328042</v>
          </cell>
          <cell r="C765">
            <v>2019</v>
          </cell>
          <cell r="D765" t="str">
            <v>Qtr 2</v>
          </cell>
          <cell r="E765" t="str">
            <v>April</v>
          </cell>
          <cell r="F765">
            <v>15</v>
          </cell>
          <cell r="G765" t="str">
            <v>CORRECTIVO</v>
          </cell>
          <cell r="H765">
            <v>3.3333340000000003E-2</v>
          </cell>
          <cell r="I765" t="str">
            <v>A4 Mono MFPs</v>
          </cell>
          <cell r="J765">
            <v>468</v>
          </cell>
          <cell r="K765">
            <v>715</v>
          </cell>
          <cell r="L765">
            <v>0</v>
          </cell>
          <cell r="M765">
            <v>0</v>
          </cell>
          <cell r="N765">
            <v>0</v>
          </cell>
          <cell r="O765">
            <v>0.6</v>
          </cell>
          <cell r="P765">
            <v>0.8</v>
          </cell>
          <cell r="Q765">
            <v>1.05</v>
          </cell>
          <cell r="R765" t="str">
            <v>INTERIOR</v>
          </cell>
          <cell r="S765">
            <v>5</v>
          </cell>
          <cell r="T765">
            <v>9</v>
          </cell>
          <cell r="U765" t="str">
            <v>Otras</v>
          </cell>
          <cell r="V765" t="str">
            <v>A4 Mono MFPs</v>
          </cell>
          <cell r="W765" t="str">
            <v>NUEVO LEON</v>
          </cell>
          <cell r="X765">
            <v>2019</v>
          </cell>
          <cell r="Y765" t="str">
            <v>Qtr 2</v>
          </cell>
          <cell r="Z765" t="str">
            <v>April</v>
          </cell>
          <cell r="AA765">
            <v>15</v>
          </cell>
          <cell r="AB765">
            <v>0</v>
          </cell>
          <cell r="AC765">
            <v>102</v>
          </cell>
          <cell r="AD765">
            <v>1.05</v>
          </cell>
          <cell r="AE765">
            <v>3.70370444444444E-3</v>
          </cell>
          <cell r="AF765">
            <v>750.75</v>
          </cell>
        </row>
        <row r="766">
          <cell r="B766" t="str">
            <v>07CX042311</v>
          </cell>
          <cell r="C766">
            <v>2019</v>
          </cell>
          <cell r="D766" t="str">
            <v>Qtr 2</v>
          </cell>
          <cell r="E766" t="str">
            <v>April</v>
          </cell>
          <cell r="F766">
            <v>15</v>
          </cell>
          <cell r="G766" t="str">
            <v>CORRECTIVO</v>
          </cell>
          <cell r="H766">
            <v>0.58333330000000005</v>
          </cell>
          <cell r="I766" t="str">
            <v>Office Digital</v>
          </cell>
          <cell r="J766">
            <v>655</v>
          </cell>
          <cell r="K766">
            <v>1365</v>
          </cell>
          <cell r="L766">
            <v>0</v>
          </cell>
          <cell r="M766">
            <v>0</v>
          </cell>
          <cell r="N766">
            <v>0.6</v>
          </cell>
          <cell r="O766">
            <v>0.8</v>
          </cell>
          <cell r="P766">
            <v>1.05</v>
          </cell>
          <cell r="Q766">
            <v>1.1000000000000001</v>
          </cell>
          <cell r="R766" t="str">
            <v>INTERIOR</v>
          </cell>
          <cell r="S766">
            <v>5</v>
          </cell>
          <cell r="T766">
            <v>9</v>
          </cell>
          <cell r="U766" t="str">
            <v>Ciudad principal</v>
          </cell>
          <cell r="V766" t="str">
            <v>Departmental Digital</v>
          </cell>
          <cell r="W766" t="str">
            <v>NUEVO LEON</v>
          </cell>
          <cell r="X766">
            <v>2019</v>
          </cell>
          <cell r="Y766" t="str">
            <v>Qtr 2</v>
          </cell>
          <cell r="Z766" t="str">
            <v>April</v>
          </cell>
          <cell r="AA766">
            <v>15</v>
          </cell>
          <cell r="AB766">
            <v>0</v>
          </cell>
          <cell r="AC766">
            <v>367</v>
          </cell>
          <cell r="AD766">
            <v>1.1000000000000001</v>
          </cell>
          <cell r="AE766">
            <v>0.11666666000000001</v>
          </cell>
          <cell r="AF766">
            <v>1501.5</v>
          </cell>
        </row>
        <row r="767">
          <cell r="B767" t="str">
            <v>09HB331542</v>
          </cell>
          <cell r="C767">
            <v>2019</v>
          </cell>
          <cell r="D767" t="str">
            <v>Qtr 2</v>
          </cell>
          <cell r="E767" t="str">
            <v>April</v>
          </cell>
          <cell r="F767">
            <v>15</v>
          </cell>
          <cell r="G767" t="str">
            <v>MANTENIMIENTO PREVENTIVO</v>
          </cell>
          <cell r="H767">
            <v>0</v>
          </cell>
          <cell r="I767" t="str">
            <v>A4 Mono MFPs</v>
          </cell>
          <cell r="J767">
            <v>468</v>
          </cell>
          <cell r="K767">
            <v>715</v>
          </cell>
          <cell r="L767">
            <v>0</v>
          </cell>
          <cell r="M767">
            <v>0</v>
          </cell>
          <cell r="N767">
            <v>0</v>
          </cell>
          <cell r="O767">
            <v>0.6</v>
          </cell>
          <cell r="P767">
            <v>0.8</v>
          </cell>
          <cell r="Q767">
            <v>1.05</v>
          </cell>
          <cell r="R767" t="str">
            <v>INTERIOR</v>
          </cell>
          <cell r="S767">
            <v>5</v>
          </cell>
          <cell r="T767">
            <v>9</v>
          </cell>
          <cell r="U767" t="str">
            <v>Ciudad principal</v>
          </cell>
          <cell r="V767" t="str">
            <v>A4 Mono MFPs</v>
          </cell>
          <cell r="W767" t="str">
            <v>JALISCO</v>
          </cell>
          <cell r="X767">
            <v>2019</v>
          </cell>
          <cell r="Y767" t="str">
            <v>Qtr 2</v>
          </cell>
          <cell r="Z767" t="str">
            <v>April</v>
          </cell>
          <cell r="AA767">
            <v>15</v>
          </cell>
          <cell r="AB767">
            <v>1</v>
          </cell>
          <cell r="AC767">
            <v>5</v>
          </cell>
          <cell r="AD767">
            <v>0</v>
          </cell>
          <cell r="AE767">
            <v>0</v>
          </cell>
          <cell r="AF767">
            <v>0</v>
          </cell>
        </row>
        <row r="768">
          <cell r="B768" t="str">
            <v>0PW4980265</v>
          </cell>
          <cell r="C768">
            <v>2019</v>
          </cell>
          <cell r="D768" t="str">
            <v>Qtr 2</v>
          </cell>
          <cell r="E768" t="str">
            <v>April</v>
          </cell>
          <cell r="F768">
            <v>15</v>
          </cell>
          <cell r="G768" t="str">
            <v>CORRECTIVO</v>
          </cell>
          <cell r="H768">
            <v>2.4333330000000002</v>
          </cell>
          <cell r="I768" t="str">
            <v>WF Mono Systems and Legacy Color</v>
          </cell>
          <cell r="J768">
            <v>803</v>
          </cell>
          <cell r="K768">
            <v>1573</v>
          </cell>
          <cell r="L768">
            <v>0.2</v>
          </cell>
          <cell r="M768">
            <v>0.6</v>
          </cell>
          <cell r="N768">
            <v>0.8</v>
          </cell>
          <cell r="O768">
            <v>1.05</v>
          </cell>
          <cell r="P768">
            <v>1.1000000000000001</v>
          </cell>
          <cell r="Q768">
            <v>1.1499999999999999</v>
          </cell>
          <cell r="R768" t="str">
            <v>INTERIOR</v>
          </cell>
          <cell r="S768">
            <v>4</v>
          </cell>
          <cell r="T768">
            <v>6</v>
          </cell>
          <cell r="U768" t="str">
            <v>Ciudad principal</v>
          </cell>
          <cell r="V768" t="str">
            <v>WF Mono Systems and Legacy Color</v>
          </cell>
          <cell r="W768" t="str">
            <v>JALISCO</v>
          </cell>
          <cell r="X768">
            <v>2019</v>
          </cell>
          <cell r="Y768" t="str">
            <v>Qtr 2</v>
          </cell>
          <cell r="Z768" t="str">
            <v>April</v>
          </cell>
          <cell r="AA768">
            <v>17</v>
          </cell>
          <cell r="AB768">
            <v>0</v>
          </cell>
          <cell r="AC768">
            <v>10</v>
          </cell>
          <cell r="AD768">
            <v>0.8</v>
          </cell>
          <cell r="AE768">
            <v>0.60833325000000005</v>
          </cell>
          <cell r="AF768">
            <v>1258.4000000000001</v>
          </cell>
        </row>
        <row r="769">
          <cell r="B769" t="str">
            <v>0BG0966745</v>
          </cell>
          <cell r="C769">
            <v>2019</v>
          </cell>
          <cell r="D769" t="str">
            <v>Qtr 2</v>
          </cell>
          <cell r="E769" t="str">
            <v>April</v>
          </cell>
          <cell r="F769">
            <v>15</v>
          </cell>
          <cell r="G769" t="str">
            <v>CORRECTIVO</v>
          </cell>
          <cell r="H769">
            <v>6.6666669999999997E-2</v>
          </cell>
          <cell r="I769" t="str">
            <v>Light Production Digital Business</v>
          </cell>
          <cell r="J769">
            <v>803</v>
          </cell>
          <cell r="K769">
            <v>1573</v>
          </cell>
          <cell r="L769">
            <v>0.2</v>
          </cell>
          <cell r="M769">
            <v>0.6</v>
          </cell>
          <cell r="N769">
            <v>0.8</v>
          </cell>
          <cell r="O769">
            <v>1.05</v>
          </cell>
          <cell r="P769">
            <v>1.1000000000000001</v>
          </cell>
          <cell r="Q769">
            <v>1.1499999999999999</v>
          </cell>
          <cell r="R769" t="str">
            <v>INTERIOR</v>
          </cell>
          <cell r="S769">
            <v>4</v>
          </cell>
          <cell r="T769">
            <v>6</v>
          </cell>
          <cell r="U769" t="str">
            <v>Ciudad principal</v>
          </cell>
          <cell r="V769" t="str">
            <v>High End Cut Sheet</v>
          </cell>
          <cell r="W769" t="str">
            <v>JALISCO</v>
          </cell>
          <cell r="X769">
            <v>2019</v>
          </cell>
          <cell r="Y769" t="str">
            <v>Qtr 2</v>
          </cell>
          <cell r="Z769" t="str">
            <v>April</v>
          </cell>
          <cell r="AA769">
            <v>17</v>
          </cell>
          <cell r="AB769">
            <v>0</v>
          </cell>
          <cell r="AC769">
            <v>17</v>
          </cell>
          <cell r="AD769">
            <v>1.05</v>
          </cell>
          <cell r="AE769">
            <v>1.6666667499999999E-2</v>
          </cell>
          <cell r="AF769">
            <v>1651.65</v>
          </cell>
        </row>
        <row r="770">
          <cell r="B770" t="str">
            <v>09HB331395</v>
          </cell>
          <cell r="C770">
            <v>2019</v>
          </cell>
          <cell r="D770" t="str">
            <v>Qtr 2</v>
          </cell>
          <cell r="E770" t="str">
            <v>April</v>
          </cell>
          <cell r="F770">
            <v>15</v>
          </cell>
          <cell r="G770" t="str">
            <v>CORRECTIVO</v>
          </cell>
          <cell r="H770">
            <v>1</v>
          </cell>
          <cell r="I770" t="str">
            <v>A4 Mono MFPs</v>
          </cell>
          <cell r="J770">
            <v>468</v>
          </cell>
          <cell r="K770">
            <v>715</v>
          </cell>
          <cell r="L770">
            <v>0</v>
          </cell>
          <cell r="M770">
            <v>0</v>
          </cell>
          <cell r="N770">
            <v>0</v>
          </cell>
          <cell r="O770">
            <v>0.6</v>
          </cell>
          <cell r="P770">
            <v>0.8</v>
          </cell>
          <cell r="Q770">
            <v>1.05</v>
          </cell>
          <cell r="R770" t="str">
            <v>METRO</v>
          </cell>
          <cell r="S770">
            <v>5</v>
          </cell>
          <cell r="T770">
            <v>9</v>
          </cell>
          <cell r="U770" t="str">
            <v>Ciudad principal</v>
          </cell>
          <cell r="V770" t="str">
            <v>A4 Mono MFPs</v>
          </cell>
          <cell r="W770" t="str">
            <v>ESTADO DE MEXICO</v>
          </cell>
          <cell r="X770">
            <v>2019</v>
          </cell>
          <cell r="Y770" t="str">
            <v>Qtr 2</v>
          </cell>
          <cell r="Z770" t="str">
            <v>April</v>
          </cell>
          <cell r="AA770">
            <v>16</v>
          </cell>
          <cell r="AB770">
            <v>1</v>
          </cell>
          <cell r="AC770">
            <v>17</v>
          </cell>
          <cell r="AD770">
            <v>0</v>
          </cell>
          <cell r="AE770">
            <v>0</v>
          </cell>
          <cell r="AF770">
            <v>0</v>
          </cell>
        </row>
        <row r="771">
          <cell r="B771" t="str">
            <v>0EX9283991</v>
          </cell>
          <cell r="C771">
            <v>2019</v>
          </cell>
          <cell r="D771" t="str">
            <v>Qtr 2</v>
          </cell>
          <cell r="E771" t="str">
            <v>April</v>
          </cell>
          <cell r="F771">
            <v>15</v>
          </cell>
          <cell r="G771" t="str">
            <v>MANTENIMIENTO PREVENTIVO</v>
          </cell>
          <cell r="H771">
            <v>0</v>
          </cell>
          <cell r="I771" t="str">
            <v>Departmental Digital</v>
          </cell>
          <cell r="J771">
            <v>655</v>
          </cell>
          <cell r="K771">
            <v>1365</v>
          </cell>
          <cell r="L771">
            <v>0</v>
          </cell>
          <cell r="M771">
            <v>0</v>
          </cell>
          <cell r="N771">
            <v>0.6</v>
          </cell>
          <cell r="O771">
            <v>0.8</v>
          </cell>
          <cell r="P771">
            <v>1.05</v>
          </cell>
          <cell r="Q771">
            <v>1.1000000000000001</v>
          </cell>
          <cell r="R771" t="str">
            <v>INTERIOR</v>
          </cell>
          <cell r="S771">
            <v>5</v>
          </cell>
          <cell r="T771">
            <v>9</v>
          </cell>
          <cell r="U771" t="str">
            <v>Ciudad principal</v>
          </cell>
          <cell r="V771" t="str">
            <v>Departmental Digital</v>
          </cell>
          <cell r="W771" t="str">
            <v>TAMAULIPAS</v>
          </cell>
          <cell r="X771">
            <v>2019</v>
          </cell>
          <cell r="Y771" t="str">
            <v>Qtr 2</v>
          </cell>
          <cell r="Z771" t="str">
            <v>April</v>
          </cell>
          <cell r="AA771">
            <v>16</v>
          </cell>
          <cell r="AB771">
            <v>0</v>
          </cell>
          <cell r="AC771">
            <v>12</v>
          </cell>
          <cell r="AD771">
            <v>0</v>
          </cell>
          <cell r="AE771">
            <v>0</v>
          </cell>
          <cell r="AF771">
            <v>1365</v>
          </cell>
        </row>
        <row r="772">
          <cell r="B772" t="str">
            <v>0EX9297582</v>
          </cell>
          <cell r="C772">
            <v>2019</v>
          </cell>
          <cell r="D772" t="str">
            <v>Qtr 2</v>
          </cell>
          <cell r="E772" t="str">
            <v>April</v>
          </cell>
          <cell r="F772">
            <v>15</v>
          </cell>
          <cell r="G772" t="str">
            <v>MANTENIMIENTO PREVENTIVO</v>
          </cell>
          <cell r="H772">
            <v>0</v>
          </cell>
          <cell r="I772" t="str">
            <v>Departmental Digital</v>
          </cell>
          <cell r="J772">
            <v>655</v>
          </cell>
          <cell r="K772">
            <v>1365</v>
          </cell>
          <cell r="L772">
            <v>0</v>
          </cell>
          <cell r="M772">
            <v>0</v>
          </cell>
          <cell r="N772">
            <v>0.6</v>
          </cell>
          <cell r="O772">
            <v>0.8</v>
          </cell>
          <cell r="P772">
            <v>1.05</v>
          </cell>
          <cell r="Q772">
            <v>1.1000000000000001</v>
          </cell>
          <cell r="R772" t="str">
            <v>INTERIOR</v>
          </cell>
          <cell r="S772">
            <v>5</v>
          </cell>
          <cell r="T772">
            <v>9</v>
          </cell>
          <cell r="U772" t="str">
            <v>Otras</v>
          </cell>
          <cell r="V772" t="str">
            <v>Departmental Digital</v>
          </cell>
          <cell r="W772" t="str">
            <v>COAHUILA</v>
          </cell>
          <cell r="X772">
            <v>2019</v>
          </cell>
          <cell r="Y772" t="str">
            <v>Qtr 2</v>
          </cell>
          <cell r="Z772" t="str">
            <v>April</v>
          </cell>
          <cell r="AA772">
            <v>16</v>
          </cell>
          <cell r="AB772">
            <v>0</v>
          </cell>
          <cell r="AC772">
            <v>7</v>
          </cell>
          <cell r="AD772">
            <v>0</v>
          </cell>
          <cell r="AE772">
            <v>0</v>
          </cell>
          <cell r="AF772">
            <v>1365</v>
          </cell>
        </row>
        <row r="773">
          <cell r="B773" t="str">
            <v>0C7X371958</v>
          </cell>
          <cell r="C773">
            <v>2019</v>
          </cell>
          <cell r="D773" t="str">
            <v>Qtr 2</v>
          </cell>
          <cell r="E773" t="str">
            <v>April</v>
          </cell>
          <cell r="F773">
            <v>16</v>
          </cell>
          <cell r="G773" t="str">
            <v>MANTENIMIENTO PREVENTIVO</v>
          </cell>
          <cell r="H773">
            <v>0</v>
          </cell>
          <cell r="I773" t="str">
            <v>A4 Mono MFPs</v>
          </cell>
          <cell r="J773">
            <v>468</v>
          </cell>
          <cell r="K773">
            <v>715</v>
          </cell>
          <cell r="L773">
            <v>0</v>
          </cell>
          <cell r="M773">
            <v>0</v>
          </cell>
          <cell r="N773">
            <v>0</v>
          </cell>
          <cell r="O773">
            <v>0.6</v>
          </cell>
          <cell r="P773">
            <v>0.8</v>
          </cell>
          <cell r="Q773">
            <v>1.05</v>
          </cell>
          <cell r="R773" t="str">
            <v>INTERIOR</v>
          </cell>
          <cell r="S773">
            <v>5</v>
          </cell>
          <cell r="T773">
            <v>9</v>
          </cell>
          <cell r="U773" t="str">
            <v>Otras</v>
          </cell>
          <cell r="V773" t="str">
            <v>A4 Mono MFPs</v>
          </cell>
          <cell r="W773" t="str">
            <v>COAHUILA</v>
          </cell>
          <cell r="X773">
            <v>2019</v>
          </cell>
          <cell r="Y773" t="str">
            <v>Qtr 2</v>
          </cell>
          <cell r="Z773" t="str">
            <v>April</v>
          </cell>
          <cell r="AA773">
            <v>16</v>
          </cell>
          <cell r="AB773">
            <v>0</v>
          </cell>
          <cell r="AC773">
            <v>-14</v>
          </cell>
          <cell r="AD773">
            <v>0</v>
          </cell>
          <cell r="AE773">
            <v>0</v>
          </cell>
          <cell r="AF773">
            <v>715</v>
          </cell>
        </row>
        <row r="774">
          <cell r="B774">
            <v>1021065</v>
          </cell>
          <cell r="C774">
            <v>2019</v>
          </cell>
          <cell r="D774" t="str">
            <v>Qtr 2</v>
          </cell>
          <cell r="E774" t="str">
            <v>April</v>
          </cell>
          <cell r="F774">
            <v>16</v>
          </cell>
          <cell r="G774" t="str">
            <v>CORRECTIVO</v>
          </cell>
          <cell r="H774">
            <v>3.6833330000000002</v>
          </cell>
          <cell r="J774" t="str">
            <v>NA</v>
          </cell>
          <cell r="K774" t="str">
            <v>NA</v>
          </cell>
          <cell r="L774" t="str">
            <v>NA</v>
          </cell>
          <cell r="M774" t="str">
            <v>NA</v>
          </cell>
          <cell r="N774" t="str">
            <v>NA</v>
          </cell>
          <cell r="O774" t="str">
            <v>NA</v>
          </cell>
          <cell r="P774" t="str">
            <v>NA</v>
          </cell>
          <cell r="Q774" t="str">
            <v>NA</v>
          </cell>
          <cell r="S774" t="str">
            <v>NA</v>
          </cell>
          <cell r="T774" t="str">
            <v>NA</v>
          </cell>
          <cell r="W774" t="str">
            <v>COAHUILA</v>
          </cell>
          <cell r="X774">
            <v>2019</v>
          </cell>
          <cell r="Y774" t="str">
            <v>Qtr 2</v>
          </cell>
          <cell r="Z774" t="str">
            <v>April</v>
          </cell>
          <cell r="AA774">
            <v>16</v>
          </cell>
          <cell r="AB774" t="str">
            <v>NA</v>
          </cell>
          <cell r="AC774">
            <v>25</v>
          </cell>
          <cell r="AD774">
            <v>0</v>
          </cell>
          <cell r="AE774">
            <v>0</v>
          </cell>
          <cell r="AF774">
            <v>0</v>
          </cell>
        </row>
        <row r="775">
          <cell r="B775" t="str">
            <v>0EX9664404</v>
          </cell>
          <cell r="C775">
            <v>2019</v>
          </cell>
          <cell r="D775" t="str">
            <v>Qtr 2</v>
          </cell>
          <cell r="E775" t="str">
            <v>April</v>
          </cell>
          <cell r="F775">
            <v>16</v>
          </cell>
          <cell r="G775" t="str">
            <v>CORRECTIVO</v>
          </cell>
          <cell r="H775">
            <v>1.4</v>
          </cell>
          <cell r="I775" t="str">
            <v>Departmental Digital</v>
          </cell>
          <cell r="J775">
            <v>655</v>
          </cell>
          <cell r="K775">
            <v>1365</v>
          </cell>
          <cell r="L775">
            <v>0</v>
          </cell>
          <cell r="M775">
            <v>0</v>
          </cell>
          <cell r="N775">
            <v>0.6</v>
          </cell>
          <cell r="O775">
            <v>0.8</v>
          </cell>
          <cell r="P775">
            <v>1.05</v>
          </cell>
          <cell r="Q775">
            <v>1.1000000000000001</v>
          </cell>
          <cell r="R775" t="str">
            <v>INTERIOR</v>
          </cell>
          <cell r="S775">
            <v>5</v>
          </cell>
          <cell r="T775">
            <v>9</v>
          </cell>
          <cell r="U775" t="str">
            <v>Ciudad principal</v>
          </cell>
          <cell r="V775" t="str">
            <v>Departmental Digital</v>
          </cell>
          <cell r="W775" t="str">
            <v>JALISCO</v>
          </cell>
          <cell r="X775">
            <v>2019</v>
          </cell>
          <cell r="Y775" t="str">
            <v>Qtr 2</v>
          </cell>
          <cell r="Z775" t="str">
            <v>April</v>
          </cell>
          <cell r="AA775">
            <v>16</v>
          </cell>
          <cell r="AB775">
            <v>0</v>
          </cell>
          <cell r="AC775">
            <v>47</v>
          </cell>
          <cell r="AD775">
            <v>1.05</v>
          </cell>
          <cell r="AE775">
            <v>0.28000000000000003</v>
          </cell>
          <cell r="AF775">
            <v>1433.25</v>
          </cell>
        </row>
        <row r="776">
          <cell r="B776" t="str">
            <v>0Y4X820694</v>
          </cell>
          <cell r="C776">
            <v>2019</v>
          </cell>
          <cell r="D776" t="str">
            <v>Qtr 2</v>
          </cell>
          <cell r="E776" t="str">
            <v>April</v>
          </cell>
          <cell r="F776">
            <v>16</v>
          </cell>
          <cell r="G776" t="str">
            <v>CORRECTIVO</v>
          </cell>
          <cell r="H776">
            <v>0</v>
          </cell>
          <cell r="I776" t="str">
            <v>Office Digital</v>
          </cell>
          <cell r="J776">
            <v>655</v>
          </cell>
          <cell r="K776">
            <v>1365</v>
          </cell>
          <cell r="L776">
            <v>0</v>
          </cell>
          <cell r="M776">
            <v>0</v>
          </cell>
          <cell r="N776">
            <v>0.6</v>
          </cell>
          <cell r="O776">
            <v>0.8</v>
          </cell>
          <cell r="P776">
            <v>1.05</v>
          </cell>
          <cell r="Q776">
            <v>1.1000000000000001</v>
          </cell>
          <cell r="R776" t="str">
            <v>INTERIOR</v>
          </cell>
          <cell r="S776">
            <v>5</v>
          </cell>
          <cell r="T776">
            <v>9</v>
          </cell>
          <cell r="U776" t="str">
            <v>Ciudad principal</v>
          </cell>
          <cell r="V776" t="str">
            <v>Light Production Digital Business</v>
          </cell>
          <cell r="W776" t="str">
            <v>CHIHUAHUA</v>
          </cell>
          <cell r="X776">
            <v>2019</v>
          </cell>
          <cell r="Y776" t="str">
            <v>Qtr 2</v>
          </cell>
          <cell r="Z776" t="str">
            <v>April</v>
          </cell>
          <cell r="AA776">
            <v>24</v>
          </cell>
          <cell r="AB776">
            <v>0</v>
          </cell>
          <cell r="AC776">
            <v>36</v>
          </cell>
          <cell r="AD776">
            <v>1.05</v>
          </cell>
          <cell r="AE776">
            <v>0</v>
          </cell>
          <cell r="AF776">
            <v>1433.25</v>
          </cell>
        </row>
        <row r="777">
          <cell r="B777" t="str">
            <v>0EX9665373</v>
          </cell>
          <cell r="C777">
            <v>2019</v>
          </cell>
          <cell r="D777" t="str">
            <v>Qtr 2</v>
          </cell>
          <cell r="E777" t="str">
            <v>April</v>
          </cell>
          <cell r="F777">
            <v>16</v>
          </cell>
          <cell r="G777" t="str">
            <v>CORRECTIVO</v>
          </cell>
          <cell r="H777">
            <v>3.9666670000000002</v>
          </cell>
          <cell r="I777" t="str">
            <v>Departmental Digital</v>
          </cell>
          <cell r="J777">
            <v>655</v>
          </cell>
          <cell r="K777">
            <v>1365</v>
          </cell>
          <cell r="L777">
            <v>0</v>
          </cell>
          <cell r="M777">
            <v>0</v>
          </cell>
          <cell r="N777">
            <v>0.6</v>
          </cell>
          <cell r="O777">
            <v>0.8</v>
          </cell>
          <cell r="P777">
            <v>1.05</v>
          </cell>
          <cell r="Q777">
            <v>1.1000000000000001</v>
          </cell>
          <cell r="R777" t="str">
            <v>INTERIOR</v>
          </cell>
          <cell r="S777">
            <v>5</v>
          </cell>
          <cell r="T777">
            <v>9</v>
          </cell>
          <cell r="U777" t="str">
            <v>Ciudad principal</v>
          </cell>
          <cell r="V777" t="str">
            <v>Departmental Digital</v>
          </cell>
          <cell r="W777" t="str">
            <v>GUANAJUATO</v>
          </cell>
          <cell r="X777">
            <v>2019</v>
          </cell>
          <cell r="Y777" t="str">
            <v>Qtr 2</v>
          </cell>
          <cell r="Z777" t="str">
            <v>April</v>
          </cell>
          <cell r="AA777">
            <v>16</v>
          </cell>
          <cell r="AB777">
            <v>0</v>
          </cell>
          <cell r="AC777">
            <v>26</v>
          </cell>
          <cell r="AD777">
            <v>0.8</v>
          </cell>
          <cell r="AE777">
            <v>0.79333339999999997</v>
          </cell>
          <cell r="AF777">
            <v>1092</v>
          </cell>
        </row>
        <row r="778">
          <cell r="B778" t="str">
            <v>09HB331468</v>
          </cell>
          <cell r="C778">
            <v>2019</v>
          </cell>
          <cell r="D778" t="str">
            <v>Qtr 2</v>
          </cell>
          <cell r="E778" t="str">
            <v>April</v>
          </cell>
          <cell r="F778">
            <v>16</v>
          </cell>
          <cell r="G778" t="str">
            <v>MANTENIMIENTO PREVENTIVO</v>
          </cell>
          <cell r="H778">
            <v>0</v>
          </cell>
          <cell r="I778" t="str">
            <v>A4 Mono MFPs</v>
          </cell>
          <cell r="J778">
            <v>468</v>
          </cell>
          <cell r="K778">
            <v>715</v>
          </cell>
          <cell r="L778">
            <v>0</v>
          </cell>
          <cell r="M778">
            <v>0</v>
          </cell>
          <cell r="N778">
            <v>0</v>
          </cell>
          <cell r="O778">
            <v>0.6</v>
          </cell>
          <cell r="P778">
            <v>0.8</v>
          </cell>
          <cell r="Q778">
            <v>1.05</v>
          </cell>
          <cell r="R778" t="str">
            <v>INTERIOR</v>
          </cell>
          <cell r="S778">
            <v>5</v>
          </cell>
          <cell r="T778">
            <v>9</v>
          </cell>
          <cell r="U778" t="str">
            <v>Ciudad principal</v>
          </cell>
          <cell r="V778" t="str">
            <v>A4 Mono MFPs</v>
          </cell>
          <cell r="W778" t="str">
            <v>JALISCO</v>
          </cell>
          <cell r="X778">
            <v>2019</v>
          </cell>
          <cell r="Y778" t="str">
            <v>Qtr 2</v>
          </cell>
          <cell r="Z778" t="str">
            <v>April</v>
          </cell>
          <cell r="AA778">
            <v>16</v>
          </cell>
          <cell r="AB778">
            <v>1</v>
          </cell>
          <cell r="AC778">
            <v>77</v>
          </cell>
          <cell r="AD778">
            <v>0</v>
          </cell>
          <cell r="AE778">
            <v>0</v>
          </cell>
          <cell r="AF778">
            <v>0</v>
          </cell>
        </row>
        <row r="779">
          <cell r="B779" t="str">
            <v>09HB331426</v>
          </cell>
          <cell r="C779">
            <v>2019</v>
          </cell>
          <cell r="D779" t="str">
            <v>Qtr 2</v>
          </cell>
          <cell r="E779" t="str">
            <v>April</v>
          </cell>
          <cell r="F779">
            <v>16</v>
          </cell>
          <cell r="G779" t="str">
            <v>MANTENIMIENTO PREVENTIVO</v>
          </cell>
          <cell r="H779">
            <v>0</v>
          </cell>
          <cell r="I779" t="str">
            <v>A4 Mono MFPs</v>
          </cell>
          <cell r="J779">
            <v>468</v>
          </cell>
          <cell r="K779">
            <v>715</v>
          </cell>
          <cell r="L779">
            <v>0</v>
          </cell>
          <cell r="M779">
            <v>0</v>
          </cell>
          <cell r="N779">
            <v>0</v>
          </cell>
          <cell r="O779">
            <v>0.6</v>
          </cell>
          <cell r="P779">
            <v>0.8</v>
          </cell>
          <cell r="Q779">
            <v>1.05</v>
          </cell>
          <cell r="R779" t="str">
            <v>INTERIOR</v>
          </cell>
          <cell r="S779">
            <v>5</v>
          </cell>
          <cell r="T779">
            <v>9</v>
          </cell>
          <cell r="U779" t="str">
            <v>Ciudad principal</v>
          </cell>
          <cell r="V779" t="str">
            <v>A4 Mono MFPs</v>
          </cell>
          <cell r="W779" t="str">
            <v>JALISCO</v>
          </cell>
          <cell r="X779">
            <v>2019</v>
          </cell>
          <cell r="Y779" t="str">
            <v>Qtr 2</v>
          </cell>
          <cell r="Z779" t="str">
            <v>April</v>
          </cell>
          <cell r="AA779">
            <v>16</v>
          </cell>
          <cell r="AB779">
            <v>1</v>
          </cell>
          <cell r="AC779">
            <v>20</v>
          </cell>
          <cell r="AD779">
            <v>0</v>
          </cell>
          <cell r="AE779">
            <v>0</v>
          </cell>
          <cell r="AF779">
            <v>0</v>
          </cell>
        </row>
        <row r="780">
          <cell r="B780" t="str">
            <v>09HB331518</v>
          </cell>
          <cell r="C780">
            <v>2019</v>
          </cell>
          <cell r="D780" t="str">
            <v>Qtr 2</v>
          </cell>
          <cell r="E780" t="str">
            <v>April</v>
          </cell>
          <cell r="F780">
            <v>16</v>
          </cell>
          <cell r="G780" t="str">
            <v>MANTENIMIENTO PREVENTIVO</v>
          </cell>
          <cell r="H780">
            <v>0</v>
          </cell>
          <cell r="J780" t="str">
            <v>NA</v>
          </cell>
          <cell r="K780" t="str">
            <v>NA</v>
          </cell>
          <cell r="L780" t="str">
            <v>NA</v>
          </cell>
          <cell r="M780" t="str">
            <v>NA</v>
          </cell>
          <cell r="N780" t="str">
            <v>NA</v>
          </cell>
          <cell r="O780" t="str">
            <v>NA</v>
          </cell>
          <cell r="P780" t="str">
            <v>NA</v>
          </cell>
          <cell r="Q780" t="str">
            <v>NA</v>
          </cell>
          <cell r="S780" t="str">
            <v>NA</v>
          </cell>
          <cell r="T780" t="str">
            <v>NA</v>
          </cell>
          <cell r="V780" t="str">
            <v>A4 Mono MFPs</v>
          </cell>
          <cell r="W780" t="str">
            <v>JALISCO</v>
          </cell>
          <cell r="X780">
            <v>2019</v>
          </cell>
          <cell r="Y780" t="str">
            <v>Qtr 2</v>
          </cell>
          <cell r="Z780" t="str">
            <v>April</v>
          </cell>
          <cell r="AA780">
            <v>16</v>
          </cell>
          <cell r="AB780" t="str">
            <v>NA</v>
          </cell>
          <cell r="AC780">
            <v>20</v>
          </cell>
          <cell r="AD780">
            <v>0</v>
          </cell>
          <cell r="AE780">
            <v>0</v>
          </cell>
          <cell r="AF780">
            <v>0</v>
          </cell>
        </row>
        <row r="781">
          <cell r="B781" t="str">
            <v>3RB705952</v>
          </cell>
          <cell r="C781">
            <v>2019</v>
          </cell>
          <cell r="D781" t="str">
            <v>Qtr 2</v>
          </cell>
          <cell r="E781" t="str">
            <v>April</v>
          </cell>
          <cell r="F781">
            <v>16</v>
          </cell>
          <cell r="G781" t="str">
            <v>CORRECTIVO</v>
          </cell>
          <cell r="H781">
            <v>1.8333330000000001</v>
          </cell>
          <cell r="I781" t="str">
            <v>A4 Color Laser MFPs</v>
          </cell>
          <cell r="J781">
            <v>468</v>
          </cell>
          <cell r="K781">
            <v>715</v>
          </cell>
          <cell r="L781">
            <v>0</v>
          </cell>
          <cell r="M781">
            <v>0</v>
          </cell>
          <cell r="N781">
            <v>0</v>
          </cell>
          <cell r="O781">
            <v>0.6</v>
          </cell>
          <cell r="P781">
            <v>0.8</v>
          </cell>
          <cell r="Q781">
            <v>1.05</v>
          </cell>
          <cell r="R781" t="str">
            <v>INTERIOR</v>
          </cell>
          <cell r="S781">
            <v>5</v>
          </cell>
          <cell r="T781">
            <v>9</v>
          </cell>
          <cell r="U781" t="str">
            <v>Otras</v>
          </cell>
          <cell r="V781" t="str">
            <v>A4 Color Laser MFPs</v>
          </cell>
          <cell r="W781" t="str">
            <v>NUEVO LEON</v>
          </cell>
          <cell r="X781">
            <v>2019</v>
          </cell>
          <cell r="Y781" t="str">
            <v>Qtr 2</v>
          </cell>
          <cell r="Z781" t="str">
            <v>April</v>
          </cell>
          <cell r="AA781">
            <v>17</v>
          </cell>
          <cell r="AB781">
            <v>0</v>
          </cell>
          <cell r="AC781">
            <v>33</v>
          </cell>
          <cell r="AD781">
            <v>0.8</v>
          </cell>
          <cell r="AE781">
            <v>0.203703666666667</v>
          </cell>
          <cell r="AF781">
            <v>572</v>
          </cell>
        </row>
        <row r="782">
          <cell r="B782" t="str">
            <v>09HB331514</v>
          </cell>
          <cell r="C782">
            <v>2019</v>
          </cell>
          <cell r="D782" t="str">
            <v>Qtr 2</v>
          </cell>
          <cell r="E782" t="str">
            <v>April</v>
          </cell>
          <cell r="F782">
            <v>16</v>
          </cell>
          <cell r="G782" t="str">
            <v>MANTENIMIENTO PREVENTIVO</v>
          </cell>
          <cell r="H782">
            <v>0</v>
          </cell>
          <cell r="J782" t="str">
            <v>NA</v>
          </cell>
          <cell r="K782" t="str">
            <v>NA</v>
          </cell>
          <cell r="L782" t="str">
            <v>NA</v>
          </cell>
          <cell r="M782" t="str">
            <v>NA</v>
          </cell>
          <cell r="N782" t="str">
            <v>NA</v>
          </cell>
          <cell r="O782" t="str">
            <v>NA</v>
          </cell>
          <cell r="P782" t="str">
            <v>NA</v>
          </cell>
          <cell r="Q782" t="str">
            <v>NA</v>
          </cell>
          <cell r="S782" t="str">
            <v>NA</v>
          </cell>
          <cell r="T782" t="str">
            <v>NA</v>
          </cell>
          <cell r="V782" t="str">
            <v>A4 Mono MFPs</v>
          </cell>
          <cell r="W782" t="str">
            <v>JALISCO</v>
          </cell>
          <cell r="X782">
            <v>2019</v>
          </cell>
          <cell r="Y782" t="str">
            <v>Qtr 2</v>
          </cell>
          <cell r="Z782" t="str">
            <v>April</v>
          </cell>
          <cell r="AA782">
            <v>16</v>
          </cell>
          <cell r="AB782" t="str">
            <v>NA</v>
          </cell>
          <cell r="AC782">
            <v>20</v>
          </cell>
          <cell r="AD782">
            <v>0</v>
          </cell>
          <cell r="AE782">
            <v>0</v>
          </cell>
          <cell r="AF782">
            <v>0</v>
          </cell>
        </row>
        <row r="783">
          <cell r="B783" t="str">
            <v>0Y4X848853</v>
          </cell>
          <cell r="C783">
            <v>2019</v>
          </cell>
          <cell r="D783" t="str">
            <v>Qtr 2</v>
          </cell>
          <cell r="E783" t="str">
            <v>April</v>
          </cell>
          <cell r="F783">
            <v>16</v>
          </cell>
          <cell r="G783" t="str">
            <v>MANTENIMIENTO PREVENTIVO</v>
          </cell>
          <cell r="H783">
            <v>0</v>
          </cell>
          <cell r="J783" t="str">
            <v>NA</v>
          </cell>
          <cell r="K783" t="str">
            <v>NA</v>
          </cell>
          <cell r="L783" t="str">
            <v>NA</v>
          </cell>
          <cell r="M783" t="str">
            <v>NA</v>
          </cell>
          <cell r="N783" t="str">
            <v>NA</v>
          </cell>
          <cell r="O783" t="str">
            <v>NA</v>
          </cell>
          <cell r="P783" t="str">
            <v>NA</v>
          </cell>
          <cell r="Q783" t="str">
            <v>NA</v>
          </cell>
          <cell r="S783" t="str">
            <v>NA</v>
          </cell>
          <cell r="T783" t="str">
            <v>NA</v>
          </cell>
          <cell r="V783" t="str">
            <v>Light Production Digital Business</v>
          </cell>
          <cell r="W783" t="str">
            <v>JALISCO</v>
          </cell>
          <cell r="X783">
            <v>2019</v>
          </cell>
          <cell r="Y783" t="str">
            <v>Qtr 2</v>
          </cell>
          <cell r="Z783" t="str">
            <v>April</v>
          </cell>
          <cell r="AA783">
            <v>16</v>
          </cell>
          <cell r="AB783" t="str">
            <v>NA</v>
          </cell>
          <cell r="AC783">
            <v>20</v>
          </cell>
          <cell r="AD783">
            <v>0</v>
          </cell>
          <cell r="AE783">
            <v>0</v>
          </cell>
          <cell r="AF783">
            <v>0</v>
          </cell>
        </row>
        <row r="784">
          <cell r="B784" t="str">
            <v>0EX9665193</v>
          </cell>
          <cell r="C784">
            <v>2019</v>
          </cell>
          <cell r="D784" t="str">
            <v>Qtr 2</v>
          </cell>
          <cell r="E784" t="str">
            <v>April</v>
          </cell>
          <cell r="F784">
            <v>16</v>
          </cell>
          <cell r="G784" t="str">
            <v>CORRECTIVO</v>
          </cell>
          <cell r="H784">
            <v>1.8</v>
          </cell>
          <cell r="I784" t="str">
            <v>Departmental Digital</v>
          </cell>
          <cell r="J784">
            <v>655</v>
          </cell>
          <cell r="K784">
            <v>1365</v>
          </cell>
          <cell r="L784">
            <v>0</v>
          </cell>
          <cell r="M784">
            <v>0</v>
          </cell>
          <cell r="N784">
            <v>0.6</v>
          </cell>
          <cell r="O784">
            <v>0.8</v>
          </cell>
          <cell r="P784">
            <v>1.05</v>
          </cell>
          <cell r="Q784">
            <v>1.1000000000000001</v>
          </cell>
          <cell r="R784" t="str">
            <v>INTERIOR</v>
          </cell>
          <cell r="S784">
            <v>5</v>
          </cell>
          <cell r="T784">
            <v>9</v>
          </cell>
          <cell r="U784" t="str">
            <v>Ciudad principal</v>
          </cell>
          <cell r="V784" t="str">
            <v>Departmental Digital</v>
          </cell>
          <cell r="W784" t="str">
            <v>NUEVO LEON</v>
          </cell>
          <cell r="X784">
            <v>2019</v>
          </cell>
          <cell r="Y784" t="str">
            <v>Qtr 2</v>
          </cell>
          <cell r="Z784" t="str">
            <v>April</v>
          </cell>
          <cell r="AA784">
            <v>17</v>
          </cell>
          <cell r="AB784">
            <v>0</v>
          </cell>
          <cell r="AC784">
            <v>68</v>
          </cell>
          <cell r="AD784">
            <v>1.1000000000000001</v>
          </cell>
          <cell r="AE784">
            <v>0.36</v>
          </cell>
          <cell r="AF784">
            <v>1501.5</v>
          </cell>
        </row>
        <row r="785">
          <cell r="B785" t="str">
            <v>0A4T554111</v>
          </cell>
          <cell r="C785">
            <v>2019</v>
          </cell>
          <cell r="D785" t="str">
            <v>Qtr 2</v>
          </cell>
          <cell r="E785" t="str">
            <v>April</v>
          </cell>
          <cell r="F785">
            <v>16</v>
          </cell>
          <cell r="G785" t="str">
            <v>CORRECTIVO</v>
          </cell>
          <cell r="H785">
            <v>1.2833330000000001</v>
          </cell>
          <cell r="I785" t="str">
            <v>Entry Mono Printers</v>
          </cell>
          <cell r="J785">
            <v>468</v>
          </cell>
          <cell r="K785">
            <v>715</v>
          </cell>
          <cell r="L785">
            <v>0</v>
          </cell>
          <cell r="M785">
            <v>0</v>
          </cell>
          <cell r="N785">
            <v>0</v>
          </cell>
          <cell r="O785">
            <v>0.6</v>
          </cell>
          <cell r="P785">
            <v>0.8</v>
          </cell>
          <cell r="Q785">
            <v>1.05</v>
          </cell>
          <cell r="R785" t="str">
            <v>INTERIOR</v>
          </cell>
          <cell r="S785">
            <v>5</v>
          </cell>
          <cell r="T785">
            <v>9</v>
          </cell>
          <cell r="U785" t="str">
            <v>Ciudad principal</v>
          </cell>
          <cell r="V785" t="str">
            <v>A4 Mono MFPs</v>
          </cell>
          <cell r="W785" t="str">
            <v>CHIHUAHUA</v>
          </cell>
          <cell r="X785">
            <v>2019</v>
          </cell>
          <cell r="Y785" t="str">
            <v>Qtr 2</v>
          </cell>
          <cell r="Z785" t="str">
            <v>April</v>
          </cell>
          <cell r="AA785">
            <v>16</v>
          </cell>
          <cell r="AB785">
            <v>0</v>
          </cell>
          <cell r="AC785">
            <v>57</v>
          </cell>
          <cell r="AD785">
            <v>0.8</v>
          </cell>
          <cell r="AE785">
            <v>0.25666660000000002</v>
          </cell>
          <cell r="AF785">
            <v>572</v>
          </cell>
        </row>
        <row r="786">
          <cell r="B786" t="str">
            <v>0EX9293121</v>
          </cell>
          <cell r="C786">
            <v>2019</v>
          </cell>
          <cell r="D786" t="str">
            <v>Qtr 2</v>
          </cell>
          <cell r="E786" t="str">
            <v>April</v>
          </cell>
          <cell r="F786">
            <v>16</v>
          </cell>
          <cell r="G786" t="str">
            <v>CORRECTIVO</v>
          </cell>
          <cell r="H786">
            <v>3.1166670000000001</v>
          </cell>
          <cell r="I786" t="str">
            <v>Departmental Digital</v>
          </cell>
          <cell r="J786">
            <v>655</v>
          </cell>
          <cell r="K786">
            <v>1365</v>
          </cell>
          <cell r="L786">
            <v>0</v>
          </cell>
          <cell r="M786">
            <v>0</v>
          </cell>
          <cell r="N786">
            <v>0.6</v>
          </cell>
          <cell r="O786">
            <v>0.8</v>
          </cell>
          <cell r="P786">
            <v>1.05</v>
          </cell>
          <cell r="Q786">
            <v>1.1000000000000001</v>
          </cell>
          <cell r="R786" t="str">
            <v>INTERIOR</v>
          </cell>
          <cell r="S786">
            <v>5</v>
          </cell>
          <cell r="T786">
            <v>9</v>
          </cell>
          <cell r="U786" t="str">
            <v>Ciudad principal</v>
          </cell>
          <cell r="V786" t="str">
            <v>Departmental Digital</v>
          </cell>
          <cell r="W786" t="str">
            <v>NUEVO LEON</v>
          </cell>
          <cell r="X786">
            <v>2019</v>
          </cell>
          <cell r="Y786" t="str">
            <v>Qtr 2</v>
          </cell>
          <cell r="Z786" t="str">
            <v>April</v>
          </cell>
          <cell r="AA786">
            <v>16</v>
          </cell>
          <cell r="AB786">
            <v>0</v>
          </cell>
          <cell r="AC786">
            <v>25</v>
          </cell>
          <cell r="AD786">
            <v>0.8</v>
          </cell>
          <cell r="AE786">
            <v>0.62333340000000004</v>
          </cell>
          <cell r="AF786">
            <v>1092</v>
          </cell>
        </row>
        <row r="787">
          <cell r="B787" t="str">
            <v>09HB331517</v>
          </cell>
          <cell r="C787">
            <v>2019</v>
          </cell>
          <cell r="D787" t="str">
            <v>Qtr 2</v>
          </cell>
          <cell r="E787" t="str">
            <v>April</v>
          </cell>
          <cell r="F787">
            <v>16</v>
          </cell>
          <cell r="G787" t="str">
            <v>MANTENIMIENTO PREVENTIVO</v>
          </cell>
          <cell r="H787">
            <v>0</v>
          </cell>
          <cell r="J787" t="str">
            <v>NA</v>
          </cell>
          <cell r="K787" t="str">
            <v>NA</v>
          </cell>
          <cell r="L787" t="str">
            <v>NA</v>
          </cell>
          <cell r="M787" t="str">
            <v>NA</v>
          </cell>
          <cell r="N787" t="str">
            <v>NA</v>
          </cell>
          <cell r="O787" t="str">
            <v>NA</v>
          </cell>
          <cell r="P787" t="str">
            <v>NA</v>
          </cell>
          <cell r="Q787" t="str">
            <v>NA</v>
          </cell>
          <cell r="S787" t="str">
            <v>NA</v>
          </cell>
          <cell r="T787" t="str">
            <v>NA</v>
          </cell>
          <cell r="V787" t="str">
            <v>A4 Mono MFPs</v>
          </cell>
          <cell r="W787" t="str">
            <v>JALISCO</v>
          </cell>
          <cell r="X787">
            <v>2019</v>
          </cell>
          <cell r="Y787" t="str">
            <v>Qtr 2</v>
          </cell>
          <cell r="Z787" t="str">
            <v>April</v>
          </cell>
          <cell r="AA787">
            <v>16</v>
          </cell>
          <cell r="AB787" t="str">
            <v>NA</v>
          </cell>
          <cell r="AC787">
            <v>6</v>
          </cell>
          <cell r="AD787">
            <v>0</v>
          </cell>
          <cell r="AE787">
            <v>0</v>
          </cell>
          <cell r="AF787">
            <v>0</v>
          </cell>
        </row>
        <row r="788">
          <cell r="B788" t="str">
            <v>0A4T558879</v>
          </cell>
          <cell r="C788">
            <v>2019</v>
          </cell>
          <cell r="D788" t="str">
            <v>Qtr 2</v>
          </cell>
          <cell r="E788" t="str">
            <v>April</v>
          </cell>
          <cell r="F788">
            <v>16</v>
          </cell>
          <cell r="G788" t="str">
            <v>CORRECTIVO</v>
          </cell>
          <cell r="H788">
            <v>2.1666669999999999</v>
          </cell>
          <cell r="I788" t="str">
            <v>Entry Mono Printers</v>
          </cell>
          <cell r="J788">
            <v>468</v>
          </cell>
          <cell r="K788">
            <v>715</v>
          </cell>
          <cell r="L788">
            <v>0</v>
          </cell>
          <cell r="M788">
            <v>0</v>
          </cell>
          <cell r="N788">
            <v>0</v>
          </cell>
          <cell r="O788">
            <v>0.6</v>
          </cell>
          <cell r="P788">
            <v>0.8</v>
          </cell>
          <cell r="Q788">
            <v>1.05</v>
          </cell>
          <cell r="R788" t="str">
            <v>INTERIOR</v>
          </cell>
          <cell r="S788">
            <v>5</v>
          </cell>
          <cell r="T788">
            <v>9</v>
          </cell>
          <cell r="U788" t="str">
            <v>Ciudad principal</v>
          </cell>
          <cell r="V788" t="str">
            <v>A4 Mono MFPs</v>
          </cell>
          <cell r="W788" t="str">
            <v>JALISCO</v>
          </cell>
          <cell r="X788">
            <v>2019</v>
          </cell>
          <cell r="Y788" t="str">
            <v>Qtr 2</v>
          </cell>
          <cell r="Z788" t="str">
            <v>April</v>
          </cell>
          <cell r="AA788">
            <v>22</v>
          </cell>
          <cell r="AB788">
            <v>0</v>
          </cell>
          <cell r="AC788">
            <v>61</v>
          </cell>
          <cell r="AD788">
            <v>1.05</v>
          </cell>
          <cell r="AE788">
            <v>0.43333339999999998</v>
          </cell>
          <cell r="AF788">
            <v>750.75</v>
          </cell>
        </row>
        <row r="789">
          <cell r="B789" t="str">
            <v>0XLT281160</v>
          </cell>
          <cell r="C789">
            <v>2019</v>
          </cell>
          <cell r="D789" t="str">
            <v>Qtr 2</v>
          </cell>
          <cell r="E789" t="str">
            <v>April</v>
          </cell>
          <cell r="F789">
            <v>16</v>
          </cell>
          <cell r="G789" t="str">
            <v>CORRECTIVO</v>
          </cell>
          <cell r="H789">
            <v>0.48333330000000002</v>
          </cell>
          <cell r="I789" t="str">
            <v>Entry Mono Printers</v>
          </cell>
          <cell r="J789">
            <v>468</v>
          </cell>
          <cell r="K789">
            <v>715</v>
          </cell>
          <cell r="L789">
            <v>0</v>
          </cell>
          <cell r="M789">
            <v>0</v>
          </cell>
          <cell r="N789">
            <v>0</v>
          </cell>
          <cell r="O789">
            <v>0.6</v>
          </cell>
          <cell r="P789">
            <v>0.8</v>
          </cell>
          <cell r="Q789">
            <v>1.05</v>
          </cell>
          <cell r="R789" t="str">
            <v>INTERIOR</v>
          </cell>
          <cell r="S789">
            <v>5</v>
          </cell>
          <cell r="T789">
            <v>9</v>
          </cell>
          <cell r="U789" t="str">
            <v>Otras</v>
          </cell>
          <cell r="V789" t="str">
            <v>Entry Mono Printers</v>
          </cell>
          <cell r="W789" t="str">
            <v>COAHUILA</v>
          </cell>
          <cell r="X789">
            <v>2019</v>
          </cell>
          <cell r="Y789" t="str">
            <v>Qtr 2</v>
          </cell>
          <cell r="Z789" t="str">
            <v>April</v>
          </cell>
          <cell r="AA789">
            <v>22</v>
          </cell>
          <cell r="AB789">
            <v>1</v>
          </cell>
          <cell r="AC789">
            <v>201</v>
          </cell>
          <cell r="AD789">
            <v>0</v>
          </cell>
          <cell r="AE789">
            <v>0</v>
          </cell>
          <cell r="AF789">
            <v>0</v>
          </cell>
        </row>
        <row r="790">
          <cell r="B790" t="str">
            <v>0UHA002009</v>
          </cell>
          <cell r="C790">
            <v>2019</v>
          </cell>
          <cell r="D790" t="str">
            <v>Qtr 2</v>
          </cell>
          <cell r="E790" t="str">
            <v>April</v>
          </cell>
          <cell r="F790">
            <v>16</v>
          </cell>
          <cell r="G790" t="str">
            <v>CORRECTIVO</v>
          </cell>
          <cell r="H790">
            <v>6.7166670000000002</v>
          </cell>
          <cell r="I790" t="str">
            <v>High End Cut Sheet</v>
          </cell>
          <cell r="J790">
            <v>1116</v>
          </cell>
          <cell r="K790">
            <v>2145</v>
          </cell>
          <cell r="L790">
            <v>0.6</v>
          </cell>
          <cell r="M790">
            <v>0.8</v>
          </cell>
          <cell r="N790">
            <v>1.05</v>
          </cell>
          <cell r="O790">
            <v>1.1000000000000001</v>
          </cell>
          <cell r="P790">
            <v>1.1499999999999999</v>
          </cell>
          <cell r="Q790">
            <v>1.2</v>
          </cell>
          <cell r="R790" t="str">
            <v>INTERIOR</v>
          </cell>
          <cell r="S790">
            <v>3</v>
          </cell>
          <cell r="T790">
            <v>6</v>
          </cell>
          <cell r="U790" t="str">
            <v>Ciudad principal</v>
          </cell>
          <cell r="V790" t="str">
            <v>High End Cut Sheet</v>
          </cell>
          <cell r="W790" t="str">
            <v>JALISCO</v>
          </cell>
          <cell r="X790">
            <v>2019</v>
          </cell>
          <cell r="Y790" t="str">
            <v>Qtr 2</v>
          </cell>
          <cell r="Z790" t="str">
            <v>April</v>
          </cell>
          <cell r="AA790">
            <v>22</v>
          </cell>
          <cell r="AB790">
            <v>0</v>
          </cell>
          <cell r="AC790">
            <v>53</v>
          </cell>
          <cell r="AD790">
            <v>1.1499999999999999</v>
          </cell>
          <cell r="AE790">
            <v>2.2388889999999999</v>
          </cell>
          <cell r="AF790">
            <v>1802.39577375</v>
          </cell>
        </row>
        <row r="791">
          <cell r="B791" t="str">
            <v>03AG879544</v>
          </cell>
          <cell r="C791">
            <v>2019</v>
          </cell>
          <cell r="D791" t="str">
            <v>Qtr 2</v>
          </cell>
          <cell r="E791" t="str">
            <v>April</v>
          </cell>
          <cell r="F791">
            <v>16</v>
          </cell>
          <cell r="G791" t="str">
            <v>MANTENIMIENTO PREVENTIVO</v>
          </cell>
          <cell r="H791">
            <v>0</v>
          </cell>
          <cell r="I791" t="str">
            <v>Departmental Digital</v>
          </cell>
          <cell r="J791">
            <v>655</v>
          </cell>
          <cell r="K791">
            <v>1365</v>
          </cell>
          <cell r="L791">
            <v>0</v>
          </cell>
          <cell r="M791">
            <v>0</v>
          </cell>
          <cell r="N791">
            <v>0.6</v>
          </cell>
          <cell r="O791">
            <v>0.8</v>
          </cell>
          <cell r="P791">
            <v>1.05</v>
          </cell>
          <cell r="Q791">
            <v>1.1000000000000001</v>
          </cell>
          <cell r="R791" t="str">
            <v>INTERIOR</v>
          </cell>
          <cell r="S791">
            <v>5</v>
          </cell>
          <cell r="T791">
            <v>9</v>
          </cell>
          <cell r="U791" t="str">
            <v>Ciudad principal</v>
          </cell>
          <cell r="V791" t="str">
            <v>Light Production Digital Business</v>
          </cell>
          <cell r="W791" t="str">
            <v>JALISCO</v>
          </cell>
          <cell r="X791">
            <v>2019</v>
          </cell>
          <cell r="Y791" t="str">
            <v>Qtr 2</v>
          </cell>
          <cell r="Z791" t="str">
            <v>April</v>
          </cell>
          <cell r="AA791">
            <v>16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1365</v>
          </cell>
        </row>
        <row r="792">
          <cell r="B792" t="str">
            <v>0RXD138972</v>
          </cell>
          <cell r="C792">
            <v>2019</v>
          </cell>
          <cell r="D792" t="str">
            <v>Qtr 2</v>
          </cell>
          <cell r="E792" t="str">
            <v>April</v>
          </cell>
          <cell r="F792">
            <v>16</v>
          </cell>
          <cell r="G792" t="str">
            <v>CORRECTIVO</v>
          </cell>
          <cell r="H792">
            <v>0.63333329999999999</v>
          </cell>
          <cell r="I792" t="str">
            <v>Color Laser Printers</v>
          </cell>
          <cell r="J792">
            <v>468</v>
          </cell>
          <cell r="K792">
            <v>715</v>
          </cell>
          <cell r="L792">
            <v>0</v>
          </cell>
          <cell r="M792">
            <v>0</v>
          </cell>
          <cell r="N792">
            <v>0</v>
          </cell>
          <cell r="O792">
            <v>0.6</v>
          </cell>
          <cell r="P792">
            <v>0.8</v>
          </cell>
          <cell r="Q792">
            <v>1.05</v>
          </cell>
          <cell r="R792" t="str">
            <v>INTERIOR</v>
          </cell>
          <cell r="S792">
            <v>5</v>
          </cell>
          <cell r="T792">
            <v>9</v>
          </cell>
          <cell r="U792" t="str">
            <v>Ciudad principal</v>
          </cell>
          <cell r="V792" t="str">
            <v>A3 Office Color Laser MFPs</v>
          </cell>
          <cell r="W792" t="str">
            <v>DURANGO</v>
          </cell>
          <cell r="X792">
            <v>2019</v>
          </cell>
          <cell r="Y792" t="str">
            <v>Qtr 2</v>
          </cell>
          <cell r="Z792" t="str">
            <v>April</v>
          </cell>
          <cell r="AA792">
            <v>25</v>
          </cell>
          <cell r="AB792">
            <v>0</v>
          </cell>
          <cell r="AC792">
            <v>54</v>
          </cell>
          <cell r="AD792">
            <v>0.8</v>
          </cell>
          <cell r="AE792">
            <v>0.12666665999999999</v>
          </cell>
          <cell r="AF792">
            <v>572</v>
          </cell>
        </row>
        <row r="793">
          <cell r="B793" t="str">
            <v>0PW4111396</v>
          </cell>
          <cell r="C793">
            <v>2019</v>
          </cell>
          <cell r="D793" t="str">
            <v>Qtr 2</v>
          </cell>
          <cell r="E793" t="str">
            <v>April</v>
          </cell>
          <cell r="F793">
            <v>16</v>
          </cell>
          <cell r="G793" t="str">
            <v>CORRECTIVO</v>
          </cell>
          <cell r="H793">
            <v>2.4</v>
          </cell>
          <cell r="I793" t="str">
            <v>WF Mono Systems and Legacy Color</v>
          </cell>
          <cell r="J793">
            <v>803</v>
          </cell>
          <cell r="K793">
            <v>1573</v>
          </cell>
          <cell r="L793">
            <v>0.2</v>
          </cell>
          <cell r="M793">
            <v>0.6</v>
          </cell>
          <cell r="N793">
            <v>0.8</v>
          </cell>
          <cell r="O793">
            <v>1.05</v>
          </cell>
          <cell r="P793">
            <v>1.1000000000000001</v>
          </cell>
          <cell r="Q793">
            <v>1.1499999999999999</v>
          </cell>
          <cell r="R793" t="str">
            <v>INTERIOR</v>
          </cell>
          <cell r="S793">
            <v>4</v>
          </cell>
          <cell r="T793">
            <v>6</v>
          </cell>
          <cell r="U793" t="str">
            <v>Ciudad principal</v>
          </cell>
          <cell r="V793" t="str">
            <v>WF Mono Systems and Legacy Color</v>
          </cell>
          <cell r="W793" t="str">
            <v>COAHUILA</v>
          </cell>
          <cell r="X793">
            <v>2019</v>
          </cell>
          <cell r="Y793" t="str">
            <v>Qtr 2</v>
          </cell>
          <cell r="Z793" t="str">
            <v>April</v>
          </cell>
          <cell r="AA793">
            <v>16</v>
          </cell>
          <cell r="AB793">
            <v>0</v>
          </cell>
          <cell r="AC793">
            <v>13</v>
          </cell>
          <cell r="AD793">
            <v>0.8</v>
          </cell>
          <cell r="AE793">
            <v>0.6</v>
          </cell>
          <cell r="AF793">
            <v>1258.4000000000001</v>
          </cell>
        </row>
        <row r="794">
          <cell r="B794" t="str">
            <v>0A1H021115</v>
          </cell>
          <cell r="C794">
            <v>2019</v>
          </cell>
          <cell r="D794" t="str">
            <v>Qtr 2</v>
          </cell>
          <cell r="E794" t="str">
            <v>April</v>
          </cell>
          <cell r="F794">
            <v>16</v>
          </cell>
          <cell r="G794" t="str">
            <v>CORRECTIVO</v>
          </cell>
          <cell r="H794">
            <v>2.4500000000000002</v>
          </cell>
          <cell r="I794" t="str">
            <v>WF Mono Systems and Legacy Color</v>
          </cell>
          <cell r="J794">
            <v>803</v>
          </cell>
          <cell r="K794">
            <v>1573</v>
          </cell>
          <cell r="L794">
            <v>0.2</v>
          </cell>
          <cell r="M794">
            <v>0.6</v>
          </cell>
          <cell r="N794">
            <v>0.8</v>
          </cell>
          <cell r="O794">
            <v>1.05</v>
          </cell>
          <cell r="P794">
            <v>1.1000000000000001</v>
          </cell>
          <cell r="Q794">
            <v>1.1499999999999999</v>
          </cell>
          <cell r="R794" t="str">
            <v>INTERIOR</v>
          </cell>
          <cell r="S794">
            <v>4</v>
          </cell>
          <cell r="T794">
            <v>6</v>
          </cell>
          <cell r="U794" t="str">
            <v>Ciudad principal</v>
          </cell>
          <cell r="V794" t="str">
            <v>WF Mono Systems and Legacy Color</v>
          </cell>
          <cell r="W794" t="str">
            <v>COAHUILA</v>
          </cell>
          <cell r="X794">
            <v>2019</v>
          </cell>
          <cell r="Y794" t="str">
            <v>Qtr 2</v>
          </cell>
          <cell r="Z794" t="str">
            <v>April</v>
          </cell>
          <cell r="AA794">
            <v>24</v>
          </cell>
          <cell r="AB794">
            <v>0</v>
          </cell>
          <cell r="AC794">
            <v>50</v>
          </cell>
          <cell r="AD794">
            <v>1.1000000000000001</v>
          </cell>
          <cell r="AE794">
            <v>0.61250000000000004</v>
          </cell>
          <cell r="AF794">
            <v>1730.3</v>
          </cell>
        </row>
        <row r="795">
          <cell r="B795" t="str">
            <v>0X76371424</v>
          </cell>
          <cell r="C795">
            <v>2019</v>
          </cell>
          <cell r="D795" t="str">
            <v>Qtr 2</v>
          </cell>
          <cell r="E795" t="str">
            <v>April</v>
          </cell>
          <cell r="F795">
            <v>16</v>
          </cell>
          <cell r="G795" t="str">
            <v>CORRECTIVO</v>
          </cell>
          <cell r="H795">
            <v>1.3666670000000001</v>
          </cell>
          <cell r="I795" t="str">
            <v>Departmental Digital</v>
          </cell>
          <cell r="J795">
            <v>655</v>
          </cell>
          <cell r="K795">
            <v>1365</v>
          </cell>
          <cell r="L795">
            <v>0</v>
          </cell>
          <cell r="M795">
            <v>0</v>
          </cell>
          <cell r="N795">
            <v>0.6</v>
          </cell>
          <cell r="O795">
            <v>0.8</v>
          </cell>
          <cell r="P795">
            <v>1.05</v>
          </cell>
          <cell r="Q795">
            <v>1.1000000000000001</v>
          </cell>
          <cell r="R795" t="str">
            <v>INTERIOR</v>
          </cell>
          <cell r="S795">
            <v>5</v>
          </cell>
          <cell r="T795">
            <v>9</v>
          </cell>
          <cell r="U795" t="str">
            <v>Ciudad principal</v>
          </cell>
          <cell r="V795" t="str">
            <v>Departmental Digital</v>
          </cell>
          <cell r="W795" t="str">
            <v>JALISCO</v>
          </cell>
          <cell r="X795">
            <v>2019</v>
          </cell>
          <cell r="Y795" t="str">
            <v>Qtr 2</v>
          </cell>
          <cell r="Z795" t="str">
            <v>April</v>
          </cell>
          <cell r="AA795">
            <v>16</v>
          </cell>
          <cell r="AB795">
            <v>0</v>
          </cell>
          <cell r="AC795">
            <v>39</v>
          </cell>
          <cell r="AD795">
            <v>1.05</v>
          </cell>
          <cell r="AE795">
            <v>0.2733334</v>
          </cell>
          <cell r="AF795">
            <v>1433.25</v>
          </cell>
        </row>
        <row r="796">
          <cell r="B796" t="str">
            <v>0C4X003106</v>
          </cell>
          <cell r="C796">
            <v>2019</v>
          </cell>
          <cell r="D796" t="str">
            <v>Qtr 2</v>
          </cell>
          <cell r="E796" t="str">
            <v>April</v>
          </cell>
          <cell r="F796">
            <v>16</v>
          </cell>
          <cell r="G796" t="str">
            <v>CORRECTIVO</v>
          </cell>
          <cell r="H796">
            <v>0</v>
          </cell>
          <cell r="I796" t="str">
            <v>A4 Mono MFPs</v>
          </cell>
          <cell r="J796">
            <v>468</v>
          </cell>
          <cell r="K796">
            <v>715</v>
          </cell>
          <cell r="L796">
            <v>0</v>
          </cell>
          <cell r="M796">
            <v>0</v>
          </cell>
          <cell r="N796">
            <v>0</v>
          </cell>
          <cell r="O796">
            <v>0.6</v>
          </cell>
          <cell r="P796">
            <v>0.8</v>
          </cell>
          <cell r="Q796">
            <v>1.05</v>
          </cell>
          <cell r="R796" t="str">
            <v>INTERIOR</v>
          </cell>
          <cell r="S796">
            <v>5</v>
          </cell>
          <cell r="T796">
            <v>9</v>
          </cell>
          <cell r="U796" t="str">
            <v>Ciudad principal</v>
          </cell>
          <cell r="V796" t="str">
            <v>A4 Mono MFPs</v>
          </cell>
          <cell r="W796" t="str">
            <v>CHIHUAHUA</v>
          </cell>
          <cell r="X796">
            <v>2019</v>
          </cell>
          <cell r="Y796" t="str">
            <v>Qtr 2</v>
          </cell>
          <cell r="Z796" t="str">
            <v>April</v>
          </cell>
          <cell r="AA796">
            <v>16</v>
          </cell>
          <cell r="AB796">
            <v>0</v>
          </cell>
          <cell r="AC796">
            <v>223</v>
          </cell>
          <cell r="AD796">
            <v>1.05</v>
          </cell>
          <cell r="AE796">
            <v>0</v>
          </cell>
          <cell r="AF796">
            <v>750.75</v>
          </cell>
        </row>
        <row r="797">
          <cell r="B797" t="str">
            <v>0C4X011365</v>
          </cell>
          <cell r="C797">
            <v>2019</v>
          </cell>
          <cell r="D797" t="str">
            <v>Qtr 2</v>
          </cell>
          <cell r="E797" t="str">
            <v>April</v>
          </cell>
          <cell r="F797">
            <v>16</v>
          </cell>
          <cell r="G797" t="str">
            <v>MANTENIMIENTO PREVENTIVO</v>
          </cell>
          <cell r="H797">
            <v>0</v>
          </cell>
          <cell r="I797" t="str">
            <v>A4 Mono MFPs</v>
          </cell>
          <cell r="J797">
            <v>468</v>
          </cell>
          <cell r="K797">
            <v>715</v>
          </cell>
          <cell r="L797">
            <v>0</v>
          </cell>
          <cell r="M797">
            <v>0</v>
          </cell>
          <cell r="N797">
            <v>0</v>
          </cell>
          <cell r="O797">
            <v>0.6</v>
          </cell>
          <cell r="P797">
            <v>0.8</v>
          </cell>
          <cell r="Q797">
            <v>1.05</v>
          </cell>
          <cell r="R797" t="str">
            <v>INTERIOR</v>
          </cell>
          <cell r="S797">
            <v>5</v>
          </cell>
          <cell r="T797">
            <v>9</v>
          </cell>
          <cell r="U797" t="str">
            <v>Ciudad principal</v>
          </cell>
          <cell r="V797" t="str">
            <v>A4 Mono MFPs</v>
          </cell>
          <cell r="W797" t="str">
            <v>JALISCO</v>
          </cell>
          <cell r="X797">
            <v>2019</v>
          </cell>
          <cell r="Y797" t="str">
            <v>Qtr 2</v>
          </cell>
          <cell r="Z797" t="str">
            <v>April</v>
          </cell>
          <cell r="AA797">
            <v>16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715</v>
          </cell>
        </row>
        <row r="798">
          <cell r="B798" t="str">
            <v>0EX9283410</v>
          </cell>
          <cell r="C798">
            <v>2019</v>
          </cell>
          <cell r="D798" t="str">
            <v>Qtr 2</v>
          </cell>
          <cell r="E798" t="str">
            <v>April</v>
          </cell>
          <cell r="F798">
            <v>16</v>
          </cell>
          <cell r="G798" t="str">
            <v>CORRECTIVO</v>
          </cell>
          <cell r="H798">
            <v>2.1666669999999999</v>
          </cell>
          <cell r="I798" t="str">
            <v>Departmental Digital</v>
          </cell>
          <cell r="J798">
            <v>655</v>
          </cell>
          <cell r="K798">
            <v>1365</v>
          </cell>
          <cell r="L798">
            <v>0</v>
          </cell>
          <cell r="M798">
            <v>0</v>
          </cell>
          <cell r="N798">
            <v>0.6</v>
          </cell>
          <cell r="O798">
            <v>0.8</v>
          </cell>
          <cell r="P798">
            <v>1.05</v>
          </cell>
          <cell r="Q798">
            <v>1.1000000000000001</v>
          </cell>
          <cell r="R798" t="str">
            <v>INTERIOR</v>
          </cell>
          <cell r="S798">
            <v>5</v>
          </cell>
          <cell r="T798">
            <v>9</v>
          </cell>
          <cell r="U798" t="str">
            <v>Ciudad principal</v>
          </cell>
          <cell r="V798" t="str">
            <v>Departmental Digital</v>
          </cell>
          <cell r="W798" t="str">
            <v>GUANAJUATO</v>
          </cell>
          <cell r="X798">
            <v>2019</v>
          </cell>
          <cell r="Y798" t="str">
            <v>Qtr 2</v>
          </cell>
          <cell r="Z798" t="str">
            <v>April</v>
          </cell>
          <cell r="AA798">
            <v>18</v>
          </cell>
          <cell r="AB798">
            <v>0</v>
          </cell>
          <cell r="AC798">
            <v>36</v>
          </cell>
          <cell r="AD798">
            <v>1.05</v>
          </cell>
          <cell r="AE798">
            <v>0.43333339999999998</v>
          </cell>
          <cell r="AF798">
            <v>1433.25</v>
          </cell>
        </row>
        <row r="799">
          <cell r="B799" t="str">
            <v>0X76703255</v>
          </cell>
          <cell r="C799">
            <v>2019</v>
          </cell>
          <cell r="D799" t="str">
            <v>Qtr 2</v>
          </cell>
          <cell r="E799" t="str">
            <v>April</v>
          </cell>
          <cell r="F799">
            <v>16</v>
          </cell>
          <cell r="G799" t="str">
            <v>CORRECTIVO</v>
          </cell>
          <cell r="H799">
            <v>3.6333329999999999</v>
          </cell>
          <cell r="I799" t="str">
            <v>Departmental Digital</v>
          </cell>
          <cell r="J799">
            <v>655</v>
          </cell>
          <cell r="K799">
            <v>1365</v>
          </cell>
          <cell r="L799">
            <v>0</v>
          </cell>
          <cell r="M799">
            <v>0</v>
          </cell>
          <cell r="N799">
            <v>0.6</v>
          </cell>
          <cell r="O799">
            <v>0.8</v>
          </cell>
          <cell r="P799">
            <v>1.05</v>
          </cell>
          <cell r="Q799">
            <v>1.1000000000000001</v>
          </cell>
          <cell r="R799" t="str">
            <v>INTERIOR</v>
          </cell>
          <cell r="S799">
            <v>5</v>
          </cell>
          <cell r="T799">
            <v>9</v>
          </cell>
          <cell r="U799" t="str">
            <v>Ciudad principal</v>
          </cell>
          <cell r="V799" t="str">
            <v>Departmental Digital</v>
          </cell>
          <cell r="W799" t="str">
            <v>JALISCO</v>
          </cell>
          <cell r="X799">
            <v>2019</v>
          </cell>
          <cell r="Y799" t="str">
            <v>Qtr 2</v>
          </cell>
          <cell r="Z799" t="str">
            <v>April</v>
          </cell>
          <cell r="AA799">
            <v>16</v>
          </cell>
          <cell r="AB799">
            <v>0</v>
          </cell>
          <cell r="AC799">
            <v>0</v>
          </cell>
          <cell r="AD799">
            <v>1.1000000000000001</v>
          </cell>
          <cell r="AE799">
            <v>0.72666660000000005</v>
          </cell>
          <cell r="AF799">
            <v>1501.5</v>
          </cell>
        </row>
        <row r="800">
          <cell r="B800" t="str">
            <v>0E2B666252</v>
          </cell>
          <cell r="C800">
            <v>2019</v>
          </cell>
          <cell r="D800" t="str">
            <v>Qtr 2</v>
          </cell>
          <cell r="E800" t="str">
            <v>April</v>
          </cell>
          <cell r="F800">
            <v>16</v>
          </cell>
          <cell r="G800" t="str">
            <v>CORRECTIVO</v>
          </cell>
          <cell r="H800">
            <v>1.3333330000000001</v>
          </cell>
          <cell r="I800" t="str">
            <v>Entry Production Color Low/Mid</v>
          </cell>
          <cell r="J800">
            <v>803</v>
          </cell>
          <cell r="K800">
            <v>1573</v>
          </cell>
          <cell r="L800">
            <v>0.2</v>
          </cell>
          <cell r="M800">
            <v>0.6</v>
          </cell>
          <cell r="N800">
            <v>0.8</v>
          </cell>
          <cell r="O800">
            <v>1.05</v>
          </cell>
          <cell r="P800">
            <v>1.1000000000000001</v>
          </cell>
          <cell r="Q800">
            <v>1.1499999999999999</v>
          </cell>
          <cell r="R800" t="str">
            <v>INTERIOR</v>
          </cell>
          <cell r="S800">
            <v>4</v>
          </cell>
          <cell r="T800">
            <v>6</v>
          </cell>
          <cell r="U800" t="str">
            <v>Ciudad principal</v>
          </cell>
          <cell r="V800" t="str">
            <v>Entry Production Color Low/Mid</v>
          </cell>
          <cell r="W800" t="str">
            <v>GUANAJUATO</v>
          </cell>
          <cell r="X800">
            <v>2019</v>
          </cell>
          <cell r="Y800" t="str">
            <v>Qtr 2</v>
          </cell>
          <cell r="Z800" t="str">
            <v>April</v>
          </cell>
          <cell r="AA800">
            <v>16</v>
          </cell>
          <cell r="AB800">
            <v>0</v>
          </cell>
          <cell r="AC800">
            <v>126</v>
          </cell>
          <cell r="AD800">
            <v>1.1499999999999999</v>
          </cell>
          <cell r="AE800">
            <v>0.33333325000000003</v>
          </cell>
          <cell r="AF800">
            <v>1808.95</v>
          </cell>
        </row>
        <row r="801">
          <cell r="B801" t="str">
            <v>09HB331492</v>
          </cell>
          <cell r="C801">
            <v>2019</v>
          </cell>
          <cell r="D801" t="str">
            <v>Qtr 2</v>
          </cell>
          <cell r="E801" t="str">
            <v>April</v>
          </cell>
          <cell r="F801">
            <v>16</v>
          </cell>
          <cell r="G801" t="str">
            <v>CORRECTIVO</v>
          </cell>
          <cell r="H801">
            <v>1.7833330000000001</v>
          </cell>
          <cell r="I801" t="str">
            <v>A4 Mono MFPs</v>
          </cell>
          <cell r="J801">
            <v>468</v>
          </cell>
          <cell r="K801">
            <v>715</v>
          </cell>
          <cell r="L801">
            <v>0</v>
          </cell>
          <cell r="M801">
            <v>0</v>
          </cell>
          <cell r="N801">
            <v>0</v>
          </cell>
          <cell r="O801">
            <v>0.6</v>
          </cell>
          <cell r="P801">
            <v>0.8</v>
          </cell>
          <cell r="Q801">
            <v>1.05</v>
          </cell>
          <cell r="R801" t="str">
            <v>METRO</v>
          </cell>
          <cell r="S801">
            <v>5</v>
          </cell>
          <cell r="T801">
            <v>9</v>
          </cell>
          <cell r="U801" t="str">
            <v>Ciudad principal</v>
          </cell>
          <cell r="V801" t="str">
            <v>A4 Mono MFPs</v>
          </cell>
          <cell r="W801" t="str">
            <v>CIUDAD DE MEXICO</v>
          </cell>
          <cell r="X801">
            <v>2019</v>
          </cell>
          <cell r="Y801" t="str">
            <v>Qtr 2</v>
          </cell>
          <cell r="Z801" t="str">
            <v>April</v>
          </cell>
          <cell r="AA801">
            <v>16</v>
          </cell>
          <cell r="AB801">
            <v>1</v>
          </cell>
          <cell r="AC801">
            <v>28</v>
          </cell>
          <cell r="AD801">
            <v>0</v>
          </cell>
          <cell r="AE801">
            <v>0</v>
          </cell>
          <cell r="AF801">
            <v>0</v>
          </cell>
        </row>
        <row r="802">
          <cell r="B802" t="str">
            <v>06HB014103</v>
          </cell>
          <cell r="C802">
            <v>2019</v>
          </cell>
          <cell r="D802" t="str">
            <v>Qtr 2</v>
          </cell>
          <cell r="E802" t="str">
            <v>April</v>
          </cell>
          <cell r="F802">
            <v>16</v>
          </cell>
          <cell r="G802" t="str">
            <v>CORRECTIVO</v>
          </cell>
          <cell r="H802">
            <v>0.78333339999999996</v>
          </cell>
          <cell r="I802" t="str">
            <v>Entry Mono Printers</v>
          </cell>
          <cell r="J802">
            <v>468</v>
          </cell>
          <cell r="K802">
            <v>715</v>
          </cell>
          <cell r="L802">
            <v>0</v>
          </cell>
          <cell r="M802">
            <v>0</v>
          </cell>
          <cell r="N802">
            <v>0</v>
          </cell>
          <cell r="O802">
            <v>0.6</v>
          </cell>
          <cell r="P802">
            <v>0.8</v>
          </cell>
          <cell r="Q802">
            <v>1.05</v>
          </cell>
          <cell r="R802" t="str">
            <v>INTERIOR</v>
          </cell>
          <cell r="S802">
            <v>5</v>
          </cell>
          <cell r="T802">
            <v>9</v>
          </cell>
          <cell r="U802" t="str">
            <v>Ciudad principal</v>
          </cell>
          <cell r="V802" t="str">
            <v>A4 Mono MFPs</v>
          </cell>
          <cell r="W802" t="str">
            <v>NUEVO LEON</v>
          </cell>
          <cell r="X802">
            <v>2019</v>
          </cell>
          <cell r="Y802" t="str">
            <v>Qtr 2</v>
          </cell>
          <cell r="Z802" t="str">
            <v>April</v>
          </cell>
          <cell r="AA802">
            <v>16</v>
          </cell>
          <cell r="AB802">
            <v>0</v>
          </cell>
          <cell r="AC802">
            <v>126</v>
          </cell>
          <cell r="AD802">
            <v>1.05</v>
          </cell>
          <cell r="AE802">
            <v>0.15666668</v>
          </cell>
          <cell r="AF802">
            <v>750.75</v>
          </cell>
        </row>
        <row r="803">
          <cell r="B803" t="str">
            <v>09HB331428</v>
          </cell>
          <cell r="C803">
            <v>2019</v>
          </cell>
          <cell r="D803" t="str">
            <v>Qtr 2</v>
          </cell>
          <cell r="E803" t="str">
            <v>April</v>
          </cell>
          <cell r="F803">
            <v>16</v>
          </cell>
          <cell r="G803" t="str">
            <v>MANTENIMIENTO PREVENTIVO</v>
          </cell>
          <cell r="H803">
            <v>0</v>
          </cell>
          <cell r="I803" t="str">
            <v>A4 Mono MFPs</v>
          </cell>
          <cell r="J803">
            <v>468</v>
          </cell>
          <cell r="K803">
            <v>715</v>
          </cell>
          <cell r="L803">
            <v>0</v>
          </cell>
          <cell r="M803">
            <v>0</v>
          </cell>
          <cell r="N803">
            <v>0</v>
          </cell>
          <cell r="O803">
            <v>0.6</v>
          </cell>
          <cell r="P803">
            <v>0.8</v>
          </cell>
          <cell r="Q803">
            <v>1.05</v>
          </cell>
          <cell r="R803" t="str">
            <v>INTERIOR</v>
          </cell>
          <cell r="S803">
            <v>5</v>
          </cell>
          <cell r="T803">
            <v>9</v>
          </cell>
          <cell r="U803" t="str">
            <v>Ciudad principal</v>
          </cell>
          <cell r="V803" t="str">
            <v>A4 Mono MFPs</v>
          </cell>
          <cell r="W803" t="str">
            <v>JALISCO</v>
          </cell>
          <cell r="X803">
            <v>2019</v>
          </cell>
          <cell r="Y803" t="str">
            <v>Qtr 2</v>
          </cell>
          <cell r="Z803" t="str">
            <v>April</v>
          </cell>
          <cell r="AA803">
            <v>16</v>
          </cell>
          <cell r="AB803">
            <v>1</v>
          </cell>
          <cell r="AC803">
            <v>13</v>
          </cell>
          <cell r="AD803">
            <v>0</v>
          </cell>
          <cell r="AE803">
            <v>0</v>
          </cell>
          <cell r="AF803">
            <v>0</v>
          </cell>
        </row>
        <row r="804">
          <cell r="B804" t="str">
            <v>0Y4X848737</v>
          </cell>
          <cell r="C804">
            <v>2019</v>
          </cell>
          <cell r="D804" t="str">
            <v>Qtr 2</v>
          </cell>
          <cell r="E804" t="str">
            <v>April</v>
          </cell>
          <cell r="F804">
            <v>16</v>
          </cell>
          <cell r="G804" t="str">
            <v>CORRECTIVO</v>
          </cell>
          <cell r="H804">
            <v>2.5333329999999998</v>
          </cell>
          <cell r="I804" t="str">
            <v>Office Digital</v>
          </cell>
          <cell r="J804">
            <v>655</v>
          </cell>
          <cell r="K804">
            <v>1365</v>
          </cell>
          <cell r="L804">
            <v>0</v>
          </cell>
          <cell r="M804">
            <v>0</v>
          </cell>
          <cell r="N804">
            <v>0.6</v>
          </cell>
          <cell r="O804">
            <v>0.8</v>
          </cell>
          <cell r="P804">
            <v>1.05</v>
          </cell>
          <cell r="Q804">
            <v>1.1000000000000001</v>
          </cell>
          <cell r="R804" t="str">
            <v>METRO</v>
          </cell>
          <cell r="S804">
            <v>5</v>
          </cell>
          <cell r="T804">
            <v>9</v>
          </cell>
          <cell r="U804" t="str">
            <v>Ciudad principal</v>
          </cell>
          <cell r="V804" t="str">
            <v>Light Production Digital Business</v>
          </cell>
          <cell r="W804" t="str">
            <v>CIUDAD DE MEXICO</v>
          </cell>
          <cell r="X804">
            <v>2019</v>
          </cell>
          <cell r="Y804" t="str">
            <v>Qtr 2</v>
          </cell>
          <cell r="Z804" t="str">
            <v>April</v>
          </cell>
          <cell r="AA804">
            <v>16</v>
          </cell>
          <cell r="AB804">
            <v>1</v>
          </cell>
          <cell r="AC804">
            <v>28</v>
          </cell>
          <cell r="AD804">
            <v>0</v>
          </cell>
          <cell r="AE804">
            <v>0</v>
          </cell>
          <cell r="AF804">
            <v>0</v>
          </cell>
        </row>
        <row r="805">
          <cell r="B805" t="str">
            <v>0C7X246885</v>
          </cell>
          <cell r="C805">
            <v>2019</v>
          </cell>
          <cell r="D805" t="str">
            <v>Qtr 2</v>
          </cell>
          <cell r="E805" t="str">
            <v>April</v>
          </cell>
          <cell r="F805">
            <v>16</v>
          </cell>
          <cell r="G805" t="str">
            <v>CORRECTIVO</v>
          </cell>
          <cell r="H805">
            <v>1.733333</v>
          </cell>
          <cell r="J805" t="str">
            <v>NA</v>
          </cell>
          <cell r="K805" t="str">
            <v>NA</v>
          </cell>
          <cell r="L805" t="str">
            <v>NA</v>
          </cell>
          <cell r="M805" t="str">
            <v>NA</v>
          </cell>
          <cell r="N805" t="str">
            <v>NA</v>
          </cell>
          <cell r="O805" t="str">
            <v>NA</v>
          </cell>
          <cell r="P805" t="str">
            <v>NA</v>
          </cell>
          <cell r="Q805" t="str">
            <v>NA</v>
          </cell>
          <cell r="S805" t="str">
            <v>NA</v>
          </cell>
          <cell r="T805" t="str">
            <v>NA</v>
          </cell>
          <cell r="V805" t="str">
            <v>A4 Mono MFPs</v>
          </cell>
          <cell r="W805" t="str">
            <v>COAHUILA</v>
          </cell>
          <cell r="X805">
            <v>2019</v>
          </cell>
          <cell r="Y805" t="str">
            <v>Qtr 2</v>
          </cell>
          <cell r="Z805" t="str">
            <v>April</v>
          </cell>
          <cell r="AA805">
            <v>17</v>
          </cell>
          <cell r="AB805" t="str">
            <v>NA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</row>
        <row r="806">
          <cell r="B806" t="str">
            <v>09HB331668</v>
          </cell>
          <cell r="C806">
            <v>2019</v>
          </cell>
          <cell r="D806" t="str">
            <v>Qtr 2</v>
          </cell>
          <cell r="E806" t="str">
            <v>April</v>
          </cell>
          <cell r="F806">
            <v>16</v>
          </cell>
          <cell r="G806" t="str">
            <v>MANTENIMIENTO PREVENTIVO</v>
          </cell>
          <cell r="H806">
            <v>0</v>
          </cell>
          <cell r="I806" t="str">
            <v>A4 Mono MFPs</v>
          </cell>
          <cell r="J806">
            <v>468</v>
          </cell>
          <cell r="K806">
            <v>715</v>
          </cell>
          <cell r="L806">
            <v>0</v>
          </cell>
          <cell r="M806">
            <v>0</v>
          </cell>
          <cell r="N806">
            <v>0</v>
          </cell>
          <cell r="O806">
            <v>0.6</v>
          </cell>
          <cell r="P806">
            <v>0.8</v>
          </cell>
          <cell r="Q806">
            <v>1.05</v>
          </cell>
          <cell r="R806" t="str">
            <v>INTERIOR</v>
          </cell>
          <cell r="S806">
            <v>5</v>
          </cell>
          <cell r="T806">
            <v>9</v>
          </cell>
          <cell r="U806" t="str">
            <v>Ciudad principal</v>
          </cell>
          <cell r="V806" t="str">
            <v>A4 Mono MFPs</v>
          </cell>
          <cell r="W806" t="str">
            <v>JALISCO</v>
          </cell>
          <cell r="X806">
            <v>2019</v>
          </cell>
          <cell r="Y806" t="str">
            <v>Qtr 2</v>
          </cell>
          <cell r="Z806" t="str">
            <v>April</v>
          </cell>
          <cell r="AA806">
            <v>16</v>
          </cell>
          <cell r="AB806">
            <v>1</v>
          </cell>
          <cell r="AC806">
            <v>15</v>
          </cell>
          <cell r="AD806">
            <v>0</v>
          </cell>
          <cell r="AE806">
            <v>0</v>
          </cell>
          <cell r="AF806">
            <v>0</v>
          </cell>
        </row>
        <row r="807">
          <cell r="B807" t="str">
            <v>0BG2947505</v>
          </cell>
          <cell r="C807">
            <v>2019</v>
          </cell>
          <cell r="D807" t="str">
            <v>Qtr 2</v>
          </cell>
          <cell r="E807" t="str">
            <v>April</v>
          </cell>
          <cell r="F807">
            <v>16</v>
          </cell>
          <cell r="G807" t="str">
            <v>CORRECTIVO</v>
          </cell>
          <cell r="H807">
            <v>3.5333329999999998</v>
          </cell>
          <cell r="I807" t="str">
            <v>Light Production Digital Business</v>
          </cell>
          <cell r="J807">
            <v>803</v>
          </cell>
          <cell r="K807">
            <v>1573</v>
          </cell>
          <cell r="L807">
            <v>0.2</v>
          </cell>
          <cell r="M807">
            <v>0.6</v>
          </cell>
          <cell r="N807">
            <v>0.8</v>
          </cell>
          <cell r="O807">
            <v>1.05</v>
          </cell>
          <cell r="P807">
            <v>1.1000000000000001</v>
          </cell>
          <cell r="Q807">
            <v>1.1499999999999999</v>
          </cell>
          <cell r="R807" t="str">
            <v>INTERIOR</v>
          </cell>
          <cell r="S807">
            <v>4</v>
          </cell>
          <cell r="T807">
            <v>6</v>
          </cell>
          <cell r="U807" t="str">
            <v>Ciudad principal</v>
          </cell>
          <cell r="V807" t="str">
            <v>High End Cut Sheet</v>
          </cell>
          <cell r="W807" t="str">
            <v>COLIMA</v>
          </cell>
          <cell r="X807">
            <v>2019</v>
          </cell>
          <cell r="Y807" t="str">
            <v>Qtr 2</v>
          </cell>
          <cell r="Z807" t="str">
            <v>April</v>
          </cell>
          <cell r="AA807">
            <v>17</v>
          </cell>
          <cell r="AB807">
            <v>1</v>
          </cell>
          <cell r="AC807">
            <v>28</v>
          </cell>
          <cell r="AD807">
            <v>0</v>
          </cell>
          <cell r="AE807">
            <v>0</v>
          </cell>
          <cell r="AF807">
            <v>0</v>
          </cell>
        </row>
        <row r="808">
          <cell r="B808" t="str">
            <v>0D6X469486</v>
          </cell>
          <cell r="C808">
            <v>2019</v>
          </cell>
          <cell r="D808" t="str">
            <v>Qtr 2</v>
          </cell>
          <cell r="E808" t="str">
            <v>April</v>
          </cell>
          <cell r="F808">
            <v>16</v>
          </cell>
          <cell r="G808" t="str">
            <v>CORRECTIVO</v>
          </cell>
          <cell r="H808">
            <v>0.38333329999999999</v>
          </cell>
          <cell r="I808" t="str">
            <v>Entry Mono Printers</v>
          </cell>
          <cell r="J808">
            <v>468</v>
          </cell>
          <cell r="K808">
            <v>715</v>
          </cell>
          <cell r="L808">
            <v>0</v>
          </cell>
          <cell r="M808">
            <v>0</v>
          </cell>
          <cell r="N808">
            <v>0</v>
          </cell>
          <cell r="O808">
            <v>0.6</v>
          </cell>
          <cell r="P808">
            <v>0.8</v>
          </cell>
          <cell r="Q808">
            <v>1.05</v>
          </cell>
          <cell r="R808" t="str">
            <v>INTERIOR</v>
          </cell>
          <cell r="S808">
            <v>5</v>
          </cell>
          <cell r="T808">
            <v>9</v>
          </cell>
          <cell r="U808" t="str">
            <v>Ciudad principal</v>
          </cell>
          <cell r="V808" t="str">
            <v>Entry Mono Printers</v>
          </cell>
          <cell r="W808" t="str">
            <v>DURANGO</v>
          </cell>
          <cell r="X808">
            <v>2019</v>
          </cell>
          <cell r="Y808" t="str">
            <v>Qtr 2</v>
          </cell>
          <cell r="Z808" t="str">
            <v>April</v>
          </cell>
          <cell r="AA808">
            <v>17</v>
          </cell>
          <cell r="AB808">
            <v>0</v>
          </cell>
          <cell r="AC808">
            <v>50</v>
          </cell>
          <cell r="AD808">
            <v>0.8</v>
          </cell>
          <cell r="AE808">
            <v>7.6666659999999998E-2</v>
          </cell>
          <cell r="AF808">
            <v>572</v>
          </cell>
        </row>
        <row r="809">
          <cell r="B809" t="str">
            <v>0BB1564112</v>
          </cell>
          <cell r="C809">
            <v>2019</v>
          </cell>
          <cell r="D809" t="str">
            <v>Qtr 2</v>
          </cell>
          <cell r="E809" t="str">
            <v>April</v>
          </cell>
          <cell r="F809">
            <v>16</v>
          </cell>
          <cell r="G809" t="str">
            <v>MANTENIMIENTO PREVENTIVO</v>
          </cell>
          <cell r="H809">
            <v>0</v>
          </cell>
          <cell r="I809" t="str">
            <v>A4 Mono MFPs</v>
          </cell>
          <cell r="J809">
            <v>468</v>
          </cell>
          <cell r="K809">
            <v>715</v>
          </cell>
          <cell r="L809">
            <v>0</v>
          </cell>
          <cell r="M809">
            <v>0</v>
          </cell>
          <cell r="N809">
            <v>0</v>
          </cell>
          <cell r="O809">
            <v>0.6</v>
          </cell>
          <cell r="P809">
            <v>0.8</v>
          </cell>
          <cell r="Q809">
            <v>1.05</v>
          </cell>
          <cell r="R809" t="str">
            <v>INTERIOR</v>
          </cell>
          <cell r="S809">
            <v>5</v>
          </cell>
          <cell r="T809">
            <v>9</v>
          </cell>
          <cell r="U809" t="str">
            <v>Ciudad principal</v>
          </cell>
          <cell r="V809" t="str">
            <v>A4 Mono MFPs</v>
          </cell>
          <cell r="W809" t="str">
            <v>CHIHUAHUA</v>
          </cell>
          <cell r="X809">
            <v>2019</v>
          </cell>
          <cell r="Y809" t="str">
            <v>Qtr 2</v>
          </cell>
          <cell r="Z809" t="str">
            <v>April</v>
          </cell>
          <cell r="AA809">
            <v>23</v>
          </cell>
          <cell r="AB809">
            <v>0</v>
          </cell>
          <cell r="AC809">
            <v>41</v>
          </cell>
          <cell r="AD809">
            <v>0</v>
          </cell>
          <cell r="AE809">
            <v>0</v>
          </cell>
          <cell r="AF809">
            <v>715</v>
          </cell>
        </row>
        <row r="810">
          <cell r="B810" t="str">
            <v>0X76703255</v>
          </cell>
          <cell r="C810">
            <v>2019</v>
          </cell>
          <cell r="D810" t="str">
            <v>Qtr 2</v>
          </cell>
          <cell r="E810" t="str">
            <v>April</v>
          </cell>
          <cell r="F810">
            <v>16</v>
          </cell>
          <cell r="G810" t="str">
            <v>MANTENIMIENTO PREVENTIVO</v>
          </cell>
          <cell r="H810">
            <v>0</v>
          </cell>
          <cell r="I810" t="str">
            <v>Departmental Digital</v>
          </cell>
          <cell r="J810">
            <v>655</v>
          </cell>
          <cell r="K810">
            <v>1365</v>
          </cell>
          <cell r="L810">
            <v>0</v>
          </cell>
          <cell r="M810">
            <v>0</v>
          </cell>
          <cell r="N810">
            <v>0.6</v>
          </cell>
          <cell r="O810">
            <v>0.8</v>
          </cell>
          <cell r="P810">
            <v>1.05</v>
          </cell>
          <cell r="Q810">
            <v>1.1000000000000001</v>
          </cell>
          <cell r="R810" t="str">
            <v>INTERIOR</v>
          </cell>
          <cell r="S810">
            <v>5</v>
          </cell>
          <cell r="T810">
            <v>9</v>
          </cell>
          <cell r="U810" t="str">
            <v>Ciudad principal</v>
          </cell>
          <cell r="V810" t="str">
            <v>Departmental Digital</v>
          </cell>
          <cell r="W810" t="str">
            <v>JALISCO</v>
          </cell>
          <cell r="X810">
            <v>2019</v>
          </cell>
          <cell r="Y810" t="str">
            <v>Qtr 2</v>
          </cell>
          <cell r="Z810" t="str">
            <v>April</v>
          </cell>
          <cell r="AA810">
            <v>16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1365</v>
          </cell>
        </row>
        <row r="811">
          <cell r="B811" t="str">
            <v>0Y4X861067</v>
          </cell>
          <cell r="C811">
            <v>2019</v>
          </cell>
          <cell r="D811" t="str">
            <v>Qtr 2</v>
          </cell>
          <cell r="E811" t="str">
            <v>April</v>
          </cell>
          <cell r="F811">
            <v>16</v>
          </cell>
          <cell r="G811" t="str">
            <v>CORRECTIVO</v>
          </cell>
          <cell r="H811">
            <v>2.1</v>
          </cell>
          <cell r="J811" t="str">
            <v>NA</v>
          </cell>
          <cell r="K811" t="str">
            <v>NA</v>
          </cell>
          <cell r="L811" t="str">
            <v>NA</v>
          </cell>
          <cell r="M811" t="str">
            <v>NA</v>
          </cell>
          <cell r="N811" t="str">
            <v>NA</v>
          </cell>
          <cell r="O811" t="str">
            <v>NA</v>
          </cell>
          <cell r="P811" t="str">
            <v>NA</v>
          </cell>
          <cell r="Q811" t="str">
            <v>NA</v>
          </cell>
          <cell r="S811" t="str">
            <v>NA</v>
          </cell>
          <cell r="T811" t="str">
            <v>NA</v>
          </cell>
          <cell r="V811" t="str">
            <v>Light Production Digital Business</v>
          </cell>
          <cell r="W811" t="str">
            <v>JALISCO</v>
          </cell>
          <cell r="X811">
            <v>2019</v>
          </cell>
          <cell r="Y811" t="str">
            <v>Qtr 2</v>
          </cell>
          <cell r="Z811" t="str">
            <v>April</v>
          </cell>
          <cell r="AA811">
            <v>17</v>
          </cell>
          <cell r="AB811" t="str">
            <v>NA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</row>
        <row r="812">
          <cell r="B812" t="str">
            <v>09HB331577</v>
          </cell>
          <cell r="C812">
            <v>2019</v>
          </cell>
          <cell r="D812" t="str">
            <v>Qtr 2</v>
          </cell>
          <cell r="E812" t="str">
            <v>April</v>
          </cell>
          <cell r="F812">
            <v>16</v>
          </cell>
          <cell r="G812" t="str">
            <v>MANTENIMIENTO PREVENTIVO</v>
          </cell>
          <cell r="H812">
            <v>0</v>
          </cell>
          <cell r="I812" t="str">
            <v>A4 Mono MFPs</v>
          </cell>
          <cell r="J812">
            <v>468</v>
          </cell>
          <cell r="K812">
            <v>715</v>
          </cell>
          <cell r="L812">
            <v>0</v>
          </cell>
          <cell r="M812">
            <v>0</v>
          </cell>
          <cell r="N812">
            <v>0</v>
          </cell>
          <cell r="O812">
            <v>0.6</v>
          </cell>
          <cell r="P812">
            <v>0.8</v>
          </cell>
          <cell r="Q812">
            <v>1.05</v>
          </cell>
          <cell r="R812" t="str">
            <v>INTERIOR</v>
          </cell>
          <cell r="S812">
            <v>5</v>
          </cell>
          <cell r="T812">
            <v>9</v>
          </cell>
          <cell r="U812" t="str">
            <v>Ciudad principal</v>
          </cell>
          <cell r="V812" t="str">
            <v>A4 Mono MFPs</v>
          </cell>
          <cell r="W812" t="str">
            <v>JALISCO</v>
          </cell>
          <cell r="X812">
            <v>2019</v>
          </cell>
          <cell r="Y812" t="str">
            <v>Qtr 2</v>
          </cell>
          <cell r="Z812" t="str">
            <v>April</v>
          </cell>
          <cell r="AA812">
            <v>16</v>
          </cell>
          <cell r="AB812">
            <v>1</v>
          </cell>
          <cell r="AC812">
            <v>13</v>
          </cell>
          <cell r="AD812">
            <v>0</v>
          </cell>
          <cell r="AE812">
            <v>0</v>
          </cell>
          <cell r="AF812">
            <v>0</v>
          </cell>
        </row>
        <row r="813">
          <cell r="B813" t="str">
            <v>09HB331773</v>
          </cell>
          <cell r="C813">
            <v>2019</v>
          </cell>
          <cell r="D813" t="str">
            <v>Qtr 2</v>
          </cell>
          <cell r="E813" t="str">
            <v>April</v>
          </cell>
          <cell r="F813">
            <v>16</v>
          </cell>
          <cell r="G813" t="str">
            <v>MANTENIMIENTO PREVENTIVO</v>
          </cell>
          <cell r="H813">
            <v>0</v>
          </cell>
          <cell r="J813" t="str">
            <v>NA</v>
          </cell>
          <cell r="K813" t="str">
            <v>NA</v>
          </cell>
          <cell r="L813" t="str">
            <v>NA</v>
          </cell>
          <cell r="M813" t="str">
            <v>NA</v>
          </cell>
          <cell r="N813" t="str">
            <v>NA</v>
          </cell>
          <cell r="O813" t="str">
            <v>NA</v>
          </cell>
          <cell r="P813" t="str">
            <v>NA</v>
          </cell>
          <cell r="Q813" t="str">
            <v>NA</v>
          </cell>
          <cell r="S813" t="str">
            <v>NA</v>
          </cell>
          <cell r="T813" t="str">
            <v>NA</v>
          </cell>
          <cell r="V813" t="str">
            <v>A4 Mono MFPs</v>
          </cell>
          <cell r="W813" t="str">
            <v>JALISCO</v>
          </cell>
          <cell r="X813">
            <v>2019</v>
          </cell>
          <cell r="Y813" t="str">
            <v>Qtr 2</v>
          </cell>
          <cell r="Z813" t="str">
            <v>April</v>
          </cell>
          <cell r="AA813">
            <v>16</v>
          </cell>
          <cell r="AB813" t="str">
            <v>NA</v>
          </cell>
          <cell r="AC813">
            <v>13</v>
          </cell>
          <cell r="AD813">
            <v>0</v>
          </cell>
          <cell r="AE813">
            <v>0</v>
          </cell>
          <cell r="AF813">
            <v>0</v>
          </cell>
        </row>
        <row r="814">
          <cell r="B814" t="str">
            <v>09HB331583</v>
          </cell>
          <cell r="C814">
            <v>2019</v>
          </cell>
          <cell r="D814" t="str">
            <v>Qtr 2</v>
          </cell>
          <cell r="E814" t="str">
            <v>April</v>
          </cell>
          <cell r="F814">
            <v>16</v>
          </cell>
          <cell r="G814" t="str">
            <v>MANTENIMIENTO PREVENTIVO</v>
          </cell>
          <cell r="H814">
            <v>0</v>
          </cell>
          <cell r="I814" t="str">
            <v>A4 Mono MFPs</v>
          </cell>
          <cell r="J814">
            <v>468</v>
          </cell>
          <cell r="K814">
            <v>715</v>
          </cell>
          <cell r="L814">
            <v>0</v>
          </cell>
          <cell r="M814">
            <v>0</v>
          </cell>
          <cell r="N814">
            <v>0</v>
          </cell>
          <cell r="O814">
            <v>0.6</v>
          </cell>
          <cell r="P814">
            <v>0.8</v>
          </cell>
          <cell r="Q814">
            <v>1.05</v>
          </cell>
          <cell r="R814" t="str">
            <v>INTERIOR</v>
          </cell>
          <cell r="S814">
            <v>5</v>
          </cell>
          <cell r="T814">
            <v>9</v>
          </cell>
          <cell r="U814" t="str">
            <v>Ciudad principal</v>
          </cell>
          <cell r="V814" t="str">
            <v>A4 Mono MFPs</v>
          </cell>
          <cell r="W814" t="str">
            <v>JALISCO</v>
          </cell>
          <cell r="X814">
            <v>2019</v>
          </cell>
          <cell r="Y814" t="str">
            <v>Qtr 2</v>
          </cell>
          <cell r="Z814" t="str">
            <v>April</v>
          </cell>
          <cell r="AA814">
            <v>16</v>
          </cell>
          <cell r="AB814">
            <v>1</v>
          </cell>
          <cell r="AC814">
            <v>40</v>
          </cell>
          <cell r="AD814">
            <v>0</v>
          </cell>
          <cell r="AE814">
            <v>0</v>
          </cell>
          <cell r="AF814">
            <v>0</v>
          </cell>
        </row>
        <row r="815">
          <cell r="B815" t="str">
            <v>0X76706506</v>
          </cell>
          <cell r="C815">
            <v>2019</v>
          </cell>
          <cell r="D815" t="str">
            <v>Qtr 2</v>
          </cell>
          <cell r="E815" t="str">
            <v>April</v>
          </cell>
          <cell r="F815">
            <v>16</v>
          </cell>
          <cell r="G815" t="str">
            <v>CORRECTIVO</v>
          </cell>
          <cell r="H815">
            <v>0</v>
          </cell>
          <cell r="J815" t="str">
            <v>NA</v>
          </cell>
          <cell r="K815" t="str">
            <v>NA</v>
          </cell>
          <cell r="L815" t="str">
            <v>NA</v>
          </cell>
          <cell r="M815" t="str">
            <v>NA</v>
          </cell>
          <cell r="N815" t="str">
            <v>NA</v>
          </cell>
          <cell r="O815" t="str">
            <v>NA</v>
          </cell>
          <cell r="P815" t="str">
            <v>NA</v>
          </cell>
          <cell r="Q815" t="str">
            <v>NA</v>
          </cell>
          <cell r="S815" t="str">
            <v>NA</v>
          </cell>
          <cell r="T815" t="str">
            <v>NA</v>
          </cell>
          <cell r="V815" t="str">
            <v>Departmental Digital</v>
          </cell>
          <cell r="W815" t="str">
            <v>CHIHUAHUA</v>
          </cell>
          <cell r="X815">
            <v>2019</v>
          </cell>
          <cell r="Y815" t="str">
            <v>Qtr 2</v>
          </cell>
          <cell r="Z815" t="str">
            <v>April</v>
          </cell>
          <cell r="AA815">
            <v>23</v>
          </cell>
          <cell r="AB815" t="str">
            <v>NA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</row>
        <row r="816">
          <cell r="B816" t="str">
            <v>0AB9779149</v>
          </cell>
          <cell r="C816">
            <v>2019</v>
          </cell>
          <cell r="D816" t="str">
            <v>Qtr 2</v>
          </cell>
          <cell r="E816" t="str">
            <v>April</v>
          </cell>
          <cell r="F816">
            <v>16</v>
          </cell>
          <cell r="G816" t="str">
            <v>CORRECTIVO</v>
          </cell>
          <cell r="H816">
            <v>0.13333329999999999</v>
          </cell>
          <cell r="I816" t="str">
            <v>Color Laser Printers</v>
          </cell>
          <cell r="J816">
            <v>468</v>
          </cell>
          <cell r="K816">
            <v>715</v>
          </cell>
          <cell r="L816">
            <v>0</v>
          </cell>
          <cell r="M816">
            <v>0</v>
          </cell>
          <cell r="N816">
            <v>0</v>
          </cell>
          <cell r="O816">
            <v>0.6</v>
          </cell>
          <cell r="P816">
            <v>0.8</v>
          </cell>
          <cell r="Q816">
            <v>1.05</v>
          </cell>
          <cell r="R816" t="str">
            <v>INTERIOR</v>
          </cell>
          <cell r="S816">
            <v>5</v>
          </cell>
          <cell r="T816">
            <v>9</v>
          </cell>
          <cell r="U816" t="str">
            <v>Ciudad principal</v>
          </cell>
          <cell r="V816" t="str">
            <v>Departmental Digital</v>
          </cell>
          <cell r="W816" t="str">
            <v>QUERETARO</v>
          </cell>
          <cell r="X816">
            <v>2019</v>
          </cell>
          <cell r="Y816" t="str">
            <v>Qtr 2</v>
          </cell>
          <cell r="Z816" t="str">
            <v>April</v>
          </cell>
          <cell r="AA816">
            <v>17</v>
          </cell>
          <cell r="AB816">
            <v>0</v>
          </cell>
          <cell r="AC816">
            <v>8</v>
          </cell>
          <cell r="AD816">
            <v>0</v>
          </cell>
          <cell r="AE816">
            <v>2.6666659999999998E-2</v>
          </cell>
          <cell r="AF816">
            <v>0</v>
          </cell>
        </row>
        <row r="817">
          <cell r="B817" t="str">
            <v>0BG2951623</v>
          </cell>
          <cell r="C817">
            <v>2019</v>
          </cell>
          <cell r="D817" t="str">
            <v>Qtr 2</v>
          </cell>
          <cell r="E817" t="str">
            <v>April</v>
          </cell>
          <cell r="F817">
            <v>17</v>
          </cell>
          <cell r="G817" t="str">
            <v>MANTENIMIENTO PREVENTIVO</v>
          </cell>
          <cell r="H817">
            <v>0</v>
          </cell>
          <cell r="I817" t="str">
            <v>Light Production Digital Business</v>
          </cell>
          <cell r="J817">
            <v>803</v>
          </cell>
          <cell r="K817">
            <v>1573</v>
          </cell>
          <cell r="L817">
            <v>0.2</v>
          </cell>
          <cell r="M817">
            <v>0.6</v>
          </cell>
          <cell r="N817">
            <v>0.8</v>
          </cell>
          <cell r="O817">
            <v>1.05</v>
          </cell>
          <cell r="P817">
            <v>1.1000000000000001</v>
          </cell>
          <cell r="Q817">
            <v>1.1499999999999999</v>
          </cell>
          <cell r="R817" t="str">
            <v>INTERIOR</v>
          </cell>
          <cell r="S817">
            <v>4</v>
          </cell>
          <cell r="T817">
            <v>6</v>
          </cell>
          <cell r="U817" t="str">
            <v>Ciudad principal</v>
          </cell>
          <cell r="V817" t="str">
            <v>High End Cut Sheet</v>
          </cell>
          <cell r="W817" t="str">
            <v>TAMAULIPAS</v>
          </cell>
          <cell r="X817">
            <v>2019</v>
          </cell>
          <cell r="Y817" t="str">
            <v>Qtr 2</v>
          </cell>
          <cell r="Z817" t="str">
            <v>April</v>
          </cell>
          <cell r="AA817">
            <v>17</v>
          </cell>
          <cell r="AB817">
            <v>0</v>
          </cell>
          <cell r="AC817">
            <v>12</v>
          </cell>
          <cell r="AD817">
            <v>0</v>
          </cell>
          <cell r="AE817">
            <v>0</v>
          </cell>
          <cell r="AF817">
            <v>1573</v>
          </cell>
        </row>
        <row r="818">
          <cell r="B818" t="str">
            <v>0EX9293515</v>
          </cell>
          <cell r="C818">
            <v>2019</v>
          </cell>
          <cell r="D818" t="str">
            <v>Qtr 2</v>
          </cell>
          <cell r="E818" t="str">
            <v>April</v>
          </cell>
          <cell r="F818">
            <v>17</v>
          </cell>
          <cell r="G818" t="str">
            <v>CORRECTIVO</v>
          </cell>
          <cell r="H818">
            <v>0.98333329999999997</v>
          </cell>
          <cell r="I818" t="str">
            <v>Departmental Digital</v>
          </cell>
          <cell r="J818">
            <v>655</v>
          </cell>
          <cell r="K818">
            <v>1365</v>
          </cell>
          <cell r="L818">
            <v>0</v>
          </cell>
          <cell r="M818">
            <v>0</v>
          </cell>
          <cell r="N818">
            <v>0.6</v>
          </cell>
          <cell r="O818">
            <v>0.8</v>
          </cell>
          <cell r="P818">
            <v>1.05</v>
          </cell>
          <cell r="Q818">
            <v>1.1000000000000001</v>
          </cell>
          <cell r="R818" t="str">
            <v>INTERIOR</v>
          </cell>
          <cell r="S818">
            <v>5</v>
          </cell>
          <cell r="T818">
            <v>9</v>
          </cell>
          <cell r="U818" t="str">
            <v>Ciudad principal</v>
          </cell>
          <cell r="V818" t="str">
            <v>Departmental Digital</v>
          </cell>
          <cell r="W818" t="str">
            <v>JALISCO</v>
          </cell>
          <cell r="X818">
            <v>2019</v>
          </cell>
          <cell r="Y818" t="str">
            <v>Qtr 2</v>
          </cell>
          <cell r="Z818" t="str">
            <v>April</v>
          </cell>
          <cell r="AA818">
            <v>17</v>
          </cell>
          <cell r="AB818">
            <v>0</v>
          </cell>
          <cell r="AC818">
            <v>2</v>
          </cell>
          <cell r="AD818">
            <v>0</v>
          </cell>
          <cell r="AE818">
            <v>0.19666665999999999</v>
          </cell>
          <cell r="AF818">
            <v>0</v>
          </cell>
        </row>
        <row r="819">
          <cell r="B819" t="str">
            <v>0BG0972374</v>
          </cell>
          <cell r="C819">
            <v>2019</v>
          </cell>
          <cell r="D819" t="str">
            <v>Qtr 2</v>
          </cell>
          <cell r="E819" t="str">
            <v>April</v>
          </cell>
          <cell r="F819">
            <v>17</v>
          </cell>
          <cell r="G819" t="str">
            <v>INSTALACION NUEVA</v>
          </cell>
          <cell r="H819">
            <v>0</v>
          </cell>
          <cell r="I819" t="str">
            <v>Light Production Digital Business</v>
          </cell>
          <cell r="J819">
            <v>803</v>
          </cell>
          <cell r="K819">
            <v>1573</v>
          </cell>
          <cell r="L819">
            <v>0.2</v>
          </cell>
          <cell r="M819">
            <v>0.6</v>
          </cell>
          <cell r="N819">
            <v>0.8</v>
          </cell>
          <cell r="O819">
            <v>1.05</v>
          </cell>
          <cell r="P819">
            <v>1.1000000000000001</v>
          </cell>
          <cell r="Q819">
            <v>1.1499999999999999</v>
          </cell>
          <cell r="R819" t="str">
            <v>INTERIOR</v>
          </cell>
          <cell r="S819">
            <v>4</v>
          </cell>
          <cell r="T819">
            <v>6</v>
          </cell>
          <cell r="U819" t="str">
            <v>Ciudad principal</v>
          </cell>
          <cell r="V819" t="str">
            <v>High End Cut Sheet</v>
          </cell>
          <cell r="W819" t="str">
            <v>JALISCO</v>
          </cell>
          <cell r="X819">
            <v>2019</v>
          </cell>
          <cell r="Y819" t="str">
            <v>Qtr 2</v>
          </cell>
          <cell r="Z819" t="str">
            <v>April</v>
          </cell>
          <cell r="AA819">
            <v>23</v>
          </cell>
          <cell r="AB819">
            <v>0</v>
          </cell>
          <cell r="AC819">
            <v>57</v>
          </cell>
          <cell r="AD819">
            <v>0</v>
          </cell>
          <cell r="AE819">
            <v>0</v>
          </cell>
          <cell r="AF819">
            <v>1573</v>
          </cell>
        </row>
        <row r="820">
          <cell r="B820" t="str">
            <v>0E2B665653</v>
          </cell>
          <cell r="C820">
            <v>2019</v>
          </cell>
          <cell r="D820" t="str">
            <v>Qtr 2</v>
          </cell>
          <cell r="E820" t="str">
            <v>April</v>
          </cell>
          <cell r="F820">
            <v>17</v>
          </cell>
          <cell r="G820" t="str">
            <v>INSTALACION NUEVA</v>
          </cell>
          <cell r="H820">
            <v>0</v>
          </cell>
          <cell r="I820" t="str">
            <v>Entry Production Color Low/Mid</v>
          </cell>
          <cell r="J820">
            <v>803</v>
          </cell>
          <cell r="K820">
            <v>1573</v>
          </cell>
          <cell r="L820">
            <v>0.2</v>
          </cell>
          <cell r="M820">
            <v>0.6</v>
          </cell>
          <cell r="N820">
            <v>0.8</v>
          </cell>
          <cell r="O820">
            <v>1.05</v>
          </cell>
          <cell r="P820">
            <v>1.1000000000000001</v>
          </cell>
          <cell r="Q820">
            <v>1.1499999999999999</v>
          </cell>
          <cell r="R820" t="str">
            <v>INTERIOR</v>
          </cell>
          <cell r="S820">
            <v>4</v>
          </cell>
          <cell r="T820">
            <v>6</v>
          </cell>
          <cell r="U820" t="str">
            <v>Ciudad principal</v>
          </cell>
          <cell r="V820" t="str">
            <v>Entry Production Color Low/Mid</v>
          </cell>
          <cell r="W820" t="str">
            <v>JALISCO</v>
          </cell>
          <cell r="X820">
            <v>2019</v>
          </cell>
          <cell r="Y820" t="str">
            <v>Qtr 2</v>
          </cell>
          <cell r="Z820" t="str">
            <v>April</v>
          </cell>
          <cell r="AA820">
            <v>22</v>
          </cell>
          <cell r="AB820">
            <v>0</v>
          </cell>
          <cell r="AC820">
            <v>9</v>
          </cell>
          <cell r="AD820">
            <v>0</v>
          </cell>
          <cell r="AE820">
            <v>0</v>
          </cell>
          <cell r="AF820">
            <v>1573</v>
          </cell>
        </row>
        <row r="821">
          <cell r="B821" t="str">
            <v>0Y4X849031</v>
          </cell>
          <cell r="C821">
            <v>2019</v>
          </cell>
          <cell r="D821" t="str">
            <v>Qtr 2</v>
          </cell>
          <cell r="E821" t="str">
            <v>April</v>
          </cell>
          <cell r="F821">
            <v>17</v>
          </cell>
          <cell r="G821" t="str">
            <v>MANTENIMIENTO PREVENTIVO</v>
          </cell>
          <cell r="H821">
            <v>0</v>
          </cell>
          <cell r="I821" t="str">
            <v>Office Digital</v>
          </cell>
          <cell r="J821">
            <v>655</v>
          </cell>
          <cell r="K821">
            <v>1365</v>
          </cell>
          <cell r="L821">
            <v>0</v>
          </cell>
          <cell r="M821">
            <v>0</v>
          </cell>
          <cell r="N821">
            <v>0.6</v>
          </cell>
          <cell r="O821">
            <v>0.8</v>
          </cell>
          <cell r="P821">
            <v>1.05</v>
          </cell>
          <cell r="Q821">
            <v>1.1000000000000001</v>
          </cell>
          <cell r="R821" t="str">
            <v>INTERIOR</v>
          </cell>
          <cell r="S821">
            <v>5</v>
          </cell>
          <cell r="T821">
            <v>9</v>
          </cell>
          <cell r="U821" t="str">
            <v>Ciudad principal</v>
          </cell>
          <cell r="V821" t="str">
            <v>A4 Mono MFPs</v>
          </cell>
          <cell r="W821" t="str">
            <v>JALISCO</v>
          </cell>
          <cell r="X821">
            <v>2019</v>
          </cell>
          <cell r="Y821" t="str">
            <v>Qtr 2</v>
          </cell>
          <cell r="Z821" t="str">
            <v>April</v>
          </cell>
          <cell r="AA821">
            <v>17</v>
          </cell>
          <cell r="AB821">
            <v>1</v>
          </cell>
          <cell r="AC821">
            <v>6</v>
          </cell>
          <cell r="AD821">
            <v>0</v>
          </cell>
          <cell r="AE821">
            <v>0</v>
          </cell>
          <cell r="AF821">
            <v>0</v>
          </cell>
        </row>
        <row r="822">
          <cell r="B822" t="str">
            <v>09HB331355</v>
          </cell>
          <cell r="C822">
            <v>2019</v>
          </cell>
          <cell r="D822" t="str">
            <v>Qtr 2</v>
          </cell>
          <cell r="E822" t="str">
            <v>April</v>
          </cell>
          <cell r="F822">
            <v>17</v>
          </cell>
          <cell r="G822" t="str">
            <v>CORRECTIVO</v>
          </cell>
          <cell r="H822">
            <v>2.0499999999999998</v>
          </cell>
          <cell r="I822" t="str">
            <v>A4 Mono MFPs</v>
          </cell>
          <cell r="J822">
            <v>468</v>
          </cell>
          <cell r="K822">
            <v>715</v>
          </cell>
          <cell r="L822">
            <v>0</v>
          </cell>
          <cell r="M822">
            <v>0</v>
          </cell>
          <cell r="N822">
            <v>0</v>
          </cell>
          <cell r="O822">
            <v>0.6</v>
          </cell>
          <cell r="P822">
            <v>0.8</v>
          </cell>
          <cell r="Q822">
            <v>1.05</v>
          </cell>
          <cell r="R822" t="str">
            <v>METRO</v>
          </cell>
          <cell r="S822">
            <v>5</v>
          </cell>
          <cell r="T822">
            <v>9</v>
          </cell>
          <cell r="U822" t="str">
            <v>Ciudad principal</v>
          </cell>
          <cell r="V822" t="str">
            <v>A4 Mono MFPs</v>
          </cell>
          <cell r="W822" t="str">
            <v>ESTADO DE MEXICO</v>
          </cell>
          <cell r="X822">
            <v>2019</v>
          </cell>
          <cell r="Y822" t="str">
            <v>Qtr 2</v>
          </cell>
          <cell r="Z822" t="str">
            <v>April</v>
          </cell>
          <cell r="AA822">
            <v>17</v>
          </cell>
          <cell r="AB822">
            <v>1</v>
          </cell>
          <cell r="AC822">
            <v>65</v>
          </cell>
          <cell r="AD822">
            <v>0</v>
          </cell>
          <cell r="AE822">
            <v>0</v>
          </cell>
          <cell r="AF822">
            <v>0</v>
          </cell>
        </row>
        <row r="823">
          <cell r="B823" t="str">
            <v>0E2B654080</v>
          </cell>
          <cell r="C823">
            <v>2019</v>
          </cell>
          <cell r="D823" t="str">
            <v>Qtr 2</v>
          </cell>
          <cell r="E823" t="str">
            <v>April</v>
          </cell>
          <cell r="F823">
            <v>17</v>
          </cell>
          <cell r="G823" t="str">
            <v>INSTALACION NUEVA</v>
          </cell>
          <cell r="H823">
            <v>0</v>
          </cell>
          <cell r="I823" t="str">
            <v>Entry Production Color Low/Mid</v>
          </cell>
          <cell r="J823">
            <v>803</v>
          </cell>
          <cell r="K823">
            <v>1573</v>
          </cell>
          <cell r="L823">
            <v>0.2</v>
          </cell>
          <cell r="M823">
            <v>0.6</v>
          </cell>
          <cell r="N823">
            <v>0.8</v>
          </cell>
          <cell r="O823">
            <v>1.05</v>
          </cell>
          <cell r="P823">
            <v>1.1000000000000001</v>
          </cell>
          <cell r="Q823">
            <v>1.1499999999999999</v>
          </cell>
          <cell r="R823" t="str">
            <v>INTERIOR</v>
          </cell>
          <cell r="S823">
            <v>4</v>
          </cell>
          <cell r="T823">
            <v>6</v>
          </cell>
          <cell r="U823" t="str">
            <v>Ciudad principal</v>
          </cell>
          <cell r="V823" t="str">
            <v>Entry Production Color Low/Mid</v>
          </cell>
          <cell r="W823" t="str">
            <v>QUERETARO</v>
          </cell>
          <cell r="X823">
            <v>2019</v>
          </cell>
          <cell r="Y823" t="str">
            <v>Qtr 2</v>
          </cell>
          <cell r="Z823" t="str">
            <v>April</v>
          </cell>
          <cell r="AA823">
            <v>17</v>
          </cell>
          <cell r="AB823">
            <v>0</v>
          </cell>
          <cell r="AC823">
            <v>43</v>
          </cell>
          <cell r="AD823">
            <v>0</v>
          </cell>
          <cell r="AE823">
            <v>0</v>
          </cell>
          <cell r="AF823">
            <v>1573</v>
          </cell>
        </row>
        <row r="824">
          <cell r="B824" t="str">
            <v>0EX9303605</v>
          </cell>
          <cell r="C824">
            <v>2019</v>
          </cell>
          <cell r="D824" t="str">
            <v>Qtr 2</v>
          </cell>
          <cell r="E824" t="str">
            <v>April</v>
          </cell>
          <cell r="F824">
            <v>17</v>
          </cell>
          <cell r="G824" t="str">
            <v>INSTALACION NUEVA</v>
          </cell>
          <cell r="H824">
            <v>0</v>
          </cell>
          <cell r="J824" t="str">
            <v>NA</v>
          </cell>
          <cell r="K824" t="str">
            <v>NA</v>
          </cell>
          <cell r="L824" t="str">
            <v>NA</v>
          </cell>
          <cell r="M824" t="str">
            <v>NA</v>
          </cell>
          <cell r="N824" t="str">
            <v>NA</v>
          </cell>
          <cell r="O824" t="str">
            <v>NA</v>
          </cell>
          <cell r="P824" t="str">
            <v>NA</v>
          </cell>
          <cell r="Q824" t="str">
            <v>NA</v>
          </cell>
          <cell r="S824" t="str">
            <v>NA</v>
          </cell>
          <cell r="T824" t="str">
            <v>NA</v>
          </cell>
          <cell r="V824" t="str">
            <v>Departmental Digital</v>
          </cell>
          <cell r="W824" t="str">
            <v>CHIHUAHUA</v>
          </cell>
          <cell r="X824">
            <v>2019</v>
          </cell>
          <cell r="Y824" t="str">
            <v>Qtr 2</v>
          </cell>
          <cell r="Z824" t="str">
            <v>April</v>
          </cell>
          <cell r="AA824">
            <v>17</v>
          </cell>
          <cell r="AB824" t="str">
            <v>NA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</row>
        <row r="825">
          <cell r="B825" t="str">
            <v>09HB331532</v>
          </cell>
          <cell r="C825">
            <v>2019</v>
          </cell>
          <cell r="D825" t="str">
            <v>Qtr 2</v>
          </cell>
          <cell r="E825" t="str">
            <v>April</v>
          </cell>
          <cell r="F825">
            <v>17</v>
          </cell>
          <cell r="G825" t="str">
            <v>MANTENIMIENTO PREVENTIVO</v>
          </cell>
          <cell r="H825">
            <v>0</v>
          </cell>
          <cell r="J825" t="str">
            <v>NA</v>
          </cell>
          <cell r="K825" t="str">
            <v>NA</v>
          </cell>
          <cell r="L825" t="str">
            <v>NA</v>
          </cell>
          <cell r="M825" t="str">
            <v>NA</v>
          </cell>
          <cell r="N825" t="str">
            <v>NA</v>
          </cell>
          <cell r="O825" t="str">
            <v>NA</v>
          </cell>
          <cell r="P825" t="str">
            <v>NA</v>
          </cell>
          <cell r="Q825" t="str">
            <v>NA</v>
          </cell>
          <cell r="S825" t="str">
            <v>NA</v>
          </cell>
          <cell r="T825" t="str">
            <v>NA</v>
          </cell>
          <cell r="V825" t="str">
            <v>A4 Mono MFPs</v>
          </cell>
          <cell r="W825" t="str">
            <v>JALISCO</v>
          </cell>
          <cell r="X825">
            <v>2019</v>
          </cell>
          <cell r="Y825" t="str">
            <v>Qtr 2</v>
          </cell>
          <cell r="Z825" t="str">
            <v>April</v>
          </cell>
          <cell r="AA825">
            <v>17</v>
          </cell>
          <cell r="AB825" t="str">
            <v>NA</v>
          </cell>
          <cell r="AC825">
            <v>8</v>
          </cell>
          <cell r="AD825">
            <v>0</v>
          </cell>
          <cell r="AE825">
            <v>0</v>
          </cell>
          <cell r="AF825">
            <v>0</v>
          </cell>
        </row>
        <row r="826">
          <cell r="B826" t="str">
            <v>09HB331758</v>
          </cell>
          <cell r="C826">
            <v>2019</v>
          </cell>
          <cell r="D826" t="str">
            <v>Qtr 2</v>
          </cell>
          <cell r="E826" t="str">
            <v>April</v>
          </cell>
          <cell r="F826">
            <v>17</v>
          </cell>
          <cell r="G826" t="str">
            <v>CONFIGURACION</v>
          </cell>
          <cell r="H826">
            <v>0</v>
          </cell>
          <cell r="I826" t="str">
            <v>A4 Mono MFPs</v>
          </cell>
          <cell r="J826">
            <v>468</v>
          </cell>
          <cell r="K826">
            <v>715</v>
          </cell>
          <cell r="L826">
            <v>0</v>
          </cell>
          <cell r="M826">
            <v>0</v>
          </cell>
          <cell r="N826">
            <v>0</v>
          </cell>
          <cell r="O826">
            <v>0.6</v>
          </cell>
          <cell r="P826">
            <v>0.8</v>
          </cell>
          <cell r="Q826">
            <v>1.05</v>
          </cell>
          <cell r="R826" t="str">
            <v>INTERIOR</v>
          </cell>
          <cell r="S826">
            <v>5</v>
          </cell>
          <cell r="T826">
            <v>9</v>
          </cell>
          <cell r="U826" t="str">
            <v>Ciudad principal</v>
          </cell>
          <cell r="V826" t="str">
            <v>A4 Mono MFPs</v>
          </cell>
          <cell r="W826" t="str">
            <v>JALISCO</v>
          </cell>
          <cell r="X826">
            <v>2019</v>
          </cell>
          <cell r="Y826" t="str">
            <v>Qtr 2</v>
          </cell>
          <cell r="Z826" t="str">
            <v>April</v>
          </cell>
          <cell r="AA826">
            <v>17</v>
          </cell>
          <cell r="AB826">
            <v>1</v>
          </cell>
          <cell r="AC826">
            <v>48</v>
          </cell>
          <cell r="AD826">
            <v>0</v>
          </cell>
          <cell r="AE826">
            <v>0</v>
          </cell>
          <cell r="AF826">
            <v>0</v>
          </cell>
        </row>
        <row r="827">
          <cell r="B827" t="str">
            <v>09HB331584</v>
          </cell>
          <cell r="C827">
            <v>2019</v>
          </cell>
          <cell r="D827" t="str">
            <v>Qtr 2</v>
          </cell>
          <cell r="E827" t="str">
            <v>April</v>
          </cell>
          <cell r="F827">
            <v>17</v>
          </cell>
          <cell r="G827" t="str">
            <v>MANTENIMIENTO PREVENTIVO</v>
          </cell>
          <cell r="H827">
            <v>0</v>
          </cell>
          <cell r="I827" t="str">
            <v>A4 Mono MFPs</v>
          </cell>
          <cell r="J827">
            <v>468</v>
          </cell>
          <cell r="K827">
            <v>715</v>
          </cell>
          <cell r="L827">
            <v>0</v>
          </cell>
          <cell r="M827">
            <v>0</v>
          </cell>
          <cell r="N827">
            <v>0</v>
          </cell>
          <cell r="O827">
            <v>0.6</v>
          </cell>
          <cell r="P827">
            <v>0.8</v>
          </cell>
          <cell r="Q827">
            <v>1.05</v>
          </cell>
          <cell r="R827" t="str">
            <v>INTERIOR</v>
          </cell>
          <cell r="S827">
            <v>5</v>
          </cell>
          <cell r="T827">
            <v>9</v>
          </cell>
          <cell r="U827" t="str">
            <v>Ciudad principal</v>
          </cell>
          <cell r="V827" t="str">
            <v>A4 Mono MFPs</v>
          </cell>
          <cell r="W827" t="str">
            <v>JALISCO</v>
          </cell>
          <cell r="X827">
            <v>2019</v>
          </cell>
          <cell r="Y827" t="str">
            <v>Qtr 2</v>
          </cell>
          <cell r="Z827" t="str">
            <v>April</v>
          </cell>
          <cell r="AA827">
            <v>17</v>
          </cell>
          <cell r="AB827">
            <v>1</v>
          </cell>
          <cell r="AC827">
            <v>20</v>
          </cell>
          <cell r="AD827">
            <v>0</v>
          </cell>
          <cell r="AE827">
            <v>0</v>
          </cell>
          <cell r="AF827">
            <v>0</v>
          </cell>
        </row>
        <row r="828">
          <cell r="B828" t="str">
            <v>0Y4X848866</v>
          </cell>
          <cell r="C828">
            <v>2019</v>
          </cell>
          <cell r="D828" t="str">
            <v>Qtr 2</v>
          </cell>
          <cell r="E828" t="str">
            <v>April</v>
          </cell>
          <cell r="F828">
            <v>17</v>
          </cell>
          <cell r="G828" t="str">
            <v>CORRECTIVO</v>
          </cell>
          <cell r="H828">
            <v>1.233333</v>
          </cell>
          <cell r="I828" t="str">
            <v>Office Digital</v>
          </cell>
          <cell r="J828">
            <v>655</v>
          </cell>
          <cell r="K828">
            <v>1365</v>
          </cell>
          <cell r="L828">
            <v>0</v>
          </cell>
          <cell r="M828">
            <v>0</v>
          </cell>
          <cell r="N828">
            <v>0.6</v>
          </cell>
          <cell r="O828">
            <v>0.8</v>
          </cell>
          <cell r="P828">
            <v>1.05</v>
          </cell>
          <cell r="Q828">
            <v>1.1000000000000001</v>
          </cell>
          <cell r="R828" t="str">
            <v>METRO</v>
          </cell>
          <cell r="S828">
            <v>5</v>
          </cell>
          <cell r="T828">
            <v>9</v>
          </cell>
          <cell r="U828" t="str">
            <v>Ciudad principal</v>
          </cell>
          <cell r="V828" t="str">
            <v>Light Production Digital Business</v>
          </cell>
          <cell r="W828" t="str">
            <v>CIUDAD DE MEXICO</v>
          </cell>
          <cell r="X828">
            <v>2019</v>
          </cell>
          <cell r="Y828" t="str">
            <v>Qtr 2</v>
          </cell>
          <cell r="Z828" t="str">
            <v>April</v>
          </cell>
          <cell r="AA828">
            <v>17</v>
          </cell>
          <cell r="AB828">
            <v>1</v>
          </cell>
          <cell r="AC828">
            <v>21</v>
          </cell>
          <cell r="AD828">
            <v>0</v>
          </cell>
          <cell r="AE828">
            <v>0</v>
          </cell>
          <cell r="AF828">
            <v>0</v>
          </cell>
        </row>
        <row r="829">
          <cell r="B829" t="str">
            <v>0B2R090061</v>
          </cell>
          <cell r="C829">
            <v>2019</v>
          </cell>
          <cell r="D829" t="str">
            <v>Qtr 2</v>
          </cell>
          <cell r="E829" t="str">
            <v>April</v>
          </cell>
          <cell r="F829">
            <v>17</v>
          </cell>
          <cell r="G829" t="str">
            <v>CORRECTIVO</v>
          </cell>
          <cell r="H829">
            <v>1.233333</v>
          </cell>
          <cell r="I829" t="str">
            <v>Entry Production Color Low/Mid</v>
          </cell>
          <cell r="J829">
            <v>803</v>
          </cell>
          <cell r="K829">
            <v>1573</v>
          </cell>
          <cell r="L829">
            <v>0.2</v>
          </cell>
          <cell r="M829">
            <v>0.6</v>
          </cell>
          <cell r="N829">
            <v>0.8</v>
          </cell>
          <cell r="O829">
            <v>1.05</v>
          </cell>
          <cell r="P829">
            <v>1.1000000000000001</v>
          </cell>
          <cell r="Q829">
            <v>1.1499999999999999</v>
          </cell>
          <cell r="R829" t="str">
            <v>INTERIOR</v>
          </cell>
          <cell r="S829">
            <v>4</v>
          </cell>
          <cell r="T829">
            <v>6</v>
          </cell>
          <cell r="U829" t="str">
            <v>Ciudad principal</v>
          </cell>
          <cell r="V829" t="str">
            <v>High End Cut Sheet</v>
          </cell>
          <cell r="W829" t="str">
            <v>NUEVO LEON</v>
          </cell>
          <cell r="X829">
            <v>2019</v>
          </cell>
          <cell r="Y829" t="str">
            <v>Qtr 2</v>
          </cell>
          <cell r="Z829" t="str">
            <v>April</v>
          </cell>
          <cell r="AA829">
            <v>17</v>
          </cell>
          <cell r="AB829">
            <v>0</v>
          </cell>
          <cell r="AC829">
            <v>9</v>
          </cell>
          <cell r="AD829">
            <v>0.8</v>
          </cell>
          <cell r="AE829">
            <v>0.30833325</v>
          </cell>
          <cell r="AF829">
            <v>1258.4000000000001</v>
          </cell>
        </row>
        <row r="830">
          <cell r="B830" t="str">
            <v>0A2T200060</v>
          </cell>
          <cell r="C830">
            <v>2019</v>
          </cell>
          <cell r="D830" t="str">
            <v>Qtr 2</v>
          </cell>
          <cell r="E830" t="str">
            <v>April</v>
          </cell>
          <cell r="F830">
            <v>17</v>
          </cell>
          <cell r="G830" t="str">
            <v>CORRECTIVO</v>
          </cell>
          <cell r="H830">
            <v>3.1333329999999999</v>
          </cell>
          <cell r="I830" t="str">
            <v>A4 Mono MFPs</v>
          </cell>
          <cell r="J830">
            <v>468</v>
          </cell>
          <cell r="K830">
            <v>715</v>
          </cell>
          <cell r="L830">
            <v>0</v>
          </cell>
          <cell r="M830">
            <v>0</v>
          </cell>
          <cell r="N830">
            <v>0</v>
          </cell>
          <cell r="O830">
            <v>0.6</v>
          </cell>
          <cell r="P830">
            <v>0.8</v>
          </cell>
          <cell r="Q830">
            <v>1.05</v>
          </cell>
          <cell r="R830" t="str">
            <v>INTERIOR</v>
          </cell>
          <cell r="S830">
            <v>5</v>
          </cell>
          <cell r="T830">
            <v>9</v>
          </cell>
          <cell r="U830" t="str">
            <v>Ciudad principal</v>
          </cell>
          <cell r="V830" t="str">
            <v>A4 Mono MFPs</v>
          </cell>
          <cell r="W830" t="str">
            <v>JALISCO</v>
          </cell>
          <cell r="X830">
            <v>2019</v>
          </cell>
          <cell r="Y830" t="str">
            <v>Qtr 2</v>
          </cell>
          <cell r="Z830" t="str">
            <v>April</v>
          </cell>
          <cell r="AA830">
            <v>17</v>
          </cell>
          <cell r="AB830">
            <v>0</v>
          </cell>
          <cell r="AC830">
            <v>127</v>
          </cell>
          <cell r="AD830">
            <v>1.05</v>
          </cell>
          <cell r="AE830">
            <v>0.62666659999999996</v>
          </cell>
          <cell r="AF830">
            <v>750.75</v>
          </cell>
        </row>
        <row r="831">
          <cell r="B831" t="str">
            <v>0A2T200474</v>
          </cell>
          <cell r="C831">
            <v>2019</v>
          </cell>
          <cell r="D831" t="str">
            <v>Qtr 2</v>
          </cell>
          <cell r="E831" t="str">
            <v>April</v>
          </cell>
          <cell r="F831">
            <v>17</v>
          </cell>
          <cell r="G831" t="str">
            <v>CORRECTIVO</v>
          </cell>
          <cell r="H831">
            <v>2.5333329999999998</v>
          </cell>
          <cell r="J831" t="str">
            <v>NA</v>
          </cell>
          <cell r="K831" t="str">
            <v>NA</v>
          </cell>
          <cell r="L831" t="str">
            <v>NA</v>
          </cell>
          <cell r="M831" t="str">
            <v>NA</v>
          </cell>
          <cell r="N831" t="str">
            <v>NA</v>
          </cell>
          <cell r="O831" t="str">
            <v>NA</v>
          </cell>
          <cell r="P831" t="str">
            <v>NA</v>
          </cell>
          <cell r="Q831" t="str">
            <v>NA</v>
          </cell>
          <cell r="S831" t="str">
            <v>NA</v>
          </cell>
          <cell r="T831" t="str">
            <v>NA</v>
          </cell>
          <cell r="V831" t="str">
            <v>A4 Mono MFPs</v>
          </cell>
          <cell r="W831" t="str">
            <v>JALISCO</v>
          </cell>
          <cell r="X831">
            <v>2019</v>
          </cell>
          <cell r="Y831" t="str">
            <v>Qtr 2</v>
          </cell>
          <cell r="Z831" t="str">
            <v>April</v>
          </cell>
          <cell r="AA831">
            <v>17</v>
          </cell>
          <cell r="AB831" t="str">
            <v>NA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</row>
        <row r="832">
          <cell r="B832" t="str">
            <v>0EX9664404</v>
          </cell>
          <cell r="C832">
            <v>2019</v>
          </cell>
          <cell r="D832" t="str">
            <v>Qtr 2</v>
          </cell>
          <cell r="E832" t="str">
            <v>April</v>
          </cell>
          <cell r="F832">
            <v>17</v>
          </cell>
          <cell r="G832" t="str">
            <v>CORRECTIVO</v>
          </cell>
          <cell r="H832">
            <v>0.21666669999999999</v>
          </cell>
          <cell r="I832" t="str">
            <v>Departmental Digital</v>
          </cell>
          <cell r="J832">
            <v>655</v>
          </cell>
          <cell r="K832">
            <v>1365</v>
          </cell>
          <cell r="L832">
            <v>0</v>
          </cell>
          <cell r="M832">
            <v>0</v>
          </cell>
          <cell r="N832">
            <v>0.6</v>
          </cell>
          <cell r="O832">
            <v>0.8</v>
          </cell>
          <cell r="P832">
            <v>1.05</v>
          </cell>
          <cell r="Q832">
            <v>1.1000000000000001</v>
          </cell>
          <cell r="R832" t="str">
            <v>INTERIOR</v>
          </cell>
          <cell r="S832">
            <v>5</v>
          </cell>
          <cell r="T832">
            <v>9</v>
          </cell>
          <cell r="U832" t="str">
            <v>Ciudad principal</v>
          </cell>
          <cell r="V832" t="str">
            <v>Departmental Digital</v>
          </cell>
          <cell r="W832" t="str">
            <v>JALISCO</v>
          </cell>
          <cell r="X832">
            <v>2019</v>
          </cell>
          <cell r="Y832" t="str">
            <v>Qtr 2</v>
          </cell>
          <cell r="Z832" t="str">
            <v>April</v>
          </cell>
          <cell r="AA832">
            <v>23</v>
          </cell>
          <cell r="AB832">
            <v>0</v>
          </cell>
          <cell r="AC832">
            <v>1</v>
          </cell>
          <cell r="AD832">
            <v>0</v>
          </cell>
          <cell r="AE832">
            <v>4.3333339999999998E-2</v>
          </cell>
          <cell r="AF832">
            <v>0</v>
          </cell>
        </row>
        <row r="833">
          <cell r="B833" t="str">
            <v>03BT802611</v>
          </cell>
          <cell r="C833">
            <v>2019</v>
          </cell>
          <cell r="D833" t="str">
            <v>Qtr 2</v>
          </cell>
          <cell r="E833" t="str">
            <v>April</v>
          </cell>
          <cell r="F833">
            <v>17</v>
          </cell>
          <cell r="G833" t="str">
            <v>CORRECTIVO</v>
          </cell>
          <cell r="H833">
            <v>0.88333329999999999</v>
          </cell>
          <cell r="I833" t="str">
            <v>A4 Mono MFPs</v>
          </cell>
          <cell r="J833">
            <v>468</v>
          </cell>
          <cell r="K833">
            <v>715</v>
          </cell>
          <cell r="L833">
            <v>0</v>
          </cell>
          <cell r="M833">
            <v>0</v>
          </cell>
          <cell r="N833">
            <v>0</v>
          </cell>
          <cell r="O833">
            <v>0.6</v>
          </cell>
          <cell r="P833">
            <v>0.8</v>
          </cell>
          <cell r="Q833">
            <v>1.05</v>
          </cell>
          <cell r="R833" t="str">
            <v>INTERIOR</v>
          </cell>
          <cell r="S833">
            <v>5</v>
          </cell>
          <cell r="T833">
            <v>9</v>
          </cell>
          <cell r="U833" t="str">
            <v>Ciudad principal</v>
          </cell>
          <cell r="V833" t="str">
            <v>A4 Mono MFPs</v>
          </cell>
          <cell r="W833" t="str">
            <v>COLIMA</v>
          </cell>
          <cell r="X833">
            <v>2019</v>
          </cell>
          <cell r="Y833" t="str">
            <v>Qtr 2</v>
          </cell>
          <cell r="Z833" t="str">
            <v>April</v>
          </cell>
          <cell r="AA833">
            <v>17</v>
          </cell>
          <cell r="AB833">
            <v>1</v>
          </cell>
          <cell r="AC833">
            <v>240</v>
          </cell>
          <cell r="AD833">
            <v>0</v>
          </cell>
          <cell r="AE833">
            <v>0</v>
          </cell>
          <cell r="AF833">
            <v>0</v>
          </cell>
        </row>
        <row r="834">
          <cell r="B834" t="str">
            <v>0A4T037736</v>
          </cell>
          <cell r="C834">
            <v>2019</v>
          </cell>
          <cell r="D834" t="str">
            <v>Qtr 2</v>
          </cell>
          <cell r="E834" t="str">
            <v>April</v>
          </cell>
          <cell r="F834">
            <v>17</v>
          </cell>
          <cell r="G834" t="str">
            <v>CORRECTIVO</v>
          </cell>
          <cell r="H834">
            <v>3.75</v>
          </cell>
          <cell r="J834" t="str">
            <v>NA</v>
          </cell>
          <cell r="K834" t="str">
            <v>NA</v>
          </cell>
          <cell r="L834" t="str">
            <v>NA</v>
          </cell>
          <cell r="M834" t="str">
            <v>NA</v>
          </cell>
          <cell r="N834" t="str">
            <v>NA</v>
          </cell>
          <cell r="O834" t="str">
            <v>NA</v>
          </cell>
          <cell r="P834" t="str">
            <v>NA</v>
          </cell>
          <cell r="Q834" t="str">
            <v>NA</v>
          </cell>
          <cell r="S834" t="str">
            <v>NA</v>
          </cell>
          <cell r="T834" t="str">
            <v>NA</v>
          </cell>
          <cell r="V834" t="str">
            <v>A4 Mono MFPs</v>
          </cell>
          <cell r="W834" t="str">
            <v>JALISCO</v>
          </cell>
          <cell r="X834">
            <v>2019</v>
          </cell>
          <cell r="Y834" t="str">
            <v>Qtr 2</v>
          </cell>
          <cell r="Z834" t="str">
            <v>April</v>
          </cell>
          <cell r="AA834">
            <v>17</v>
          </cell>
          <cell r="AB834" t="str">
            <v>NA</v>
          </cell>
          <cell r="AC834">
            <v>119</v>
          </cell>
          <cell r="AD834">
            <v>0</v>
          </cell>
          <cell r="AE834">
            <v>0</v>
          </cell>
          <cell r="AF834">
            <v>0</v>
          </cell>
        </row>
        <row r="835">
          <cell r="B835" t="str">
            <v>0X76705877</v>
          </cell>
          <cell r="C835">
            <v>2019</v>
          </cell>
          <cell r="D835" t="str">
            <v>Qtr 2</v>
          </cell>
          <cell r="E835" t="str">
            <v>April</v>
          </cell>
          <cell r="F835">
            <v>17</v>
          </cell>
          <cell r="G835" t="str">
            <v>CORRECTIVO</v>
          </cell>
          <cell r="H835">
            <v>1.05</v>
          </cell>
          <cell r="J835" t="str">
            <v>NA</v>
          </cell>
          <cell r="K835" t="str">
            <v>NA</v>
          </cell>
          <cell r="L835" t="str">
            <v>NA</v>
          </cell>
          <cell r="M835" t="str">
            <v>NA</v>
          </cell>
          <cell r="N835" t="str">
            <v>NA</v>
          </cell>
          <cell r="O835" t="str">
            <v>NA</v>
          </cell>
          <cell r="P835" t="str">
            <v>NA</v>
          </cell>
          <cell r="Q835" t="str">
            <v>NA</v>
          </cell>
          <cell r="S835" t="str">
            <v>NA</v>
          </cell>
          <cell r="T835" t="str">
            <v>NA</v>
          </cell>
          <cell r="V835" t="str">
            <v>Departmental Digital</v>
          </cell>
          <cell r="W835" t="str">
            <v>CHIHUAHUA</v>
          </cell>
          <cell r="X835">
            <v>2019</v>
          </cell>
          <cell r="Y835" t="str">
            <v>Qtr 2</v>
          </cell>
          <cell r="Z835" t="str">
            <v>April</v>
          </cell>
          <cell r="AA835">
            <v>17</v>
          </cell>
          <cell r="AB835" t="str">
            <v>NA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</row>
        <row r="836">
          <cell r="B836" t="str">
            <v>0C7X273155</v>
          </cell>
          <cell r="C836">
            <v>2019</v>
          </cell>
          <cell r="D836" t="str">
            <v>Qtr 2</v>
          </cell>
          <cell r="E836" t="str">
            <v>April</v>
          </cell>
          <cell r="F836">
            <v>17</v>
          </cell>
          <cell r="G836" t="str">
            <v>CORRECTIVO</v>
          </cell>
          <cell r="H836">
            <v>0.71666660000000004</v>
          </cell>
          <cell r="I836" t="str">
            <v>A4 Mono MFPs</v>
          </cell>
          <cell r="J836">
            <v>468</v>
          </cell>
          <cell r="K836">
            <v>715</v>
          </cell>
          <cell r="L836">
            <v>0</v>
          </cell>
          <cell r="M836">
            <v>0</v>
          </cell>
          <cell r="N836">
            <v>0</v>
          </cell>
          <cell r="O836">
            <v>0.6</v>
          </cell>
          <cell r="P836">
            <v>0.8</v>
          </cell>
          <cell r="Q836">
            <v>1.05</v>
          </cell>
          <cell r="R836" t="str">
            <v>INTERIOR</v>
          </cell>
          <cell r="S836">
            <v>5</v>
          </cell>
          <cell r="T836">
            <v>9</v>
          </cell>
          <cell r="U836" t="str">
            <v>Ciudad principal</v>
          </cell>
          <cell r="V836" t="str">
            <v>A4 Mono MFPs</v>
          </cell>
          <cell r="W836" t="str">
            <v>QUERETARO</v>
          </cell>
          <cell r="X836">
            <v>2019</v>
          </cell>
          <cell r="Y836" t="str">
            <v>Qtr 2</v>
          </cell>
          <cell r="Z836" t="str">
            <v>April</v>
          </cell>
          <cell r="AA836">
            <v>23</v>
          </cell>
          <cell r="AB836">
            <v>0</v>
          </cell>
          <cell r="AC836">
            <v>216</v>
          </cell>
          <cell r="AD836">
            <v>1.05</v>
          </cell>
          <cell r="AE836">
            <v>0.14333331999999999</v>
          </cell>
          <cell r="AF836">
            <v>750.75</v>
          </cell>
        </row>
        <row r="837">
          <cell r="B837" t="str">
            <v>09HB321648</v>
          </cell>
          <cell r="C837">
            <v>2019</v>
          </cell>
          <cell r="D837" t="str">
            <v>Qtr 2</v>
          </cell>
          <cell r="E837" t="str">
            <v>April</v>
          </cell>
          <cell r="F837">
            <v>17</v>
          </cell>
          <cell r="G837" t="str">
            <v>CORRECTIVO</v>
          </cell>
          <cell r="H837">
            <v>1.266667</v>
          </cell>
          <cell r="I837" t="str">
            <v>A4 Mono MFPs</v>
          </cell>
          <cell r="J837">
            <v>468</v>
          </cell>
          <cell r="K837">
            <v>715</v>
          </cell>
          <cell r="L837">
            <v>0</v>
          </cell>
          <cell r="M837">
            <v>0</v>
          </cell>
          <cell r="N837">
            <v>0</v>
          </cell>
          <cell r="O837">
            <v>0.6</v>
          </cell>
          <cell r="P837">
            <v>0.8</v>
          </cell>
          <cell r="Q837">
            <v>1.05</v>
          </cell>
          <cell r="R837" t="str">
            <v>INTERIOR</v>
          </cell>
          <cell r="S837">
            <v>5</v>
          </cell>
          <cell r="T837">
            <v>9</v>
          </cell>
          <cell r="U837" t="str">
            <v>Ciudad principal</v>
          </cell>
          <cell r="V837" t="str">
            <v>A4 Mono MFPs</v>
          </cell>
          <cell r="W837" t="str">
            <v>NUEVO LEON</v>
          </cell>
          <cell r="X837">
            <v>2019</v>
          </cell>
          <cell r="Y837" t="str">
            <v>Qtr 2</v>
          </cell>
          <cell r="Z837" t="str">
            <v>April</v>
          </cell>
          <cell r="AA837">
            <v>17</v>
          </cell>
          <cell r="AB837">
            <v>0</v>
          </cell>
          <cell r="AC837">
            <v>295</v>
          </cell>
          <cell r="AD837">
            <v>1.05</v>
          </cell>
          <cell r="AE837">
            <v>0.25333339999999999</v>
          </cell>
          <cell r="AF837">
            <v>750.75</v>
          </cell>
        </row>
        <row r="838">
          <cell r="B838" t="str">
            <v>0BB1265406</v>
          </cell>
          <cell r="C838">
            <v>2019</v>
          </cell>
          <cell r="D838" t="str">
            <v>Qtr 2</v>
          </cell>
          <cell r="E838" t="str">
            <v>April</v>
          </cell>
          <cell r="F838">
            <v>17</v>
          </cell>
          <cell r="G838" t="str">
            <v>CORRECTIVO</v>
          </cell>
          <cell r="H838">
            <v>2.0499999999999998</v>
          </cell>
          <cell r="I838" t="str">
            <v>A4 Mono MFPs</v>
          </cell>
          <cell r="J838">
            <v>468</v>
          </cell>
          <cell r="K838">
            <v>715</v>
          </cell>
          <cell r="L838">
            <v>0</v>
          </cell>
          <cell r="M838">
            <v>0</v>
          </cell>
          <cell r="N838">
            <v>0</v>
          </cell>
          <cell r="O838">
            <v>0.6</v>
          </cell>
          <cell r="P838">
            <v>0.8</v>
          </cell>
          <cell r="Q838">
            <v>1.05</v>
          </cell>
          <cell r="R838" t="str">
            <v>INTERIOR</v>
          </cell>
          <cell r="S838">
            <v>5</v>
          </cell>
          <cell r="T838">
            <v>9</v>
          </cell>
          <cell r="U838" t="str">
            <v>Ciudad principal</v>
          </cell>
          <cell r="V838" t="str">
            <v>A4 Mono MFPs</v>
          </cell>
          <cell r="W838" t="str">
            <v>GUANAJUATO</v>
          </cell>
          <cell r="X838">
            <v>2019</v>
          </cell>
          <cell r="Y838" t="str">
            <v>Qtr 2</v>
          </cell>
          <cell r="Z838" t="str">
            <v>April</v>
          </cell>
          <cell r="AA838">
            <v>17</v>
          </cell>
          <cell r="AB838">
            <v>0</v>
          </cell>
          <cell r="AC838">
            <v>47</v>
          </cell>
          <cell r="AD838">
            <v>0.8</v>
          </cell>
          <cell r="AE838">
            <v>0.41</v>
          </cell>
          <cell r="AF838">
            <v>572</v>
          </cell>
        </row>
        <row r="839">
          <cell r="B839" t="str">
            <v>0BG2949227</v>
          </cell>
          <cell r="C839">
            <v>2019</v>
          </cell>
          <cell r="D839" t="str">
            <v>Qtr 2</v>
          </cell>
          <cell r="E839" t="str">
            <v>April</v>
          </cell>
          <cell r="F839">
            <v>17</v>
          </cell>
          <cell r="G839" t="str">
            <v>CORRECTIVO</v>
          </cell>
          <cell r="H839">
            <v>1.2</v>
          </cell>
          <cell r="I839" t="str">
            <v>Light Production Digital Business</v>
          </cell>
          <cell r="J839">
            <v>803</v>
          </cell>
          <cell r="K839">
            <v>1573</v>
          </cell>
          <cell r="L839">
            <v>0.2</v>
          </cell>
          <cell r="M839">
            <v>0.6</v>
          </cell>
          <cell r="N839">
            <v>0.8</v>
          </cell>
          <cell r="O839">
            <v>1.05</v>
          </cell>
          <cell r="P839">
            <v>1.1000000000000001</v>
          </cell>
          <cell r="Q839">
            <v>1.1499999999999999</v>
          </cell>
          <cell r="R839" t="str">
            <v>INTERIOR</v>
          </cell>
          <cell r="S839">
            <v>4</v>
          </cell>
          <cell r="T839">
            <v>6</v>
          </cell>
          <cell r="U839" t="str">
            <v>Ciudad principal</v>
          </cell>
          <cell r="V839" t="str">
            <v>High End Cut Sheet</v>
          </cell>
          <cell r="W839" t="str">
            <v>ESTADO DE MEXICO</v>
          </cell>
          <cell r="X839">
            <v>2019</v>
          </cell>
          <cell r="Y839" t="str">
            <v>Qtr 2</v>
          </cell>
          <cell r="Z839" t="str">
            <v>April</v>
          </cell>
          <cell r="AA839">
            <v>22</v>
          </cell>
          <cell r="AB839">
            <v>0</v>
          </cell>
          <cell r="AC839">
            <v>47</v>
          </cell>
          <cell r="AD839">
            <v>1.1000000000000001</v>
          </cell>
          <cell r="AE839">
            <v>0.3</v>
          </cell>
          <cell r="AF839">
            <v>1730.3</v>
          </cell>
        </row>
        <row r="840">
          <cell r="B840" t="str">
            <v>0ER2127879</v>
          </cell>
          <cell r="C840">
            <v>2019</v>
          </cell>
          <cell r="D840" t="str">
            <v>Qtr 2</v>
          </cell>
          <cell r="E840" t="str">
            <v>April</v>
          </cell>
          <cell r="F840">
            <v>17</v>
          </cell>
          <cell r="G840" t="str">
            <v>MANTENIMIENTO PREVENTIVO</v>
          </cell>
          <cell r="H840">
            <v>1.6666670000000001E-2</v>
          </cell>
          <cell r="J840" t="str">
            <v>NA</v>
          </cell>
          <cell r="K840" t="str">
            <v>NA</v>
          </cell>
          <cell r="L840" t="str">
            <v>NA</v>
          </cell>
          <cell r="M840" t="str">
            <v>NA</v>
          </cell>
          <cell r="N840" t="str">
            <v>NA</v>
          </cell>
          <cell r="O840" t="str">
            <v>NA</v>
          </cell>
          <cell r="P840" t="str">
            <v>NA</v>
          </cell>
          <cell r="Q840" t="str">
            <v>NA</v>
          </cell>
          <cell r="S840" t="str">
            <v>NA</v>
          </cell>
          <cell r="T840" t="str">
            <v>NA</v>
          </cell>
          <cell r="W840" t="str">
            <v>GUANAJUATO</v>
          </cell>
          <cell r="X840">
            <v>2019</v>
          </cell>
          <cell r="Y840" t="str">
            <v>Qtr 2</v>
          </cell>
          <cell r="Z840" t="str">
            <v>April</v>
          </cell>
          <cell r="AA840">
            <v>29</v>
          </cell>
          <cell r="AB840" t="str">
            <v>NA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</row>
        <row r="841">
          <cell r="B841" t="str">
            <v>0BG2940928</v>
          </cell>
          <cell r="C841">
            <v>2019</v>
          </cell>
          <cell r="D841" t="str">
            <v>Qtr 2</v>
          </cell>
          <cell r="E841" t="str">
            <v>April</v>
          </cell>
          <cell r="F841">
            <v>17</v>
          </cell>
          <cell r="G841" t="str">
            <v>CORRECTIVO</v>
          </cell>
          <cell r="H841">
            <v>14.966670000000001</v>
          </cell>
          <cell r="I841" t="str">
            <v>Light Production Digital Business</v>
          </cell>
          <cell r="J841">
            <v>803</v>
          </cell>
          <cell r="K841">
            <v>1573</v>
          </cell>
          <cell r="L841">
            <v>0.2</v>
          </cell>
          <cell r="M841">
            <v>0.6</v>
          </cell>
          <cell r="N841">
            <v>0.8</v>
          </cell>
          <cell r="O841">
            <v>1.05</v>
          </cell>
          <cell r="P841">
            <v>1.1000000000000001</v>
          </cell>
          <cell r="Q841">
            <v>1.1499999999999999</v>
          </cell>
          <cell r="R841" t="str">
            <v>INTERIOR</v>
          </cell>
          <cell r="S841">
            <v>4</v>
          </cell>
          <cell r="T841">
            <v>6</v>
          </cell>
          <cell r="U841" t="str">
            <v>Ciudad principal</v>
          </cell>
          <cell r="V841" t="str">
            <v>High End Cut Sheet</v>
          </cell>
          <cell r="W841" t="str">
            <v>JALISCO</v>
          </cell>
          <cell r="X841">
            <v>2019</v>
          </cell>
          <cell r="Y841" t="str">
            <v>Qtr 2</v>
          </cell>
          <cell r="Z841" t="str">
            <v>April</v>
          </cell>
          <cell r="AA841">
            <v>22</v>
          </cell>
          <cell r="AB841">
            <v>0</v>
          </cell>
          <cell r="AC841">
            <v>22</v>
          </cell>
          <cell r="AD841">
            <v>1.05</v>
          </cell>
          <cell r="AE841">
            <v>3.7416675000000001</v>
          </cell>
          <cell r="AF841">
            <v>78.650000000000105</v>
          </cell>
        </row>
        <row r="842">
          <cell r="B842" t="str">
            <v>09HB331389</v>
          </cell>
          <cell r="C842">
            <v>2019</v>
          </cell>
          <cell r="D842" t="str">
            <v>Qtr 2</v>
          </cell>
          <cell r="E842" t="str">
            <v>April</v>
          </cell>
          <cell r="F842">
            <v>17</v>
          </cell>
          <cell r="G842" t="str">
            <v>MANTENIMIENTO PREVENTIVO</v>
          </cell>
          <cell r="H842">
            <v>0</v>
          </cell>
          <cell r="J842" t="str">
            <v>NA</v>
          </cell>
          <cell r="K842" t="str">
            <v>NA</v>
          </cell>
          <cell r="L842" t="str">
            <v>NA</v>
          </cell>
          <cell r="M842" t="str">
            <v>NA</v>
          </cell>
          <cell r="N842" t="str">
            <v>NA</v>
          </cell>
          <cell r="O842" t="str">
            <v>NA</v>
          </cell>
          <cell r="P842" t="str">
            <v>NA</v>
          </cell>
          <cell r="Q842" t="str">
            <v>NA</v>
          </cell>
          <cell r="S842" t="str">
            <v>NA</v>
          </cell>
          <cell r="T842" t="str">
            <v>NA</v>
          </cell>
          <cell r="V842" t="str">
            <v>A4 Mono MFPs</v>
          </cell>
          <cell r="W842" t="str">
            <v>JALISCO</v>
          </cell>
          <cell r="X842">
            <v>2019</v>
          </cell>
          <cell r="Y842" t="str">
            <v>Qtr 2</v>
          </cell>
          <cell r="Z842" t="str">
            <v>April</v>
          </cell>
          <cell r="AA842">
            <v>17</v>
          </cell>
          <cell r="AB842" t="str">
            <v>NA</v>
          </cell>
          <cell r="AC842">
            <v>51</v>
          </cell>
          <cell r="AD842">
            <v>0</v>
          </cell>
          <cell r="AE842">
            <v>0</v>
          </cell>
          <cell r="AF842">
            <v>0</v>
          </cell>
        </row>
        <row r="843">
          <cell r="B843" t="str">
            <v>0E2B656929</v>
          </cell>
          <cell r="C843">
            <v>2019</v>
          </cell>
          <cell r="D843" t="str">
            <v>Qtr 2</v>
          </cell>
          <cell r="E843" t="str">
            <v>April</v>
          </cell>
          <cell r="F843">
            <v>17</v>
          </cell>
          <cell r="G843" t="str">
            <v>CORRECTIVO</v>
          </cell>
          <cell r="H843">
            <v>2.1333329999999999</v>
          </cell>
          <cell r="I843" t="str">
            <v>Entry Production Color Low/Mid</v>
          </cell>
          <cell r="J843">
            <v>803</v>
          </cell>
          <cell r="K843">
            <v>1573</v>
          </cell>
          <cell r="L843">
            <v>0.2</v>
          </cell>
          <cell r="M843">
            <v>0.6</v>
          </cell>
          <cell r="N843">
            <v>0.8</v>
          </cell>
          <cell r="O843">
            <v>1.05</v>
          </cell>
          <cell r="P843">
            <v>1.1000000000000001</v>
          </cell>
          <cell r="Q843">
            <v>1.1499999999999999</v>
          </cell>
          <cell r="R843" t="str">
            <v>INTERIOR</v>
          </cell>
          <cell r="S843">
            <v>4</v>
          </cell>
          <cell r="T843">
            <v>6</v>
          </cell>
          <cell r="U843" t="str">
            <v>Otras</v>
          </cell>
          <cell r="V843" t="str">
            <v>Entry Production Color Low/Mid</v>
          </cell>
          <cell r="W843" t="str">
            <v>ESTADO DE MEXICO</v>
          </cell>
          <cell r="X843">
            <v>2019</v>
          </cell>
          <cell r="Y843" t="str">
            <v>Qtr 2</v>
          </cell>
          <cell r="Z843" t="str">
            <v>April</v>
          </cell>
          <cell r="AA843">
            <v>23</v>
          </cell>
          <cell r="AB843">
            <v>0</v>
          </cell>
          <cell r="AC843">
            <v>54</v>
          </cell>
          <cell r="AD843">
            <v>1.1000000000000001</v>
          </cell>
          <cell r="AE843">
            <v>0.35555550000000002</v>
          </cell>
          <cell r="AF843">
            <v>1730.3</v>
          </cell>
        </row>
        <row r="844">
          <cell r="B844" t="str">
            <v>0Y4X848849</v>
          </cell>
          <cell r="C844">
            <v>2019</v>
          </cell>
          <cell r="D844" t="str">
            <v>Qtr 2</v>
          </cell>
          <cell r="E844" t="str">
            <v>April</v>
          </cell>
          <cell r="F844">
            <v>17</v>
          </cell>
          <cell r="G844" t="str">
            <v>CORRECTIVO</v>
          </cell>
          <cell r="H844">
            <v>0</v>
          </cell>
          <cell r="I844" t="str">
            <v>Office Digital</v>
          </cell>
          <cell r="J844">
            <v>655</v>
          </cell>
          <cell r="K844">
            <v>1365</v>
          </cell>
          <cell r="L844">
            <v>0</v>
          </cell>
          <cell r="M844">
            <v>0</v>
          </cell>
          <cell r="N844">
            <v>0.6</v>
          </cell>
          <cell r="O844">
            <v>0.8</v>
          </cell>
          <cell r="P844">
            <v>1.05</v>
          </cell>
          <cell r="Q844">
            <v>1.1000000000000001</v>
          </cell>
          <cell r="R844" t="str">
            <v>METRO</v>
          </cell>
          <cell r="S844">
            <v>5</v>
          </cell>
          <cell r="T844">
            <v>9</v>
          </cell>
          <cell r="U844" t="str">
            <v>Ciudad principal</v>
          </cell>
          <cell r="V844" t="str">
            <v>Light Production Digital Business</v>
          </cell>
          <cell r="W844" t="str">
            <v>CIUDAD DE MEXICO</v>
          </cell>
          <cell r="X844">
            <v>2019</v>
          </cell>
          <cell r="Y844" t="str">
            <v>Qtr 2</v>
          </cell>
          <cell r="Z844" t="str">
            <v>April</v>
          </cell>
          <cell r="AA844">
            <v>17</v>
          </cell>
          <cell r="AB844">
            <v>1</v>
          </cell>
          <cell r="AC844">
            <v>63</v>
          </cell>
          <cell r="AD844">
            <v>0</v>
          </cell>
          <cell r="AE844">
            <v>0</v>
          </cell>
          <cell r="AF844">
            <v>0</v>
          </cell>
        </row>
        <row r="845">
          <cell r="B845" t="str">
            <v>09HB331897</v>
          </cell>
          <cell r="C845">
            <v>2019</v>
          </cell>
          <cell r="D845" t="str">
            <v>Qtr 2</v>
          </cell>
          <cell r="E845" t="str">
            <v>April</v>
          </cell>
          <cell r="F845">
            <v>17</v>
          </cell>
          <cell r="G845" t="str">
            <v>MANTENIMIENTO PREVENTIVO</v>
          </cell>
          <cell r="H845">
            <v>0</v>
          </cell>
          <cell r="I845" t="str">
            <v>A4 Mono MFPs</v>
          </cell>
          <cell r="J845">
            <v>468</v>
          </cell>
          <cell r="K845">
            <v>715</v>
          </cell>
          <cell r="L845">
            <v>0</v>
          </cell>
          <cell r="M845">
            <v>0</v>
          </cell>
          <cell r="N845">
            <v>0</v>
          </cell>
          <cell r="O845">
            <v>0.6</v>
          </cell>
          <cell r="P845">
            <v>0.8</v>
          </cell>
          <cell r="Q845">
            <v>1.05</v>
          </cell>
          <cell r="R845" t="str">
            <v>INTERIOR</v>
          </cell>
          <cell r="S845">
            <v>5</v>
          </cell>
          <cell r="T845">
            <v>9</v>
          </cell>
          <cell r="U845" t="str">
            <v>Ciudad principal</v>
          </cell>
          <cell r="V845" t="str">
            <v>A4 Mono MFPs</v>
          </cell>
          <cell r="W845" t="str">
            <v>JALISCO</v>
          </cell>
          <cell r="X845">
            <v>2019</v>
          </cell>
          <cell r="Y845" t="str">
            <v>Qtr 2</v>
          </cell>
          <cell r="Z845" t="str">
            <v>April</v>
          </cell>
          <cell r="AA845">
            <v>17</v>
          </cell>
          <cell r="AB845">
            <v>1</v>
          </cell>
          <cell r="AC845">
            <v>20</v>
          </cell>
          <cell r="AD845">
            <v>0</v>
          </cell>
          <cell r="AE845">
            <v>0</v>
          </cell>
          <cell r="AF845">
            <v>0</v>
          </cell>
        </row>
        <row r="846">
          <cell r="B846" t="str">
            <v>09HB331515</v>
          </cell>
          <cell r="C846">
            <v>2019</v>
          </cell>
          <cell r="D846" t="str">
            <v>Qtr 2</v>
          </cell>
          <cell r="E846" t="str">
            <v>April</v>
          </cell>
          <cell r="F846">
            <v>17</v>
          </cell>
          <cell r="G846" t="str">
            <v>MANTENIMIENTO PREVENTIVO</v>
          </cell>
          <cell r="H846">
            <v>0</v>
          </cell>
          <cell r="J846" t="str">
            <v>NA</v>
          </cell>
          <cell r="K846" t="str">
            <v>NA</v>
          </cell>
          <cell r="L846" t="str">
            <v>NA</v>
          </cell>
          <cell r="M846" t="str">
            <v>NA</v>
          </cell>
          <cell r="N846" t="str">
            <v>NA</v>
          </cell>
          <cell r="O846" t="str">
            <v>NA</v>
          </cell>
          <cell r="P846" t="str">
            <v>NA</v>
          </cell>
          <cell r="Q846" t="str">
            <v>NA</v>
          </cell>
          <cell r="S846" t="str">
            <v>NA</v>
          </cell>
          <cell r="T846" t="str">
            <v>NA</v>
          </cell>
          <cell r="V846" t="str">
            <v>A4 Mono MFPs</v>
          </cell>
          <cell r="W846" t="str">
            <v>JALISCO</v>
          </cell>
          <cell r="X846">
            <v>2019</v>
          </cell>
          <cell r="Y846" t="str">
            <v>Qtr 2</v>
          </cell>
          <cell r="Z846" t="str">
            <v>April</v>
          </cell>
          <cell r="AA846">
            <v>17</v>
          </cell>
          <cell r="AB846" t="str">
            <v>NA</v>
          </cell>
          <cell r="AC846">
            <v>40</v>
          </cell>
          <cell r="AD846">
            <v>0</v>
          </cell>
          <cell r="AE846">
            <v>0</v>
          </cell>
          <cell r="AF846">
            <v>0</v>
          </cell>
        </row>
        <row r="847">
          <cell r="B847" t="str">
            <v>09HB325909</v>
          </cell>
          <cell r="C847">
            <v>2019</v>
          </cell>
          <cell r="D847" t="str">
            <v>Qtr 2</v>
          </cell>
          <cell r="E847" t="str">
            <v>April</v>
          </cell>
          <cell r="F847">
            <v>17</v>
          </cell>
          <cell r="G847" t="str">
            <v>CORRECTIVO</v>
          </cell>
          <cell r="H847">
            <v>2.2000000000000002</v>
          </cell>
          <cell r="I847" t="str">
            <v>A4 Mono MFPs</v>
          </cell>
          <cell r="J847">
            <v>468</v>
          </cell>
          <cell r="K847">
            <v>715</v>
          </cell>
          <cell r="L847">
            <v>0</v>
          </cell>
          <cell r="M847">
            <v>0</v>
          </cell>
          <cell r="N847">
            <v>0</v>
          </cell>
          <cell r="O847">
            <v>0.6</v>
          </cell>
          <cell r="P847">
            <v>0.8</v>
          </cell>
          <cell r="Q847">
            <v>1.05</v>
          </cell>
          <cell r="R847" t="str">
            <v>INTERIOR</v>
          </cell>
          <cell r="S847">
            <v>5</v>
          </cell>
          <cell r="T847">
            <v>9</v>
          </cell>
          <cell r="U847" t="str">
            <v>Otras</v>
          </cell>
          <cell r="V847" t="str">
            <v>A4 Mono MFPs</v>
          </cell>
          <cell r="W847" t="str">
            <v>NUEVO LEON</v>
          </cell>
          <cell r="X847">
            <v>2019</v>
          </cell>
          <cell r="Y847" t="str">
            <v>Qtr 2</v>
          </cell>
          <cell r="Z847" t="str">
            <v>April</v>
          </cell>
          <cell r="AA847">
            <v>17</v>
          </cell>
          <cell r="AB847">
            <v>0</v>
          </cell>
          <cell r="AC847">
            <v>90</v>
          </cell>
          <cell r="AD847">
            <v>1.05</v>
          </cell>
          <cell r="AE847">
            <v>0.24444444444444399</v>
          </cell>
          <cell r="AF847">
            <v>750.75</v>
          </cell>
        </row>
        <row r="848">
          <cell r="B848" t="str">
            <v>0A2T386442</v>
          </cell>
          <cell r="C848">
            <v>2019</v>
          </cell>
          <cell r="D848" t="str">
            <v>Qtr 2</v>
          </cell>
          <cell r="E848" t="str">
            <v>April</v>
          </cell>
          <cell r="F848">
            <v>17</v>
          </cell>
          <cell r="G848" t="str">
            <v>CORRECTIVO</v>
          </cell>
          <cell r="H848">
            <v>1.0333330000000001</v>
          </cell>
          <cell r="J848" t="str">
            <v>NA</v>
          </cell>
          <cell r="K848" t="str">
            <v>NA</v>
          </cell>
          <cell r="L848" t="str">
            <v>NA</v>
          </cell>
          <cell r="M848" t="str">
            <v>NA</v>
          </cell>
          <cell r="N848" t="str">
            <v>NA</v>
          </cell>
          <cell r="O848" t="str">
            <v>NA</v>
          </cell>
          <cell r="P848" t="str">
            <v>NA</v>
          </cell>
          <cell r="Q848" t="str">
            <v>NA</v>
          </cell>
          <cell r="S848" t="str">
            <v>NA</v>
          </cell>
          <cell r="T848" t="str">
            <v>NA</v>
          </cell>
          <cell r="V848" t="str">
            <v>A4 Mono MFPs</v>
          </cell>
          <cell r="W848" t="str">
            <v>MICHOACAN</v>
          </cell>
          <cell r="X848">
            <v>2019</v>
          </cell>
          <cell r="Y848" t="str">
            <v>Qtr 2</v>
          </cell>
          <cell r="Z848" t="str">
            <v>April</v>
          </cell>
          <cell r="AA848">
            <v>22</v>
          </cell>
          <cell r="AB848" t="str">
            <v>NA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</row>
        <row r="849">
          <cell r="B849" t="str">
            <v>0X76092639</v>
          </cell>
          <cell r="C849">
            <v>2019</v>
          </cell>
          <cell r="D849" t="str">
            <v>Qtr 2</v>
          </cell>
          <cell r="E849" t="str">
            <v>April</v>
          </cell>
          <cell r="F849">
            <v>17</v>
          </cell>
          <cell r="G849" t="str">
            <v>CORRECTIVO</v>
          </cell>
          <cell r="H849">
            <v>2.8666670000000001</v>
          </cell>
          <cell r="J849" t="str">
            <v>NA</v>
          </cell>
          <cell r="K849" t="str">
            <v>NA</v>
          </cell>
          <cell r="L849" t="str">
            <v>NA</v>
          </cell>
          <cell r="M849" t="str">
            <v>NA</v>
          </cell>
          <cell r="N849" t="str">
            <v>NA</v>
          </cell>
          <cell r="O849" t="str">
            <v>NA</v>
          </cell>
          <cell r="P849" t="str">
            <v>NA</v>
          </cell>
          <cell r="Q849" t="str">
            <v>NA</v>
          </cell>
          <cell r="S849" t="str">
            <v>NA</v>
          </cell>
          <cell r="T849" t="str">
            <v>NA</v>
          </cell>
          <cell r="V849" t="str">
            <v>Departmental Digital</v>
          </cell>
          <cell r="W849" t="str">
            <v>JALISCO</v>
          </cell>
          <cell r="X849">
            <v>2019</v>
          </cell>
          <cell r="Y849" t="str">
            <v>Qtr 2</v>
          </cell>
          <cell r="Z849" t="str">
            <v>April</v>
          </cell>
          <cell r="AA849">
            <v>30</v>
          </cell>
          <cell r="AB849" t="str">
            <v>NA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</row>
        <row r="850">
          <cell r="B850" t="str">
            <v>0X76092842</v>
          </cell>
          <cell r="C850">
            <v>2019</v>
          </cell>
          <cell r="D850" t="str">
            <v>Qtr 2</v>
          </cell>
          <cell r="E850" t="str">
            <v>April</v>
          </cell>
          <cell r="F850">
            <v>17</v>
          </cell>
          <cell r="G850" t="str">
            <v>CORRECTIVO</v>
          </cell>
          <cell r="H850">
            <v>1.5</v>
          </cell>
          <cell r="I850" t="str">
            <v>Departmental Digital</v>
          </cell>
          <cell r="J850">
            <v>655</v>
          </cell>
          <cell r="K850">
            <v>1365</v>
          </cell>
          <cell r="L850">
            <v>0</v>
          </cell>
          <cell r="M850">
            <v>0</v>
          </cell>
          <cell r="N850">
            <v>0.6</v>
          </cell>
          <cell r="O850">
            <v>0.8</v>
          </cell>
          <cell r="P850">
            <v>1.05</v>
          </cell>
          <cell r="Q850">
            <v>1.1000000000000001</v>
          </cell>
          <cell r="R850" t="str">
            <v>INTERIOR</v>
          </cell>
          <cell r="S850">
            <v>5</v>
          </cell>
          <cell r="T850">
            <v>9</v>
          </cell>
          <cell r="U850" t="str">
            <v>Ciudad principal</v>
          </cell>
          <cell r="V850" t="str">
            <v>Departmental Digital</v>
          </cell>
          <cell r="W850" t="str">
            <v>JALISCO</v>
          </cell>
          <cell r="X850">
            <v>2019</v>
          </cell>
          <cell r="Y850" t="str">
            <v>Qtr 2</v>
          </cell>
          <cell r="Z850" t="str">
            <v>April</v>
          </cell>
          <cell r="AA850">
            <v>17</v>
          </cell>
          <cell r="AB850">
            <v>0</v>
          </cell>
          <cell r="AC850">
            <v>180</v>
          </cell>
          <cell r="AD850">
            <v>1.1000000000000001</v>
          </cell>
          <cell r="AE850">
            <v>0.3</v>
          </cell>
          <cell r="AF850">
            <v>1501.5</v>
          </cell>
        </row>
        <row r="851">
          <cell r="B851" t="str">
            <v>0A4T558166</v>
          </cell>
          <cell r="C851">
            <v>2019</v>
          </cell>
          <cell r="D851" t="str">
            <v>Qtr 2</v>
          </cell>
          <cell r="E851" t="str">
            <v>April</v>
          </cell>
          <cell r="F851">
            <v>17</v>
          </cell>
          <cell r="G851" t="str">
            <v>CORRECTIVO</v>
          </cell>
          <cell r="H851">
            <v>3.6833330000000002</v>
          </cell>
          <cell r="I851" t="str">
            <v>Entry Mono Printers</v>
          </cell>
          <cell r="J851">
            <v>468</v>
          </cell>
          <cell r="K851">
            <v>715</v>
          </cell>
          <cell r="L851">
            <v>0</v>
          </cell>
          <cell r="M851">
            <v>0</v>
          </cell>
          <cell r="N851">
            <v>0</v>
          </cell>
          <cell r="O851">
            <v>0.6</v>
          </cell>
          <cell r="P851">
            <v>0.8</v>
          </cell>
          <cell r="Q851">
            <v>1.05</v>
          </cell>
          <cell r="R851" t="str">
            <v>INTERIOR</v>
          </cell>
          <cell r="S851">
            <v>5</v>
          </cell>
          <cell r="T851">
            <v>9</v>
          </cell>
          <cell r="U851" t="str">
            <v>Ciudad principal</v>
          </cell>
          <cell r="V851" t="str">
            <v>A4 Mono MFPs</v>
          </cell>
          <cell r="W851" t="str">
            <v>JALISCO</v>
          </cell>
          <cell r="X851">
            <v>2019</v>
          </cell>
          <cell r="Y851" t="str">
            <v>Qtr 2</v>
          </cell>
          <cell r="Z851" t="str">
            <v>April</v>
          </cell>
          <cell r="AA851">
            <v>17</v>
          </cell>
          <cell r="AB851">
            <v>0</v>
          </cell>
          <cell r="AC851">
            <v>6</v>
          </cell>
          <cell r="AD851">
            <v>0</v>
          </cell>
          <cell r="AE851">
            <v>0.73666659999999995</v>
          </cell>
          <cell r="AF851">
            <v>0</v>
          </cell>
        </row>
        <row r="852">
          <cell r="B852" t="str">
            <v>0E2B106647</v>
          </cell>
          <cell r="C852">
            <v>2019</v>
          </cell>
          <cell r="D852" t="str">
            <v>Qtr 2</v>
          </cell>
          <cell r="E852" t="str">
            <v>April</v>
          </cell>
          <cell r="F852">
            <v>17</v>
          </cell>
          <cell r="G852" t="str">
            <v>CORRECTIVO</v>
          </cell>
          <cell r="H852">
            <v>2.233333</v>
          </cell>
          <cell r="I852" t="str">
            <v>Entry Production Color Low/Mid</v>
          </cell>
          <cell r="J852">
            <v>803</v>
          </cell>
          <cell r="K852">
            <v>1573</v>
          </cell>
          <cell r="L852">
            <v>0.2</v>
          </cell>
          <cell r="M852">
            <v>0.6</v>
          </cell>
          <cell r="N852">
            <v>0.8</v>
          </cell>
          <cell r="O852">
            <v>1.05</v>
          </cell>
          <cell r="P852">
            <v>1.1000000000000001</v>
          </cell>
          <cell r="Q852">
            <v>1.1499999999999999</v>
          </cell>
          <cell r="R852" t="str">
            <v>INTERIOR</v>
          </cell>
          <cell r="S852">
            <v>4</v>
          </cell>
          <cell r="T852">
            <v>6</v>
          </cell>
          <cell r="U852" t="str">
            <v>Ciudad principal</v>
          </cell>
          <cell r="V852" t="str">
            <v>Entry Production Color Low/Mid</v>
          </cell>
          <cell r="W852" t="str">
            <v>JALISCO</v>
          </cell>
          <cell r="X852">
            <v>2019</v>
          </cell>
          <cell r="Y852" t="str">
            <v>Qtr 2</v>
          </cell>
          <cell r="Z852" t="str">
            <v>April</v>
          </cell>
          <cell r="AA852">
            <v>22</v>
          </cell>
          <cell r="AB852">
            <v>0</v>
          </cell>
          <cell r="AC852">
            <v>152</v>
          </cell>
          <cell r="AD852">
            <v>1.1499999999999999</v>
          </cell>
          <cell r="AE852">
            <v>0.55833325</v>
          </cell>
          <cell r="AF852">
            <v>1808.95</v>
          </cell>
        </row>
        <row r="853">
          <cell r="B853" t="str">
            <v>0E2B656917</v>
          </cell>
          <cell r="C853">
            <v>2019</v>
          </cell>
          <cell r="D853" t="str">
            <v>Qtr 2</v>
          </cell>
          <cell r="E853" t="str">
            <v>April</v>
          </cell>
          <cell r="F853">
            <v>17</v>
          </cell>
          <cell r="G853" t="str">
            <v>CORRECTIVO</v>
          </cell>
          <cell r="H853">
            <v>1.05</v>
          </cell>
          <cell r="I853" t="str">
            <v>Entry Production Color Low/Mid</v>
          </cell>
          <cell r="J853">
            <v>803</v>
          </cell>
          <cell r="K853">
            <v>1573</v>
          </cell>
          <cell r="L853">
            <v>0.2</v>
          </cell>
          <cell r="M853">
            <v>0.6</v>
          </cell>
          <cell r="N853">
            <v>0.8</v>
          </cell>
          <cell r="O853">
            <v>1.05</v>
          </cell>
          <cell r="P853">
            <v>1.1000000000000001</v>
          </cell>
          <cell r="Q853">
            <v>1.1499999999999999</v>
          </cell>
          <cell r="R853" t="str">
            <v>INTERIOR</v>
          </cell>
          <cell r="S853">
            <v>4</v>
          </cell>
          <cell r="T853">
            <v>6</v>
          </cell>
          <cell r="U853" t="str">
            <v>Ciudad principal</v>
          </cell>
          <cell r="V853" t="str">
            <v>Entry Production Color Low/Mid</v>
          </cell>
          <cell r="W853" t="str">
            <v>DURANGO</v>
          </cell>
          <cell r="X853">
            <v>2019</v>
          </cell>
          <cell r="Y853" t="str">
            <v>Qtr 2</v>
          </cell>
          <cell r="Z853" t="str">
            <v>April</v>
          </cell>
          <cell r="AA853">
            <v>17</v>
          </cell>
          <cell r="AB853">
            <v>0</v>
          </cell>
          <cell r="AC853">
            <v>43</v>
          </cell>
          <cell r="AD853">
            <v>1.1000000000000001</v>
          </cell>
          <cell r="AE853">
            <v>0.26250000000000001</v>
          </cell>
          <cell r="AF853">
            <v>1730.3</v>
          </cell>
        </row>
        <row r="854">
          <cell r="B854" t="str">
            <v>0AE9573935</v>
          </cell>
          <cell r="C854">
            <v>2019</v>
          </cell>
          <cell r="D854" t="str">
            <v>Qtr 2</v>
          </cell>
          <cell r="E854" t="str">
            <v>April</v>
          </cell>
          <cell r="F854">
            <v>17</v>
          </cell>
          <cell r="G854" t="str">
            <v>CORRECTIVO</v>
          </cell>
          <cell r="H854">
            <v>1.1333329999999999</v>
          </cell>
          <cell r="I854" t="str">
            <v>Office Digital</v>
          </cell>
          <cell r="J854">
            <v>655</v>
          </cell>
          <cell r="K854">
            <v>1365</v>
          </cell>
          <cell r="L854">
            <v>0</v>
          </cell>
          <cell r="M854">
            <v>0</v>
          </cell>
          <cell r="N854">
            <v>0.6</v>
          </cell>
          <cell r="O854">
            <v>0.8</v>
          </cell>
          <cell r="P854">
            <v>1.05</v>
          </cell>
          <cell r="Q854">
            <v>1.1000000000000001</v>
          </cell>
          <cell r="R854" t="str">
            <v>INTERIOR</v>
          </cell>
          <cell r="S854">
            <v>5</v>
          </cell>
          <cell r="T854">
            <v>9</v>
          </cell>
          <cell r="U854" t="str">
            <v>Ciudad principal</v>
          </cell>
          <cell r="V854" t="str">
            <v>Departmental Digital</v>
          </cell>
          <cell r="W854" t="str">
            <v>CHIHUAHUA</v>
          </cell>
          <cell r="X854">
            <v>2019</v>
          </cell>
          <cell r="Y854" t="str">
            <v>Qtr 2</v>
          </cell>
          <cell r="Z854" t="str">
            <v>April</v>
          </cell>
          <cell r="AA854">
            <v>17</v>
          </cell>
          <cell r="AB854">
            <v>1</v>
          </cell>
          <cell r="AC854">
            <v>324</v>
          </cell>
          <cell r="AD854">
            <v>0</v>
          </cell>
          <cell r="AE854">
            <v>0</v>
          </cell>
          <cell r="AF854">
            <v>0</v>
          </cell>
        </row>
        <row r="855">
          <cell r="B855" t="str">
            <v>0LX5825534</v>
          </cell>
          <cell r="C855">
            <v>2019</v>
          </cell>
          <cell r="D855" t="str">
            <v>Qtr 2</v>
          </cell>
          <cell r="E855" t="str">
            <v>April</v>
          </cell>
          <cell r="F855">
            <v>17</v>
          </cell>
          <cell r="G855" t="str">
            <v>CORRECTIVO</v>
          </cell>
          <cell r="H855">
            <v>1.6333329999999999</v>
          </cell>
          <cell r="I855" t="str">
            <v>A3 Office Color Laser MFPs</v>
          </cell>
          <cell r="J855">
            <v>655</v>
          </cell>
          <cell r="K855">
            <v>1365</v>
          </cell>
          <cell r="L855">
            <v>0</v>
          </cell>
          <cell r="M855">
            <v>0</v>
          </cell>
          <cell r="N855">
            <v>0.6</v>
          </cell>
          <cell r="O855">
            <v>0.8</v>
          </cell>
          <cell r="P855">
            <v>1.05</v>
          </cell>
          <cell r="Q855">
            <v>1.1000000000000001</v>
          </cell>
          <cell r="R855" t="str">
            <v>INTERIOR</v>
          </cell>
          <cell r="S855">
            <v>5</v>
          </cell>
          <cell r="T855">
            <v>9</v>
          </cell>
          <cell r="U855" t="str">
            <v>Ciudad principal</v>
          </cell>
          <cell r="V855" t="str">
            <v>A3 Office Color Laser MFPs</v>
          </cell>
          <cell r="W855" t="str">
            <v>CHIHUAHUA</v>
          </cell>
          <cell r="X855">
            <v>2019</v>
          </cell>
          <cell r="Y855" t="str">
            <v>Qtr 2</v>
          </cell>
          <cell r="Z855" t="str">
            <v>April</v>
          </cell>
          <cell r="AA855">
            <v>25</v>
          </cell>
          <cell r="AB855">
            <v>1</v>
          </cell>
          <cell r="AC855">
            <v>268</v>
          </cell>
          <cell r="AD855">
            <v>0</v>
          </cell>
          <cell r="AE855">
            <v>0</v>
          </cell>
          <cell r="AF855">
            <v>0</v>
          </cell>
        </row>
        <row r="856">
          <cell r="B856" t="str">
            <v>09HB331458</v>
          </cell>
          <cell r="C856">
            <v>2019</v>
          </cell>
          <cell r="D856" t="str">
            <v>Qtr 2</v>
          </cell>
          <cell r="E856" t="str">
            <v>April</v>
          </cell>
          <cell r="F856">
            <v>17</v>
          </cell>
          <cell r="G856" t="str">
            <v>MANTENIMIENTO PREVENTIVO</v>
          </cell>
          <cell r="H856">
            <v>0</v>
          </cell>
          <cell r="I856" t="str">
            <v>A4 Mono MFPs</v>
          </cell>
          <cell r="J856">
            <v>468</v>
          </cell>
          <cell r="K856">
            <v>715</v>
          </cell>
          <cell r="L856">
            <v>0</v>
          </cell>
          <cell r="M856">
            <v>0</v>
          </cell>
          <cell r="N856">
            <v>0</v>
          </cell>
          <cell r="O856">
            <v>0.6</v>
          </cell>
          <cell r="P856">
            <v>0.8</v>
          </cell>
          <cell r="Q856">
            <v>1.05</v>
          </cell>
          <cell r="R856" t="str">
            <v>INTERIOR</v>
          </cell>
          <cell r="S856">
            <v>5</v>
          </cell>
          <cell r="T856">
            <v>9</v>
          </cell>
          <cell r="U856" t="str">
            <v>Ciudad principal</v>
          </cell>
          <cell r="V856" t="str">
            <v>A4 Mono MFPs</v>
          </cell>
          <cell r="W856" t="str">
            <v>JALISCO</v>
          </cell>
          <cell r="X856">
            <v>2019</v>
          </cell>
          <cell r="Y856" t="str">
            <v>Qtr 2</v>
          </cell>
          <cell r="Z856" t="str">
            <v>April</v>
          </cell>
          <cell r="AA856">
            <v>17</v>
          </cell>
          <cell r="AB856">
            <v>1</v>
          </cell>
          <cell r="AC856">
            <v>140</v>
          </cell>
          <cell r="AD856">
            <v>0</v>
          </cell>
          <cell r="AE856">
            <v>0</v>
          </cell>
          <cell r="AF856">
            <v>0</v>
          </cell>
        </row>
        <row r="857">
          <cell r="B857" t="str">
            <v>09HB331455</v>
          </cell>
          <cell r="C857">
            <v>2019</v>
          </cell>
          <cell r="D857" t="str">
            <v>Qtr 2</v>
          </cell>
          <cell r="E857" t="str">
            <v>April</v>
          </cell>
          <cell r="F857">
            <v>17</v>
          </cell>
          <cell r="G857" t="str">
            <v>MANTENIMIENTO PREVENTIVO</v>
          </cell>
          <cell r="H857">
            <v>0</v>
          </cell>
          <cell r="J857" t="str">
            <v>NA</v>
          </cell>
          <cell r="K857" t="str">
            <v>NA</v>
          </cell>
          <cell r="L857" t="str">
            <v>NA</v>
          </cell>
          <cell r="M857" t="str">
            <v>NA</v>
          </cell>
          <cell r="N857" t="str">
            <v>NA</v>
          </cell>
          <cell r="O857" t="str">
            <v>NA</v>
          </cell>
          <cell r="P857" t="str">
            <v>NA</v>
          </cell>
          <cell r="Q857" t="str">
            <v>NA</v>
          </cell>
          <cell r="S857" t="str">
            <v>NA</v>
          </cell>
          <cell r="T857" t="str">
            <v>NA</v>
          </cell>
          <cell r="V857" t="str">
            <v>A4 Mono MFPs</v>
          </cell>
          <cell r="W857" t="str">
            <v>JALISCO</v>
          </cell>
          <cell r="X857">
            <v>2019</v>
          </cell>
          <cell r="Y857" t="str">
            <v>Qtr 2</v>
          </cell>
          <cell r="Z857" t="str">
            <v>April</v>
          </cell>
          <cell r="AA857">
            <v>17</v>
          </cell>
          <cell r="AB857" t="str">
            <v>NA</v>
          </cell>
          <cell r="AC857">
            <v>58</v>
          </cell>
          <cell r="AD857">
            <v>0</v>
          </cell>
          <cell r="AE857">
            <v>0</v>
          </cell>
          <cell r="AF857">
            <v>0</v>
          </cell>
        </row>
        <row r="858">
          <cell r="B858" t="str">
            <v>0BG2945237</v>
          </cell>
          <cell r="C858">
            <v>2019</v>
          </cell>
          <cell r="D858" t="str">
            <v>Qtr 2</v>
          </cell>
          <cell r="E858" t="str">
            <v>April</v>
          </cell>
          <cell r="F858">
            <v>17</v>
          </cell>
          <cell r="G858" t="str">
            <v>CORRECTIVO</v>
          </cell>
          <cell r="H858">
            <v>1.183333</v>
          </cell>
          <cell r="I858" t="str">
            <v>Light Production Digital Business</v>
          </cell>
          <cell r="J858">
            <v>803</v>
          </cell>
          <cell r="K858">
            <v>1573</v>
          </cell>
          <cell r="L858">
            <v>0.2</v>
          </cell>
          <cell r="M858">
            <v>0.6</v>
          </cell>
          <cell r="N858">
            <v>0.8</v>
          </cell>
          <cell r="O858">
            <v>1.05</v>
          </cell>
          <cell r="P858">
            <v>1.1000000000000001</v>
          </cell>
          <cell r="Q858">
            <v>1.1499999999999999</v>
          </cell>
          <cell r="R858" t="str">
            <v>INTERIOR</v>
          </cell>
          <cell r="S858">
            <v>4</v>
          </cell>
          <cell r="T858">
            <v>6</v>
          </cell>
          <cell r="U858" t="str">
            <v>Ciudad principal</v>
          </cell>
          <cell r="V858" t="str">
            <v>High End Cut Sheet</v>
          </cell>
          <cell r="W858" t="str">
            <v>TAMAULIPAS</v>
          </cell>
          <cell r="X858">
            <v>2019</v>
          </cell>
          <cell r="Y858" t="str">
            <v>Qtr 2</v>
          </cell>
          <cell r="Z858" t="str">
            <v>April</v>
          </cell>
          <cell r="AA858">
            <v>17</v>
          </cell>
          <cell r="AB858">
            <v>0</v>
          </cell>
          <cell r="AC858">
            <v>43</v>
          </cell>
          <cell r="AD858">
            <v>1.1000000000000001</v>
          </cell>
          <cell r="AE858">
            <v>0.29583324999999999</v>
          </cell>
          <cell r="AF858">
            <v>1730.3</v>
          </cell>
        </row>
        <row r="859">
          <cell r="B859" t="str">
            <v>0BG2948912</v>
          </cell>
          <cell r="C859">
            <v>2019</v>
          </cell>
          <cell r="D859" t="str">
            <v>Qtr 2</v>
          </cell>
          <cell r="E859" t="str">
            <v>April</v>
          </cell>
          <cell r="F859">
            <v>17</v>
          </cell>
          <cell r="G859" t="str">
            <v>CORRECTIVO</v>
          </cell>
          <cell r="H859">
            <v>1.983333</v>
          </cell>
          <cell r="I859" t="str">
            <v>Light Production Digital Business</v>
          </cell>
          <cell r="J859">
            <v>803</v>
          </cell>
          <cell r="K859">
            <v>1573</v>
          </cell>
          <cell r="L859">
            <v>0.2</v>
          </cell>
          <cell r="M859">
            <v>0.6</v>
          </cell>
          <cell r="N859">
            <v>0.8</v>
          </cell>
          <cell r="O859">
            <v>1.05</v>
          </cell>
          <cell r="P859">
            <v>1.1000000000000001</v>
          </cell>
          <cell r="Q859">
            <v>1.1499999999999999</v>
          </cell>
          <cell r="R859" t="str">
            <v>INTERIOR</v>
          </cell>
          <cell r="S859">
            <v>4</v>
          </cell>
          <cell r="T859">
            <v>6</v>
          </cell>
          <cell r="U859" t="str">
            <v>Ciudad principal</v>
          </cell>
          <cell r="V859" t="str">
            <v>High End Cut Sheet</v>
          </cell>
          <cell r="W859" t="str">
            <v>TAMAULIPAS</v>
          </cell>
          <cell r="X859">
            <v>2019</v>
          </cell>
          <cell r="Y859" t="str">
            <v>Qtr 2</v>
          </cell>
          <cell r="Z859" t="str">
            <v>April</v>
          </cell>
          <cell r="AA859">
            <v>18</v>
          </cell>
          <cell r="AB859">
            <v>0</v>
          </cell>
          <cell r="AC859">
            <v>8</v>
          </cell>
          <cell r="AD859">
            <v>0.8</v>
          </cell>
          <cell r="AE859">
            <v>0.49583325</v>
          </cell>
          <cell r="AF859">
            <v>1258.4000000000001</v>
          </cell>
        </row>
        <row r="860">
          <cell r="B860" t="str">
            <v>0A1H020675</v>
          </cell>
          <cell r="C860">
            <v>2019</v>
          </cell>
          <cell r="D860" t="str">
            <v>Qtr 2</v>
          </cell>
          <cell r="E860" t="str">
            <v>April</v>
          </cell>
          <cell r="F860">
            <v>17</v>
          </cell>
          <cell r="G860" t="str">
            <v>CORRECTIVO</v>
          </cell>
          <cell r="H860">
            <v>4.6333330000000004</v>
          </cell>
          <cell r="I860" t="str">
            <v>WF Mono Systems and Legacy Color</v>
          </cell>
          <cell r="J860">
            <v>803</v>
          </cell>
          <cell r="K860">
            <v>1573</v>
          </cell>
          <cell r="L860">
            <v>0.2</v>
          </cell>
          <cell r="M860">
            <v>0.6</v>
          </cell>
          <cell r="N860">
            <v>0.8</v>
          </cell>
          <cell r="O860">
            <v>1.05</v>
          </cell>
          <cell r="P860">
            <v>1.1000000000000001</v>
          </cell>
          <cell r="Q860">
            <v>1.1499999999999999</v>
          </cell>
          <cell r="R860" t="str">
            <v>INTERIOR</v>
          </cell>
          <cell r="S860">
            <v>4</v>
          </cell>
          <cell r="T860">
            <v>6</v>
          </cell>
          <cell r="U860" t="str">
            <v>Ciudad principal</v>
          </cell>
          <cell r="V860" t="str">
            <v>WF Mono Systems and Legacy Color</v>
          </cell>
          <cell r="W860" t="str">
            <v>TAMAULIPAS</v>
          </cell>
          <cell r="X860">
            <v>2019</v>
          </cell>
          <cell r="Y860" t="str">
            <v>Qtr 2</v>
          </cell>
          <cell r="Z860" t="str">
            <v>April</v>
          </cell>
          <cell r="AA860">
            <v>18</v>
          </cell>
          <cell r="AB860">
            <v>0</v>
          </cell>
          <cell r="AC860">
            <v>8</v>
          </cell>
          <cell r="AD860">
            <v>0.8</v>
          </cell>
          <cell r="AE860">
            <v>1.1583332500000001</v>
          </cell>
          <cell r="AF860">
            <v>1196.1354494375</v>
          </cell>
        </row>
        <row r="861">
          <cell r="B861" t="str">
            <v>09HB331358</v>
          </cell>
          <cell r="C861">
            <v>2019</v>
          </cell>
          <cell r="D861" t="str">
            <v>Qtr 2</v>
          </cell>
          <cell r="E861" t="str">
            <v>April</v>
          </cell>
          <cell r="F861">
            <v>17</v>
          </cell>
          <cell r="G861" t="str">
            <v>MANTENIMIENTO PREVENTIVO</v>
          </cell>
          <cell r="H861">
            <v>0</v>
          </cell>
          <cell r="J861" t="str">
            <v>NA</v>
          </cell>
          <cell r="K861" t="str">
            <v>NA</v>
          </cell>
          <cell r="L861" t="str">
            <v>NA</v>
          </cell>
          <cell r="M861" t="str">
            <v>NA</v>
          </cell>
          <cell r="N861" t="str">
            <v>NA</v>
          </cell>
          <cell r="O861" t="str">
            <v>NA</v>
          </cell>
          <cell r="P861" t="str">
            <v>NA</v>
          </cell>
          <cell r="Q861" t="str">
            <v>NA</v>
          </cell>
          <cell r="S861" t="str">
            <v>NA</v>
          </cell>
          <cell r="T861" t="str">
            <v>NA</v>
          </cell>
          <cell r="V861" t="str">
            <v>A4 Mono MFPs</v>
          </cell>
          <cell r="W861" t="str">
            <v>JALISCO</v>
          </cell>
          <cell r="X861">
            <v>2019</v>
          </cell>
          <cell r="Y861" t="str">
            <v>Qtr 2</v>
          </cell>
          <cell r="Z861" t="str">
            <v>April</v>
          </cell>
          <cell r="AA861">
            <v>17</v>
          </cell>
          <cell r="AB861" t="str">
            <v>NA</v>
          </cell>
          <cell r="AC861">
            <v>35</v>
          </cell>
          <cell r="AD861">
            <v>0</v>
          </cell>
          <cell r="AE861">
            <v>0</v>
          </cell>
          <cell r="AF861">
            <v>0</v>
          </cell>
        </row>
        <row r="862">
          <cell r="B862" t="str">
            <v>0LBP256981</v>
          </cell>
          <cell r="C862">
            <v>2019</v>
          </cell>
          <cell r="D862" t="str">
            <v>Qtr 2</v>
          </cell>
          <cell r="E862" t="str">
            <v>April</v>
          </cell>
          <cell r="F862">
            <v>17</v>
          </cell>
          <cell r="G862" t="str">
            <v>CORRECTIVO</v>
          </cell>
          <cell r="H862">
            <v>0.95</v>
          </cell>
          <cell r="I862" t="str">
            <v>A4 Mono MFPs</v>
          </cell>
          <cell r="J862">
            <v>468</v>
          </cell>
          <cell r="K862">
            <v>715</v>
          </cell>
          <cell r="L862">
            <v>0</v>
          </cell>
          <cell r="M862">
            <v>0</v>
          </cell>
          <cell r="N862">
            <v>0</v>
          </cell>
          <cell r="O862">
            <v>0.6</v>
          </cell>
          <cell r="P862">
            <v>0.8</v>
          </cell>
          <cell r="Q862">
            <v>1.05</v>
          </cell>
          <cell r="R862" t="str">
            <v>INTERIOR</v>
          </cell>
          <cell r="S862">
            <v>5</v>
          </cell>
          <cell r="T862">
            <v>9</v>
          </cell>
          <cell r="U862" t="str">
            <v>Ciudad principal</v>
          </cell>
          <cell r="V862" t="str">
            <v>A4 Mono MFPs</v>
          </cell>
          <cell r="W862" t="str">
            <v>QUERETARO</v>
          </cell>
          <cell r="X862">
            <v>2019</v>
          </cell>
          <cell r="Y862" t="str">
            <v>Qtr 2</v>
          </cell>
          <cell r="Z862" t="str">
            <v>April</v>
          </cell>
          <cell r="AA862">
            <v>25</v>
          </cell>
          <cell r="AB862">
            <v>0</v>
          </cell>
          <cell r="AC862">
            <v>65</v>
          </cell>
          <cell r="AD862">
            <v>1.05</v>
          </cell>
          <cell r="AE862">
            <v>0.19</v>
          </cell>
          <cell r="AF862">
            <v>750.75</v>
          </cell>
        </row>
        <row r="863">
          <cell r="B863" t="str">
            <v>0BG2939611</v>
          </cell>
          <cell r="C863">
            <v>2019</v>
          </cell>
          <cell r="D863" t="str">
            <v>Qtr 2</v>
          </cell>
          <cell r="E863" t="str">
            <v>April</v>
          </cell>
          <cell r="F863">
            <v>18</v>
          </cell>
          <cell r="G863" t="str">
            <v>MANTENIMIENTO PREVENTIVO</v>
          </cell>
          <cell r="H863">
            <v>0</v>
          </cell>
          <cell r="I863" t="str">
            <v>Light Production Digital Business</v>
          </cell>
          <cell r="J863">
            <v>803</v>
          </cell>
          <cell r="K863">
            <v>1573</v>
          </cell>
          <cell r="L863">
            <v>0.2</v>
          </cell>
          <cell r="M863">
            <v>0.6</v>
          </cell>
          <cell r="N863">
            <v>0.8</v>
          </cell>
          <cell r="O863">
            <v>1.05</v>
          </cell>
          <cell r="P863">
            <v>1.1000000000000001</v>
          </cell>
          <cell r="Q863">
            <v>1.1499999999999999</v>
          </cell>
          <cell r="R863" t="str">
            <v>INTERIOR</v>
          </cell>
          <cell r="S863">
            <v>4</v>
          </cell>
          <cell r="T863">
            <v>6</v>
          </cell>
          <cell r="U863" t="str">
            <v>Ciudad principal</v>
          </cell>
          <cell r="V863" t="str">
            <v>High End Cut Sheet</v>
          </cell>
          <cell r="W863" t="str">
            <v>TAMAULIPAS</v>
          </cell>
          <cell r="X863">
            <v>2019</v>
          </cell>
          <cell r="Y863" t="str">
            <v>Qtr 2</v>
          </cell>
          <cell r="Z863" t="str">
            <v>April</v>
          </cell>
          <cell r="AA863">
            <v>18</v>
          </cell>
          <cell r="AB863">
            <v>0</v>
          </cell>
          <cell r="AC863">
            <v>7</v>
          </cell>
          <cell r="AD863">
            <v>0</v>
          </cell>
          <cell r="AE863">
            <v>0</v>
          </cell>
          <cell r="AF863">
            <v>1573</v>
          </cell>
        </row>
        <row r="864">
          <cell r="B864" t="str">
            <v>09HB331348</v>
          </cell>
          <cell r="C864">
            <v>2019</v>
          </cell>
          <cell r="D864" t="str">
            <v>Qtr 2</v>
          </cell>
          <cell r="E864" t="str">
            <v>April</v>
          </cell>
          <cell r="F864">
            <v>18</v>
          </cell>
          <cell r="G864" t="str">
            <v>CORRECTIVO</v>
          </cell>
          <cell r="H864">
            <v>1.933333</v>
          </cell>
          <cell r="I864" t="str">
            <v>A4 Mono MFPs</v>
          </cell>
          <cell r="J864">
            <v>468</v>
          </cell>
          <cell r="K864">
            <v>715</v>
          </cell>
          <cell r="L864">
            <v>0</v>
          </cell>
          <cell r="M864">
            <v>0</v>
          </cell>
          <cell r="N864">
            <v>0</v>
          </cell>
          <cell r="O864">
            <v>0.6</v>
          </cell>
          <cell r="P864">
            <v>0.8</v>
          </cell>
          <cell r="Q864">
            <v>1.05</v>
          </cell>
          <cell r="R864" t="str">
            <v>METRO</v>
          </cell>
          <cell r="S864">
            <v>5</v>
          </cell>
          <cell r="T864">
            <v>9</v>
          </cell>
          <cell r="U864" t="str">
            <v>Ciudad principal</v>
          </cell>
          <cell r="V864" t="str">
            <v>A4 Mono MFPs</v>
          </cell>
          <cell r="W864" t="str">
            <v>ESTADO DE MEXICO</v>
          </cell>
          <cell r="X864">
            <v>2019</v>
          </cell>
          <cell r="Y864" t="str">
            <v>Qtr 2</v>
          </cell>
          <cell r="Z864" t="str">
            <v>April</v>
          </cell>
          <cell r="AA864">
            <v>18</v>
          </cell>
          <cell r="AB864">
            <v>1</v>
          </cell>
          <cell r="AC864">
            <v>36</v>
          </cell>
          <cell r="AD864">
            <v>0</v>
          </cell>
          <cell r="AE864">
            <v>0</v>
          </cell>
          <cell r="AF864">
            <v>0</v>
          </cell>
        </row>
        <row r="865">
          <cell r="B865" t="str">
            <v>0Y4X838625</v>
          </cell>
          <cell r="C865">
            <v>2019</v>
          </cell>
          <cell r="D865" t="str">
            <v>Qtr 2</v>
          </cell>
          <cell r="E865" t="str">
            <v>April</v>
          </cell>
          <cell r="F865">
            <v>18</v>
          </cell>
          <cell r="G865" t="str">
            <v>CORRECTIVO</v>
          </cell>
          <cell r="H865">
            <v>0.1666667</v>
          </cell>
          <cell r="I865" t="str">
            <v>Office Digital</v>
          </cell>
          <cell r="J865">
            <v>655</v>
          </cell>
          <cell r="K865">
            <v>1365</v>
          </cell>
          <cell r="L865">
            <v>0</v>
          </cell>
          <cell r="M865">
            <v>0</v>
          </cell>
          <cell r="N865">
            <v>0.6</v>
          </cell>
          <cell r="O865">
            <v>0.8</v>
          </cell>
          <cell r="P865">
            <v>1.05</v>
          </cell>
          <cell r="Q865">
            <v>1.1000000000000001</v>
          </cell>
          <cell r="R865" t="str">
            <v>INTERIOR</v>
          </cell>
          <cell r="S865">
            <v>5</v>
          </cell>
          <cell r="T865">
            <v>9</v>
          </cell>
          <cell r="U865" t="str">
            <v>Ciudad principal</v>
          </cell>
          <cell r="V865" t="str">
            <v>Light Production Digital Business</v>
          </cell>
          <cell r="W865" t="str">
            <v>CHIHUAHUA</v>
          </cell>
          <cell r="X865">
            <v>2019</v>
          </cell>
          <cell r="Y865" t="str">
            <v>Qtr 2</v>
          </cell>
          <cell r="Z865" t="str">
            <v>April</v>
          </cell>
          <cell r="AA865">
            <v>18</v>
          </cell>
          <cell r="AB865">
            <v>1</v>
          </cell>
          <cell r="AC865">
            <v>70</v>
          </cell>
          <cell r="AD865">
            <v>0</v>
          </cell>
          <cell r="AE865">
            <v>0</v>
          </cell>
          <cell r="AF865">
            <v>0</v>
          </cell>
        </row>
        <row r="866">
          <cell r="B866" t="str">
            <v>06TB449258</v>
          </cell>
          <cell r="C866">
            <v>2019</v>
          </cell>
          <cell r="D866" t="str">
            <v>Qtr 2</v>
          </cell>
          <cell r="E866" t="str">
            <v>April</v>
          </cell>
          <cell r="F866">
            <v>18</v>
          </cell>
          <cell r="G866" t="str">
            <v>CORRECTIVO</v>
          </cell>
          <cell r="H866">
            <v>0.65</v>
          </cell>
          <cell r="I866" t="str">
            <v>A3 Office Color Laser MFPs</v>
          </cell>
          <cell r="J866">
            <v>655</v>
          </cell>
          <cell r="K866">
            <v>1365</v>
          </cell>
          <cell r="L866">
            <v>0</v>
          </cell>
          <cell r="M866">
            <v>0</v>
          </cell>
          <cell r="N866">
            <v>0.6</v>
          </cell>
          <cell r="O866">
            <v>0.8</v>
          </cell>
          <cell r="P866">
            <v>1.05</v>
          </cell>
          <cell r="Q866">
            <v>1.1000000000000001</v>
          </cell>
          <cell r="R866" t="str">
            <v>INTERIOR</v>
          </cell>
          <cell r="S866">
            <v>5</v>
          </cell>
          <cell r="T866">
            <v>9</v>
          </cell>
          <cell r="U866" t="str">
            <v>Ciudad principal</v>
          </cell>
          <cell r="V866" t="str">
            <v>A3 Office Color Laser MFPs</v>
          </cell>
          <cell r="W866" t="str">
            <v>TAMAULIPAS</v>
          </cell>
          <cell r="X866">
            <v>2019</v>
          </cell>
          <cell r="Y866" t="str">
            <v>Qtr 2</v>
          </cell>
          <cell r="Z866" t="str">
            <v>April</v>
          </cell>
          <cell r="AA866">
            <v>18</v>
          </cell>
          <cell r="AB866">
            <v>0</v>
          </cell>
          <cell r="AC866">
            <v>57</v>
          </cell>
          <cell r="AD866">
            <v>1.05</v>
          </cell>
          <cell r="AE866">
            <v>0.13</v>
          </cell>
          <cell r="AF866">
            <v>1433.25</v>
          </cell>
        </row>
        <row r="867">
          <cell r="B867" t="str">
            <v>0BG2947152</v>
          </cell>
          <cell r="C867">
            <v>2019</v>
          </cell>
          <cell r="D867" t="str">
            <v>Qtr 2</v>
          </cell>
          <cell r="E867" t="str">
            <v>April</v>
          </cell>
          <cell r="F867">
            <v>18</v>
          </cell>
          <cell r="G867" t="str">
            <v>CORRECTIVO</v>
          </cell>
          <cell r="H867">
            <v>1.75</v>
          </cell>
          <cell r="I867" t="str">
            <v>Light Production Digital Business</v>
          </cell>
          <cell r="J867">
            <v>803</v>
          </cell>
          <cell r="K867">
            <v>1573</v>
          </cell>
          <cell r="L867">
            <v>0.2</v>
          </cell>
          <cell r="M867">
            <v>0.6</v>
          </cell>
          <cell r="N867">
            <v>0.8</v>
          </cell>
          <cell r="O867">
            <v>1.05</v>
          </cell>
          <cell r="P867">
            <v>1.1000000000000001</v>
          </cell>
          <cell r="Q867">
            <v>1.1499999999999999</v>
          </cell>
          <cell r="R867" t="str">
            <v>INTERIOR</v>
          </cell>
          <cell r="S867">
            <v>4</v>
          </cell>
          <cell r="T867">
            <v>6</v>
          </cell>
          <cell r="U867" t="str">
            <v>Ciudad principal</v>
          </cell>
          <cell r="V867" t="str">
            <v>High End Cut Sheet</v>
          </cell>
          <cell r="W867" t="str">
            <v>JALISCO</v>
          </cell>
          <cell r="X867">
            <v>2019</v>
          </cell>
          <cell r="Y867" t="str">
            <v>Qtr 2</v>
          </cell>
          <cell r="Z867" t="str">
            <v>April</v>
          </cell>
          <cell r="AA867">
            <v>18</v>
          </cell>
          <cell r="AB867">
            <v>0</v>
          </cell>
          <cell r="AC867">
            <v>8</v>
          </cell>
          <cell r="AD867">
            <v>0.8</v>
          </cell>
          <cell r="AE867">
            <v>0.4375</v>
          </cell>
          <cell r="AF867">
            <v>1258.4000000000001</v>
          </cell>
        </row>
        <row r="868">
          <cell r="B868" t="str">
            <v>0A1H020591</v>
          </cell>
          <cell r="C868">
            <v>2019</v>
          </cell>
          <cell r="D868" t="str">
            <v>Qtr 2</v>
          </cell>
          <cell r="E868" t="str">
            <v>April</v>
          </cell>
          <cell r="F868">
            <v>18</v>
          </cell>
          <cell r="G868" t="str">
            <v>CORRECTIVO</v>
          </cell>
          <cell r="H868">
            <v>3.1833330000000002</v>
          </cell>
          <cell r="I868" t="str">
            <v>WF Mono Systems and Legacy Color</v>
          </cell>
          <cell r="J868">
            <v>803</v>
          </cell>
          <cell r="K868">
            <v>1573</v>
          </cell>
          <cell r="L868">
            <v>0.2</v>
          </cell>
          <cell r="M868">
            <v>0.6</v>
          </cell>
          <cell r="N868">
            <v>0.8</v>
          </cell>
          <cell r="O868">
            <v>1.05</v>
          </cell>
          <cell r="P868">
            <v>1.1000000000000001</v>
          </cell>
          <cell r="Q868">
            <v>1.1499999999999999</v>
          </cell>
          <cell r="R868" t="str">
            <v>INTERIOR</v>
          </cell>
          <cell r="S868">
            <v>4</v>
          </cell>
          <cell r="T868">
            <v>6</v>
          </cell>
          <cell r="U868" t="str">
            <v>Ciudad principal</v>
          </cell>
          <cell r="V868" t="str">
            <v>WF Mono Systems and Legacy Color</v>
          </cell>
          <cell r="W868" t="str">
            <v>MICHOACAN</v>
          </cell>
          <cell r="X868">
            <v>2019</v>
          </cell>
          <cell r="Y868" t="str">
            <v>Qtr 2</v>
          </cell>
          <cell r="Z868" t="str">
            <v>April</v>
          </cell>
          <cell r="AA868">
            <v>18</v>
          </cell>
          <cell r="AB868">
            <v>0</v>
          </cell>
          <cell r="AC868">
            <v>66</v>
          </cell>
          <cell r="AD868">
            <v>1.1499999999999999</v>
          </cell>
          <cell r="AE868">
            <v>0.79583325000000005</v>
          </cell>
          <cell r="AF868">
            <v>1808.95</v>
          </cell>
        </row>
        <row r="869">
          <cell r="B869" t="str">
            <v>0XPN396544</v>
          </cell>
          <cell r="C869">
            <v>2019</v>
          </cell>
          <cell r="D869" t="str">
            <v>Qtr 2</v>
          </cell>
          <cell r="E869" t="str">
            <v>April</v>
          </cell>
          <cell r="F869">
            <v>18</v>
          </cell>
          <cell r="G869" t="str">
            <v>CORRECTIVO</v>
          </cell>
          <cell r="H869">
            <v>1.6666669999999999</v>
          </cell>
          <cell r="I869" t="str">
            <v>Entry Production Color Low/Mid</v>
          </cell>
          <cell r="J869">
            <v>803</v>
          </cell>
          <cell r="K869">
            <v>1573</v>
          </cell>
          <cell r="L869">
            <v>0.2</v>
          </cell>
          <cell r="M869">
            <v>0.6</v>
          </cell>
          <cell r="N869">
            <v>0.8</v>
          </cell>
          <cell r="O869">
            <v>1.05</v>
          </cell>
          <cell r="P869">
            <v>1.1000000000000001</v>
          </cell>
          <cell r="Q869">
            <v>1.1499999999999999</v>
          </cell>
          <cell r="R869" t="str">
            <v>INTERIOR</v>
          </cell>
          <cell r="S869">
            <v>4</v>
          </cell>
          <cell r="T869">
            <v>6</v>
          </cell>
          <cell r="U869" t="str">
            <v>Ciudad principal</v>
          </cell>
          <cell r="V869" t="str">
            <v>Entry Production Color Low/Mid</v>
          </cell>
          <cell r="W869" t="str">
            <v>JALISCO</v>
          </cell>
          <cell r="X869">
            <v>2019</v>
          </cell>
          <cell r="Y869" t="str">
            <v>Qtr 2</v>
          </cell>
          <cell r="Z869" t="str">
            <v>April</v>
          </cell>
          <cell r="AA869">
            <v>23</v>
          </cell>
          <cell r="AB869">
            <v>0</v>
          </cell>
          <cell r="AC869">
            <v>38</v>
          </cell>
          <cell r="AD869">
            <v>1.1000000000000001</v>
          </cell>
          <cell r="AE869">
            <v>0.41666674999999997</v>
          </cell>
          <cell r="AF869">
            <v>1730.3</v>
          </cell>
        </row>
        <row r="870">
          <cell r="B870" t="str">
            <v>03AG880355</v>
          </cell>
          <cell r="C870">
            <v>2019</v>
          </cell>
          <cell r="D870" t="str">
            <v>Qtr 2</v>
          </cell>
          <cell r="E870" t="str">
            <v>April</v>
          </cell>
          <cell r="F870">
            <v>18</v>
          </cell>
          <cell r="G870" t="str">
            <v>CORRECTIVO</v>
          </cell>
          <cell r="H870">
            <v>1.1499999999999999</v>
          </cell>
          <cell r="I870" t="str">
            <v>Departmental Digital</v>
          </cell>
          <cell r="J870">
            <v>655</v>
          </cell>
          <cell r="K870">
            <v>1365</v>
          </cell>
          <cell r="L870">
            <v>0</v>
          </cell>
          <cell r="M870">
            <v>0</v>
          </cell>
          <cell r="N870">
            <v>0.6</v>
          </cell>
          <cell r="O870">
            <v>0.8</v>
          </cell>
          <cell r="P870">
            <v>1.05</v>
          </cell>
          <cell r="Q870">
            <v>1.1000000000000001</v>
          </cell>
          <cell r="R870" t="str">
            <v>INTERIOR</v>
          </cell>
          <cell r="S870">
            <v>5</v>
          </cell>
          <cell r="T870">
            <v>9</v>
          </cell>
          <cell r="U870" t="str">
            <v>Ciudad principal</v>
          </cell>
          <cell r="V870" t="str">
            <v>Light Production Digital Business</v>
          </cell>
          <cell r="W870" t="str">
            <v>JALISCO</v>
          </cell>
          <cell r="X870">
            <v>2019</v>
          </cell>
          <cell r="Y870" t="str">
            <v>Qtr 2</v>
          </cell>
          <cell r="Z870" t="str">
            <v>April</v>
          </cell>
          <cell r="AA870">
            <v>18</v>
          </cell>
          <cell r="AB870">
            <v>0</v>
          </cell>
          <cell r="AC870">
            <v>3</v>
          </cell>
          <cell r="AD870">
            <v>0</v>
          </cell>
          <cell r="AE870">
            <v>0.23</v>
          </cell>
          <cell r="AF870">
            <v>0</v>
          </cell>
        </row>
        <row r="871">
          <cell r="B871" t="str">
            <v>0BG2947926</v>
          </cell>
          <cell r="C871">
            <v>2019</v>
          </cell>
          <cell r="D871" t="str">
            <v>Qtr 2</v>
          </cell>
          <cell r="E871" t="str">
            <v>April</v>
          </cell>
          <cell r="F871">
            <v>18</v>
          </cell>
          <cell r="G871" t="str">
            <v>CORRECTIVO</v>
          </cell>
          <cell r="H871">
            <v>1.9166669999999999</v>
          </cell>
          <cell r="I871" t="str">
            <v>Light Production Digital Business</v>
          </cell>
          <cell r="J871">
            <v>803</v>
          </cell>
          <cell r="K871">
            <v>1573</v>
          </cell>
          <cell r="L871">
            <v>0.2</v>
          </cell>
          <cell r="M871">
            <v>0.6</v>
          </cell>
          <cell r="N871">
            <v>0.8</v>
          </cell>
          <cell r="O871">
            <v>1.05</v>
          </cell>
          <cell r="P871">
            <v>1.1000000000000001</v>
          </cell>
          <cell r="Q871">
            <v>1.1499999999999999</v>
          </cell>
          <cell r="R871" t="str">
            <v>INTERIOR</v>
          </cell>
          <cell r="S871">
            <v>4</v>
          </cell>
          <cell r="T871">
            <v>6</v>
          </cell>
          <cell r="U871" t="str">
            <v>Ciudad principal</v>
          </cell>
          <cell r="V871" t="str">
            <v>High End Cut Sheet</v>
          </cell>
          <cell r="W871" t="str">
            <v>NUEVO LEON</v>
          </cell>
          <cell r="X871">
            <v>2019</v>
          </cell>
          <cell r="Y871" t="str">
            <v>Qtr 2</v>
          </cell>
          <cell r="Z871" t="str">
            <v>April</v>
          </cell>
          <cell r="AA871">
            <v>19</v>
          </cell>
          <cell r="AB871">
            <v>0</v>
          </cell>
          <cell r="AC871">
            <v>8</v>
          </cell>
          <cell r="AD871">
            <v>0.8</v>
          </cell>
          <cell r="AE871">
            <v>0.47916674999999997</v>
          </cell>
          <cell r="AF871">
            <v>1258.4000000000001</v>
          </cell>
        </row>
        <row r="872">
          <cell r="B872" t="str">
            <v>06HB014103</v>
          </cell>
          <cell r="C872">
            <v>2019</v>
          </cell>
          <cell r="D872" t="str">
            <v>Qtr 2</v>
          </cell>
          <cell r="E872" t="str">
            <v>April</v>
          </cell>
          <cell r="F872">
            <v>18</v>
          </cell>
          <cell r="G872" t="str">
            <v>CORRECTIVO</v>
          </cell>
          <cell r="H872">
            <v>2.4500000000000002</v>
          </cell>
          <cell r="I872" t="str">
            <v>Entry Mono Printers</v>
          </cell>
          <cell r="J872">
            <v>468</v>
          </cell>
          <cell r="K872">
            <v>715</v>
          </cell>
          <cell r="L872">
            <v>0</v>
          </cell>
          <cell r="M872">
            <v>0</v>
          </cell>
          <cell r="N872">
            <v>0</v>
          </cell>
          <cell r="O872">
            <v>0.6</v>
          </cell>
          <cell r="P872">
            <v>0.8</v>
          </cell>
          <cell r="Q872">
            <v>1.05</v>
          </cell>
          <cell r="R872" t="str">
            <v>INTERIOR</v>
          </cell>
          <cell r="S872">
            <v>5</v>
          </cell>
          <cell r="T872">
            <v>9</v>
          </cell>
          <cell r="U872" t="str">
            <v>Ciudad principal</v>
          </cell>
          <cell r="V872" t="str">
            <v>A4 Mono MFPs</v>
          </cell>
          <cell r="W872" t="str">
            <v>NUEVO LEON</v>
          </cell>
          <cell r="X872">
            <v>2019</v>
          </cell>
          <cell r="Y872" t="str">
            <v>Qtr 2</v>
          </cell>
          <cell r="Z872" t="str">
            <v>April</v>
          </cell>
          <cell r="AA872">
            <v>19</v>
          </cell>
          <cell r="AB872">
            <v>0</v>
          </cell>
          <cell r="AC872">
            <v>2</v>
          </cell>
          <cell r="AD872">
            <v>0</v>
          </cell>
          <cell r="AE872">
            <v>0.49</v>
          </cell>
          <cell r="AF872">
            <v>0</v>
          </cell>
        </row>
        <row r="873">
          <cell r="B873" t="str">
            <v>0E2B658299</v>
          </cell>
          <cell r="C873">
            <v>2019</v>
          </cell>
          <cell r="D873" t="str">
            <v>Qtr 2</v>
          </cell>
          <cell r="E873" t="str">
            <v>April</v>
          </cell>
          <cell r="F873">
            <v>19</v>
          </cell>
          <cell r="G873" t="str">
            <v>CORRECTIVO</v>
          </cell>
          <cell r="H873">
            <v>0.9</v>
          </cell>
          <cell r="I873" t="str">
            <v>Entry Production Color Low/Mid</v>
          </cell>
          <cell r="J873">
            <v>803</v>
          </cell>
          <cell r="K873">
            <v>1573</v>
          </cell>
          <cell r="L873">
            <v>0.2</v>
          </cell>
          <cell r="M873">
            <v>0.6</v>
          </cell>
          <cell r="N873">
            <v>0.8</v>
          </cell>
          <cell r="O873">
            <v>1.05</v>
          </cell>
          <cell r="P873">
            <v>1.1000000000000001</v>
          </cell>
          <cell r="Q873">
            <v>1.1499999999999999</v>
          </cell>
          <cell r="R873" t="str">
            <v>INTERIOR</v>
          </cell>
          <cell r="S873">
            <v>4</v>
          </cell>
          <cell r="T873">
            <v>6</v>
          </cell>
          <cell r="U873" t="str">
            <v>Ciudad principal</v>
          </cell>
          <cell r="V873" t="str">
            <v>Entry Production Color Low/Mid</v>
          </cell>
          <cell r="W873" t="str">
            <v>NUEVO LEON</v>
          </cell>
          <cell r="X873">
            <v>2019</v>
          </cell>
          <cell r="Y873" t="str">
            <v>Qtr 2</v>
          </cell>
          <cell r="Z873" t="str">
            <v>April</v>
          </cell>
          <cell r="AA873">
            <v>19</v>
          </cell>
          <cell r="AB873">
            <v>0</v>
          </cell>
          <cell r="AC873">
            <v>8</v>
          </cell>
          <cell r="AD873">
            <v>0.8</v>
          </cell>
          <cell r="AE873">
            <v>0.22500000000000001</v>
          </cell>
          <cell r="AF873">
            <v>1258.4000000000001</v>
          </cell>
        </row>
        <row r="874">
          <cell r="B874" t="str">
            <v>0XPN395024</v>
          </cell>
          <cell r="C874">
            <v>2019</v>
          </cell>
          <cell r="D874" t="str">
            <v>Qtr 2</v>
          </cell>
          <cell r="E874" t="str">
            <v>April</v>
          </cell>
          <cell r="F874">
            <v>19</v>
          </cell>
          <cell r="G874" t="str">
            <v>CORRECTIVO</v>
          </cell>
          <cell r="H874">
            <v>1.2</v>
          </cell>
          <cell r="I874" t="str">
            <v>Entry Production Color Low/Mid</v>
          </cell>
          <cell r="J874">
            <v>803</v>
          </cell>
          <cell r="K874">
            <v>1573</v>
          </cell>
          <cell r="L874">
            <v>0.2</v>
          </cell>
          <cell r="M874">
            <v>0.6</v>
          </cell>
          <cell r="N874">
            <v>0.8</v>
          </cell>
          <cell r="O874">
            <v>1.05</v>
          </cell>
          <cell r="P874">
            <v>1.1000000000000001</v>
          </cell>
          <cell r="Q874">
            <v>1.1499999999999999</v>
          </cell>
          <cell r="R874" t="str">
            <v>INTERIOR</v>
          </cell>
          <cell r="S874">
            <v>4</v>
          </cell>
          <cell r="T874">
            <v>6</v>
          </cell>
          <cell r="U874" t="str">
            <v>Ciudad principal</v>
          </cell>
          <cell r="V874" t="str">
            <v>Entry Production Color Low/Mid</v>
          </cell>
          <cell r="W874" t="str">
            <v>JALISCO</v>
          </cell>
          <cell r="X874">
            <v>2019</v>
          </cell>
          <cell r="Y874" t="str">
            <v>Qtr 2</v>
          </cell>
          <cell r="Z874" t="str">
            <v>April</v>
          </cell>
          <cell r="AA874">
            <v>19</v>
          </cell>
          <cell r="AB874">
            <v>0</v>
          </cell>
          <cell r="AC874">
            <v>43</v>
          </cell>
          <cell r="AD874">
            <v>1.1000000000000001</v>
          </cell>
          <cell r="AE874">
            <v>0.3</v>
          </cell>
          <cell r="AF874">
            <v>1730.3</v>
          </cell>
        </row>
        <row r="875">
          <cell r="B875" t="str">
            <v>0MX4766757</v>
          </cell>
          <cell r="C875">
            <v>2019</v>
          </cell>
          <cell r="D875" t="str">
            <v>Qtr 2</v>
          </cell>
          <cell r="E875" t="str">
            <v>April</v>
          </cell>
          <cell r="F875">
            <v>19</v>
          </cell>
          <cell r="G875" t="str">
            <v>CORRECTIVO</v>
          </cell>
          <cell r="H875">
            <v>0.3</v>
          </cell>
          <cell r="I875" t="str">
            <v>A3 Office Color Laser MFPs</v>
          </cell>
          <cell r="J875">
            <v>655</v>
          </cell>
          <cell r="K875">
            <v>1365</v>
          </cell>
          <cell r="L875">
            <v>0</v>
          </cell>
          <cell r="M875">
            <v>0</v>
          </cell>
          <cell r="N875">
            <v>0.6</v>
          </cell>
          <cell r="O875">
            <v>0.8</v>
          </cell>
          <cell r="P875">
            <v>1.05</v>
          </cell>
          <cell r="Q875">
            <v>1.1000000000000001</v>
          </cell>
          <cell r="R875" t="str">
            <v>INTERIOR</v>
          </cell>
          <cell r="S875">
            <v>5</v>
          </cell>
          <cell r="T875">
            <v>9</v>
          </cell>
          <cell r="U875" t="str">
            <v>Ciudad principal</v>
          </cell>
          <cell r="V875" t="str">
            <v>A3 Office Color Laser MFPs</v>
          </cell>
          <cell r="W875" t="str">
            <v>CHIHUAHUA</v>
          </cell>
          <cell r="X875">
            <v>2019</v>
          </cell>
          <cell r="Y875" t="str">
            <v>Qtr 2</v>
          </cell>
          <cell r="Z875" t="str">
            <v>April</v>
          </cell>
          <cell r="AA875">
            <v>22</v>
          </cell>
          <cell r="AB875">
            <v>0</v>
          </cell>
          <cell r="AC875">
            <v>9</v>
          </cell>
          <cell r="AD875">
            <v>0.6</v>
          </cell>
          <cell r="AE875">
            <v>0.06</v>
          </cell>
          <cell r="AF875">
            <v>819</v>
          </cell>
        </row>
        <row r="876">
          <cell r="B876" t="str">
            <v>0C7X273155</v>
          </cell>
          <cell r="C876">
            <v>2019</v>
          </cell>
          <cell r="D876" t="str">
            <v>Qtr 2</v>
          </cell>
          <cell r="E876" t="str">
            <v>April</v>
          </cell>
          <cell r="F876">
            <v>21</v>
          </cell>
          <cell r="G876" t="str">
            <v>MANTENIMIENTO PREVENTIVO</v>
          </cell>
          <cell r="H876">
            <v>0</v>
          </cell>
          <cell r="I876" t="str">
            <v>A4 Mono MFPs</v>
          </cell>
          <cell r="J876">
            <v>468</v>
          </cell>
          <cell r="K876">
            <v>715</v>
          </cell>
          <cell r="L876">
            <v>0</v>
          </cell>
          <cell r="M876">
            <v>0</v>
          </cell>
          <cell r="N876">
            <v>0</v>
          </cell>
          <cell r="O876">
            <v>0.6</v>
          </cell>
          <cell r="P876">
            <v>0.8</v>
          </cell>
          <cell r="Q876">
            <v>1.05</v>
          </cell>
          <cell r="R876" t="str">
            <v>INTERIOR</v>
          </cell>
          <cell r="S876">
            <v>5</v>
          </cell>
          <cell r="T876">
            <v>9</v>
          </cell>
          <cell r="U876" t="str">
            <v>Ciudad principal</v>
          </cell>
          <cell r="V876" t="str">
            <v>A4 Mono MFPs</v>
          </cell>
          <cell r="W876" t="str">
            <v>QUERETARO</v>
          </cell>
          <cell r="X876">
            <v>2019</v>
          </cell>
          <cell r="Y876" t="str">
            <v>Qtr 2</v>
          </cell>
          <cell r="Z876" t="str">
            <v>April</v>
          </cell>
          <cell r="AA876">
            <v>23</v>
          </cell>
          <cell r="AB876">
            <v>0</v>
          </cell>
          <cell r="AC876">
            <v>-2</v>
          </cell>
          <cell r="AD876">
            <v>0</v>
          </cell>
          <cell r="AE876">
            <v>0</v>
          </cell>
          <cell r="AF876">
            <v>715</v>
          </cell>
        </row>
        <row r="877">
          <cell r="B877" t="str">
            <v>0D6X469662</v>
          </cell>
          <cell r="C877">
            <v>2019</v>
          </cell>
          <cell r="D877" t="str">
            <v>Qtr 2</v>
          </cell>
          <cell r="E877" t="str">
            <v>April</v>
          </cell>
          <cell r="F877">
            <v>21</v>
          </cell>
          <cell r="G877" t="str">
            <v>MANTENIMIENTO PREVENTIVO</v>
          </cell>
          <cell r="H877">
            <v>0</v>
          </cell>
          <cell r="J877" t="str">
            <v>NA</v>
          </cell>
          <cell r="K877" t="str">
            <v>NA</v>
          </cell>
          <cell r="L877" t="str">
            <v>NA</v>
          </cell>
          <cell r="M877" t="str">
            <v>NA</v>
          </cell>
          <cell r="N877" t="str">
            <v>NA</v>
          </cell>
          <cell r="O877" t="str">
            <v>NA</v>
          </cell>
          <cell r="P877" t="str">
            <v>NA</v>
          </cell>
          <cell r="Q877" t="str">
            <v>NA</v>
          </cell>
          <cell r="S877" t="str">
            <v>NA</v>
          </cell>
          <cell r="T877" t="str">
            <v>NA</v>
          </cell>
          <cell r="V877" t="str">
            <v>Entry Mono Printers</v>
          </cell>
          <cell r="W877" t="str">
            <v>QUERETARO</v>
          </cell>
          <cell r="X877">
            <v>2019</v>
          </cell>
          <cell r="Y877" t="str">
            <v>Qtr 2</v>
          </cell>
          <cell r="Z877" t="str">
            <v>April</v>
          </cell>
          <cell r="AA877">
            <v>23</v>
          </cell>
          <cell r="AB877" t="str">
            <v>NA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</row>
        <row r="878">
          <cell r="B878" t="str">
            <v>0X76372692</v>
          </cell>
          <cell r="C878">
            <v>2019</v>
          </cell>
          <cell r="D878" t="str">
            <v>Qtr 2</v>
          </cell>
          <cell r="E878" t="str">
            <v>April</v>
          </cell>
          <cell r="F878">
            <v>21</v>
          </cell>
          <cell r="G878" t="str">
            <v>MANTENIMIENTO PREVENTIVO</v>
          </cell>
          <cell r="H878">
            <v>0</v>
          </cell>
          <cell r="I878" t="str">
            <v>Office Digital</v>
          </cell>
          <cell r="J878">
            <v>655</v>
          </cell>
          <cell r="K878">
            <v>1365</v>
          </cell>
          <cell r="L878">
            <v>0</v>
          </cell>
          <cell r="M878">
            <v>0</v>
          </cell>
          <cell r="N878">
            <v>0.6</v>
          </cell>
          <cell r="O878">
            <v>0.8</v>
          </cell>
          <cell r="P878">
            <v>1.05</v>
          </cell>
          <cell r="Q878">
            <v>1.1000000000000001</v>
          </cell>
          <cell r="R878" t="str">
            <v>INTERIOR</v>
          </cell>
          <cell r="S878">
            <v>5</v>
          </cell>
          <cell r="T878">
            <v>9</v>
          </cell>
          <cell r="U878" t="str">
            <v>Ciudad principal</v>
          </cell>
          <cell r="V878" t="str">
            <v>Departmental Digital</v>
          </cell>
          <cell r="W878" t="str">
            <v>QUERETARO</v>
          </cell>
          <cell r="X878">
            <v>2019</v>
          </cell>
          <cell r="Y878" t="str">
            <v>Qtr 2</v>
          </cell>
          <cell r="Z878" t="str">
            <v>April</v>
          </cell>
          <cell r="AA878">
            <v>23</v>
          </cell>
          <cell r="AB878">
            <v>0</v>
          </cell>
          <cell r="AC878">
            <v>10</v>
          </cell>
          <cell r="AD878">
            <v>0</v>
          </cell>
          <cell r="AE878">
            <v>0</v>
          </cell>
          <cell r="AF878">
            <v>1365</v>
          </cell>
        </row>
        <row r="879">
          <cell r="B879" t="str">
            <v>0BG2956722</v>
          </cell>
          <cell r="C879">
            <v>2019</v>
          </cell>
          <cell r="D879" t="str">
            <v>Qtr 2</v>
          </cell>
          <cell r="E879" t="str">
            <v>April</v>
          </cell>
          <cell r="F879">
            <v>21</v>
          </cell>
          <cell r="G879" t="str">
            <v>MANTENIMIENTO PREVENTIVO</v>
          </cell>
          <cell r="H879">
            <v>0</v>
          </cell>
          <cell r="I879" t="str">
            <v>Light Production Digital Business</v>
          </cell>
          <cell r="J879">
            <v>803</v>
          </cell>
          <cell r="K879">
            <v>1573</v>
          </cell>
          <cell r="L879">
            <v>0.2</v>
          </cell>
          <cell r="M879">
            <v>0.6</v>
          </cell>
          <cell r="N879">
            <v>0.8</v>
          </cell>
          <cell r="O879">
            <v>1.05</v>
          </cell>
          <cell r="P879">
            <v>1.1000000000000001</v>
          </cell>
          <cell r="Q879">
            <v>1.1499999999999999</v>
          </cell>
          <cell r="R879" t="str">
            <v>INTERIOR</v>
          </cell>
          <cell r="S879">
            <v>4</v>
          </cell>
          <cell r="T879">
            <v>6</v>
          </cell>
          <cell r="U879" t="str">
            <v>Ciudad principal</v>
          </cell>
          <cell r="V879" t="str">
            <v>High End Cut Sheet</v>
          </cell>
          <cell r="W879" t="str">
            <v>QUERETARO</v>
          </cell>
          <cell r="X879">
            <v>2019</v>
          </cell>
          <cell r="Y879" t="str">
            <v>Qtr 2</v>
          </cell>
          <cell r="Z879" t="str">
            <v>April</v>
          </cell>
          <cell r="AA879">
            <v>23</v>
          </cell>
          <cell r="AB879">
            <v>0</v>
          </cell>
          <cell r="AC879">
            <v>27</v>
          </cell>
          <cell r="AD879">
            <v>0</v>
          </cell>
          <cell r="AE879">
            <v>0</v>
          </cell>
          <cell r="AF879">
            <v>1573</v>
          </cell>
        </row>
        <row r="880">
          <cell r="B880" t="str">
            <v>0XPN396574</v>
          </cell>
          <cell r="C880">
            <v>2019</v>
          </cell>
          <cell r="D880" t="str">
            <v>Qtr 2</v>
          </cell>
          <cell r="E880" t="str">
            <v>April</v>
          </cell>
          <cell r="F880">
            <v>21</v>
          </cell>
          <cell r="G880" t="str">
            <v>CORRECTIVO</v>
          </cell>
          <cell r="H880">
            <v>0.55000000000000004</v>
          </cell>
          <cell r="I880" t="str">
            <v>Entry Production Color Low/Mid</v>
          </cell>
          <cell r="J880">
            <v>803</v>
          </cell>
          <cell r="K880">
            <v>1573</v>
          </cell>
          <cell r="L880">
            <v>0.2</v>
          </cell>
          <cell r="M880">
            <v>0.6</v>
          </cell>
          <cell r="N880">
            <v>0.8</v>
          </cell>
          <cell r="O880">
            <v>1.05</v>
          </cell>
          <cell r="P880">
            <v>1.1000000000000001</v>
          </cell>
          <cell r="Q880">
            <v>1.1499999999999999</v>
          </cell>
          <cell r="R880" t="str">
            <v>INTERIOR</v>
          </cell>
          <cell r="S880">
            <v>4</v>
          </cell>
          <cell r="T880">
            <v>6</v>
          </cell>
          <cell r="U880" t="str">
            <v>Ciudad principal</v>
          </cell>
          <cell r="V880" t="str">
            <v>Entry Production Color Low/Mid</v>
          </cell>
          <cell r="W880" t="str">
            <v>JALISCO</v>
          </cell>
          <cell r="X880">
            <v>2019</v>
          </cell>
          <cell r="Y880" t="str">
            <v>Qtr 2</v>
          </cell>
          <cell r="Z880" t="str">
            <v>April</v>
          </cell>
          <cell r="AA880">
            <v>22</v>
          </cell>
          <cell r="AB880">
            <v>0</v>
          </cell>
          <cell r="AC880">
            <v>13</v>
          </cell>
          <cell r="AD880">
            <v>0.8</v>
          </cell>
          <cell r="AE880">
            <v>0.13750000000000001</v>
          </cell>
          <cell r="AF880">
            <v>1258.4000000000001</v>
          </cell>
        </row>
        <row r="881">
          <cell r="B881" t="str">
            <v>0D6X463381</v>
          </cell>
          <cell r="C881">
            <v>2019</v>
          </cell>
          <cell r="D881" t="str">
            <v>Qtr 2</v>
          </cell>
          <cell r="E881" t="str">
            <v>April</v>
          </cell>
          <cell r="F881">
            <v>21</v>
          </cell>
          <cell r="G881" t="str">
            <v>CORRECTIVO</v>
          </cell>
          <cell r="H881">
            <v>0.13333329999999999</v>
          </cell>
          <cell r="I881" t="str">
            <v>Entry Mono Printers</v>
          </cell>
          <cell r="J881">
            <v>468</v>
          </cell>
          <cell r="K881">
            <v>715</v>
          </cell>
          <cell r="L881">
            <v>0</v>
          </cell>
          <cell r="M881">
            <v>0</v>
          </cell>
          <cell r="N881">
            <v>0</v>
          </cell>
          <cell r="O881">
            <v>0.6</v>
          </cell>
          <cell r="P881">
            <v>0.8</v>
          </cell>
          <cell r="Q881">
            <v>1.05</v>
          </cell>
          <cell r="R881" t="str">
            <v>INTERIOR</v>
          </cell>
          <cell r="S881">
            <v>5</v>
          </cell>
          <cell r="T881">
            <v>9</v>
          </cell>
          <cell r="U881" t="str">
            <v>Otras</v>
          </cell>
          <cell r="V881" t="str">
            <v>Entry Mono Printers</v>
          </cell>
          <cell r="W881" t="str">
            <v>NUEVO LEON</v>
          </cell>
          <cell r="X881">
            <v>2019</v>
          </cell>
          <cell r="Y881" t="str">
            <v>Qtr 2</v>
          </cell>
          <cell r="Z881" t="str">
            <v>April</v>
          </cell>
          <cell r="AA881">
            <v>22</v>
          </cell>
          <cell r="AB881">
            <v>0</v>
          </cell>
          <cell r="AC881">
            <v>6</v>
          </cell>
          <cell r="AD881">
            <v>0</v>
          </cell>
          <cell r="AE881">
            <v>1.48148111111111E-2</v>
          </cell>
          <cell r="AF881">
            <v>0</v>
          </cell>
        </row>
        <row r="882">
          <cell r="B882" t="str">
            <v>0BG2947906</v>
          </cell>
          <cell r="C882">
            <v>2019</v>
          </cell>
          <cell r="D882" t="str">
            <v>Qtr 2</v>
          </cell>
          <cell r="E882" t="str">
            <v>April</v>
          </cell>
          <cell r="F882">
            <v>21</v>
          </cell>
          <cell r="G882" t="str">
            <v>CORRECTIVO</v>
          </cell>
          <cell r="H882">
            <v>1.65</v>
          </cell>
          <cell r="I882" t="str">
            <v>Light Production Digital Business</v>
          </cell>
          <cell r="J882">
            <v>803</v>
          </cell>
          <cell r="K882">
            <v>1573</v>
          </cell>
          <cell r="L882">
            <v>0.2</v>
          </cell>
          <cell r="M882">
            <v>0.6</v>
          </cell>
          <cell r="N882">
            <v>0.8</v>
          </cell>
          <cell r="O882">
            <v>1.05</v>
          </cell>
          <cell r="P882">
            <v>1.1000000000000001</v>
          </cell>
          <cell r="Q882">
            <v>1.1499999999999999</v>
          </cell>
          <cell r="R882" t="str">
            <v>INTERIOR</v>
          </cell>
          <cell r="S882">
            <v>4</v>
          </cell>
          <cell r="T882">
            <v>6</v>
          </cell>
          <cell r="U882" t="str">
            <v>Ciudad principal</v>
          </cell>
          <cell r="V882" t="str">
            <v>High End Cut Sheet</v>
          </cell>
          <cell r="W882" t="str">
            <v>COLIMA</v>
          </cell>
          <cell r="X882">
            <v>2019</v>
          </cell>
          <cell r="Y882" t="str">
            <v>Qtr 2</v>
          </cell>
          <cell r="Z882" t="str">
            <v>April</v>
          </cell>
          <cell r="AA882">
            <v>22</v>
          </cell>
          <cell r="AB882">
            <v>1</v>
          </cell>
          <cell r="AC882">
            <v>33</v>
          </cell>
          <cell r="AD882">
            <v>0</v>
          </cell>
          <cell r="AE882">
            <v>0</v>
          </cell>
          <cell r="AF882">
            <v>0</v>
          </cell>
        </row>
        <row r="883">
          <cell r="B883" t="str">
            <v>0BG2947505</v>
          </cell>
          <cell r="C883">
            <v>2019</v>
          </cell>
          <cell r="D883" t="str">
            <v>Qtr 2</v>
          </cell>
          <cell r="E883" t="str">
            <v>April</v>
          </cell>
          <cell r="F883">
            <v>21</v>
          </cell>
          <cell r="G883" t="str">
            <v>CORRECTIVO</v>
          </cell>
          <cell r="H883">
            <v>0.63333329999999999</v>
          </cell>
          <cell r="I883" t="str">
            <v>Light Production Digital Business</v>
          </cell>
          <cell r="J883">
            <v>803</v>
          </cell>
          <cell r="K883">
            <v>1573</v>
          </cell>
          <cell r="L883">
            <v>0.2</v>
          </cell>
          <cell r="M883">
            <v>0.6</v>
          </cell>
          <cell r="N883">
            <v>0.8</v>
          </cell>
          <cell r="O883">
            <v>1.05</v>
          </cell>
          <cell r="P883">
            <v>1.1000000000000001</v>
          </cell>
          <cell r="Q883">
            <v>1.1499999999999999</v>
          </cell>
          <cell r="R883" t="str">
            <v>INTERIOR</v>
          </cell>
          <cell r="S883">
            <v>4</v>
          </cell>
          <cell r="T883">
            <v>6</v>
          </cell>
          <cell r="U883" t="str">
            <v>Ciudad principal</v>
          </cell>
          <cell r="V883" t="str">
            <v>High End Cut Sheet</v>
          </cell>
          <cell r="W883" t="str">
            <v>COLIMA</v>
          </cell>
          <cell r="X883">
            <v>2019</v>
          </cell>
          <cell r="Y883" t="str">
            <v>Qtr 2</v>
          </cell>
          <cell r="Z883" t="str">
            <v>April</v>
          </cell>
          <cell r="AA883">
            <v>23</v>
          </cell>
          <cell r="AB883">
            <v>1</v>
          </cell>
          <cell r="AC883">
            <v>4</v>
          </cell>
          <cell r="AD883">
            <v>0</v>
          </cell>
          <cell r="AE883">
            <v>0</v>
          </cell>
          <cell r="AF883">
            <v>0</v>
          </cell>
        </row>
        <row r="884">
          <cell r="B884" t="str">
            <v>0BG2947627</v>
          </cell>
          <cell r="C884">
            <v>2019</v>
          </cell>
          <cell r="D884" t="str">
            <v>Qtr 2</v>
          </cell>
          <cell r="E884" t="str">
            <v>April</v>
          </cell>
          <cell r="F884">
            <v>21</v>
          </cell>
          <cell r="G884" t="str">
            <v>CORRECTIVO</v>
          </cell>
          <cell r="H884">
            <v>0</v>
          </cell>
          <cell r="I884" t="str">
            <v>Light Production Digital Business</v>
          </cell>
          <cell r="J884">
            <v>803</v>
          </cell>
          <cell r="K884">
            <v>1573</v>
          </cell>
          <cell r="L884">
            <v>0.2</v>
          </cell>
          <cell r="M884">
            <v>0.6</v>
          </cell>
          <cell r="N884">
            <v>0.8</v>
          </cell>
          <cell r="O884">
            <v>1.05</v>
          </cell>
          <cell r="P884">
            <v>1.1000000000000001</v>
          </cell>
          <cell r="Q884">
            <v>1.1499999999999999</v>
          </cell>
          <cell r="R884" t="str">
            <v>INTERIOR</v>
          </cell>
          <cell r="S884">
            <v>4</v>
          </cell>
          <cell r="T884">
            <v>6</v>
          </cell>
          <cell r="U884" t="str">
            <v>Ciudad principal</v>
          </cell>
          <cell r="V884" t="str">
            <v>High End Cut Sheet</v>
          </cell>
          <cell r="W884" t="str">
            <v>GUANAJUATO</v>
          </cell>
          <cell r="X884">
            <v>2019</v>
          </cell>
          <cell r="Y884" t="str">
            <v>Qtr 2</v>
          </cell>
          <cell r="Z884" t="str">
            <v>April</v>
          </cell>
          <cell r="AA884">
            <v>22</v>
          </cell>
          <cell r="AB884">
            <v>0</v>
          </cell>
          <cell r="AC884">
            <v>30</v>
          </cell>
          <cell r="AD884">
            <v>1.05</v>
          </cell>
          <cell r="AE884">
            <v>0</v>
          </cell>
          <cell r="AF884">
            <v>1651.65</v>
          </cell>
        </row>
        <row r="885">
          <cell r="B885" t="str">
            <v>0Y4X821876</v>
          </cell>
          <cell r="C885">
            <v>2019</v>
          </cell>
          <cell r="D885" t="str">
            <v>Qtr 2</v>
          </cell>
          <cell r="E885" t="str">
            <v>April</v>
          </cell>
          <cell r="F885">
            <v>21</v>
          </cell>
          <cell r="G885" t="str">
            <v>MANTENIMIENTO PREVENTIVO</v>
          </cell>
          <cell r="H885">
            <v>0</v>
          </cell>
          <cell r="I885" t="str">
            <v>Departmental Digital</v>
          </cell>
          <cell r="J885">
            <v>655</v>
          </cell>
          <cell r="K885">
            <v>1365</v>
          </cell>
          <cell r="L885">
            <v>0</v>
          </cell>
          <cell r="M885">
            <v>0</v>
          </cell>
          <cell r="N885">
            <v>0.6</v>
          </cell>
          <cell r="O885">
            <v>0.8</v>
          </cell>
          <cell r="P885">
            <v>1.05</v>
          </cell>
          <cell r="Q885">
            <v>1.1000000000000001</v>
          </cell>
          <cell r="R885" t="str">
            <v>INTERIOR</v>
          </cell>
          <cell r="S885">
            <v>5</v>
          </cell>
          <cell r="T885">
            <v>9</v>
          </cell>
          <cell r="U885" t="str">
            <v>Ciudad principal</v>
          </cell>
          <cell r="V885" t="str">
            <v>Light Production Digital Business</v>
          </cell>
          <cell r="W885" t="str">
            <v>CHIHUAHUA</v>
          </cell>
          <cell r="X885">
            <v>2019</v>
          </cell>
          <cell r="Y885" t="str">
            <v>Qtr 2</v>
          </cell>
          <cell r="Z885" t="str">
            <v>April</v>
          </cell>
          <cell r="AA885">
            <v>22</v>
          </cell>
          <cell r="AB885">
            <v>0</v>
          </cell>
          <cell r="AC885">
            <v>41</v>
          </cell>
          <cell r="AD885">
            <v>0</v>
          </cell>
          <cell r="AE885">
            <v>0</v>
          </cell>
          <cell r="AF885">
            <v>1365</v>
          </cell>
        </row>
        <row r="886">
          <cell r="B886" t="str">
            <v>0BG2951676</v>
          </cell>
          <cell r="C886">
            <v>2019</v>
          </cell>
          <cell r="D886" t="str">
            <v>Qtr 2</v>
          </cell>
          <cell r="E886" t="str">
            <v>April</v>
          </cell>
          <cell r="F886">
            <v>22</v>
          </cell>
          <cell r="G886" t="str">
            <v>MANTENIMIENTO PREVENTIVO</v>
          </cell>
          <cell r="H886">
            <v>0</v>
          </cell>
          <cell r="I886" t="str">
            <v>Light Production Digital Business</v>
          </cell>
          <cell r="J886">
            <v>803</v>
          </cell>
          <cell r="K886">
            <v>1573</v>
          </cell>
          <cell r="L886">
            <v>0.2</v>
          </cell>
          <cell r="M886">
            <v>0.6</v>
          </cell>
          <cell r="N886">
            <v>0.8</v>
          </cell>
          <cell r="O886">
            <v>1.05</v>
          </cell>
          <cell r="P886">
            <v>1.1000000000000001</v>
          </cell>
          <cell r="Q886">
            <v>1.1499999999999999</v>
          </cell>
          <cell r="R886" t="str">
            <v>INTERIOR</v>
          </cell>
          <cell r="S886">
            <v>4</v>
          </cell>
          <cell r="T886">
            <v>6</v>
          </cell>
          <cell r="U886" t="str">
            <v>Ciudad principal</v>
          </cell>
          <cell r="V886" t="str">
            <v>High End Cut Sheet</v>
          </cell>
          <cell r="W886" t="str">
            <v>TAMAULIPAS</v>
          </cell>
          <cell r="X886">
            <v>2019</v>
          </cell>
          <cell r="Y886" t="str">
            <v>Qtr 2</v>
          </cell>
          <cell r="Z886" t="str">
            <v>April</v>
          </cell>
          <cell r="AA886">
            <v>22</v>
          </cell>
          <cell r="AB886">
            <v>0</v>
          </cell>
          <cell r="AC886">
            <v>21</v>
          </cell>
          <cell r="AD886">
            <v>0</v>
          </cell>
          <cell r="AE886">
            <v>0</v>
          </cell>
          <cell r="AF886">
            <v>1573</v>
          </cell>
        </row>
        <row r="887">
          <cell r="B887" t="str">
            <v>0E2B663679</v>
          </cell>
          <cell r="C887">
            <v>2019</v>
          </cell>
          <cell r="D887" t="str">
            <v>Qtr 2</v>
          </cell>
          <cell r="E887" t="str">
            <v>April</v>
          </cell>
          <cell r="F887">
            <v>22</v>
          </cell>
          <cell r="G887" t="str">
            <v>CORRECTIVO</v>
          </cell>
          <cell r="H887">
            <v>1.5</v>
          </cell>
          <cell r="I887" t="str">
            <v>Entry Production Color Low/Mid</v>
          </cell>
          <cell r="J887">
            <v>803</v>
          </cell>
          <cell r="K887">
            <v>1573</v>
          </cell>
          <cell r="L887">
            <v>0.2</v>
          </cell>
          <cell r="M887">
            <v>0.6</v>
          </cell>
          <cell r="N887">
            <v>0.8</v>
          </cell>
          <cell r="O887">
            <v>1.05</v>
          </cell>
          <cell r="P887">
            <v>1.1000000000000001</v>
          </cell>
          <cell r="Q887">
            <v>1.1499999999999999</v>
          </cell>
          <cell r="R887" t="str">
            <v>INTERIOR</v>
          </cell>
          <cell r="S887">
            <v>4</v>
          </cell>
          <cell r="T887">
            <v>6</v>
          </cell>
          <cell r="U887" t="str">
            <v>Ciudad principal</v>
          </cell>
          <cell r="V887" t="str">
            <v>Entry Production Color Low/Mid</v>
          </cell>
          <cell r="W887" t="str">
            <v>GUANAJUATO</v>
          </cell>
          <cell r="X887">
            <v>2019</v>
          </cell>
          <cell r="Y887" t="str">
            <v>Qtr 2</v>
          </cell>
          <cell r="Z887" t="str">
            <v>April</v>
          </cell>
          <cell r="AA887">
            <v>25</v>
          </cell>
          <cell r="AB887">
            <v>0</v>
          </cell>
          <cell r="AC887">
            <v>45</v>
          </cell>
          <cell r="AD887">
            <v>1.1000000000000001</v>
          </cell>
          <cell r="AE887">
            <v>0.375</v>
          </cell>
          <cell r="AF887">
            <v>1730.3</v>
          </cell>
        </row>
        <row r="888">
          <cell r="B888" t="str">
            <v>0X76703816</v>
          </cell>
          <cell r="C888">
            <v>2019</v>
          </cell>
          <cell r="D888" t="str">
            <v>Qtr 2</v>
          </cell>
          <cell r="E888" t="str">
            <v>April</v>
          </cell>
          <cell r="F888">
            <v>22</v>
          </cell>
          <cell r="G888" t="str">
            <v>CORRECTIVO</v>
          </cell>
          <cell r="H888">
            <v>0.1833333</v>
          </cell>
          <cell r="I888" t="str">
            <v>Departmental Digital</v>
          </cell>
          <cell r="J888">
            <v>655</v>
          </cell>
          <cell r="K888">
            <v>1365</v>
          </cell>
          <cell r="L888">
            <v>0</v>
          </cell>
          <cell r="M888">
            <v>0</v>
          </cell>
          <cell r="N888">
            <v>0.6</v>
          </cell>
          <cell r="O888">
            <v>0.8</v>
          </cell>
          <cell r="P888">
            <v>1.05</v>
          </cell>
          <cell r="Q888">
            <v>1.1000000000000001</v>
          </cell>
          <cell r="R888" t="str">
            <v>INTERIOR</v>
          </cell>
          <cell r="S888">
            <v>5</v>
          </cell>
          <cell r="T888">
            <v>9</v>
          </cell>
          <cell r="U888" t="str">
            <v>Ciudad principal</v>
          </cell>
          <cell r="V888" t="str">
            <v>Departmental Digital</v>
          </cell>
          <cell r="W888" t="str">
            <v>CHIHUAHUA</v>
          </cell>
          <cell r="X888">
            <v>2019</v>
          </cell>
          <cell r="Y888" t="str">
            <v>Qtr 2</v>
          </cell>
          <cell r="Z888" t="str">
            <v>April</v>
          </cell>
          <cell r="AA888">
            <v>22</v>
          </cell>
          <cell r="AB888">
            <v>0</v>
          </cell>
          <cell r="AC888">
            <v>84</v>
          </cell>
          <cell r="AD888">
            <v>1.1000000000000001</v>
          </cell>
          <cell r="AE888">
            <v>3.6666659999999997E-2</v>
          </cell>
          <cell r="AF888">
            <v>1501.5</v>
          </cell>
        </row>
        <row r="889">
          <cell r="B889" t="str">
            <v>0X76707836</v>
          </cell>
          <cell r="C889">
            <v>2019</v>
          </cell>
          <cell r="D889" t="str">
            <v>Qtr 2</v>
          </cell>
          <cell r="E889" t="str">
            <v>April</v>
          </cell>
          <cell r="F889">
            <v>22</v>
          </cell>
          <cell r="G889" t="str">
            <v>CORRECTIVO</v>
          </cell>
          <cell r="H889">
            <v>1.066667</v>
          </cell>
          <cell r="I889" t="str">
            <v>Office Digital</v>
          </cell>
          <cell r="J889">
            <v>655</v>
          </cell>
          <cell r="K889">
            <v>1365</v>
          </cell>
          <cell r="L889">
            <v>0</v>
          </cell>
          <cell r="M889">
            <v>0</v>
          </cell>
          <cell r="N889">
            <v>0.6</v>
          </cell>
          <cell r="O889">
            <v>0.8</v>
          </cell>
          <cell r="P889">
            <v>1.05</v>
          </cell>
          <cell r="Q889">
            <v>1.1000000000000001</v>
          </cell>
          <cell r="R889" t="str">
            <v>INTERIOR</v>
          </cell>
          <cell r="S889">
            <v>5</v>
          </cell>
          <cell r="T889">
            <v>9</v>
          </cell>
          <cell r="U889" t="str">
            <v>Ciudad principal</v>
          </cell>
          <cell r="V889" t="str">
            <v>Departmental Digital</v>
          </cell>
          <cell r="W889" t="str">
            <v>DURANGO</v>
          </cell>
          <cell r="X889">
            <v>2019</v>
          </cell>
          <cell r="Y889" t="str">
            <v>Qtr 2</v>
          </cell>
          <cell r="Z889" t="str">
            <v>April</v>
          </cell>
          <cell r="AA889">
            <v>23</v>
          </cell>
          <cell r="AB889">
            <v>0</v>
          </cell>
          <cell r="AC889">
            <v>48</v>
          </cell>
          <cell r="AD889">
            <v>1.05</v>
          </cell>
          <cell r="AE889">
            <v>0.21333340000000001</v>
          </cell>
          <cell r="AF889">
            <v>1433.25</v>
          </cell>
        </row>
        <row r="890">
          <cell r="B890" t="str">
            <v>0RXD109069</v>
          </cell>
          <cell r="C890">
            <v>2019</v>
          </cell>
          <cell r="D890" t="str">
            <v>Qtr 2</v>
          </cell>
          <cell r="E890" t="str">
            <v>April</v>
          </cell>
          <cell r="F890">
            <v>22</v>
          </cell>
          <cell r="G890" t="str">
            <v>MANTENIMIENTO PREVENTIVO</v>
          </cell>
          <cell r="H890">
            <v>0</v>
          </cell>
          <cell r="I890" t="str">
            <v>Color Laser Printers</v>
          </cell>
          <cell r="J890">
            <v>468</v>
          </cell>
          <cell r="K890">
            <v>715</v>
          </cell>
          <cell r="L890">
            <v>0</v>
          </cell>
          <cell r="M890">
            <v>0</v>
          </cell>
          <cell r="N890">
            <v>0</v>
          </cell>
          <cell r="O890">
            <v>0.6</v>
          </cell>
          <cell r="P890">
            <v>0.8</v>
          </cell>
          <cell r="Q890">
            <v>1.05</v>
          </cell>
          <cell r="R890" t="str">
            <v>INTERIOR</v>
          </cell>
          <cell r="S890">
            <v>5</v>
          </cell>
          <cell r="T890">
            <v>9</v>
          </cell>
          <cell r="U890" t="str">
            <v>Ciudad principal</v>
          </cell>
          <cell r="V890" t="str">
            <v>Departmental Digital</v>
          </cell>
          <cell r="W890" t="str">
            <v>CHIHUAHUA</v>
          </cell>
          <cell r="X890">
            <v>2019</v>
          </cell>
          <cell r="Y890" t="str">
            <v>Qtr 2</v>
          </cell>
          <cell r="Z890" t="str">
            <v>April</v>
          </cell>
          <cell r="AA890">
            <v>22</v>
          </cell>
          <cell r="AB890">
            <v>0</v>
          </cell>
          <cell r="AC890">
            <v>19</v>
          </cell>
          <cell r="AD890">
            <v>0</v>
          </cell>
          <cell r="AE890">
            <v>0</v>
          </cell>
          <cell r="AF890">
            <v>715</v>
          </cell>
        </row>
        <row r="891">
          <cell r="B891" t="str">
            <v>0XEL562732</v>
          </cell>
          <cell r="C891">
            <v>2019</v>
          </cell>
          <cell r="D891" t="str">
            <v>Qtr 2</v>
          </cell>
          <cell r="E891" t="str">
            <v>April</v>
          </cell>
          <cell r="F891">
            <v>22</v>
          </cell>
          <cell r="G891" t="str">
            <v>CORRECTIVO</v>
          </cell>
          <cell r="H891">
            <v>10.283329999999999</v>
          </cell>
          <cell r="I891" t="str">
            <v>Departmental Digital</v>
          </cell>
          <cell r="J891">
            <v>655</v>
          </cell>
          <cell r="K891">
            <v>1365</v>
          </cell>
          <cell r="L891">
            <v>0</v>
          </cell>
          <cell r="M891">
            <v>0</v>
          </cell>
          <cell r="N891">
            <v>0.6</v>
          </cell>
          <cell r="O891">
            <v>0.8</v>
          </cell>
          <cell r="P891">
            <v>1.05</v>
          </cell>
          <cell r="Q891">
            <v>1.1000000000000001</v>
          </cell>
          <cell r="R891" t="str">
            <v>INTERIOR</v>
          </cell>
          <cell r="S891">
            <v>5</v>
          </cell>
          <cell r="T891">
            <v>9</v>
          </cell>
          <cell r="U891" t="str">
            <v>Otras</v>
          </cell>
          <cell r="V891" t="str">
            <v>Departmental Digital</v>
          </cell>
          <cell r="W891" t="str">
            <v>MICHOACAN</v>
          </cell>
          <cell r="X891">
            <v>2019</v>
          </cell>
          <cell r="Y891" t="str">
            <v>Qtr 2</v>
          </cell>
          <cell r="Z891" t="str">
            <v>April</v>
          </cell>
          <cell r="AA891">
            <v>23</v>
          </cell>
          <cell r="AB891">
            <v>0</v>
          </cell>
          <cell r="AC891">
            <v>20</v>
          </cell>
          <cell r="AD891">
            <v>0.8</v>
          </cell>
          <cell r="AE891">
            <v>1.14259222222222</v>
          </cell>
          <cell r="AF891">
            <v>1043.3404041666699</v>
          </cell>
        </row>
        <row r="892">
          <cell r="B892" t="str">
            <v>0BG2939661</v>
          </cell>
          <cell r="C892">
            <v>2019</v>
          </cell>
          <cell r="D892" t="str">
            <v>Qtr 2</v>
          </cell>
          <cell r="E892" t="str">
            <v>April</v>
          </cell>
          <cell r="F892">
            <v>22</v>
          </cell>
          <cell r="G892" t="str">
            <v>CORRECTIVO</v>
          </cell>
          <cell r="H892">
            <v>7.65</v>
          </cell>
          <cell r="I892" t="str">
            <v>Light Production Digital Business</v>
          </cell>
          <cell r="J892">
            <v>803</v>
          </cell>
          <cell r="K892">
            <v>1573</v>
          </cell>
          <cell r="L892">
            <v>0.2</v>
          </cell>
          <cell r="M892">
            <v>0.6</v>
          </cell>
          <cell r="N892">
            <v>0.8</v>
          </cell>
          <cell r="O892">
            <v>1.05</v>
          </cell>
          <cell r="P892">
            <v>1.1000000000000001</v>
          </cell>
          <cell r="Q892">
            <v>1.1499999999999999</v>
          </cell>
          <cell r="R892" t="str">
            <v>INTERIOR</v>
          </cell>
          <cell r="S892">
            <v>4</v>
          </cell>
          <cell r="T892">
            <v>6</v>
          </cell>
          <cell r="U892" t="str">
            <v>Otras</v>
          </cell>
          <cell r="V892" t="str">
            <v>High End Cut Sheet</v>
          </cell>
          <cell r="W892" t="str">
            <v>MICHOACAN</v>
          </cell>
          <cell r="X892">
            <v>2019</v>
          </cell>
          <cell r="Y892" t="str">
            <v>Qtr 2</v>
          </cell>
          <cell r="Z892" t="str">
            <v>April</v>
          </cell>
          <cell r="AA892">
            <v>25</v>
          </cell>
          <cell r="AB892">
            <v>0</v>
          </cell>
          <cell r="AC892">
            <v>34</v>
          </cell>
          <cell r="AD892">
            <v>1.1000000000000001</v>
          </cell>
          <cell r="AE892">
            <v>1.2749999999999999</v>
          </cell>
          <cell r="AF892">
            <v>1622.15625</v>
          </cell>
        </row>
        <row r="893">
          <cell r="B893" t="str">
            <v>0BG0972350</v>
          </cell>
          <cell r="C893">
            <v>2019</v>
          </cell>
          <cell r="D893" t="str">
            <v>Qtr 2</v>
          </cell>
          <cell r="E893" t="str">
            <v>April</v>
          </cell>
          <cell r="F893">
            <v>22</v>
          </cell>
          <cell r="G893" t="str">
            <v>CORRECTIVO</v>
          </cell>
          <cell r="H893">
            <v>2.6833330000000002</v>
          </cell>
          <cell r="I893" t="str">
            <v>Light Production Digital Business</v>
          </cell>
          <cell r="J893">
            <v>803</v>
          </cell>
          <cell r="K893">
            <v>1573</v>
          </cell>
          <cell r="L893">
            <v>0.2</v>
          </cell>
          <cell r="M893">
            <v>0.6</v>
          </cell>
          <cell r="N893">
            <v>0.8</v>
          </cell>
          <cell r="O893">
            <v>1.05</v>
          </cell>
          <cell r="P893">
            <v>1.1000000000000001</v>
          </cell>
          <cell r="Q893">
            <v>1.1499999999999999</v>
          </cell>
          <cell r="R893" t="str">
            <v>INTERIOR</v>
          </cell>
          <cell r="S893">
            <v>4</v>
          </cell>
          <cell r="T893">
            <v>6</v>
          </cell>
          <cell r="U893" t="str">
            <v>Ciudad principal</v>
          </cell>
          <cell r="V893" t="str">
            <v>High End Cut Sheet</v>
          </cell>
          <cell r="W893" t="str">
            <v>NUEVO LEON</v>
          </cell>
          <cell r="X893">
            <v>2019</v>
          </cell>
          <cell r="Y893" t="str">
            <v>Qtr 2</v>
          </cell>
          <cell r="Z893" t="str">
            <v>April</v>
          </cell>
          <cell r="AA893">
            <v>22</v>
          </cell>
          <cell r="AB893">
            <v>0</v>
          </cell>
          <cell r="AC893">
            <v>10</v>
          </cell>
          <cell r="AD893">
            <v>0.8</v>
          </cell>
          <cell r="AE893">
            <v>0.67083325000000005</v>
          </cell>
          <cell r="AF893">
            <v>1258.4000000000001</v>
          </cell>
        </row>
        <row r="894">
          <cell r="B894" t="str">
            <v>03AG877899</v>
          </cell>
          <cell r="C894">
            <v>2019</v>
          </cell>
          <cell r="D894" t="str">
            <v>Qtr 2</v>
          </cell>
          <cell r="E894" t="str">
            <v>April</v>
          </cell>
          <cell r="F894">
            <v>22</v>
          </cell>
          <cell r="G894" t="str">
            <v>CORRECTIVO</v>
          </cell>
          <cell r="H894">
            <v>1.75</v>
          </cell>
          <cell r="I894" t="str">
            <v>Departmental Digital</v>
          </cell>
          <cell r="J894">
            <v>655</v>
          </cell>
          <cell r="K894">
            <v>1365</v>
          </cell>
          <cell r="L894">
            <v>0</v>
          </cell>
          <cell r="M894">
            <v>0</v>
          </cell>
          <cell r="N894">
            <v>0.6</v>
          </cell>
          <cell r="O894">
            <v>0.8</v>
          </cell>
          <cell r="P894">
            <v>1.05</v>
          </cell>
          <cell r="Q894">
            <v>1.1000000000000001</v>
          </cell>
          <cell r="R894" t="str">
            <v>INTERIOR</v>
          </cell>
          <cell r="S894">
            <v>5</v>
          </cell>
          <cell r="T894">
            <v>9</v>
          </cell>
          <cell r="U894" t="str">
            <v>Ciudad principal</v>
          </cell>
          <cell r="V894" t="str">
            <v>Light Production Digital Business</v>
          </cell>
          <cell r="W894" t="str">
            <v>TAMAULIPAS</v>
          </cell>
          <cell r="X894">
            <v>2019</v>
          </cell>
          <cell r="Y894" t="str">
            <v>Qtr 2</v>
          </cell>
          <cell r="Z894" t="str">
            <v>April</v>
          </cell>
          <cell r="AA894">
            <v>22</v>
          </cell>
          <cell r="AB894">
            <v>0</v>
          </cell>
          <cell r="AC894">
            <v>60</v>
          </cell>
          <cell r="AD894">
            <v>1.1000000000000001</v>
          </cell>
          <cell r="AE894">
            <v>0.35</v>
          </cell>
          <cell r="AF894">
            <v>1501.5</v>
          </cell>
        </row>
        <row r="895">
          <cell r="B895" t="str">
            <v>0BG0974969</v>
          </cell>
          <cell r="C895">
            <v>2019</v>
          </cell>
          <cell r="D895" t="str">
            <v>Qtr 2</v>
          </cell>
          <cell r="E895" t="str">
            <v>April</v>
          </cell>
          <cell r="F895">
            <v>22</v>
          </cell>
          <cell r="G895" t="str">
            <v>MANTENIMIENTO PREVENTIVO</v>
          </cell>
          <cell r="H895">
            <v>0</v>
          </cell>
          <cell r="I895" t="str">
            <v>Light Production Digital Business</v>
          </cell>
          <cell r="J895">
            <v>803</v>
          </cell>
          <cell r="K895">
            <v>1573</v>
          </cell>
          <cell r="L895">
            <v>0.2</v>
          </cell>
          <cell r="M895">
            <v>0.6</v>
          </cell>
          <cell r="N895">
            <v>0.8</v>
          </cell>
          <cell r="O895">
            <v>1.05</v>
          </cell>
          <cell r="P895">
            <v>1.1000000000000001</v>
          </cell>
          <cell r="Q895">
            <v>1.1499999999999999</v>
          </cell>
          <cell r="R895" t="str">
            <v>INTERIOR</v>
          </cell>
          <cell r="S895">
            <v>4</v>
          </cell>
          <cell r="T895">
            <v>6</v>
          </cell>
          <cell r="U895" t="str">
            <v>Ciudad principal</v>
          </cell>
          <cell r="V895" t="str">
            <v>High End Cut Sheet</v>
          </cell>
          <cell r="W895" t="str">
            <v>JALISCO</v>
          </cell>
          <cell r="X895">
            <v>2019</v>
          </cell>
          <cell r="Y895" t="str">
            <v>Qtr 2</v>
          </cell>
          <cell r="Z895" t="str">
            <v>April</v>
          </cell>
          <cell r="AA895">
            <v>22</v>
          </cell>
          <cell r="AB895">
            <v>1</v>
          </cell>
          <cell r="AC895">
            <v>7</v>
          </cell>
          <cell r="AD895">
            <v>0</v>
          </cell>
          <cell r="AE895">
            <v>0</v>
          </cell>
          <cell r="AF895">
            <v>0</v>
          </cell>
        </row>
        <row r="896">
          <cell r="B896" t="str">
            <v>0EX9303605</v>
          </cell>
          <cell r="C896">
            <v>2019</v>
          </cell>
          <cell r="D896" t="str">
            <v>Qtr 2</v>
          </cell>
          <cell r="E896" t="str">
            <v>April</v>
          </cell>
          <cell r="F896">
            <v>22</v>
          </cell>
          <cell r="G896" t="str">
            <v>CORRECTIVO</v>
          </cell>
          <cell r="H896">
            <v>1.95</v>
          </cell>
          <cell r="J896" t="str">
            <v>NA</v>
          </cell>
          <cell r="K896" t="str">
            <v>NA</v>
          </cell>
          <cell r="L896" t="str">
            <v>NA</v>
          </cell>
          <cell r="M896" t="str">
            <v>NA</v>
          </cell>
          <cell r="N896" t="str">
            <v>NA</v>
          </cell>
          <cell r="O896" t="str">
            <v>NA</v>
          </cell>
          <cell r="P896" t="str">
            <v>NA</v>
          </cell>
          <cell r="Q896" t="str">
            <v>NA</v>
          </cell>
          <cell r="S896" t="str">
            <v>NA</v>
          </cell>
          <cell r="T896" t="str">
            <v>NA</v>
          </cell>
          <cell r="V896" t="str">
            <v>Departmental Digital</v>
          </cell>
          <cell r="W896" t="str">
            <v>CHIHUAHUA</v>
          </cell>
          <cell r="X896">
            <v>2019</v>
          </cell>
          <cell r="Y896" t="str">
            <v>Qtr 2</v>
          </cell>
          <cell r="Z896" t="str">
            <v>April</v>
          </cell>
          <cell r="AA896">
            <v>23</v>
          </cell>
          <cell r="AB896" t="str">
            <v>NA</v>
          </cell>
          <cell r="AC896">
            <v>5</v>
          </cell>
          <cell r="AD896">
            <v>0</v>
          </cell>
          <cell r="AE896">
            <v>0</v>
          </cell>
          <cell r="AF896">
            <v>0</v>
          </cell>
        </row>
        <row r="897">
          <cell r="B897" t="str">
            <v>0XPN548347</v>
          </cell>
          <cell r="C897">
            <v>2019</v>
          </cell>
          <cell r="D897" t="str">
            <v>Qtr 2</v>
          </cell>
          <cell r="E897" t="str">
            <v>April</v>
          </cell>
          <cell r="F897">
            <v>22</v>
          </cell>
          <cell r="G897" t="str">
            <v>CORRECTIVO</v>
          </cell>
          <cell r="H897">
            <v>2.9</v>
          </cell>
          <cell r="I897" t="str">
            <v>Entry Production Color Low/Mid</v>
          </cell>
          <cell r="J897">
            <v>803</v>
          </cell>
          <cell r="K897">
            <v>1573</v>
          </cell>
          <cell r="L897">
            <v>0.2</v>
          </cell>
          <cell r="M897">
            <v>0.6</v>
          </cell>
          <cell r="N897">
            <v>0.8</v>
          </cell>
          <cell r="O897">
            <v>1.05</v>
          </cell>
          <cell r="P897">
            <v>1.1000000000000001</v>
          </cell>
          <cell r="Q897">
            <v>1.1499999999999999</v>
          </cell>
          <cell r="R897" t="str">
            <v>INTERIOR</v>
          </cell>
          <cell r="S897">
            <v>4</v>
          </cell>
          <cell r="T897">
            <v>6</v>
          </cell>
          <cell r="U897" t="str">
            <v>Ciudad principal</v>
          </cell>
          <cell r="V897" t="str">
            <v>Entry Production Color Low/Mid</v>
          </cell>
          <cell r="W897" t="str">
            <v>TAMAULIPAS</v>
          </cell>
          <cell r="X897">
            <v>2019</v>
          </cell>
          <cell r="Y897" t="str">
            <v>Qtr 2</v>
          </cell>
          <cell r="Z897" t="str">
            <v>April</v>
          </cell>
          <cell r="AA897">
            <v>24</v>
          </cell>
          <cell r="AB897">
            <v>0</v>
          </cell>
          <cell r="AC897">
            <v>125</v>
          </cell>
          <cell r="AD897">
            <v>1.1499999999999999</v>
          </cell>
          <cell r="AE897">
            <v>0.72499999999999998</v>
          </cell>
          <cell r="AF897">
            <v>1808.95</v>
          </cell>
        </row>
        <row r="898">
          <cell r="B898" t="str">
            <v>0AGD461848</v>
          </cell>
          <cell r="C898">
            <v>2019</v>
          </cell>
          <cell r="D898" t="str">
            <v>Qtr 2</v>
          </cell>
          <cell r="E898" t="str">
            <v>April</v>
          </cell>
          <cell r="F898">
            <v>22</v>
          </cell>
          <cell r="G898" t="str">
            <v>CORRECTIVO</v>
          </cell>
          <cell r="H898">
            <v>1.683333</v>
          </cell>
          <cell r="I898" t="str">
            <v>WF Mono Systems and Legacy Color</v>
          </cell>
          <cell r="J898">
            <v>803</v>
          </cell>
          <cell r="K898">
            <v>1573</v>
          </cell>
          <cell r="L898">
            <v>0.2</v>
          </cell>
          <cell r="M898">
            <v>0.6</v>
          </cell>
          <cell r="N898">
            <v>0.8</v>
          </cell>
          <cell r="O898">
            <v>1.05</v>
          </cell>
          <cell r="P898">
            <v>1.1000000000000001</v>
          </cell>
          <cell r="Q898">
            <v>1.1499999999999999</v>
          </cell>
          <cell r="R898" t="str">
            <v>INTERIOR</v>
          </cell>
          <cell r="S898">
            <v>4</v>
          </cell>
          <cell r="T898">
            <v>6</v>
          </cell>
          <cell r="U898" t="str">
            <v>Ciudad principal</v>
          </cell>
          <cell r="V898" t="str">
            <v>WF Mono Systems and Legacy Color</v>
          </cell>
          <cell r="W898" t="str">
            <v>JALISCO</v>
          </cell>
          <cell r="X898">
            <v>2019</v>
          </cell>
          <cell r="Y898" t="str">
            <v>Qtr 2</v>
          </cell>
          <cell r="Z898" t="str">
            <v>April</v>
          </cell>
          <cell r="AA898">
            <v>22</v>
          </cell>
          <cell r="AB898">
            <v>0</v>
          </cell>
          <cell r="AC898">
            <v>32</v>
          </cell>
          <cell r="AD898">
            <v>1.1000000000000001</v>
          </cell>
          <cell r="AE898">
            <v>0.42083324999999999</v>
          </cell>
          <cell r="AF898">
            <v>1730.3</v>
          </cell>
        </row>
        <row r="899">
          <cell r="B899" t="str">
            <v>0XEH805292</v>
          </cell>
          <cell r="C899">
            <v>2019</v>
          </cell>
          <cell r="D899" t="str">
            <v>Qtr 2</v>
          </cell>
          <cell r="E899" t="str">
            <v>April</v>
          </cell>
          <cell r="F899">
            <v>22</v>
          </cell>
          <cell r="G899" t="str">
            <v>CORRECTIVO</v>
          </cell>
          <cell r="H899">
            <v>1.816667</v>
          </cell>
          <cell r="J899" t="str">
            <v>NA</v>
          </cell>
          <cell r="K899" t="str">
            <v>NA</v>
          </cell>
          <cell r="L899" t="str">
            <v>NA</v>
          </cell>
          <cell r="M899" t="str">
            <v>NA</v>
          </cell>
          <cell r="N899" t="str">
            <v>NA</v>
          </cell>
          <cell r="O899" t="str">
            <v>NA</v>
          </cell>
          <cell r="P899" t="str">
            <v>NA</v>
          </cell>
          <cell r="Q899" t="str">
            <v>NA</v>
          </cell>
          <cell r="S899" t="str">
            <v>NA</v>
          </cell>
          <cell r="T899" t="str">
            <v>NA</v>
          </cell>
          <cell r="V899" t="str">
            <v>Departmental Digital</v>
          </cell>
          <cell r="W899" t="str">
            <v>CHIHUAHUA</v>
          </cell>
          <cell r="X899">
            <v>2019</v>
          </cell>
          <cell r="Y899" t="str">
            <v>Qtr 2</v>
          </cell>
          <cell r="Z899" t="str">
            <v>April</v>
          </cell>
          <cell r="AA899">
            <v>22</v>
          </cell>
          <cell r="AB899" t="str">
            <v>NA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</row>
        <row r="900">
          <cell r="B900" t="str">
            <v>0BG2948808</v>
          </cell>
          <cell r="C900">
            <v>2019</v>
          </cell>
          <cell r="D900" t="str">
            <v>Qtr 2</v>
          </cell>
          <cell r="E900" t="str">
            <v>April</v>
          </cell>
          <cell r="F900">
            <v>22</v>
          </cell>
          <cell r="G900" t="str">
            <v>CORRECTIVO</v>
          </cell>
          <cell r="H900">
            <v>1.5333330000000001</v>
          </cell>
          <cell r="I900" t="str">
            <v>Light Production Digital Business</v>
          </cell>
          <cell r="J900">
            <v>803</v>
          </cell>
          <cell r="K900">
            <v>1573</v>
          </cell>
          <cell r="L900">
            <v>0.2</v>
          </cell>
          <cell r="M900">
            <v>0.6</v>
          </cell>
          <cell r="N900">
            <v>0.8</v>
          </cell>
          <cell r="O900">
            <v>1.05</v>
          </cell>
          <cell r="P900">
            <v>1.1000000000000001</v>
          </cell>
          <cell r="Q900">
            <v>1.1499999999999999</v>
          </cell>
          <cell r="R900" t="str">
            <v>INTERIOR</v>
          </cell>
          <cell r="S900">
            <v>4</v>
          </cell>
          <cell r="T900">
            <v>6</v>
          </cell>
          <cell r="U900" t="str">
            <v>Ciudad principal</v>
          </cell>
          <cell r="V900" t="str">
            <v>High End Cut Sheet</v>
          </cell>
          <cell r="W900" t="str">
            <v>ESTADO DE MEXICO</v>
          </cell>
          <cell r="X900">
            <v>2019</v>
          </cell>
          <cell r="Y900" t="str">
            <v>Qtr 2</v>
          </cell>
          <cell r="Z900" t="str">
            <v>April</v>
          </cell>
          <cell r="AA900">
            <v>22</v>
          </cell>
          <cell r="AB900">
            <v>0</v>
          </cell>
          <cell r="AC900">
            <v>6</v>
          </cell>
          <cell r="AD900">
            <v>0.6</v>
          </cell>
          <cell r="AE900">
            <v>0.38333325000000001</v>
          </cell>
          <cell r="AF900">
            <v>943.8</v>
          </cell>
        </row>
        <row r="901">
          <cell r="B901" t="str">
            <v>0MX4777324</v>
          </cell>
          <cell r="C901">
            <v>2019</v>
          </cell>
          <cell r="D901" t="str">
            <v>Qtr 2</v>
          </cell>
          <cell r="E901" t="str">
            <v>April</v>
          </cell>
          <cell r="F901">
            <v>22</v>
          </cell>
          <cell r="G901" t="str">
            <v>CORRECTIVO</v>
          </cell>
          <cell r="H901">
            <v>3.3333340000000003E-2</v>
          </cell>
          <cell r="J901" t="str">
            <v>NA</v>
          </cell>
          <cell r="K901" t="str">
            <v>NA</v>
          </cell>
          <cell r="L901" t="str">
            <v>NA</v>
          </cell>
          <cell r="M901" t="str">
            <v>NA</v>
          </cell>
          <cell r="N901" t="str">
            <v>NA</v>
          </cell>
          <cell r="O901" t="str">
            <v>NA</v>
          </cell>
          <cell r="P901" t="str">
            <v>NA</v>
          </cell>
          <cell r="Q901" t="str">
            <v>NA</v>
          </cell>
          <cell r="S901" t="str">
            <v>NA</v>
          </cell>
          <cell r="T901" t="str">
            <v>NA</v>
          </cell>
          <cell r="V901" t="str">
            <v>A3 Office Color Laser MFPs</v>
          </cell>
          <cell r="W901" t="str">
            <v>CHIHUAHUA</v>
          </cell>
          <cell r="X901">
            <v>2019</v>
          </cell>
          <cell r="Y901" t="str">
            <v>Qtr 2</v>
          </cell>
          <cell r="Z901" t="str">
            <v>April</v>
          </cell>
          <cell r="AA901">
            <v>22</v>
          </cell>
          <cell r="AB901" t="str">
            <v>NA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</row>
        <row r="902">
          <cell r="B902" t="str">
            <v>09HB331362</v>
          </cell>
          <cell r="C902">
            <v>2019</v>
          </cell>
          <cell r="D902" t="str">
            <v>Qtr 2</v>
          </cell>
          <cell r="E902" t="str">
            <v>April</v>
          </cell>
          <cell r="F902">
            <v>22</v>
          </cell>
          <cell r="G902" t="str">
            <v>MANTENIMIENTO PREVENTIVO</v>
          </cell>
          <cell r="H902">
            <v>0</v>
          </cell>
          <cell r="I902" t="str">
            <v>A4 Mono MFPs</v>
          </cell>
          <cell r="J902">
            <v>468</v>
          </cell>
          <cell r="K902">
            <v>715</v>
          </cell>
          <cell r="L902">
            <v>0</v>
          </cell>
          <cell r="M902">
            <v>0</v>
          </cell>
          <cell r="N902">
            <v>0</v>
          </cell>
          <cell r="O902">
            <v>0.6</v>
          </cell>
          <cell r="P902">
            <v>0.8</v>
          </cell>
          <cell r="Q902">
            <v>1.05</v>
          </cell>
          <cell r="R902" t="str">
            <v>INTERIOR</v>
          </cell>
          <cell r="S902">
            <v>5</v>
          </cell>
          <cell r="T902">
            <v>9</v>
          </cell>
          <cell r="U902" t="str">
            <v>Ciudad principal</v>
          </cell>
          <cell r="V902" t="str">
            <v>A4 Mono MFPs</v>
          </cell>
          <cell r="W902" t="str">
            <v>JALISCO</v>
          </cell>
          <cell r="X902">
            <v>2019</v>
          </cell>
          <cell r="Y902" t="str">
            <v>Qtr 2</v>
          </cell>
          <cell r="Z902" t="str">
            <v>April</v>
          </cell>
          <cell r="AA902">
            <v>22</v>
          </cell>
          <cell r="AB902">
            <v>1</v>
          </cell>
          <cell r="AC902">
            <v>39</v>
          </cell>
          <cell r="AD902">
            <v>0</v>
          </cell>
          <cell r="AE902">
            <v>0</v>
          </cell>
          <cell r="AF902">
            <v>0</v>
          </cell>
        </row>
        <row r="903">
          <cell r="B903" t="str">
            <v>0E2B649503</v>
          </cell>
          <cell r="C903">
            <v>2019</v>
          </cell>
          <cell r="D903" t="str">
            <v>Qtr 2</v>
          </cell>
          <cell r="E903" t="str">
            <v>April</v>
          </cell>
          <cell r="F903">
            <v>22</v>
          </cell>
          <cell r="G903" t="str">
            <v>CORRECTIVO</v>
          </cell>
          <cell r="H903">
            <v>1.4666669999999999</v>
          </cell>
          <cell r="I903" t="str">
            <v>Entry Production Color Low/Mid</v>
          </cell>
          <cell r="J903">
            <v>803</v>
          </cell>
          <cell r="K903">
            <v>1573</v>
          </cell>
          <cell r="L903">
            <v>0.2</v>
          </cell>
          <cell r="M903">
            <v>0.6</v>
          </cell>
          <cell r="N903">
            <v>0.8</v>
          </cell>
          <cell r="O903">
            <v>1.05</v>
          </cell>
          <cell r="P903">
            <v>1.1000000000000001</v>
          </cell>
          <cell r="Q903">
            <v>1.1499999999999999</v>
          </cell>
          <cell r="R903" t="str">
            <v>INTERIOR</v>
          </cell>
          <cell r="S903">
            <v>4</v>
          </cell>
          <cell r="T903">
            <v>6</v>
          </cell>
          <cell r="U903" t="str">
            <v>Ciudad principal</v>
          </cell>
          <cell r="V903" t="str">
            <v>Entry Production Color Low/Mid</v>
          </cell>
          <cell r="W903" t="str">
            <v>SAN LUIS POTOSI</v>
          </cell>
          <cell r="X903">
            <v>2019</v>
          </cell>
          <cell r="Y903" t="str">
            <v>Qtr 2</v>
          </cell>
          <cell r="Z903" t="str">
            <v>April</v>
          </cell>
          <cell r="AA903">
            <v>22</v>
          </cell>
          <cell r="AB903">
            <v>0</v>
          </cell>
          <cell r="AC903">
            <v>130</v>
          </cell>
          <cell r="AD903">
            <v>1.1499999999999999</v>
          </cell>
          <cell r="AE903">
            <v>0.36666674999999999</v>
          </cell>
          <cell r="AF903">
            <v>1808.95</v>
          </cell>
        </row>
        <row r="904">
          <cell r="B904" t="str">
            <v>0XLT282436</v>
          </cell>
          <cell r="C904">
            <v>2019</v>
          </cell>
          <cell r="D904" t="str">
            <v>Qtr 2</v>
          </cell>
          <cell r="E904" t="str">
            <v>April</v>
          </cell>
          <cell r="F904">
            <v>22</v>
          </cell>
          <cell r="G904" t="str">
            <v>MANTENIMIENTO PREVENTIVO</v>
          </cell>
          <cell r="H904">
            <v>0</v>
          </cell>
          <cell r="I904" t="str">
            <v>Entry Mono Printers</v>
          </cell>
          <cell r="J904">
            <v>468</v>
          </cell>
          <cell r="K904">
            <v>715</v>
          </cell>
          <cell r="L904">
            <v>0</v>
          </cell>
          <cell r="M904">
            <v>0</v>
          </cell>
          <cell r="N904">
            <v>0</v>
          </cell>
          <cell r="O904">
            <v>0.6</v>
          </cell>
          <cell r="P904">
            <v>0.8</v>
          </cell>
          <cell r="Q904">
            <v>1.05</v>
          </cell>
          <cell r="R904" t="str">
            <v>INTERIOR</v>
          </cell>
          <cell r="S904">
            <v>5</v>
          </cell>
          <cell r="T904">
            <v>9</v>
          </cell>
          <cell r="U904" t="str">
            <v>Ciudad principal</v>
          </cell>
          <cell r="V904" t="str">
            <v>Entry Mono Printers</v>
          </cell>
          <cell r="W904" t="str">
            <v>CHIHUAHUA</v>
          </cell>
          <cell r="X904">
            <v>2019</v>
          </cell>
          <cell r="Y904" t="str">
            <v>Qtr 2</v>
          </cell>
          <cell r="Z904" t="str">
            <v>April</v>
          </cell>
          <cell r="AA904">
            <v>22</v>
          </cell>
          <cell r="AB904">
            <v>0</v>
          </cell>
          <cell r="AC904">
            <v>13</v>
          </cell>
          <cell r="AD904">
            <v>0</v>
          </cell>
          <cell r="AE904">
            <v>0</v>
          </cell>
          <cell r="AF904">
            <v>715</v>
          </cell>
        </row>
        <row r="905">
          <cell r="B905" t="str">
            <v>0EX9293026</v>
          </cell>
          <cell r="C905">
            <v>2019</v>
          </cell>
          <cell r="D905" t="str">
            <v>Qtr 2</v>
          </cell>
          <cell r="E905" t="str">
            <v>April</v>
          </cell>
          <cell r="F905">
            <v>22</v>
          </cell>
          <cell r="G905" t="str">
            <v>CORRECTIVO</v>
          </cell>
          <cell r="H905">
            <v>0.88333329999999999</v>
          </cell>
          <cell r="I905" t="str">
            <v>Departmental Digital</v>
          </cell>
          <cell r="J905">
            <v>655</v>
          </cell>
          <cell r="K905">
            <v>1365</v>
          </cell>
          <cell r="L905">
            <v>0</v>
          </cell>
          <cell r="M905">
            <v>0</v>
          </cell>
          <cell r="N905">
            <v>0.6</v>
          </cell>
          <cell r="O905">
            <v>0.8</v>
          </cell>
          <cell r="P905">
            <v>1.05</v>
          </cell>
          <cell r="Q905">
            <v>1.1000000000000001</v>
          </cell>
          <cell r="R905" t="str">
            <v>INTERIOR</v>
          </cell>
          <cell r="S905">
            <v>5</v>
          </cell>
          <cell r="T905">
            <v>9</v>
          </cell>
          <cell r="U905" t="str">
            <v>Otras</v>
          </cell>
          <cell r="V905" t="str">
            <v>Departmental Digital</v>
          </cell>
          <cell r="W905" t="str">
            <v>ESTADO DE MEXICO</v>
          </cell>
          <cell r="X905">
            <v>2019</v>
          </cell>
          <cell r="Y905" t="str">
            <v>Qtr 2</v>
          </cell>
          <cell r="Z905" t="str">
            <v>April</v>
          </cell>
          <cell r="AA905">
            <v>22</v>
          </cell>
          <cell r="AB905">
            <v>0</v>
          </cell>
          <cell r="AC905">
            <v>46</v>
          </cell>
          <cell r="AD905">
            <v>1.05</v>
          </cell>
          <cell r="AE905">
            <v>9.8148144444444405E-2</v>
          </cell>
          <cell r="AF905">
            <v>1433.25</v>
          </cell>
        </row>
        <row r="906">
          <cell r="B906" t="str">
            <v>09HB331488</v>
          </cell>
          <cell r="C906">
            <v>2019</v>
          </cell>
          <cell r="D906" t="str">
            <v>Qtr 2</v>
          </cell>
          <cell r="E906" t="str">
            <v>April</v>
          </cell>
          <cell r="F906">
            <v>22</v>
          </cell>
          <cell r="G906" t="str">
            <v>MANTENIMIENTO PREVENTIVO</v>
          </cell>
          <cell r="H906">
            <v>0</v>
          </cell>
          <cell r="J906" t="str">
            <v>NA</v>
          </cell>
          <cell r="K906" t="str">
            <v>NA</v>
          </cell>
          <cell r="L906" t="str">
            <v>NA</v>
          </cell>
          <cell r="M906" t="str">
            <v>NA</v>
          </cell>
          <cell r="N906" t="str">
            <v>NA</v>
          </cell>
          <cell r="O906" t="str">
            <v>NA</v>
          </cell>
          <cell r="P906" t="str">
            <v>NA</v>
          </cell>
          <cell r="Q906" t="str">
            <v>NA</v>
          </cell>
          <cell r="S906" t="str">
            <v>NA</v>
          </cell>
          <cell r="T906" t="str">
            <v>NA</v>
          </cell>
          <cell r="V906" t="str">
            <v>A4 Mono MFPs</v>
          </cell>
          <cell r="W906" t="str">
            <v>JALISCO</v>
          </cell>
          <cell r="X906">
            <v>2019</v>
          </cell>
          <cell r="Y906" t="str">
            <v>Qtr 2</v>
          </cell>
          <cell r="Z906" t="str">
            <v>April</v>
          </cell>
          <cell r="AA906">
            <v>22</v>
          </cell>
          <cell r="AB906" t="str">
            <v>NA</v>
          </cell>
          <cell r="AC906">
            <v>20</v>
          </cell>
          <cell r="AD906">
            <v>0</v>
          </cell>
          <cell r="AE906">
            <v>0</v>
          </cell>
          <cell r="AF906">
            <v>0</v>
          </cell>
        </row>
        <row r="907">
          <cell r="B907" t="str">
            <v>0BG2947501</v>
          </cell>
          <cell r="C907">
            <v>2019</v>
          </cell>
          <cell r="D907" t="str">
            <v>Qtr 2</v>
          </cell>
          <cell r="E907" t="str">
            <v>April</v>
          </cell>
          <cell r="F907">
            <v>22</v>
          </cell>
          <cell r="G907" t="str">
            <v>CORRECTIVO</v>
          </cell>
          <cell r="H907">
            <v>3.8833329999999999</v>
          </cell>
          <cell r="I907" t="str">
            <v>Light Production Digital Business</v>
          </cell>
          <cell r="J907">
            <v>803</v>
          </cell>
          <cell r="K907">
            <v>1573</v>
          </cell>
          <cell r="L907">
            <v>0.2</v>
          </cell>
          <cell r="M907">
            <v>0.6</v>
          </cell>
          <cell r="N907">
            <v>0.8</v>
          </cell>
          <cell r="O907">
            <v>1.05</v>
          </cell>
          <cell r="P907">
            <v>1.1000000000000001</v>
          </cell>
          <cell r="Q907">
            <v>1.1499999999999999</v>
          </cell>
          <cell r="R907" t="str">
            <v>INTERIOR</v>
          </cell>
          <cell r="S907">
            <v>4</v>
          </cell>
          <cell r="T907">
            <v>6</v>
          </cell>
          <cell r="U907" t="str">
            <v>Ciudad principal</v>
          </cell>
          <cell r="V907" t="str">
            <v>High End Cut Sheet</v>
          </cell>
          <cell r="W907" t="str">
            <v>MICHOACAN</v>
          </cell>
          <cell r="X907">
            <v>2019</v>
          </cell>
          <cell r="Y907" t="str">
            <v>Qtr 2</v>
          </cell>
          <cell r="Z907" t="str">
            <v>April</v>
          </cell>
          <cell r="AA907">
            <v>26</v>
          </cell>
          <cell r="AB907">
            <v>0</v>
          </cell>
          <cell r="AC907">
            <v>48</v>
          </cell>
          <cell r="AD907">
            <v>1.1000000000000001</v>
          </cell>
          <cell r="AE907">
            <v>0.97083324999999998</v>
          </cell>
          <cell r="AF907">
            <v>1730.3</v>
          </cell>
        </row>
        <row r="908">
          <cell r="B908" t="str">
            <v>0XLT280687</v>
          </cell>
          <cell r="C908">
            <v>2019</v>
          </cell>
          <cell r="D908" t="str">
            <v>Qtr 2</v>
          </cell>
          <cell r="E908" t="str">
            <v>April</v>
          </cell>
          <cell r="F908">
            <v>22</v>
          </cell>
          <cell r="G908" t="str">
            <v>MANTENIMIENTO PREVENTIVO</v>
          </cell>
          <cell r="H908">
            <v>0</v>
          </cell>
          <cell r="J908" t="str">
            <v>NA</v>
          </cell>
          <cell r="K908" t="str">
            <v>NA</v>
          </cell>
          <cell r="L908" t="str">
            <v>NA</v>
          </cell>
          <cell r="M908" t="str">
            <v>NA</v>
          </cell>
          <cell r="N908" t="str">
            <v>NA</v>
          </cell>
          <cell r="O908" t="str">
            <v>NA</v>
          </cell>
          <cell r="P908" t="str">
            <v>NA</v>
          </cell>
          <cell r="Q908" t="str">
            <v>NA</v>
          </cell>
          <cell r="S908" t="str">
            <v>NA</v>
          </cell>
          <cell r="T908" t="str">
            <v>NA</v>
          </cell>
          <cell r="V908" t="str">
            <v>Entry Mono Printers</v>
          </cell>
          <cell r="W908" t="str">
            <v>CHIHUAHUA</v>
          </cell>
          <cell r="X908">
            <v>2019</v>
          </cell>
          <cell r="Y908" t="str">
            <v>Qtr 2</v>
          </cell>
          <cell r="Z908" t="str">
            <v>April</v>
          </cell>
          <cell r="AA908">
            <v>22</v>
          </cell>
          <cell r="AB908" t="str">
            <v>NA</v>
          </cell>
          <cell r="AC908">
            <v>175</v>
          </cell>
          <cell r="AD908">
            <v>0</v>
          </cell>
          <cell r="AE908">
            <v>0</v>
          </cell>
          <cell r="AF908">
            <v>0</v>
          </cell>
        </row>
        <row r="909">
          <cell r="B909" t="str">
            <v>09HB331381</v>
          </cell>
          <cell r="C909">
            <v>2019</v>
          </cell>
          <cell r="D909" t="str">
            <v>Qtr 2</v>
          </cell>
          <cell r="E909" t="str">
            <v>April</v>
          </cell>
          <cell r="F909">
            <v>22</v>
          </cell>
          <cell r="G909" t="str">
            <v>MANTENIMIENTO PREVENTIVO</v>
          </cell>
          <cell r="H909">
            <v>0</v>
          </cell>
          <cell r="I909" t="str">
            <v>A4 Mono MFPs</v>
          </cell>
          <cell r="J909">
            <v>468</v>
          </cell>
          <cell r="K909">
            <v>715</v>
          </cell>
          <cell r="L909">
            <v>0</v>
          </cell>
          <cell r="M909">
            <v>0</v>
          </cell>
          <cell r="N909">
            <v>0</v>
          </cell>
          <cell r="O909">
            <v>0.6</v>
          </cell>
          <cell r="P909">
            <v>0.8</v>
          </cell>
          <cell r="Q909">
            <v>1.05</v>
          </cell>
          <cell r="R909" t="str">
            <v>INTERIOR</v>
          </cell>
          <cell r="S909">
            <v>5</v>
          </cell>
          <cell r="T909">
            <v>9</v>
          </cell>
          <cell r="U909" t="str">
            <v>Ciudad principal</v>
          </cell>
          <cell r="V909" t="str">
            <v>A4 Mono MFPs</v>
          </cell>
          <cell r="W909" t="str">
            <v>JALISCO</v>
          </cell>
          <cell r="X909">
            <v>2019</v>
          </cell>
          <cell r="Y909" t="str">
            <v>Qtr 2</v>
          </cell>
          <cell r="Z909" t="str">
            <v>April</v>
          </cell>
          <cell r="AA909">
            <v>22</v>
          </cell>
          <cell r="AB909">
            <v>1</v>
          </cell>
          <cell r="AC909">
            <v>138</v>
          </cell>
          <cell r="AD909">
            <v>0</v>
          </cell>
          <cell r="AE909">
            <v>0</v>
          </cell>
          <cell r="AF909">
            <v>0</v>
          </cell>
        </row>
        <row r="910">
          <cell r="B910" t="str">
            <v>0X76371386</v>
          </cell>
          <cell r="C910">
            <v>2019</v>
          </cell>
          <cell r="D910" t="str">
            <v>Qtr 2</v>
          </cell>
          <cell r="E910" t="str">
            <v>April</v>
          </cell>
          <cell r="F910">
            <v>22</v>
          </cell>
          <cell r="G910" t="str">
            <v>CORRECTIVO</v>
          </cell>
          <cell r="H910">
            <v>1.35</v>
          </cell>
          <cell r="I910" t="str">
            <v>Departmental Digital</v>
          </cell>
          <cell r="J910">
            <v>655</v>
          </cell>
          <cell r="K910">
            <v>1365</v>
          </cell>
          <cell r="L910">
            <v>0</v>
          </cell>
          <cell r="M910">
            <v>0</v>
          </cell>
          <cell r="N910">
            <v>0.6</v>
          </cell>
          <cell r="O910">
            <v>0.8</v>
          </cell>
          <cell r="P910">
            <v>1.05</v>
          </cell>
          <cell r="Q910">
            <v>1.1000000000000001</v>
          </cell>
          <cell r="R910" t="str">
            <v>INTERIOR</v>
          </cell>
          <cell r="S910">
            <v>5</v>
          </cell>
          <cell r="T910">
            <v>9</v>
          </cell>
          <cell r="U910" t="str">
            <v>Ciudad principal</v>
          </cell>
          <cell r="V910" t="str">
            <v>Departmental Digital</v>
          </cell>
          <cell r="W910" t="str">
            <v>NUEVO LEON</v>
          </cell>
          <cell r="X910">
            <v>2019</v>
          </cell>
          <cell r="Y910" t="str">
            <v>Qtr 2</v>
          </cell>
          <cell r="Z910" t="str">
            <v>April</v>
          </cell>
          <cell r="AA910">
            <v>22</v>
          </cell>
          <cell r="AB910">
            <v>0</v>
          </cell>
          <cell r="AC910">
            <v>59</v>
          </cell>
          <cell r="AD910">
            <v>1.05</v>
          </cell>
          <cell r="AE910">
            <v>0.27</v>
          </cell>
          <cell r="AF910">
            <v>1433.25</v>
          </cell>
        </row>
        <row r="911">
          <cell r="B911" t="str">
            <v>0C7X238362</v>
          </cell>
          <cell r="C911">
            <v>2019</v>
          </cell>
          <cell r="D911" t="str">
            <v>Qtr 2</v>
          </cell>
          <cell r="E911" t="str">
            <v>April</v>
          </cell>
          <cell r="F911">
            <v>22</v>
          </cell>
          <cell r="G911" t="str">
            <v>CORRECTIVO</v>
          </cell>
          <cell r="H911">
            <v>4.7833329999999998</v>
          </cell>
          <cell r="I911" t="str">
            <v>A4 Mono MFPs</v>
          </cell>
          <cell r="J911">
            <v>468</v>
          </cell>
          <cell r="K911">
            <v>715</v>
          </cell>
          <cell r="L911">
            <v>0</v>
          </cell>
          <cell r="M911">
            <v>0</v>
          </cell>
          <cell r="N911">
            <v>0</v>
          </cell>
          <cell r="O911">
            <v>0.6</v>
          </cell>
          <cell r="P911">
            <v>0.8</v>
          </cell>
          <cell r="Q911">
            <v>1.05</v>
          </cell>
          <cell r="R911" t="str">
            <v>INTERIOR</v>
          </cell>
          <cell r="S911">
            <v>5</v>
          </cell>
          <cell r="T911">
            <v>9</v>
          </cell>
          <cell r="U911" t="str">
            <v>Ciudad principal</v>
          </cell>
          <cell r="V911" t="str">
            <v>A4 Mono MFPs</v>
          </cell>
          <cell r="W911" t="str">
            <v>JALISCO</v>
          </cell>
          <cell r="X911">
            <v>2019</v>
          </cell>
          <cell r="Y911" t="str">
            <v>Qtr 2</v>
          </cell>
          <cell r="Z911" t="str">
            <v>April</v>
          </cell>
          <cell r="AA911">
            <v>24</v>
          </cell>
          <cell r="AB911">
            <v>0</v>
          </cell>
          <cell r="AC911">
            <v>81</v>
          </cell>
          <cell r="AD911">
            <v>1.05</v>
          </cell>
          <cell r="AE911">
            <v>0.95666660000000003</v>
          </cell>
          <cell r="AF911">
            <v>750.75</v>
          </cell>
        </row>
        <row r="912">
          <cell r="B912" t="str">
            <v>0XL3583788</v>
          </cell>
          <cell r="C912">
            <v>2019</v>
          </cell>
          <cell r="D912" t="str">
            <v>Qtr 2</v>
          </cell>
          <cell r="E912" t="str">
            <v>April</v>
          </cell>
          <cell r="F912">
            <v>22</v>
          </cell>
          <cell r="G912" t="str">
            <v>CORRECTIVO</v>
          </cell>
          <cell r="H912">
            <v>1.183333</v>
          </cell>
          <cell r="I912" t="str">
            <v>A4 Color Laser MFPs</v>
          </cell>
          <cell r="J912">
            <v>468</v>
          </cell>
          <cell r="K912">
            <v>715</v>
          </cell>
          <cell r="L912">
            <v>0</v>
          </cell>
          <cell r="M912">
            <v>0</v>
          </cell>
          <cell r="N912">
            <v>0</v>
          </cell>
          <cell r="O912">
            <v>0.6</v>
          </cell>
          <cell r="P912">
            <v>0.8</v>
          </cell>
          <cell r="Q912">
            <v>1.05</v>
          </cell>
          <cell r="R912" t="str">
            <v>INTERIOR</v>
          </cell>
          <cell r="S912">
            <v>5</v>
          </cell>
          <cell r="T912">
            <v>9</v>
          </cell>
          <cell r="U912" t="str">
            <v>Ciudad principal</v>
          </cell>
          <cell r="V912" t="str">
            <v>A4 Mono MFPs</v>
          </cell>
          <cell r="W912" t="str">
            <v>CHIHUAHUA</v>
          </cell>
          <cell r="X912">
            <v>2019</v>
          </cell>
          <cell r="Y912" t="str">
            <v>Qtr 2</v>
          </cell>
          <cell r="Z912" t="str">
            <v>April</v>
          </cell>
          <cell r="AA912">
            <v>25</v>
          </cell>
          <cell r="AB912">
            <v>0</v>
          </cell>
          <cell r="AC912">
            <v>357</v>
          </cell>
          <cell r="AD912">
            <v>1.05</v>
          </cell>
          <cell r="AE912">
            <v>0.2366666</v>
          </cell>
          <cell r="AF912">
            <v>750.75</v>
          </cell>
        </row>
        <row r="913">
          <cell r="B913" t="str">
            <v>09HB331956</v>
          </cell>
          <cell r="C913">
            <v>2019</v>
          </cell>
          <cell r="D913" t="str">
            <v>Qtr 2</v>
          </cell>
          <cell r="E913" t="str">
            <v>April</v>
          </cell>
          <cell r="F913">
            <v>22</v>
          </cell>
          <cell r="G913" t="str">
            <v>MANTENIMIENTO PREVENTIVO</v>
          </cell>
          <cell r="H913">
            <v>0</v>
          </cell>
          <cell r="I913" t="str">
            <v>A4 Mono MFPs</v>
          </cell>
          <cell r="J913">
            <v>468</v>
          </cell>
          <cell r="K913">
            <v>715</v>
          </cell>
          <cell r="L913">
            <v>0</v>
          </cell>
          <cell r="M913">
            <v>0</v>
          </cell>
          <cell r="N913">
            <v>0</v>
          </cell>
          <cell r="O913">
            <v>0.6</v>
          </cell>
          <cell r="P913">
            <v>0.8</v>
          </cell>
          <cell r="Q913">
            <v>1.05</v>
          </cell>
          <cell r="R913" t="str">
            <v>INTERIOR</v>
          </cell>
          <cell r="S913">
            <v>5</v>
          </cell>
          <cell r="T913">
            <v>9</v>
          </cell>
          <cell r="U913" t="str">
            <v>Ciudad principal</v>
          </cell>
          <cell r="V913" t="str">
            <v>A4 Mono MFPs</v>
          </cell>
          <cell r="W913" t="str">
            <v>JALISCO</v>
          </cell>
          <cell r="X913">
            <v>2019</v>
          </cell>
          <cell r="Y913" t="str">
            <v>Qtr 2</v>
          </cell>
          <cell r="Z913" t="str">
            <v>April</v>
          </cell>
          <cell r="AA913">
            <v>22</v>
          </cell>
          <cell r="AB913">
            <v>1</v>
          </cell>
          <cell r="AC913">
            <v>14</v>
          </cell>
          <cell r="AD913">
            <v>0</v>
          </cell>
          <cell r="AE913">
            <v>0</v>
          </cell>
          <cell r="AF913">
            <v>0</v>
          </cell>
        </row>
        <row r="914">
          <cell r="B914" t="str">
            <v>0BB1564131</v>
          </cell>
          <cell r="C914">
            <v>2019</v>
          </cell>
          <cell r="D914" t="str">
            <v>Qtr 2</v>
          </cell>
          <cell r="E914" t="str">
            <v>April</v>
          </cell>
          <cell r="F914">
            <v>22</v>
          </cell>
          <cell r="G914" t="str">
            <v>CORRECTIVO</v>
          </cell>
          <cell r="H914">
            <v>2.233333</v>
          </cell>
          <cell r="I914" t="str">
            <v>A4 Mono MFPs</v>
          </cell>
          <cell r="J914">
            <v>468</v>
          </cell>
          <cell r="K914">
            <v>715</v>
          </cell>
          <cell r="L914">
            <v>0</v>
          </cell>
          <cell r="M914">
            <v>0</v>
          </cell>
          <cell r="N914">
            <v>0</v>
          </cell>
          <cell r="O914">
            <v>0.6</v>
          </cell>
          <cell r="P914">
            <v>0.8</v>
          </cell>
          <cell r="Q914">
            <v>1.05</v>
          </cell>
          <cell r="R914" t="str">
            <v>INTERIOR</v>
          </cell>
          <cell r="S914">
            <v>5</v>
          </cell>
          <cell r="T914">
            <v>9</v>
          </cell>
          <cell r="U914" t="str">
            <v>Ciudad principal</v>
          </cell>
          <cell r="V914" t="str">
            <v>A4 Mono MFPs</v>
          </cell>
          <cell r="W914" t="str">
            <v>GUANAJUATO</v>
          </cell>
          <cell r="X914">
            <v>2019</v>
          </cell>
          <cell r="Y914" t="str">
            <v>Qtr 2</v>
          </cell>
          <cell r="Z914" t="str">
            <v>April</v>
          </cell>
          <cell r="AA914">
            <v>26</v>
          </cell>
          <cell r="AB914">
            <v>0</v>
          </cell>
          <cell r="AC914">
            <v>129</v>
          </cell>
          <cell r="AD914">
            <v>1.05</v>
          </cell>
          <cell r="AE914">
            <v>0.44666660000000002</v>
          </cell>
          <cell r="AF914">
            <v>750.75</v>
          </cell>
        </row>
        <row r="915">
          <cell r="B915" t="str">
            <v>0EX9293145</v>
          </cell>
          <cell r="C915">
            <v>2019</v>
          </cell>
          <cell r="D915" t="str">
            <v>Qtr 2</v>
          </cell>
          <cell r="E915" t="str">
            <v>April</v>
          </cell>
          <cell r="F915">
            <v>22</v>
          </cell>
          <cell r="G915" t="str">
            <v>CORRECTIVO</v>
          </cell>
          <cell r="H915">
            <v>1.183333</v>
          </cell>
          <cell r="I915" t="str">
            <v>Departmental Digital</v>
          </cell>
          <cell r="J915">
            <v>655</v>
          </cell>
          <cell r="K915">
            <v>1365</v>
          </cell>
          <cell r="L915">
            <v>0</v>
          </cell>
          <cell r="M915">
            <v>0</v>
          </cell>
          <cell r="N915">
            <v>0.6</v>
          </cell>
          <cell r="O915">
            <v>0.8</v>
          </cell>
          <cell r="P915">
            <v>1.05</v>
          </cell>
          <cell r="Q915">
            <v>1.1000000000000001</v>
          </cell>
          <cell r="R915" t="str">
            <v>INTERIOR</v>
          </cell>
          <cell r="S915">
            <v>5</v>
          </cell>
          <cell r="T915">
            <v>9</v>
          </cell>
          <cell r="U915" t="str">
            <v>Ciudad principal</v>
          </cell>
          <cell r="V915" t="str">
            <v>Departmental Digital</v>
          </cell>
          <cell r="W915" t="str">
            <v>JALISCO</v>
          </cell>
          <cell r="X915">
            <v>2019</v>
          </cell>
          <cell r="Y915" t="str">
            <v>Qtr 2</v>
          </cell>
          <cell r="Z915" t="str">
            <v>April</v>
          </cell>
          <cell r="AA915">
            <v>22</v>
          </cell>
          <cell r="AB915">
            <v>0</v>
          </cell>
          <cell r="AC915">
            <v>18</v>
          </cell>
          <cell r="AD915">
            <v>0.8</v>
          </cell>
          <cell r="AE915">
            <v>0.2366666</v>
          </cell>
          <cell r="AF915">
            <v>1092</v>
          </cell>
        </row>
        <row r="916">
          <cell r="B916" t="str">
            <v>06TB445797</v>
          </cell>
          <cell r="C916">
            <v>2019</v>
          </cell>
          <cell r="D916" t="str">
            <v>Qtr 2</v>
          </cell>
          <cell r="E916" t="str">
            <v>April</v>
          </cell>
          <cell r="F916">
            <v>22</v>
          </cell>
          <cell r="G916" t="str">
            <v>MANTENIMIENTO PREVENTIVO</v>
          </cell>
          <cell r="H916">
            <v>0</v>
          </cell>
          <cell r="I916" t="str">
            <v>A3 Office Color Laser MFPs</v>
          </cell>
          <cell r="J916">
            <v>655</v>
          </cell>
          <cell r="K916">
            <v>1365</v>
          </cell>
          <cell r="L916">
            <v>0</v>
          </cell>
          <cell r="M916">
            <v>0</v>
          </cell>
          <cell r="N916">
            <v>0.6</v>
          </cell>
          <cell r="O916">
            <v>0.8</v>
          </cell>
          <cell r="P916">
            <v>1.05</v>
          </cell>
          <cell r="Q916">
            <v>1.1000000000000001</v>
          </cell>
          <cell r="R916" t="str">
            <v>INTERIOR</v>
          </cell>
          <cell r="S916">
            <v>5</v>
          </cell>
          <cell r="T916">
            <v>9</v>
          </cell>
          <cell r="U916" t="str">
            <v>Ciudad principal</v>
          </cell>
          <cell r="V916" t="str">
            <v>A3 Office Color Laser MFPs</v>
          </cell>
          <cell r="W916" t="str">
            <v>JALISCO</v>
          </cell>
          <cell r="X916">
            <v>2019</v>
          </cell>
          <cell r="Y916" t="str">
            <v>Qtr 2</v>
          </cell>
          <cell r="Z916" t="str">
            <v>April</v>
          </cell>
          <cell r="AA916">
            <v>26</v>
          </cell>
          <cell r="AB916">
            <v>0</v>
          </cell>
          <cell r="AC916">
            <v>11</v>
          </cell>
          <cell r="AD916">
            <v>0</v>
          </cell>
          <cell r="AE916">
            <v>0</v>
          </cell>
          <cell r="AF916">
            <v>1365</v>
          </cell>
        </row>
        <row r="917">
          <cell r="B917" t="str">
            <v>09HB331981</v>
          </cell>
          <cell r="C917">
            <v>2019</v>
          </cell>
          <cell r="D917" t="str">
            <v>Qtr 2</v>
          </cell>
          <cell r="E917" t="str">
            <v>April</v>
          </cell>
          <cell r="F917">
            <v>22</v>
          </cell>
          <cell r="G917" t="str">
            <v>MANTENIMIENTO PREVENTIVO</v>
          </cell>
          <cell r="H917">
            <v>0</v>
          </cell>
          <cell r="J917" t="str">
            <v>NA</v>
          </cell>
          <cell r="K917" t="str">
            <v>NA</v>
          </cell>
          <cell r="L917" t="str">
            <v>NA</v>
          </cell>
          <cell r="M917" t="str">
            <v>NA</v>
          </cell>
          <cell r="N917" t="str">
            <v>NA</v>
          </cell>
          <cell r="O917" t="str">
            <v>NA</v>
          </cell>
          <cell r="P917" t="str">
            <v>NA</v>
          </cell>
          <cell r="Q917" t="str">
            <v>NA</v>
          </cell>
          <cell r="S917" t="str">
            <v>NA</v>
          </cell>
          <cell r="T917" t="str">
            <v>NA</v>
          </cell>
          <cell r="V917" t="str">
            <v>A4 Mono MFPs</v>
          </cell>
          <cell r="W917" t="str">
            <v>JALISCO</v>
          </cell>
          <cell r="X917">
            <v>2019</v>
          </cell>
          <cell r="Y917" t="str">
            <v>Qtr 2</v>
          </cell>
          <cell r="Z917" t="str">
            <v>April</v>
          </cell>
          <cell r="AA917">
            <v>24</v>
          </cell>
          <cell r="AB917" t="str">
            <v>NA</v>
          </cell>
          <cell r="AC917">
            <v>17</v>
          </cell>
          <cell r="AD917">
            <v>0</v>
          </cell>
          <cell r="AE917">
            <v>0</v>
          </cell>
          <cell r="AF917">
            <v>0</v>
          </cell>
        </row>
        <row r="918">
          <cell r="B918" t="str">
            <v>09HB332016</v>
          </cell>
          <cell r="C918">
            <v>2019</v>
          </cell>
          <cell r="D918" t="str">
            <v>Qtr 2</v>
          </cell>
          <cell r="E918" t="str">
            <v>April</v>
          </cell>
          <cell r="F918">
            <v>22</v>
          </cell>
          <cell r="G918" t="str">
            <v>MANTENIMIENTO PREVENTIVO</v>
          </cell>
          <cell r="H918">
            <v>0</v>
          </cell>
          <cell r="J918" t="str">
            <v>NA</v>
          </cell>
          <cell r="K918" t="str">
            <v>NA</v>
          </cell>
          <cell r="L918" t="str">
            <v>NA</v>
          </cell>
          <cell r="M918" t="str">
            <v>NA</v>
          </cell>
          <cell r="N918" t="str">
            <v>NA</v>
          </cell>
          <cell r="O918" t="str">
            <v>NA</v>
          </cell>
          <cell r="P918" t="str">
            <v>NA</v>
          </cell>
          <cell r="Q918" t="str">
            <v>NA</v>
          </cell>
          <cell r="S918" t="str">
            <v>NA</v>
          </cell>
          <cell r="T918" t="str">
            <v>NA</v>
          </cell>
          <cell r="V918" t="str">
            <v>A4 Mono MFPs</v>
          </cell>
          <cell r="W918" t="str">
            <v>JALISCO</v>
          </cell>
          <cell r="X918">
            <v>2019</v>
          </cell>
          <cell r="Y918" t="str">
            <v>Qtr 2</v>
          </cell>
          <cell r="Z918" t="str">
            <v>April</v>
          </cell>
          <cell r="AA918">
            <v>30</v>
          </cell>
          <cell r="AB918" t="str">
            <v>NA</v>
          </cell>
          <cell r="AC918">
            <v>45</v>
          </cell>
          <cell r="AD918">
            <v>0</v>
          </cell>
          <cell r="AE918">
            <v>0</v>
          </cell>
          <cell r="AF918">
            <v>0</v>
          </cell>
        </row>
        <row r="919">
          <cell r="B919" t="str">
            <v>09HB331790</v>
          </cell>
          <cell r="C919">
            <v>2019</v>
          </cell>
          <cell r="D919" t="str">
            <v>Qtr 2</v>
          </cell>
          <cell r="E919" t="str">
            <v>April</v>
          </cell>
          <cell r="F919">
            <v>22</v>
          </cell>
          <cell r="G919" t="str">
            <v>MANTENIMIENTO PREVENTIVO</v>
          </cell>
          <cell r="H919">
            <v>0</v>
          </cell>
          <cell r="I919" t="str">
            <v>A4 Mono MFPs</v>
          </cell>
          <cell r="J919">
            <v>468</v>
          </cell>
          <cell r="K919">
            <v>715</v>
          </cell>
          <cell r="L919">
            <v>0</v>
          </cell>
          <cell r="M919">
            <v>0</v>
          </cell>
          <cell r="N919">
            <v>0</v>
          </cell>
          <cell r="O919">
            <v>0.6</v>
          </cell>
          <cell r="P919">
            <v>0.8</v>
          </cell>
          <cell r="Q919">
            <v>1.05</v>
          </cell>
          <cell r="R919" t="str">
            <v>INTERIOR</v>
          </cell>
          <cell r="S919">
            <v>5</v>
          </cell>
          <cell r="T919">
            <v>9</v>
          </cell>
          <cell r="U919" t="str">
            <v>Ciudad principal</v>
          </cell>
          <cell r="V919" t="str">
            <v>A4 Mono MFPs</v>
          </cell>
          <cell r="W919" t="str">
            <v>JALISCO</v>
          </cell>
          <cell r="X919">
            <v>2019</v>
          </cell>
          <cell r="Y919" t="str">
            <v>Qtr 2</v>
          </cell>
          <cell r="Z919" t="str">
            <v>April</v>
          </cell>
          <cell r="AA919">
            <v>23</v>
          </cell>
          <cell r="AB919">
            <v>1</v>
          </cell>
          <cell r="AC919">
            <v>11</v>
          </cell>
          <cell r="AD919">
            <v>0</v>
          </cell>
          <cell r="AE919">
            <v>0</v>
          </cell>
          <cell r="AF919">
            <v>0</v>
          </cell>
        </row>
        <row r="920">
          <cell r="B920" t="str">
            <v>09HB331785</v>
          </cell>
          <cell r="C920">
            <v>2019</v>
          </cell>
          <cell r="D920" t="str">
            <v>Qtr 2</v>
          </cell>
          <cell r="E920" t="str">
            <v>April</v>
          </cell>
          <cell r="F920">
            <v>22</v>
          </cell>
          <cell r="G920" t="str">
            <v>MANTENIMIENTO PREVENTIVO</v>
          </cell>
          <cell r="H920">
            <v>0</v>
          </cell>
          <cell r="I920" t="str">
            <v>A4 Mono MFPs</v>
          </cell>
          <cell r="J920">
            <v>468</v>
          </cell>
          <cell r="K920">
            <v>715</v>
          </cell>
          <cell r="L920">
            <v>0</v>
          </cell>
          <cell r="M920">
            <v>0</v>
          </cell>
          <cell r="N920">
            <v>0</v>
          </cell>
          <cell r="O920">
            <v>0.6</v>
          </cell>
          <cell r="P920">
            <v>0.8</v>
          </cell>
          <cell r="Q920">
            <v>1.05</v>
          </cell>
          <cell r="R920" t="str">
            <v>INTERIOR</v>
          </cell>
          <cell r="S920">
            <v>5</v>
          </cell>
          <cell r="T920">
            <v>9</v>
          </cell>
          <cell r="U920" t="str">
            <v>Ciudad principal</v>
          </cell>
          <cell r="V920" t="str">
            <v>A4 Mono MFPs</v>
          </cell>
          <cell r="W920" t="str">
            <v>JALISCO</v>
          </cell>
          <cell r="X920">
            <v>2019</v>
          </cell>
          <cell r="Y920" t="str">
            <v>Qtr 2</v>
          </cell>
          <cell r="Z920" t="str">
            <v>April</v>
          </cell>
          <cell r="AA920">
            <v>24</v>
          </cell>
          <cell r="AB920">
            <v>1</v>
          </cell>
          <cell r="AC920">
            <v>27</v>
          </cell>
          <cell r="AD920">
            <v>0</v>
          </cell>
          <cell r="AE920">
            <v>0</v>
          </cell>
          <cell r="AF920">
            <v>0</v>
          </cell>
        </row>
        <row r="921">
          <cell r="B921" t="str">
            <v>0Y4X848801</v>
          </cell>
          <cell r="C921">
            <v>2019</v>
          </cell>
          <cell r="D921" t="str">
            <v>Qtr 2</v>
          </cell>
          <cell r="E921" t="str">
            <v>April</v>
          </cell>
          <cell r="F921">
            <v>22</v>
          </cell>
          <cell r="G921" t="str">
            <v>MANTENIMIENTO PREVENTIVO</v>
          </cell>
          <cell r="H921">
            <v>0</v>
          </cell>
          <cell r="I921" t="str">
            <v>Office Digital</v>
          </cell>
          <cell r="J921">
            <v>655</v>
          </cell>
          <cell r="K921">
            <v>1365</v>
          </cell>
          <cell r="L921">
            <v>0</v>
          </cell>
          <cell r="M921">
            <v>0</v>
          </cell>
          <cell r="N921">
            <v>0.6</v>
          </cell>
          <cell r="O921">
            <v>0.8</v>
          </cell>
          <cell r="P921">
            <v>1.05</v>
          </cell>
          <cell r="Q921">
            <v>1.1000000000000001</v>
          </cell>
          <cell r="R921" t="str">
            <v>INTERIOR</v>
          </cell>
          <cell r="S921">
            <v>5</v>
          </cell>
          <cell r="T921">
            <v>9</v>
          </cell>
          <cell r="U921" t="str">
            <v>Ciudad principal</v>
          </cell>
          <cell r="V921" t="str">
            <v>Light Production Digital Business</v>
          </cell>
          <cell r="W921" t="str">
            <v>JALISCO</v>
          </cell>
          <cell r="X921">
            <v>2019</v>
          </cell>
          <cell r="Y921" t="str">
            <v>Qtr 2</v>
          </cell>
          <cell r="Z921" t="str">
            <v>April</v>
          </cell>
          <cell r="AA921">
            <v>23</v>
          </cell>
          <cell r="AB921">
            <v>1</v>
          </cell>
          <cell r="AC921">
            <v>126</v>
          </cell>
          <cell r="AD921">
            <v>0</v>
          </cell>
          <cell r="AE921">
            <v>0</v>
          </cell>
          <cell r="AF921">
            <v>0</v>
          </cell>
        </row>
        <row r="922">
          <cell r="B922" t="str">
            <v>06TB445795</v>
          </cell>
          <cell r="C922">
            <v>2019</v>
          </cell>
          <cell r="D922" t="str">
            <v>Qtr 2</v>
          </cell>
          <cell r="E922" t="str">
            <v>April</v>
          </cell>
          <cell r="F922">
            <v>22</v>
          </cell>
          <cell r="G922" t="str">
            <v>MANTENIMIENTO PREVENTIVO</v>
          </cell>
          <cell r="H922">
            <v>0</v>
          </cell>
          <cell r="I922" t="str">
            <v>A3 Office Color Laser MFPs</v>
          </cell>
          <cell r="J922">
            <v>655</v>
          </cell>
          <cell r="K922">
            <v>1365</v>
          </cell>
          <cell r="L922">
            <v>0</v>
          </cell>
          <cell r="M922">
            <v>0</v>
          </cell>
          <cell r="N922">
            <v>0.6</v>
          </cell>
          <cell r="O922">
            <v>0.8</v>
          </cell>
          <cell r="P922">
            <v>1.05</v>
          </cell>
          <cell r="Q922">
            <v>1.1000000000000001</v>
          </cell>
          <cell r="R922" t="str">
            <v>INTERIOR</v>
          </cell>
          <cell r="S922">
            <v>5</v>
          </cell>
          <cell r="T922">
            <v>9</v>
          </cell>
          <cell r="U922" t="str">
            <v>Ciudad principal</v>
          </cell>
          <cell r="V922" t="str">
            <v>A3 Office Color Laser MFPs</v>
          </cell>
          <cell r="W922" t="str">
            <v>JALISCO</v>
          </cell>
          <cell r="X922">
            <v>2019</v>
          </cell>
          <cell r="Y922" t="str">
            <v>Qtr 2</v>
          </cell>
          <cell r="Z922" t="str">
            <v>April</v>
          </cell>
          <cell r="AA922">
            <v>26</v>
          </cell>
          <cell r="AB922">
            <v>0</v>
          </cell>
          <cell r="AC922">
            <v>14</v>
          </cell>
          <cell r="AD922">
            <v>0</v>
          </cell>
          <cell r="AE922">
            <v>0</v>
          </cell>
          <cell r="AF922">
            <v>1365</v>
          </cell>
        </row>
        <row r="923">
          <cell r="B923" t="str">
            <v>07CX043423</v>
          </cell>
          <cell r="C923">
            <v>2019</v>
          </cell>
          <cell r="D923" t="str">
            <v>Qtr 2</v>
          </cell>
          <cell r="E923" t="str">
            <v>April</v>
          </cell>
          <cell r="F923">
            <v>22</v>
          </cell>
          <cell r="G923" t="str">
            <v>CORRECTIVO</v>
          </cell>
          <cell r="H923">
            <v>2.95</v>
          </cell>
          <cell r="I923" t="str">
            <v>Office Digital</v>
          </cell>
          <cell r="J923">
            <v>655</v>
          </cell>
          <cell r="K923">
            <v>1365</v>
          </cell>
          <cell r="L923">
            <v>0</v>
          </cell>
          <cell r="M923">
            <v>0</v>
          </cell>
          <cell r="N923">
            <v>0.6</v>
          </cell>
          <cell r="O923">
            <v>0.8</v>
          </cell>
          <cell r="P923">
            <v>1.05</v>
          </cell>
          <cell r="Q923">
            <v>1.1000000000000001</v>
          </cell>
          <cell r="R923" t="str">
            <v>INTERIOR</v>
          </cell>
          <cell r="S923">
            <v>5</v>
          </cell>
          <cell r="T923">
            <v>9</v>
          </cell>
          <cell r="U923" t="str">
            <v>Ciudad principal</v>
          </cell>
          <cell r="V923" t="str">
            <v>A3 Office Color Laser MFPs</v>
          </cell>
          <cell r="W923" t="str">
            <v>TAMAULIPAS</v>
          </cell>
          <cell r="X923">
            <v>2019</v>
          </cell>
          <cell r="Y923" t="str">
            <v>Qtr 2</v>
          </cell>
          <cell r="Z923" t="str">
            <v>April</v>
          </cell>
          <cell r="AA923">
            <v>22</v>
          </cell>
          <cell r="AB923">
            <v>0</v>
          </cell>
          <cell r="AC923">
            <v>25</v>
          </cell>
          <cell r="AD923">
            <v>0.8</v>
          </cell>
          <cell r="AE923">
            <v>0.59</v>
          </cell>
          <cell r="AF923">
            <v>1092</v>
          </cell>
        </row>
        <row r="924">
          <cell r="B924" t="str">
            <v>0C4X006409</v>
          </cell>
          <cell r="C924">
            <v>2019</v>
          </cell>
          <cell r="D924" t="str">
            <v>Qtr 2</v>
          </cell>
          <cell r="E924" t="str">
            <v>April</v>
          </cell>
          <cell r="F924">
            <v>22</v>
          </cell>
          <cell r="G924" t="str">
            <v>CORRECTIVO</v>
          </cell>
          <cell r="H924">
            <v>1.3833329999999999</v>
          </cell>
          <cell r="I924" t="str">
            <v>A4 Mono MFPs</v>
          </cell>
          <cell r="J924">
            <v>468</v>
          </cell>
          <cell r="K924">
            <v>715</v>
          </cell>
          <cell r="L924">
            <v>0</v>
          </cell>
          <cell r="M924">
            <v>0</v>
          </cell>
          <cell r="N924">
            <v>0</v>
          </cell>
          <cell r="O924">
            <v>0.6</v>
          </cell>
          <cell r="P924">
            <v>0.8</v>
          </cell>
          <cell r="Q924">
            <v>1.05</v>
          </cell>
          <cell r="R924" t="str">
            <v>INTERIOR</v>
          </cell>
          <cell r="S924">
            <v>5</v>
          </cell>
          <cell r="T924">
            <v>9</v>
          </cell>
          <cell r="U924" t="str">
            <v>Ciudad principal</v>
          </cell>
          <cell r="V924" t="str">
            <v>A4 Mono MFPs</v>
          </cell>
          <cell r="W924" t="str">
            <v>CHIHUAHUA</v>
          </cell>
          <cell r="X924">
            <v>2019</v>
          </cell>
          <cell r="Y924" t="str">
            <v>Qtr 2</v>
          </cell>
          <cell r="Z924" t="str">
            <v>April</v>
          </cell>
          <cell r="AA924">
            <v>24</v>
          </cell>
          <cell r="AB924">
            <v>0</v>
          </cell>
          <cell r="AC924">
            <v>80</v>
          </cell>
          <cell r="AD924">
            <v>1.05</v>
          </cell>
          <cell r="AE924">
            <v>0.27666659999999998</v>
          </cell>
          <cell r="AF924">
            <v>750.75</v>
          </cell>
        </row>
        <row r="925">
          <cell r="B925" t="str">
            <v>0Y4X842481</v>
          </cell>
          <cell r="C925">
            <v>2019</v>
          </cell>
          <cell r="D925" t="str">
            <v>Qtr 2</v>
          </cell>
          <cell r="E925" t="str">
            <v>April</v>
          </cell>
          <cell r="F925">
            <v>22</v>
          </cell>
          <cell r="G925" t="str">
            <v>CORRECTIVO</v>
          </cell>
          <cell r="H925">
            <v>1.9</v>
          </cell>
          <cell r="I925" t="str">
            <v>Office Digital</v>
          </cell>
          <cell r="J925">
            <v>655</v>
          </cell>
          <cell r="K925">
            <v>1365</v>
          </cell>
          <cell r="L925">
            <v>0</v>
          </cell>
          <cell r="M925">
            <v>0</v>
          </cell>
          <cell r="N925">
            <v>0.6</v>
          </cell>
          <cell r="O925">
            <v>0.8</v>
          </cell>
          <cell r="P925">
            <v>1.05</v>
          </cell>
          <cell r="Q925">
            <v>1.1000000000000001</v>
          </cell>
          <cell r="R925" t="str">
            <v>INTERIOR</v>
          </cell>
          <cell r="S925">
            <v>5</v>
          </cell>
          <cell r="T925">
            <v>9</v>
          </cell>
          <cell r="U925" t="str">
            <v>Ciudad principal</v>
          </cell>
          <cell r="V925" t="str">
            <v>Light Production Digital Business</v>
          </cell>
          <cell r="W925" t="str">
            <v>NUEVO LEON</v>
          </cell>
          <cell r="X925">
            <v>2019</v>
          </cell>
          <cell r="Y925" t="str">
            <v>Qtr 2</v>
          </cell>
          <cell r="Z925" t="str">
            <v>April</v>
          </cell>
          <cell r="AA925">
            <v>25</v>
          </cell>
          <cell r="AB925">
            <v>0</v>
          </cell>
          <cell r="AC925">
            <v>312</v>
          </cell>
          <cell r="AD925">
            <v>1.1000000000000001</v>
          </cell>
          <cell r="AE925">
            <v>0.38</v>
          </cell>
          <cell r="AF925">
            <v>1501.5</v>
          </cell>
        </row>
        <row r="926">
          <cell r="B926" t="str">
            <v>0BG2950042</v>
          </cell>
          <cell r="C926">
            <v>2019</v>
          </cell>
          <cell r="D926" t="str">
            <v>Qtr 2</v>
          </cell>
          <cell r="E926" t="str">
            <v>April</v>
          </cell>
          <cell r="F926">
            <v>22</v>
          </cell>
          <cell r="G926" t="str">
            <v>CORRECTIVO</v>
          </cell>
          <cell r="H926">
            <v>1.4166669999999999</v>
          </cell>
          <cell r="I926" t="str">
            <v>Light Production Digital Business</v>
          </cell>
          <cell r="J926">
            <v>803</v>
          </cell>
          <cell r="K926">
            <v>1573</v>
          </cell>
          <cell r="L926">
            <v>0.2</v>
          </cell>
          <cell r="M926">
            <v>0.6</v>
          </cell>
          <cell r="N926">
            <v>0.8</v>
          </cell>
          <cell r="O926">
            <v>1.05</v>
          </cell>
          <cell r="P926">
            <v>1.1000000000000001</v>
          </cell>
          <cell r="Q926">
            <v>1.1499999999999999</v>
          </cell>
          <cell r="R926" t="str">
            <v>INTERIOR</v>
          </cell>
          <cell r="S926">
            <v>4</v>
          </cell>
          <cell r="T926">
            <v>6</v>
          </cell>
          <cell r="U926" t="str">
            <v>Ciudad principal</v>
          </cell>
          <cell r="V926" t="str">
            <v>High End Cut Sheet</v>
          </cell>
          <cell r="W926" t="str">
            <v>NUEVO LEON</v>
          </cell>
          <cell r="X926">
            <v>2019</v>
          </cell>
          <cell r="Y926" t="str">
            <v>Qtr 2</v>
          </cell>
          <cell r="Z926" t="str">
            <v>April</v>
          </cell>
          <cell r="AA926">
            <v>22</v>
          </cell>
          <cell r="AB926">
            <v>0</v>
          </cell>
          <cell r="AC926">
            <v>-1</v>
          </cell>
          <cell r="AD926">
            <v>1.1499999999999999</v>
          </cell>
          <cell r="AE926">
            <v>0.35416674999999997</v>
          </cell>
          <cell r="AF926">
            <v>1808.95</v>
          </cell>
        </row>
        <row r="927">
          <cell r="B927" t="str">
            <v>0BG2945237</v>
          </cell>
          <cell r="C927">
            <v>2019</v>
          </cell>
          <cell r="D927" t="str">
            <v>Qtr 2</v>
          </cell>
          <cell r="E927" t="str">
            <v>April</v>
          </cell>
          <cell r="F927">
            <v>22</v>
          </cell>
          <cell r="G927" t="str">
            <v>CORRECTIVO</v>
          </cell>
          <cell r="H927">
            <v>1.433333</v>
          </cell>
          <cell r="I927" t="str">
            <v>Light Production Digital Business</v>
          </cell>
          <cell r="J927">
            <v>803</v>
          </cell>
          <cell r="K927">
            <v>1573</v>
          </cell>
          <cell r="L927">
            <v>0.2</v>
          </cell>
          <cell r="M927">
            <v>0.6</v>
          </cell>
          <cell r="N927">
            <v>0.8</v>
          </cell>
          <cell r="O927">
            <v>1.05</v>
          </cell>
          <cell r="P927">
            <v>1.1000000000000001</v>
          </cell>
          <cell r="Q927">
            <v>1.1499999999999999</v>
          </cell>
          <cell r="R927" t="str">
            <v>INTERIOR</v>
          </cell>
          <cell r="S927">
            <v>4</v>
          </cell>
          <cell r="T927">
            <v>6</v>
          </cell>
          <cell r="U927" t="str">
            <v>Ciudad principal</v>
          </cell>
          <cell r="V927" t="str">
            <v>High End Cut Sheet</v>
          </cell>
          <cell r="W927" t="str">
            <v>TAMAULIPAS</v>
          </cell>
          <cell r="X927">
            <v>2019</v>
          </cell>
          <cell r="Y927" t="str">
            <v>Qtr 2</v>
          </cell>
          <cell r="Z927" t="str">
            <v>April</v>
          </cell>
          <cell r="AA927">
            <v>22</v>
          </cell>
          <cell r="AB927">
            <v>0</v>
          </cell>
          <cell r="AC927">
            <v>5</v>
          </cell>
          <cell r="AD927">
            <v>0.6</v>
          </cell>
          <cell r="AE927">
            <v>0.35833324999999999</v>
          </cell>
          <cell r="AF927">
            <v>943.8</v>
          </cell>
        </row>
        <row r="928">
          <cell r="B928" t="str">
            <v>0BG2948912</v>
          </cell>
          <cell r="C928">
            <v>2019</v>
          </cell>
          <cell r="D928" t="str">
            <v>Qtr 2</v>
          </cell>
          <cell r="E928" t="str">
            <v>April</v>
          </cell>
          <cell r="F928">
            <v>22</v>
          </cell>
          <cell r="G928" t="str">
            <v>CORRECTIVO</v>
          </cell>
          <cell r="H928">
            <v>3.4333330000000002</v>
          </cell>
          <cell r="I928" t="str">
            <v>Light Production Digital Business</v>
          </cell>
          <cell r="J928">
            <v>803</v>
          </cell>
          <cell r="K928">
            <v>1573</v>
          </cell>
          <cell r="L928">
            <v>0.2</v>
          </cell>
          <cell r="M928">
            <v>0.6</v>
          </cell>
          <cell r="N928">
            <v>0.8</v>
          </cell>
          <cell r="O928">
            <v>1.05</v>
          </cell>
          <cell r="P928">
            <v>1.1000000000000001</v>
          </cell>
          <cell r="Q928">
            <v>1.1499999999999999</v>
          </cell>
          <cell r="R928" t="str">
            <v>INTERIOR</v>
          </cell>
          <cell r="S928">
            <v>4</v>
          </cell>
          <cell r="T928">
            <v>6</v>
          </cell>
          <cell r="U928" t="str">
            <v>Ciudad principal</v>
          </cell>
          <cell r="V928" t="str">
            <v>High End Cut Sheet</v>
          </cell>
          <cell r="W928" t="str">
            <v>TAMAULIPAS</v>
          </cell>
          <cell r="X928">
            <v>2019</v>
          </cell>
          <cell r="Y928" t="str">
            <v>Qtr 2</v>
          </cell>
          <cell r="Z928" t="str">
            <v>April</v>
          </cell>
          <cell r="AA928">
            <v>22</v>
          </cell>
          <cell r="AB928">
            <v>0</v>
          </cell>
          <cell r="AC928">
            <v>4</v>
          </cell>
          <cell r="AD928">
            <v>0.6</v>
          </cell>
          <cell r="AE928">
            <v>0.85833325000000005</v>
          </cell>
          <cell r="AF928">
            <v>943.8</v>
          </cell>
        </row>
        <row r="929">
          <cell r="B929" t="str">
            <v>0A1H020675</v>
          </cell>
          <cell r="C929">
            <v>2019</v>
          </cell>
          <cell r="D929" t="str">
            <v>Qtr 2</v>
          </cell>
          <cell r="E929" t="str">
            <v>April</v>
          </cell>
          <cell r="F929">
            <v>22</v>
          </cell>
          <cell r="G929" t="str">
            <v>CORRECTIVO</v>
          </cell>
          <cell r="H929">
            <v>3.4</v>
          </cell>
          <cell r="I929" t="str">
            <v>WF Mono Systems and Legacy Color</v>
          </cell>
          <cell r="J929">
            <v>803</v>
          </cell>
          <cell r="K929">
            <v>1573</v>
          </cell>
          <cell r="L929">
            <v>0.2</v>
          </cell>
          <cell r="M929">
            <v>0.6</v>
          </cell>
          <cell r="N929">
            <v>0.8</v>
          </cell>
          <cell r="O929">
            <v>1.05</v>
          </cell>
          <cell r="P929">
            <v>1.1000000000000001</v>
          </cell>
          <cell r="Q929">
            <v>1.1499999999999999</v>
          </cell>
          <cell r="R929" t="str">
            <v>INTERIOR</v>
          </cell>
          <cell r="S929">
            <v>4</v>
          </cell>
          <cell r="T929">
            <v>6</v>
          </cell>
          <cell r="U929" t="str">
            <v>Ciudad principal</v>
          </cell>
          <cell r="V929" t="str">
            <v>WF Mono Systems and Legacy Color</v>
          </cell>
          <cell r="W929" t="str">
            <v>TAMAULIPAS</v>
          </cell>
          <cell r="X929">
            <v>2019</v>
          </cell>
          <cell r="Y929" t="str">
            <v>Qtr 2</v>
          </cell>
          <cell r="Z929" t="str">
            <v>April</v>
          </cell>
          <cell r="AA929">
            <v>22</v>
          </cell>
          <cell r="AB929">
            <v>0</v>
          </cell>
          <cell r="AC929">
            <v>4</v>
          </cell>
          <cell r="AD929">
            <v>0.6</v>
          </cell>
          <cell r="AE929">
            <v>0.85</v>
          </cell>
          <cell r="AF929">
            <v>943.8</v>
          </cell>
        </row>
        <row r="930">
          <cell r="B930" t="str">
            <v>09HB331515</v>
          </cell>
          <cell r="C930">
            <v>2019</v>
          </cell>
          <cell r="D930" t="str">
            <v>Qtr 2</v>
          </cell>
          <cell r="E930" t="str">
            <v>April</v>
          </cell>
          <cell r="F930">
            <v>22</v>
          </cell>
          <cell r="G930" t="str">
            <v>MANTENIMIENTO PREVENTIVO</v>
          </cell>
          <cell r="H930">
            <v>0</v>
          </cell>
          <cell r="J930" t="str">
            <v>NA</v>
          </cell>
          <cell r="K930" t="str">
            <v>NA</v>
          </cell>
          <cell r="L930" t="str">
            <v>NA</v>
          </cell>
          <cell r="M930" t="str">
            <v>NA</v>
          </cell>
          <cell r="N930" t="str">
            <v>NA</v>
          </cell>
          <cell r="O930" t="str">
            <v>NA</v>
          </cell>
          <cell r="P930" t="str">
            <v>NA</v>
          </cell>
          <cell r="Q930" t="str">
            <v>NA</v>
          </cell>
          <cell r="S930" t="str">
            <v>NA</v>
          </cell>
          <cell r="T930" t="str">
            <v>NA</v>
          </cell>
          <cell r="V930" t="str">
            <v>A4 Mono MFPs</v>
          </cell>
          <cell r="W930" t="str">
            <v>JALISCO</v>
          </cell>
          <cell r="X930">
            <v>2019</v>
          </cell>
          <cell r="Y930" t="str">
            <v>Qtr 2</v>
          </cell>
          <cell r="Z930" t="str">
            <v>April</v>
          </cell>
          <cell r="AA930">
            <v>22</v>
          </cell>
          <cell r="AB930" t="str">
            <v>NA</v>
          </cell>
          <cell r="AC930">
            <v>5</v>
          </cell>
          <cell r="AD930">
            <v>0</v>
          </cell>
          <cell r="AE930">
            <v>0</v>
          </cell>
          <cell r="AF930">
            <v>0</v>
          </cell>
        </row>
        <row r="931">
          <cell r="B931" t="str">
            <v>09HB331911</v>
          </cell>
          <cell r="C931">
            <v>2019</v>
          </cell>
          <cell r="D931" t="str">
            <v>Qtr 2</v>
          </cell>
          <cell r="E931" t="str">
            <v>April</v>
          </cell>
          <cell r="F931">
            <v>22</v>
          </cell>
          <cell r="G931" t="str">
            <v>MANTENIMIENTO PREVENTIVO</v>
          </cell>
          <cell r="H931">
            <v>0</v>
          </cell>
          <cell r="J931" t="str">
            <v>NA</v>
          </cell>
          <cell r="K931" t="str">
            <v>NA</v>
          </cell>
          <cell r="L931" t="str">
            <v>NA</v>
          </cell>
          <cell r="M931" t="str">
            <v>NA</v>
          </cell>
          <cell r="N931" t="str">
            <v>NA</v>
          </cell>
          <cell r="O931" t="str">
            <v>NA</v>
          </cell>
          <cell r="P931" t="str">
            <v>NA</v>
          </cell>
          <cell r="Q931" t="str">
            <v>NA</v>
          </cell>
          <cell r="S931" t="str">
            <v>NA</v>
          </cell>
          <cell r="T931" t="str">
            <v>NA</v>
          </cell>
          <cell r="V931" t="str">
            <v>A4 Mono MFPs</v>
          </cell>
          <cell r="W931" t="str">
            <v>JALISCO</v>
          </cell>
          <cell r="X931">
            <v>2019</v>
          </cell>
          <cell r="Y931" t="str">
            <v>Qtr 2</v>
          </cell>
          <cell r="Z931" t="str">
            <v>April</v>
          </cell>
          <cell r="AA931">
            <v>22</v>
          </cell>
          <cell r="AB931" t="str">
            <v>NA</v>
          </cell>
          <cell r="AC931">
            <v>45</v>
          </cell>
          <cell r="AD931">
            <v>0</v>
          </cell>
          <cell r="AE931">
            <v>0</v>
          </cell>
          <cell r="AF931">
            <v>0</v>
          </cell>
        </row>
        <row r="932">
          <cell r="B932" t="str">
            <v>0Y4X846822</v>
          </cell>
          <cell r="C932">
            <v>2019</v>
          </cell>
          <cell r="D932" t="str">
            <v>Qtr 2</v>
          </cell>
          <cell r="E932" t="str">
            <v>April</v>
          </cell>
          <cell r="F932">
            <v>22</v>
          </cell>
          <cell r="G932" t="str">
            <v>CORRECTIVO</v>
          </cell>
          <cell r="H932">
            <v>0</v>
          </cell>
          <cell r="I932" t="str">
            <v>Departmental Digital</v>
          </cell>
          <cell r="J932">
            <v>655</v>
          </cell>
          <cell r="K932">
            <v>1365</v>
          </cell>
          <cell r="L932">
            <v>0</v>
          </cell>
          <cell r="M932">
            <v>0</v>
          </cell>
          <cell r="N932">
            <v>0.6</v>
          </cell>
          <cell r="O932">
            <v>0.8</v>
          </cell>
          <cell r="P932">
            <v>1.05</v>
          </cell>
          <cell r="Q932">
            <v>1.1000000000000001</v>
          </cell>
          <cell r="R932" t="str">
            <v>INTERIOR</v>
          </cell>
          <cell r="S932">
            <v>5</v>
          </cell>
          <cell r="T932">
            <v>9</v>
          </cell>
          <cell r="U932" t="str">
            <v>Ciudad principal</v>
          </cell>
          <cell r="V932" t="str">
            <v>Light Production Digital Business</v>
          </cell>
          <cell r="W932" t="str">
            <v>CHIHUAHUA</v>
          </cell>
          <cell r="X932">
            <v>2019</v>
          </cell>
          <cell r="Y932" t="str">
            <v>Qtr 2</v>
          </cell>
          <cell r="Z932" t="str">
            <v>April</v>
          </cell>
          <cell r="AA932">
            <v>24</v>
          </cell>
          <cell r="AB932">
            <v>0</v>
          </cell>
          <cell r="AC932">
            <v>152</v>
          </cell>
          <cell r="AD932">
            <v>1.1000000000000001</v>
          </cell>
          <cell r="AE932">
            <v>0</v>
          </cell>
          <cell r="AF932">
            <v>1501.5</v>
          </cell>
        </row>
        <row r="933">
          <cell r="B933" t="str">
            <v>0BG2947152</v>
          </cell>
          <cell r="C933">
            <v>2019</v>
          </cell>
          <cell r="D933" t="str">
            <v>Qtr 2</v>
          </cell>
          <cell r="E933" t="str">
            <v>April</v>
          </cell>
          <cell r="F933">
            <v>22</v>
          </cell>
          <cell r="G933" t="str">
            <v>CORRECTIVO</v>
          </cell>
          <cell r="H933">
            <v>0.83333330000000005</v>
          </cell>
          <cell r="I933" t="str">
            <v>Light Production Digital Business</v>
          </cell>
          <cell r="J933">
            <v>803</v>
          </cell>
          <cell r="K933">
            <v>1573</v>
          </cell>
          <cell r="L933">
            <v>0.2</v>
          </cell>
          <cell r="M933">
            <v>0.6</v>
          </cell>
          <cell r="N933">
            <v>0.8</v>
          </cell>
          <cell r="O933">
            <v>1.05</v>
          </cell>
          <cell r="P933">
            <v>1.1000000000000001</v>
          </cell>
          <cell r="Q933">
            <v>1.1499999999999999</v>
          </cell>
          <cell r="R933" t="str">
            <v>INTERIOR</v>
          </cell>
          <cell r="S933">
            <v>4</v>
          </cell>
          <cell r="T933">
            <v>6</v>
          </cell>
          <cell r="U933" t="str">
            <v>Ciudad principal</v>
          </cell>
          <cell r="V933" t="str">
            <v>High End Cut Sheet</v>
          </cell>
          <cell r="W933" t="str">
            <v>JALISCO</v>
          </cell>
          <cell r="X933">
            <v>2019</v>
          </cell>
          <cell r="Y933" t="str">
            <v>Qtr 2</v>
          </cell>
          <cell r="Z933" t="str">
            <v>April</v>
          </cell>
          <cell r="AA933">
            <v>23</v>
          </cell>
          <cell r="AB933">
            <v>0</v>
          </cell>
          <cell r="AC933">
            <v>4</v>
          </cell>
          <cell r="AD933">
            <v>0.6</v>
          </cell>
          <cell r="AE933">
            <v>0.20833332500000001</v>
          </cell>
          <cell r="AF933">
            <v>943.8</v>
          </cell>
        </row>
        <row r="934">
          <cell r="B934" t="str">
            <v>0X76370965</v>
          </cell>
          <cell r="C934">
            <v>2019</v>
          </cell>
          <cell r="D934" t="str">
            <v>Qtr 2</v>
          </cell>
          <cell r="E934" t="str">
            <v>April</v>
          </cell>
          <cell r="F934">
            <v>22</v>
          </cell>
          <cell r="G934" t="str">
            <v>CORRECTIVO</v>
          </cell>
          <cell r="H934">
            <v>0.35</v>
          </cell>
          <cell r="I934" t="str">
            <v>Office Digital</v>
          </cell>
          <cell r="J934">
            <v>655</v>
          </cell>
          <cell r="K934">
            <v>1365</v>
          </cell>
          <cell r="L934">
            <v>0</v>
          </cell>
          <cell r="M934">
            <v>0</v>
          </cell>
          <cell r="N934">
            <v>0.6</v>
          </cell>
          <cell r="O934">
            <v>0.8</v>
          </cell>
          <cell r="P934">
            <v>1.05</v>
          </cell>
          <cell r="Q934">
            <v>1.1000000000000001</v>
          </cell>
          <cell r="R934" t="str">
            <v>INTERIOR</v>
          </cell>
          <cell r="S934">
            <v>5</v>
          </cell>
          <cell r="T934">
            <v>9</v>
          </cell>
          <cell r="U934" t="str">
            <v>Ciudad principal</v>
          </cell>
          <cell r="V934" t="str">
            <v>Departmental Digital</v>
          </cell>
          <cell r="W934" t="str">
            <v>CHIHUAHUA</v>
          </cell>
          <cell r="X934">
            <v>2019</v>
          </cell>
          <cell r="Y934" t="str">
            <v>Qtr 2</v>
          </cell>
          <cell r="Z934" t="str">
            <v>April</v>
          </cell>
          <cell r="AA934">
            <v>24</v>
          </cell>
          <cell r="AB934">
            <v>0</v>
          </cell>
          <cell r="AC934">
            <v>10</v>
          </cell>
          <cell r="AD934">
            <v>0.6</v>
          </cell>
          <cell r="AE934">
            <v>7.0000000000000007E-2</v>
          </cell>
          <cell r="AF934">
            <v>819</v>
          </cell>
        </row>
        <row r="935">
          <cell r="B935" t="str">
            <v>09HB331860</v>
          </cell>
          <cell r="C935">
            <v>2019</v>
          </cell>
          <cell r="D935" t="str">
            <v>Qtr 2</v>
          </cell>
          <cell r="E935" t="str">
            <v>April</v>
          </cell>
          <cell r="F935">
            <v>22</v>
          </cell>
          <cell r="G935" t="str">
            <v>CORRECTIVO</v>
          </cell>
          <cell r="H935">
            <v>0.53333339999999996</v>
          </cell>
          <cell r="I935" t="str">
            <v>A4 Mono MFPs</v>
          </cell>
          <cell r="J935">
            <v>468</v>
          </cell>
          <cell r="K935">
            <v>715</v>
          </cell>
          <cell r="L935">
            <v>0</v>
          </cell>
          <cell r="M935">
            <v>0</v>
          </cell>
          <cell r="N935">
            <v>0</v>
          </cell>
          <cell r="O935">
            <v>0.6</v>
          </cell>
          <cell r="P935">
            <v>0.8</v>
          </cell>
          <cell r="Q935">
            <v>1.05</v>
          </cell>
          <cell r="R935" t="str">
            <v>METRO</v>
          </cell>
          <cell r="S935">
            <v>5</v>
          </cell>
          <cell r="T935">
            <v>9</v>
          </cell>
          <cell r="U935" t="str">
            <v>Ciudad principal</v>
          </cell>
          <cell r="V935" t="str">
            <v>A4 Mono MFPs</v>
          </cell>
          <cell r="W935" t="str">
            <v>CIUDAD DE MEXICO</v>
          </cell>
          <cell r="X935">
            <v>2019</v>
          </cell>
          <cell r="Y935" t="str">
            <v>Qtr 2</v>
          </cell>
          <cell r="Z935" t="str">
            <v>April</v>
          </cell>
          <cell r="AA935">
            <v>23</v>
          </cell>
          <cell r="AB935">
            <v>1</v>
          </cell>
          <cell r="AC935">
            <v>34</v>
          </cell>
          <cell r="AD935">
            <v>0</v>
          </cell>
          <cell r="AE935">
            <v>0</v>
          </cell>
          <cell r="AF935">
            <v>0</v>
          </cell>
        </row>
        <row r="936">
          <cell r="B936" t="str">
            <v>0Y4X848866</v>
          </cell>
          <cell r="C936">
            <v>2019</v>
          </cell>
          <cell r="D936" t="str">
            <v>Qtr 2</v>
          </cell>
          <cell r="E936" t="str">
            <v>April</v>
          </cell>
          <cell r="F936">
            <v>22</v>
          </cell>
          <cell r="G936" t="str">
            <v>CORRECTIVO</v>
          </cell>
          <cell r="H936">
            <v>0.3333333</v>
          </cell>
          <cell r="I936" t="str">
            <v>Office Digital</v>
          </cell>
          <cell r="J936">
            <v>655</v>
          </cell>
          <cell r="K936">
            <v>1365</v>
          </cell>
          <cell r="L936">
            <v>0</v>
          </cell>
          <cell r="M936">
            <v>0</v>
          </cell>
          <cell r="N936">
            <v>0.6</v>
          </cell>
          <cell r="O936">
            <v>0.8</v>
          </cell>
          <cell r="P936">
            <v>1.05</v>
          </cell>
          <cell r="Q936">
            <v>1.1000000000000001</v>
          </cell>
          <cell r="R936" t="str">
            <v>METRO</v>
          </cell>
          <cell r="S936">
            <v>5</v>
          </cell>
          <cell r="T936">
            <v>9</v>
          </cell>
          <cell r="U936" t="str">
            <v>Ciudad principal</v>
          </cell>
          <cell r="V936" t="str">
            <v>Light Production Digital Business</v>
          </cell>
          <cell r="W936" t="str">
            <v>CIUDAD DE MEXICO</v>
          </cell>
          <cell r="X936">
            <v>2019</v>
          </cell>
          <cell r="Y936" t="str">
            <v>Qtr 2</v>
          </cell>
          <cell r="Z936" t="str">
            <v>April</v>
          </cell>
          <cell r="AA936">
            <v>23</v>
          </cell>
          <cell r="AB936">
            <v>1</v>
          </cell>
          <cell r="AC936">
            <v>5</v>
          </cell>
          <cell r="AD936">
            <v>0</v>
          </cell>
          <cell r="AE936">
            <v>0</v>
          </cell>
          <cell r="AF936">
            <v>0</v>
          </cell>
        </row>
        <row r="937">
          <cell r="B937" t="str">
            <v>09HB331897</v>
          </cell>
          <cell r="C937">
            <v>2019</v>
          </cell>
          <cell r="D937" t="str">
            <v>Qtr 2</v>
          </cell>
          <cell r="E937" t="str">
            <v>April</v>
          </cell>
          <cell r="F937">
            <v>22</v>
          </cell>
          <cell r="G937" t="str">
            <v>CONFIGURACION</v>
          </cell>
          <cell r="H937">
            <v>0</v>
          </cell>
          <cell r="I937" t="str">
            <v>A4 Mono MFPs</v>
          </cell>
          <cell r="J937">
            <v>468</v>
          </cell>
          <cell r="K937">
            <v>715</v>
          </cell>
          <cell r="L937">
            <v>0</v>
          </cell>
          <cell r="M937">
            <v>0</v>
          </cell>
          <cell r="N937">
            <v>0</v>
          </cell>
          <cell r="O937">
            <v>0.6</v>
          </cell>
          <cell r="P937">
            <v>0.8</v>
          </cell>
          <cell r="Q937">
            <v>1.05</v>
          </cell>
          <cell r="R937" t="str">
            <v>INTERIOR</v>
          </cell>
          <cell r="S937">
            <v>5</v>
          </cell>
          <cell r="T937">
            <v>9</v>
          </cell>
          <cell r="U937" t="str">
            <v>Ciudad principal</v>
          </cell>
          <cell r="V937" t="str">
            <v>A4 Mono MFPs</v>
          </cell>
          <cell r="W937" t="str">
            <v>JALISCO</v>
          </cell>
          <cell r="X937">
            <v>2019</v>
          </cell>
          <cell r="Y937" t="str">
            <v>Qtr 2</v>
          </cell>
          <cell r="Z937" t="str">
            <v>April</v>
          </cell>
          <cell r="AA937">
            <v>22</v>
          </cell>
          <cell r="AB937">
            <v>1</v>
          </cell>
          <cell r="AC937">
            <v>5</v>
          </cell>
          <cell r="AD937">
            <v>0</v>
          </cell>
          <cell r="AE937">
            <v>0</v>
          </cell>
          <cell r="AF937">
            <v>0</v>
          </cell>
        </row>
        <row r="938">
          <cell r="B938" t="str">
            <v>0B2E530304</v>
          </cell>
          <cell r="C938">
            <v>2019</v>
          </cell>
          <cell r="D938" t="str">
            <v>Qtr 2</v>
          </cell>
          <cell r="E938" t="str">
            <v>April</v>
          </cell>
          <cell r="F938">
            <v>22</v>
          </cell>
          <cell r="G938" t="str">
            <v>CORRECTIVO</v>
          </cell>
          <cell r="H938">
            <v>1.6666670000000001E-2</v>
          </cell>
          <cell r="I938" t="str">
            <v>Entry Production Color Mid</v>
          </cell>
          <cell r="J938">
            <v>803</v>
          </cell>
          <cell r="K938">
            <v>1573</v>
          </cell>
          <cell r="L938">
            <v>0.2</v>
          </cell>
          <cell r="M938">
            <v>0.6</v>
          </cell>
          <cell r="N938">
            <v>0.8</v>
          </cell>
          <cell r="O938">
            <v>1.05</v>
          </cell>
          <cell r="P938">
            <v>1.1000000000000001</v>
          </cell>
          <cell r="Q938">
            <v>1.1499999999999999</v>
          </cell>
          <cell r="R938" t="str">
            <v>INTERIOR</v>
          </cell>
          <cell r="S938">
            <v>4</v>
          </cell>
          <cell r="T938">
            <v>6</v>
          </cell>
          <cell r="U938" t="str">
            <v>Ciudad principal</v>
          </cell>
          <cell r="V938" t="str">
            <v>High End Cut Sheet</v>
          </cell>
          <cell r="W938" t="str">
            <v>NUEVO LEON</v>
          </cell>
          <cell r="X938">
            <v>2019</v>
          </cell>
          <cell r="Y938" t="str">
            <v>Qtr 2</v>
          </cell>
          <cell r="Z938" t="str">
            <v>April</v>
          </cell>
          <cell r="AA938">
            <v>23</v>
          </cell>
          <cell r="AB938">
            <v>0</v>
          </cell>
          <cell r="AC938">
            <v>28</v>
          </cell>
          <cell r="AD938">
            <v>1.05</v>
          </cell>
          <cell r="AE938">
            <v>4.1666675000000004E-3</v>
          </cell>
          <cell r="AF938">
            <v>1651.65</v>
          </cell>
        </row>
        <row r="939">
          <cell r="B939" t="str">
            <v>09HB331956</v>
          </cell>
          <cell r="C939">
            <v>2019</v>
          </cell>
          <cell r="D939" t="str">
            <v>Qtr 2</v>
          </cell>
          <cell r="E939" t="str">
            <v>April</v>
          </cell>
          <cell r="F939">
            <v>22</v>
          </cell>
          <cell r="G939" t="str">
            <v>CORRECTIVO</v>
          </cell>
          <cell r="H939">
            <v>0.35</v>
          </cell>
          <cell r="I939" t="str">
            <v>A4 Mono MFPs</v>
          </cell>
          <cell r="J939">
            <v>468</v>
          </cell>
          <cell r="K939">
            <v>715</v>
          </cell>
          <cell r="L939">
            <v>0</v>
          </cell>
          <cell r="M939">
            <v>0</v>
          </cell>
          <cell r="N939">
            <v>0</v>
          </cell>
          <cell r="O939">
            <v>0.6</v>
          </cell>
          <cell r="P939">
            <v>0.8</v>
          </cell>
          <cell r="Q939">
            <v>1.05</v>
          </cell>
          <cell r="R939" t="str">
            <v>INTERIOR</v>
          </cell>
          <cell r="S939">
            <v>5</v>
          </cell>
          <cell r="T939">
            <v>9</v>
          </cell>
          <cell r="U939" t="str">
            <v>Ciudad principal</v>
          </cell>
          <cell r="V939" t="str">
            <v>A4 Mono MFPs</v>
          </cell>
          <cell r="W939" t="str">
            <v>JALISCO</v>
          </cell>
          <cell r="X939">
            <v>2019</v>
          </cell>
          <cell r="Y939" t="str">
            <v>Qtr 2</v>
          </cell>
          <cell r="Z939" t="str">
            <v>April</v>
          </cell>
          <cell r="AA939">
            <v>24</v>
          </cell>
          <cell r="AB939">
            <v>1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</row>
        <row r="940">
          <cell r="B940" t="str">
            <v>0B2R088357</v>
          </cell>
          <cell r="C940">
            <v>2019</v>
          </cell>
          <cell r="D940" t="str">
            <v>Qtr 2</v>
          </cell>
          <cell r="E940" t="str">
            <v>April</v>
          </cell>
          <cell r="F940">
            <v>22</v>
          </cell>
          <cell r="G940" t="str">
            <v>CORRECTIVO</v>
          </cell>
          <cell r="H940">
            <v>0.21666669999999999</v>
          </cell>
          <cell r="I940" t="str">
            <v>Entry Production Color Low/Mid</v>
          </cell>
          <cell r="J940">
            <v>803</v>
          </cell>
          <cell r="K940">
            <v>1573</v>
          </cell>
          <cell r="L940">
            <v>0.2</v>
          </cell>
          <cell r="M940">
            <v>0.6</v>
          </cell>
          <cell r="N940">
            <v>0.8</v>
          </cell>
          <cell r="O940">
            <v>1.05</v>
          </cell>
          <cell r="P940">
            <v>1.1000000000000001</v>
          </cell>
          <cell r="Q940">
            <v>1.1499999999999999</v>
          </cell>
          <cell r="R940" t="str">
            <v>INTERIOR</v>
          </cell>
          <cell r="S940">
            <v>4</v>
          </cell>
          <cell r="T940">
            <v>6</v>
          </cell>
          <cell r="U940" t="str">
            <v>Ciudad principal</v>
          </cell>
          <cell r="V940" t="str">
            <v>High End Cut Sheet</v>
          </cell>
          <cell r="W940" t="str">
            <v>COLIMA</v>
          </cell>
          <cell r="X940">
            <v>2019</v>
          </cell>
          <cell r="Y940" t="str">
            <v>Qtr 2</v>
          </cell>
          <cell r="Z940" t="str">
            <v>April</v>
          </cell>
          <cell r="AA940">
            <v>22</v>
          </cell>
          <cell r="AB940">
            <v>1</v>
          </cell>
          <cell r="AC940">
            <v>5</v>
          </cell>
          <cell r="AD940">
            <v>0</v>
          </cell>
          <cell r="AE940">
            <v>0</v>
          </cell>
          <cell r="AF940">
            <v>0</v>
          </cell>
        </row>
        <row r="941">
          <cell r="B941" t="str">
            <v>5AV814873</v>
          </cell>
          <cell r="C941">
            <v>2019</v>
          </cell>
          <cell r="D941" t="str">
            <v>Qtr 2</v>
          </cell>
          <cell r="E941" t="str">
            <v>April</v>
          </cell>
          <cell r="F941">
            <v>22</v>
          </cell>
          <cell r="G941" t="str">
            <v>CORRECTIVO</v>
          </cell>
          <cell r="H941">
            <v>1.6666670000000001E-2</v>
          </cell>
          <cell r="I941" t="str">
            <v>A4 Color Laser MFPs</v>
          </cell>
          <cell r="J941">
            <v>468</v>
          </cell>
          <cell r="K941">
            <v>715</v>
          </cell>
          <cell r="L941">
            <v>0</v>
          </cell>
          <cell r="M941">
            <v>0</v>
          </cell>
          <cell r="N941">
            <v>0</v>
          </cell>
          <cell r="O941">
            <v>0.6</v>
          </cell>
          <cell r="P941">
            <v>0.8</v>
          </cell>
          <cell r="Q941">
            <v>1.05</v>
          </cell>
          <cell r="R941" t="str">
            <v>INTERIOR</v>
          </cell>
          <cell r="S941">
            <v>5</v>
          </cell>
          <cell r="T941">
            <v>9</v>
          </cell>
          <cell r="U941" t="str">
            <v>Ciudad principal</v>
          </cell>
          <cell r="V941" t="str">
            <v>A4 Color Laser MFPs</v>
          </cell>
          <cell r="W941" t="str">
            <v>GUANAJUATO</v>
          </cell>
          <cell r="X941">
            <v>2019</v>
          </cell>
          <cell r="Y941" t="str">
            <v>Qtr 2</v>
          </cell>
          <cell r="Z941" t="str">
            <v>April</v>
          </cell>
          <cell r="AA941">
            <v>23</v>
          </cell>
          <cell r="AB941">
            <v>0</v>
          </cell>
          <cell r="AC941">
            <v>70</v>
          </cell>
          <cell r="AD941">
            <v>1.05</v>
          </cell>
          <cell r="AE941">
            <v>3.3333339999999999E-3</v>
          </cell>
          <cell r="AF941">
            <v>750.75</v>
          </cell>
        </row>
        <row r="942">
          <cell r="B942" t="str">
            <v>09HB332003</v>
          </cell>
          <cell r="C942">
            <v>2019</v>
          </cell>
          <cell r="D942" t="str">
            <v>Qtr 2</v>
          </cell>
          <cell r="E942" t="str">
            <v>April</v>
          </cell>
          <cell r="F942">
            <v>22</v>
          </cell>
          <cell r="G942" t="str">
            <v>MANTENIMIENTO PREVENTIVO</v>
          </cell>
          <cell r="H942">
            <v>0</v>
          </cell>
          <cell r="J942" t="str">
            <v>NA</v>
          </cell>
          <cell r="K942" t="str">
            <v>NA</v>
          </cell>
          <cell r="L942" t="str">
            <v>NA</v>
          </cell>
          <cell r="M942" t="str">
            <v>NA</v>
          </cell>
          <cell r="N942" t="str">
            <v>NA</v>
          </cell>
          <cell r="O942" t="str">
            <v>NA</v>
          </cell>
          <cell r="P942" t="str">
            <v>NA</v>
          </cell>
          <cell r="Q942" t="str">
            <v>NA</v>
          </cell>
          <cell r="S942" t="str">
            <v>NA</v>
          </cell>
          <cell r="T942" t="str">
            <v>NA</v>
          </cell>
          <cell r="V942" t="str">
            <v>A4 Mono MFPs</v>
          </cell>
          <cell r="W942" t="str">
            <v>JALISCO</v>
          </cell>
          <cell r="X942">
            <v>2019</v>
          </cell>
          <cell r="Y942" t="str">
            <v>Qtr 2</v>
          </cell>
          <cell r="Z942" t="str">
            <v>April</v>
          </cell>
          <cell r="AA942">
            <v>22</v>
          </cell>
          <cell r="AB942" t="str">
            <v>NA</v>
          </cell>
          <cell r="AC942">
            <v>62</v>
          </cell>
          <cell r="AD942">
            <v>0</v>
          </cell>
          <cell r="AE942">
            <v>0</v>
          </cell>
          <cell r="AF942">
            <v>0</v>
          </cell>
        </row>
        <row r="943">
          <cell r="B943" t="str">
            <v>0Y4X848732</v>
          </cell>
          <cell r="C943">
            <v>2019</v>
          </cell>
          <cell r="D943" t="str">
            <v>Qtr 2</v>
          </cell>
          <cell r="E943" t="str">
            <v>April</v>
          </cell>
          <cell r="F943">
            <v>22</v>
          </cell>
          <cell r="G943" t="str">
            <v>MANTENIMIENTO PREVENTIVO</v>
          </cell>
          <cell r="H943">
            <v>0</v>
          </cell>
          <cell r="I943" t="str">
            <v>Office Digital</v>
          </cell>
          <cell r="J943">
            <v>655</v>
          </cell>
          <cell r="K943">
            <v>1365</v>
          </cell>
          <cell r="L943">
            <v>0</v>
          </cell>
          <cell r="M943">
            <v>0</v>
          </cell>
          <cell r="N943">
            <v>0.6</v>
          </cell>
          <cell r="O943">
            <v>0.8</v>
          </cell>
          <cell r="P943">
            <v>1.05</v>
          </cell>
          <cell r="Q943">
            <v>1.1000000000000001</v>
          </cell>
          <cell r="R943" t="str">
            <v>INTERIOR</v>
          </cell>
          <cell r="S943">
            <v>5</v>
          </cell>
          <cell r="T943">
            <v>9</v>
          </cell>
          <cell r="U943" t="str">
            <v>Ciudad principal</v>
          </cell>
          <cell r="V943" t="str">
            <v>Light Production Digital Business</v>
          </cell>
          <cell r="W943" t="str">
            <v>JALISCO</v>
          </cell>
          <cell r="X943">
            <v>2019</v>
          </cell>
          <cell r="Y943" t="str">
            <v>Qtr 2</v>
          </cell>
          <cell r="Z943" t="str">
            <v>April</v>
          </cell>
          <cell r="AA943">
            <v>22</v>
          </cell>
          <cell r="AB943">
            <v>1</v>
          </cell>
          <cell r="AC943">
            <v>38</v>
          </cell>
          <cell r="AD943">
            <v>0</v>
          </cell>
          <cell r="AE943">
            <v>0</v>
          </cell>
          <cell r="AF943">
            <v>0</v>
          </cell>
        </row>
        <row r="944">
          <cell r="B944" t="str">
            <v>0RXD143457</v>
          </cell>
          <cell r="C944">
            <v>2019</v>
          </cell>
          <cell r="D944" t="str">
            <v>Qtr 2</v>
          </cell>
          <cell r="E944" t="str">
            <v>April</v>
          </cell>
          <cell r="F944">
            <v>22</v>
          </cell>
          <cell r="G944" t="str">
            <v>MANTENIMIENTO PREVENTIVO</v>
          </cell>
          <cell r="H944">
            <v>0</v>
          </cell>
          <cell r="I944" t="str">
            <v>Color Laser Printers</v>
          </cell>
          <cell r="J944">
            <v>468</v>
          </cell>
          <cell r="K944">
            <v>715</v>
          </cell>
          <cell r="L944">
            <v>0</v>
          </cell>
          <cell r="M944">
            <v>0</v>
          </cell>
          <cell r="N944">
            <v>0</v>
          </cell>
          <cell r="O944">
            <v>0.6</v>
          </cell>
          <cell r="P944">
            <v>0.8</v>
          </cell>
          <cell r="Q944">
            <v>1.05</v>
          </cell>
          <cell r="R944" t="str">
            <v>INTERIOR</v>
          </cell>
          <cell r="S944">
            <v>5</v>
          </cell>
          <cell r="T944">
            <v>9</v>
          </cell>
          <cell r="U944" t="str">
            <v>Ciudad principal</v>
          </cell>
          <cell r="V944" t="str">
            <v>Departmental Digital</v>
          </cell>
          <cell r="W944" t="str">
            <v>CHIHUAHUA</v>
          </cell>
          <cell r="X944">
            <v>2019</v>
          </cell>
          <cell r="Y944" t="str">
            <v>Qtr 2</v>
          </cell>
          <cell r="Z944" t="str">
            <v>April</v>
          </cell>
          <cell r="AA944">
            <v>23</v>
          </cell>
          <cell r="AB944">
            <v>0</v>
          </cell>
          <cell r="AC944">
            <v>14</v>
          </cell>
          <cell r="AD944">
            <v>0</v>
          </cell>
          <cell r="AE944">
            <v>0</v>
          </cell>
          <cell r="AF944">
            <v>715</v>
          </cell>
        </row>
        <row r="945">
          <cell r="B945" t="str">
            <v>0C4X011068</v>
          </cell>
          <cell r="C945">
            <v>2019</v>
          </cell>
          <cell r="D945" t="str">
            <v>Qtr 2</v>
          </cell>
          <cell r="E945" t="str">
            <v>April</v>
          </cell>
          <cell r="F945">
            <v>23</v>
          </cell>
          <cell r="G945" t="str">
            <v>MANTENIMIENTO PREVENTIVO</v>
          </cell>
          <cell r="H945">
            <v>0</v>
          </cell>
          <cell r="I945" t="str">
            <v>A4 Mono MFPs</v>
          </cell>
          <cell r="J945">
            <v>468</v>
          </cell>
          <cell r="K945">
            <v>715</v>
          </cell>
          <cell r="L945">
            <v>0</v>
          </cell>
          <cell r="M945">
            <v>0</v>
          </cell>
          <cell r="N945">
            <v>0</v>
          </cell>
          <cell r="O945">
            <v>0.6</v>
          </cell>
          <cell r="P945">
            <v>0.8</v>
          </cell>
          <cell r="Q945">
            <v>1.05</v>
          </cell>
          <cell r="R945" t="str">
            <v>INTERIOR</v>
          </cell>
          <cell r="S945">
            <v>5</v>
          </cell>
          <cell r="T945">
            <v>9</v>
          </cell>
          <cell r="U945" t="str">
            <v>Ciudad principal</v>
          </cell>
          <cell r="V945" t="str">
            <v>A4 Mono MFPs</v>
          </cell>
          <cell r="W945" t="str">
            <v>TAMAULIPAS</v>
          </cell>
          <cell r="X945">
            <v>2019</v>
          </cell>
          <cell r="Y945" t="str">
            <v>Qtr 2</v>
          </cell>
          <cell r="Z945" t="str">
            <v>April</v>
          </cell>
          <cell r="AA945">
            <v>23</v>
          </cell>
          <cell r="AB945">
            <v>0</v>
          </cell>
          <cell r="AC945">
            <v>22</v>
          </cell>
          <cell r="AD945">
            <v>0</v>
          </cell>
          <cell r="AE945">
            <v>0</v>
          </cell>
          <cell r="AF945">
            <v>715</v>
          </cell>
        </row>
        <row r="946">
          <cell r="B946" t="str">
            <v>0BG2947925</v>
          </cell>
          <cell r="C946">
            <v>2019</v>
          </cell>
          <cell r="D946" t="str">
            <v>Qtr 2</v>
          </cell>
          <cell r="E946" t="str">
            <v>April</v>
          </cell>
          <cell r="F946">
            <v>23</v>
          </cell>
          <cell r="G946" t="str">
            <v>MANTENIMIENTO PREVENTIVO</v>
          </cell>
          <cell r="H946">
            <v>0</v>
          </cell>
          <cell r="I946" t="str">
            <v>Light Production Digital Business</v>
          </cell>
          <cell r="J946">
            <v>803</v>
          </cell>
          <cell r="K946">
            <v>1573</v>
          </cell>
          <cell r="L946">
            <v>0.2</v>
          </cell>
          <cell r="M946">
            <v>0.6</v>
          </cell>
          <cell r="N946">
            <v>0.8</v>
          </cell>
          <cell r="O946">
            <v>1.05</v>
          </cell>
          <cell r="P946">
            <v>1.1000000000000001</v>
          </cell>
          <cell r="Q946">
            <v>1.1499999999999999</v>
          </cell>
          <cell r="R946" t="str">
            <v>INTERIOR</v>
          </cell>
          <cell r="S946">
            <v>4</v>
          </cell>
          <cell r="T946">
            <v>6</v>
          </cell>
          <cell r="U946" t="str">
            <v>Ciudad principal</v>
          </cell>
          <cell r="V946" t="str">
            <v>High End Cut Sheet</v>
          </cell>
          <cell r="W946" t="str">
            <v>GUANAJUATO</v>
          </cell>
          <cell r="X946">
            <v>2019</v>
          </cell>
          <cell r="Y946" t="str">
            <v>Qtr 2</v>
          </cell>
          <cell r="Z946" t="str">
            <v>April</v>
          </cell>
          <cell r="AA946">
            <v>23</v>
          </cell>
          <cell r="AB946">
            <v>0</v>
          </cell>
          <cell r="AC946">
            <v>20</v>
          </cell>
          <cell r="AD946">
            <v>0</v>
          </cell>
          <cell r="AE946">
            <v>0</v>
          </cell>
          <cell r="AF946">
            <v>1573</v>
          </cell>
        </row>
        <row r="947">
          <cell r="B947" t="str">
            <v>0BG2939611</v>
          </cell>
          <cell r="C947">
            <v>2019</v>
          </cell>
          <cell r="D947" t="str">
            <v>Qtr 2</v>
          </cell>
          <cell r="E947" t="str">
            <v>April</v>
          </cell>
          <cell r="F947">
            <v>23</v>
          </cell>
          <cell r="G947" t="str">
            <v>MANTENIMIENTO PREVENTIVO</v>
          </cell>
          <cell r="H947">
            <v>0</v>
          </cell>
          <cell r="I947" t="str">
            <v>Light Production Digital Business</v>
          </cell>
          <cell r="J947">
            <v>803</v>
          </cell>
          <cell r="K947">
            <v>1573</v>
          </cell>
          <cell r="L947">
            <v>0.2</v>
          </cell>
          <cell r="M947">
            <v>0.6</v>
          </cell>
          <cell r="N947">
            <v>0.8</v>
          </cell>
          <cell r="O947">
            <v>1.05</v>
          </cell>
          <cell r="P947">
            <v>1.1000000000000001</v>
          </cell>
          <cell r="Q947">
            <v>1.1499999999999999</v>
          </cell>
          <cell r="R947" t="str">
            <v>INTERIOR</v>
          </cell>
          <cell r="S947">
            <v>4</v>
          </cell>
          <cell r="T947">
            <v>6</v>
          </cell>
          <cell r="U947" t="str">
            <v>Ciudad principal</v>
          </cell>
          <cell r="V947" t="str">
            <v>High End Cut Sheet</v>
          </cell>
          <cell r="W947" t="str">
            <v>TAMAULIPAS</v>
          </cell>
          <cell r="X947">
            <v>2019</v>
          </cell>
          <cell r="Y947" t="str">
            <v>Qtr 2</v>
          </cell>
          <cell r="Z947" t="str">
            <v>April</v>
          </cell>
          <cell r="AA947">
            <v>23</v>
          </cell>
          <cell r="AB947">
            <v>0</v>
          </cell>
          <cell r="AC947">
            <v>5</v>
          </cell>
          <cell r="AD947">
            <v>0</v>
          </cell>
          <cell r="AE947">
            <v>0</v>
          </cell>
          <cell r="AF947">
            <v>1573</v>
          </cell>
        </row>
        <row r="948">
          <cell r="B948" t="str">
            <v>0EX9293386</v>
          </cell>
          <cell r="C948">
            <v>2019</v>
          </cell>
          <cell r="D948" t="str">
            <v>Qtr 2</v>
          </cell>
          <cell r="E948" t="str">
            <v>April</v>
          </cell>
          <cell r="F948">
            <v>23</v>
          </cell>
          <cell r="G948" t="str">
            <v>CORRECTIVO</v>
          </cell>
          <cell r="H948">
            <v>0.71666660000000004</v>
          </cell>
          <cell r="I948" t="str">
            <v>Departmental Digital</v>
          </cell>
          <cell r="J948">
            <v>655</v>
          </cell>
          <cell r="K948">
            <v>1365</v>
          </cell>
          <cell r="L948">
            <v>0</v>
          </cell>
          <cell r="M948">
            <v>0</v>
          </cell>
          <cell r="N948">
            <v>0.6</v>
          </cell>
          <cell r="O948">
            <v>0.8</v>
          </cell>
          <cell r="P948">
            <v>1.05</v>
          </cell>
          <cell r="Q948">
            <v>1.1000000000000001</v>
          </cell>
          <cell r="R948" t="str">
            <v>INTERIOR</v>
          </cell>
          <cell r="S948">
            <v>5</v>
          </cell>
          <cell r="T948">
            <v>9</v>
          </cell>
          <cell r="U948" t="str">
            <v>Ciudad principal</v>
          </cell>
          <cell r="V948" t="str">
            <v>Departmental Digital</v>
          </cell>
          <cell r="W948" t="str">
            <v>GUANAJUATO</v>
          </cell>
          <cell r="X948">
            <v>2019</v>
          </cell>
          <cell r="Y948" t="str">
            <v>Qtr 2</v>
          </cell>
          <cell r="Z948" t="str">
            <v>April</v>
          </cell>
          <cell r="AA948">
            <v>23</v>
          </cell>
          <cell r="AB948">
            <v>0</v>
          </cell>
          <cell r="AC948">
            <v>8</v>
          </cell>
          <cell r="AD948">
            <v>0.6</v>
          </cell>
          <cell r="AE948">
            <v>0.14333331999999999</v>
          </cell>
          <cell r="AF948">
            <v>819</v>
          </cell>
        </row>
        <row r="949">
          <cell r="B949" t="str">
            <v>0C7X225095</v>
          </cell>
          <cell r="C949">
            <v>2019</v>
          </cell>
          <cell r="D949" t="str">
            <v>Qtr 2</v>
          </cell>
          <cell r="E949" t="str">
            <v>April</v>
          </cell>
          <cell r="F949">
            <v>23</v>
          </cell>
          <cell r="G949" t="str">
            <v>CORRECTIVO</v>
          </cell>
          <cell r="H949">
            <v>2.4333330000000002</v>
          </cell>
          <cell r="I949" t="str">
            <v>A4 Mono MFPs</v>
          </cell>
          <cell r="J949">
            <v>468</v>
          </cell>
          <cell r="K949">
            <v>715</v>
          </cell>
          <cell r="L949">
            <v>0</v>
          </cell>
          <cell r="M949">
            <v>0</v>
          </cell>
          <cell r="N949">
            <v>0</v>
          </cell>
          <cell r="O949">
            <v>0.6</v>
          </cell>
          <cell r="P949">
            <v>0.8</v>
          </cell>
          <cell r="Q949">
            <v>1.05</v>
          </cell>
          <cell r="R949" t="str">
            <v>INTERIOR</v>
          </cell>
          <cell r="S949">
            <v>5</v>
          </cell>
          <cell r="T949">
            <v>9</v>
          </cell>
          <cell r="U949" t="str">
            <v>Ciudad principal</v>
          </cell>
          <cell r="V949" t="str">
            <v>A4 Mono MFPs</v>
          </cell>
          <cell r="W949" t="str">
            <v>ESTADO DE MEXICO</v>
          </cell>
          <cell r="X949">
            <v>2019</v>
          </cell>
          <cell r="Y949" t="str">
            <v>Qtr 2</v>
          </cell>
          <cell r="Z949" t="str">
            <v>April</v>
          </cell>
          <cell r="AA949">
            <v>25</v>
          </cell>
          <cell r="AB949">
            <v>0</v>
          </cell>
          <cell r="AC949">
            <v>69</v>
          </cell>
          <cell r="AD949">
            <v>1.05</v>
          </cell>
          <cell r="AE949">
            <v>0.4866666</v>
          </cell>
          <cell r="AF949">
            <v>750.75</v>
          </cell>
        </row>
        <row r="950">
          <cell r="B950" t="str">
            <v>0EX9293351</v>
          </cell>
          <cell r="C950">
            <v>2019</v>
          </cell>
          <cell r="D950" t="str">
            <v>Qtr 2</v>
          </cell>
          <cell r="E950" t="str">
            <v>April</v>
          </cell>
          <cell r="F950">
            <v>23</v>
          </cell>
          <cell r="G950" t="str">
            <v>CORRECTIVO</v>
          </cell>
          <cell r="H950">
            <v>1.933333</v>
          </cell>
          <cell r="I950" t="str">
            <v>Departmental Digital</v>
          </cell>
          <cell r="J950">
            <v>655</v>
          </cell>
          <cell r="K950">
            <v>1365</v>
          </cell>
          <cell r="L950">
            <v>0</v>
          </cell>
          <cell r="M950">
            <v>0</v>
          </cell>
          <cell r="N950">
            <v>0.6</v>
          </cell>
          <cell r="O950">
            <v>0.8</v>
          </cell>
          <cell r="P950">
            <v>1.05</v>
          </cell>
          <cell r="Q950">
            <v>1.1000000000000001</v>
          </cell>
          <cell r="R950" t="str">
            <v>INTERIOR</v>
          </cell>
          <cell r="S950">
            <v>5</v>
          </cell>
          <cell r="T950">
            <v>9</v>
          </cell>
          <cell r="U950" t="str">
            <v>Ciudad principal</v>
          </cell>
          <cell r="V950" t="str">
            <v>Departmental Digital</v>
          </cell>
          <cell r="W950" t="str">
            <v>NUEVO LEON</v>
          </cell>
          <cell r="X950">
            <v>2019</v>
          </cell>
          <cell r="Y950" t="str">
            <v>Qtr 2</v>
          </cell>
          <cell r="Z950" t="str">
            <v>April</v>
          </cell>
          <cell r="AA950">
            <v>23</v>
          </cell>
          <cell r="AB950">
            <v>0</v>
          </cell>
          <cell r="AC950">
            <v>64</v>
          </cell>
          <cell r="AD950">
            <v>1.1000000000000001</v>
          </cell>
          <cell r="AE950">
            <v>0.38666660000000003</v>
          </cell>
          <cell r="AF950">
            <v>1501.5</v>
          </cell>
        </row>
        <row r="951">
          <cell r="B951" t="str">
            <v>0XPN548251</v>
          </cell>
          <cell r="C951">
            <v>2019</v>
          </cell>
          <cell r="D951" t="str">
            <v>Qtr 2</v>
          </cell>
          <cell r="E951" t="str">
            <v>April</v>
          </cell>
          <cell r="F951">
            <v>23</v>
          </cell>
          <cell r="G951" t="str">
            <v>CORRECTIVO</v>
          </cell>
          <cell r="H951">
            <v>1.9</v>
          </cell>
          <cell r="I951" t="str">
            <v>Entry Production Color Low/Mid</v>
          </cell>
          <cell r="J951">
            <v>803</v>
          </cell>
          <cell r="K951">
            <v>1573</v>
          </cell>
          <cell r="L951">
            <v>0.2</v>
          </cell>
          <cell r="M951">
            <v>0.6</v>
          </cell>
          <cell r="N951">
            <v>0.8</v>
          </cell>
          <cell r="O951">
            <v>1.05</v>
          </cell>
          <cell r="P951">
            <v>1.1000000000000001</v>
          </cell>
          <cell r="Q951">
            <v>1.1499999999999999</v>
          </cell>
          <cell r="R951" t="str">
            <v>INTERIOR</v>
          </cell>
          <cell r="S951">
            <v>4</v>
          </cell>
          <cell r="T951">
            <v>6</v>
          </cell>
          <cell r="U951" t="str">
            <v>Ciudad principal</v>
          </cell>
          <cell r="V951" t="str">
            <v>Entry Production Color Low/Mid</v>
          </cell>
          <cell r="W951" t="str">
            <v>NUEVO LEON</v>
          </cell>
          <cell r="X951">
            <v>2019</v>
          </cell>
          <cell r="Y951" t="str">
            <v>Qtr 2</v>
          </cell>
          <cell r="Z951" t="str">
            <v>April</v>
          </cell>
          <cell r="AA951">
            <v>23</v>
          </cell>
          <cell r="AB951">
            <v>0</v>
          </cell>
          <cell r="AC951">
            <v>63</v>
          </cell>
          <cell r="AD951">
            <v>1.1499999999999999</v>
          </cell>
          <cell r="AE951">
            <v>0.47499999999999998</v>
          </cell>
          <cell r="AF951">
            <v>1808.95</v>
          </cell>
        </row>
        <row r="952">
          <cell r="B952" t="str">
            <v>0Y4X848752</v>
          </cell>
          <cell r="C952">
            <v>2019</v>
          </cell>
          <cell r="D952" t="str">
            <v>Qtr 2</v>
          </cell>
          <cell r="E952" t="str">
            <v>April</v>
          </cell>
          <cell r="F952">
            <v>23</v>
          </cell>
          <cell r="G952" t="str">
            <v>MANTENIMIENTO PREVENTIVO</v>
          </cell>
          <cell r="H952">
            <v>0</v>
          </cell>
          <cell r="I952" t="str">
            <v>Office Digital</v>
          </cell>
          <cell r="J952">
            <v>655</v>
          </cell>
          <cell r="K952">
            <v>1365</v>
          </cell>
          <cell r="L952">
            <v>0</v>
          </cell>
          <cell r="M952">
            <v>0</v>
          </cell>
          <cell r="N952">
            <v>0.6</v>
          </cell>
          <cell r="O952">
            <v>0.8</v>
          </cell>
          <cell r="P952">
            <v>1.05</v>
          </cell>
          <cell r="Q952">
            <v>1.1000000000000001</v>
          </cell>
          <cell r="R952" t="str">
            <v>INTERIOR</v>
          </cell>
          <cell r="S952">
            <v>5</v>
          </cell>
          <cell r="T952">
            <v>9</v>
          </cell>
          <cell r="U952" t="str">
            <v>Ciudad principal</v>
          </cell>
          <cell r="V952" t="str">
            <v>Light Production Digital Business</v>
          </cell>
          <cell r="W952" t="str">
            <v>JALISCO</v>
          </cell>
          <cell r="X952">
            <v>2019</v>
          </cell>
          <cell r="Y952" t="str">
            <v>Qtr 2</v>
          </cell>
          <cell r="Z952" t="str">
            <v>April</v>
          </cell>
          <cell r="AA952">
            <v>23</v>
          </cell>
          <cell r="AB952">
            <v>1</v>
          </cell>
          <cell r="AC952">
            <v>11</v>
          </cell>
          <cell r="AD952">
            <v>0</v>
          </cell>
          <cell r="AE952">
            <v>0</v>
          </cell>
          <cell r="AF952">
            <v>0</v>
          </cell>
        </row>
        <row r="953">
          <cell r="B953" t="str">
            <v>0BG2947153</v>
          </cell>
          <cell r="C953">
            <v>2019</v>
          </cell>
          <cell r="D953" t="str">
            <v>Qtr 2</v>
          </cell>
          <cell r="E953" t="str">
            <v>April</v>
          </cell>
          <cell r="F953">
            <v>23</v>
          </cell>
          <cell r="G953" t="str">
            <v>MANTENIMIENTO PREVENTIVO</v>
          </cell>
          <cell r="H953">
            <v>0</v>
          </cell>
          <cell r="I953" t="str">
            <v>Light Production Digital Business</v>
          </cell>
          <cell r="J953">
            <v>803</v>
          </cell>
          <cell r="K953">
            <v>1573</v>
          </cell>
          <cell r="L953">
            <v>0.2</v>
          </cell>
          <cell r="M953">
            <v>0.6</v>
          </cell>
          <cell r="N953">
            <v>0.8</v>
          </cell>
          <cell r="O953">
            <v>1.05</v>
          </cell>
          <cell r="P953">
            <v>1.1000000000000001</v>
          </cell>
          <cell r="Q953">
            <v>1.1499999999999999</v>
          </cell>
          <cell r="R953" t="str">
            <v>INTERIOR</v>
          </cell>
          <cell r="S953">
            <v>4</v>
          </cell>
          <cell r="T953">
            <v>6</v>
          </cell>
          <cell r="U953" t="str">
            <v>Ciudad principal</v>
          </cell>
          <cell r="V953" t="str">
            <v>High End Cut Sheet</v>
          </cell>
          <cell r="W953" t="str">
            <v>CHIHUAHUA</v>
          </cell>
          <cell r="X953">
            <v>2019</v>
          </cell>
          <cell r="Y953" t="str">
            <v>Qtr 2</v>
          </cell>
          <cell r="Z953" t="str">
            <v>April</v>
          </cell>
          <cell r="AA953">
            <v>23</v>
          </cell>
          <cell r="AB953">
            <v>0</v>
          </cell>
          <cell r="AC953">
            <v>25</v>
          </cell>
          <cell r="AD953">
            <v>0</v>
          </cell>
          <cell r="AE953">
            <v>0</v>
          </cell>
          <cell r="AF953">
            <v>1573</v>
          </cell>
        </row>
        <row r="954">
          <cell r="B954" t="str">
            <v>09HB331897</v>
          </cell>
          <cell r="C954">
            <v>2019</v>
          </cell>
          <cell r="D954" t="str">
            <v>Qtr 2</v>
          </cell>
          <cell r="E954" t="str">
            <v>April</v>
          </cell>
          <cell r="F954">
            <v>23</v>
          </cell>
          <cell r="G954" t="str">
            <v>MANTENIMIENTO PREVENTIVO</v>
          </cell>
          <cell r="H954">
            <v>0</v>
          </cell>
          <cell r="I954" t="str">
            <v>A4 Mono MFPs</v>
          </cell>
          <cell r="J954">
            <v>468</v>
          </cell>
          <cell r="K954">
            <v>715</v>
          </cell>
          <cell r="L954">
            <v>0</v>
          </cell>
          <cell r="M954">
            <v>0</v>
          </cell>
          <cell r="N954">
            <v>0</v>
          </cell>
          <cell r="O954">
            <v>0.6</v>
          </cell>
          <cell r="P954">
            <v>0.8</v>
          </cell>
          <cell r="Q954">
            <v>1.05</v>
          </cell>
          <cell r="R954" t="str">
            <v>INTERIOR</v>
          </cell>
          <cell r="S954">
            <v>5</v>
          </cell>
          <cell r="T954">
            <v>9</v>
          </cell>
          <cell r="U954" t="str">
            <v>Ciudad principal</v>
          </cell>
          <cell r="V954" t="str">
            <v>A4 Mono MFPs</v>
          </cell>
          <cell r="W954" t="str">
            <v>JALISCO</v>
          </cell>
          <cell r="X954">
            <v>2019</v>
          </cell>
          <cell r="Y954" t="str">
            <v>Qtr 2</v>
          </cell>
          <cell r="Z954" t="str">
            <v>April</v>
          </cell>
          <cell r="AA954">
            <v>23</v>
          </cell>
          <cell r="AB954">
            <v>1</v>
          </cell>
          <cell r="AC954">
            <v>1</v>
          </cell>
          <cell r="AD954">
            <v>0</v>
          </cell>
          <cell r="AE954">
            <v>0</v>
          </cell>
          <cell r="AF954">
            <v>0</v>
          </cell>
        </row>
        <row r="955">
          <cell r="B955" t="str">
            <v>0EX9297565</v>
          </cell>
          <cell r="C955">
            <v>2019</v>
          </cell>
          <cell r="D955" t="str">
            <v>Qtr 2</v>
          </cell>
          <cell r="E955" t="str">
            <v>April</v>
          </cell>
          <cell r="F955">
            <v>23</v>
          </cell>
          <cell r="G955" t="str">
            <v>CORRECTIVO</v>
          </cell>
          <cell r="H955">
            <v>0</v>
          </cell>
          <cell r="I955" t="str">
            <v>Departmental Digital</v>
          </cell>
          <cell r="J955">
            <v>655</v>
          </cell>
          <cell r="K955">
            <v>1365</v>
          </cell>
          <cell r="L955">
            <v>0</v>
          </cell>
          <cell r="M955">
            <v>0</v>
          </cell>
          <cell r="N955">
            <v>0.6</v>
          </cell>
          <cell r="O955">
            <v>0.8</v>
          </cell>
          <cell r="P955">
            <v>1.05</v>
          </cell>
          <cell r="Q955">
            <v>1.1000000000000001</v>
          </cell>
          <cell r="R955" t="str">
            <v>INTERIOR</v>
          </cell>
          <cell r="S955">
            <v>5</v>
          </cell>
          <cell r="T955">
            <v>9</v>
          </cell>
          <cell r="U955" t="str">
            <v>Ciudad principal</v>
          </cell>
          <cell r="V955" t="str">
            <v>Departmental Digital</v>
          </cell>
          <cell r="W955" t="str">
            <v>CHIHUAHUA</v>
          </cell>
          <cell r="X955">
            <v>2019</v>
          </cell>
          <cell r="Y955" t="str">
            <v>Qtr 2</v>
          </cell>
          <cell r="Z955" t="str">
            <v>April</v>
          </cell>
          <cell r="AA955">
            <v>23</v>
          </cell>
          <cell r="AB955">
            <v>0</v>
          </cell>
          <cell r="AC955">
            <v>25</v>
          </cell>
          <cell r="AD955">
            <v>0.8</v>
          </cell>
          <cell r="AE955">
            <v>0</v>
          </cell>
          <cell r="AF955">
            <v>1092</v>
          </cell>
        </row>
        <row r="956">
          <cell r="B956" t="str">
            <v>0EX9293387</v>
          </cell>
          <cell r="C956">
            <v>2019</v>
          </cell>
          <cell r="D956" t="str">
            <v>Qtr 2</v>
          </cell>
          <cell r="E956" t="str">
            <v>April</v>
          </cell>
          <cell r="F956">
            <v>23</v>
          </cell>
          <cell r="G956" t="str">
            <v>CORRECTIVO</v>
          </cell>
          <cell r="H956">
            <v>0.83333330000000005</v>
          </cell>
          <cell r="I956" t="str">
            <v>Departmental Digital</v>
          </cell>
          <cell r="J956">
            <v>655</v>
          </cell>
          <cell r="K956">
            <v>1365</v>
          </cell>
          <cell r="L956">
            <v>0</v>
          </cell>
          <cell r="M956">
            <v>0</v>
          </cell>
          <cell r="N956">
            <v>0.6</v>
          </cell>
          <cell r="O956">
            <v>0.8</v>
          </cell>
          <cell r="P956">
            <v>1.05</v>
          </cell>
          <cell r="Q956">
            <v>1.1000000000000001</v>
          </cell>
          <cell r="R956" t="str">
            <v>INTERIOR</v>
          </cell>
          <cell r="S956">
            <v>5</v>
          </cell>
          <cell r="T956">
            <v>9</v>
          </cell>
          <cell r="U956" t="str">
            <v>Ciudad principal</v>
          </cell>
          <cell r="V956" t="str">
            <v>Departmental Digital</v>
          </cell>
          <cell r="W956" t="str">
            <v>GUANAJUATO</v>
          </cell>
          <cell r="X956">
            <v>2019</v>
          </cell>
          <cell r="Y956" t="str">
            <v>Qtr 2</v>
          </cell>
          <cell r="Z956" t="str">
            <v>April</v>
          </cell>
          <cell r="AA956">
            <v>26</v>
          </cell>
          <cell r="AB956">
            <v>0</v>
          </cell>
          <cell r="AC956">
            <v>8</v>
          </cell>
          <cell r="AD956">
            <v>0.6</v>
          </cell>
          <cell r="AE956">
            <v>0.16666665999999999</v>
          </cell>
          <cell r="AF956">
            <v>819</v>
          </cell>
        </row>
        <row r="957">
          <cell r="B957" t="str">
            <v>09HB331980</v>
          </cell>
          <cell r="C957">
            <v>2019</v>
          </cell>
          <cell r="D957" t="str">
            <v>Qtr 2</v>
          </cell>
          <cell r="E957" t="str">
            <v>April</v>
          </cell>
          <cell r="F957">
            <v>23</v>
          </cell>
          <cell r="G957" t="str">
            <v>MANTENIMIENTO PREVENTIVO</v>
          </cell>
          <cell r="H957">
            <v>0</v>
          </cell>
          <cell r="I957" t="str">
            <v>A4 Mono MFPs</v>
          </cell>
          <cell r="J957">
            <v>468</v>
          </cell>
          <cell r="K957">
            <v>715</v>
          </cell>
          <cell r="L957">
            <v>0</v>
          </cell>
          <cell r="M957">
            <v>0</v>
          </cell>
          <cell r="N957">
            <v>0</v>
          </cell>
          <cell r="O957">
            <v>0.6</v>
          </cell>
          <cell r="P957">
            <v>0.8</v>
          </cell>
          <cell r="Q957">
            <v>1.05</v>
          </cell>
          <cell r="R957" t="str">
            <v>INTERIOR</v>
          </cell>
          <cell r="S957">
            <v>5</v>
          </cell>
          <cell r="T957">
            <v>9</v>
          </cell>
          <cell r="U957" t="str">
            <v>Ciudad principal</v>
          </cell>
          <cell r="V957" t="str">
            <v>A4 Mono MFPs</v>
          </cell>
          <cell r="W957" t="str">
            <v>JALISCO</v>
          </cell>
          <cell r="X957">
            <v>2019</v>
          </cell>
          <cell r="Y957" t="str">
            <v>Qtr 2</v>
          </cell>
          <cell r="Z957" t="str">
            <v>April</v>
          </cell>
          <cell r="AA957">
            <v>23</v>
          </cell>
          <cell r="AB957">
            <v>1</v>
          </cell>
          <cell r="AC957">
            <v>18</v>
          </cell>
          <cell r="AD957">
            <v>0</v>
          </cell>
          <cell r="AE957">
            <v>0</v>
          </cell>
          <cell r="AF957">
            <v>0</v>
          </cell>
        </row>
        <row r="958">
          <cell r="B958" t="str">
            <v>09HB331423</v>
          </cell>
          <cell r="C958">
            <v>2019</v>
          </cell>
          <cell r="D958" t="str">
            <v>Qtr 2</v>
          </cell>
          <cell r="E958" t="str">
            <v>April</v>
          </cell>
          <cell r="F958">
            <v>23</v>
          </cell>
          <cell r="G958" t="str">
            <v>MANTENIMIENTO PREVENTIVO</v>
          </cell>
          <cell r="H958">
            <v>0</v>
          </cell>
          <cell r="J958" t="str">
            <v>NA</v>
          </cell>
          <cell r="K958" t="str">
            <v>NA</v>
          </cell>
          <cell r="L958" t="str">
            <v>NA</v>
          </cell>
          <cell r="M958" t="str">
            <v>NA</v>
          </cell>
          <cell r="N958" t="str">
            <v>NA</v>
          </cell>
          <cell r="O958" t="str">
            <v>NA</v>
          </cell>
          <cell r="P958" t="str">
            <v>NA</v>
          </cell>
          <cell r="Q958" t="str">
            <v>NA</v>
          </cell>
          <cell r="S958" t="str">
            <v>NA</v>
          </cell>
          <cell r="T958" t="str">
            <v>NA</v>
          </cell>
          <cell r="V958" t="str">
            <v>A4 Mono MFPs</v>
          </cell>
          <cell r="W958" t="str">
            <v>JALISCO</v>
          </cell>
          <cell r="X958">
            <v>2019</v>
          </cell>
          <cell r="Y958" t="str">
            <v>Qtr 2</v>
          </cell>
          <cell r="Z958" t="str">
            <v>April</v>
          </cell>
          <cell r="AA958">
            <v>24</v>
          </cell>
          <cell r="AB958" t="str">
            <v>NA</v>
          </cell>
          <cell r="AC958">
            <v>21</v>
          </cell>
          <cell r="AD958">
            <v>0</v>
          </cell>
          <cell r="AE958">
            <v>0</v>
          </cell>
          <cell r="AF958">
            <v>0</v>
          </cell>
        </row>
        <row r="959">
          <cell r="B959" t="str">
            <v>09HB331838</v>
          </cell>
          <cell r="C959">
            <v>2019</v>
          </cell>
          <cell r="D959" t="str">
            <v>Qtr 2</v>
          </cell>
          <cell r="E959" t="str">
            <v>April</v>
          </cell>
          <cell r="F959">
            <v>23</v>
          </cell>
          <cell r="G959" t="str">
            <v>MANTENIMIENTO PREVENTIVO</v>
          </cell>
          <cell r="H959">
            <v>0</v>
          </cell>
          <cell r="J959" t="str">
            <v>NA</v>
          </cell>
          <cell r="K959" t="str">
            <v>NA</v>
          </cell>
          <cell r="L959" t="str">
            <v>NA</v>
          </cell>
          <cell r="M959" t="str">
            <v>NA</v>
          </cell>
          <cell r="N959" t="str">
            <v>NA</v>
          </cell>
          <cell r="O959" t="str">
            <v>NA</v>
          </cell>
          <cell r="P959" t="str">
            <v>NA</v>
          </cell>
          <cell r="Q959" t="str">
            <v>NA</v>
          </cell>
          <cell r="S959" t="str">
            <v>NA</v>
          </cell>
          <cell r="T959" t="str">
            <v>NA</v>
          </cell>
          <cell r="V959" t="str">
            <v>A4 Mono MFPs</v>
          </cell>
          <cell r="W959" t="str">
            <v>JALISCO</v>
          </cell>
          <cell r="X959">
            <v>2019</v>
          </cell>
          <cell r="Y959" t="str">
            <v>Qtr 2</v>
          </cell>
          <cell r="Z959" t="str">
            <v>April</v>
          </cell>
          <cell r="AA959">
            <v>25</v>
          </cell>
          <cell r="AB959" t="str">
            <v>NA</v>
          </cell>
          <cell r="AC959">
            <v>27</v>
          </cell>
          <cell r="AD959">
            <v>0</v>
          </cell>
          <cell r="AE959">
            <v>0</v>
          </cell>
          <cell r="AF959">
            <v>0</v>
          </cell>
        </row>
        <row r="960">
          <cell r="B960" t="str">
            <v>09HB331581</v>
          </cell>
          <cell r="C960">
            <v>2019</v>
          </cell>
          <cell r="D960" t="str">
            <v>Qtr 2</v>
          </cell>
          <cell r="E960" t="str">
            <v>April</v>
          </cell>
          <cell r="F960">
            <v>23</v>
          </cell>
          <cell r="G960" t="str">
            <v>MANTENIMIENTO PREVENTIVO</v>
          </cell>
          <cell r="H960">
            <v>0</v>
          </cell>
          <cell r="J960" t="str">
            <v>NA</v>
          </cell>
          <cell r="K960" t="str">
            <v>NA</v>
          </cell>
          <cell r="L960" t="str">
            <v>NA</v>
          </cell>
          <cell r="M960" t="str">
            <v>NA</v>
          </cell>
          <cell r="N960" t="str">
            <v>NA</v>
          </cell>
          <cell r="O960" t="str">
            <v>NA</v>
          </cell>
          <cell r="P960" t="str">
            <v>NA</v>
          </cell>
          <cell r="Q960" t="str">
            <v>NA</v>
          </cell>
          <cell r="S960" t="str">
            <v>NA</v>
          </cell>
          <cell r="T960" t="str">
            <v>NA</v>
          </cell>
          <cell r="V960" t="str">
            <v>A4 Mono MFPs</v>
          </cell>
          <cell r="W960" t="str">
            <v>JALISCO</v>
          </cell>
          <cell r="X960">
            <v>2019</v>
          </cell>
          <cell r="Y960" t="str">
            <v>Qtr 2</v>
          </cell>
          <cell r="Z960" t="str">
            <v>April</v>
          </cell>
          <cell r="AA960">
            <v>24</v>
          </cell>
          <cell r="AB960" t="str">
            <v>NA</v>
          </cell>
          <cell r="AC960">
            <v>46</v>
          </cell>
          <cell r="AD960">
            <v>0</v>
          </cell>
          <cell r="AE960">
            <v>0</v>
          </cell>
          <cell r="AF960">
            <v>0</v>
          </cell>
        </row>
        <row r="961">
          <cell r="B961" t="str">
            <v>09HB331436</v>
          </cell>
          <cell r="C961">
            <v>2019</v>
          </cell>
          <cell r="D961" t="str">
            <v>Qtr 2</v>
          </cell>
          <cell r="E961" t="str">
            <v>April</v>
          </cell>
          <cell r="F961">
            <v>23</v>
          </cell>
          <cell r="G961" t="str">
            <v>MANTENIMIENTO PREVENTIVO</v>
          </cell>
          <cell r="H961">
            <v>0</v>
          </cell>
          <cell r="J961" t="str">
            <v>NA</v>
          </cell>
          <cell r="K961" t="str">
            <v>NA</v>
          </cell>
          <cell r="L961" t="str">
            <v>NA</v>
          </cell>
          <cell r="M961" t="str">
            <v>NA</v>
          </cell>
          <cell r="N961" t="str">
            <v>NA</v>
          </cell>
          <cell r="O961" t="str">
            <v>NA</v>
          </cell>
          <cell r="P961" t="str">
            <v>NA</v>
          </cell>
          <cell r="Q961" t="str">
            <v>NA</v>
          </cell>
          <cell r="S961" t="str">
            <v>NA</v>
          </cell>
          <cell r="T961" t="str">
            <v>NA</v>
          </cell>
          <cell r="V961" t="str">
            <v>A4 Mono MFPs</v>
          </cell>
          <cell r="W961" t="str">
            <v>JALISCO</v>
          </cell>
          <cell r="X961">
            <v>2019</v>
          </cell>
          <cell r="Y961" t="str">
            <v>Qtr 2</v>
          </cell>
          <cell r="Z961" t="str">
            <v>April</v>
          </cell>
          <cell r="AA961">
            <v>24</v>
          </cell>
          <cell r="AB961" t="str">
            <v>NA</v>
          </cell>
          <cell r="AC961">
            <v>14</v>
          </cell>
          <cell r="AD961">
            <v>0</v>
          </cell>
          <cell r="AE961">
            <v>0</v>
          </cell>
          <cell r="AF961">
            <v>0</v>
          </cell>
        </row>
        <row r="962">
          <cell r="B962" t="str">
            <v>09HB331380</v>
          </cell>
          <cell r="C962">
            <v>2019</v>
          </cell>
          <cell r="D962" t="str">
            <v>Qtr 2</v>
          </cell>
          <cell r="E962" t="str">
            <v>April</v>
          </cell>
          <cell r="F962">
            <v>23</v>
          </cell>
          <cell r="G962" t="str">
            <v>MANTENIMIENTO PREVENTIVO</v>
          </cell>
          <cell r="H962">
            <v>0</v>
          </cell>
          <cell r="J962" t="str">
            <v>NA</v>
          </cell>
          <cell r="K962" t="str">
            <v>NA</v>
          </cell>
          <cell r="L962" t="str">
            <v>NA</v>
          </cell>
          <cell r="M962" t="str">
            <v>NA</v>
          </cell>
          <cell r="N962" t="str">
            <v>NA</v>
          </cell>
          <cell r="O962" t="str">
            <v>NA</v>
          </cell>
          <cell r="P962" t="str">
            <v>NA</v>
          </cell>
          <cell r="Q962" t="str">
            <v>NA</v>
          </cell>
          <cell r="S962" t="str">
            <v>NA</v>
          </cell>
          <cell r="T962" t="str">
            <v>NA</v>
          </cell>
          <cell r="V962" t="str">
            <v>A4 Mono MFPs</v>
          </cell>
          <cell r="W962" t="str">
            <v>JALISCO</v>
          </cell>
          <cell r="X962">
            <v>2019</v>
          </cell>
          <cell r="Y962" t="str">
            <v>Qtr 2</v>
          </cell>
          <cell r="Z962" t="str">
            <v>April</v>
          </cell>
          <cell r="AA962">
            <v>30</v>
          </cell>
          <cell r="AB962" t="str">
            <v>NA</v>
          </cell>
          <cell r="AC962">
            <v>28</v>
          </cell>
          <cell r="AD962">
            <v>0</v>
          </cell>
          <cell r="AE962">
            <v>0</v>
          </cell>
          <cell r="AF962">
            <v>0</v>
          </cell>
        </row>
        <row r="963">
          <cell r="B963" t="str">
            <v>09HB331462</v>
          </cell>
          <cell r="C963">
            <v>2019</v>
          </cell>
          <cell r="D963" t="str">
            <v>Qtr 2</v>
          </cell>
          <cell r="E963" t="str">
            <v>April</v>
          </cell>
          <cell r="F963">
            <v>23</v>
          </cell>
          <cell r="G963" t="str">
            <v>MANTENIMIENTO PREVENTIVO</v>
          </cell>
          <cell r="H963">
            <v>0</v>
          </cell>
          <cell r="J963" t="str">
            <v>NA</v>
          </cell>
          <cell r="K963" t="str">
            <v>NA</v>
          </cell>
          <cell r="L963" t="str">
            <v>NA</v>
          </cell>
          <cell r="M963" t="str">
            <v>NA</v>
          </cell>
          <cell r="N963" t="str">
            <v>NA</v>
          </cell>
          <cell r="O963" t="str">
            <v>NA</v>
          </cell>
          <cell r="P963" t="str">
            <v>NA</v>
          </cell>
          <cell r="Q963" t="str">
            <v>NA</v>
          </cell>
          <cell r="S963" t="str">
            <v>NA</v>
          </cell>
          <cell r="T963" t="str">
            <v>NA</v>
          </cell>
          <cell r="V963" t="str">
            <v>A4 Mono MFPs</v>
          </cell>
          <cell r="W963" t="str">
            <v>JALISCO</v>
          </cell>
          <cell r="X963">
            <v>2019</v>
          </cell>
          <cell r="Y963" t="str">
            <v>Qtr 2</v>
          </cell>
          <cell r="Z963" t="str">
            <v>April</v>
          </cell>
          <cell r="AA963">
            <v>24</v>
          </cell>
          <cell r="AB963" t="str">
            <v>NA</v>
          </cell>
          <cell r="AC963">
            <v>13</v>
          </cell>
          <cell r="AD963">
            <v>0</v>
          </cell>
          <cell r="AE963">
            <v>0</v>
          </cell>
          <cell r="AF963">
            <v>0</v>
          </cell>
        </row>
        <row r="964">
          <cell r="B964" t="str">
            <v>09HB332049</v>
          </cell>
          <cell r="C964">
            <v>2019</v>
          </cell>
          <cell r="D964" t="str">
            <v>Qtr 2</v>
          </cell>
          <cell r="E964" t="str">
            <v>April</v>
          </cell>
          <cell r="F964">
            <v>23</v>
          </cell>
          <cell r="G964" t="str">
            <v>MANTENIMIENTO PREVENTIVO</v>
          </cell>
          <cell r="H964">
            <v>0</v>
          </cell>
          <cell r="I964" t="str">
            <v>A4 Mono MFPs</v>
          </cell>
          <cell r="J964">
            <v>468</v>
          </cell>
          <cell r="K964">
            <v>715</v>
          </cell>
          <cell r="L964">
            <v>0</v>
          </cell>
          <cell r="M964">
            <v>0</v>
          </cell>
          <cell r="N964">
            <v>0</v>
          </cell>
          <cell r="O964">
            <v>0.6</v>
          </cell>
          <cell r="P964">
            <v>0.8</v>
          </cell>
          <cell r="Q964">
            <v>1.05</v>
          </cell>
          <cell r="R964" t="str">
            <v>INTERIOR</v>
          </cell>
          <cell r="S964">
            <v>5</v>
          </cell>
          <cell r="T964">
            <v>9</v>
          </cell>
          <cell r="U964" t="str">
            <v>Ciudad principal</v>
          </cell>
          <cell r="V964" t="str">
            <v>A4 Mono MFPs</v>
          </cell>
          <cell r="W964" t="str">
            <v>JALISCO</v>
          </cell>
          <cell r="X964">
            <v>2019</v>
          </cell>
          <cell r="Y964" t="str">
            <v>Qtr 2</v>
          </cell>
          <cell r="Z964" t="str">
            <v>April</v>
          </cell>
          <cell r="AA964">
            <v>29</v>
          </cell>
          <cell r="AB964">
            <v>1</v>
          </cell>
          <cell r="AC964">
            <v>47</v>
          </cell>
          <cell r="AD964">
            <v>0</v>
          </cell>
          <cell r="AE964">
            <v>0</v>
          </cell>
          <cell r="AF964">
            <v>0</v>
          </cell>
        </row>
        <row r="965">
          <cell r="B965" t="str">
            <v>09HB331429</v>
          </cell>
          <cell r="C965">
            <v>2019</v>
          </cell>
          <cell r="D965" t="str">
            <v>Qtr 2</v>
          </cell>
          <cell r="E965" t="str">
            <v>April</v>
          </cell>
          <cell r="F965">
            <v>23</v>
          </cell>
          <cell r="G965" t="str">
            <v>MANTENIMIENTO PREVENTIVO</v>
          </cell>
          <cell r="H965">
            <v>0.4166667</v>
          </cell>
          <cell r="J965" t="str">
            <v>NA</v>
          </cell>
          <cell r="K965" t="str">
            <v>NA</v>
          </cell>
          <cell r="L965" t="str">
            <v>NA</v>
          </cell>
          <cell r="M965" t="str">
            <v>NA</v>
          </cell>
          <cell r="N965" t="str">
            <v>NA</v>
          </cell>
          <cell r="O965" t="str">
            <v>NA</v>
          </cell>
          <cell r="P965" t="str">
            <v>NA</v>
          </cell>
          <cell r="Q965" t="str">
            <v>NA</v>
          </cell>
          <cell r="S965" t="str">
            <v>NA</v>
          </cell>
          <cell r="T965" t="str">
            <v>NA</v>
          </cell>
          <cell r="V965" t="str">
            <v>A4 Mono MFPs</v>
          </cell>
          <cell r="W965" t="str">
            <v>JALISCO</v>
          </cell>
          <cell r="X965">
            <v>2019</v>
          </cell>
          <cell r="Y965" t="str">
            <v>Qtr 2</v>
          </cell>
          <cell r="Z965" t="str">
            <v>April</v>
          </cell>
          <cell r="AA965">
            <v>24</v>
          </cell>
          <cell r="AB965" t="str">
            <v>NA</v>
          </cell>
          <cell r="AC965">
            <v>28</v>
          </cell>
          <cell r="AD965">
            <v>0</v>
          </cell>
          <cell r="AE965">
            <v>0</v>
          </cell>
          <cell r="AF965">
            <v>0</v>
          </cell>
        </row>
        <row r="966">
          <cell r="B966" t="str">
            <v>09HB331490</v>
          </cell>
          <cell r="C966">
            <v>2019</v>
          </cell>
          <cell r="D966" t="str">
            <v>Qtr 2</v>
          </cell>
          <cell r="E966" t="str">
            <v>April</v>
          </cell>
          <cell r="F966">
            <v>23</v>
          </cell>
          <cell r="G966" t="str">
            <v>MANTENIMIENTO PREVENTIVO</v>
          </cell>
          <cell r="H966">
            <v>0.43333329999999998</v>
          </cell>
          <cell r="J966" t="str">
            <v>NA</v>
          </cell>
          <cell r="K966" t="str">
            <v>NA</v>
          </cell>
          <cell r="L966" t="str">
            <v>NA</v>
          </cell>
          <cell r="M966" t="str">
            <v>NA</v>
          </cell>
          <cell r="N966" t="str">
            <v>NA</v>
          </cell>
          <cell r="O966" t="str">
            <v>NA</v>
          </cell>
          <cell r="P966" t="str">
            <v>NA</v>
          </cell>
          <cell r="Q966" t="str">
            <v>NA</v>
          </cell>
          <cell r="S966" t="str">
            <v>NA</v>
          </cell>
          <cell r="T966" t="str">
            <v>NA</v>
          </cell>
          <cell r="V966" t="str">
            <v>A4 Mono MFPs</v>
          </cell>
          <cell r="W966" t="str">
            <v>JALISCO</v>
          </cell>
          <cell r="X966">
            <v>2019</v>
          </cell>
          <cell r="Y966" t="str">
            <v>Qtr 2</v>
          </cell>
          <cell r="Z966" t="str">
            <v>April</v>
          </cell>
          <cell r="AA966">
            <v>24</v>
          </cell>
          <cell r="AB966" t="str">
            <v>NA</v>
          </cell>
          <cell r="AC966">
            <v>13</v>
          </cell>
          <cell r="AD966">
            <v>0</v>
          </cell>
          <cell r="AE966">
            <v>0</v>
          </cell>
          <cell r="AF966">
            <v>0</v>
          </cell>
        </row>
        <row r="967">
          <cell r="B967" t="str">
            <v>09HB331758</v>
          </cell>
          <cell r="C967">
            <v>2019</v>
          </cell>
          <cell r="D967" t="str">
            <v>Qtr 2</v>
          </cell>
          <cell r="E967" t="str">
            <v>April</v>
          </cell>
          <cell r="F967">
            <v>23</v>
          </cell>
          <cell r="G967" t="str">
            <v>MANTENIMIENTO PREVENTIVO</v>
          </cell>
          <cell r="H967">
            <v>0</v>
          </cell>
          <cell r="I967" t="str">
            <v>A4 Mono MFPs</v>
          </cell>
          <cell r="J967">
            <v>468</v>
          </cell>
          <cell r="K967">
            <v>715</v>
          </cell>
          <cell r="L967">
            <v>0</v>
          </cell>
          <cell r="M967">
            <v>0</v>
          </cell>
          <cell r="N967">
            <v>0</v>
          </cell>
          <cell r="O967">
            <v>0.6</v>
          </cell>
          <cell r="P967">
            <v>0.8</v>
          </cell>
          <cell r="Q967">
            <v>1.05</v>
          </cell>
          <cell r="R967" t="str">
            <v>INTERIOR</v>
          </cell>
          <cell r="S967">
            <v>5</v>
          </cell>
          <cell r="T967">
            <v>9</v>
          </cell>
          <cell r="U967" t="str">
            <v>Ciudad principal</v>
          </cell>
          <cell r="V967" t="str">
            <v>A4 Mono MFPs</v>
          </cell>
          <cell r="W967" t="str">
            <v>JALISCO</v>
          </cell>
          <cell r="X967">
            <v>2019</v>
          </cell>
          <cell r="Y967" t="str">
            <v>Qtr 2</v>
          </cell>
          <cell r="Z967" t="str">
            <v>April</v>
          </cell>
          <cell r="AA967">
            <v>29</v>
          </cell>
          <cell r="AB967">
            <v>1</v>
          </cell>
          <cell r="AC967">
            <v>6</v>
          </cell>
          <cell r="AD967">
            <v>0</v>
          </cell>
          <cell r="AE967">
            <v>0</v>
          </cell>
          <cell r="AF967">
            <v>0</v>
          </cell>
        </row>
        <row r="968">
          <cell r="B968" t="str">
            <v>09HB331572</v>
          </cell>
          <cell r="C968">
            <v>2019</v>
          </cell>
          <cell r="D968" t="str">
            <v>Qtr 2</v>
          </cell>
          <cell r="E968" t="str">
            <v>April</v>
          </cell>
          <cell r="F968">
            <v>23</v>
          </cell>
          <cell r="G968" t="str">
            <v>MANTENIMIENTO PREVENTIVO</v>
          </cell>
          <cell r="H968">
            <v>0</v>
          </cell>
          <cell r="J968" t="str">
            <v>NA</v>
          </cell>
          <cell r="K968" t="str">
            <v>NA</v>
          </cell>
          <cell r="L968" t="str">
            <v>NA</v>
          </cell>
          <cell r="M968" t="str">
            <v>NA</v>
          </cell>
          <cell r="N968" t="str">
            <v>NA</v>
          </cell>
          <cell r="O968" t="str">
            <v>NA</v>
          </cell>
          <cell r="P968" t="str">
            <v>NA</v>
          </cell>
          <cell r="Q968" t="str">
            <v>NA</v>
          </cell>
          <cell r="S968" t="str">
            <v>NA</v>
          </cell>
          <cell r="T968" t="str">
            <v>NA</v>
          </cell>
          <cell r="V968" t="str">
            <v>A4 Mono MFPs</v>
          </cell>
          <cell r="W968" t="str">
            <v>JALISCO</v>
          </cell>
          <cell r="X968">
            <v>2019</v>
          </cell>
          <cell r="Y968" t="str">
            <v>Qtr 2</v>
          </cell>
          <cell r="Z968" t="str">
            <v>April</v>
          </cell>
          <cell r="AA968">
            <v>29</v>
          </cell>
          <cell r="AB968" t="str">
            <v>NA</v>
          </cell>
          <cell r="AC968">
            <v>62</v>
          </cell>
          <cell r="AD968">
            <v>0</v>
          </cell>
          <cell r="AE968">
            <v>0</v>
          </cell>
          <cell r="AF968">
            <v>0</v>
          </cell>
        </row>
        <row r="969">
          <cell r="B969" t="str">
            <v>09HB332003</v>
          </cell>
          <cell r="C969">
            <v>2019</v>
          </cell>
          <cell r="D969" t="str">
            <v>Qtr 2</v>
          </cell>
          <cell r="E969" t="str">
            <v>April</v>
          </cell>
          <cell r="F969">
            <v>23</v>
          </cell>
          <cell r="G969" t="str">
            <v>MANTENIMIENTO PREVENTIVO</v>
          </cell>
          <cell r="H969">
            <v>0</v>
          </cell>
          <cell r="J969" t="str">
            <v>NA</v>
          </cell>
          <cell r="K969" t="str">
            <v>NA</v>
          </cell>
          <cell r="L969" t="str">
            <v>NA</v>
          </cell>
          <cell r="M969" t="str">
            <v>NA</v>
          </cell>
          <cell r="N969" t="str">
            <v>NA</v>
          </cell>
          <cell r="O969" t="str">
            <v>NA</v>
          </cell>
          <cell r="P969" t="str">
            <v>NA</v>
          </cell>
          <cell r="Q969" t="str">
            <v>NA</v>
          </cell>
          <cell r="S969" t="str">
            <v>NA</v>
          </cell>
          <cell r="T969" t="str">
            <v>NA</v>
          </cell>
          <cell r="V969" t="str">
            <v>A4 Mono MFPs</v>
          </cell>
          <cell r="W969" t="str">
            <v>JALISCO</v>
          </cell>
          <cell r="X969">
            <v>2019</v>
          </cell>
          <cell r="Y969" t="str">
            <v>Qtr 2</v>
          </cell>
          <cell r="Z969" t="str">
            <v>April</v>
          </cell>
          <cell r="AA969">
            <v>30</v>
          </cell>
          <cell r="AB969" t="str">
            <v>NA</v>
          </cell>
          <cell r="AC969">
            <v>1</v>
          </cell>
          <cell r="AD969">
            <v>0</v>
          </cell>
          <cell r="AE969">
            <v>0</v>
          </cell>
          <cell r="AF969">
            <v>0</v>
          </cell>
        </row>
        <row r="970">
          <cell r="B970" t="str">
            <v>09HB331501</v>
          </cell>
          <cell r="C970">
            <v>2019</v>
          </cell>
          <cell r="D970" t="str">
            <v>Qtr 2</v>
          </cell>
          <cell r="E970" t="str">
            <v>April</v>
          </cell>
          <cell r="F970">
            <v>23</v>
          </cell>
          <cell r="G970" t="str">
            <v>MANTENIMIENTO PREVENTIVO</v>
          </cell>
          <cell r="H970">
            <v>0</v>
          </cell>
          <cell r="I970" t="str">
            <v>A4 Mono MFPs</v>
          </cell>
          <cell r="J970">
            <v>468</v>
          </cell>
          <cell r="K970">
            <v>715</v>
          </cell>
          <cell r="L970">
            <v>0</v>
          </cell>
          <cell r="M970">
            <v>0</v>
          </cell>
          <cell r="N970">
            <v>0</v>
          </cell>
          <cell r="O970">
            <v>0.6</v>
          </cell>
          <cell r="P970">
            <v>0.8</v>
          </cell>
          <cell r="Q970">
            <v>1.05</v>
          </cell>
          <cell r="R970" t="str">
            <v>INTERIOR</v>
          </cell>
          <cell r="S970">
            <v>5</v>
          </cell>
          <cell r="T970">
            <v>9</v>
          </cell>
          <cell r="U970" t="str">
            <v>Ciudad principal</v>
          </cell>
          <cell r="V970" t="str">
            <v>A4 Mono MFPs</v>
          </cell>
          <cell r="W970" t="str">
            <v>JALISCO</v>
          </cell>
          <cell r="X970">
            <v>2019</v>
          </cell>
          <cell r="Y970" t="str">
            <v>Qtr 2</v>
          </cell>
          <cell r="Z970" t="str">
            <v>April</v>
          </cell>
          <cell r="AA970">
            <v>29</v>
          </cell>
          <cell r="AB970">
            <v>1</v>
          </cell>
          <cell r="AC970">
            <v>39</v>
          </cell>
          <cell r="AD970">
            <v>0</v>
          </cell>
          <cell r="AE970">
            <v>0</v>
          </cell>
          <cell r="AF970">
            <v>0</v>
          </cell>
        </row>
        <row r="971">
          <cell r="B971" t="str">
            <v>09HB331367</v>
          </cell>
          <cell r="C971">
            <v>2019</v>
          </cell>
          <cell r="D971" t="str">
            <v>Qtr 2</v>
          </cell>
          <cell r="E971" t="str">
            <v>April</v>
          </cell>
          <cell r="F971">
            <v>23</v>
          </cell>
          <cell r="G971" t="str">
            <v>MANTENIMIENTO PREVENTIVO</v>
          </cell>
          <cell r="H971">
            <v>0</v>
          </cell>
          <cell r="J971" t="str">
            <v>NA</v>
          </cell>
          <cell r="K971" t="str">
            <v>NA</v>
          </cell>
          <cell r="L971" t="str">
            <v>NA</v>
          </cell>
          <cell r="M971" t="str">
            <v>NA</v>
          </cell>
          <cell r="N971" t="str">
            <v>NA</v>
          </cell>
          <cell r="O971" t="str">
            <v>NA</v>
          </cell>
          <cell r="P971" t="str">
            <v>NA</v>
          </cell>
          <cell r="Q971" t="str">
            <v>NA</v>
          </cell>
          <cell r="S971" t="str">
            <v>NA</v>
          </cell>
          <cell r="T971" t="str">
            <v>NA</v>
          </cell>
          <cell r="V971" t="str">
            <v>A4 Mono MFPs</v>
          </cell>
          <cell r="W971" t="str">
            <v>JALISCO</v>
          </cell>
          <cell r="X971">
            <v>2019</v>
          </cell>
          <cell r="Y971" t="str">
            <v>Qtr 2</v>
          </cell>
          <cell r="Z971" t="str">
            <v>April</v>
          </cell>
          <cell r="AA971">
            <v>29</v>
          </cell>
          <cell r="AB971" t="str">
            <v>NA</v>
          </cell>
          <cell r="AC971">
            <v>62</v>
          </cell>
          <cell r="AD971">
            <v>0</v>
          </cell>
          <cell r="AE971">
            <v>0</v>
          </cell>
          <cell r="AF971">
            <v>0</v>
          </cell>
        </row>
        <row r="972">
          <cell r="B972" t="str">
            <v>09HB332048</v>
          </cell>
          <cell r="C972">
            <v>2019</v>
          </cell>
          <cell r="D972" t="str">
            <v>Qtr 2</v>
          </cell>
          <cell r="E972" t="str">
            <v>April</v>
          </cell>
          <cell r="F972">
            <v>23</v>
          </cell>
          <cell r="G972" t="str">
            <v>MANTENIMIENTO PREVENTIVO</v>
          </cell>
          <cell r="H972">
            <v>0</v>
          </cell>
          <cell r="I972" t="str">
            <v>A4 Mono MFPs</v>
          </cell>
          <cell r="J972">
            <v>468</v>
          </cell>
          <cell r="K972">
            <v>715</v>
          </cell>
          <cell r="L972">
            <v>0</v>
          </cell>
          <cell r="M972">
            <v>0</v>
          </cell>
          <cell r="N972">
            <v>0</v>
          </cell>
          <cell r="O972">
            <v>0.6</v>
          </cell>
          <cell r="P972">
            <v>0.8</v>
          </cell>
          <cell r="Q972">
            <v>1.05</v>
          </cell>
          <cell r="R972" t="str">
            <v>INTERIOR</v>
          </cell>
          <cell r="S972">
            <v>5</v>
          </cell>
          <cell r="T972">
            <v>9</v>
          </cell>
          <cell r="U972" t="str">
            <v>Ciudad principal</v>
          </cell>
          <cell r="V972" t="str">
            <v>A4 Mono MFPs</v>
          </cell>
          <cell r="W972" t="str">
            <v>JALISCO</v>
          </cell>
          <cell r="X972">
            <v>2019</v>
          </cell>
          <cell r="Y972" t="str">
            <v>Qtr 2</v>
          </cell>
          <cell r="Z972" t="str">
            <v>April</v>
          </cell>
          <cell r="AA972">
            <v>29</v>
          </cell>
          <cell r="AB972">
            <v>1</v>
          </cell>
          <cell r="AC972">
            <v>56</v>
          </cell>
          <cell r="AD972">
            <v>0</v>
          </cell>
          <cell r="AE972">
            <v>0</v>
          </cell>
          <cell r="AF972">
            <v>0</v>
          </cell>
        </row>
        <row r="973">
          <cell r="B973" t="str">
            <v>09HB331365</v>
          </cell>
          <cell r="C973">
            <v>2019</v>
          </cell>
          <cell r="D973" t="str">
            <v>Qtr 2</v>
          </cell>
          <cell r="E973" t="str">
            <v>April</v>
          </cell>
          <cell r="F973">
            <v>23</v>
          </cell>
          <cell r="G973" t="str">
            <v>MANTENIMIENTO PREVENTIVO</v>
          </cell>
          <cell r="H973">
            <v>0</v>
          </cell>
          <cell r="I973" t="str">
            <v>A4 Mono MFPs</v>
          </cell>
          <cell r="J973">
            <v>468</v>
          </cell>
          <cell r="K973">
            <v>715</v>
          </cell>
          <cell r="L973">
            <v>0</v>
          </cell>
          <cell r="M973">
            <v>0</v>
          </cell>
          <cell r="N973">
            <v>0</v>
          </cell>
          <cell r="O973">
            <v>0.6</v>
          </cell>
          <cell r="P973">
            <v>0.8</v>
          </cell>
          <cell r="Q973">
            <v>1.05</v>
          </cell>
          <cell r="R973" t="str">
            <v>INTERIOR</v>
          </cell>
          <cell r="S973">
            <v>5</v>
          </cell>
          <cell r="T973">
            <v>9</v>
          </cell>
          <cell r="U973" t="str">
            <v>Ciudad principal</v>
          </cell>
          <cell r="V973" t="str">
            <v>A4 Mono MFPs</v>
          </cell>
          <cell r="W973" t="str">
            <v>JALISCO</v>
          </cell>
          <cell r="X973">
            <v>2019</v>
          </cell>
          <cell r="Y973" t="str">
            <v>Qtr 2</v>
          </cell>
          <cell r="Z973" t="str">
            <v>April</v>
          </cell>
          <cell r="AA973">
            <v>29</v>
          </cell>
          <cell r="AB973">
            <v>1</v>
          </cell>
          <cell r="AC973">
            <v>34</v>
          </cell>
          <cell r="AD973">
            <v>0</v>
          </cell>
          <cell r="AE973">
            <v>0</v>
          </cell>
          <cell r="AF973">
            <v>0</v>
          </cell>
        </row>
        <row r="974">
          <cell r="B974" t="str">
            <v>09HB331828</v>
          </cell>
          <cell r="C974">
            <v>2019</v>
          </cell>
          <cell r="D974" t="str">
            <v>Qtr 2</v>
          </cell>
          <cell r="E974" t="str">
            <v>April</v>
          </cell>
          <cell r="F974">
            <v>23</v>
          </cell>
          <cell r="G974" t="str">
            <v>MANTENIMIENTO PREVENTIVO</v>
          </cell>
          <cell r="H974">
            <v>0</v>
          </cell>
          <cell r="J974" t="str">
            <v>NA</v>
          </cell>
          <cell r="K974" t="str">
            <v>NA</v>
          </cell>
          <cell r="L974" t="str">
            <v>NA</v>
          </cell>
          <cell r="M974" t="str">
            <v>NA</v>
          </cell>
          <cell r="N974" t="str">
            <v>NA</v>
          </cell>
          <cell r="O974" t="str">
            <v>NA</v>
          </cell>
          <cell r="P974" t="str">
            <v>NA</v>
          </cell>
          <cell r="Q974" t="str">
            <v>NA</v>
          </cell>
          <cell r="S974" t="str">
            <v>NA</v>
          </cell>
          <cell r="T974" t="str">
            <v>NA</v>
          </cell>
          <cell r="V974" t="str">
            <v>A4 Mono MFPs</v>
          </cell>
          <cell r="W974" t="str">
            <v>JALISCO</v>
          </cell>
          <cell r="X974">
            <v>2019</v>
          </cell>
          <cell r="Y974" t="str">
            <v>Qtr 2</v>
          </cell>
          <cell r="Z974" t="str">
            <v>April</v>
          </cell>
          <cell r="AA974">
            <v>25</v>
          </cell>
          <cell r="AB974" t="str">
            <v>NA</v>
          </cell>
          <cell r="AC974">
            <v>18</v>
          </cell>
          <cell r="AD974">
            <v>0</v>
          </cell>
          <cell r="AE974">
            <v>0</v>
          </cell>
          <cell r="AF974">
            <v>0</v>
          </cell>
        </row>
        <row r="975">
          <cell r="B975" t="str">
            <v>0LX5822381</v>
          </cell>
          <cell r="C975">
            <v>2019</v>
          </cell>
          <cell r="D975" t="str">
            <v>Qtr 2</v>
          </cell>
          <cell r="E975" t="str">
            <v>April</v>
          </cell>
          <cell r="F975">
            <v>23</v>
          </cell>
          <cell r="G975" t="str">
            <v>CORRECTIVO</v>
          </cell>
          <cell r="H975">
            <v>0</v>
          </cell>
          <cell r="I975" t="str">
            <v>A3 Office Color Laser MFPs</v>
          </cell>
          <cell r="J975">
            <v>655</v>
          </cell>
          <cell r="K975">
            <v>1365</v>
          </cell>
          <cell r="L975">
            <v>0</v>
          </cell>
          <cell r="M975">
            <v>0</v>
          </cell>
          <cell r="N975">
            <v>0.6</v>
          </cell>
          <cell r="O975">
            <v>0.8</v>
          </cell>
          <cell r="P975">
            <v>1.05</v>
          </cell>
          <cell r="Q975">
            <v>1.1000000000000001</v>
          </cell>
          <cell r="R975" t="str">
            <v>INTERIOR</v>
          </cell>
          <cell r="S975">
            <v>5</v>
          </cell>
          <cell r="T975">
            <v>9</v>
          </cell>
          <cell r="U975" t="str">
            <v>Ciudad principal</v>
          </cell>
          <cell r="V975" t="str">
            <v>A3 Office Color Laser MFPs</v>
          </cell>
          <cell r="W975" t="str">
            <v>CHIHUAHUA</v>
          </cell>
          <cell r="X975">
            <v>2019</v>
          </cell>
          <cell r="Y975" t="str">
            <v>Qtr 2</v>
          </cell>
          <cell r="Z975" t="str">
            <v>April</v>
          </cell>
          <cell r="AA975">
            <v>23</v>
          </cell>
          <cell r="AB975">
            <v>0</v>
          </cell>
          <cell r="AC975">
            <v>12</v>
          </cell>
          <cell r="AD975">
            <v>0.6</v>
          </cell>
          <cell r="AE975">
            <v>0</v>
          </cell>
          <cell r="AF975">
            <v>819</v>
          </cell>
        </row>
        <row r="976">
          <cell r="B976" t="str">
            <v>0BB1564112</v>
          </cell>
          <cell r="C976">
            <v>2019</v>
          </cell>
          <cell r="D976" t="str">
            <v>Qtr 2</v>
          </cell>
          <cell r="E976" t="str">
            <v>April</v>
          </cell>
          <cell r="F976">
            <v>23</v>
          </cell>
          <cell r="G976" t="str">
            <v>CORRECTIVO</v>
          </cell>
          <cell r="H976">
            <v>0</v>
          </cell>
          <cell r="I976" t="str">
            <v>A4 Mono MFPs</v>
          </cell>
          <cell r="J976">
            <v>468</v>
          </cell>
          <cell r="K976">
            <v>715</v>
          </cell>
          <cell r="L976">
            <v>0</v>
          </cell>
          <cell r="M976">
            <v>0</v>
          </cell>
          <cell r="N976">
            <v>0</v>
          </cell>
          <cell r="O976">
            <v>0.6</v>
          </cell>
          <cell r="P976">
            <v>0.8</v>
          </cell>
          <cell r="Q976">
            <v>1.05</v>
          </cell>
          <cell r="R976" t="str">
            <v>INTERIOR</v>
          </cell>
          <cell r="S976">
            <v>5</v>
          </cell>
          <cell r="T976">
            <v>9</v>
          </cell>
          <cell r="U976" t="str">
            <v>Ciudad principal</v>
          </cell>
          <cell r="V976" t="str">
            <v>A4 Mono MFPs</v>
          </cell>
          <cell r="W976" t="str">
            <v>CHIHUAHUA</v>
          </cell>
          <cell r="X976">
            <v>2019</v>
          </cell>
          <cell r="Y976" t="str">
            <v>Qtr 2</v>
          </cell>
          <cell r="Z976" t="str">
            <v>April</v>
          </cell>
          <cell r="AA976">
            <v>23</v>
          </cell>
          <cell r="AB976">
            <v>0</v>
          </cell>
          <cell r="AC976">
            <v>0</v>
          </cell>
          <cell r="AD976">
            <v>1.05</v>
          </cell>
          <cell r="AE976">
            <v>0</v>
          </cell>
          <cell r="AF976">
            <v>750.75</v>
          </cell>
        </row>
        <row r="977">
          <cell r="B977" t="str">
            <v>0X76373202</v>
          </cell>
          <cell r="C977">
            <v>2019</v>
          </cell>
          <cell r="D977" t="str">
            <v>Qtr 2</v>
          </cell>
          <cell r="E977" t="str">
            <v>April</v>
          </cell>
          <cell r="F977">
            <v>23</v>
          </cell>
          <cell r="G977" t="str">
            <v>CORRECTIVO</v>
          </cell>
          <cell r="H977">
            <v>0</v>
          </cell>
          <cell r="I977" t="str">
            <v>Office Digital</v>
          </cell>
          <cell r="J977">
            <v>655</v>
          </cell>
          <cell r="K977">
            <v>1365</v>
          </cell>
          <cell r="L977">
            <v>0</v>
          </cell>
          <cell r="M977">
            <v>0</v>
          </cell>
          <cell r="N977">
            <v>0.6</v>
          </cell>
          <cell r="O977">
            <v>0.8</v>
          </cell>
          <cell r="P977">
            <v>1.05</v>
          </cell>
          <cell r="Q977">
            <v>1.1000000000000001</v>
          </cell>
          <cell r="R977" t="str">
            <v>INTERIOR</v>
          </cell>
          <cell r="S977">
            <v>5</v>
          </cell>
          <cell r="T977">
            <v>9</v>
          </cell>
          <cell r="U977" t="str">
            <v>Ciudad principal</v>
          </cell>
          <cell r="V977" t="str">
            <v>Departmental Digital</v>
          </cell>
          <cell r="W977" t="str">
            <v>CHIHUAHUA</v>
          </cell>
          <cell r="X977">
            <v>2019</v>
          </cell>
          <cell r="Y977" t="str">
            <v>Qtr 2</v>
          </cell>
          <cell r="Z977" t="str">
            <v>April</v>
          </cell>
          <cell r="AA977">
            <v>23</v>
          </cell>
          <cell r="AB977">
            <v>0</v>
          </cell>
          <cell r="AC977">
            <v>104</v>
          </cell>
          <cell r="AD977">
            <v>1.1000000000000001</v>
          </cell>
          <cell r="AE977">
            <v>0</v>
          </cell>
          <cell r="AF977">
            <v>1501.5</v>
          </cell>
        </row>
        <row r="978">
          <cell r="B978" t="str">
            <v>0D6X470918</v>
          </cell>
          <cell r="C978">
            <v>2019</v>
          </cell>
          <cell r="D978" t="str">
            <v>Qtr 2</v>
          </cell>
          <cell r="E978" t="str">
            <v>April</v>
          </cell>
          <cell r="F978">
            <v>23</v>
          </cell>
          <cell r="G978" t="str">
            <v>MANTENIMIENTO PREVENTIVO</v>
          </cell>
          <cell r="H978">
            <v>0</v>
          </cell>
          <cell r="J978" t="str">
            <v>NA</v>
          </cell>
          <cell r="K978" t="str">
            <v>NA</v>
          </cell>
          <cell r="L978" t="str">
            <v>NA</v>
          </cell>
          <cell r="M978" t="str">
            <v>NA</v>
          </cell>
          <cell r="N978" t="str">
            <v>NA</v>
          </cell>
          <cell r="O978" t="str">
            <v>NA</v>
          </cell>
          <cell r="P978" t="str">
            <v>NA</v>
          </cell>
          <cell r="Q978" t="str">
            <v>NA</v>
          </cell>
          <cell r="S978" t="str">
            <v>NA</v>
          </cell>
          <cell r="T978" t="str">
            <v>NA</v>
          </cell>
          <cell r="V978" t="str">
            <v>Entry Mono Printers</v>
          </cell>
          <cell r="W978" t="str">
            <v>COAHUILA</v>
          </cell>
          <cell r="X978">
            <v>2019</v>
          </cell>
          <cell r="Y978" t="str">
            <v>Qtr 2</v>
          </cell>
          <cell r="Z978" t="str">
            <v>April</v>
          </cell>
          <cell r="AA978">
            <v>23</v>
          </cell>
          <cell r="AB978" t="str">
            <v>NA</v>
          </cell>
          <cell r="AC978">
            <v>33</v>
          </cell>
          <cell r="AD978">
            <v>0</v>
          </cell>
          <cell r="AE978">
            <v>0</v>
          </cell>
          <cell r="AF978">
            <v>0</v>
          </cell>
        </row>
        <row r="979">
          <cell r="B979" t="str">
            <v>0EX9293087</v>
          </cell>
          <cell r="C979">
            <v>2019</v>
          </cell>
          <cell r="D979" t="str">
            <v>Qtr 2</v>
          </cell>
          <cell r="E979" t="str">
            <v>April</v>
          </cell>
          <cell r="F979">
            <v>23</v>
          </cell>
          <cell r="G979" t="str">
            <v>CORRECTIVO</v>
          </cell>
          <cell r="H979">
            <v>2.8</v>
          </cell>
          <cell r="I979" t="str">
            <v>Departmental Digital</v>
          </cell>
          <cell r="J979">
            <v>655</v>
          </cell>
          <cell r="K979">
            <v>1365</v>
          </cell>
          <cell r="L979">
            <v>0</v>
          </cell>
          <cell r="M979">
            <v>0</v>
          </cell>
          <cell r="N979">
            <v>0.6</v>
          </cell>
          <cell r="O979">
            <v>0.8</v>
          </cell>
          <cell r="P979">
            <v>1.05</v>
          </cell>
          <cell r="Q979">
            <v>1.1000000000000001</v>
          </cell>
          <cell r="R979" t="str">
            <v>INTERIOR</v>
          </cell>
          <cell r="S979">
            <v>5</v>
          </cell>
          <cell r="T979">
            <v>9</v>
          </cell>
          <cell r="U979" t="str">
            <v>Ciudad principal</v>
          </cell>
          <cell r="V979" t="str">
            <v>Departmental Digital</v>
          </cell>
          <cell r="W979" t="str">
            <v>NUEVO LEON</v>
          </cell>
          <cell r="X979">
            <v>2019</v>
          </cell>
          <cell r="Y979" t="str">
            <v>Qtr 2</v>
          </cell>
          <cell r="Z979" t="str">
            <v>April</v>
          </cell>
          <cell r="AA979">
            <v>23</v>
          </cell>
          <cell r="AB979">
            <v>0</v>
          </cell>
          <cell r="AC979">
            <v>32</v>
          </cell>
          <cell r="AD979">
            <v>1.05</v>
          </cell>
          <cell r="AE979">
            <v>0.56000000000000005</v>
          </cell>
          <cell r="AF979">
            <v>1433.25</v>
          </cell>
        </row>
        <row r="980">
          <cell r="B980" t="str">
            <v>09HB331548</v>
          </cell>
          <cell r="C980">
            <v>2019</v>
          </cell>
          <cell r="D980" t="str">
            <v>Qtr 2</v>
          </cell>
          <cell r="E980" t="str">
            <v>April</v>
          </cell>
          <cell r="F980">
            <v>23</v>
          </cell>
          <cell r="G980" t="str">
            <v>MANTENIMIENTO PREVENTIVO</v>
          </cell>
          <cell r="H980">
            <v>0</v>
          </cell>
          <cell r="I980" t="str">
            <v>A4 Mono MFPs</v>
          </cell>
          <cell r="J980">
            <v>468</v>
          </cell>
          <cell r="K980">
            <v>715</v>
          </cell>
          <cell r="L980">
            <v>0</v>
          </cell>
          <cell r="M980">
            <v>0</v>
          </cell>
          <cell r="N980">
            <v>0</v>
          </cell>
          <cell r="O980">
            <v>0.6</v>
          </cell>
          <cell r="P980">
            <v>0.8</v>
          </cell>
          <cell r="Q980">
            <v>1.05</v>
          </cell>
          <cell r="R980" t="str">
            <v>INTERIOR</v>
          </cell>
          <cell r="S980">
            <v>5</v>
          </cell>
          <cell r="T980">
            <v>9</v>
          </cell>
          <cell r="U980" t="str">
            <v>Ciudad principal</v>
          </cell>
          <cell r="V980" t="str">
            <v>A4 Mono MFPs</v>
          </cell>
          <cell r="W980" t="str">
            <v>JALISCO</v>
          </cell>
          <cell r="X980">
            <v>2019</v>
          </cell>
          <cell r="Y980" t="str">
            <v>Qtr 2</v>
          </cell>
          <cell r="Z980" t="str">
            <v>April</v>
          </cell>
          <cell r="AA980">
            <v>29</v>
          </cell>
          <cell r="AB980">
            <v>1</v>
          </cell>
          <cell r="AC980">
            <v>19</v>
          </cell>
          <cell r="AD980">
            <v>0</v>
          </cell>
          <cell r="AE980">
            <v>0</v>
          </cell>
          <cell r="AF980">
            <v>0</v>
          </cell>
        </row>
        <row r="981">
          <cell r="B981" t="str">
            <v>0Y4X849017</v>
          </cell>
          <cell r="C981">
            <v>2019</v>
          </cell>
          <cell r="D981" t="str">
            <v>Qtr 2</v>
          </cell>
          <cell r="E981" t="str">
            <v>April</v>
          </cell>
          <cell r="F981">
            <v>23</v>
          </cell>
          <cell r="G981" t="str">
            <v>MANTENIMIENTO PREVENTIVO</v>
          </cell>
          <cell r="H981">
            <v>0</v>
          </cell>
          <cell r="I981" t="str">
            <v>Office Digital</v>
          </cell>
          <cell r="J981">
            <v>655</v>
          </cell>
          <cell r="K981">
            <v>1365</v>
          </cell>
          <cell r="L981">
            <v>0</v>
          </cell>
          <cell r="M981">
            <v>0</v>
          </cell>
          <cell r="N981">
            <v>0.6</v>
          </cell>
          <cell r="O981">
            <v>0.8</v>
          </cell>
          <cell r="P981">
            <v>1.05</v>
          </cell>
          <cell r="Q981">
            <v>1.1000000000000001</v>
          </cell>
          <cell r="R981" t="str">
            <v>INTERIOR</v>
          </cell>
          <cell r="S981">
            <v>5</v>
          </cell>
          <cell r="T981">
            <v>9</v>
          </cell>
          <cell r="U981" t="str">
            <v>Ciudad principal</v>
          </cell>
          <cell r="V981" t="str">
            <v>Light Production Digital Business</v>
          </cell>
          <cell r="W981" t="str">
            <v>JALISCO</v>
          </cell>
          <cell r="X981">
            <v>2019</v>
          </cell>
          <cell r="Y981" t="str">
            <v>Qtr 2</v>
          </cell>
          <cell r="Z981" t="str">
            <v>April</v>
          </cell>
          <cell r="AA981">
            <v>29</v>
          </cell>
          <cell r="AB981">
            <v>1</v>
          </cell>
          <cell r="AC981">
            <v>19</v>
          </cell>
          <cell r="AD981">
            <v>0</v>
          </cell>
          <cell r="AE981">
            <v>0</v>
          </cell>
          <cell r="AF981">
            <v>0</v>
          </cell>
        </row>
        <row r="982">
          <cell r="B982" t="str">
            <v>0EX9293121</v>
          </cell>
          <cell r="C982">
            <v>2019</v>
          </cell>
          <cell r="D982" t="str">
            <v>Qtr 2</v>
          </cell>
          <cell r="E982" t="str">
            <v>April</v>
          </cell>
          <cell r="F982">
            <v>23</v>
          </cell>
          <cell r="G982" t="str">
            <v>CORRECTIVO</v>
          </cell>
          <cell r="H982">
            <v>3.4166669999999999</v>
          </cell>
          <cell r="I982" t="str">
            <v>Departmental Digital</v>
          </cell>
          <cell r="J982">
            <v>655</v>
          </cell>
          <cell r="K982">
            <v>1365</v>
          </cell>
          <cell r="L982">
            <v>0</v>
          </cell>
          <cell r="M982">
            <v>0</v>
          </cell>
          <cell r="N982">
            <v>0.6</v>
          </cell>
          <cell r="O982">
            <v>0.8</v>
          </cell>
          <cell r="P982">
            <v>1.05</v>
          </cell>
          <cell r="Q982">
            <v>1.1000000000000001</v>
          </cell>
          <cell r="R982" t="str">
            <v>INTERIOR</v>
          </cell>
          <cell r="S982">
            <v>5</v>
          </cell>
          <cell r="T982">
            <v>9</v>
          </cell>
          <cell r="U982" t="str">
            <v>Ciudad principal</v>
          </cell>
          <cell r="V982" t="str">
            <v>Departmental Digital</v>
          </cell>
          <cell r="W982" t="str">
            <v>NUEVO LEON</v>
          </cell>
          <cell r="X982">
            <v>2019</v>
          </cell>
          <cell r="Y982" t="str">
            <v>Qtr 2</v>
          </cell>
          <cell r="Z982" t="str">
            <v>April</v>
          </cell>
          <cell r="AA982">
            <v>23</v>
          </cell>
          <cell r="AB982">
            <v>0</v>
          </cell>
          <cell r="AC982">
            <v>7</v>
          </cell>
          <cell r="AD982">
            <v>0.6</v>
          </cell>
          <cell r="AE982">
            <v>0.68333339999999998</v>
          </cell>
          <cell r="AF982">
            <v>819</v>
          </cell>
        </row>
        <row r="983">
          <cell r="B983" t="str">
            <v>09HB333888</v>
          </cell>
          <cell r="C983">
            <v>2019</v>
          </cell>
          <cell r="D983" t="str">
            <v>Qtr 2</v>
          </cell>
          <cell r="E983" t="str">
            <v>April</v>
          </cell>
          <cell r="F983">
            <v>23</v>
          </cell>
          <cell r="G983" t="str">
            <v>MANTENIMIENTO PREVENTIVO</v>
          </cell>
          <cell r="H983">
            <v>0</v>
          </cell>
          <cell r="J983" t="str">
            <v>NA</v>
          </cell>
          <cell r="K983" t="str">
            <v>NA</v>
          </cell>
          <cell r="L983" t="str">
            <v>NA</v>
          </cell>
          <cell r="M983" t="str">
            <v>NA</v>
          </cell>
          <cell r="N983" t="str">
            <v>NA</v>
          </cell>
          <cell r="O983" t="str">
            <v>NA</v>
          </cell>
          <cell r="P983" t="str">
            <v>NA</v>
          </cell>
          <cell r="Q983" t="str">
            <v>NA</v>
          </cell>
          <cell r="S983" t="str">
            <v>NA</v>
          </cell>
          <cell r="T983" t="str">
            <v>NA</v>
          </cell>
          <cell r="V983" t="str">
            <v>A4 Mono MFPs</v>
          </cell>
          <cell r="W983" t="str">
            <v>JALISCO</v>
          </cell>
          <cell r="X983">
            <v>2019</v>
          </cell>
          <cell r="Y983" t="str">
            <v>Qtr 2</v>
          </cell>
          <cell r="Z983" t="str">
            <v>April</v>
          </cell>
          <cell r="AA983">
            <v>29</v>
          </cell>
          <cell r="AB983" t="str">
            <v>NA</v>
          </cell>
          <cell r="AC983">
            <v>8</v>
          </cell>
          <cell r="AD983">
            <v>0</v>
          </cell>
          <cell r="AE983">
            <v>0</v>
          </cell>
          <cell r="AF983">
            <v>0</v>
          </cell>
        </row>
        <row r="984">
          <cell r="B984" t="str">
            <v>03AG882104</v>
          </cell>
          <cell r="C984">
            <v>2019</v>
          </cell>
          <cell r="D984" t="str">
            <v>Qtr 2</v>
          </cell>
          <cell r="E984" t="str">
            <v>April</v>
          </cell>
          <cell r="F984">
            <v>23</v>
          </cell>
          <cell r="G984" t="str">
            <v>MANTENIMIENTO PREVENTIVO</v>
          </cell>
          <cell r="H984">
            <v>0</v>
          </cell>
          <cell r="I984" t="str">
            <v>Departmental Digital</v>
          </cell>
          <cell r="J984">
            <v>655</v>
          </cell>
          <cell r="K984">
            <v>1365</v>
          </cell>
          <cell r="L984">
            <v>0</v>
          </cell>
          <cell r="M984">
            <v>0</v>
          </cell>
          <cell r="N984">
            <v>0.6</v>
          </cell>
          <cell r="O984">
            <v>0.8</v>
          </cell>
          <cell r="P984">
            <v>1.05</v>
          </cell>
          <cell r="Q984">
            <v>1.1000000000000001</v>
          </cell>
          <cell r="R984" t="str">
            <v>INTERIOR</v>
          </cell>
          <cell r="S984">
            <v>5</v>
          </cell>
          <cell r="T984">
            <v>9</v>
          </cell>
          <cell r="U984" t="str">
            <v>Ciudad principal</v>
          </cell>
          <cell r="V984" t="str">
            <v>Light Production Digital Business</v>
          </cell>
          <cell r="W984" t="str">
            <v>JALISCO</v>
          </cell>
          <cell r="X984">
            <v>2019</v>
          </cell>
          <cell r="Y984" t="str">
            <v>Qtr 2</v>
          </cell>
          <cell r="Z984" t="str">
            <v>April</v>
          </cell>
          <cell r="AA984">
            <v>29</v>
          </cell>
          <cell r="AB984">
            <v>0</v>
          </cell>
          <cell r="AC984">
            <v>34</v>
          </cell>
          <cell r="AD984">
            <v>0</v>
          </cell>
          <cell r="AE984">
            <v>0</v>
          </cell>
          <cell r="AF984">
            <v>1365</v>
          </cell>
        </row>
        <row r="985">
          <cell r="B985" t="str">
            <v>09HB331586</v>
          </cell>
          <cell r="C985">
            <v>2019</v>
          </cell>
          <cell r="D985" t="str">
            <v>Qtr 2</v>
          </cell>
          <cell r="E985" t="str">
            <v>April</v>
          </cell>
          <cell r="F985">
            <v>23</v>
          </cell>
          <cell r="G985" t="str">
            <v>MANTENIMIENTO PREVENTIVO</v>
          </cell>
          <cell r="H985">
            <v>0</v>
          </cell>
          <cell r="I985" t="str">
            <v>A4 Mono MFPs</v>
          </cell>
          <cell r="J985">
            <v>468</v>
          </cell>
          <cell r="K985">
            <v>715</v>
          </cell>
          <cell r="L985">
            <v>0</v>
          </cell>
          <cell r="M985">
            <v>0</v>
          </cell>
          <cell r="N985">
            <v>0</v>
          </cell>
          <cell r="O985">
            <v>0.6</v>
          </cell>
          <cell r="P985">
            <v>0.8</v>
          </cell>
          <cell r="Q985">
            <v>1.05</v>
          </cell>
          <cell r="R985" t="str">
            <v>INTERIOR</v>
          </cell>
          <cell r="S985">
            <v>5</v>
          </cell>
          <cell r="T985">
            <v>9</v>
          </cell>
          <cell r="U985" t="str">
            <v>Ciudad principal</v>
          </cell>
          <cell r="V985" t="str">
            <v>A4 Mono MFPs</v>
          </cell>
          <cell r="W985" t="str">
            <v>JALISCO</v>
          </cell>
          <cell r="X985">
            <v>2019</v>
          </cell>
          <cell r="Y985" t="str">
            <v>Qtr 2</v>
          </cell>
          <cell r="Z985" t="str">
            <v>April</v>
          </cell>
          <cell r="AA985">
            <v>29</v>
          </cell>
          <cell r="AB985">
            <v>1</v>
          </cell>
          <cell r="AC985">
            <v>19</v>
          </cell>
          <cell r="AD985">
            <v>0</v>
          </cell>
          <cell r="AE985">
            <v>0</v>
          </cell>
          <cell r="AF985">
            <v>0</v>
          </cell>
        </row>
        <row r="986">
          <cell r="B986" t="str">
            <v>0BG1001361</v>
          </cell>
          <cell r="C986">
            <v>2019</v>
          </cell>
          <cell r="D986" t="str">
            <v>Qtr 2</v>
          </cell>
          <cell r="E986" t="str">
            <v>April</v>
          </cell>
          <cell r="F986">
            <v>23</v>
          </cell>
          <cell r="G986" t="str">
            <v>CORRECTIVO</v>
          </cell>
          <cell r="H986">
            <v>0.9</v>
          </cell>
          <cell r="I986" t="str">
            <v>Light Production Digital Business</v>
          </cell>
          <cell r="J986">
            <v>803</v>
          </cell>
          <cell r="K986">
            <v>1573</v>
          </cell>
          <cell r="L986">
            <v>0.2</v>
          </cell>
          <cell r="M986">
            <v>0.6</v>
          </cell>
          <cell r="N986">
            <v>0.8</v>
          </cell>
          <cell r="O986">
            <v>1.05</v>
          </cell>
          <cell r="P986">
            <v>1.1000000000000001</v>
          </cell>
          <cell r="Q986">
            <v>1.1499999999999999</v>
          </cell>
          <cell r="R986" t="str">
            <v>INTERIOR</v>
          </cell>
          <cell r="S986">
            <v>4</v>
          </cell>
          <cell r="T986">
            <v>6</v>
          </cell>
          <cell r="U986" t="str">
            <v>Ciudad principal</v>
          </cell>
          <cell r="V986" t="str">
            <v>High End Cut Sheet</v>
          </cell>
          <cell r="W986" t="str">
            <v>CHIHUAHUA</v>
          </cell>
          <cell r="X986">
            <v>2019</v>
          </cell>
          <cell r="Y986" t="str">
            <v>Qtr 2</v>
          </cell>
          <cell r="Z986" t="str">
            <v>April</v>
          </cell>
          <cell r="AA986">
            <v>24</v>
          </cell>
          <cell r="AB986">
            <v>0</v>
          </cell>
          <cell r="AC986">
            <v>39</v>
          </cell>
          <cell r="AD986">
            <v>1.1000000000000001</v>
          </cell>
          <cell r="AE986">
            <v>0.22500000000000001</v>
          </cell>
          <cell r="AF986">
            <v>1730.3</v>
          </cell>
        </row>
        <row r="987">
          <cell r="B987" t="str">
            <v>0AE9566035</v>
          </cell>
          <cell r="C987">
            <v>2019</v>
          </cell>
          <cell r="D987" t="str">
            <v>Qtr 2</v>
          </cell>
          <cell r="E987" t="str">
            <v>April</v>
          </cell>
          <cell r="F987">
            <v>23</v>
          </cell>
          <cell r="G987" t="str">
            <v>CORRECTIVO</v>
          </cell>
          <cell r="H987">
            <v>0</v>
          </cell>
          <cell r="I987" t="str">
            <v>Office Digital</v>
          </cell>
          <cell r="J987">
            <v>655</v>
          </cell>
          <cell r="K987">
            <v>1365</v>
          </cell>
          <cell r="L987">
            <v>0</v>
          </cell>
          <cell r="M987">
            <v>0</v>
          </cell>
          <cell r="N987">
            <v>0.6</v>
          </cell>
          <cell r="O987">
            <v>0.8</v>
          </cell>
          <cell r="P987">
            <v>1.05</v>
          </cell>
          <cell r="Q987">
            <v>1.1000000000000001</v>
          </cell>
          <cell r="R987" t="str">
            <v>INTERIOR</v>
          </cell>
          <cell r="S987">
            <v>5</v>
          </cell>
          <cell r="T987">
            <v>9</v>
          </cell>
          <cell r="U987" t="str">
            <v>Ciudad principal</v>
          </cell>
          <cell r="V987" t="str">
            <v>Departmental Digital</v>
          </cell>
          <cell r="W987" t="str">
            <v>CHIHUAHUA</v>
          </cell>
          <cell r="X987">
            <v>2019</v>
          </cell>
          <cell r="Y987" t="str">
            <v>Qtr 2</v>
          </cell>
          <cell r="Z987" t="str">
            <v>April</v>
          </cell>
          <cell r="AA987">
            <v>24</v>
          </cell>
          <cell r="AB987">
            <v>0</v>
          </cell>
          <cell r="AC987">
            <v>110</v>
          </cell>
          <cell r="AD987">
            <v>1.1000000000000001</v>
          </cell>
          <cell r="AE987">
            <v>0</v>
          </cell>
          <cell r="AF987">
            <v>1501.5</v>
          </cell>
        </row>
        <row r="988">
          <cell r="B988" t="str">
            <v>0Y4X826347</v>
          </cell>
          <cell r="C988">
            <v>2019</v>
          </cell>
          <cell r="D988" t="str">
            <v>Qtr 2</v>
          </cell>
          <cell r="E988" t="str">
            <v>April</v>
          </cell>
          <cell r="F988">
            <v>23</v>
          </cell>
          <cell r="G988" t="str">
            <v>CORRECTIVO</v>
          </cell>
          <cell r="H988">
            <v>1.85</v>
          </cell>
          <cell r="I988" t="str">
            <v>Office Digital</v>
          </cell>
          <cell r="J988">
            <v>655</v>
          </cell>
          <cell r="K988">
            <v>1365</v>
          </cell>
          <cell r="L988">
            <v>0</v>
          </cell>
          <cell r="M988">
            <v>0</v>
          </cell>
          <cell r="N988">
            <v>0.6</v>
          </cell>
          <cell r="O988">
            <v>0.8</v>
          </cell>
          <cell r="P988">
            <v>1.05</v>
          </cell>
          <cell r="Q988">
            <v>1.1000000000000001</v>
          </cell>
          <cell r="R988" t="str">
            <v>INTERIOR</v>
          </cell>
          <cell r="S988">
            <v>5</v>
          </cell>
          <cell r="T988">
            <v>9</v>
          </cell>
          <cell r="U988" t="str">
            <v>Ciudad principal</v>
          </cell>
          <cell r="V988" t="str">
            <v>Light Production Digital Business</v>
          </cell>
          <cell r="W988" t="str">
            <v>TAMAULIPAS</v>
          </cell>
          <cell r="X988">
            <v>2019</v>
          </cell>
          <cell r="Y988" t="str">
            <v>Qtr 2</v>
          </cell>
          <cell r="Z988" t="str">
            <v>April</v>
          </cell>
          <cell r="AA988">
            <v>30</v>
          </cell>
          <cell r="AB988">
            <v>0</v>
          </cell>
          <cell r="AC988">
            <v>69</v>
          </cell>
          <cell r="AD988">
            <v>1.1000000000000001</v>
          </cell>
          <cell r="AE988">
            <v>0.37</v>
          </cell>
          <cell r="AF988">
            <v>1501.5</v>
          </cell>
        </row>
        <row r="989">
          <cell r="B989" t="str">
            <v>0C7X239181</v>
          </cell>
          <cell r="C989">
            <v>2019</v>
          </cell>
          <cell r="D989" t="str">
            <v>Qtr 2</v>
          </cell>
          <cell r="E989" t="str">
            <v>April</v>
          </cell>
          <cell r="F989">
            <v>23</v>
          </cell>
          <cell r="G989" t="str">
            <v>CORRECTIVO</v>
          </cell>
          <cell r="H989">
            <v>0</v>
          </cell>
          <cell r="I989" t="str">
            <v>A4 Mono MFPs</v>
          </cell>
          <cell r="J989">
            <v>468</v>
          </cell>
          <cell r="K989">
            <v>715</v>
          </cell>
          <cell r="L989">
            <v>0</v>
          </cell>
          <cell r="M989">
            <v>0</v>
          </cell>
          <cell r="N989">
            <v>0</v>
          </cell>
          <cell r="O989">
            <v>0.6</v>
          </cell>
          <cell r="P989">
            <v>0.8</v>
          </cell>
          <cell r="Q989">
            <v>1.05</v>
          </cell>
          <cell r="R989" t="str">
            <v>INTERIOR</v>
          </cell>
          <cell r="S989">
            <v>5</v>
          </cell>
          <cell r="T989">
            <v>9</v>
          </cell>
          <cell r="U989" t="str">
            <v>Ciudad principal</v>
          </cell>
          <cell r="V989" t="str">
            <v>A4 Mono MFPs</v>
          </cell>
          <cell r="W989" t="str">
            <v>CHIHUAHUA</v>
          </cell>
          <cell r="X989">
            <v>2019</v>
          </cell>
          <cell r="Y989" t="str">
            <v>Qtr 2</v>
          </cell>
          <cell r="Z989" t="str">
            <v>April</v>
          </cell>
          <cell r="AA989">
            <v>23</v>
          </cell>
          <cell r="AB989">
            <v>1</v>
          </cell>
          <cell r="AC989">
            <v>41</v>
          </cell>
          <cell r="AD989">
            <v>0</v>
          </cell>
          <cell r="AE989">
            <v>0</v>
          </cell>
          <cell r="AF989">
            <v>0</v>
          </cell>
        </row>
        <row r="990">
          <cell r="B990" t="str">
            <v>0BPB110653</v>
          </cell>
          <cell r="C990">
            <v>2019</v>
          </cell>
          <cell r="D990" t="str">
            <v>Qtr 2</v>
          </cell>
          <cell r="E990" t="str">
            <v>April</v>
          </cell>
          <cell r="F990">
            <v>23</v>
          </cell>
          <cell r="G990" t="str">
            <v>CORRECTIVO</v>
          </cell>
          <cell r="H990">
            <v>3.6833330000000002</v>
          </cell>
          <cell r="J990" t="str">
            <v>NA</v>
          </cell>
          <cell r="K990" t="str">
            <v>NA</v>
          </cell>
          <cell r="L990" t="str">
            <v>NA</v>
          </cell>
          <cell r="M990" t="str">
            <v>NA</v>
          </cell>
          <cell r="N990" t="str">
            <v>NA</v>
          </cell>
          <cell r="O990" t="str">
            <v>NA</v>
          </cell>
          <cell r="P990" t="str">
            <v>NA</v>
          </cell>
          <cell r="Q990" t="str">
            <v>NA</v>
          </cell>
          <cell r="S990" t="str">
            <v>NA</v>
          </cell>
          <cell r="T990" t="str">
            <v>NA</v>
          </cell>
          <cell r="V990" t="str">
            <v>High End Cut Sheet</v>
          </cell>
          <cell r="W990" t="str">
            <v>JALISCO</v>
          </cell>
          <cell r="X990">
            <v>2019</v>
          </cell>
          <cell r="Y990" t="str">
            <v>Qtr 2</v>
          </cell>
          <cell r="Z990" t="str">
            <v>April</v>
          </cell>
          <cell r="AA990">
            <v>24</v>
          </cell>
          <cell r="AB990" t="str">
            <v>NA</v>
          </cell>
          <cell r="AC990">
            <v>20</v>
          </cell>
          <cell r="AD990">
            <v>0</v>
          </cell>
          <cell r="AE990">
            <v>0</v>
          </cell>
          <cell r="AF990">
            <v>0</v>
          </cell>
        </row>
        <row r="991">
          <cell r="B991" t="str">
            <v>06HB014103</v>
          </cell>
          <cell r="C991">
            <v>2019</v>
          </cell>
          <cell r="D991" t="str">
            <v>Qtr 2</v>
          </cell>
          <cell r="E991" t="str">
            <v>April</v>
          </cell>
          <cell r="F991">
            <v>23</v>
          </cell>
          <cell r="G991" t="str">
            <v>CORRECTIVO</v>
          </cell>
          <cell r="H991">
            <v>2.1</v>
          </cell>
          <cell r="I991" t="str">
            <v>Entry Mono Printers</v>
          </cell>
          <cell r="J991">
            <v>468</v>
          </cell>
          <cell r="K991">
            <v>715</v>
          </cell>
          <cell r="L991">
            <v>0</v>
          </cell>
          <cell r="M991">
            <v>0</v>
          </cell>
          <cell r="N991">
            <v>0</v>
          </cell>
          <cell r="O991">
            <v>0.6</v>
          </cell>
          <cell r="P991">
            <v>0.8</v>
          </cell>
          <cell r="Q991">
            <v>1.05</v>
          </cell>
          <cell r="R991" t="str">
            <v>INTERIOR</v>
          </cell>
          <cell r="S991">
            <v>5</v>
          </cell>
          <cell r="T991">
            <v>9</v>
          </cell>
          <cell r="U991" t="str">
            <v>Ciudad principal</v>
          </cell>
          <cell r="V991" t="str">
            <v>A4 Mono MFPs</v>
          </cell>
          <cell r="W991" t="str">
            <v>NUEVO LEON</v>
          </cell>
          <cell r="X991">
            <v>2019</v>
          </cell>
          <cell r="Y991" t="str">
            <v>Qtr 2</v>
          </cell>
          <cell r="Z991" t="str">
            <v>April</v>
          </cell>
          <cell r="AA991">
            <v>23</v>
          </cell>
          <cell r="AB991">
            <v>0</v>
          </cell>
          <cell r="AC991">
            <v>4</v>
          </cell>
          <cell r="AD991">
            <v>0</v>
          </cell>
          <cell r="AE991">
            <v>0.42</v>
          </cell>
          <cell r="AF991">
            <v>0</v>
          </cell>
        </row>
        <row r="992">
          <cell r="B992" t="str">
            <v>0A2T143867</v>
          </cell>
          <cell r="C992">
            <v>2019</v>
          </cell>
          <cell r="D992" t="str">
            <v>Qtr 2</v>
          </cell>
          <cell r="E992" t="str">
            <v>April</v>
          </cell>
          <cell r="F992">
            <v>23</v>
          </cell>
          <cell r="G992" t="str">
            <v>CORRECTIVO</v>
          </cell>
          <cell r="H992">
            <v>1.933333</v>
          </cell>
          <cell r="J992" t="str">
            <v>NA</v>
          </cell>
          <cell r="K992" t="str">
            <v>NA</v>
          </cell>
          <cell r="L992" t="str">
            <v>NA</v>
          </cell>
          <cell r="M992" t="str">
            <v>NA</v>
          </cell>
          <cell r="N992" t="str">
            <v>NA</v>
          </cell>
          <cell r="O992" t="str">
            <v>NA</v>
          </cell>
          <cell r="P992" t="str">
            <v>NA</v>
          </cell>
          <cell r="Q992" t="str">
            <v>NA</v>
          </cell>
          <cell r="S992" t="str">
            <v>NA</v>
          </cell>
          <cell r="T992" t="str">
            <v>NA</v>
          </cell>
          <cell r="V992" t="str">
            <v>A4 Mono MFPs</v>
          </cell>
          <cell r="W992" t="str">
            <v>NUEVO LEON</v>
          </cell>
          <cell r="X992">
            <v>2019</v>
          </cell>
          <cell r="Y992" t="str">
            <v>Qtr 2</v>
          </cell>
          <cell r="Z992" t="str">
            <v>April</v>
          </cell>
          <cell r="AA992">
            <v>23</v>
          </cell>
          <cell r="AB992" t="str">
            <v>NA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</row>
        <row r="993">
          <cell r="B993" t="str">
            <v>09HB331486</v>
          </cell>
          <cell r="C993">
            <v>2019</v>
          </cell>
          <cell r="D993" t="str">
            <v>Qtr 2</v>
          </cell>
          <cell r="E993" t="str">
            <v>April</v>
          </cell>
          <cell r="F993">
            <v>23</v>
          </cell>
          <cell r="G993" t="str">
            <v>MANTENIMIENTO PREVENTIVO</v>
          </cell>
          <cell r="H993">
            <v>0.05</v>
          </cell>
          <cell r="I993" t="str">
            <v>A4 Mono MFPs</v>
          </cell>
          <cell r="J993">
            <v>468</v>
          </cell>
          <cell r="K993">
            <v>715</v>
          </cell>
          <cell r="L993">
            <v>0</v>
          </cell>
          <cell r="M993">
            <v>0</v>
          </cell>
          <cell r="N993">
            <v>0</v>
          </cell>
          <cell r="O993">
            <v>0.6</v>
          </cell>
          <cell r="P993">
            <v>0.8</v>
          </cell>
          <cell r="Q993">
            <v>1.05</v>
          </cell>
          <cell r="R993" t="str">
            <v>INTERIOR</v>
          </cell>
          <cell r="S993">
            <v>5</v>
          </cell>
          <cell r="T993">
            <v>9</v>
          </cell>
          <cell r="U993" t="str">
            <v>Ciudad principal</v>
          </cell>
          <cell r="V993" t="str">
            <v>A4 Mono MFPs</v>
          </cell>
          <cell r="W993" t="str">
            <v>JALISCO</v>
          </cell>
          <cell r="X993">
            <v>2019</v>
          </cell>
          <cell r="Y993" t="str">
            <v>Qtr 2</v>
          </cell>
          <cell r="Z993" t="str">
            <v>April</v>
          </cell>
          <cell r="AA993">
            <v>29</v>
          </cell>
          <cell r="AB993">
            <v>1</v>
          </cell>
          <cell r="AC993">
            <v>41</v>
          </cell>
          <cell r="AD993">
            <v>0</v>
          </cell>
          <cell r="AE993">
            <v>0</v>
          </cell>
          <cell r="AF993">
            <v>0</v>
          </cell>
        </row>
        <row r="994">
          <cell r="B994" t="str">
            <v>09HB331464</v>
          </cell>
          <cell r="C994">
            <v>2019</v>
          </cell>
          <cell r="D994" t="str">
            <v>Qtr 2</v>
          </cell>
          <cell r="E994" t="str">
            <v>April</v>
          </cell>
          <cell r="F994">
            <v>23</v>
          </cell>
          <cell r="G994" t="str">
            <v>MANTENIMIENTO PREVENTIVO</v>
          </cell>
          <cell r="H994">
            <v>3.3333340000000003E-2</v>
          </cell>
          <cell r="J994" t="str">
            <v>NA</v>
          </cell>
          <cell r="K994" t="str">
            <v>NA</v>
          </cell>
          <cell r="L994" t="str">
            <v>NA</v>
          </cell>
          <cell r="M994" t="str">
            <v>NA</v>
          </cell>
          <cell r="N994" t="str">
            <v>NA</v>
          </cell>
          <cell r="O994" t="str">
            <v>NA</v>
          </cell>
          <cell r="P994" t="str">
            <v>NA</v>
          </cell>
          <cell r="Q994" t="str">
            <v>NA</v>
          </cell>
          <cell r="S994" t="str">
            <v>NA</v>
          </cell>
          <cell r="T994" t="str">
            <v>NA</v>
          </cell>
          <cell r="V994" t="str">
            <v>A4 Mono MFPs</v>
          </cell>
          <cell r="W994" t="str">
            <v>JALISCO</v>
          </cell>
          <cell r="X994">
            <v>2019</v>
          </cell>
          <cell r="Y994" t="str">
            <v>Qtr 2</v>
          </cell>
          <cell r="Z994" t="str">
            <v>April</v>
          </cell>
          <cell r="AA994">
            <v>29</v>
          </cell>
          <cell r="AB994" t="str">
            <v>NA</v>
          </cell>
          <cell r="AC994">
            <v>19</v>
          </cell>
          <cell r="AD994">
            <v>0</v>
          </cell>
          <cell r="AE994">
            <v>0</v>
          </cell>
          <cell r="AF994">
            <v>0</v>
          </cell>
        </row>
        <row r="995">
          <cell r="B995" t="str">
            <v>09HB331557</v>
          </cell>
          <cell r="C995">
            <v>2019</v>
          </cell>
          <cell r="D995" t="str">
            <v>Qtr 2</v>
          </cell>
          <cell r="E995" t="str">
            <v>April</v>
          </cell>
          <cell r="F995">
            <v>23</v>
          </cell>
          <cell r="G995" t="str">
            <v>MANTENIMIENTO PREVENTIVO</v>
          </cell>
          <cell r="H995">
            <v>0.05</v>
          </cell>
          <cell r="J995" t="str">
            <v>NA</v>
          </cell>
          <cell r="K995" t="str">
            <v>NA</v>
          </cell>
          <cell r="L995" t="str">
            <v>NA</v>
          </cell>
          <cell r="M995" t="str">
            <v>NA</v>
          </cell>
          <cell r="N995" t="str">
            <v>NA</v>
          </cell>
          <cell r="O995" t="str">
            <v>NA</v>
          </cell>
          <cell r="P995" t="str">
            <v>NA</v>
          </cell>
          <cell r="Q995" t="str">
            <v>NA</v>
          </cell>
          <cell r="S995" t="str">
            <v>NA</v>
          </cell>
          <cell r="T995" t="str">
            <v>NA</v>
          </cell>
          <cell r="V995" t="str">
            <v>A4 Mono MFPs</v>
          </cell>
          <cell r="W995" t="str">
            <v>JALISCO</v>
          </cell>
          <cell r="X995">
            <v>2019</v>
          </cell>
          <cell r="Y995" t="str">
            <v>Qtr 2</v>
          </cell>
          <cell r="Z995" t="str">
            <v>April</v>
          </cell>
          <cell r="AA995">
            <v>23</v>
          </cell>
          <cell r="AB995" t="str">
            <v>NA</v>
          </cell>
          <cell r="AC995">
            <v>43</v>
          </cell>
          <cell r="AD995">
            <v>0</v>
          </cell>
          <cell r="AE995">
            <v>0</v>
          </cell>
          <cell r="AF995">
            <v>0</v>
          </cell>
        </row>
        <row r="996">
          <cell r="B996" t="str">
            <v>09HB331590</v>
          </cell>
          <cell r="C996">
            <v>2019</v>
          </cell>
          <cell r="D996" t="str">
            <v>Qtr 2</v>
          </cell>
          <cell r="E996" t="str">
            <v>April</v>
          </cell>
          <cell r="F996">
            <v>23</v>
          </cell>
          <cell r="G996" t="str">
            <v>MANTENIMIENTO PREVENTIVO</v>
          </cell>
          <cell r="H996">
            <v>3.3333340000000003E-2</v>
          </cell>
          <cell r="J996" t="str">
            <v>NA</v>
          </cell>
          <cell r="K996" t="str">
            <v>NA</v>
          </cell>
          <cell r="L996" t="str">
            <v>NA</v>
          </cell>
          <cell r="M996" t="str">
            <v>NA</v>
          </cell>
          <cell r="N996" t="str">
            <v>NA</v>
          </cell>
          <cell r="O996" t="str">
            <v>NA</v>
          </cell>
          <cell r="P996" t="str">
            <v>NA</v>
          </cell>
          <cell r="Q996" t="str">
            <v>NA</v>
          </cell>
          <cell r="S996" t="str">
            <v>NA</v>
          </cell>
          <cell r="T996" t="str">
            <v>NA</v>
          </cell>
          <cell r="V996" t="str">
            <v>A4 Mono MFPs</v>
          </cell>
          <cell r="W996" t="str">
            <v>JALISCO</v>
          </cell>
          <cell r="X996">
            <v>2019</v>
          </cell>
          <cell r="Y996" t="str">
            <v>Qtr 2</v>
          </cell>
          <cell r="Z996" t="str">
            <v>April</v>
          </cell>
          <cell r="AA996">
            <v>23</v>
          </cell>
          <cell r="AB996" t="str">
            <v>NA</v>
          </cell>
          <cell r="AC996">
            <v>25</v>
          </cell>
          <cell r="AD996">
            <v>0</v>
          </cell>
          <cell r="AE996">
            <v>0</v>
          </cell>
          <cell r="AF996">
            <v>0</v>
          </cell>
        </row>
        <row r="997">
          <cell r="B997" t="str">
            <v>09HB332006</v>
          </cell>
          <cell r="C997">
            <v>2019</v>
          </cell>
          <cell r="D997" t="str">
            <v>Qtr 2</v>
          </cell>
          <cell r="E997" t="str">
            <v>April</v>
          </cell>
          <cell r="F997">
            <v>23</v>
          </cell>
          <cell r="G997" t="str">
            <v>MANTENIMIENTO PREVENTIVO</v>
          </cell>
          <cell r="H997">
            <v>0</v>
          </cell>
          <cell r="J997" t="str">
            <v>NA</v>
          </cell>
          <cell r="K997" t="str">
            <v>NA</v>
          </cell>
          <cell r="L997" t="str">
            <v>NA</v>
          </cell>
          <cell r="M997" t="str">
            <v>NA</v>
          </cell>
          <cell r="N997" t="str">
            <v>NA</v>
          </cell>
          <cell r="O997" t="str">
            <v>NA</v>
          </cell>
          <cell r="P997" t="str">
            <v>NA</v>
          </cell>
          <cell r="Q997" t="str">
            <v>NA</v>
          </cell>
          <cell r="S997" t="str">
            <v>NA</v>
          </cell>
          <cell r="T997" t="str">
            <v>NA</v>
          </cell>
          <cell r="V997" t="str">
            <v>A4 Mono MFPs</v>
          </cell>
          <cell r="W997" t="str">
            <v>JALISCO</v>
          </cell>
          <cell r="X997">
            <v>2019</v>
          </cell>
          <cell r="Y997" t="str">
            <v>Qtr 2</v>
          </cell>
          <cell r="Z997" t="str">
            <v>April</v>
          </cell>
          <cell r="AA997">
            <v>23</v>
          </cell>
          <cell r="AB997" t="str">
            <v>NA</v>
          </cell>
          <cell r="AC997">
            <v>15</v>
          </cell>
          <cell r="AD997">
            <v>0</v>
          </cell>
          <cell r="AE997">
            <v>0</v>
          </cell>
          <cell r="AF997">
            <v>0</v>
          </cell>
        </row>
        <row r="998">
          <cell r="B998" t="str">
            <v>09HB332045</v>
          </cell>
          <cell r="C998">
            <v>2019</v>
          </cell>
          <cell r="D998" t="str">
            <v>Qtr 2</v>
          </cell>
          <cell r="E998" t="str">
            <v>April</v>
          </cell>
          <cell r="F998">
            <v>23</v>
          </cell>
          <cell r="G998" t="str">
            <v>MANTENIMIENTO PREVENTIVO</v>
          </cell>
          <cell r="H998">
            <v>0</v>
          </cell>
          <cell r="I998" t="str">
            <v>A4 Mono MFPs</v>
          </cell>
          <cell r="J998">
            <v>468</v>
          </cell>
          <cell r="K998">
            <v>715</v>
          </cell>
          <cell r="L998">
            <v>0</v>
          </cell>
          <cell r="M998">
            <v>0</v>
          </cell>
          <cell r="N998">
            <v>0</v>
          </cell>
          <cell r="O998">
            <v>0.6</v>
          </cell>
          <cell r="P998">
            <v>0.8</v>
          </cell>
          <cell r="Q998">
            <v>1.05</v>
          </cell>
          <cell r="R998" t="str">
            <v>INTERIOR</v>
          </cell>
          <cell r="S998">
            <v>5</v>
          </cell>
          <cell r="T998">
            <v>9</v>
          </cell>
          <cell r="U998" t="str">
            <v>Ciudad principal</v>
          </cell>
          <cell r="V998" t="str">
            <v>A4 Mono MFPs</v>
          </cell>
          <cell r="W998" t="str">
            <v>JALISCO</v>
          </cell>
          <cell r="X998">
            <v>2019</v>
          </cell>
          <cell r="Y998" t="str">
            <v>Qtr 2</v>
          </cell>
          <cell r="Z998" t="str">
            <v>April</v>
          </cell>
          <cell r="AA998">
            <v>30</v>
          </cell>
          <cell r="AB998">
            <v>1</v>
          </cell>
          <cell r="AC998">
            <v>29</v>
          </cell>
          <cell r="AD998">
            <v>0</v>
          </cell>
          <cell r="AE998">
            <v>0</v>
          </cell>
          <cell r="AF998">
            <v>0</v>
          </cell>
        </row>
        <row r="999">
          <cell r="B999" t="str">
            <v>02TX062449</v>
          </cell>
          <cell r="C999">
            <v>2019</v>
          </cell>
          <cell r="D999" t="str">
            <v>Qtr 2</v>
          </cell>
          <cell r="E999" t="str">
            <v>April</v>
          </cell>
          <cell r="F999">
            <v>23</v>
          </cell>
          <cell r="G999" t="str">
            <v>MANTENIMIENTO PREVENTIVO</v>
          </cell>
          <cell r="H999">
            <v>0</v>
          </cell>
          <cell r="I999" t="str">
            <v>A3 Office Color Laser MFPs</v>
          </cell>
          <cell r="J999">
            <v>655</v>
          </cell>
          <cell r="K999">
            <v>1365</v>
          </cell>
          <cell r="L999">
            <v>0</v>
          </cell>
          <cell r="M999">
            <v>0</v>
          </cell>
          <cell r="N999">
            <v>0.6</v>
          </cell>
          <cell r="O999">
            <v>0.8</v>
          </cell>
          <cell r="P999">
            <v>1.05</v>
          </cell>
          <cell r="Q999">
            <v>1.1000000000000001</v>
          </cell>
          <cell r="R999" t="str">
            <v>INTERIOR</v>
          </cell>
          <cell r="S999">
            <v>5</v>
          </cell>
          <cell r="T999">
            <v>9</v>
          </cell>
          <cell r="U999" t="str">
            <v>Ciudad principal</v>
          </cell>
          <cell r="V999" t="str">
            <v>A3 Office Color Laser MFPs</v>
          </cell>
          <cell r="W999" t="str">
            <v>JALISCO</v>
          </cell>
          <cell r="X999">
            <v>2019</v>
          </cell>
          <cell r="Y999" t="str">
            <v>Qtr 2</v>
          </cell>
          <cell r="Z999" t="str">
            <v>April</v>
          </cell>
          <cell r="AA999">
            <v>23</v>
          </cell>
          <cell r="AB999">
            <v>0</v>
          </cell>
          <cell r="AC999">
            <v>33</v>
          </cell>
          <cell r="AD999">
            <v>0</v>
          </cell>
          <cell r="AE999">
            <v>0</v>
          </cell>
          <cell r="AF999">
            <v>1365</v>
          </cell>
        </row>
        <row r="1000">
          <cell r="B1000" t="str">
            <v>0Y4X848978</v>
          </cell>
          <cell r="C1000">
            <v>2019</v>
          </cell>
          <cell r="D1000" t="str">
            <v>Qtr 2</v>
          </cell>
          <cell r="E1000" t="str">
            <v>April</v>
          </cell>
          <cell r="F1000">
            <v>23</v>
          </cell>
          <cell r="G1000" t="str">
            <v>MANTENIMIENTO PREVENTIVO</v>
          </cell>
          <cell r="H1000">
            <v>0</v>
          </cell>
          <cell r="I1000" t="str">
            <v>Office Digital</v>
          </cell>
          <cell r="J1000">
            <v>655</v>
          </cell>
          <cell r="K1000">
            <v>1365</v>
          </cell>
          <cell r="L1000">
            <v>0</v>
          </cell>
          <cell r="M1000">
            <v>0</v>
          </cell>
          <cell r="N1000">
            <v>0.6</v>
          </cell>
          <cell r="O1000">
            <v>0.8</v>
          </cell>
          <cell r="P1000">
            <v>1.05</v>
          </cell>
          <cell r="Q1000">
            <v>1.1000000000000001</v>
          </cell>
          <cell r="R1000" t="str">
            <v>INTERIOR</v>
          </cell>
          <cell r="S1000">
            <v>5</v>
          </cell>
          <cell r="T1000">
            <v>9</v>
          </cell>
          <cell r="U1000" t="str">
            <v>Ciudad principal</v>
          </cell>
          <cell r="V1000" t="str">
            <v>Light Production Digital Business</v>
          </cell>
          <cell r="W1000" t="str">
            <v>JALISCO</v>
          </cell>
          <cell r="X1000">
            <v>2019</v>
          </cell>
          <cell r="Y1000" t="str">
            <v>Qtr 2</v>
          </cell>
          <cell r="Z1000" t="str">
            <v>April</v>
          </cell>
          <cell r="AA1000">
            <v>23</v>
          </cell>
          <cell r="AB1000">
            <v>1</v>
          </cell>
          <cell r="AC1000">
            <v>27</v>
          </cell>
          <cell r="AD1000">
            <v>0</v>
          </cell>
          <cell r="AE1000">
            <v>0</v>
          </cell>
          <cell r="AF1000">
            <v>0</v>
          </cell>
        </row>
        <row r="1001">
          <cell r="B1001" t="str">
            <v>0XEL555336</v>
          </cell>
          <cell r="C1001">
            <v>2019</v>
          </cell>
          <cell r="D1001" t="str">
            <v>Qtr 2</v>
          </cell>
          <cell r="E1001" t="str">
            <v>April</v>
          </cell>
          <cell r="F1001">
            <v>23</v>
          </cell>
          <cell r="G1001" t="str">
            <v>CORRECTIVO</v>
          </cell>
          <cell r="H1001">
            <v>0.86666670000000001</v>
          </cell>
          <cell r="I1001" t="str">
            <v>Departmental Digital</v>
          </cell>
          <cell r="J1001">
            <v>655</v>
          </cell>
          <cell r="K1001">
            <v>1365</v>
          </cell>
          <cell r="L1001">
            <v>0</v>
          </cell>
          <cell r="M1001">
            <v>0</v>
          </cell>
          <cell r="N1001">
            <v>0.6</v>
          </cell>
          <cell r="O1001">
            <v>0.8</v>
          </cell>
          <cell r="P1001">
            <v>1.05</v>
          </cell>
          <cell r="Q1001">
            <v>1.1000000000000001</v>
          </cell>
          <cell r="R1001" t="str">
            <v>INTERIOR</v>
          </cell>
          <cell r="S1001">
            <v>5</v>
          </cell>
          <cell r="T1001">
            <v>9</v>
          </cell>
          <cell r="U1001" t="str">
            <v>Ciudad principal</v>
          </cell>
          <cell r="V1001" t="str">
            <v>Departmental Digital</v>
          </cell>
          <cell r="W1001" t="str">
            <v>SAN LUIS POTOSI</v>
          </cell>
          <cell r="X1001">
            <v>2019</v>
          </cell>
          <cell r="Y1001" t="str">
            <v>Qtr 2</v>
          </cell>
          <cell r="Z1001" t="str">
            <v>April</v>
          </cell>
          <cell r="AA1001">
            <v>23</v>
          </cell>
          <cell r="AB1001">
            <v>0</v>
          </cell>
          <cell r="AC1001">
            <v>14</v>
          </cell>
          <cell r="AD1001">
            <v>0.6</v>
          </cell>
          <cell r="AE1001">
            <v>0.17333334</v>
          </cell>
          <cell r="AF1001">
            <v>819</v>
          </cell>
        </row>
        <row r="1002">
          <cell r="B1002" t="str">
            <v>09HB331499</v>
          </cell>
          <cell r="C1002">
            <v>2019</v>
          </cell>
          <cell r="D1002" t="str">
            <v>Qtr 2</v>
          </cell>
          <cell r="E1002" t="str">
            <v>April</v>
          </cell>
          <cell r="F1002">
            <v>23</v>
          </cell>
          <cell r="G1002" t="str">
            <v>CORRECTIVO</v>
          </cell>
          <cell r="H1002">
            <v>2.733333</v>
          </cell>
          <cell r="J1002" t="str">
            <v>NA</v>
          </cell>
          <cell r="K1002" t="str">
            <v>NA</v>
          </cell>
          <cell r="L1002" t="str">
            <v>NA</v>
          </cell>
          <cell r="M1002" t="str">
            <v>NA</v>
          </cell>
          <cell r="N1002" t="str">
            <v>NA</v>
          </cell>
          <cell r="O1002" t="str">
            <v>NA</v>
          </cell>
          <cell r="P1002" t="str">
            <v>NA</v>
          </cell>
          <cell r="Q1002" t="str">
            <v>NA</v>
          </cell>
          <cell r="S1002" t="str">
            <v>NA</v>
          </cell>
          <cell r="T1002" t="str">
            <v>NA</v>
          </cell>
          <cell r="V1002" t="str">
            <v>A4 Mono MFPs</v>
          </cell>
          <cell r="W1002" t="str">
            <v>GUANAJUATO</v>
          </cell>
          <cell r="X1002">
            <v>2019</v>
          </cell>
          <cell r="Y1002" t="str">
            <v>Qtr 2</v>
          </cell>
          <cell r="Z1002" t="str">
            <v>April</v>
          </cell>
          <cell r="AA1002">
            <v>25</v>
          </cell>
          <cell r="AB1002" t="str">
            <v>NA</v>
          </cell>
          <cell r="AC1002">
            <v>43</v>
          </cell>
          <cell r="AD1002">
            <v>0</v>
          </cell>
          <cell r="AE1002">
            <v>0</v>
          </cell>
          <cell r="AF1002">
            <v>0</v>
          </cell>
        </row>
        <row r="1003">
          <cell r="B1003" t="str">
            <v>0A1H021675</v>
          </cell>
          <cell r="C1003">
            <v>2019</v>
          </cell>
          <cell r="D1003" t="str">
            <v>Qtr 2</v>
          </cell>
          <cell r="E1003" t="str">
            <v>April</v>
          </cell>
          <cell r="F1003">
            <v>23</v>
          </cell>
          <cell r="G1003" t="str">
            <v>CORRECTIVO</v>
          </cell>
          <cell r="H1003">
            <v>2.2166670000000002</v>
          </cell>
          <cell r="I1003" t="str">
            <v>WF Mono Systems and Legacy Color</v>
          </cell>
          <cell r="J1003">
            <v>803</v>
          </cell>
          <cell r="K1003">
            <v>1573</v>
          </cell>
          <cell r="L1003">
            <v>0.2</v>
          </cell>
          <cell r="M1003">
            <v>0.6</v>
          </cell>
          <cell r="N1003">
            <v>0.8</v>
          </cell>
          <cell r="O1003">
            <v>1.05</v>
          </cell>
          <cell r="P1003">
            <v>1.1000000000000001</v>
          </cell>
          <cell r="Q1003">
            <v>1.1499999999999999</v>
          </cell>
          <cell r="R1003" t="str">
            <v>INTERIOR</v>
          </cell>
          <cell r="S1003">
            <v>4</v>
          </cell>
          <cell r="T1003">
            <v>6</v>
          </cell>
          <cell r="U1003" t="str">
            <v>Ciudad principal</v>
          </cell>
          <cell r="V1003" t="str">
            <v>WF Mono Systems and Legacy Color</v>
          </cell>
          <cell r="W1003" t="str">
            <v>SAN LUIS POTOSI</v>
          </cell>
          <cell r="X1003">
            <v>2019</v>
          </cell>
          <cell r="Y1003" t="str">
            <v>Qtr 2</v>
          </cell>
          <cell r="Z1003" t="str">
            <v>April</v>
          </cell>
          <cell r="AA1003">
            <v>23</v>
          </cell>
          <cell r="AB1003">
            <v>0</v>
          </cell>
          <cell r="AC1003">
            <v>334</v>
          </cell>
          <cell r="AD1003">
            <v>1.1499999999999999</v>
          </cell>
          <cell r="AE1003">
            <v>0.55416675000000004</v>
          </cell>
          <cell r="AF1003">
            <v>1808.95</v>
          </cell>
        </row>
        <row r="1004">
          <cell r="B1004" t="str">
            <v>0C7X246862</v>
          </cell>
          <cell r="C1004">
            <v>2019</v>
          </cell>
          <cell r="D1004" t="str">
            <v>Qtr 2</v>
          </cell>
          <cell r="E1004" t="str">
            <v>April</v>
          </cell>
          <cell r="F1004">
            <v>23</v>
          </cell>
          <cell r="G1004" t="str">
            <v>CORRECTIVO</v>
          </cell>
          <cell r="H1004">
            <v>1.4666669999999999</v>
          </cell>
          <cell r="I1004" t="str">
            <v>A4 Mono MFPs</v>
          </cell>
          <cell r="J1004">
            <v>468</v>
          </cell>
          <cell r="K1004">
            <v>715</v>
          </cell>
          <cell r="L1004">
            <v>0</v>
          </cell>
          <cell r="M1004">
            <v>0</v>
          </cell>
          <cell r="N1004">
            <v>0</v>
          </cell>
          <cell r="O1004">
            <v>0.6</v>
          </cell>
          <cell r="P1004">
            <v>0.8</v>
          </cell>
          <cell r="Q1004">
            <v>1.05</v>
          </cell>
          <cell r="R1004" t="str">
            <v>INTERIOR</v>
          </cell>
          <cell r="S1004">
            <v>5</v>
          </cell>
          <cell r="T1004">
            <v>9</v>
          </cell>
          <cell r="U1004" t="str">
            <v>Ciudad principal</v>
          </cell>
          <cell r="V1004" t="str">
            <v>A4 Mono MFPs</v>
          </cell>
          <cell r="W1004" t="str">
            <v>CHIHUAHUA</v>
          </cell>
          <cell r="X1004">
            <v>2019</v>
          </cell>
          <cell r="Y1004" t="str">
            <v>Qtr 2</v>
          </cell>
          <cell r="Z1004" t="str">
            <v>April</v>
          </cell>
          <cell r="AA1004">
            <v>25</v>
          </cell>
          <cell r="AB1004">
            <v>0</v>
          </cell>
          <cell r="AC1004">
            <v>85</v>
          </cell>
          <cell r="AD1004">
            <v>1.05</v>
          </cell>
          <cell r="AE1004">
            <v>0.29333340000000002</v>
          </cell>
          <cell r="AF1004">
            <v>750.75</v>
          </cell>
        </row>
        <row r="1005">
          <cell r="B1005" t="str">
            <v>0C4X008138</v>
          </cell>
          <cell r="C1005">
            <v>2019</v>
          </cell>
          <cell r="D1005" t="str">
            <v>Qtr 2</v>
          </cell>
          <cell r="E1005" t="str">
            <v>April</v>
          </cell>
          <cell r="F1005">
            <v>23</v>
          </cell>
          <cell r="G1005" t="str">
            <v>CORRECTIVO</v>
          </cell>
          <cell r="H1005">
            <v>4.0666669999999998</v>
          </cell>
          <cell r="J1005" t="str">
            <v>NA</v>
          </cell>
          <cell r="K1005" t="str">
            <v>NA</v>
          </cell>
          <cell r="L1005" t="str">
            <v>NA</v>
          </cell>
          <cell r="M1005" t="str">
            <v>NA</v>
          </cell>
          <cell r="N1005" t="str">
            <v>NA</v>
          </cell>
          <cell r="O1005" t="str">
            <v>NA</v>
          </cell>
          <cell r="P1005" t="str">
            <v>NA</v>
          </cell>
          <cell r="Q1005" t="str">
            <v>NA</v>
          </cell>
          <cell r="S1005" t="str">
            <v>NA</v>
          </cell>
          <cell r="T1005" t="str">
            <v>NA</v>
          </cell>
          <cell r="V1005" t="str">
            <v>A4 Mono MFPs</v>
          </cell>
          <cell r="W1005" t="str">
            <v>MICHOACAN</v>
          </cell>
          <cell r="X1005">
            <v>2019</v>
          </cell>
          <cell r="Y1005" t="str">
            <v>Qtr 2</v>
          </cell>
          <cell r="Z1005" t="str">
            <v>April</v>
          </cell>
          <cell r="AA1005">
            <v>23</v>
          </cell>
          <cell r="AB1005" t="str">
            <v>NA</v>
          </cell>
          <cell r="AC1005">
            <v>341</v>
          </cell>
          <cell r="AD1005">
            <v>0</v>
          </cell>
          <cell r="AE1005">
            <v>0</v>
          </cell>
          <cell r="AF1005">
            <v>0</v>
          </cell>
        </row>
        <row r="1006">
          <cell r="B1006" t="str">
            <v>0C7X246885</v>
          </cell>
          <cell r="C1006">
            <v>2019</v>
          </cell>
          <cell r="D1006" t="str">
            <v>Qtr 2</v>
          </cell>
          <cell r="E1006" t="str">
            <v>April</v>
          </cell>
          <cell r="F1006">
            <v>23</v>
          </cell>
          <cell r="G1006" t="str">
            <v>MANTENIMIENTO PREVENTIVO</v>
          </cell>
          <cell r="H1006">
            <v>0</v>
          </cell>
          <cell r="J1006" t="str">
            <v>NA</v>
          </cell>
          <cell r="K1006" t="str">
            <v>NA</v>
          </cell>
          <cell r="L1006" t="str">
            <v>NA</v>
          </cell>
          <cell r="M1006" t="str">
            <v>NA</v>
          </cell>
          <cell r="N1006" t="str">
            <v>NA</v>
          </cell>
          <cell r="O1006" t="str">
            <v>NA</v>
          </cell>
          <cell r="P1006" t="str">
            <v>NA</v>
          </cell>
          <cell r="Q1006" t="str">
            <v>NA</v>
          </cell>
          <cell r="S1006" t="str">
            <v>NA</v>
          </cell>
          <cell r="T1006" t="str">
            <v>NA</v>
          </cell>
          <cell r="V1006" t="str">
            <v>A4 Mono MFPs</v>
          </cell>
          <cell r="W1006" t="str">
            <v>COAHUILA</v>
          </cell>
          <cell r="X1006">
            <v>2019</v>
          </cell>
          <cell r="Y1006" t="str">
            <v>Qtr 2</v>
          </cell>
          <cell r="Z1006" t="str">
            <v>April</v>
          </cell>
          <cell r="AA1006">
            <v>23</v>
          </cell>
          <cell r="AB1006" t="str">
            <v>NA</v>
          </cell>
          <cell r="AC1006">
            <v>6</v>
          </cell>
          <cell r="AD1006">
            <v>0</v>
          </cell>
          <cell r="AE1006">
            <v>0</v>
          </cell>
          <cell r="AF1006">
            <v>0</v>
          </cell>
        </row>
        <row r="1007">
          <cell r="B1007" t="str">
            <v>09HB320526</v>
          </cell>
          <cell r="C1007">
            <v>2019</v>
          </cell>
          <cell r="D1007" t="str">
            <v>Qtr 2</v>
          </cell>
          <cell r="E1007" t="str">
            <v>April</v>
          </cell>
          <cell r="F1007">
            <v>23</v>
          </cell>
          <cell r="G1007" t="str">
            <v>CORRECTIVO</v>
          </cell>
          <cell r="H1007">
            <v>2.35</v>
          </cell>
          <cell r="J1007" t="str">
            <v>NA</v>
          </cell>
          <cell r="K1007" t="str">
            <v>NA</v>
          </cell>
          <cell r="L1007" t="str">
            <v>NA</v>
          </cell>
          <cell r="M1007" t="str">
            <v>NA</v>
          </cell>
          <cell r="N1007" t="str">
            <v>NA</v>
          </cell>
          <cell r="O1007" t="str">
            <v>NA</v>
          </cell>
          <cell r="P1007" t="str">
            <v>NA</v>
          </cell>
          <cell r="Q1007" t="str">
            <v>NA</v>
          </cell>
          <cell r="S1007" t="str">
            <v>NA</v>
          </cell>
          <cell r="T1007" t="str">
            <v>NA</v>
          </cell>
          <cell r="V1007" t="str">
            <v>A4 Mono MFPs</v>
          </cell>
          <cell r="W1007" t="str">
            <v>TAMAULIPAS</v>
          </cell>
          <cell r="X1007">
            <v>2019</v>
          </cell>
          <cell r="Y1007" t="str">
            <v>Qtr 2</v>
          </cell>
          <cell r="Z1007" t="str">
            <v>April</v>
          </cell>
          <cell r="AA1007">
            <v>24</v>
          </cell>
          <cell r="AB1007" t="str">
            <v>NA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</row>
        <row r="1008">
          <cell r="B1008" t="str">
            <v>0Y4X849031</v>
          </cell>
          <cell r="C1008">
            <v>2019</v>
          </cell>
          <cell r="D1008" t="str">
            <v>Qtr 2</v>
          </cell>
          <cell r="E1008" t="str">
            <v>April</v>
          </cell>
          <cell r="F1008">
            <v>23</v>
          </cell>
          <cell r="G1008" t="str">
            <v>MANTENIMIENTO PREVENTIVO</v>
          </cell>
          <cell r="H1008">
            <v>0</v>
          </cell>
          <cell r="I1008" t="str">
            <v>Office Digital</v>
          </cell>
          <cell r="J1008">
            <v>655</v>
          </cell>
          <cell r="K1008">
            <v>1365</v>
          </cell>
          <cell r="L1008">
            <v>0</v>
          </cell>
          <cell r="M1008">
            <v>0</v>
          </cell>
          <cell r="N1008">
            <v>0.6</v>
          </cell>
          <cell r="O1008">
            <v>0.8</v>
          </cell>
          <cell r="P1008">
            <v>1.05</v>
          </cell>
          <cell r="Q1008">
            <v>1.1000000000000001</v>
          </cell>
          <cell r="R1008" t="str">
            <v>INTERIOR</v>
          </cell>
          <cell r="S1008">
            <v>5</v>
          </cell>
          <cell r="T1008">
            <v>9</v>
          </cell>
          <cell r="U1008" t="str">
            <v>Ciudad principal</v>
          </cell>
          <cell r="V1008" t="str">
            <v>A4 Mono MFPs</v>
          </cell>
          <cell r="W1008" t="str">
            <v>JALISCO</v>
          </cell>
          <cell r="X1008">
            <v>2019</v>
          </cell>
          <cell r="Y1008" t="str">
            <v>Qtr 2</v>
          </cell>
          <cell r="Z1008" t="str">
            <v>April</v>
          </cell>
          <cell r="AA1008">
            <v>23</v>
          </cell>
          <cell r="AB1008">
            <v>1</v>
          </cell>
          <cell r="AC1008">
            <v>6</v>
          </cell>
          <cell r="AD1008">
            <v>0</v>
          </cell>
          <cell r="AE1008">
            <v>0</v>
          </cell>
          <cell r="AF1008">
            <v>0</v>
          </cell>
        </row>
        <row r="1009">
          <cell r="B1009" t="str">
            <v>0BG0974960</v>
          </cell>
          <cell r="C1009">
            <v>2019</v>
          </cell>
          <cell r="D1009" t="str">
            <v>Qtr 2</v>
          </cell>
          <cell r="E1009" t="str">
            <v>April</v>
          </cell>
          <cell r="F1009">
            <v>23</v>
          </cell>
          <cell r="G1009" t="str">
            <v>MANTENIMIENTO PREVENTIVO</v>
          </cell>
          <cell r="H1009">
            <v>0</v>
          </cell>
          <cell r="J1009" t="str">
            <v>NA</v>
          </cell>
          <cell r="K1009" t="str">
            <v>NA</v>
          </cell>
          <cell r="L1009" t="str">
            <v>NA</v>
          </cell>
          <cell r="M1009" t="str">
            <v>NA</v>
          </cell>
          <cell r="N1009" t="str">
            <v>NA</v>
          </cell>
          <cell r="O1009" t="str">
            <v>NA</v>
          </cell>
          <cell r="P1009" t="str">
            <v>NA</v>
          </cell>
          <cell r="Q1009" t="str">
            <v>NA</v>
          </cell>
          <cell r="S1009" t="str">
            <v>NA</v>
          </cell>
          <cell r="T1009" t="str">
            <v>NA</v>
          </cell>
          <cell r="V1009" t="str">
            <v>High End Cut Sheet</v>
          </cell>
          <cell r="W1009" t="str">
            <v>JALISCO</v>
          </cell>
          <cell r="X1009">
            <v>2019</v>
          </cell>
          <cell r="Y1009" t="str">
            <v>Qtr 2</v>
          </cell>
          <cell r="Z1009" t="str">
            <v>April</v>
          </cell>
          <cell r="AA1009">
            <v>23</v>
          </cell>
          <cell r="AB1009" t="str">
            <v>NA</v>
          </cell>
          <cell r="AC1009">
            <v>18</v>
          </cell>
          <cell r="AD1009">
            <v>0</v>
          </cell>
          <cell r="AE1009">
            <v>0</v>
          </cell>
          <cell r="AF1009">
            <v>0</v>
          </cell>
        </row>
        <row r="1010">
          <cell r="B1010" t="str">
            <v>09HB331956</v>
          </cell>
          <cell r="C1010">
            <v>2019</v>
          </cell>
          <cell r="D1010" t="str">
            <v>Qtr 2</v>
          </cell>
          <cell r="E1010" t="str">
            <v>April</v>
          </cell>
          <cell r="F1010">
            <v>23</v>
          </cell>
          <cell r="G1010" t="str">
            <v>CONFIGURACION</v>
          </cell>
          <cell r="H1010">
            <v>0</v>
          </cell>
          <cell r="I1010" t="str">
            <v>A4 Mono MFPs</v>
          </cell>
          <cell r="J1010">
            <v>468</v>
          </cell>
          <cell r="K1010">
            <v>715</v>
          </cell>
          <cell r="L1010">
            <v>0</v>
          </cell>
          <cell r="M1010">
            <v>0</v>
          </cell>
          <cell r="N1010">
            <v>0</v>
          </cell>
          <cell r="O1010">
            <v>0.6</v>
          </cell>
          <cell r="P1010">
            <v>0.8</v>
          </cell>
          <cell r="Q1010">
            <v>1.05</v>
          </cell>
          <cell r="R1010" t="str">
            <v>INTERIOR</v>
          </cell>
          <cell r="S1010">
            <v>5</v>
          </cell>
          <cell r="T1010">
            <v>9</v>
          </cell>
          <cell r="U1010" t="str">
            <v>Ciudad principal</v>
          </cell>
          <cell r="V1010" t="str">
            <v>A4 Mono MFPs</v>
          </cell>
          <cell r="W1010" t="str">
            <v>JALISCO</v>
          </cell>
          <cell r="X1010">
            <v>2019</v>
          </cell>
          <cell r="Y1010" t="str">
            <v>Qtr 2</v>
          </cell>
          <cell r="Z1010" t="str">
            <v>April</v>
          </cell>
          <cell r="AA1010">
            <v>23</v>
          </cell>
          <cell r="AB1010">
            <v>1</v>
          </cell>
          <cell r="AC1010">
            <v>-1</v>
          </cell>
          <cell r="AD1010">
            <v>0</v>
          </cell>
          <cell r="AE1010">
            <v>0</v>
          </cell>
          <cell r="AF1010">
            <v>0</v>
          </cell>
        </row>
        <row r="1011">
          <cell r="B1011" t="str">
            <v>0VMA558357</v>
          </cell>
          <cell r="C1011">
            <v>2019</v>
          </cell>
          <cell r="D1011" t="str">
            <v>Qtr 2</v>
          </cell>
          <cell r="E1011" t="str">
            <v>April</v>
          </cell>
          <cell r="F1011">
            <v>23</v>
          </cell>
          <cell r="G1011" t="str">
            <v>CORRECTIVO</v>
          </cell>
          <cell r="H1011">
            <v>0.3</v>
          </cell>
          <cell r="I1011" t="str">
            <v>A4 Mono MFPs</v>
          </cell>
          <cell r="J1011">
            <v>468</v>
          </cell>
          <cell r="K1011">
            <v>715</v>
          </cell>
          <cell r="L1011">
            <v>0</v>
          </cell>
          <cell r="M1011">
            <v>0</v>
          </cell>
          <cell r="N1011">
            <v>0</v>
          </cell>
          <cell r="O1011">
            <v>0.6</v>
          </cell>
          <cell r="P1011">
            <v>0.8</v>
          </cell>
          <cell r="Q1011">
            <v>1.05</v>
          </cell>
          <cell r="R1011" t="str">
            <v>INTERIOR</v>
          </cell>
          <cell r="S1011">
            <v>5</v>
          </cell>
          <cell r="T1011">
            <v>9</v>
          </cell>
          <cell r="U1011" t="str">
            <v>Otras</v>
          </cell>
          <cell r="V1011" t="str">
            <v>A4 Mono MFPs</v>
          </cell>
          <cell r="W1011" t="str">
            <v>COAHUILA</v>
          </cell>
          <cell r="X1011">
            <v>2019</v>
          </cell>
          <cell r="Y1011" t="str">
            <v>Qtr 2</v>
          </cell>
          <cell r="Z1011" t="str">
            <v>April</v>
          </cell>
          <cell r="AA1011">
            <v>30</v>
          </cell>
          <cell r="AB1011">
            <v>1</v>
          </cell>
          <cell r="AC1011">
            <v>180</v>
          </cell>
          <cell r="AD1011">
            <v>0</v>
          </cell>
          <cell r="AE1011">
            <v>0</v>
          </cell>
          <cell r="AF1011">
            <v>0</v>
          </cell>
        </row>
        <row r="1012">
          <cell r="B1012" t="str">
            <v>0VGW632064</v>
          </cell>
          <cell r="C1012">
            <v>2019</v>
          </cell>
          <cell r="D1012" t="str">
            <v>Qtr 2</v>
          </cell>
          <cell r="E1012" t="str">
            <v>April</v>
          </cell>
          <cell r="F1012">
            <v>23</v>
          </cell>
          <cell r="G1012" t="str">
            <v>CORRECTIVO</v>
          </cell>
          <cell r="H1012">
            <v>0</v>
          </cell>
          <cell r="I1012" t="str">
            <v>A3 Professional Color Laser MFPs</v>
          </cell>
          <cell r="J1012">
            <v>655</v>
          </cell>
          <cell r="K1012">
            <v>1365</v>
          </cell>
          <cell r="L1012">
            <v>0</v>
          </cell>
          <cell r="M1012">
            <v>0</v>
          </cell>
          <cell r="N1012">
            <v>0.6</v>
          </cell>
          <cell r="O1012">
            <v>0.8</v>
          </cell>
          <cell r="P1012">
            <v>1.05</v>
          </cell>
          <cell r="Q1012">
            <v>1.1000000000000001</v>
          </cell>
          <cell r="R1012" t="str">
            <v>INTERIOR</v>
          </cell>
          <cell r="S1012">
            <v>5</v>
          </cell>
          <cell r="T1012">
            <v>9</v>
          </cell>
          <cell r="U1012" t="str">
            <v>Ciudad principal</v>
          </cell>
          <cell r="V1012" t="str">
            <v>Entry Production Color Low/Mid</v>
          </cell>
          <cell r="W1012" t="str">
            <v>CHIHUAHUA</v>
          </cell>
          <cell r="X1012">
            <v>2019</v>
          </cell>
          <cell r="Y1012" t="str">
            <v>Qtr 2</v>
          </cell>
          <cell r="Z1012" t="str">
            <v>April</v>
          </cell>
          <cell r="AA1012">
            <v>23</v>
          </cell>
          <cell r="AB1012">
            <v>0</v>
          </cell>
          <cell r="AC1012">
            <v>14</v>
          </cell>
          <cell r="AD1012">
            <v>0.6</v>
          </cell>
          <cell r="AE1012">
            <v>0</v>
          </cell>
          <cell r="AF1012">
            <v>819</v>
          </cell>
        </row>
        <row r="1013">
          <cell r="B1013" t="str">
            <v>09HB317209</v>
          </cell>
          <cell r="C1013">
            <v>2019</v>
          </cell>
          <cell r="D1013" t="str">
            <v>Qtr 2</v>
          </cell>
          <cell r="E1013" t="str">
            <v>April</v>
          </cell>
          <cell r="F1013">
            <v>23</v>
          </cell>
          <cell r="G1013" t="str">
            <v>CORRECTIVO</v>
          </cell>
          <cell r="H1013">
            <v>0.88333329999999999</v>
          </cell>
          <cell r="I1013" t="str">
            <v>A4 Mono MFPs</v>
          </cell>
          <cell r="J1013">
            <v>468</v>
          </cell>
          <cell r="K1013">
            <v>715</v>
          </cell>
          <cell r="L1013">
            <v>0</v>
          </cell>
          <cell r="M1013">
            <v>0</v>
          </cell>
          <cell r="N1013">
            <v>0</v>
          </cell>
          <cell r="O1013">
            <v>0.6</v>
          </cell>
          <cell r="P1013">
            <v>0.8</v>
          </cell>
          <cell r="Q1013">
            <v>1.05</v>
          </cell>
          <cell r="R1013" t="str">
            <v>INTERIOR</v>
          </cell>
          <cell r="S1013">
            <v>5</v>
          </cell>
          <cell r="T1013">
            <v>9</v>
          </cell>
          <cell r="U1013" t="str">
            <v>Ciudad principal</v>
          </cell>
          <cell r="V1013" t="str">
            <v>A4 Mono MFPs</v>
          </cell>
          <cell r="W1013" t="str">
            <v>NUEVO LEON</v>
          </cell>
          <cell r="X1013">
            <v>2019</v>
          </cell>
          <cell r="Y1013" t="str">
            <v>Qtr 2</v>
          </cell>
          <cell r="Z1013" t="str">
            <v>April</v>
          </cell>
          <cell r="AA1013">
            <v>23</v>
          </cell>
          <cell r="AB1013">
            <v>0</v>
          </cell>
          <cell r="AC1013">
            <v>173</v>
          </cell>
          <cell r="AD1013">
            <v>1.05</v>
          </cell>
          <cell r="AE1013">
            <v>0.17666666</v>
          </cell>
          <cell r="AF1013">
            <v>750.75</v>
          </cell>
        </row>
        <row r="1014">
          <cell r="B1014" t="str">
            <v>03AG873545</v>
          </cell>
          <cell r="C1014">
            <v>2019</v>
          </cell>
          <cell r="D1014" t="str">
            <v>Qtr 2</v>
          </cell>
          <cell r="E1014" t="str">
            <v>April</v>
          </cell>
          <cell r="F1014">
            <v>23</v>
          </cell>
          <cell r="G1014" t="str">
            <v>CORRECTIVO</v>
          </cell>
          <cell r="H1014">
            <v>0.71666660000000004</v>
          </cell>
          <cell r="I1014" t="str">
            <v>Departmental Digital</v>
          </cell>
          <cell r="J1014">
            <v>655</v>
          </cell>
          <cell r="K1014">
            <v>1365</v>
          </cell>
          <cell r="L1014">
            <v>0</v>
          </cell>
          <cell r="M1014">
            <v>0</v>
          </cell>
          <cell r="N1014">
            <v>0.6</v>
          </cell>
          <cell r="O1014">
            <v>0.8</v>
          </cell>
          <cell r="P1014">
            <v>1.05</v>
          </cell>
          <cell r="Q1014">
            <v>1.1000000000000001</v>
          </cell>
          <cell r="R1014" t="str">
            <v>INTERIOR</v>
          </cell>
          <cell r="S1014">
            <v>5</v>
          </cell>
          <cell r="T1014">
            <v>9</v>
          </cell>
          <cell r="U1014" t="str">
            <v>Ciudad principal</v>
          </cell>
          <cell r="V1014" t="str">
            <v>Light Production Digital Business</v>
          </cell>
          <cell r="W1014" t="str">
            <v>QUERETARO</v>
          </cell>
          <cell r="X1014">
            <v>2019</v>
          </cell>
          <cell r="Y1014" t="str">
            <v>Qtr 2</v>
          </cell>
          <cell r="Z1014" t="str">
            <v>April</v>
          </cell>
          <cell r="AA1014">
            <v>23</v>
          </cell>
          <cell r="AB1014">
            <v>0</v>
          </cell>
          <cell r="AC1014">
            <v>12</v>
          </cell>
          <cell r="AD1014">
            <v>0.6</v>
          </cell>
          <cell r="AE1014">
            <v>0.14333331999999999</v>
          </cell>
          <cell r="AF1014">
            <v>819</v>
          </cell>
        </row>
        <row r="1015">
          <cell r="B1015" t="str">
            <v>0LX5697800</v>
          </cell>
          <cell r="C1015">
            <v>2019</v>
          </cell>
          <cell r="D1015" t="str">
            <v>Qtr 2</v>
          </cell>
          <cell r="E1015" t="str">
            <v>April</v>
          </cell>
          <cell r="F1015">
            <v>23</v>
          </cell>
          <cell r="G1015" t="str">
            <v>CORRECTIVO</v>
          </cell>
          <cell r="H1015">
            <v>2.4666670000000002</v>
          </cell>
          <cell r="I1015" t="str">
            <v>A3 Office Color Laser MFPs</v>
          </cell>
          <cell r="J1015">
            <v>655</v>
          </cell>
          <cell r="K1015">
            <v>1365</v>
          </cell>
          <cell r="L1015">
            <v>0</v>
          </cell>
          <cell r="M1015">
            <v>0</v>
          </cell>
          <cell r="N1015">
            <v>0.6</v>
          </cell>
          <cell r="O1015">
            <v>0.8</v>
          </cell>
          <cell r="P1015">
            <v>1.05</v>
          </cell>
          <cell r="Q1015">
            <v>1.1000000000000001</v>
          </cell>
          <cell r="R1015" t="str">
            <v>INTERIOR</v>
          </cell>
          <cell r="S1015">
            <v>5</v>
          </cell>
          <cell r="T1015">
            <v>9</v>
          </cell>
          <cell r="U1015" t="str">
            <v>Ciudad principal</v>
          </cell>
          <cell r="V1015" t="str">
            <v>A3 Office Color Laser MFPs</v>
          </cell>
          <cell r="W1015" t="str">
            <v>CHIHUAHUA</v>
          </cell>
          <cell r="X1015">
            <v>2019</v>
          </cell>
          <cell r="Y1015" t="str">
            <v>Qtr 2</v>
          </cell>
          <cell r="Z1015" t="str">
            <v>April</v>
          </cell>
          <cell r="AA1015">
            <v>26</v>
          </cell>
          <cell r="AB1015">
            <v>0</v>
          </cell>
          <cell r="AC1015">
            <v>19</v>
          </cell>
          <cell r="AD1015">
            <v>0.8</v>
          </cell>
          <cell r="AE1015">
            <v>0.49333339999999998</v>
          </cell>
          <cell r="AF1015">
            <v>1092</v>
          </cell>
        </row>
        <row r="1016">
          <cell r="B1016" t="str">
            <v>0EX9293385</v>
          </cell>
          <cell r="C1016">
            <v>2019</v>
          </cell>
          <cell r="D1016" t="str">
            <v>Qtr 2</v>
          </cell>
          <cell r="E1016" t="str">
            <v>April</v>
          </cell>
          <cell r="F1016">
            <v>23</v>
          </cell>
          <cell r="G1016" t="str">
            <v>CORRECTIVO</v>
          </cell>
          <cell r="H1016">
            <v>1.566667</v>
          </cell>
          <cell r="I1016" t="str">
            <v>Departmental Digital</v>
          </cell>
          <cell r="J1016">
            <v>655</v>
          </cell>
          <cell r="K1016">
            <v>1365</v>
          </cell>
          <cell r="L1016">
            <v>0</v>
          </cell>
          <cell r="M1016">
            <v>0</v>
          </cell>
          <cell r="N1016">
            <v>0.6</v>
          </cell>
          <cell r="O1016">
            <v>0.8</v>
          </cell>
          <cell r="P1016">
            <v>1.05</v>
          </cell>
          <cell r="Q1016">
            <v>1.1000000000000001</v>
          </cell>
          <cell r="R1016" t="str">
            <v>INTERIOR</v>
          </cell>
          <cell r="S1016">
            <v>5</v>
          </cell>
          <cell r="T1016">
            <v>9</v>
          </cell>
          <cell r="U1016" t="str">
            <v>Ciudad principal</v>
          </cell>
          <cell r="V1016" t="str">
            <v>Departmental Digital</v>
          </cell>
          <cell r="W1016" t="str">
            <v>QUERETARO</v>
          </cell>
          <cell r="X1016">
            <v>2019</v>
          </cell>
          <cell r="Y1016" t="str">
            <v>Qtr 2</v>
          </cell>
          <cell r="Z1016" t="str">
            <v>April</v>
          </cell>
          <cell r="AA1016">
            <v>23</v>
          </cell>
          <cell r="AB1016">
            <v>0</v>
          </cell>
          <cell r="AC1016">
            <v>20</v>
          </cell>
          <cell r="AD1016">
            <v>0.8</v>
          </cell>
          <cell r="AE1016">
            <v>0.31333339999999998</v>
          </cell>
          <cell r="AF1016">
            <v>1092</v>
          </cell>
        </row>
        <row r="1017">
          <cell r="B1017" t="str">
            <v>0AGD461919</v>
          </cell>
          <cell r="C1017">
            <v>2019</v>
          </cell>
          <cell r="D1017" t="str">
            <v>Qtr 2</v>
          </cell>
          <cell r="E1017" t="str">
            <v>April</v>
          </cell>
          <cell r="F1017">
            <v>23</v>
          </cell>
          <cell r="G1017" t="str">
            <v>CORRECTIVO</v>
          </cell>
          <cell r="H1017">
            <v>0.71666660000000004</v>
          </cell>
          <cell r="I1017" t="str">
            <v>WF Mono Systems and Legacy Color</v>
          </cell>
          <cell r="J1017">
            <v>803</v>
          </cell>
          <cell r="K1017">
            <v>1573</v>
          </cell>
          <cell r="L1017">
            <v>0.2</v>
          </cell>
          <cell r="M1017">
            <v>0.6</v>
          </cell>
          <cell r="N1017">
            <v>0.8</v>
          </cell>
          <cell r="O1017">
            <v>1.05</v>
          </cell>
          <cell r="P1017">
            <v>1.1000000000000001</v>
          </cell>
          <cell r="Q1017">
            <v>1.1499999999999999</v>
          </cell>
          <cell r="R1017" t="str">
            <v>INTERIOR</v>
          </cell>
          <cell r="S1017">
            <v>4</v>
          </cell>
          <cell r="T1017">
            <v>6</v>
          </cell>
          <cell r="U1017" t="str">
            <v>Ciudad principal</v>
          </cell>
          <cell r="V1017" t="str">
            <v>WF Mono Systems and Legacy Color</v>
          </cell>
          <cell r="W1017" t="str">
            <v>JALISCO</v>
          </cell>
          <cell r="X1017">
            <v>2019</v>
          </cell>
          <cell r="Y1017" t="str">
            <v>Qtr 2</v>
          </cell>
          <cell r="Z1017" t="str">
            <v>April</v>
          </cell>
          <cell r="AA1017">
            <v>23</v>
          </cell>
          <cell r="AB1017">
            <v>0</v>
          </cell>
          <cell r="AC1017">
            <v>48</v>
          </cell>
          <cell r="AD1017">
            <v>1.1000000000000001</v>
          </cell>
          <cell r="AE1017">
            <v>0.17916665000000001</v>
          </cell>
          <cell r="AF1017">
            <v>1730.3</v>
          </cell>
        </row>
        <row r="1018">
          <cell r="B1018" t="str">
            <v>03AG877337</v>
          </cell>
          <cell r="C1018">
            <v>2019</v>
          </cell>
          <cell r="D1018" t="str">
            <v>Qtr 2</v>
          </cell>
          <cell r="E1018" t="str">
            <v>April</v>
          </cell>
          <cell r="F1018">
            <v>23</v>
          </cell>
          <cell r="G1018" t="str">
            <v>CORRECTIVO</v>
          </cell>
          <cell r="H1018">
            <v>0.1</v>
          </cell>
          <cell r="I1018" t="str">
            <v>Departmental Digital</v>
          </cell>
          <cell r="J1018">
            <v>655</v>
          </cell>
          <cell r="K1018">
            <v>1365</v>
          </cell>
          <cell r="L1018">
            <v>0</v>
          </cell>
          <cell r="M1018">
            <v>0</v>
          </cell>
          <cell r="N1018">
            <v>0.6</v>
          </cell>
          <cell r="O1018">
            <v>0.8</v>
          </cell>
          <cell r="P1018">
            <v>1.05</v>
          </cell>
          <cell r="Q1018">
            <v>1.1000000000000001</v>
          </cell>
          <cell r="R1018" t="str">
            <v>INTERIOR</v>
          </cell>
          <cell r="S1018">
            <v>5</v>
          </cell>
          <cell r="T1018">
            <v>9</v>
          </cell>
          <cell r="U1018" t="str">
            <v>Ciudad principal</v>
          </cell>
          <cell r="V1018" t="str">
            <v>Light Production Digital Business</v>
          </cell>
          <cell r="W1018" t="str">
            <v>CHIHUAHUA</v>
          </cell>
          <cell r="X1018">
            <v>2019</v>
          </cell>
          <cell r="Y1018" t="str">
            <v>Qtr 2</v>
          </cell>
          <cell r="Z1018" t="str">
            <v>April</v>
          </cell>
          <cell r="AA1018">
            <v>24</v>
          </cell>
          <cell r="AB1018">
            <v>1</v>
          </cell>
          <cell r="AC1018">
            <v>28</v>
          </cell>
          <cell r="AD1018">
            <v>0</v>
          </cell>
          <cell r="AE1018">
            <v>0</v>
          </cell>
          <cell r="AF1018">
            <v>0</v>
          </cell>
        </row>
        <row r="1019">
          <cell r="B1019" t="str">
            <v>0EX9297293</v>
          </cell>
          <cell r="C1019">
            <v>2019</v>
          </cell>
          <cell r="D1019" t="str">
            <v>Qtr 2</v>
          </cell>
          <cell r="E1019" t="str">
            <v>April</v>
          </cell>
          <cell r="F1019">
            <v>23</v>
          </cell>
          <cell r="G1019" t="str">
            <v>CORRECTIVO</v>
          </cell>
          <cell r="H1019">
            <v>0.76666670000000003</v>
          </cell>
          <cell r="I1019" t="str">
            <v>Departmental Digital</v>
          </cell>
          <cell r="J1019">
            <v>655</v>
          </cell>
          <cell r="K1019">
            <v>1365</v>
          </cell>
          <cell r="L1019">
            <v>0</v>
          </cell>
          <cell r="M1019">
            <v>0</v>
          </cell>
          <cell r="N1019">
            <v>0.6</v>
          </cell>
          <cell r="O1019">
            <v>0.8</v>
          </cell>
          <cell r="P1019">
            <v>1.05</v>
          </cell>
          <cell r="Q1019">
            <v>1.1000000000000001</v>
          </cell>
          <cell r="R1019" t="str">
            <v>INTERIOR</v>
          </cell>
          <cell r="S1019">
            <v>5</v>
          </cell>
          <cell r="T1019">
            <v>9</v>
          </cell>
          <cell r="U1019" t="str">
            <v>Ciudad principal</v>
          </cell>
          <cell r="V1019" t="str">
            <v>Departmental Digital</v>
          </cell>
          <cell r="W1019" t="str">
            <v>COAHUILA</v>
          </cell>
          <cell r="X1019">
            <v>2019</v>
          </cell>
          <cell r="Y1019" t="str">
            <v>Qtr 2</v>
          </cell>
          <cell r="Z1019" t="str">
            <v>April</v>
          </cell>
          <cell r="AA1019">
            <v>24</v>
          </cell>
          <cell r="AB1019">
            <v>0</v>
          </cell>
          <cell r="AC1019">
            <v>22</v>
          </cell>
          <cell r="AD1019">
            <v>0.8</v>
          </cell>
          <cell r="AE1019">
            <v>0.15333334000000001</v>
          </cell>
          <cell r="AF1019">
            <v>1092</v>
          </cell>
        </row>
        <row r="1020">
          <cell r="B1020" t="str">
            <v>0BG2946876</v>
          </cell>
          <cell r="C1020">
            <v>2019</v>
          </cell>
          <cell r="D1020" t="str">
            <v>Qtr 2</v>
          </cell>
          <cell r="E1020" t="str">
            <v>April</v>
          </cell>
          <cell r="F1020">
            <v>23</v>
          </cell>
          <cell r="G1020" t="str">
            <v>CORRECTIVO</v>
          </cell>
          <cell r="H1020">
            <v>0.53333339999999996</v>
          </cell>
          <cell r="I1020" t="str">
            <v>Light Production Digital Business</v>
          </cell>
          <cell r="J1020">
            <v>803</v>
          </cell>
          <cell r="K1020">
            <v>1573</v>
          </cell>
          <cell r="L1020">
            <v>0.2</v>
          </cell>
          <cell r="M1020">
            <v>0.6</v>
          </cell>
          <cell r="N1020">
            <v>0.8</v>
          </cell>
          <cell r="O1020">
            <v>1.05</v>
          </cell>
          <cell r="P1020">
            <v>1.1000000000000001</v>
          </cell>
          <cell r="Q1020">
            <v>1.1499999999999999</v>
          </cell>
          <cell r="R1020" t="str">
            <v>INTERIOR</v>
          </cell>
          <cell r="S1020">
            <v>4</v>
          </cell>
          <cell r="T1020">
            <v>6</v>
          </cell>
          <cell r="U1020" t="str">
            <v>Ciudad principal</v>
          </cell>
          <cell r="V1020" t="str">
            <v>High End Cut Sheet</v>
          </cell>
          <cell r="W1020" t="str">
            <v>GUANAJUATO</v>
          </cell>
          <cell r="X1020">
            <v>2019</v>
          </cell>
          <cell r="Y1020" t="str">
            <v>Qtr 2</v>
          </cell>
          <cell r="Z1020" t="str">
            <v>April</v>
          </cell>
          <cell r="AA1020">
            <v>24</v>
          </cell>
          <cell r="AB1020">
            <v>0</v>
          </cell>
          <cell r="AC1020">
            <v>1</v>
          </cell>
          <cell r="AD1020">
            <v>0.2</v>
          </cell>
          <cell r="AE1020">
            <v>0.13333334999999999</v>
          </cell>
          <cell r="AF1020">
            <v>314.60000000000002</v>
          </cell>
        </row>
        <row r="1021">
          <cell r="B1021" t="str">
            <v>0A1H020600</v>
          </cell>
          <cell r="C1021">
            <v>2019</v>
          </cell>
          <cell r="D1021" t="str">
            <v>Qtr 2</v>
          </cell>
          <cell r="E1021" t="str">
            <v>April</v>
          </cell>
          <cell r="F1021">
            <v>23</v>
          </cell>
          <cell r="G1021" t="str">
            <v>CORRECTIVO</v>
          </cell>
          <cell r="H1021">
            <v>0.46666669999999999</v>
          </cell>
          <cell r="I1021" t="str">
            <v>WF Mono Systems and Legacy Color</v>
          </cell>
          <cell r="J1021">
            <v>803</v>
          </cell>
          <cell r="K1021">
            <v>1573</v>
          </cell>
          <cell r="L1021">
            <v>0.2</v>
          </cell>
          <cell r="M1021">
            <v>0.6</v>
          </cell>
          <cell r="N1021">
            <v>0.8</v>
          </cell>
          <cell r="O1021">
            <v>1.05</v>
          </cell>
          <cell r="P1021">
            <v>1.1000000000000001</v>
          </cell>
          <cell r="Q1021">
            <v>1.1499999999999999</v>
          </cell>
          <cell r="R1021" t="str">
            <v>INTERIOR</v>
          </cell>
          <cell r="S1021">
            <v>4</v>
          </cell>
          <cell r="T1021">
            <v>6</v>
          </cell>
          <cell r="U1021" t="str">
            <v>Ciudad principal</v>
          </cell>
          <cell r="V1021" t="str">
            <v>WF Mono Systems and Legacy Color</v>
          </cell>
          <cell r="W1021" t="str">
            <v>GUANAJUATO</v>
          </cell>
          <cell r="X1021">
            <v>2019</v>
          </cell>
          <cell r="Y1021" t="str">
            <v>Qtr 2</v>
          </cell>
          <cell r="Z1021" t="str">
            <v>April</v>
          </cell>
          <cell r="AA1021">
            <v>24</v>
          </cell>
          <cell r="AB1021">
            <v>0</v>
          </cell>
          <cell r="AC1021">
            <v>7</v>
          </cell>
          <cell r="AD1021">
            <v>0.8</v>
          </cell>
          <cell r="AE1021">
            <v>0.116666675</v>
          </cell>
          <cell r="AF1021">
            <v>1258.4000000000001</v>
          </cell>
        </row>
        <row r="1022">
          <cell r="B1022" t="str">
            <v>0D6X452141</v>
          </cell>
          <cell r="C1022">
            <v>2019</v>
          </cell>
          <cell r="D1022" t="str">
            <v>Qtr 2</v>
          </cell>
          <cell r="E1022" t="str">
            <v>April</v>
          </cell>
          <cell r="F1022">
            <v>23</v>
          </cell>
          <cell r="G1022" t="str">
            <v>CORRECTIVO</v>
          </cell>
          <cell r="H1022">
            <v>0.1166667</v>
          </cell>
          <cell r="I1022" t="str">
            <v>Entry Mono Printers</v>
          </cell>
          <cell r="J1022">
            <v>468</v>
          </cell>
          <cell r="K1022">
            <v>715</v>
          </cell>
          <cell r="L1022">
            <v>0</v>
          </cell>
          <cell r="M1022">
            <v>0</v>
          </cell>
          <cell r="N1022">
            <v>0</v>
          </cell>
          <cell r="O1022">
            <v>0.6</v>
          </cell>
          <cell r="P1022">
            <v>0.8</v>
          </cell>
          <cell r="Q1022">
            <v>1.05</v>
          </cell>
          <cell r="R1022" t="str">
            <v>INTERIOR</v>
          </cell>
          <cell r="S1022">
            <v>5</v>
          </cell>
          <cell r="T1022">
            <v>9</v>
          </cell>
          <cell r="U1022" t="str">
            <v>Ciudad principal</v>
          </cell>
          <cell r="V1022" t="str">
            <v>Entry Mono Printers</v>
          </cell>
          <cell r="W1022" t="str">
            <v>CHIHUAHUA</v>
          </cell>
          <cell r="X1022">
            <v>2019</v>
          </cell>
          <cell r="Y1022" t="str">
            <v>Qtr 2</v>
          </cell>
          <cell r="Z1022" t="str">
            <v>April</v>
          </cell>
          <cell r="AA1022">
            <v>24</v>
          </cell>
          <cell r="AB1022">
            <v>0</v>
          </cell>
          <cell r="AC1022">
            <v>28</v>
          </cell>
          <cell r="AD1022">
            <v>0.6</v>
          </cell>
          <cell r="AE1022">
            <v>2.3333340000000001E-2</v>
          </cell>
          <cell r="AF1022">
            <v>429</v>
          </cell>
        </row>
        <row r="1023">
          <cell r="B1023" t="str">
            <v>0A2T382396</v>
          </cell>
          <cell r="C1023">
            <v>2019</v>
          </cell>
          <cell r="D1023" t="str">
            <v>Qtr 2</v>
          </cell>
          <cell r="E1023" t="str">
            <v>April</v>
          </cell>
          <cell r="F1023">
            <v>23</v>
          </cell>
          <cell r="G1023" t="str">
            <v>MANTENIMIENTO PREVENTIVO</v>
          </cell>
          <cell r="H1023">
            <v>0</v>
          </cell>
          <cell r="I1023" t="str">
            <v>A4 Mono MFPs</v>
          </cell>
          <cell r="J1023">
            <v>468</v>
          </cell>
          <cell r="K1023">
            <v>715</v>
          </cell>
          <cell r="L1023">
            <v>0</v>
          </cell>
          <cell r="M1023">
            <v>0</v>
          </cell>
          <cell r="N1023">
            <v>0</v>
          </cell>
          <cell r="O1023">
            <v>0.6</v>
          </cell>
          <cell r="P1023">
            <v>0.8</v>
          </cell>
          <cell r="Q1023">
            <v>1.05</v>
          </cell>
          <cell r="R1023" t="str">
            <v>INTERIOR</v>
          </cell>
          <cell r="S1023">
            <v>5</v>
          </cell>
          <cell r="T1023">
            <v>9</v>
          </cell>
          <cell r="U1023" t="str">
            <v>Ciudad principal</v>
          </cell>
          <cell r="V1023" t="str">
            <v>A4 Mono MFPs</v>
          </cell>
          <cell r="W1023" t="str">
            <v>CHIHUAHUA</v>
          </cell>
          <cell r="X1023">
            <v>2019</v>
          </cell>
          <cell r="Y1023" t="str">
            <v>Qtr 2</v>
          </cell>
          <cell r="Z1023" t="str">
            <v>April</v>
          </cell>
          <cell r="AA1023">
            <v>24</v>
          </cell>
          <cell r="AB1023">
            <v>0</v>
          </cell>
          <cell r="AC1023">
            <v>34</v>
          </cell>
          <cell r="AD1023">
            <v>0</v>
          </cell>
          <cell r="AE1023">
            <v>0</v>
          </cell>
          <cell r="AF1023">
            <v>715</v>
          </cell>
        </row>
        <row r="1024">
          <cell r="B1024" t="str">
            <v>0LA8444144</v>
          </cell>
          <cell r="C1024">
            <v>2019</v>
          </cell>
          <cell r="D1024" t="str">
            <v>Qtr 2</v>
          </cell>
          <cell r="E1024" t="str">
            <v>April</v>
          </cell>
          <cell r="F1024">
            <v>23</v>
          </cell>
          <cell r="G1024" t="str">
            <v>MANTENIMIENTO PREVENTIVO</v>
          </cell>
          <cell r="H1024">
            <v>0</v>
          </cell>
          <cell r="I1024" t="str">
            <v>A4 Mono MFPs</v>
          </cell>
          <cell r="J1024">
            <v>468</v>
          </cell>
          <cell r="K1024">
            <v>715</v>
          </cell>
          <cell r="L1024">
            <v>0</v>
          </cell>
          <cell r="M1024">
            <v>0</v>
          </cell>
          <cell r="N1024">
            <v>0</v>
          </cell>
          <cell r="O1024">
            <v>0.6</v>
          </cell>
          <cell r="P1024">
            <v>0.8</v>
          </cell>
          <cell r="Q1024">
            <v>1.05</v>
          </cell>
          <cell r="R1024" t="str">
            <v>INTERIOR</v>
          </cell>
          <cell r="S1024">
            <v>5</v>
          </cell>
          <cell r="T1024">
            <v>9</v>
          </cell>
          <cell r="U1024" t="str">
            <v>Ciudad principal</v>
          </cell>
          <cell r="V1024" t="str">
            <v>A4 Mono MFPs</v>
          </cell>
          <cell r="W1024" t="str">
            <v>CHIHUAHUA</v>
          </cell>
          <cell r="X1024">
            <v>2019</v>
          </cell>
          <cell r="Y1024" t="str">
            <v>Qtr 2</v>
          </cell>
          <cell r="Z1024" t="str">
            <v>April</v>
          </cell>
          <cell r="AA1024">
            <v>24</v>
          </cell>
          <cell r="AB1024">
            <v>0</v>
          </cell>
          <cell r="AC1024">
            <v>43</v>
          </cell>
          <cell r="AD1024">
            <v>0</v>
          </cell>
          <cell r="AE1024">
            <v>0</v>
          </cell>
          <cell r="AF1024">
            <v>715</v>
          </cell>
        </row>
        <row r="1025">
          <cell r="B1025" t="str">
            <v>0PW4111396</v>
          </cell>
          <cell r="C1025">
            <v>2019</v>
          </cell>
          <cell r="D1025" t="str">
            <v>Qtr 2</v>
          </cell>
          <cell r="E1025" t="str">
            <v>April</v>
          </cell>
          <cell r="F1025">
            <v>24</v>
          </cell>
          <cell r="G1025" t="str">
            <v>MANTENIMIENTO PREVENTIVO</v>
          </cell>
          <cell r="H1025">
            <v>0</v>
          </cell>
          <cell r="I1025" t="str">
            <v>WF Mono Systems and Legacy Color</v>
          </cell>
          <cell r="J1025">
            <v>803</v>
          </cell>
          <cell r="K1025">
            <v>1573</v>
          </cell>
          <cell r="L1025">
            <v>0.2</v>
          </cell>
          <cell r="M1025">
            <v>0.6</v>
          </cell>
          <cell r="N1025">
            <v>0.8</v>
          </cell>
          <cell r="O1025">
            <v>1.05</v>
          </cell>
          <cell r="P1025">
            <v>1.1000000000000001</v>
          </cell>
          <cell r="Q1025">
            <v>1.1499999999999999</v>
          </cell>
          <cell r="R1025" t="str">
            <v>INTERIOR</v>
          </cell>
          <cell r="S1025">
            <v>4</v>
          </cell>
          <cell r="T1025">
            <v>6</v>
          </cell>
          <cell r="U1025" t="str">
            <v>Ciudad principal</v>
          </cell>
          <cell r="V1025" t="str">
            <v>WF Mono Systems and Legacy Color</v>
          </cell>
          <cell r="W1025" t="str">
            <v>COAHUILA</v>
          </cell>
          <cell r="X1025">
            <v>2019</v>
          </cell>
          <cell r="Y1025" t="str">
            <v>Qtr 2</v>
          </cell>
          <cell r="Z1025" t="str">
            <v>April</v>
          </cell>
          <cell r="AA1025">
            <v>24</v>
          </cell>
          <cell r="AB1025">
            <v>0</v>
          </cell>
          <cell r="AC1025">
            <v>8</v>
          </cell>
          <cell r="AD1025">
            <v>0</v>
          </cell>
          <cell r="AE1025">
            <v>0</v>
          </cell>
          <cell r="AF1025">
            <v>1573</v>
          </cell>
        </row>
        <row r="1026">
          <cell r="B1026" t="str">
            <v>0C4X011834</v>
          </cell>
          <cell r="C1026">
            <v>2019</v>
          </cell>
          <cell r="D1026" t="str">
            <v>Qtr 2</v>
          </cell>
          <cell r="E1026" t="str">
            <v>April</v>
          </cell>
          <cell r="F1026">
            <v>24</v>
          </cell>
          <cell r="G1026" t="str">
            <v>MANTENIMIENTO PREVENTIVO</v>
          </cell>
          <cell r="H1026">
            <v>0</v>
          </cell>
          <cell r="I1026" t="str">
            <v>A4 Mono MFPs</v>
          </cell>
          <cell r="J1026">
            <v>468</v>
          </cell>
          <cell r="K1026">
            <v>715</v>
          </cell>
          <cell r="L1026">
            <v>0</v>
          </cell>
          <cell r="M1026">
            <v>0</v>
          </cell>
          <cell r="N1026">
            <v>0</v>
          </cell>
          <cell r="O1026">
            <v>0.6</v>
          </cell>
          <cell r="P1026">
            <v>0.8</v>
          </cell>
          <cell r="Q1026">
            <v>1.05</v>
          </cell>
          <cell r="R1026" t="str">
            <v>INTERIOR</v>
          </cell>
          <cell r="S1026">
            <v>5</v>
          </cell>
          <cell r="T1026">
            <v>9</v>
          </cell>
          <cell r="U1026" t="str">
            <v>Otras</v>
          </cell>
          <cell r="V1026" t="str">
            <v>A4 Mono MFPs</v>
          </cell>
          <cell r="W1026" t="str">
            <v>NUEVO LEON</v>
          </cell>
          <cell r="X1026">
            <v>2019</v>
          </cell>
          <cell r="Y1026" t="str">
            <v>Qtr 2</v>
          </cell>
          <cell r="Z1026" t="str">
            <v>April</v>
          </cell>
          <cell r="AA1026">
            <v>24</v>
          </cell>
          <cell r="AB1026">
            <v>0</v>
          </cell>
          <cell r="AC1026">
            <v>23</v>
          </cell>
          <cell r="AD1026">
            <v>0</v>
          </cell>
          <cell r="AE1026">
            <v>0</v>
          </cell>
          <cell r="AF1026">
            <v>715</v>
          </cell>
        </row>
        <row r="1027">
          <cell r="B1027" t="str">
            <v>0AGE474522</v>
          </cell>
          <cell r="C1027">
            <v>2019</v>
          </cell>
          <cell r="D1027" t="str">
            <v>Qtr 2</v>
          </cell>
          <cell r="E1027" t="str">
            <v>April</v>
          </cell>
          <cell r="F1027">
            <v>24</v>
          </cell>
          <cell r="G1027" t="str">
            <v>MANTENIMIENTO PREVENTIVO</v>
          </cell>
          <cell r="H1027">
            <v>0</v>
          </cell>
          <cell r="I1027" t="str">
            <v>WF Mono Systems and Legacy Color</v>
          </cell>
          <cell r="J1027">
            <v>803</v>
          </cell>
          <cell r="K1027">
            <v>1573</v>
          </cell>
          <cell r="L1027">
            <v>0.2</v>
          </cell>
          <cell r="M1027">
            <v>0.6</v>
          </cell>
          <cell r="N1027">
            <v>0.8</v>
          </cell>
          <cell r="O1027">
            <v>1.05</v>
          </cell>
          <cell r="P1027">
            <v>1.1000000000000001</v>
          </cell>
          <cell r="Q1027">
            <v>1.1499999999999999</v>
          </cell>
          <cell r="R1027" t="str">
            <v>INTERIOR</v>
          </cell>
          <cell r="S1027">
            <v>4</v>
          </cell>
          <cell r="T1027">
            <v>6</v>
          </cell>
          <cell r="U1027" t="str">
            <v>Ciudad principal</v>
          </cell>
          <cell r="V1027" t="str">
            <v>WF Mono Systems and Legacy Color</v>
          </cell>
          <cell r="W1027" t="str">
            <v>TAMAULIPAS</v>
          </cell>
          <cell r="X1027">
            <v>2019</v>
          </cell>
          <cell r="Y1027" t="str">
            <v>Qtr 2</v>
          </cell>
          <cell r="Z1027" t="str">
            <v>April</v>
          </cell>
          <cell r="AA1027">
            <v>24</v>
          </cell>
          <cell r="AB1027">
            <v>0</v>
          </cell>
          <cell r="AC1027">
            <v>9</v>
          </cell>
          <cell r="AD1027">
            <v>0</v>
          </cell>
          <cell r="AE1027">
            <v>0</v>
          </cell>
          <cell r="AF1027">
            <v>1573</v>
          </cell>
        </row>
        <row r="1028">
          <cell r="B1028" t="str">
            <v>0XPN546684</v>
          </cell>
          <cell r="C1028">
            <v>2019</v>
          </cell>
          <cell r="D1028" t="str">
            <v>Qtr 2</v>
          </cell>
          <cell r="E1028" t="str">
            <v>April</v>
          </cell>
          <cell r="F1028">
            <v>24</v>
          </cell>
          <cell r="G1028" t="str">
            <v>CORRECTIVO</v>
          </cell>
          <cell r="H1028">
            <v>3.85</v>
          </cell>
          <cell r="I1028" t="str">
            <v>Entry Production Color Low/Mid</v>
          </cell>
          <cell r="J1028">
            <v>803</v>
          </cell>
          <cell r="K1028">
            <v>1573</v>
          </cell>
          <cell r="L1028">
            <v>0.2</v>
          </cell>
          <cell r="M1028">
            <v>0.6</v>
          </cell>
          <cell r="N1028">
            <v>0.8</v>
          </cell>
          <cell r="O1028">
            <v>1.05</v>
          </cell>
          <cell r="P1028">
            <v>1.1000000000000001</v>
          </cell>
          <cell r="Q1028">
            <v>1.1499999999999999</v>
          </cell>
          <cell r="R1028" t="str">
            <v>INTERIOR</v>
          </cell>
          <cell r="S1028">
            <v>4</v>
          </cell>
          <cell r="T1028">
            <v>6</v>
          </cell>
          <cell r="U1028" t="str">
            <v>Ciudad principal</v>
          </cell>
          <cell r="V1028" t="str">
            <v>Entry Production Color Low/Mid</v>
          </cell>
          <cell r="W1028" t="str">
            <v>MICHOACAN</v>
          </cell>
          <cell r="X1028">
            <v>2019</v>
          </cell>
          <cell r="Y1028" t="str">
            <v>Qtr 2</v>
          </cell>
          <cell r="Z1028" t="str">
            <v>April</v>
          </cell>
          <cell r="AA1028">
            <v>24</v>
          </cell>
          <cell r="AB1028">
            <v>0</v>
          </cell>
          <cell r="AC1028">
            <v>148</v>
          </cell>
          <cell r="AD1028">
            <v>1.1499999999999999</v>
          </cell>
          <cell r="AE1028">
            <v>0.96250000000000002</v>
          </cell>
          <cell r="AF1028">
            <v>1808.95</v>
          </cell>
        </row>
        <row r="1029">
          <cell r="B1029" t="str">
            <v>0BG2947468</v>
          </cell>
          <cell r="C1029">
            <v>2019</v>
          </cell>
          <cell r="D1029" t="str">
            <v>Qtr 2</v>
          </cell>
          <cell r="E1029" t="str">
            <v>April</v>
          </cell>
          <cell r="F1029">
            <v>24</v>
          </cell>
          <cell r="G1029" t="str">
            <v>CORRECTIVO</v>
          </cell>
          <cell r="H1029">
            <v>0.78333339999999996</v>
          </cell>
          <cell r="I1029" t="str">
            <v>Light Production Digital Business</v>
          </cell>
          <cell r="J1029">
            <v>803</v>
          </cell>
          <cell r="K1029">
            <v>1573</v>
          </cell>
          <cell r="L1029">
            <v>0.2</v>
          </cell>
          <cell r="M1029">
            <v>0.6</v>
          </cell>
          <cell r="N1029">
            <v>0.8</v>
          </cell>
          <cell r="O1029">
            <v>1.05</v>
          </cell>
          <cell r="P1029">
            <v>1.1000000000000001</v>
          </cell>
          <cell r="Q1029">
            <v>1.1499999999999999</v>
          </cell>
          <cell r="R1029" t="str">
            <v>INTERIOR</v>
          </cell>
          <cell r="S1029">
            <v>4</v>
          </cell>
          <cell r="T1029">
            <v>6</v>
          </cell>
          <cell r="U1029" t="str">
            <v>Ciudad principal</v>
          </cell>
          <cell r="V1029" t="str">
            <v>High End Cut Sheet</v>
          </cell>
          <cell r="W1029" t="str">
            <v>SAN LUIS POTOSI</v>
          </cell>
          <cell r="X1029">
            <v>2019</v>
          </cell>
          <cell r="Y1029" t="str">
            <v>Qtr 2</v>
          </cell>
          <cell r="Z1029" t="str">
            <v>April</v>
          </cell>
          <cell r="AA1029">
            <v>24</v>
          </cell>
          <cell r="AB1029">
            <v>0</v>
          </cell>
          <cell r="AC1029">
            <v>125</v>
          </cell>
          <cell r="AD1029">
            <v>1.1499999999999999</v>
          </cell>
          <cell r="AE1029">
            <v>0.19583334999999999</v>
          </cell>
          <cell r="AF1029">
            <v>1808.95</v>
          </cell>
        </row>
        <row r="1030">
          <cell r="B1030" t="str">
            <v>0XPN547501</v>
          </cell>
          <cell r="C1030">
            <v>2019</v>
          </cell>
          <cell r="D1030" t="str">
            <v>Qtr 2</v>
          </cell>
          <cell r="E1030" t="str">
            <v>April</v>
          </cell>
          <cell r="F1030">
            <v>24</v>
          </cell>
          <cell r="G1030" t="str">
            <v>CORRECTIVO</v>
          </cell>
          <cell r="H1030">
            <v>2.4166669999999999</v>
          </cell>
          <cell r="I1030" t="str">
            <v>Entry Production Color Low/Mid</v>
          </cell>
          <cell r="J1030">
            <v>803</v>
          </cell>
          <cell r="K1030">
            <v>1573</v>
          </cell>
          <cell r="L1030">
            <v>0.2</v>
          </cell>
          <cell r="M1030">
            <v>0.6</v>
          </cell>
          <cell r="N1030">
            <v>0.8</v>
          </cell>
          <cell r="O1030">
            <v>1.05</v>
          </cell>
          <cell r="P1030">
            <v>1.1000000000000001</v>
          </cell>
          <cell r="Q1030">
            <v>1.1499999999999999</v>
          </cell>
          <cell r="R1030" t="str">
            <v>INTERIOR</v>
          </cell>
          <cell r="S1030">
            <v>4</v>
          </cell>
          <cell r="T1030">
            <v>6</v>
          </cell>
          <cell r="U1030" t="str">
            <v>Ciudad principal</v>
          </cell>
          <cell r="V1030" t="str">
            <v>Entry Production Color Low/Mid</v>
          </cell>
          <cell r="W1030" t="str">
            <v>SAN LUIS POTOSI</v>
          </cell>
          <cell r="X1030">
            <v>2019</v>
          </cell>
          <cell r="Y1030" t="str">
            <v>Qtr 2</v>
          </cell>
          <cell r="Z1030" t="str">
            <v>April</v>
          </cell>
          <cell r="AA1030">
            <v>24</v>
          </cell>
          <cell r="AB1030">
            <v>0</v>
          </cell>
          <cell r="AC1030">
            <v>29</v>
          </cell>
          <cell r="AD1030">
            <v>1.05</v>
          </cell>
          <cell r="AE1030">
            <v>0.60416674999999997</v>
          </cell>
          <cell r="AF1030">
            <v>1651.65</v>
          </cell>
        </row>
        <row r="1031">
          <cell r="B1031" t="str">
            <v>0A1H021665</v>
          </cell>
          <cell r="C1031">
            <v>2019</v>
          </cell>
          <cell r="D1031" t="str">
            <v>Qtr 2</v>
          </cell>
          <cell r="E1031" t="str">
            <v>April</v>
          </cell>
          <cell r="F1031">
            <v>24</v>
          </cell>
          <cell r="G1031" t="str">
            <v>CORRECTIVO</v>
          </cell>
          <cell r="H1031">
            <v>1.566667</v>
          </cell>
          <cell r="I1031" t="str">
            <v>WF Mono Systems and Legacy Color</v>
          </cell>
          <cell r="J1031">
            <v>803</v>
          </cell>
          <cell r="K1031">
            <v>1573</v>
          </cell>
          <cell r="L1031">
            <v>0.2</v>
          </cell>
          <cell r="M1031">
            <v>0.6</v>
          </cell>
          <cell r="N1031">
            <v>0.8</v>
          </cell>
          <cell r="O1031">
            <v>1.05</v>
          </cell>
          <cell r="P1031">
            <v>1.1000000000000001</v>
          </cell>
          <cell r="Q1031">
            <v>1.1499999999999999</v>
          </cell>
          <cell r="R1031" t="str">
            <v>INTERIOR</v>
          </cell>
          <cell r="S1031">
            <v>4</v>
          </cell>
          <cell r="T1031">
            <v>6</v>
          </cell>
          <cell r="U1031" t="str">
            <v>Ciudad principal</v>
          </cell>
          <cell r="V1031" t="str">
            <v>WF Mono Systems and Legacy Color</v>
          </cell>
          <cell r="W1031" t="str">
            <v>QUERETARO</v>
          </cell>
          <cell r="X1031">
            <v>2019</v>
          </cell>
          <cell r="Y1031" t="str">
            <v>Qtr 2</v>
          </cell>
          <cell r="Z1031" t="str">
            <v>April</v>
          </cell>
          <cell r="AA1031">
            <v>24</v>
          </cell>
          <cell r="AB1031">
            <v>0</v>
          </cell>
          <cell r="AC1031">
            <v>29</v>
          </cell>
          <cell r="AD1031">
            <v>1.05</v>
          </cell>
          <cell r="AE1031">
            <v>0.39166675000000001</v>
          </cell>
          <cell r="AF1031">
            <v>1651.65</v>
          </cell>
        </row>
        <row r="1032">
          <cell r="B1032" t="str">
            <v>0AGD460903</v>
          </cell>
          <cell r="C1032">
            <v>2019</v>
          </cell>
          <cell r="D1032" t="str">
            <v>Qtr 2</v>
          </cell>
          <cell r="E1032" t="str">
            <v>April</v>
          </cell>
          <cell r="F1032">
            <v>24</v>
          </cell>
          <cell r="G1032" t="str">
            <v>CORRECTIVO</v>
          </cell>
          <cell r="H1032">
            <v>2.233333</v>
          </cell>
          <cell r="J1032" t="str">
            <v>NA</v>
          </cell>
          <cell r="K1032" t="str">
            <v>NA</v>
          </cell>
          <cell r="L1032" t="str">
            <v>NA</v>
          </cell>
          <cell r="M1032" t="str">
            <v>NA</v>
          </cell>
          <cell r="N1032" t="str">
            <v>NA</v>
          </cell>
          <cell r="O1032" t="str">
            <v>NA</v>
          </cell>
          <cell r="P1032" t="str">
            <v>NA</v>
          </cell>
          <cell r="Q1032" t="str">
            <v>NA</v>
          </cell>
          <cell r="S1032" t="str">
            <v>NA</v>
          </cell>
          <cell r="T1032" t="str">
            <v>NA</v>
          </cell>
          <cell r="V1032" t="str">
            <v>WF Mono Systems and Legacy Color</v>
          </cell>
          <cell r="W1032" t="str">
            <v>ESTADO DE MEXICO</v>
          </cell>
          <cell r="X1032">
            <v>2019</v>
          </cell>
          <cell r="Y1032" t="str">
            <v>Qtr 2</v>
          </cell>
          <cell r="Z1032" t="str">
            <v>April</v>
          </cell>
          <cell r="AA1032">
            <v>24</v>
          </cell>
          <cell r="AB1032" t="str">
            <v>NA</v>
          </cell>
          <cell r="AC1032">
            <v>71</v>
          </cell>
          <cell r="AD1032">
            <v>0</v>
          </cell>
          <cell r="AE1032">
            <v>0</v>
          </cell>
          <cell r="AF1032">
            <v>0</v>
          </cell>
        </row>
        <row r="1033">
          <cell r="B1033" t="str">
            <v>0XLT278481</v>
          </cell>
          <cell r="C1033">
            <v>2019</v>
          </cell>
          <cell r="D1033" t="str">
            <v>Qtr 2</v>
          </cell>
          <cell r="E1033" t="str">
            <v>April</v>
          </cell>
          <cell r="F1033">
            <v>24</v>
          </cell>
          <cell r="G1033" t="str">
            <v>MANTENIMIENTO PREVENTIVO</v>
          </cell>
          <cell r="H1033">
            <v>0</v>
          </cell>
          <cell r="I1033" t="str">
            <v>Entry Mono Printers</v>
          </cell>
          <cell r="J1033">
            <v>468</v>
          </cell>
          <cell r="K1033">
            <v>715</v>
          </cell>
          <cell r="L1033">
            <v>0</v>
          </cell>
          <cell r="M1033">
            <v>0</v>
          </cell>
          <cell r="N1033">
            <v>0</v>
          </cell>
          <cell r="O1033">
            <v>0.6</v>
          </cell>
          <cell r="P1033">
            <v>0.8</v>
          </cell>
          <cell r="Q1033">
            <v>1.05</v>
          </cell>
          <cell r="R1033" t="str">
            <v>INTERIOR</v>
          </cell>
          <cell r="S1033">
            <v>5</v>
          </cell>
          <cell r="T1033">
            <v>9</v>
          </cell>
          <cell r="U1033" t="str">
            <v>Ciudad principal</v>
          </cell>
          <cell r="V1033" t="str">
            <v>Entry Mono Printers</v>
          </cell>
          <cell r="W1033" t="str">
            <v>CHIHUAHUA</v>
          </cell>
          <cell r="X1033">
            <v>2019</v>
          </cell>
          <cell r="Y1033" t="str">
            <v>Qtr 2</v>
          </cell>
          <cell r="Z1033" t="str">
            <v>April</v>
          </cell>
          <cell r="AA1033">
            <v>24</v>
          </cell>
          <cell r="AB1033">
            <v>0</v>
          </cell>
          <cell r="AC1033">
            <v>8</v>
          </cell>
          <cell r="AD1033">
            <v>0</v>
          </cell>
          <cell r="AE1033">
            <v>0</v>
          </cell>
          <cell r="AF1033">
            <v>715</v>
          </cell>
        </row>
        <row r="1034">
          <cell r="B1034" t="str">
            <v>03AG880350</v>
          </cell>
          <cell r="C1034">
            <v>2019</v>
          </cell>
          <cell r="D1034" t="str">
            <v>Qtr 2</v>
          </cell>
          <cell r="E1034" t="str">
            <v>April</v>
          </cell>
          <cell r="F1034">
            <v>24</v>
          </cell>
          <cell r="G1034" t="str">
            <v>CORRECTIVO</v>
          </cell>
          <cell r="H1034">
            <v>2.0833330000000001</v>
          </cell>
          <cell r="I1034" t="str">
            <v>Departmental Digital</v>
          </cell>
          <cell r="J1034">
            <v>655</v>
          </cell>
          <cell r="K1034">
            <v>1365</v>
          </cell>
          <cell r="L1034">
            <v>0</v>
          </cell>
          <cell r="M1034">
            <v>0</v>
          </cell>
          <cell r="N1034">
            <v>0.6</v>
          </cell>
          <cell r="O1034">
            <v>0.8</v>
          </cell>
          <cell r="P1034">
            <v>1.05</v>
          </cell>
          <cell r="Q1034">
            <v>1.1000000000000001</v>
          </cell>
          <cell r="R1034" t="str">
            <v>INTERIOR</v>
          </cell>
          <cell r="S1034">
            <v>5</v>
          </cell>
          <cell r="T1034">
            <v>9</v>
          </cell>
          <cell r="U1034" t="str">
            <v>Ciudad principal</v>
          </cell>
          <cell r="V1034" t="str">
            <v>Departmental Digital</v>
          </cell>
          <cell r="W1034" t="str">
            <v>JALISCO</v>
          </cell>
          <cell r="X1034">
            <v>2019</v>
          </cell>
          <cell r="Y1034" t="str">
            <v>Qtr 2</v>
          </cell>
          <cell r="Z1034" t="str">
            <v>April</v>
          </cell>
          <cell r="AA1034">
            <v>24</v>
          </cell>
          <cell r="AB1034">
            <v>0</v>
          </cell>
          <cell r="AC1034">
            <v>35</v>
          </cell>
          <cell r="AD1034">
            <v>1.05</v>
          </cell>
          <cell r="AE1034">
            <v>0.4166666</v>
          </cell>
          <cell r="AF1034">
            <v>1433.25</v>
          </cell>
        </row>
        <row r="1035">
          <cell r="B1035" t="str">
            <v>0A2T382396</v>
          </cell>
          <cell r="C1035">
            <v>2019</v>
          </cell>
          <cell r="D1035" t="str">
            <v>Qtr 2</v>
          </cell>
          <cell r="E1035" t="str">
            <v>April</v>
          </cell>
          <cell r="F1035">
            <v>24</v>
          </cell>
          <cell r="G1035" t="str">
            <v>CORRECTIVO</v>
          </cell>
          <cell r="H1035">
            <v>0</v>
          </cell>
          <cell r="I1035" t="str">
            <v>A4 Mono MFPs</v>
          </cell>
          <cell r="J1035">
            <v>468</v>
          </cell>
          <cell r="K1035">
            <v>715</v>
          </cell>
          <cell r="L1035">
            <v>0</v>
          </cell>
          <cell r="M1035">
            <v>0</v>
          </cell>
          <cell r="N1035">
            <v>0</v>
          </cell>
          <cell r="O1035">
            <v>0.6</v>
          </cell>
          <cell r="P1035">
            <v>0.8</v>
          </cell>
          <cell r="Q1035">
            <v>1.05</v>
          </cell>
          <cell r="R1035" t="str">
            <v>INTERIOR</v>
          </cell>
          <cell r="S1035">
            <v>5</v>
          </cell>
          <cell r="T1035">
            <v>9</v>
          </cell>
          <cell r="U1035" t="str">
            <v>Ciudad principal</v>
          </cell>
          <cell r="V1035" t="str">
            <v>A4 Mono MFPs</v>
          </cell>
          <cell r="W1035" t="str">
            <v>CHIHUAHUA</v>
          </cell>
          <cell r="X1035">
            <v>2019</v>
          </cell>
          <cell r="Y1035" t="str">
            <v>Qtr 2</v>
          </cell>
          <cell r="Z1035" t="str">
            <v>April</v>
          </cell>
          <cell r="AA1035">
            <v>24</v>
          </cell>
          <cell r="AB1035">
            <v>0</v>
          </cell>
          <cell r="AC1035">
            <v>0</v>
          </cell>
          <cell r="AD1035">
            <v>1.05</v>
          </cell>
          <cell r="AE1035">
            <v>0</v>
          </cell>
          <cell r="AF1035">
            <v>750.75</v>
          </cell>
        </row>
        <row r="1036">
          <cell r="B1036" t="str">
            <v>0XLT993509</v>
          </cell>
          <cell r="C1036">
            <v>2019</v>
          </cell>
          <cell r="D1036" t="str">
            <v>Qtr 2</v>
          </cell>
          <cell r="E1036" t="str">
            <v>April</v>
          </cell>
          <cell r="F1036">
            <v>24</v>
          </cell>
          <cell r="G1036" t="str">
            <v>CORRECTIVO</v>
          </cell>
          <cell r="H1036">
            <v>0</v>
          </cell>
          <cell r="I1036" t="str">
            <v>Entry Mono Printers</v>
          </cell>
          <cell r="J1036">
            <v>468</v>
          </cell>
          <cell r="K1036">
            <v>715</v>
          </cell>
          <cell r="L1036">
            <v>0</v>
          </cell>
          <cell r="M1036">
            <v>0</v>
          </cell>
          <cell r="N1036">
            <v>0</v>
          </cell>
          <cell r="O1036">
            <v>0.6</v>
          </cell>
          <cell r="P1036">
            <v>0.8</v>
          </cell>
          <cell r="Q1036">
            <v>1.05</v>
          </cell>
          <cell r="R1036" t="str">
            <v>INTERIOR</v>
          </cell>
          <cell r="S1036">
            <v>5</v>
          </cell>
          <cell r="T1036">
            <v>9</v>
          </cell>
          <cell r="U1036" t="str">
            <v>Ciudad principal</v>
          </cell>
          <cell r="V1036" t="str">
            <v>Entry Mono Printers</v>
          </cell>
          <cell r="W1036" t="str">
            <v>CHIHUAHUA</v>
          </cell>
          <cell r="X1036">
            <v>2019</v>
          </cell>
          <cell r="Y1036" t="str">
            <v>Qtr 2</v>
          </cell>
          <cell r="Z1036" t="str">
            <v>April</v>
          </cell>
          <cell r="AA1036">
            <v>24</v>
          </cell>
          <cell r="AB1036">
            <v>0</v>
          </cell>
          <cell r="AC1036">
            <v>127</v>
          </cell>
          <cell r="AD1036">
            <v>1.05</v>
          </cell>
          <cell r="AE1036">
            <v>0</v>
          </cell>
          <cell r="AF1036">
            <v>750.75</v>
          </cell>
        </row>
        <row r="1037">
          <cell r="B1037" t="str">
            <v>0Y4X846817</v>
          </cell>
          <cell r="C1037">
            <v>2019</v>
          </cell>
          <cell r="D1037" t="str">
            <v>Qtr 2</v>
          </cell>
          <cell r="E1037" t="str">
            <v>April</v>
          </cell>
          <cell r="F1037">
            <v>24</v>
          </cell>
          <cell r="G1037" t="str">
            <v>MANTENIMIENTO PREVENTIVO</v>
          </cell>
          <cell r="H1037">
            <v>0</v>
          </cell>
          <cell r="I1037" t="str">
            <v>Office Digital</v>
          </cell>
          <cell r="J1037">
            <v>655</v>
          </cell>
          <cell r="K1037">
            <v>1365</v>
          </cell>
          <cell r="L1037">
            <v>0</v>
          </cell>
          <cell r="M1037">
            <v>0</v>
          </cell>
          <cell r="N1037">
            <v>0.6</v>
          </cell>
          <cell r="O1037">
            <v>0.8</v>
          </cell>
          <cell r="P1037">
            <v>1.05</v>
          </cell>
          <cell r="Q1037">
            <v>1.1000000000000001</v>
          </cell>
          <cell r="R1037" t="str">
            <v>INTERIOR</v>
          </cell>
          <cell r="S1037">
            <v>5</v>
          </cell>
          <cell r="T1037">
            <v>9</v>
          </cell>
          <cell r="U1037" t="str">
            <v>Ciudad principal</v>
          </cell>
          <cell r="V1037" t="str">
            <v>Light Production Digital Business</v>
          </cell>
          <cell r="W1037" t="str">
            <v>JALISCO</v>
          </cell>
          <cell r="X1037">
            <v>2019</v>
          </cell>
          <cell r="Y1037" t="str">
            <v>Qtr 2</v>
          </cell>
          <cell r="Z1037" t="str">
            <v>April</v>
          </cell>
          <cell r="AA1037">
            <v>24</v>
          </cell>
          <cell r="AB1037">
            <v>1</v>
          </cell>
          <cell r="AC1037">
            <v>9</v>
          </cell>
          <cell r="AD1037">
            <v>0</v>
          </cell>
          <cell r="AE1037">
            <v>0</v>
          </cell>
          <cell r="AF1037">
            <v>0</v>
          </cell>
        </row>
        <row r="1038">
          <cell r="B1038" t="str">
            <v>0E2B665653</v>
          </cell>
          <cell r="C1038">
            <v>2019</v>
          </cell>
          <cell r="D1038" t="str">
            <v>Qtr 2</v>
          </cell>
          <cell r="E1038" t="str">
            <v>April</v>
          </cell>
          <cell r="F1038">
            <v>24</v>
          </cell>
          <cell r="G1038" t="str">
            <v>CORRECTIVO</v>
          </cell>
          <cell r="H1038">
            <v>3.1166670000000001</v>
          </cell>
          <cell r="I1038" t="str">
            <v>Entry Production Color Low/Mid</v>
          </cell>
          <cell r="J1038">
            <v>803</v>
          </cell>
          <cell r="K1038">
            <v>1573</v>
          </cell>
          <cell r="L1038">
            <v>0.2</v>
          </cell>
          <cell r="M1038">
            <v>0.6</v>
          </cell>
          <cell r="N1038">
            <v>0.8</v>
          </cell>
          <cell r="O1038">
            <v>1.05</v>
          </cell>
          <cell r="P1038">
            <v>1.1000000000000001</v>
          </cell>
          <cell r="Q1038">
            <v>1.1499999999999999</v>
          </cell>
          <cell r="R1038" t="str">
            <v>INTERIOR</v>
          </cell>
          <cell r="S1038">
            <v>4</v>
          </cell>
          <cell r="T1038">
            <v>6</v>
          </cell>
          <cell r="U1038" t="str">
            <v>Ciudad principal</v>
          </cell>
          <cell r="V1038" t="str">
            <v>Entry Production Color Low/Mid</v>
          </cell>
          <cell r="W1038" t="str">
            <v>JALISCO</v>
          </cell>
          <cell r="X1038">
            <v>2019</v>
          </cell>
          <cell r="Y1038" t="str">
            <v>Qtr 2</v>
          </cell>
          <cell r="Z1038" t="str">
            <v>April</v>
          </cell>
          <cell r="AA1038">
            <v>25</v>
          </cell>
          <cell r="AB1038">
            <v>0</v>
          </cell>
          <cell r="AC1038">
            <v>2</v>
          </cell>
          <cell r="AD1038">
            <v>0.2</v>
          </cell>
          <cell r="AE1038">
            <v>0.77916675000000002</v>
          </cell>
          <cell r="AF1038">
            <v>314.60000000000002</v>
          </cell>
        </row>
        <row r="1039">
          <cell r="B1039" t="str">
            <v>09HB331745</v>
          </cell>
          <cell r="C1039">
            <v>2019</v>
          </cell>
          <cell r="D1039" t="str">
            <v>Qtr 2</v>
          </cell>
          <cell r="E1039" t="str">
            <v>April</v>
          </cell>
          <cell r="F1039">
            <v>24</v>
          </cell>
          <cell r="G1039" t="str">
            <v>MANTENIMIENTO PREVENTIVO</v>
          </cell>
          <cell r="H1039">
            <v>0</v>
          </cell>
          <cell r="I1039" t="str">
            <v>A4 Mono MFPs</v>
          </cell>
          <cell r="J1039">
            <v>468</v>
          </cell>
          <cell r="K1039">
            <v>715</v>
          </cell>
          <cell r="L1039">
            <v>0</v>
          </cell>
          <cell r="M1039">
            <v>0</v>
          </cell>
          <cell r="N1039">
            <v>0</v>
          </cell>
          <cell r="O1039">
            <v>0.6</v>
          </cell>
          <cell r="P1039">
            <v>0.8</v>
          </cell>
          <cell r="Q1039">
            <v>1.05</v>
          </cell>
          <cell r="R1039" t="str">
            <v>METRO</v>
          </cell>
          <cell r="S1039">
            <v>5</v>
          </cell>
          <cell r="T1039">
            <v>9</v>
          </cell>
          <cell r="U1039" t="str">
            <v>Ciudad principal</v>
          </cell>
          <cell r="V1039" t="str">
            <v>A4 Mono MFPs</v>
          </cell>
          <cell r="W1039" t="str">
            <v>CIUDAD DE MEXICO</v>
          </cell>
          <cell r="X1039">
            <v>2019</v>
          </cell>
          <cell r="Y1039" t="str">
            <v>Qtr 2</v>
          </cell>
          <cell r="Z1039" t="str">
            <v>April</v>
          </cell>
          <cell r="AA1039">
            <v>25</v>
          </cell>
          <cell r="AB1039">
            <v>1</v>
          </cell>
          <cell r="AC1039">
            <v>75</v>
          </cell>
          <cell r="AD1039">
            <v>0</v>
          </cell>
          <cell r="AE1039">
            <v>0</v>
          </cell>
          <cell r="AF1039">
            <v>0</v>
          </cell>
        </row>
        <row r="1040">
          <cell r="B1040" t="str">
            <v>0AB9779577</v>
          </cell>
          <cell r="C1040">
            <v>2019</v>
          </cell>
          <cell r="D1040" t="str">
            <v>Qtr 2</v>
          </cell>
          <cell r="E1040" t="str">
            <v>April</v>
          </cell>
          <cell r="F1040">
            <v>24</v>
          </cell>
          <cell r="G1040" t="str">
            <v>CORRECTIVO</v>
          </cell>
          <cell r="H1040">
            <v>0</v>
          </cell>
          <cell r="I1040" t="str">
            <v>Color Laser Printers</v>
          </cell>
          <cell r="J1040">
            <v>468</v>
          </cell>
          <cell r="K1040">
            <v>715</v>
          </cell>
          <cell r="L1040">
            <v>0</v>
          </cell>
          <cell r="M1040">
            <v>0</v>
          </cell>
          <cell r="N1040">
            <v>0</v>
          </cell>
          <cell r="O1040">
            <v>0.6</v>
          </cell>
          <cell r="P1040">
            <v>0.8</v>
          </cell>
          <cell r="Q1040">
            <v>1.05</v>
          </cell>
          <cell r="R1040" t="str">
            <v>INTERIOR</v>
          </cell>
          <cell r="S1040">
            <v>5</v>
          </cell>
          <cell r="T1040">
            <v>9</v>
          </cell>
          <cell r="U1040" t="str">
            <v>Ciudad principal</v>
          </cell>
          <cell r="V1040" t="str">
            <v>Departmental Digital</v>
          </cell>
          <cell r="W1040" t="str">
            <v>CHIHUAHUA</v>
          </cell>
          <cell r="X1040">
            <v>2019</v>
          </cell>
          <cell r="Y1040" t="str">
            <v>Qtr 2</v>
          </cell>
          <cell r="Z1040" t="str">
            <v>April</v>
          </cell>
          <cell r="AA1040">
            <v>24</v>
          </cell>
          <cell r="AB1040">
            <v>0</v>
          </cell>
          <cell r="AC1040">
            <v>83</v>
          </cell>
          <cell r="AD1040">
            <v>1.05</v>
          </cell>
          <cell r="AE1040">
            <v>0</v>
          </cell>
          <cell r="AF1040">
            <v>750.75</v>
          </cell>
        </row>
        <row r="1041">
          <cell r="B1041" t="str">
            <v>0BG2948799</v>
          </cell>
          <cell r="C1041">
            <v>2019</v>
          </cell>
          <cell r="D1041" t="str">
            <v>Qtr 2</v>
          </cell>
          <cell r="E1041" t="str">
            <v>April</v>
          </cell>
          <cell r="F1041">
            <v>24</v>
          </cell>
          <cell r="G1041" t="str">
            <v>CORRECTIVO</v>
          </cell>
          <cell r="H1041">
            <v>2.0333329999999998</v>
          </cell>
          <cell r="I1041" t="str">
            <v>Light Production Digital Business</v>
          </cell>
          <cell r="J1041">
            <v>803</v>
          </cell>
          <cell r="K1041">
            <v>1573</v>
          </cell>
          <cell r="L1041">
            <v>0.2</v>
          </cell>
          <cell r="M1041">
            <v>0.6</v>
          </cell>
          <cell r="N1041">
            <v>0.8</v>
          </cell>
          <cell r="O1041">
            <v>1.05</v>
          </cell>
          <cell r="P1041">
            <v>1.1000000000000001</v>
          </cell>
          <cell r="Q1041">
            <v>1.1499999999999999</v>
          </cell>
          <cell r="R1041" t="str">
            <v>INTERIOR</v>
          </cell>
          <cell r="S1041">
            <v>4</v>
          </cell>
          <cell r="T1041">
            <v>6</v>
          </cell>
          <cell r="U1041" t="str">
            <v>Ciudad principal</v>
          </cell>
          <cell r="V1041" t="str">
            <v>High End Cut Sheet</v>
          </cell>
          <cell r="W1041" t="str">
            <v>JALISCO</v>
          </cell>
          <cell r="X1041">
            <v>2019</v>
          </cell>
          <cell r="Y1041" t="str">
            <v>Qtr 2</v>
          </cell>
          <cell r="Z1041" t="str">
            <v>April</v>
          </cell>
          <cell r="AA1041">
            <v>24</v>
          </cell>
          <cell r="AB1041">
            <v>0</v>
          </cell>
          <cell r="AC1041">
            <v>7</v>
          </cell>
          <cell r="AD1041">
            <v>0.8</v>
          </cell>
          <cell r="AE1041">
            <v>0.50833324999999996</v>
          </cell>
          <cell r="AF1041">
            <v>1258.4000000000001</v>
          </cell>
        </row>
        <row r="1042">
          <cell r="B1042" t="str">
            <v>09HB331737</v>
          </cell>
          <cell r="C1042">
            <v>2019</v>
          </cell>
          <cell r="D1042" t="str">
            <v>Qtr 2</v>
          </cell>
          <cell r="E1042" t="str">
            <v>April</v>
          </cell>
          <cell r="F1042">
            <v>24</v>
          </cell>
          <cell r="G1042" t="str">
            <v>MANTENIMIENTO PREVENTIVO</v>
          </cell>
          <cell r="H1042">
            <v>0</v>
          </cell>
          <cell r="J1042" t="str">
            <v>NA</v>
          </cell>
          <cell r="K1042" t="str">
            <v>NA</v>
          </cell>
          <cell r="L1042" t="str">
            <v>NA</v>
          </cell>
          <cell r="M1042" t="str">
            <v>NA</v>
          </cell>
          <cell r="N1042" t="str">
            <v>NA</v>
          </cell>
          <cell r="O1042" t="str">
            <v>NA</v>
          </cell>
          <cell r="P1042" t="str">
            <v>NA</v>
          </cell>
          <cell r="Q1042" t="str">
            <v>NA</v>
          </cell>
          <cell r="S1042" t="str">
            <v>NA</v>
          </cell>
          <cell r="T1042" t="str">
            <v>NA</v>
          </cell>
          <cell r="V1042" t="str">
            <v>A4 Mono MFPs</v>
          </cell>
          <cell r="W1042" t="str">
            <v>CIUDAD DE MEXICO</v>
          </cell>
          <cell r="X1042">
            <v>2019</v>
          </cell>
          <cell r="Y1042" t="str">
            <v>Qtr 2</v>
          </cell>
          <cell r="Z1042" t="str">
            <v>April</v>
          </cell>
          <cell r="AA1042">
            <v>25</v>
          </cell>
          <cell r="AB1042" t="str">
            <v>NA</v>
          </cell>
          <cell r="AC1042">
            <v>75</v>
          </cell>
          <cell r="AD1042">
            <v>0</v>
          </cell>
          <cell r="AE1042">
            <v>0</v>
          </cell>
          <cell r="AF1042">
            <v>0</v>
          </cell>
        </row>
        <row r="1043">
          <cell r="B1043" t="str">
            <v>0BG2940928</v>
          </cell>
          <cell r="C1043">
            <v>2019</v>
          </cell>
          <cell r="D1043" t="str">
            <v>Qtr 2</v>
          </cell>
          <cell r="E1043" t="str">
            <v>April</v>
          </cell>
          <cell r="F1043">
            <v>24</v>
          </cell>
          <cell r="G1043" t="str">
            <v>CORRECTIVO</v>
          </cell>
          <cell r="H1043">
            <v>3.9333330000000002</v>
          </cell>
          <cell r="I1043" t="str">
            <v>Light Production Digital Business</v>
          </cell>
          <cell r="J1043">
            <v>803</v>
          </cell>
          <cell r="K1043">
            <v>1573</v>
          </cell>
          <cell r="L1043">
            <v>0.2</v>
          </cell>
          <cell r="M1043">
            <v>0.6</v>
          </cell>
          <cell r="N1043">
            <v>0.8</v>
          </cell>
          <cell r="O1043">
            <v>1.05</v>
          </cell>
          <cell r="P1043">
            <v>1.1000000000000001</v>
          </cell>
          <cell r="Q1043">
            <v>1.1499999999999999</v>
          </cell>
          <cell r="R1043" t="str">
            <v>INTERIOR</v>
          </cell>
          <cell r="S1043">
            <v>4</v>
          </cell>
          <cell r="T1043">
            <v>6</v>
          </cell>
          <cell r="U1043" t="str">
            <v>Ciudad principal</v>
          </cell>
          <cell r="V1043" t="str">
            <v>High End Cut Sheet</v>
          </cell>
          <cell r="W1043" t="str">
            <v>JALISCO</v>
          </cell>
          <cell r="X1043">
            <v>2019</v>
          </cell>
          <cell r="Y1043" t="str">
            <v>Qtr 2</v>
          </cell>
          <cell r="Z1043" t="str">
            <v>April</v>
          </cell>
          <cell r="AA1043">
            <v>26</v>
          </cell>
          <cell r="AB1043">
            <v>0</v>
          </cell>
          <cell r="AC1043">
            <v>2</v>
          </cell>
          <cell r="AD1043">
            <v>0.2</v>
          </cell>
          <cell r="AE1043">
            <v>0.98333325000000005</v>
          </cell>
          <cell r="AF1043">
            <v>314.60000000000002</v>
          </cell>
        </row>
        <row r="1044">
          <cell r="B1044" t="str">
            <v>09HB331817</v>
          </cell>
          <cell r="C1044">
            <v>2019</v>
          </cell>
          <cell r="D1044" t="str">
            <v>Qtr 2</v>
          </cell>
          <cell r="E1044" t="str">
            <v>April</v>
          </cell>
          <cell r="F1044">
            <v>24</v>
          </cell>
          <cell r="G1044" t="str">
            <v>MANTENIMIENTO PREVENTIVO</v>
          </cell>
          <cell r="H1044">
            <v>0</v>
          </cell>
          <cell r="J1044" t="str">
            <v>NA</v>
          </cell>
          <cell r="K1044" t="str">
            <v>NA</v>
          </cell>
          <cell r="L1044" t="str">
            <v>NA</v>
          </cell>
          <cell r="M1044" t="str">
            <v>NA</v>
          </cell>
          <cell r="N1044" t="str">
            <v>NA</v>
          </cell>
          <cell r="O1044" t="str">
            <v>NA</v>
          </cell>
          <cell r="P1044" t="str">
            <v>NA</v>
          </cell>
          <cell r="Q1044" t="str">
            <v>NA</v>
          </cell>
          <cell r="S1044" t="str">
            <v>NA</v>
          </cell>
          <cell r="T1044" t="str">
            <v>NA</v>
          </cell>
          <cell r="V1044" t="str">
            <v>A4 Mono MFPs</v>
          </cell>
          <cell r="W1044" t="str">
            <v>CIUDAD DE MEXICO</v>
          </cell>
          <cell r="X1044">
            <v>2019</v>
          </cell>
          <cell r="Y1044" t="str">
            <v>Qtr 2</v>
          </cell>
          <cell r="Z1044" t="str">
            <v>April</v>
          </cell>
          <cell r="AA1044">
            <v>24</v>
          </cell>
          <cell r="AB1044" t="str">
            <v>NA</v>
          </cell>
          <cell r="AC1044">
            <v>44</v>
          </cell>
          <cell r="AD1044">
            <v>0</v>
          </cell>
          <cell r="AE1044">
            <v>0</v>
          </cell>
          <cell r="AF1044">
            <v>0</v>
          </cell>
        </row>
        <row r="1045">
          <cell r="B1045" t="str">
            <v>0Y4X848718</v>
          </cell>
          <cell r="C1045">
            <v>2019</v>
          </cell>
          <cell r="D1045" t="str">
            <v>Qtr 2</v>
          </cell>
          <cell r="E1045" t="str">
            <v>April</v>
          </cell>
          <cell r="F1045">
            <v>24</v>
          </cell>
          <cell r="G1045" t="str">
            <v>MANTENIMIENTO PREVENTIVO</v>
          </cell>
          <cell r="H1045">
            <v>0</v>
          </cell>
          <cell r="I1045" t="str">
            <v>Office Digital</v>
          </cell>
          <cell r="J1045">
            <v>655</v>
          </cell>
          <cell r="K1045">
            <v>1365</v>
          </cell>
          <cell r="L1045">
            <v>0</v>
          </cell>
          <cell r="M1045">
            <v>0</v>
          </cell>
          <cell r="N1045">
            <v>0.6</v>
          </cell>
          <cell r="O1045">
            <v>0.8</v>
          </cell>
          <cell r="P1045">
            <v>1.05</v>
          </cell>
          <cell r="Q1045">
            <v>1.1000000000000001</v>
          </cell>
          <cell r="R1045" t="str">
            <v>METRO</v>
          </cell>
          <cell r="S1045">
            <v>5</v>
          </cell>
          <cell r="T1045">
            <v>9</v>
          </cell>
          <cell r="U1045" t="str">
            <v>Ciudad principal</v>
          </cell>
          <cell r="V1045" t="str">
            <v>Light Production Digital Business</v>
          </cell>
          <cell r="W1045" t="str">
            <v>CIUDAD DE MEXICO</v>
          </cell>
          <cell r="X1045">
            <v>2019</v>
          </cell>
          <cell r="Y1045" t="str">
            <v>Qtr 2</v>
          </cell>
          <cell r="Z1045" t="str">
            <v>April</v>
          </cell>
          <cell r="AA1045">
            <v>26</v>
          </cell>
          <cell r="AB1045">
            <v>1</v>
          </cell>
          <cell r="AC1045">
            <v>55</v>
          </cell>
          <cell r="AD1045">
            <v>0</v>
          </cell>
          <cell r="AE1045">
            <v>0</v>
          </cell>
          <cell r="AF1045">
            <v>0</v>
          </cell>
        </row>
        <row r="1046">
          <cell r="B1046" t="str">
            <v>09HB331605</v>
          </cell>
          <cell r="C1046">
            <v>2019</v>
          </cell>
          <cell r="D1046" t="str">
            <v>Qtr 2</v>
          </cell>
          <cell r="E1046" t="str">
            <v>April</v>
          </cell>
          <cell r="F1046">
            <v>24</v>
          </cell>
          <cell r="G1046" t="str">
            <v>MANTENIMIENTO PREVENTIVO</v>
          </cell>
          <cell r="H1046">
            <v>0</v>
          </cell>
          <cell r="I1046" t="str">
            <v>A4 Mono MFPs</v>
          </cell>
          <cell r="J1046">
            <v>468</v>
          </cell>
          <cell r="K1046">
            <v>715</v>
          </cell>
          <cell r="L1046">
            <v>0</v>
          </cell>
          <cell r="M1046">
            <v>0</v>
          </cell>
          <cell r="N1046">
            <v>0</v>
          </cell>
          <cell r="O1046">
            <v>0.6</v>
          </cell>
          <cell r="P1046">
            <v>0.8</v>
          </cell>
          <cell r="Q1046">
            <v>1.05</v>
          </cell>
          <cell r="R1046" t="str">
            <v>METRO</v>
          </cell>
          <cell r="S1046">
            <v>5</v>
          </cell>
          <cell r="T1046">
            <v>9</v>
          </cell>
          <cell r="U1046" t="str">
            <v>Ciudad principal</v>
          </cell>
          <cell r="V1046" t="str">
            <v>A4 Mono MFPs</v>
          </cell>
          <cell r="W1046" t="str">
            <v>CIUDAD DE MEXICO</v>
          </cell>
          <cell r="X1046">
            <v>2019</v>
          </cell>
          <cell r="Y1046" t="str">
            <v>Qtr 2</v>
          </cell>
          <cell r="Z1046" t="str">
            <v>April</v>
          </cell>
          <cell r="AA1046">
            <v>29</v>
          </cell>
          <cell r="AB1046">
            <v>1</v>
          </cell>
          <cell r="AC1046">
            <v>75</v>
          </cell>
          <cell r="AD1046">
            <v>0</v>
          </cell>
          <cell r="AE1046">
            <v>0</v>
          </cell>
          <cell r="AF1046">
            <v>0</v>
          </cell>
        </row>
        <row r="1047">
          <cell r="B1047" t="str">
            <v>09HB331352</v>
          </cell>
          <cell r="C1047">
            <v>2019</v>
          </cell>
          <cell r="D1047" t="str">
            <v>Qtr 2</v>
          </cell>
          <cell r="E1047" t="str">
            <v>April</v>
          </cell>
          <cell r="F1047">
            <v>24</v>
          </cell>
          <cell r="G1047" t="str">
            <v>MANTENIMIENTO PREVENTIVO</v>
          </cell>
          <cell r="H1047">
            <v>0</v>
          </cell>
          <cell r="J1047" t="str">
            <v>NA</v>
          </cell>
          <cell r="K1047" t="str">
            <v>NA</v>
          </cell>
          <cell r="L1047" t="str">
            <v>NA</v>
          </cell>
          <cell r="M1047" t="str">
            <v>NA</v>
          </cell>
          <cell r="N1047" t="str">
            <v>NA</v>
          </cell>
          <cell r="O1047" t="str">
            <v>NA</v>
          </cell>
          <cell r="P1047" t="str">
            <v>NA</v>
          </cell>
          <cell r="Q1047" t="str">
            <v>NA</v>
          </cell>
          <cell r="S1047" t="str">
            <v>NA</v>
          </cell>
          <cell r="T1047" t="str">
            <v>NA</v>
          </cell>
          <cell r="V1047" t="str">
            <v>A4 Mono MFPs</v>
          </cell>
          <cell r="W1047" t="str">
            <v>ESTADO DE MEXICO</v>
          </cell>
          <cell r="X1047">
            <v>2019</v>
          </cell>
          <cell r="Y1047" t="str">
            <v>Qtr 2</v>
          </cell>
          <cell r="Z1047" t="str">
            <v>April</v>
          </cell>
          <cell r="AA1047">
            <v>24</v>
          </cell>
          <cell r="AB1047" t="str">
            <v>NA</v>
          </cell>
          <cell r="AC1047">
            <v>9</v>
          </cell>
          <cell r="AD1047">
            <v>0</v>
          </cell>
          <cell r="AE1047">
            <v>0</v>
          </cell>
          <cell r="AF1047">
            <v>0</v>
          </cell>
        </row>
        <row r="1048">
          <cell r="B1048" t="str">
            <v>09HB331355</v>
          </cell>
          <cell r="C1048">
            <v>2019</v>
          </cell>
          <cell r="D1048" t="str">
            <v>Qtr 2</v>
          </cell>
          <cell r="E1048" t="str">
            <v>April</v>
          </cell>
          <cell r="F1048">
            <v>24</v>
          </cell>
          <cell r="G1048" t="str">
            <v>MANTENIMIENTO PREVENTIVO</v>
          </cell>
          <cell r="H1048">
            <v>0</v>
          </cell>
          <cell r="I1048" t="str">
            <v>A4 Mono MFPs</v>
          </cell>
          <cell r="J1048">
            <v>468</v>
          </cell>
          <cell r="K1048">
            <v>715</v>
          </cell>
          <cell r="L1048">
            <v>0</v>
          </cell>
          <cell r="M1048">
            <v>0</v>
          </cell>
          <cell r="N1048">
            <v>0</v>
          </cell>
          <cell r="O1048">
            <v>0.6</v>
          </cell>
          <cell r="P1048">
            <v>0.8</v>
          </cell>
          <cell r="Q1048">
            <v>1.05</v>
          </cell>
          <cell r="R1048" t="str">
            <v>METRO</v>
          </cell>
          <cell r="S1048">
            <v>5</v>
          </cell>
          <cell r="T1048">
            <v>9</v>
          </cell>
          <cell r="U1048" t="str">
            <v>Ciudad principal</v>
          </cell>
          <cell r="V1048" t="str">
            <v>A4 Mono MFPs</v>
          </cell>
          <cell r="W1048" t="str">
            <v>ESTADO DE MEXICO</v>
          </cell>
          <cell r="X1048">
            <v>2019</v>
          </cell>
          <cell r="Y1048" t="str">
            <v>Qtr 2</v>
          </cell>
          <cell r="Z1048" t="str">
            <v>April</v>
          </cell>
          <cell r="AA1048">
            <v>24</v>
          </cell>
          <cell r="AB1048">
            <v>1</v>
          </cell>
          <cell r="AC1048">
            <v>7</v>
          </cell>
          <cell r="AD1048">
            <v>0</v>
          </cell>
          <cell r="AE1048">
            <v>0</v>
          </cell>
          <cell r="AF1048">
            <v>0</v>
          </cell>
        </row>
        <row r="1049">
          <cell r="B1049" t="str">
            <v>09HB332041</v>
          </cell>
          <cell r="C1049">
            <v>2019</v>
          </cell>
          <cell r="D1049" t="str">
            <v>Qtr 2</v>
          </cell>
          <cell r="E1049" t="str">
            <v>April</v>
          </cell>
          <cell r="F1049">
            <v>24</v>
          </cell>
          <cell r="G1049" t="str">
            <v>MANTENIMIENTO PREVENTIVO</v>
          </cell>
          <cell r="H1049">
            <v>0</v>
          </cell>
          <cell r="J1049" t="str">
            <v>NA</v>
          </cell>
          <cell r="K1049" t="str">
            <v>NA</v>
          </cell>
          <cell r="L1049" t="str">
            <v>NA</v>
          </cell>
          <cell r="M1049" t="str">
            <v>NA</v>
          </cell>
          <cell r="N1049" t="str">
            <v>NA</v>
          </cell>
          <cell r="O1049" t="str">
            <v>NA</v>
          </cell>
          <cell r="P1049" t="str">
            <v>NA</v>
          </cell>
          <cell r="Q1049" t="str">
            <v>NA</v>
          </cell>
          <cell r="S1049" t="str">
            <v>NA</v>
          </cell>
          <cell r="T1049" t="str">
            <v>NA</v>
          </cell>
          <cell r="V1049" t="str">
            <v>A4 Mono MFPs</v>
          </cell>
          <cell r="W1049" t="str">
            <v>GUANAJUATO</v>
          </cell>
          <cell r="X1049">
            <v>2019</v>
          </cell>
          <cell r="Y1049" t="str">
            <v>Qtr 2</v>
          </cell>
          <cell r="Z1049" t="str">
            <v>April</v>
          </cell>
          <cell r="AA1049">
            <v>25</v>
          </cell>
          <cell r="AB1049" t="str">
            <v>NA</v>
          </cell>
          <cell r="AC1049">
            <v>42</v>
          </cell>
          <cell r="AD1049">
            <v>0</v>
          </cell>
          <cell r="AE1049">
            <v>0</v>
          </cell>
          <cell r="AF1049">
            <v>0</v>
          </cell>
        </row>
        <row r="1050">
          <cell r="B1050" t="str">
            <v>09HB332007</v>
          </cell>
          <cell r="C1050">
            <v>2019</v>
          </cell>
          <cell r="D1050" t="str">
            <v>Qtr 2</v>
          </cell>
          <cell r="E1050" t="str">
            <v>April</v>
          </cell>
          <cell r="F1050">
            <v>24</v>
          </cell>
          <cell r="G1050" t="str">
            <v>MANTENIMIENTO PREVENTIVO</v>
          </cell>
          <cell r="H1050">
            <v>0</v>
          </cell>
          <cell r="J1050" t="str">
            <v>NA</v>
          </cell>
          <cell r="K1050" t="str">
            <v>NA</v>
          </cell>
          <cell r="L1050" t="str">
            <v>NA</v>
          </cell>
          <cell r="M1050" t="str">
            <v>NA</v>
          </cell>
          <cell r="N1050" t="str">
            <v>NA</v>
          </cell>
          <cell r="O1050" t="str">
            <v>NA</v>
          </cell>
          <cell r="P1050" t="str">
            <v>NA</v>
          </cell>
          <cell r="Q1050" t="str">
            <v>NA</v>
          </cell>
          <cell r="S1050" t="str">
            <v>NA</v>
          </cell>
          <cell r="T1050" t="str">
            <v>NA</v>
          </cell>
          <cell r="V1050" t="str">
            <v>A4 Mono MFPs</v>
          </cell>
          <cell r="W1050" t="str">
            <v>GUANAJUATO</v>
          </cell>
          <cell r="X1050">
            <v>2019</v>
          </cell>
          <cell r="Y1050" t="str">
            <v>Qtr 2</v>
          </cell>
          <cell r="Z1050" t="str">
            <v>April</v>
          </cell>
          <cell r="AA1050">
            <v>25</v>
          </cell>
          <cell r="AB1050" t="str">
            <v>NA</v>
          </cell>
          <cell r="AC1050">
            <v>75</v>
          </cell>
          <cell r="AD1050">
            <v>0</v>
          </cell>
          <cell r="AE1050">
            <v>0</v>
          </cell>
          <cell r="AF1050">
            <v>0</v>
          </cell>
        </row>
        <row r="1051">
          <cell r="B1051" t="str">
            <v>09HB332012</v>
          </cell>
          <cell r="C1051">
            <v>2019</v>
          </cell>
          <cell r="D1051" t="str">
            <v>Qtr 2</v>
          </cell>
          <cell r="E1051" t="str">
            <v>April</v>
          </cell>
          <cell r="F1051">
            <v>24</v>
          </cell>
          <cell r="G1051" t="str">
            <v>MANTENIMIENTO PREVENTIVO</v>
          </cell>
          <cell r="H1051">
            <v>0</v>
          </cell>
          <cell r="J1051" t="str">
            <v>NA</v>
          </cell>
          <cell r="K1051" t="str">
            <v>NA</v>
          </cell>
          <cell r="L1051" t="str">
            <v>NA</v>
          </cell>
          <cell r="M1051" t="str">
            <v>NA</v>
          </cell>
          <cell r="N1051" t="str">
            <v>NA</v>
          </cell>
          <cell r="O1051" t="str">
            <v>NA</v>
          </cell>
          <cell r="P1051" t="str">
            <v>NA</v>
          </cell>
          <cell r="Q1051" t="str">
            <v>NA</v>
          </cell>
          <cell r="S1051" t="str">
            <v>NA</v>
          </cell>
          <cell r="T1051" t="str">
            <v>NA</v>
          </cell>
          <cell r="V1051" t="str">
            <v>A4 Mono MFPs</v>
          </cell>
          <cell r="W1051" t="str">
            <v>GUANAJUATO</v>
          </cell>
          <cell r="X1051">
            <v>2019</v>
          </cell>
          <cell r="Y1051" t="str">
            <v>Qtr 2</v>
          </cell>
          <cell r="Z1051" t="str">
            <v>April</v>
          </cell>
          <cell r="AA1051">
            <v>25</v>
          </cell>
          <cell r="AB1051" t="str">
            <v>NA</v>
          </cell>
          <cell r="AC1051">
            <v>64</v>
          </cell>
          <cell r="AD1051">
            <v>0</v>
          </cell>
          <cell r="AE1051">
            <v>0</v>
          </cell>
          <cell r="AF1051">
            <v>0</v>
          </cell>
        </row>
        <row r="1052">
          <cell r="B1052" t="str">
            <v>09HB332010</v>
          </cell>
          <cell r="C1052">
            <v>2019</v>
          </cell>
          <cell r="D1052" t="str">
            <v>Qtr 2</v>
          </cell>
          <cell r="E1052" t="str">
            <v>April</v>
          </cell>
          <cell r="F1052">
            <v>24</v>
          </cell>
          <cell r="G1052" t="str">
            <v>MANTENIMIENTO PREVENTIVO</v>
          </cell>
          <cell r="H1052">
            <v>0</v>
          </cell>
          <cell r="J1052" t="str">
            <v>NA</v>
          </cell>
          <cell r="K1052" t="str">
            <v>NA</v>
          </cell>
          <cell r="L1052" t="str">
            <v>NA</v>
          </cell>
          <cell r="M1052" t="str">
            <v>NA</v>
          </cell>
          <cell r="N1052" t="str">
            <v>NA</v>
          </cell>
          <cell r="O1052" t="str">
            <v>NA</v>
          </cell>
          <cell r="P1052" t="str">
            <v>NA</v>
          </cell>
          <cell r="Q1052" t="str">
            <v>NA</v>
          </cell>
          <cell r="S1052" t="str">
            <v>NA</v>
          </cell>
          <cell r="T1052" t="str">
            <v>NA</v>
          </cell>
          <cell r="V1052" t="str">
            <v>A4 Mono MFPs</v>
          </cell>
          <cell r="W1052" t="str">
            <v>QUERETARO</v>
          </cell>
          <cell r="X1052">
            <v>2019</v>
          </cell>
          <cell r="Y1052" t="str">
            <v>Qtr 2</v>
          </cell>
          <cell r="Z1052" t="str">
            <v>April</v>
          </cell>
          <cell r="AA1052">
            <v>24</v>
          </cell>
          <cell r="AB1052" t="str">
            <v>NA</v>
          </cell>
          <cell r="AC1052">
            <v>35</v>
          </cell>
          <cell r="AD1052">
            <v>0</v>
          </cell>
          <cell r="AE1052">
            <v>0</v>
          </cell>
          <cell r="AF1052">
            <v>0</v>
          </cell>
        </row>
        <row r="1053">
          <cell r="B1053" t="str">
            <v>0XLT270103</v>
          </cell>
          <cell r="C1053">
            <v>2019</v>
          </cell>
          <cell r="D1053" t="str">
            <v>Qtr 2</v>
          </cell>
          <cell r="E1053" t="str">
            <v>April</v>
          </cell>
          <cell r="F1053">
            <v>24</v>
          </cell>
          <cell r="G1053" t="str">
            <v>CORRECTIVO</v>
          </cell>
          <cell r="H1053">
            <v>0.38333329999999999</v>
          </cell>
          <cell r="I1053" t="str">
            <v>Entry Mono Printers</v>
          </cell>
          <cell r="J1053">
            <v>468</v>
          </cell>
          <cell r="K1053">
            <v>715</v>
          </cell>
          <cell r="L1053">
            <v>0</v>
          </cell>
          <cell r="M1053">
            <v>0</v>
          </cell>
          <cell r="N1053">
            <v>0</v>
          </cell>
          <cell r="O1053">
            <v>0.6</v>
          </cell>
          <cell r="P1053">
            <v>0.8</v>
          </cell>
          <cell r="Q1053">
            <v>1.05</v>
          </cell>
          <cell r="R1053" t="str">
            <v>INTERIOR</v>
          </cell>
          <cell r="S1053">
            <v>5</v>
          </cell>
          <cell r="T1053">
            <v>9</v>
          </cell>
          <cell r="U1053" t="str">
            <v>Otras</v>
          </cell>
          <cell r="V1053" t="str">
            <v>Entry Mono Printers</v>
          </cell>
          <cell r="W1053" t="str">
            <v>COAHUILA</v>
          </cell>
          <cell r="X1053">
            <v>2019</v>
          </cell>
          <cell r="Y1053" t="str">
            <v>Qtr 2</v>
          </cell>
          <cell r="Z1053" t="str">
            <v>April</v>
          </cell>
          <cell r="AA1053">
            <v>24</v>
          </cell>
          <cell r="AB1053">
            <v>1</v>
          </cell>
          <cell r="AC1053">
            <v>208</v>
          </cell>
          <cell r="AD1053">
            <v>0</v>
          </cell>
          <cell r="AE1053">
            <v>0</v>
          </cell>
          <cell r="AF1053">
            <v>0</v>
          </cell>
        </row>
        <row r="1054">
          <cell r="B1054" t="str">
            <v>0WXP008416</v>
          </cell>
          <cell r="C1054">
            <v>2019</v>
          </cell>
          <cell r="D1054" t="str">
            <v>Qtr 2</v>
          </cell>
          <cell r="E1054" t="str">
            <v>April</v>
          </cell>
          <cell r="F1054">
            <v>24</v>
          </cell>
          <cell r="G1054" t="str">
            <v>CORRECTIVO</v>
          </cell>
          <cell r="H1054">
            <v>3.233333</v>
          </cell>
          <cell r="I1054" t="str">
            <v>Xerox Color Press</v>
          </cell>
          <cell r="J1054">
            <v>1116</v>
          </cell>
          <cell r="K1054">
            <v>2145</v>
          </cell>
          <cell r="L1054">
            <v>0.6</v>
          </cell>
          <cell r="M1054">
            <v>0.8</v>
          </cell>
          <cell r="N1054">
            <v>1.05</v>
          </cell>
          <cell r="O1054">
            <v>1.1000000000000001</v>
          </cell>
          <cell r="P1054">
            <v>1.1499999999999999</v>
          </cell>
          <cell r="Q1054">
            <v>1.2</v>
          </cell>
          <cell r="R1054" t="str">
            <v>INTERIOR</v>
          </cell>
          <cell r="S1054">
            <v>4</v>
          </cell>
          <cell r="T1054">
            <v>6</v>
          </cell>
          <cell r="U1054" t="str">
            <v>Ciudad principal</v>
          </cell>
          <cell r="V1054" t="str">
            <v>High End Cut Sheet</v>
          </cell>
          <cell r="W1054" t="str">
            <v>NUEVO LEON</v>
          </cell>
          <cell r="X1054">
            <v>2019</v>
          </cell>
          <cell r="Y1054" t="str">
            <v>Qtr 2</v>
          </cell>
          <cell r="Z1054" t="str">
            <v>April</v>
          </cell>
          <cell r="AA1054">
            <v>26</v>
          </cell>
          <cell r="AB1054">
            <v>0</v>
          </cell>
          <cell r="AC1054">
            <v>11</v>
          </cell>
          <cell r="AD1054">
            <v>1.05</v>
          </cell>
          <cell r="AE1054">
            <v>0.80833325</v>
          </cell>
          <cell r="AF1054">
            <v>2252.25</v>
          </cell>
        </row>
        <row r="1055">
          <cell r="B1055" t="str">
            <v>0B2R091016</v>
          </cell>
          <cell r="C1055">
            <v>2019</v>
          </cell>
          <cell r="D1055" t="str">
            <v>Qtr 2</v>
          </cell>
          <cell r="E1055" t="str">
            <v>April</v>
          </cell>
          <cell r="F1055">
            <v>24</v>
          </cell>
          <cell r="G1055" t="str">
            <v>CORRECTIVO</v>
          </cell>
          <cell r="H1055">
            <v>3.7</v>
          </cell>
          <cell r="I1055" t="str">
            <v>Entry Production Color Low/Mid</v>
          </cell>
          <cell r="J1055">
            <v>803</v>
          </cell>
          <cell r="K1055">
            <v>1573</v>
          </cell>
          <cell r="L1055">
            <v>0.2</v>
          </cell>
          <cell r="M1055">
            <v>0.6</v>
          </cell>
          <cell r="N1055">
            <v>0.8</v>
          </cell>
          <cell r="O1055">
            <v>1.05</v>
          </cell>
          <cell r="P1055">
            <v>1.1000000000000001</v>
          </cell>
          <cell r="Q1055">
            <v>1.1499999999999999</v>
          </cell>
          <cell r="R1055" t="str">
            <v>INTERIOR</v>
          </cell>
          <cell r="S1055">
            <v>4</v>
          </cell>
          <cell r="T1055">
            <v>6</v>
          </cell>
          <cell r="U1055" t="str">
            <v>Ciudad principal</v>
          </cell>
          <cell r="V1055" t="str">
            <v>High End Cut Sheet</v>
          </cell>
          <cell r="W1055" t="str">
            <v>NUEVO LEON</v>
          </cell>
          <cell r="X1055">
            <v>2019</v>
          </cell>
          <cell r="Y1055" t="str">
            <v>Qtr 2</v>
          </cell>
          <cell r="Z1055" t="str">
            <v>April</v>
          </cell>
          <cell r="AA1055">
            <v>24</v>
          </cell>
          <cell r="AB1055">
            <v>0</v>
          </cell>
          <cell r="AC1055">
            <v>21</v>
          </cell>
          <cell r="AD1055">
            <v>1.05</v>
          </cell>
          <cell r="AE1055">
            <v>0.92500000000000004</v>
          </cell>
          <cell r="AF1055">
            <v>1651.65</v>
          </cell>
        </row>
        <row r="1056">
          <cell r="B1056" t="str">
            <v>0EX9286123</v>
          </cell>
          <cell r="C1056">
            <v>2019</v>
          </cell>
          <cell r="D1056" t="str">
            <v>Qtr 2</v>
          </cell>
          <cell r="E1056" t="str">
            <v>April</v>
          </cell>
          <cell r="F1056">
            <v>24</v>
          </cell>
          <cell r="G1056" t="str">
            <v>CORRECTIVO</v>
          </cell>
          <cell r="H1056">
            <v>1.25</v>
          </cell>
          <cell r="I1056" t="str">
            <v>Departmental Digital</v>
          </cell>
          <cell r="J1056">
            <v>655</v>
          </cell>
          <cell r="K1056">
            <v>1365</v>
          </cell>
          <cell r="L1056">
            <v>0</v>
          </cell>
          <cell r="M1056">
            <v>0</v>
          </cell>
          <cell r="N1056">
            <v>0.6</v>
          </cell>
          <cell r="O1056">
            <v>0.8</v>
          </cell>
          <cell r="P1056">
            <v>1.05</v>
          </cell>
          <cell r="Q1056">
            <v>1.1000000000000001</v>
          </cell>
          <cell r="R1056" t="str">
            <v>INTERIOR</v>
          </cell>
          <cell r="S1056">
            <v>5</v>
          </cell>
          <cell r="T1056">
            <v>9</v>
          </cell>
          <cell r="U1056" t="str">
            <v>Ciudad principal</v>
          </cell>
          <cell r="V1056" t="str">
            <v>Departmental Digital</v>
          </cell>
          <cell r="W1056" t="str">
            <v>DURANGO</v>
          </cell>
          <cell r="X1056">
            <v>2019</v>
          </cell>
          <cell r="Y1056" t="str">
            <v>Qtr 2</v>
          </cell>
          <cell r="Z1056" t="str">
            <v>April</v>
          </cell>
          <cell r="AA1056">
            <v>24</v>
          </cell>
          <cell r="AB1056">
            <v>0</v>
          </cell>
          <cell r="AC1056">
            <v>21</v>
          </cell>
          <cell r="AD1056">
            <v>0.8</v>
          </cell>
          <cell r="AE1056">
            <v>0.25</v>
          </cell>
          <cell r="AF1056">
            <v>1092</v>
          </cell>
        </row>
        <row r="1057">
          <cell r="B1057" t="str">
            <v>0X76708202</v>
          </cell>
          <cell r="C1057">
            <v>2019</v>
          </cell>
          <cell r="D1057" t="str">
            <v>Qtr 2</v>
          </cell>
          <cell r="E1057" t="str">
            <v>April</v>
          </cell>
          <cell r="F1057">
            <v>24</v>
          </cell>
          <cell r="G1057" t="str">
            <v>CORRECTIVO</v>
          </cell>
          <cell r="H1057">
            <v>0.1833333</v>
          </cell>
          <cell r="I1057" t="str">
            <v>Office Digital</v>
          </cell>
          <cell r="J1057">
            <v>655</v>
          </cell>
          <cell r="K1057">
            <v>1365</v>
          </cell>
          <cell r="L1057">
            <v>0</v>
          </cell>
          <cell r="M1057">
            <v>0</v>
          </cell>
          <cell r="N1057">
            <v>0.6</v>
          </cell>
          <cell r="O1057">
            <v>0.8</v>
          </cell>
          <cell r="P1057">
            <v>1.05</v>
          </cell>
          <cell r="Q1057">
            <v>1.1000000000000001</v>
          </cell>
          <cell r="R1057" t="str">
            <v>INTERIOR</v>
          </cell>
          <cell r="S1057">
            <v>5</v>
          </cell>
          <cell r="T1057">
            <v>9</v>
          </cell>
          <cell r="U1057" t="str">
            <v>Ciudad principal</v>
          </cell>
          <cell r="V1057" t="str">
            <v>Departmental Digital</v>
          </cell>
          <cell r="W1057" t="str">
            <v>DURANGO</v>
          </cell>
          <cell r="X1057">
            <v>2019</v>
          </cell>
          <cell r="Y1057" t="str">
            <v>Qtr 2</v>
          </cell>
          <cell r="Z1057" t="str">
            <v>April</v>
          </cell>
          <cell r="AA1057">
            <v>24</v>
          </cell>
          <cell r="AB1057">
            <v>0</v>
          </cell>
          <cell r="AC1057">
            <v>29</v>
          </cell>
          <cell r="AD1057">
            <v>0.8</v>
          </cell>
          <cell r="AE1057">
            <v>3.6666659999999997E-2</v>
          </cell>
          <cell r="AF1057">
            <v>1092</v>
          </cell>
        </row>
        <row r="1058">
          <cell r="B1058" t="str">
            <v>0EX9283118</v>
          </cell>
          <cell r="C1058">
            <v>2019</v>
          </cell>
          <cell r="D1058" t="str">
            <v>Qtr 2</v>
          </cell>
          <cell r="E1058" t="str">
            <v>April</v>
          </cell>
          <cell r="F1058">
            <v>24</v>
          </cell>
          <cell r="G1058" t="str">
            <v>CORRECTIVO</v>
          </cell>
          <cell r="H1058">
            <v>4.516667</v>
          </cell>
          <cell r="I1058" t="str">
            <v>Departmental Digital</v>
          </cell>
          <cell r="J1058">
            <v>655</v>
          </cell>
          <cell r="K1058">
            <v>1365</v>
          </cell>
          <cell r="L1058">
            <v>0</v>
          </cell>
          <cell r="M1058">
            <v>0</v>
          </cell>
          <cell r="N1058">
            <v>0.6</v>
          </cell>
          <cell r="O1058">
            <v>0.8</v>
          </cell>
          <cell r="P1058">
            <v>1.05</v>
          </cell>
          <cell r="Q1058">
            <v>1.1000000000000001</v>
          </cell>
          <cell r="R1058" t="str">
            <v>INTERIOR</v>
          </cell>
          <cell r="S1058">
            <v>5</v>
          </cell>
          <cell r="T1058">
            <v>9</v>
          </cell>
          <cell r="U1058" t="str">
            <v>Ciudad principal</v>
          </cell>
          <cell r="V1058" t="str">
            <v>Departmental Digital</v>
          </cell>
          <cell r="W1058" t="str">
            <v>MICHOACAN</v>
          </cell>
          <cell r="X1058">
            <v>2019</v>
          </cell>
          <cell r="Y1058" t="str">
            <v>Qtr 2</v>
          </cell>
          <cell r="Z1058" t="str">
            <v>April</v>
          </cell>
          <cell r="AA1058">
            <v>24</v>
          </cell>
          <cell r="AB1058">
            <v>0</v>
          </cell>
          <cell r="AC1058">
            <v>49</v>
          </cell>
          <cell r="AD1058">
            <v>1.05</v>
          </cell>
          <cell r="AE1058">
            <v>0.90333339999999995</v>
          </cell>
          <cell r="AF1058">
            <v>1433.25</v>
          </cell>
        </row>
        <row r="1059">
          <cell r="B1059" t="str">
            <v>0A1H020591</v>
          </cell>
          <cell r="C1059">
            <v>2019</v>
          </cell>
          <cell r="D1059" t="str">
            <v>Qtr 2</v>
          </cell>
          <cell r="E1059" t="str">
            <v>April</v>
          </cell>
          <cell r="F1059">
            <v>24</v>
          </cell>
          <cell r="G1059" t="str">
            <v>CORRECTIVO</v>
          </cell>
          <cell r="H1059">
            <v>1.75</v>
          </cell>
          <cell r="I1059" t="str">
            <v>WF Mono Systems and Legacy Color</v>
          </cell>
          <cell r="J1059">
            <v>803</v>
          </cell>
          <cell r="K1059">
            <v>1573</v>
          </cell>
          <cell r="L1059">
            <v>0.2</v>
          </cell>
          <cell r="M1059">
            <v>0.6</v>
          </cell>
          <cell r="N1059">
            <v>0.8</v>
          </cell>
          <cell r="O1059">
            <v>1.05</v>
          </cell>
          <cell r="P1059">
            <v>1.1000000000000001</v>
          </cell>
          <cell r="Q1059">
            <v>1.1499999999999999</v>
          </cell>
          <cell r="R1059" t="str">
            <v>INTERIOR</v>
          </cell>
          <cell r="S1059">
            <v>4</v>
          </cell>
          <cell r="T1059">
            <v>6</v>
          </cell>
          <cell r="U1059" t="str">
            <v>Ciudad principal</v>
          </cell>
          <cell r="V1059" t="str">
            <v>WF Mono Systems and Legacy Color</v>
          </cell>
          <cell r="W1059" t="str">
            <v>MICHOACAN</v>
          </cell>
          <cell r="X1059">
            <v>2019</v>
          </cell>
          <cell r="Y1059" t="str">
            <v>Qtr 2</v>
          </cell>
          <cell r="Z1059" t="str">
            <v>April</v>
          </cell>
          <cell r="AA1059">
            <v>24</v>
          </cell>
          <cell r="AB1059">
            <v>0</v>
          </cell>
          <cell r="AC1059">
            <v>6</v>
          </cell>
          <cell r="AD1059">
            <v>0.6</v>
          </cell>
          <cell r="AE1059">
            <v>0.4375</v>
          </cell>
          <cell r="AF1059">
            <v>943.8</v>
          </cell>
        </row>
        <row r="1060">
          <cell r="B1060" t="str">
            <v>0X76703902</v>
          </cell>
          <cell r="C1060">
            <v>2019</v>
          </cell>
          <cell r="D1060" t="str">
            <v>Qtr 2</v>
          </cell>
          <cell r="E1060" t="str">
            <v>April</v>
          </cell>
          <cell r="F1060">
            <v>24</v>
          </cell>
          <cell r="G1060" t="str">
            <v>CORRECTIVO</v>
          </cell>
          <cell r="H1060">
            <v>3.6333329999999999</v>
          </cell>
          <cell r="I1060" t="str">
            <v>Departmental Digital</v>
          </cell>
          <cell r="J1060">
            <v>655</v>
          </cell>
          <cell r="K1060">
            <v>1365</v>
          </cell>
          <cell r="L1060">
            <v>0</v>
          </cell>
          <cell r="M1060">
            <v>0</v>
          </cell>
          <cell r="N1060">
            <v>0.6</v>
          </cell>
          <cell r="O1060">
            <v>0.8</v>
          </cell>
          <cell r="P1060">
            <v>1.05</v>
          </cell>
          <cell r="Q1060">
            <v>1.1000000000000001</v>
          </cell>
          <cell r="R1060" t="str">
            <v>INTERIOR</v>
          </cell>
          <cell r="S1060">
            <v>5</v>
          </cell>
          <cell r="T1060">
            <v>9</v>
          </cell>
          <cell r="U1060" t="str">
            <v>Otras</v>
          </cell>
          <cell r="V1060" t="str">
            <v>Departmental Digital</v>
          </cell>
          <cell r="W1060" t="str">
            <v>NUEVO LEON</v>
          </cell>
          <cell r="X1060">
            <v>2019</v>
          </cell>
          <cell r="Y1060" t="str">
            <v>Qtr 2</v>
          </cell>
          <cell r="Z1060" t="str">
            <v>April</v>
          </cell>
          <cell r="AA1060">
            <v>24</v>
          </cell>
          <cell r="AB1060">
            <v>0</v>
          </cell>
          <cell r="AC1060">
            <v>203</v>
          </cell>
          <cell r="AD1060">
            <v>1.1000000000000001</v>
          </cell>
          <cell r="AE1060">
            <v>0.40370366666666702</v>
          </cell>
          <cell r="AF1060">
            <v>1501.5</v>
          </cell>
        </row>
        <row r="1061">
          <cell r="B1061" t="str">
            <v>03AG879962</v>
          </cell>
          <cell r="C1061">
            <v>2019</v>
          </cell>
          <cell r="D1061" t="str">
            <v>Qtr 2</v>
          </cell>
          <cell r="E1061" t="str">
            <v>April</v>
          </cell>
          <cell r="F1061">
            <v>24</v>
          </cell>
          <cell r="G1061" t="str">
            <v>CORRECTIVO</v>
          </cell>
          <cell r="H1061">
            <v>0.38333329999999999</v>
          </cell>
          <cell r="I1061" t="str">
            <v>Departmental Digital</v>
          </cell>
          <cell r="J1061">
            <v>655</v>
          </cell>
          <cell r="K1061">
            <v>1365</v>
          </cell>
          <cell r="L1061">
            <v>0</v>
          </cell>
          <cell r="M1061">
            <v>0</v>
          </cell>
          <cell r="N1061">
            <v>0.6</v>
          </cell>
          <cell r="O1061">
            <v>0.8</v>
          </cell>
          <cell r="P1061">
            <v>1.05</v>
          </cell>
          <cell r="Q1061">
            <v>1.1000000000000001</v>
          </cell>
          <cell r="R1061" t="str">
            <v>INTERIOR</v>
          </cell>
          <cell r="S1061">
            <v>5</v>
          </cell>
          <cell r="T1061">
            <v>9</v>
          </cell>
          <cell r="U1061" t="str">
            <v>Ciudad principal</v>
          </cell>
          <cell r="V1061" t="str">
            <v>Light Production Digital Business</v>
          </cell>
          <cell r="W1061" t="str">
            <v>CHIHUAHUA</v>
          </cell>
          <cell r="X1061">
            <v>2019</v>
          </cell>
          <cell r="Y1061" t="str">
            <v>Qtr 2</v>
          </cell>
          <cell r="Z1061" t="str">
            <v>April</v>
          </cell>
          <cell r="AA1061">
            <v>24</v>
          </cell>
          <cell r="AB1061">
            <v>0</v>
          </cell>
          <cell r="AC1061">
            <v>16</v>
          </cell>
          <cell r="AD1061">
            <v>0.8</v>
          </cell>
          <cell r="AE1061">
            <v>7.6666659999999998E-2</v>
          </cell>
          <cell r="AF1061">
            <v>1092</v>
          </cell>
        </row>
        <row r="1062">
          <cell r="B1062" t="str">
            <v>09HB915866</v>
          </cell>
          <cell r="C1062">
            <v>2019</v>
          </cell>
          <cell r="D1062" t="str">
            <v>Qtr 2</v>
          </cell>
          <cell r="E1062" t="str">
            <v>April</v>
          </cell>
          <cell r="F1062">
            <v>24</v>
          </cell>
          <cell r="G1062" t="str">
            <v>CORRECTIVO</v>
          </cell>
          <cell r="H1062">
            <v>0.46666669999999999</v>
          </cell>
          <cell r="I1062" t="str">
            <v>A4 Mono MFPs</v>
          </cell>
          <cell r="J1062">
            <v>468</v>
          </cell>
          <cell r="K1062">
            <v>715</v>
          </cell>
          <cell r="L1062">
            <v>0</v>
          </cell>
          <cell r="M1062">
            <v>0</v>
          </cell>
          <cell r="N1062">
            <v>0</v>
          </cell>
          <cell r="O1062">
            <v>0.6</v>
          </cell>
          <cell r="P1062">
            <v>0.8</v>
          </cell>
          <cell r="Q1062">
            <v>1.05</v>
          </cell>
          <cell r="R1062" t="str">
            <v>INTERIOR</v>
          </cell>
          <cell r="S1062">
            <v>5</v>
          </cell>
          <cell r="T1062">
            <v>9</v>
          </cell>
          <cell r="U1062" t="str">
            <v>Ciudad principal</v>
          </cell>
          <cell r="V1062" t="str">
            <v>A4 Mono MFPs</v>
          </cell>
          <cell r="W1062" t="str">
            <v>GUANAJUATO</v>
          </cell>
          <cell r="X1062">
            <v>2019</v>
          </cell>
          <cell r="Y1062" t="str">
            <v>Qtr 2</v>
          </cell>
          <cell r="Z1062" t="str">
            <v>April</v>
          </cell>
          <cell r="AA1062">
            <v>24</v>
          </cell>
          <cell r="AB1062">
            <v>0</v>
          </cell>
          <cell r="AC1062">
            <v>41</v>
          </cell>
          <cell r="AD1062">
            <v>0.8</v>
          </cell>
          <cell r="AE1062">
            <v>9.3333340000000001E-2</v>
          </cell>
          <cell r="AF1062">
            <v>572</v>
          </cell>
        </row>
        <row r="1063">
          <cell r="B1063" t="str">
            <v>0BG2940370</v>
          </cell>
          <cell r="C1063">
            <v>2019</v>
          </cell>
          <cell r="D1063" t="str">
            <v>Qtr 2</v>
          </cell>
          <cell r="E1063" t="str">
            <v>April</v>
          </cell>
          <cell r="F1063">
            <v>24</v>
          </cell>
          <cell r="G1063" t="str">
            <v>MANTENIMIENTO PREVENTIVO</v>
          </cell>
          <cell r="H1063">
            <v>0</v>
          </cell>
          <cell r="I1063" t="str">
            <v>Light Production Digital Business</v>
          </cell>
          <cell r="J1063">
            <v>803</v>
          </cell>
          <cell r="K1063">
            <v>1573</v>
          </cell>
          <cell r="L1063">
            <v>0.2</v>
          </cell>
          <cell r="M1063">
            <v>0.6</v>
          </cell>
          <cell r="N1063">
            <v>0.8</v>
          </cell>
          <cell r="O1063">
            <v>1.05</v>
          </cell>
          <cell r="P1063">
            <v>1.1000000000000001</v>
          </cell>
          <cell r="Q1063">
            <v>1.1499999999999999</v>
          </cell>
          <cell r="R1063" t="str">
            <v>INTERIOR</v>
          </cell>
          <cell r="S1063">
            <v>4</v>
          </cell>
          <cell r="T1063">
            <v>6</v>
          </cell>
          <cell r="U1063" t="str">
            <v>Ciudad principal</v>
          </cell>
          <cell r="V1063" t="str">
            <v>High End Cut Sheet</v>
          </cell>
          <cell r="W1063" t="str">
            <v>CHIHUAHUA</v>
          </cell>
          <cell r="X1063">
            <v>2019</v>
          </cell>
          <cell r="Y1063" t="str">
            <v>Qtr 2</v>
          </cell>
          <cell r="Z1063" t="str">
            <v>April</v>
          </cell>
          <cell r="AA1063">
            <v>24</v>
          </cell>
          <cell r="AB1063">
            <v>0</v>
          </cell>
          <cell r="AC1063">
            <v>16</v>
          </cell>
          <cell r="AD1063">
            <v>0</v>
          </cell>
          <cell r="AE1063">
            <v>0</v>
          </cell>
          <cell r="AF1063">
            <v>1573</v>
          </cell>
        </row>
        <row r="1064">
          <cell r="B1064" t="str">
            <v>03AG876220</v>
          </cell>
          <cell r="C1064">
            <v>2019</v>
          </cell>
          <cell r="D1064" t="str">
            <v>Qtr 2</v>
          </cell>
          <cell r="E1064" t="str">
            <v>April</v>
          </cell>
          <cell r="F1064">
            <v>24</v>
          </cell>
          <cell r="G1064" t="str">
            <v>CORRECTIVO</v>
          </cell>
          <cell r="H1064">
            <v>1.683333</v>
          </cell>
          <cell r="I1064" t="str">
            <v>Departmental Digital</v>
          </cell>
          <cell r="J1064">
            <v>655</v>
          </cell>
          <cell r="K1064">
            <v>1365</v>
          </cell>
          <cell r="L1064">
            <v>0</v>
          </cell>
          <cell r="M1064">
            <v>0</v>
          </cell>
          <cell r="N1064">
            <v>0.6</v>
          </cell>
          <cell r="O1064">
            <v>0.8</v>
          </cell>
          <cell r="P1064">
            <v>1.05</v>
          </cell>
          <cell r="Q1064">
            <v>1.1000000000000001</v>
          </cell>
          <cell r="R1064" t="str">
            <v>METRO</v>
          </cell>
          <cell r="S1064">
            <v>5</v>
          </cell>
          <cell r="T1064">
            <v>9</v>
          </cell>
          <cell r="U1064" t="str">
            <v>Ciudad principal</v>
          </cell>
          <cell r="V1064" t="str">
            <v>Light Production Digital Business</v>
          </cell>
          <cell r="W1064" t="str">
            <v>CHIHUAHUA</v>
          </cell>
          <cell r="X1064">
            <v>2019</v>
          </cell>
          <cell r="Y1064" t="str">
            <v>Qtr 2</v>
          </cell>
          <cell r="Z1064" t="str">
            <v>April</v>
          </cell>
          <cell r="AA1064">
            <v>24</v>
          </cell>
          <cell r="AB1064">
            <v>0</v>
          </cell>
          <cell r="AC1064">
            <v>41</v>
          </cell>
          <cell r="AD1064">
            <v>1.05</v>
          </cell>
          <cell r="AE1064">
            <v>0.33666659999999998</v>
          </cell>
          <cell r="AF1064">
            <v>687.75</v>
          </cell>
        </row>
        <row r="1065">
          <cell r="B1065" t="str">
            <v>0EX9297582</v>
          </cell>
          <cell r="C1065">
            <v>2019</v>
          </cell>
          <cell r="D1065" t="str">
            <v>Qtr 2</v>
          </cell>
          <cell r="E1065" t="str">
            <v>April</v>
          </cell>
          <cell r="F1065">
            <v>24</v>
          </cell>
          <cell r="G1065" t="str">
            <v>CORRECTIVO</v>
          </cell>
          <cell r="H1065">
            <v>0.98333329999999997</v>
          </cell>
          <cell r="I1065" t="str">
            <v>Departmental Digital</v>
          </cell>
          <cell r="J1065">
            <v>655</v>
          </cell>
          <cell r="K1065">
            <v>1365</v>
          </cell>
          <cell r="L1065">
            <v>0</v>
          </cell>
          <cell r="M1065">
            <v>0</v>
          </cell>
          <cell r="N1065">
            <v>0.6</v>
          </cell>
          <cell r="O1065">
            <v>0.8</v>
          </cell>
          <cell r="P1065">
            <v>1.05</v>
          </cell>
          <cell r="Q1065">
            <v>1.1000000000000001</v>
          </cell>
          <cell r="R1065" t="str">
            <v>INTERIOR</v>
          </cell>
          <cell r="S1065">
            <v>5</v>
          </cell>
          <cell r="T1065">
            <v>9</v>
          </cell>
          <cell r="U1065" t="str">
            <v>Otras</v>
          </cell>
          <cell r="V1065" t="str">
            <v>Departmental Digital</v>
          </cell>
          <cell r="W1065" t="str">
            <v>COAHUILA</v>
          </cell>
          <cell r="X1065">
            <v>2019</v>
          </cell>
          <cell r="Y1065" t="str">
            <v>Qtr 2</v>
          </cell>
          <cell r="Z1065" t="str">
            <v>April</v>
          </cell>
          <cell r="AA1065">
            <v>25</v>
          </cell>
          <cell r="AB1065">
            <v>0</v>
          </cell>
          <cell r="AC1065">
            <v>8</v>
          </cell>
          <cell r="AD1065">
            <v>0.6</v>
          </cell>
          <cell r="AE1065">
            <v>0.109259255555556</v>
          </cell>
          <cell r="AF1065">
            <v>819</v>
          </cell>
        </row>
        <row r="1066">
          <cell r="B1066" t="str">
            <v>0C4X008636</v>
          </cell>
          <cell r="C1066">
            <v>2019</v>
          </cell>
          <cell r="D1066" t="str">
            <v>Qtr 2</v>
          </cell>
          <cell r="E1066" t="str">
            <v>April</v>
          </cell>
          <cell r="F1066">
            <v>24</v>
          </cell>
          <cell r="G1066" t="str">
            <v>CORRECTIVO</v>
          </cell>
          <cell r="H1066">
            <v>0.8</v>
          </cell>
          <cell r="I1066" t="str">
            <v>A4 Mono MFPs</v>
          </cell>
          <cell r="J1066">
            <v>468</v>
          </cell>
          <cell r="K1066">
            <v>715</v>
          </cell>
          <cell r="L1066">
            <v>0</v>
          </cell>
          <cell r="M1066">
            <v>0</v>
          </cell>
          <cell r="N1066">
            <v>0</v>
          </cell>
          <cell r="O1066">
            <v>0.6</v>
          </cell>
          <cell r="P1066">
            <v>0.8</v>
          </cell>
          <cell r="Q1066">
            <v>1.05</v>
          </cell>
          <cell r="R1066" t="str">
            <v>INTERIOR</v>
          </cell>
          <cell r="S1066">
            <v>5</v>
          </cell>
          <cell r="T1066">
            <v>9</v>
          </cell>
          <cell r="U1066" t="str">
            <v>Ciudad principal</v>
          </cell>
          <cell r="V1066" t="str">
            <v>A4 Mono MFPs</v>
          </cell>
          <cell r="W1066" t="str">
            <v>QUERETARO</v>
          </cell>
          <cell r="X1066">
            <v>2019</v>
          </cell>
          <cell r="Y1066" t="str">
            <v>Qtr 2</v>
          </cell>
          <cell r="Z1066" t="str">
            <v>April</v>
          </cell>
          <cell r="AA1066">
            <v>24</v>
          </cell>
          <cell r="AB1066">
            <v>0</v>
          </cell>
          <cell r="AC1066">
            <v>92</v>
          </cell>
          <cell r="AD1066">
            <v>1.05</v>
          </cell>
          <cell r="AE1066">
            <v>0.16</v>
          </cell>
          <cell r="AF1066">
            <v>750.75</v>
          </cell>
        </row>
        <row r="1067">
          <cell r="B1067" t="str">
            <v>0X76707825</v>
          </cell>
          <cell r="C1067">
            <v>2019</v>
          </cell>
          <cell r="D1067" t="str">
            <v>Qtr 2</v>
          </cell>
          <cell r="E1067" t="str">
            <v>April</v>
          </cell>
          <cell r="F1067">
            <v>24</v>
          </cell>
          <cell r="G1067" t="str">
            <v>CORRECTIVO</v>
          </cell>
          <cell r="H1067">
            <v>3.45</v>
          </cell>
          <cell r="I1067" t="str">
            <v>Office Digital</v>
          </cell>
          <cell r="J1067">
            <v>655</v>
          </cell>
          <cell r="K1067">
            <v>1365</v>
          </cell>
          <cell r="L1067">
            <v>0</v>
          </cell>
          <cell r="M1067">
            <v>0</v>
          </cell>
          <cell r="N1067">
            <v>0.6</v>
          </cell>
          <cell r="O1067">
            <v>0.8</v>
          </cell>
          <cell r="P1067">
            <v>1.05</v>
          </cell>
          <cell r="Q1067">
            <v>1.1000000000000001</v>
          </cell>
          <cell r="R1067" t="str">
            <v>INTERIOR</v>
          </cell>
          <cell r="S1067">
            <v>5</v>
          </cell>
          <cell r="T1067">
            <v>9</v>
          </cell>
          <cell r="U1067" t="str">
            <v>Ciudad principal</v>
          </cell>
          <cell r="V1067" t="str">
            <v>Departmental Digital</v>
          </cell>
          <cell r="W1067" t="str">
            <v>DURANGO</v>
          </cell>
          <cell r="X1067">
            <v>2019</v>
          </cell>
          <cell r="Y1067" t="str">
            <v>Qtr 2</v>
          </cell>
          <cell r="Z1067" t="str">
            <v>April</v>
          </cell>
          <cell r="AA1067">
            <v>26</v>
          </cell>
          <cell r="AB1067">
            <v>0</v>
          </cell>
          <cell r="AC1067">
            <v>47</v>
          </cell>
          <cell r="AD1067">
            <v>1.05</v>
          </cell>
          <cell r="AE1067">
            <v>0.69</v>
          </cell>
          <cell r="AF1067">
            <v>1433.25</v>
          </cell>
        </row>
        <row r="1068">
          <cell r="B1068" t="str">
            <v>0BG2947161</v>
          </cell>
          <cell r="C1068">
            <v>2019</v>
          </cell>
          <cell r="D1068" t="str">
            <v>Qtr 2</v>
          </cell>
          <cell r="E1068" t="str">
            <v>April</v>
          </cell>
          <cell r="F1068">
            <v>24</v>
          </cell>
          <cell r="G1068" t="str">
            <v>CORRECTIVO</v>
          </cell>
          <cell r="H1068">
            <v>1.0833330000000001</v>
          </cell>
          <cell r="I1068" t="str">
            <v>Light Production Digital Business</v>
          </cell>
          <cell r="J1068">
            <v>803</v>
          </cell>
          <cell r="K1068">
            <v>1573</v>
          </cell>
          <cell r="L1068">
            <v>0.2</v>
          </cell>
          <cell r="M1068">
            <v>0.6</v>
          </cell>
          <cell r="N1068">
            <v>0.8</v>
          </cell>
          <cell r="O1068">
            <v>1.05</v>
          </cell>
          <cell r="P1068">
            <v>1.1000000000000001</v>
          </cell>
          <cell r="Q1068">
            <v>1.1499999999999999</v>
          </cell>
          <cell r="R1068" t="str">
            <v>INTERIOR</v>
          </cell>
          <cell r="S1068">
            <v>4</v>
          </cell>
          <cell r="T1068">
            <v>6</v>
          </cell>
          <cell r="U1068" t="str">
            <v>Ciudad principal</v>
          </cell>
          <cell r="V1068" t="str">
            <v>High End Cut Sheet</v>
          </cell>
          <cell r="W1068" t="str">
            <v>NUEVO LEON</v>
          </cell>
          <cell r="X1068">
            <v>2019</v>
          </cell>
          <cell r="Y1068" t="str">
            <v>Qtr 2</v>
          </cell>
          <cell r="Z1068" t="str">
            <v>April</v>
          </cell>
          <cell r="AA1068">
            <v>25</v>
          </cell>
          <cell r="AB1068">
            <v>0</v>
          </cell>
          <cell r="AC1068">
            <v>13</v>
          </cell>
          <cell r="AD1068">
            <v>0.8</v>
          </cell>
          <cell r="AE1068">
            <v>0.27083325000000003</v>
          </cell>
          <cell r="AF1068">
            <v>1258.4000000000001</v>
          </cell>
        </row>
        <row r="1069">
          <cell r="B1069" t="str">
            <v>0VGW686533</v>
          </cell>
          <cell r="C1069">
            <v>2019</v>
          </cell>
          <cell r="D1069" t="str">
            <v>Qtr 2</v>
          </cell>
          <cell r="E1069" t="str">
            <v>April</v>
          </cell>
          <cell r="F1069">
            <v>24</v>
          </cell>
          <cell r="G1069" t="str">
            <v>CORRECTIVO</v>
          </cell>
          <cell r="H1069">
            <v>1.3833329999999999</v>
          </cell>
          <cell r="I1069" t="str">
            <v>A3 Professional Color Laser MFPs</v>
          </cell>
          <cell r="J1069">
            <v>655</v>
          </cell>
          <cell r="K1069">
            <v>1365</v>
          </cell>
          <cell r="L1069">
            <v>0</v>
          </cell>
          <cell r="M1069">
            <v>0</v>
          </cell>
          <cell r="N1069">
            <v>0.6</v>
          </cell>
          <cell r="O1069">
            <v>0.8</v>
          </cell>
          <cell r="P1069">
            <v>1.05</v>
          </cell>
          <cell r="Q1069">
            <v>1.1000000000000001</v>
          </cell>
          <cell r="R1069" t="str">
            <v>INTERIOR</v>
          </cell>
          <cell r="S1069">
            <v>5</v>
          </cell>
          <cell r="T1069">
            <v>9</v>
          </cell>
          <cell r="U1069" t="str">
            <v>Ciudad principal</v>
          </cell>
          <cell r="V1069" t="str">
            <v>Entry Production Color Low/Mid</v>
          </cell>
          <cell r="W1069" t="str">
            <v>CHIHUAHUA</v>
          </cell>
          <cell r="X1069">
            <v>2019</v>
          </cell>
          <cell r="Y1069" t="str">
            <v>Qtr 2</v>
          </cell>
          <cell r="Z1069" t="str">
            <v>April</v>
          </cell>
          <cell r="AA1069">
            <v>29</v>
          </cell>
          <cell r="AB1069">
            <v>0</v>
          </cell>
          <cell r="AC1069">
            <v>9</v>
          </cell>
          <cell r="AD1069">
            <v>0.6</v>
          </cell>
          <cell r="AE1069">
            <v>0.27666659999999998</v>
          </cell>
          <cell r="AF1069">
            <v>819</v>
          </cell>
        </row>
        <row r="1070">
          <cell r="B1070" t="str">
            <v>0BG2951481</v>
          </cell>
          <cell r="C1070">
            <v>2019</v>
          </cell>
          <cell r="D1070" t="str">
            <v>Qtr 2</v>
          </cell>
          <cell r="E1070" t="str">
            <v>April</v>
          </cell>
          <cell r="F1070">
            <v>24</v>
          </cell>
          <cell r="G1070" t="str">
            <v>CORRECTIVO</v>
          </cell>
          <cell r="H1070">
            <v>1.6333329999999999</v>
          </cell>
          <cell r="I1070" t="str">
            <v>Light Production Digital Business</v>
          </cell>
          <cell r="J1070">
            <v>803</v>
          </cell>
          <cell r="K1070">
            <v>1573</v>
          </cell>
          <cell r="L1070">
            <v>0.2</v>
          </cell>
          <cell r="M1070">
            <v>0.6</v>
          </cell>
          <cell r="N1070">
            <v>0.8</v>
          </cell>
          <cell r="O1070">
            <v>1.05</v>
          </cell>
          <cell r="P1070">
            <v>1.1000000000000001</v>
          </cell>
          <cell r="Q1070">
            <v>1.1499999999999999</v>
          </cell>
          <cell r="R1070" t="str">
            <v>INTERIOR</v>
          </cell>
          <cell r="S1070">
            <v>4</v>
          </cell>
          <cell r="T1070">
            <v>6</v>
          </cell>
          <cell r="U1070" t="str">
            <v>Ciudad principal</v>
          </cell>
          <cell r="V1070" t="str">
            <v>High End Cut Sheet</v>
          </cell>
          <cell r="W1070" t="str">
            <v>TAMAULIPAS</v>
          </cell>
          <cell r="X1070">
            <v>2019</v>
          </cell>
          <cell r="Y1070" t="str">
            <v>Qtr 2</v>
          </cell>
          <cell r="Z1070" t="str">
            <v>April</v>
          </cell>
          <cell r="AA1070">
            <v>29</v>
          </cell>
          <cell r="AB1070">
            <v>0</v>
          </cell>
          <cell r="AC1070">
            <v>35</v>
          </cell>
          <cell r="AD1070">
            <v>1.1000000000000001</v>
          </cell>
          <cell r="AE1070">
            <v>0.40833324999999998</v>
          </cell>
          <cell r="AF1070">
            <v>1730.3</v>
          </cell>
        </row>
        <row r="1071">
          <cell r="B1071" t="str">
            <v>0C7X246854</v>
          </cell>
          <cell r="C1071">
            <v>2019</v>
          </cell>
          <cell r="D1071" t="str">
            <v>Qtr 2</v>
          </cell>
          <cell r="E1071" t="str">
            <v>April</v>
          </cell>
          <cell r="F1071">
            <v>24</v>
          </cell>
          <cell r="G1071" t="str">
            <v>CORRECTIVO</v>
          </cell>
          <cell r="H1071">
            <v>0.23333329999999999</v>
          </cell>
          <cell r="I1071" t="str">
            <v>A4 Mono MFPs</v>
          </cell>
          <cell r="J1071">
            <v>468</v>
          </cell>
          <cell r="K1071">
            <v>715</v>
          </cell>
          <cell r="L1071">
            <v>0</v>
          </cell>
          <cell r="M1071">
            <v>0</v>
          </cell>
          <cell r="N1071">
            <v>0</v>
          </cell>
          <cell r="O1071">
            <v>0.6</v>
          </cell>
          <cell r="P1071">
            <v>0.8</v>
          </cell>
          <cell r="Q1071">
            <v>1.05</v>
          </cell>
          <cell r="R1071" t="str">
            <v>INTERIOR</v>
          </cell>
          <cell r="S1071">
            <v>5</v>
          </cell>
          <cell r="T1071">
            <v>9</v>
          </cell>
          <cell r="U1071" t="str">
            <v>Ciudad principal</v>
          </cell>
          <cell r="V1071" t="str">
            <v>A4 Mono MFPs</v>
          </cell>
          <cell r="W1071" t="str">
            <v>GUANAJUATO</v>
          </cell>
          <cell r="X1071">
            <v>2019</v>
          </cell>
          <cell r="Y1071" t="str">
            <v>Qtr 2</v>
          </cell>
          <cell r="Z1071" t="str">
            <v>April</v>
          </cell>
          <cell r="AA1071">
            <v>24</v>
          </cell>
          <cell r="AB1071">
            <v>0</v>
          </cell>
          <cell r="AC1071">
            <v>274</v>
          </cell>
          <cell r="AD1071">
            <v>1.05</v>
          </cell>
          <cell r="AE1071">
            <v>4.6666659999999999E-2</v>
          </cell>
          <cell r="AF1071">
            <v>750.75</v>
          </cell>
        </row>
        <row r="1072">
          <cell r="B1072" t="str">
            <v>09HB325846</v>
          </cell>
          <cell r="C1072">
            <v>2019</v>
          </cell>
          <cell r="D1072" t="str">
            <v>Qtr 2</v>
          </cell>
          <cell r="E1072" t="str">
            <v>April</v>
          </cell>
          <cell r="F1072">
            <v>24</v>
          </cell>
          <cell r="G1072" t="str">
            <v>CORRECTIVO</v>
          </cell>
          <cell r="H1072">
            <v>3.3333330000000001</v>
          </cell>
          <cell r="I1072" t="str">
            <v>A4 Mono MFPs</v>
          </cell>
          <cell r="J1072">
            <v>468</v>
          </cell>
          <cell r="K1072">
            <v>715</v>
          </cell>
          <cell r="L1072">
            <v>0</v>
          </cell>
          <cell r="M1072">
            <v>0</v>
          </cell>
          <cell r="N1072">
            <v>0</v>
          </cell>
          <cell r="O1072">
            <v>0.6</v>
          </cell>
          <cell r="P1072">
            <v>0.8</v>
          </cell>
          <cell r="Q1072">
            <v>1.05</v>
          </cell>
          <cell r="R1072" t="str">
            <v>INTERIOR</v>
          </cell>
          <cell r="S1072">
            <v>5</v>
          </cell>
          <cell r="T1072">
            <v>9</v>
          </cell>
          <cell r="U1072" t="str">
            <v>Otras</v>
          </cell>
          <cell r="V1072" t="str">
            <v>A4 Mono MFPs</v>
          </cell>
          <cell r="W1072" t="str">
            <v>TAMAULIPAS</v>
          </cell>
          <cell r="X1072">
            <v>2019</v>
          </cell>
          <cell r="Y1072" t="str">
            <v>Qtr 2</v>
          </cell>
          <cell r="Z1072" t="str">
            <v>April</v>
          </cell>
          <cell r="AA1072">
            <v>25</v>
          </cell>
          <cell r="AB1072">
            <v>0</v>
          </cell>
          <cell r="AC1072">
            <v>362</v>
          </cell>
          <cell r="AD1072">
            <v>1.05</v>
          </cell>
          <cell r="AE1072">
            <v>0.37037033333333302</v>
          </cell>
          <cell r="AF1072">
            <v>750.75</v>
          </cell>
        </row>
        <row r="1073">
          <cell r="B1073" t="str">
            <v>0BG1001037</v>
          </cell>
          <cell r="C1073">
            <v>2019</v>
          </cell>
          <cell r="D1073" t="str">
            <v>Qtr 2</v>
          </cell>
          <cell r="E1073" t="str">
            <v>April</v>
          </cell>
          <cell r="F1073">
            <v>24</v>
          </cell>
          <cell r="G1073" t="str">
            <v>CORRECTIVO</v>
          </cell>
          <cell r="H1073">
            <v>1.7166669999999999</v>
          </cell>
          <cell r="I1073" t="str">
            <v>Light Production Digital Business</v>
          </cell>
          <cell r="J1073">
            <v>803</v>
          </cell>
          <cell r="K1073">
            <v>1573</v>
          </cell>
          <cell r="L1073">
            <v>0.2</v>
          </cell>
          <cell r="M1073">
            <v>0.6</v>
          </cell>
          <cell r="N1073">
            <v>0.8</v>
          </cell>
          <cell r="O1073">
            <v>1.05</v>
          </cell>
          <cell r="P1073">
            <v>1.1000000000000001</v>
          </cell>
          <cell r="Q1073">
            <v>1.1499999999999999</v>
          </cell>
          <cell r="R1073" t="str">
            <v>INTERIOR</v>
          </cell>
          <cell r="S1073">
            <v>4</v>
          </cell>
          <cell r="T1073">
            <v>6</v>
          </cell>
          <cell r="U1073" t="str">
            <v>Ciudad principal</v>
          </cell>
          <cell r="V1073" t="str">
            <v>High End Cut Sheet</v>
          </cell>
          <cell r="W1073" t="str">
            <v>TAMAULIPAS</v>
          </cell>
          <cell r="X1073">
            <v>2019</v>
          </cell>
          <cell r="Y1073" t="str">
            <v>Qtr 2</v>
          </cell>
          <cell r="Z1073" t="str">
            <v>April</v>
          </cell>
          <cell r="AA1073">
            <v>26</v>
          </cell>
          <cell r="AB1073">
            <v>0</v>
          </cell>
          <cell r="AC1073">
            <v>47</v>
          </cell>
          <cell r="AD1073">
            <v>1.1000000000000001</v>
          </cell>
          <cell r="AE1073">
            <v>0.42916674999999999</v>
          </cell>
          <cell r="AF1073">
            <v>1730.3</v>
          </cell>
        </row>
        <row r="1074">
          <cell r="B1074" t="str">
            <v>0XLT861338</v>
          </cell>
          <cell r="C1074">
            <v>2019</v>
          </cell>
          <cell r="D1074" t="str">
            <v>Qtr 2</v>
          </cell>
          <cell r="E1074" t="str">
            <v>April</v>
          </cell>
          <cell r="F1074">
            <v>24</v>
          </cell>
          <cell r="G1074" t="str">
            <v>MANTENIMIENTO PREVENTIVO</v>
          </cell>
          <cell r="H1074">
            <v>0.1166667</v>
          </cell>
          <cell r="I1074" t="str">
            <v>Entry Mono Printers</v>
          </cell>
          <cell r="J1074">
            <v>468</v>
          </cell>
          <cell r="K1074">
            <v>715</v>
          </cell>
          <cell r="L1074">
            <v>0</v>
          </cell>
          <cell r="M1074">
            <v>0</v>
          </cell>
          <cell r="N1074">
            <v>0</v>
          </cell>
          <cell r="O1074">
            <v>0.6</v>
          </cell>
          <cell r="P1074">
            <v>0.8</v>
          </cell>
          <cell r="Q1074">
            <v>1.05</v>
          </cell>
          <cell r="R1074" t="str">
            <v>INTERIOR</v>
          </cell>
          <cell r="S1074">
            <v>5</v>
          </cell>
          <cell r="T1074">
            <v>9</v>
          </cell>
          <cell r="U1074" t="str">
            <v>Ciudad principal</v>
          </cell>
          <cell r="V1074" t="str">
            <v>Entry Mono Printers</v>
          </cell>
          <cell r="W1074" t="str">
            <v>CHIHUAHUA</v>
          </cell>
          <cell r="X1074">
            <v>2019</v>
          </cell>
          <cell r="Y1074" t="str">
            <v>Qtr 2</v>
          </cell>
          <cell r="Z1074" t="str">
            <v>April</v>
          </cell>
          <cell r="AA1074">
            <v>25</v>
          </cell>
          <cell r="AB1074">
            <v>0</v>
          </cell>
          <cell r="AC1074">
            <v>146</v>
          </cell>
          <cell r="AD1074">
            <v>0</v>
          </cell>
          <cell r="AE1074">
            <v>0</v>
          </cell>
          <cell r="AF1074">
            <v>715</v>
          </cell>
        </row>
        <row r="1075">
          <cell r="B1075" t="str">
            <v>0A2T024863</v>
          </cell>
          <cell r="C1075">
            <v>2019</v>
          </cell>
          <cell r="D1075" t="str">
            <v>Qtr 2</v>
          </cell>
          <cell r="E1075" t="str">
            <v>April</v>
          </cell>
          <cell r="F1075">
            <v>24</v>
          </cell>
          <cell r="G1075" t="str">
            <v>CORRECTIVO</v>
          </cell>
          <cell r="H1075">
            <v>1.516667</v>
          </cell>
          <cell r="J1075" t="str">
            <v>NA</v>
          </cell>
          <cell r="K1075" t="str">
            <v>NA</v>
          </cell>
          <cell r="L1075" t="str">
            <v>NA</v>
          </cell>
          <cell r="M1075" t="str">
            <v>NA</v>
          </cell>
          <cell r="N1075" t="str">
            <v>NA</v>
          </cell>
          <cell r="O1075" t="str">
            <v>NA</v>
          </cell>
          <cell r="P1075" t="str">
            <v>NA</v>
          </cell>
          <cell r="Q1075" t="str">
            <v>NA</v>
          </cell>
          <cell r="S1075" t="str">
            <v>NA</v>
          </cell>
          <cell r="T1075" t="str">
            <v>NA</v>
          </cell>
          <cell r="V1075" t="str">
            <v>A4 Mono MFPs</v>
          </cell>
          <cell r="W1075" t="str">
            <v>ESTADO DE MEXICO</v>
          </cell>
          <cell r="X1075">
            <v>2019</v>
          </cell>
          <cell r="Y1075" t="str">
            <v>Qtr 2</v>
          </cell>
          <cell r="Z1075" t="str">
            <v>April</v>
          </cell>
          <cell r="AA1075">
            <v>25</v>
          </cell>
          <cell r="AB1075" t="str">
            <v>NA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</row>
        <row r="1076">
          <cell r="B1076" t="str">
            <v>0Y4X846817</v>
          </cell>
          <cell r="C1076">
            <v>2019</v>
          </cell>
          <cell r="D1076" t="str">
            <v>Qtr 2</v>
          </cell>
          <cell r="E1076" t="str">
            <v>April</v>
          </cell>
          <cell r="F1076">
            <v>24</v>
          </cell>
          <cell r="G1076" t="str">
            <v>MANTENIMIENTO PREVENTIVO</v>
          </cell>
          <cell r="H1076">
            <v>0</v>
          </cell>
          <cell r="I1076" t="str">
            <v>Office Digital</v>
          </cell>
          <cell r="J1076">
            <v>655</v>
          </cell>
          <cell r="K1076">
            <v>1365</v>
          </cell>
          <cell r="L1076">
            <v>0</v>
          </cell>
          <cell r="M1076">
            <v>0</v>
          </cell>
          <cell r="N1076">
            <v>0.6</v>
          </cell>
          <cell r="O1076">
            <v>0.8</v>
          </cell>
          <cell r="P1076">
            <v>1.05</v>
          </cell>
          <cell r="Q1076">
            <v>1.1000000000000001</v>
          </cell>
          <cell r="R1076" t="str">
            <v>INTERIOR</v>
          </cell>
          <cell r="S1076">
            <v>5</v>
          </cell>
          <cell r="T1076">
            <v>9</v>
          </cell>
          <cell r="U1076" t="str">
            <v>Ciudad principal</v>
          </cell>
          <cell r="V1076" t="str">
            <v>Light Production Digital Business</v>
          </cell>
          <cell r="W1076" t="str">
            <v>JALISCO</v>
          </cell>
          <cell r="X1076">
            <v>2019</v>
          </cell>
          <cell r="Y1076" t="str">
            <v>Qtr 2</v>
          </cell>
          <cell r="Z1076" t="str">
            <v>April</v>
          </cell>
          <cell r="AA1076">
            <v>24</v>
          </cell>
          <cell r="AB1076">
            <v>1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</row>
        <row r="1077">
          <cell r="B1077" t="str">
            <v>0X76704334</v>
          </cell>
          <cell r="C1077">
            <v>2019</v>
          </cell>
          <cell r="D1077" t="str">
            <v>Qtr 2</v>
          </cell>
          <cell r="E1077" t="str">
            <v>April</v>
          </cell>
          <cell r="F1077">
            <v>24</v>
          </cell>
          <cell r="G1077" t="str">
            <v>CORRECTIVO</v>
          </cell>
          <cell r="H1077">
            <v>0.25</v>
          </cell>
          <cell r="I1077" t="str">
            <v>Office Digital</v>
          </cell>
          <cell r="J1077">
            <v>655</v>
          </cell>
          <cell r="K1077">
            <v>1365</v>
          </cell>
          <cell r="L1077">
            <v>0</v>
          </cell>
          <cell r="M1077">
            <v>0</v>
          </cell>
          <cell r="N1077">
            <v>0.6</v>
          </cell>
          <cell r="O1077">
            <v>0.8</v>
          </cell>
          <cell r="P1077">
            <v>1.05</v>
          </cell>
          <cell r="Q1077">
            <v>1.1000000000000001</v>
          </cell>
          <cell r="R1077" t="str">
            <v>INTERIOR</v>
          </cell>
          <cell r="S1077">
            <v>5</v>
          </cell>
          <cell r="T1077">
            <v>9</v>
          </cell>
          <cell r="U1077" t="str">
            <v>Ciudad principal</v>
          </cell>
          <cell r="V1077" t="str">
            <v>Departmental Digital</v>
          </cell>
          <cell r="W1077" t="str">
            <v>CHIHUAHUA</v>
          </cell>
          <cell r="X1077">
            <v>2019</v>
          </cell>
          <cell r="Y1077" t="str">
            <v>Qtr 2</v>
          </cell>
          <cell r="Z1077" t="str">
            <v>April</v>
          </cell>
          <cell r="AA1077">
            <v>25</v>
          </cell>
          <cell r="AB1077">
            <v>0</v>
          </cell>
          <cell r="AC1077">
            <v>86</v>
          </cell>
          <cell r="AD1077">
            <v>1.1000000000000001</v>
          </cell>
          <cell r="AE1077">
            <v>0.05</v>
          </cell>
          <cell r="AF1077">
            <v>1501.5</v>
          </cell>
        </row>
        <row r="1078">
          <cell r="B1078" t="str">
            <v>09HB331845</v>
          </cell>
          <cell r="C1078">
            <v>2019</v>
          </cell>
          <cell r="D1078" t="str">
            <v>Qtr 2</v>
          </cell>
          <cell r="E1078" t="str">
            <v>April</v>
          </cell>
          <cell r="F1078">
            <v>24</v>
          </cell>
          <cell r="G1078" t="str">
            <v>MANTENIMIENTO PREVENTIVO</v>
          </cell>
          <cell r="H1078">
            <v>0</v>
          </cell>
          <cell r="J1078" t="str">
            <v>NA</v>
          </cell>
          <cell r="K1078" t="str">
            <v>NA</v>
          </cell>
          <cell r="L1078" t="str">
            <v>NA</v>
          </cell>
          <cell r="M1078" t="str">
            <v>NA</v>
          </cell>
          <cell r="N1078" t="str">
            <v>NA</v>
          </cell>
          <cell r="O1078" t="str">
            <v>NA</v>
          </cell>
          <cell r="P1078" t="str">
            <v>NA</v>
          </cell>
          <cell r="Q1078" t="str">
            <v>NA</v>
          </cell>
          <cell r="S1078" t="str">
            <v>NA</v>
          </cell>
          <cell r="T1078" t="str">
            <v>NA</v>
          </cell>
          <cell r="V1078" t="str">
            <v>A4 Mono MFPs</v>
          </cell>
          <cell r="W1078" t="str">
            <v>JALISCO</v>
          </cell>
          <cell r="X1078">
            <v>2019</v>
          </cell>
          <cell r="Y1078" t="str">
            <v>Qtr 2</v>
          </cell>
          <cell r="Z1078" t="str">
            <v>April</v>
          </cell>
          <cell r="AA1078">
            <v>24</v>
          </cell>
          <cell r="AB1078" t="str">
            <v>NA</v>
          </cell>
          <cell r="AC1078">
            <v>42</v>
          </cell>
          <cell r="AD1078">
            <v>0</v>
          </cell>
          <cell r="AE1078">
            <v>0</v>
          </cell>
          <cell r="AF1078">
            <v>0</v>
          </cell>
        </row>
        <row r="1079">
          <cell r="B1079" t="str">
            <v>09HB331974</v>
          </cell>
          <cell r="C1079">
            <v>2019</v>
          </cell>
          <cell r="D1079" t="str">
            <v>Qtr 2</v>
          </cell>
          <cell r="E1079" t="str">
            <v>April</v>
          </cell>
          <cell r="F1079">
            <v>24</v>
          </cell>
          <cell r="G1079" t="str">
            <v>MANTENIMIENTO PREVENTIVO</v>
          </cell>
          <cell r="H1079">
            <v>0</v>
          </cell>
          <cell r="I1079" t="str">
            <v>A4 Mono MFPs</v>
          </cell>
          <cell r="J1079">
            <v>468</v>
          </cell>
          <cell r="K1079">
            <v>715</v>
          </cell>
          <cell r="L1079">
            <v>0</v>
          </cell>
          <cell r="M1079">
            <v>0</v>
          </cell>
          <cell r="N1079">
            <v>0</v>
          </cell>
          <cell r="O1079">
            <v>0.6</v>
          </cell>
          <cell r="P1079">
            <v>0.8</v>
          </cell>
          <cell r="Q1079">
            <v>1.05</v>
          </cell>
          <cell r="R1079" t="str">
            <v>INTERIOR</v>
          </cell>
          <cell r="S1079">
            <v>5</v>
          </cell>
          <cell r="T1079">
            <v>9</v>
          </cell>
          <cell r="U1079" t="str">
            <v>Ciudad principal</v>
          </cell>
          <cell r="V1079" t="str">
            <v>A4 Mono MFPs</v>
          </cell>
          <cell r="W1079" t="str">
            <v>JALISCO</v>
          </cell>
          <cell r="X1079">
            <v>2019</v>
          </cell>
          <cell r="Y1079" t="str">
            <v>Qtr 2</v>
          </cell>
          <cell r="Z1079" t="str">
            <v>April</v>
          </cell>
          <cell r="AA1079">
            <v>24</v>
          </cell>
          <cell r="AB1079">
            <v>1</v>
          </cell>
          <cell r="AC1079">
            <v>21</v>
          </cell>
          <cell r="AD1079">
            <v>0</v>
          </cell>
          <cell r="AE1079">
            <v>0</v>
          </cell>
          <cell r="AF1079">
            <v>0</v>
          </cell>
        </row>
        <row r="1080">
          <cell r="B1080" t="str">
            <v>09HB331956</v>
          </cell>
          <cell r="C1080">
            <v>2019</v>
          </cell>
          <cell r="D1080" t="str">
            <v>Qtr 2</v>
          </cell>
          <cell r="E1080" t="str">
            <v>April</v>
          </cell>
          <cell r="F1080">
            <v>24</v>
          </cell>
          <cell r="G1080" t="str">
            <v>MANTENIMIENTO PREVENTIVO</v>
          </cell>
          <cell r="H1080">
            <v>0</v>
          </cell>
          <cell r="I1080" t="str">
            <v>A4 Mono MFPs</v>
          </cell>
          <cell r="J1080">
            <v>468</v>
          </cell>
          <cell r="K1080">
            <v>715</v>
          </cell>
          <cell r="L1080">
            <v>0</v>
          </cell>
          <cell r="M1080">
            <v>0</v>
          </cell>
          <cell r="N1080">
            <v>0</v>
          </cell>
          <cell r="O1080">
            <v>0.6</v>
          </cell>
          <cell r="P1080">
            <v>0.8</v>
          </cell>
          <cell r="Q1080">
            <v>1.05</v>
          </cell>
          <cell r="R1080" t="str">
            <v>INTERIOR</v>
          </cell>
          <cell r="S1080">
            <v>5</v>
          </cell>
          <cell r="T1080">
            <v>9</v>
          </cell>
          <cell r="U1080" t="str">
            <v>Ciudad principal</v>
          </cell>
          <cell r="V1080" t="str">
            <v>A4 Mono MFPs</v>
          </cell>
          <cell r="W1080" t="str">
            <v>JALISCO</v>
          </cell>
          <cell r="X1080">
            <v>2019</v>
          </cell>
          <cell r="Y1080" t="str">
            <v>Qtr 2</v>
          </cell>
          <cell r="Z1080" t="str">
            <v>April</v>
          </cell>
          <cell r="AA1080">
            <v>24</v>
          </cell>
          <cell r="AB1080">
            <v>1</v>
          </cell>
          <cell r="AC1080">
            <v>1</v>
          </cell>
          <cell r="AD1080">
            <v>0</v>
          </cell>
          <cell r="AE1080">
            <v>0</v>
          </cell>
          <cell r="AF1080">
            <v>0</v>
          </cell>
        </row>
        <row r="1081">
          <cell r="B1081" t="str">
            <v>09HB332026</v>
          </cell>
          <cell r="C1081">
            <v>2019</v>
          </cell>
          <cell r="D1081" t="str">
            <v>Qtr 2</v>
          </cell>
          <cell r="E1081" t="str">
            <v>April</v>
          </cell>
          <cell r="F1081">
            <v>24</v>
          </cell>
          <cell r="G1081" t="str">
            <v>MANTENIMIENTO PREVENTIVO</v>
          </cell>
          <cell r="H1081">
            <v>0</v>
          </cell>
          <cell r="I1081" t="str">
            <v>A4 Mono MFPs</v>
          </cell>
          <cell r="J1081">
            <v>468</v>
          </cell>
          <cell r="K1081">
            <v>715</v>
          </cell>
          <cell r="L1081">
            <v>0</v>
          </cell>
          <cell r="M1081">
            <v>0</v>
          </cell>
          <cell r="N1081">
            <v>0</v>
          </cell>
          <cell r="O1081">
            <v>0.6</v>
          </cell>
          <cell r="P1081">
            <v>0.8</v>
          </cell>
          <cell r="Q1081">
            <v>1.05</v>
          </cell>
          <cell r="R1081" t="str">
            <v>INTERIOR</v>
          </cell>
          <cell r="S1081">
            <v>5</v>
          </cell>
          <cell r="T1081">
            <v>9</v>
          </cell>
          <cell r="U1081" t="str">
            <v>Ciudad principal</v>
          </cell>
          <cell r="V1081" t="str">
            <v>A4 Mono MFPs</v>
          </cell>
          <cell r="W1081" t="str">
            <v>JALISCO</v>
          </cell>
          <cell r="X1081">
            <v>2019</v>
          </cell>
          <cell r="Y1081" t="str">
            <v>Qtr 2</v>
          </cell>
          <cell r="Z1081" t="str">
            <v>April</v>
          </cell>
          <cell r="AA1081">
            <v>24</v>
          </cell>
          <cell r="AB1081">
            <v>1</v>
          </cell>
          <cell r="AC1081">
            <v>49</v>
          </cell>
          <cell r="AD1081">
            <v>0</v>
          </cell>
          <cell r="AE1081">
            <v>0</v>
          </cell>
          <cell r="AF1081">
            <v>0</v>
          </cell>
        </row>
        <row r="1082">
          <cell r="B1082" t="str">
            <v>0PW4152292</v>
          </cell>
          <cell r="C1082">
            <v>2019</v>
          </cell>
          <cell r="D1082" t="str">
            <v>Qtr 2</v>
          </cell>
          <cell r="E1082" t="str">
            <v>April</v>
          </cell>
          <cell r="F1082">
            <v>25</v>
          </cell>
          <cell r="G1082" t="str">
            <v>MANTENIMIENTO PREVENTIVO</v>
          </cell>
          <cell r="H1082">
            <v>0</v>
          </cell>
          <cell r="I1082" t="str">
            <v>WF Mono Systems and Legacy Color</v>
          </cell>
          <cell r="J1082">
            <v>803</v>
          </cell>
          <cell r="K1082">
            <v>1573</v>
          </cell>
          <cell r="L1082">
            <v>0.2</v>
          </cell>
          <cell r="M1082">
            <v>0.6</v>
          </cell>
          <cell r="N1082">
            <v>0.8</v>
          </cell>
          <cell r="O1082">
            <v>1.05</v>
          </cell>
          <cell r="P1082">
            <v>1.1000000000000001</v>
          </cell>
          <cell r="Q1082">
            <v>1.1499999999999999</v>
          </cell>
          <cell r="R1082" t="str">
            <v>INTERIOR</v>
          </cell>
          <cell r="S1082">
            <v>4</v>
          </cell>
          <cell r="T1082">
            <v>6</v>
          </cell>
          <cell r="U1082" t="str">
            <v>Ciudad principal</v>
          </cell>
          <cell r="V1082" t="str">
            <v>WF Mono Systems and Legacy Color</v>
          </cell>
          <cell r="W1082" t="str">
            <v>JALISCO</v>
          </cell>
          <cell r="X1082">
            <v>2019</v>
          </cell>
          <cell r="Y1082" t="str">
            <v>Qtr 2</v>
          </cell>
          <cell r="Z1082" t="str">
            <v>April</v>
          </cell>
          <cell r="AA1082">
            <v>25</v>
          </cell>
          <cell r="AB1082">
            <v>0</v>
          </cell>
          <cell r="AC1082">
            <v>15</v>
          </cell>
          <cell r="AD1082">
            <v>0</v>
          </cell>
          <cell r="AE1082">
            <v>0</v>
          </cell>
          <cell r="AF1082">
            <v>1573</v>
          </cell>
        </row>
        <row r="1083">
          <cell r="B1083" t="str">
            <v>0EX9293168</v>
          </cell>
          <cell r="C1083">
            <v>2019</v>
          </cell>
          <cell r="D1083" t="str">
            <v>Qtr 2</v>
          </cell>
          <cell r="E1083" t="str">
            <v>April</v>
          </cell>
          <cell r="F1083">
            <v>25</v>
          </cell>
          <cell r="G1083" t="str">
            <v>MANTENIMIENTO PREVENTIVO</v>
          </cell>
          <cell r="H1083">
            <v>0</v>
          </cell>
          <cell r="I1083" t="str">
            <v>Departmental Digital</v>
          </cell>
          <cell r="J1083">
            <v>655</v>
          </cell>
          <cell r="K1083">
            <v>1365</v>
          </cell>
          <cell r="L1083">
            <v>0</v>
          </cell>
          <cell r="M1083">
            <v>0</v>
          </cell>
          <cell r="N1083">
            <v>0.6</v>
          </cell>
          <cell r="O1083">
            <v>0.8</v>
          </cell>
          <cell r="P1083">
            <v>1.05</v>
          </cell>
          <cell r="Q1083">
            <v>1.1000000000000001</v>
          </cell>
          <cell r="R1083" t="str">
            <v>INTERIOR</v>
          </cell>
          <cell r="S1083">
            <v>5</v>
          </cell>
          <cell r="T1083">
            <v>9</v>
          </cell>
          <cell r="U1083" t="str">
            <v>Ciudad principal</v>
          </cell>
          <cell r="V1083" t="str">
            <v>Departmental Digital</v>
          </cell>
          <cell r="W1083" t="str">
            <v>GUANAJUATO</v>
          </cell>
          <cell r="X1083">
            <v>2019</v>
          </cell>
          <cell r="Y1083" t="str">
            <v>Qtr 2</v>
          </cell>
          <cell r="Z1083" t="str">
            <v>April</v>
          </cell>
          <cell r="AA1083">
            <v>25</v>
          </cell>
          <cell r="AB1083">
            <v>0</v>
          </cell>
          <cell r="AC1083">
            <v>10</v>
          </cell>
          <cell r="AD1083">
            <v>0</v>
          </cell>
          <cell r="AE1083">
            <v>0</v>
          </cell>
          <cell r="AF1083">
            <v>1365</v>
          </cell>
        </row>
        <row r="1084">
          <cell r="B1084" t="str">
            <v>0LX7657929</v>
          </cell>
          <cell r="C1084">
            <v>2019</v>
          </cell>
          <cell r="D1084" t="str">
            <v>Qtr 2</v>
          </cell>
          <cell r="E1084" t="str">
            <v>April</v>
          </cell>
          <cell r="F1084">
            <v>25</v>
          </cell>
          <cell r="G1084" t="str">
            <v>MANTENIMIENTO PREVENTIVO</v>
          </cell>
          <cell r="H1084">
            <v>0</v>
          </cell>
          <cell r="I1084" t="str">
            <v>A3 Office Color Laser MFPs</v>
          </cell>
          <cell r="J1084">
            <v>655</v>
          </cell>
          <cell r="K1084">
            <v>1365</v>
          </cell>
          <cell r="L1084">
            <v>0</v>
          </cell>
          <cell r="M1084">
            <v>0</v>
          </cell>
          <cell r="N1084">
            <v>0.6</v>
          </cell>
          <cell r="O1084">
            <v>0.8</v>
          </cell>
          <cell r="P1084">
            <v>1.05</v>
          </cell>
          <cell r="Q1084">
            <v>1.1000000000000001</v>
          </cell>
          <cell r="R1084" t="str">
            <v>INTERIOR</v>
          </cell>
          <cell r="S1084">
            <v>5</v>
          </cell>
          <cell r="T1084">
            <v>9</v>
          </cell>
          <cell r="U1084" t="str">
            <v>Ciudad principal</v>
          </cell>
          <cell r="V1084" t="str">
            <v>A3 Office Color Laser MFPs</v>
          </cell>
          <cell r="W1084" t="str">
            <v>CHIHUAHUA</v>
          </cell>
          <cell r="X1084">
            <v>2019</v>
          </cell>
          <cell r="Y1084" t="str">
            <v>Qtr 2</v>
          </cell>
          <cell r="Z1084" t="str">
            <v>April</v>
          </cell>
          <cell r="AA1084">
            <v>25</v>
          </cell>
          <cell r="AB1084">
            <v>0</v>
          </cell>
          <cell r="AC1084">
            <v>238</v>
          </cell>
          <cell r="AD1084">
            <v>0</v>
          </cell>
          <cell r="AE1084">
            <v>0</v>
          </cell>
          <cell r="AF1084">
            <v>1365</v>
          </cell>
        </row>
        <row r="1085">
          <cell r="B1085" t="str">
            <v>09HB331430</v>
          </cell>
          <cell r="C1085">
            <v>2019</v>
          </cell>
          <cell r="D1085" t="str">
            <v>Qtr 2</v>
          </cell>
          <cell r="E1085" t="str">
            <v>April</v>
          </cell>
          <cell r="F1085">
            <v>25</v>
          </cell>
          <cell r="G1085" t="str">
            <v>CORRECTIVO</v>
          </cell>
          <cell r="H1085">
            <v>0.35</v>
          </cell>
          <cell r="J1085" t="str">
            <v>NA</v>
          </cell>
          <cell r="K1085" t="str">
            <v>NA</v>
          </cell>
          <cell r="L1085" t="str">
            <v>NA</v>
          </cell>
          <cell r="M1085" t="str">
            <v>NA</v>
          </cell>
          <cell r="N1085" t="str">
            <v>NA</v>
          </cell>
          <cell r="O1085" t="str">
            <v>NA</v>
          </cell>
          <cell r="P1085" t="str">
            <v>NA</v>
          </cell>
          <cell r="Q1085" t="str">
            <v>NA</v>
          </cell>
          <cell r="S1085" t="str">
            <v>NA</v>
          </cell>
          <cell r="T1085" t="str">
            <v>NA</v>
          </cell>
          <cell r="V1085" t="str">
            <v>A4 Mono MFPs</v>
          </cell>
          <cell r="W1085" t="str">
            <v>JALISCO</v>
          </cell>
          <cell r="X1085">
            <v>2019</v>
          </cell>
          <cell r="Y1085" t="str">
            <v>Qtr 2</v>
          </cell>
          <cell r="Z1085" t="str">
            <v>April</v>
          </cell>
          <cell r="AA1085">
            <v>25</v>
          </cell>
          <cell r="AB1085" t="str">
            <v>NA</v>
          </cell>
          <cell r="AC1085">
            <v>20</v>
          </cell>
          <cell r="AD1085">
            <v>0</v>
          </cell>
          <cell r="AE1085">
            <v>0</v>
          </cell>
          <cell r="AF1085">
            <v>0</v>
          </cell>
        </row>
        <row r="1086">
          <cell r="B1086" t="str">
            <v>0PW4792159</v>
          </cell>
          <cell r="C1086">
            <v>2019</v>
          </cell>
          <cell r="D1086" t="str">
            <v>Qtr 2</v>
          </cell>
          <cell r="E1086" t="str">
            <v>April</v>
          </cell>
          <cell r="F1086">
            <v>25</v>
          </cell>
          <cell r="G1086" t="str">
            <v>CORRECTIVO</v>
          </cell>
          <cell r="H1086">
            <v>1</v>
          </cell>
          <cell r="I1086" t="str">
            <v>WF Mono Systems and Legacy Color</v>
          </cell>
          <cell r="J1086">
            <v>803</v>
          </cell>
          <cell r="K1086">
            <v>1573</v>
          </cell>
          <cell r="L1086">
            <v>0.2</v>
          </cell>
          <cell r="M1086">
            <v>0.6</v>
          </cell>
          <cell r="N1086">
            <v>0.8</v>
          </cell>
          <cell r="O1086">
            <v>1.05</v>
          </cell>
          <cell r="P1086">
            <v>1.1000000000000001</v>
          </cell>
          <cell r="Q1086">
            <v>1.1499999999999999</v>
          </cell>
          <cell r="R1086" t="str">
            <v>INTERIOR</v>
          </cell>
          <cell r="S1086">
            <v>4</v>
          </cell>
          <cell r="T1086">
            <v>6</v>
          </cell>
          <cell r="U1086" t="str">
            <v>Ciudad principal</v>
          </cell>
          <cell r="V1086" t="str">
            <v>WF Mono Systems and Legacy Color</v>
          </cell>
          <cell r="W1086" t="str">
            <v>JALISCO</v>
          </cell>
          <cell r="X1086">
            <v>2019</v>
          </cell>
          <cell r="Y1086" t="str">
            <v>Qtr 2</v>
          </cell>
          <cell r="Z1086" t="str">
            <v>April</v>
          </cell>
          <cell r="AA1086">
            <v>28</v>
          </cell>
          <cell r="AB1086">
            <v>0</v>
          </cell>
          <cell r="AC1086">
            <v>30</v>
          </cell>
          <cell r="AD1086">
            <v>1.05</v>
          </cell>
          <cell r="AE1086">
            <v>0.25</v>
          </cell>
          <cell r="AF1086">
            <v>1651.65</v>
          </cell>
        </row>
        <row r="1087">
          <cell r="B1087" t="str">
            <v>0A1H022379</v>
          </cell>
          <cell r="C1087">
            <v>2019</v>
          </cell>
          <cell r="D1087" t="str">
            <v>Qtr 2</v>
          </cell>
          <cell r="E1087" t="str">
            <v>April</v>
          </cell>
          <cell r="F1087">
            <v>25</v>
          </cell>
          <cell r="G1087" t="str">
            <v>CORRECTIVO</v>
          </cell>
          <cell r="H1087">
            <v>1.4166669999999999</v>
          </cell>
          <cell r="I1087" t="str">
            <v>WF Mono Systems and Legacy Color</v>
          </cell>
          <cell r="J1087">
            <v>803</v>
          </cell>
          <cell r="K1087">
            <v>1573</v>
          </cell>
          <cell r="L1087">
            <v>0.2</v>
          </cell>
          <cell r="M1087">
            <v>0.6</v>
          </cell>
          <cell r="N1087">
            <v>0.8</v>
          </cell>
          <cell r="O1087">
            <v>1.05</v>
          </cell>
          <cell r="P1087">
            <v>1.1000000000000001</v>
          </cell>
          <cell r="Q1087">
            <v>1.1499999999999999</v>
          </cell>
          <cell r="R1087" t="str">
            <v>INTERIOR</v>
          </cell>
          <cell r="S1087">
            <v>4</v>
          </cell>
          <cell r="T1087">
            <v>6</v>
          </cell>
          <cell r="U1087" t="str">
            <v>Ciudad principal</v>
          </cell>
          <cell r="V1087" t="str">
            <v>WF Mono Systems and Legacy Color</v>
          </cell>
          <cell r="W1087" t="str">
            <v>CHIHUAHUA</v>
          </cell>
          <cell r="X1087">
            <v>2019</v>
          </cell>
          <cell r="Y1087" t="str">
            <v>Qtr 2</v>
          </cell>
          <cell r="Z1087" t="str">
            <v>April</v>
          </cell>
          <cell r="AA1087">
            <v>25</v>
          </cell>
          <cell r="AB1087">
            <v>0</v>
          </cell>
          <cell r="AC1087">
            <v>182</v>
          </cell>
          <cell r="AD1087">
            <v>1.1499999999999999</v>
          </cell>
          <cell r="AE1087">
            <v>0.35416674999999997</v>
          </cell>
          <cell r="AF1087">
            <v>1808.95</v>
          </cell>
        </row>
        <row r="1088">
          <cell r="B1088" t="str">
            <v>0BG2951623</v>
          </cell>
          <cell r="C1088">
            <v>2019</v>
          </cell>
          <cell r="D1088" t="str">
            <v>Qtr 2</v>
          </cell>
          <cell r="E1088" t="str">
            <v>April</v>
          </cell>
          <cell r="F1088">
            <v>25</v>
          </cell>
          <cell r="G1088" t="str">
            <v>MANTENIMIENTO PREVENTIVO</v>
          </cell>
          <cell r="H1088">
            <v>0</v>
          </cell>
          <cell r="I1088" t="str">
            <v>Light Production Digital Business</v>
          </cell>
          <cell r="J1088">
            <v>803</v>
          </cell>
          <cell r="K1088">
            <v>1573</v>
          </cell>
          <cell r="L1088">
            <v>0.2</v>
          </cell>
          <cell r="M1088">
            <v>0.6</v>
          </cell>
          <cell r="N1088">
            <v>0.8</v>
          </cell>
          <cell r="O1088">
            <v>1.05</v>
          </cell>
          <cell r="P1088">
            <v>1.1000000000000001</v>
          </cell>
          <cell r="Q1088">
            <v>1.1499999999999999</v>
          </cell>
          <cell r="R1088" t="str">
            <v>INTERIOR</v>
          </cell>
          <cell r="S1088">
            <v>4</v>
          </cell>
          <cell r="T1088">
            <v>6</v>
          </cell>
          <cell r="U1088" t="str">
            <v>Ciudad principal</v>
          </cell>
          <cell r="V1088" t="str">
            <v>High End Cut Sheet</v>
          </cell>
          <cell r="W1088" t="str">
            <v>TAMAULIPAS</v>
          </cell>
          <cell r="X1088">
            <v>2019</v>
          </cell>
          <cell r="Y1088" t="str">
            <v>Qtr 2</v>
          </cell>
          <cell r="Z1088" t="str">
            <v>April</v>
          </cell>
          <cell r="AA1088">
            <v>25</v>
          </cell>
          <cell r="AB1088">
            <v>0</v>
          </cell>
          <cell r="AC1088">
            <v>8</v>
          </cell>
          <cell r="AD1088">
            <v>0</v>
          </cell>
          <cell r="AE1088">
            <v>0</v>
          </cell>
          <cell r="AF1088">
            <v>1573</v>
          </cell>
        </row>
        <row r="1089">
          <cell r="B1089" t="str">
            <v>0BG2949291</v>
          </cell>
          <cell r="C1089">
            <v>2019</v>
          </cell>
          <cell r="D1089" t="str">
            <v>Qtr 2</v>
          </cell>
          <cell r="E1089" t="str">
            <v>April</v>
          </cell>
          <cell r="F1089">
            <v>25</v>
          </cell>
          <cell r="G1089" t="str">
            <v>CORRECTIVO</v>
          </cell>
          <cell r="H1089">
            <v>1.483333</v>
          </cell>
          <cell r="I1089" t="str">
            <v>Light Production Digital Business</v>
          </cell>
          <cell r="J1089">
            <v>803</v>
          </cell>
          <cell r="K1089">
            <v>1573</v>
          </cell>
          <cell r="L1089">
            <v>0.2</v>
          </cell>
          <cell r="M1089">
            <v>0.6</v>
          </cell>
          <cell r="N1089">
            <v>0.8</v>
          </cell>
          <cell r="O1089">
            <v>1.05</v>
          </cell>
          <cell r="P1089">
            <v>1.1000000000000001</v>
          </cell>
          <cell r="Q1089">
            <v>1.1499999999999999</v>
          </cell>
          <cell r="R1089" t="str">
            <v>INTERIOR</v>
          </cell>
          <cell r="S1089">
            <v>4</v>
          </cell>
          <cell r="T1089">
            <v>6</v>
          </cell>
          <cell r="U1089" t="str">
            <v>Ciudad principal</v>
          </cell>
          <cell r="V1089" t="str">
            <v>High End Cut Sheet</v>
          </cell>
          <cell r="W1089" t="str">
            <v>GUANAJUATO</v>
          </cell>
          <cell r="X1089">
            <v>2019</v>
          </cell>
          <cell r="Y1089" t="str">
            <v>Qtr 2</v>
          </cell>
          <cell r="Z1089" t="str">
            <v>April</v>
          </cell>
          <cell r="AA1089">
            <v>25</v>
          </cell>
          <cell r="AB1089">
            <v>0</v>
          </cell>
          <cell r="AC1089">
            <v>16</v>
          </cell>
          <cell r="AD1089">
            <v>1.05</v>
          </cell>
          <cell r="AE1089">
            <v>0.37083325</v>
          </cell>
          <cell r="AF1089">
            <v>1651.65</v>
          </cell>
        </row>
        <row r="1090">
          <cell r="B1090" t="str">
            <v>0EX7382605</v>
          </cell>
          <cell r="C1090">
            <v>2019</v>
          </cell>
          <cell r="D1090" t="str">
            <v>Qtr 2</v>
          </cell>
          <cell r="E1090" t="str">
            <v>April</v>
          </cell>
          <cell r="F1090">
            <v>25</v>
          </cell>
          <cell r="G1090" t="str">
            <v>MANTENIMIENTO PREVENTIVO</v>
          </cell>
          <cell r="H1090">
            <v>0</v>
          </cell>
          <cell r="I1090" t="str">
            <v>Office Digital</v>
          </cell>
          <cell r="J1090">
            <v>655</v>
          </cell>
          <cell r="K1090">
            <v>1365</v>
          </cell>
          <cell r="L1090">
            <v>0</v>
          </cell>
          <cell r="M1090">
            <v>0</v>
          </cell>
          <cell r="N1090">
            <v>0.6</v>
          </cell>
          <cell r="O1090">
            <v>0.8</v>
          </cell>
          <cell r="P1090">
            <v>1.05</v>
          </cell>
          <cell r="Q1090">
            <v>1.1000000000000001</v>
          </cell>
          <cell r="R1090" t="str">
            <v>INTERIOR</v>
          </cell>
          <cell r="S1090">
            <v>5</v>
          </cell>
          <cell r="T1090">
            <v>9</v>
          </cell>
          <cell r="U1090" t="str">
            <v>Ciudad principal</v>
          </cell>
          <cell r="V1090" t="str">
            <v>Departmental Digital</v>
          </cell>
          <cell r="W1090" t="str">
            <v>CHIHUAHUA</v>
          </cell>
          <cell r="X1090">
            <v>2019</v>
          </cell>
          <cell r="Y1090" t="str">
            <v>Qtr 2</v>
          </cell>
          <cell r="Z1090" t="str">
            <v>April</v>
          </cell>
          <cell r="AA1090">
            <v>25</v>
          </cell>
          <cell r="AB1090">
            <v>0</v>
          </cell>
          <cell r="AC1090">
            <v>16</v>
          </cell>
          <cell r="AD1090">
            <v>0</v>
          </cell>
          <cell r="AE1090">
            <v>0</v>
          </cell>
          <cell r="AF1090">
            <v>1365</v>
          </cell>
        </row>
        <row r="1091">
          <cell r="B1091" t="str">
            <v>0EX9287045</v>
          </cell>
          <cell r="C1091">
            <v>2019</v>
          </cell>
          <cell r="D1091" t="str">
            <v>Qtr 2</v>
          </cell>
          <cell r="E1091" t="str">
            <v>April</v>
          </cell>
          <cell r="F1091">
            <v>25</v>
          </cell>
          <cell r="G1091" t="str">
            <v>CORRECTIVO</v>
          </cell>
          <cell r="H1091">
            <v>0.68333330000000003</v>
          </cell>
          <cell r="I1091" t="str">
            <v>Departmental Digital</v>
          </cell>
          <cell r="J1091">
            <v>655</v>
          </cell>
          <cell r="K1091">
            <v>1365</v>
          </cell>
          <cell r="L1091">
            <v>0</v>
          </cell>
          <cell r="M1091">
            <v>0</v>
          </cell>
          <cell r="N1091">
            <v>0.6</v>
          </cell>
          <cell r="O1091">
            <v>0.8</v>
          </cell>
          <cell r="P1091">
            <v>1.05</v>
          </cell>
          <cell r="Q1091">
            <v>1.1000000000000001</v>
          </cell>
          <cell r="R1091" t="str">
            <v>INTERIOR</v>
          </cell>
          <cell r="S1091">
            <v>5</v>
          </cell>
          <cell r="T1091">
            <v>9</v>
          </cell>
          <cell r="U1091" t="str">
            <v>Ciudad principal</v>
          </cell>
          <cell r="V1091" t="str">
            <v>Departmental Digital</v>
          </cell>
          <cell r="W1091" t="str">
            <v>QUERETARO</v>
          </cell>
          <cell r="X1091">
            <v>2019</v>
          </cell>
          <cell r="Y1091" t="str">
            <v>Qtr 2</v>
          </cell>
          <cell r="Z1091" t="str">
            <v>April</v>
          </cell>
          <cell r="AA1091">
            <v>25</v>
          </cell>
          <cell r="AB1091">
            <v>0</v>
          </cell>
          <cell r="AC1091">
            <v>35</v>
          </cell>
          <cell r="AD1091">
            <v>1.05</v>
          </cell>
          <cell r="AE1091">
            <v>0.13666666</v>
          </cell>
          <cell r="AF1091">
            <v>1433.25</v>
          </cell>
        </row>
        <row r="1092">
          <cell r="B1092" t="str">
            <v>03AG879434</v>
          </cell>
          <cell r="C1092">
            <v>2019</v>
          </cell>
          <cell r="D1092" t="str">
            <v>Qtr 2</v>
          </cell>
          <cell r="E1092" t="str">
            <v>April</v>
          </cell>
          <cell r="F1092">
            <v>25</v>
          </cell>
          <cell r="G1092" t="str">
            <v>CORRECTIVO</v>
          </cell>
          <cell r="H1092">
            <v>1.4166669999999999</v>
          </cell>
          <cell r="I1092" t="str">
            <v>Departmental Digital</v>
          </cell>
          <cell r="J1092">
            <v>655</v>
          </cell>
          <cell r="K1092">
            <v>1365</v>
          </cell>
          <cell r="L1092">
            <v>0</v>
          </cell>
          <cell r="M1092">
            <v>0</v>
          </cell>
          <cell r="N1092">
            <v>0.6</v>
          </cell>
          <cell r="O1092">
            <v>0.8</v>
          </cell>
          <cell r="P1092">
            <v>1.05</v>
          </cell>
          <cell r="Q1092">
            <v>1.1000000000000001</v>
          </cell>
          <cell r="R1092" t="str">
            <v>INTERIOR</v>
          </cell>
          <cell r="S1092">
            <v>5</v>
          </cell>
          <cell r="T1092">
            <v>9</v>
          </cell>
          <cell r="U1092" t="str">
            <v>Ciudad principal</v>
          </cell>
          <cell r="V1092" t="str">
            <v>Light Production Digital Business</v>
          </cell>
          <cell r="W1092" t="str">
            <v>QUERETARO</v>
          </cell>
          <cell r="X1092">
            <v>2019</v>
          </cell>
          <cell r="Y1092" t="str">
            <v>Qtr 2</v>
          </cell>
          <cell r="Z1092" t="str">
            <v>April</v>
          </cell>
          <cell r="AA1092">
            <v>25</v>
          </cell>
          <cell r="AB1092">
            <v>0</v>
          </cell>
          <cell r="AC1092">
            <v>31</v>
          </cell>
          <cell r="AD1092">
            <v>1.05</v>
          </cell>
          <cell r="AE1092">
            <v>0.28333340000000001</v>
          </cell>
          <cell r="AF1092">
            <v>1433.25</v>
          </cell>
        </row>
        <row r="1093">
          <cell r="B1093" t="str">
            <v>0A1H022532</v>
          </cell>
          <cell r="C1093">
            <v>2019</v>
          </cell>
          <cell r="D1093" t="str">
            <v>Qtr 2</v>
          </cell>
          <cell r="E1093" t="str">
            <v>April</v>
          </cell>
          <cell r="F1093">
            <v>25</v>
          </cell>
          <cell r="G1093" t="str">
            <v>MANTENIMIENTO PREVENTIVO</v>
          </cell>
          <cell r="H1093">
            <v>0</v>
          </cell>
          <cell r="I1093" t="str">
            <v>WF Mono Systems and Legacy Color</v>
          </cell>
          <cell r="J1093">
            <v>803</v>
          </cell>
          <cell r="K1093">
            <v>1573</v>
          </cell>
          <cell r="L1093">
            <v>0.2</v>
          </cell>
          <cell r="M1093">
            <v>0.6</v>
          </cell>
          <cell r="N1093">
            <v>0.8</v>
          </cell>
          <cell r="O1093">
            <v>1.05</v>
          </cell>
          <cell r="P1093">
            <v>1.1000000000000001</v>
          </cell>
          <cell r="Q1093">
            <v>1.1499999999999999</v>
          </cell>
          <cell r="R1093" t="str">
            <v>INTERIOR</v>
          </cell>
          <cell r="S1093">
            <v>4</v>
          </cell>
          <cell r="T1093">
            <v>6</v>
          </cell>
          <cell r="U1093" t="str">
            <v>Ciudad principal</v>
          </cell>
          <cell r="V1093" t="str">
            <v>WF Mono Systems and Legacy Color</v>
          </cell>
          <cell r="W1093" t="str">
            <v>JALISCO</v>
          </cell>
          <cell r="X1093">
            <v>2019</v>
          </cell>
          <cell r="Y1093" t="str">
            <v>Qtr 2</v>
          </cell>
          <cell r="Z1093" t="str">
            <v>April</v>
          </cell>
          <cell r="AA1093">
            <v>25</v>
          </cell>
          <cell r="AB1093">
            <v>0</v>
          </cell>
          <cell r="AC1093">
            <v>246</v>
          </cell>
          <cell r="AD1093">
            <v>0</v>
          </cell>
          <cell r="AE1093">
            <v>0</v>
          </cell>
          <cell r="AF1093">
            <v>1573</v>
          </cell>
        </row>
        <row r="1094">
          <cell r="B1094" t="str">
            <v>0Y2B003348</v>
          </cell>
          <cell r="C1094">
            <v>2019</v>
          </cell>
          <cell r="D1094" t="str">
            <v>Qtr 2</v>
          </cell>
          <cell r="E1094" t="str">
            <v>April</v>
          </cell>
          <cell r="F1094">
            <v>25</v>
          </cell>
          <cell r="G1094" t="str">
            <v>CORRECTIVO</v>
          </cell>
          <cell r="H1094">
            <v>1.5</v>
          </cell>
          <cell r="I1094" t="str">
            <v>Departmental Digital</v>
          </cell>
          <cell r="J1094">
            <v>655</v>
          </cell>
          <cell r="K1094">
            <v>1365</v>
          </cell>
          <cell r="L1094">
            <v>0</v>
          </cell>
          <cell r="M1094">
            <v>0</v>
          </cell>
          <cell r="N1094">
            <v>0.6</v>
          </cell>
          <cell r="O1094">
            <v>0.8</v>
          </cell>
          <cell r="P1094">
            <v>1.05</v>
          </cell>
          <cell r="Q1094">
            <v>1.1000000000000001</v>
          </cell>
          <cell r="R1094" t="str">
            <v>INTERIOR</v>
          </cell>
          <cell r="S1094">
            <v>5</v>
          </cell>
          <cell r="T1094">
            <v>9</v>
          </cell>
          <cell r="U1094" t="str">
            <v>Ciudad principal</v>
          </cell>
          <cell r="V1094" t="str">
            <v>Departmental Digital</v>
          </cell>
          <cell r="W1094" t="str">
            <v>CHIHUAHUA</v>
          </cell>
          <cell r="X1094">
            <v>2019</v>
          </cell>
          <cell r="Y1094" t="str">
            <v>Qtr 2</v>
          </cell>
          <cell r="Z1094" t="str">
            <v>April</v>
          </cell>
          <cell r="AA1094">
            <v>25</v>
          </cell>
          <cell r="AB1094">
            <v>0</v>
          </cell>
          <cell r="AC1094">
            <v>42</v>
          </cell>
          <cell r="AD1094">
            <v>1.05</v>
          </cell>
          <cell r="AE1094">
            <v>0.3</v>
          </cell>
          <cell r="AF1094">
            <v>1433.25</v>
          </cell>
        </row>
        <row r="1095">
          <cell r="B1095" t="str">
            <v>0XLT861011</v>
          </cell>
          <cell r="C1095">
            <v>2019</v>
          </cell>
          <cell r="D1095" t="str">
            <v>Qtr 2</v>
          </cell>
          <cell r="E1095" t="str">
            <v>April</v>
          </cell>
          <cell r="F1095">
            <v>25</v>
          </cell>
          <cell r="G1095" t="str">
            <v>MANTENIMIENTO PREVENTIVO</v>
          </cell>
          <cell r="H1095">
            <v>0</v>
          </cell>
          <cell r="I1095" t="str">
            <v>Entry Mono Printers</v>
          </cell>
          <cell r="J1095">
            <v>468</v>
          </cell>
          <cell r="K1095">
            <v>715</v>
          </cell>
          <cell r="L1095">
            <v>0</v>
          </cell>
          <cell r="M1095">
            <v>0</v>
          </cell>
          <cell r="N1095">
            <v>0</v>
          </cell>
          <cell r="O1095">
            <v>0.6</v>
          </cell>
          <cell r="P1095">
            <v>0.8</v>
          </cell>
          <cell r="Q1095">
            <v>1.05</v>
          </cell>
          <cell r="R1095" t="str">
            <v>INTERIOR</v>
          </cell>
          <cell r="S1095">
            <v>5</v>
          </cell>
          <cell r="T1095">
            <v>9</v>
          </cell>
          <cell r="U1095" t="str">
            <v>Ciudad principal</v>
          </cell>
          <cell r="V1095" t="str">
            <v>Entry Mono Printers</v>
          </cell>
          <cell r="W1095" t="str">
            <v>CHIHUAHUA</v>
          </cell>
          <cell r="X1095">
            <v>2019</v>
          </cell>
          <cell r="Y1095" t="str">
            <v>Qtr 2</v>
          </cell>
          <cell r="Z1095" t="str">
            <v>April</v>
          </cell>
          <cell r="AA1095">
            <v>25</v>
          </cell>
          <cell r="AB1095">
            <v>0</v>
          </cell>
          <cell r="AC1095">
            <v>356</v>
          </cell>
          <cell r="AD1095">
            <v>0</v>
          </cell>
          <cell r="AE1095">
            <v>0</v>
          </cell>
          <cell r="AF1095">
            <v>715</v>
          </cell>
        </row>
        <row r="1096">
          <cell r="B1096" t="str">
            <v>0BG2956972</v>
          </cell>
          <cell r="C1096">
            <v>2019</v>
          </cell>
          <cell r="D1096" t="str">
            <v>Qtr 2</v>
          </cell>
          <cell r="E1096" t="str">
            <v>April</v>
          </cell>
          <cell r="F1096">
            <v>25</v>
          </cell>
          <cell r="G1096" t="str">
            <v>CORRECTIVO</v>
          </cell>
          <cell r="H1096">
            <v>1.1166670000000001</v>
          </cell>
          <cell r="I1096" t="str">
            <v>Light Production Digital Business</v>
          </cell>
          <cell r="J1096">
            <v>803</v>
          </cell>
          <cell r="K1096">
            <v>1573</v>
          </cell>
          <cell r="L1096">
            <v>0.2</v>
          </cell>
          <cell r="M1096">
            <v>0.6</v>
          </cell>
          <cell r="N1096">
            <v>0.8</v>
          </cell>
          <cell r="O1096">
            <v>1.05</v>
          </cell>
          <cell r="P1096">
            <v>1.1000000000000001</v>
          </cell>
          <cell r="Q1096">
            <v>1.1499999999999999</v>
          </cell>
          <cell r="R1096" t="str">
            <v>INTERIOR</v>
          </cell>
          <cell r="S1096">
            <v>4</v>
          </cell>
          <cell r="T1096">
            <v>6</v>
          </cell>
          <cell r="U1096" t="str">
            <v>Ciudad principal</v>
          </cell>
          <cell r="V1096" t="str">
            <v>High End Cut Sheet</v>
          </cell>
          <cell r="W1096" t="str">
            <v>GUANAJUATO</v>
          </cell>
          <cell r="X1096">
            <v>2019</v>
          </cell>
          <cell r="Y1096" t="str">
            <v>Qtr 2</v>
          </cell>
          <cell r="Z1096" t="str">
            <v>April</v>
          </cell>
          <cell r="AA1096">
            <v>25</v>
          </cell>
          <cell r="AB1096">
            <v>0</v>
          </cell>
          <cell r="AC1096">
            <v>59</v>
          </cell>
          <cell r="AD1096">
            <v>1.1000000000000001</v>
          </cell>
          <cell r="AE1096">
            <v>0.27916675000000002</v>
          </cell>
          <cell r="AF1096">
            <v>1730.3</v>
          </cell>
        </row>
        <row r="1097">
          <cell r="B1097" t="str">
            <v>0VMA558281</v>
          </cell>
          <cell r="C1097">
            <v>2019</v>
          </cell>
          <cell r="D1097" t="str">
            <v>Qtr 2</v>
          </cell>
          <cell r="E1097" t="str">
            <v>April</v>
          </cell>
          <cell r="F1097">
            <v>25</v>
          </cell>
          <cell r="G1097" t="str">
            <v>CORRECTIVO</v>
          </cell>
          <cell r="H1097">
            <v>0.58333330000000005</v>
          </cell>
          <cell r="I1097" t="str">
            <v>A4 Mono MFPs</v>
          </cell>
          <cell r="J1097">
            <v>468</v>
          </cell>
          <cell r="K1097">
            <v>715</v>
          </cell>
          <cell r="L1097">
            <v>0</v>
          </cell>
          <cell r="M1097">
            <v>0</v>
          </cell>
          <cell r="N1097">
            <v>0</v>
          </cell>
          <cell r="O1097">
            <v>0.6</v>
          </cell>
          <cell r="P1097">
            <v>0.8</v>
          </cell>
          <cell r="Q1097">
            <v>1.05</v>
          </cell>
          <cell r="R1097" t="str">
            <v>INTERIOR</v>
          </cell>
          <cell r="S1097">
            <v>5</v>
          </cell>
          <cell r="T1097">
            <v>9</v>
          </cell>
          <cell r="U1097" t="str">
            <v>Otras</v>
          </cell>
          <cell r="V1097" t="str">
            <v>A4 Mono MFPs</v>
          </cell>
          <cell r="W1097" t="str">
            <v>COAHUILA</v>
          </cell>
          <cell r="X1097">
            <v>2019</v>
          </cell>
          <cell r="Y1097" t="str">
            <v>Qtr 2</v>
          </cell>
          <cell r="Z1097" t="str">
            <v>April</v>
          </cell>
          <cell r="AA1097">
            <v>25</v>
          </cell>
          <cell r="AB1097">
            <v>1</v>
          </cell>
          <cell r="AC1097">
            <v>71</v>
          </cell>
          <cell r="AD1097">
            <v>0</v>
          </cell>
          <cell r="AE1097">
            <v>0</v>
          </cell>
          <cell r="AF1097">
            <v>0</v>
          </cell>
        </row>
        <row r="1098">
          <cell r="B1098" t="str">
            <v>0A2T199725</v>
          </cell>
          <cell r="C1098">
            <v>2019</v>
          </cell>
          <cell r="D1098" t="str">
            <v>Qtr 2</v>
          </cell>
          <cell r="E1098" t="str">
            <v>April</v>
          </cell>
          <cell r="F1098">
            <v>25</v>
          </cell>
          <cell r="G1098" t="str">
            <v>CORRECTIVO</v>
          </cell>
          <cell r="H1098">
            <v>1.983333</v>
          </cell>
          <cell r="I1098" t="str">
            <v>A4 Mono MFPs</v>
          </cell>
          <cell r="J1098">
            <v>468</v>
          </cell>
          <cell r="K1098">
            <v>715</v>
          </cell>
          <cell r="L1098">
            <v>0</v>
          </cell>
          <cell r="M1098">
            <v>0</v>
          </cell>
          <cell r="N1098">
            <v>0</v>
          </cell>
          <cell r="O1098">
            <v>0.6</v>
          </cell>
          <cell r="P1098">
            <v>0.8</v>
          </cell>
          <cell r="Q1098">
            <v>1.05</v>
          </cell>
          <cell r="R1098" t="str">
            <v>INTERIOR</v>
          </cell>
          <cell r="S1098">
            <v>5</v>
          </cell>
          <cell r="T1098">
            <v>9</v>
          </cell>
          <cell r="U1098" t="str">
            <v>Ciudad principal</v>
          </cell>
          <cell r="V1098" t="str">
            <v>A4 Mono MFPs</v>
          </cell>
          <cell r="W1098" t="str">
            <v>JALISCO</v>
          </cell>
          <cell r="X1098">
            <v>2019</v>
          </cell>
          <cell r="Y1098" t="str">
            <v>Qtr 2</v>
          </cell>
          <cell r="Z1098" t="str">
            <v>April</v>
          </cell>
          <cell r="AA1098">
            <v>26</v>
          </cell>
          <cell r="AB1098">
            <v>0</v>
          </cell>
          <cell r="AC1098">
            <v>329</v>
          </cell>
          <cell r="AD1098">
            <v>1.05</v>
          </cell>
          <cell r="AE1098">
            <v>0.39666659999999998</v>
          </cell>
          <cell r="AF1098">
            <v>750.75</v>
          </cell>
        </row>
        <row r="1099">
          <cell r="B1099" t="str">
            <v>0X76703031</v>
          </cell>
          <cell r="C1099">
            <v>2019</v>
          </cell>
          <cell r="D1099" t="str">
            <v>Qtr 2</v>
          </cell>
          <cell r="E1099" t="str">
            <v>April</v>
          </cell>
          <cell r="F1099">
            <v>25</v>
          </cell>
          <cell r="G1099" t="str">
            <v>CORRECTIVO</v>
          </cell>
          <cell r="H1099">
            <v>0.75</v>
          </cell>
          <cell r="I1099" t="str">
            <v>Departmental Digital</v>
          </cell>
          <cell r="J1099">
            <v>655</v>
          </cell>
          <cell r="K1099">
            <v>1365</v>
          </cell>
          <cell r="L1099">
            <v>0</v>
          </cell>
          <cell r="M1099">
            <v>0</v>
          </cell>
          <cell r="N1099">
            <v>0.6</v>
          </cell>
          <cell r="O1099">
            <v>0.8</v>
          </cell>
          <cell r="P1099">
            <v>1.05</v>
          </cell>
          <cell r="Q1099">
            <v>1.1000000000000001</v>
          </cell>
          <cell r="R1099" t="str">
            <v>INTERIOR</v>
          </cell>
          <cell r="S1099">
            <v>5</v>
          </cell>
          <cell r="T1099">
            <v>9</v>
          </cell>
          <cell r="U1099" t="str">
            <v>Ciudad principal</v>
          </cell>
          <cell r="V1099" t="str">
            <v>Departmental Digital</v>
          </cell>
          <cell r="W1099" t="str">
            <v>JALISCO</v>
          </cell>
          <cell r="X1099">
            <v>2019</v>
          </cell>
          <cell r="Y1099" t="str">
            <v>Qtr 2</v>
          </cell>
          <cell r="Z1099" t="str">
            <v>April</v>
          </cell>
          <cell r="AA1099">
            <v>25</v>
          </cell>
          <cell r="AB1099">
            <v>0</v>
          </cell>
          <cell r="AC1099">
            <v>0</v>
          </cell>
          <cell r="AD1099">
            <v>1.1000000000000001</v>
          </cell>
          <cell r="AE1099">
            <v>0.15</v>
          </cell>
          <cell r="AF1099">
            <v>1501.5</v>
          </cell>
        </row>
        <row r="1100">
          <cell r="B1100" t="str">
            <v>09HB331482</v>
          </cell>
          <cell r="C1100">
            <v>2019</v>
          </cell>
          <cell r="D1100" t="str">
            <v>Qtr 2</v>
          </cell>
          <cell r="E1100" t="str">
            <v>April</v>
          </cell>
          <cell r="F1100">
            <v>25</v>
          </cell>
          <cell r="G1100" t="str">
            <v>CORRECTIVO</v>
          </cell>
          <cell r="H1100">
            <v>1.9</v>
          </cell>
          <cell r="I1100" t="str">
            <v>A4 Mono MFPs</v>
          </cell>
          <cell r="J1100">
            <v>468</v>
          </cell>
          <cell r="K1100">
            <v>715</v>
          </cell>
          <cell r="L1100">
            <v>0</v>
          </cell>
          <cell r="M1100">
            <v>0</v>
          </cell>
          <cell r="N1100">
            <v>0</v>
          </cell>
          <cell r="O1100">
            <v>0.6</v>
          </cell>
          <cell r="P1100">
            <v>0.8</v>
          </cell>
          <cell r="Q1100">
            <v>1.05</v>
          </cell>
          <cell r="R1100" t="str">
            <v>INTERIOR</v>
          </cell>
          <cell r="S1100">
            <v>5</v>
          </cell>
          <cell r="T1100">
            <v>9</v>
          </cell>
          <cell r="U1100" t="str">
            <v>Otras</v>
          </cell>
          <cell r="V1100" t="str">
            <v>A4 Mono MFPs</v>
          </cell>
          <cell r="W1100" t="str">
            <v>JALISCO</v>
          </cell>
          <cell r="X1100">
            <v>2019</v>
          </cell>
          <cell r="Y1100" t="str">
            <v>Qtr 2</v>
          </cell>
          <cell r="Z1100" t="str">
            <v>April</v>
          </cell>
          <cell r="AA1100">
            <v>25</v>
          </cell>
          <cell r="AB1100">
            <v>1</v>
          </cell>
          <cell r="AC1100">
            <v>52</v>
          </cell>
          <cell r="AD1100">
            <v>0</v>
          </cell>
          <cell r="AE1100">
            <v>0</v>
          </cell>
          <cell r="AF1100">
            <v>0</v>
          </cell>
        </row>
        <row r="1101">
          <cell r="B1101" t="str">
            <v>0Y4X849031</v>
          </cell>
          <cell r="C1101">
            <v>2019</v>
          </cell>
          <cell r="D1101" t="str">
            <v>Qtr 2</v>
          </cell>
          <cell r="E1101" t="str">
            <v>April</v>
          </cell>
          <cell r="F1101">
            <v>25</v>
          </cell>
          <cell r="G1101" t="str">
            <v>MANTENIMIENTO PREVENTIVO</v>
          </cell>
          <cell r="H1101">
            <v>0</v>
          </cell>
          <cell r="I1101" t="str">
            <v>Office Digital</v>
          </cell>
          <cell r="J1101">
            <v>655</v>
          </cell>
          <cell r="K1101">
            <v>1365</v>
          </cell>
          <cell r="L1101">
            <v>0</v>
          </cell>
          <cell r="M1101">
            <v>0</v>
          </cell>
          <cell r="N1101">
            <v>0.6</v>
          </cell>
          <cell r="O1101">
            <v>0.8</v>
          </cell>
          <cell r="P1101">
            <v>1.05</v>
          </cell>
          <cell r="Q1101">
            <v>1.1000000000000001</v>
          </cell>
          <cell r="R1101" t="str">
            <v>INTERIOR</v>
          </cell>
          <cell r="S1101">
            <v>5</v>
          </cell>
          <cell r="T1101">
            <v>9</v>
          </cell>
          <cell r="U1101" t="str">
            <v>Ciudad principal</v>
          </cell>
          <cell r="V1101" t="str">
            <v>A4 Mono MFPs</v>
          </cell>
          <cell r="W1101" t="str">
            <v>JALISCO</v>
          </cell>
          <cell r="X1101">
            <v>2019</v>
          </cell>
          <cell r="Y1101" t="str">
            <v>Qtr 2</v>
          </cell>
          <cell r="Z1101" t="str">
            <v>April</v>
          </cell>
          <cell r="AA1101">
            <v>25</v>
          </cell>
          <cell r="AB1101">
            <v>1</v>
          </cell>
          <cell r="AC1101">
            <v>2</v>
          </cell>
          <cell r="AD1101">
            <v>0</v>
          </cell>
          <cell r="AE1101">
            <v>0</v>
          </cell>
          <cell r="AF1101">
            <v>0</v>
          </cell>
        </row>
        <row r="1102">
          <cell r="B1102" t="str">
            <v>0D6X452141</v>
          </cell>
          <cell r="C1102">
            <v>2019</v>
          </cell>
          <cell r="D1102" t="str">
            <v>Qtr 2</v>
          </cell>
          <cell r="E1102" t="str">
            <v>April</v>
          </cell>
          <cell r="F1102">
            <v>25</v>
          </cell>
          <cell r="G1102" t="str">
            <v>CORRECTIVO</v>
          </cell>
          <cell r="H1102">
            <v>0.83333330000000005</v>
          </cell>
          <cell r="I1102" t="str">
            <v>Entry Mono Printers</v>
          </cell>
          <cell r="J1102">
            <v>468</v>
          </cell>
          <cell r="K1102">
            <v>715</v>
          </cell>
          <cell r="L1102">
            <v>0</v>
          </cell>
          <cell r="M1102">
            <v>0</v>
          </cell>
          <cell r="N1102">
            <v>0</v>
          </cell>
          <cell r="O1102">
            <v>0.6</v>
          </cell>
          <cell r="P1102">
            <v>0.8</v>
          </cell>
          <cell r="Q1102">
            <v>1.05</v>
          </cell>
          <cell r="R1102" t="str">
            <v>INTERIOR</v>
          </cell>
          <cell r="S1102">
            <v>5</v>
          </cell>
          <cell r="T1102">
            <v>9</v>
          </cell>
          <cell r="U1102" t="str">
            <v>Ciudad principal</v>
          </cell>
          <cell r="V1102" t="str">
            <v>Entry Mono Printers</v>
          </cell>
          <cell r="W1102" t="str">
            <v>CHIHUAHUA</v>
          </cell>
          <cell r="X1102">
            <v>2019</v>
          </cell>
          <cell r="Y1102" t="str">
            <v>Qtr 2</v>
          </cell>
          <cell r="Z1102" t="str">
            <v>April</v>
          </cell>
          <cell r="AA1102">
            <v>26</v>
          </cell>
          <cell r="AB1102">
            <v>0</v>
          </cell>
          <cell r="AC1102">
            <v>1</v>
          </cell>
          <cell r="AD1102">
            <v>0</v>
          </cell>
          <cell r="AE1102">
            <v>0.16666665999999999</v>
          </cell>
          <cell r="AF1102">
            <v>0</v>
          </cell>
        </row>
        <row r="1103">
          <cell r="B1103" t="str">
            <v>0Y4X846817</v>
          </cell>
          <cell r="C1103">
            <v>2019</v>
          </cell>
          <cell r="D1103" t="str">
            <v>Qtr 2</v>
          </cell>
          <cell r="E1103" t="str">
            <v>April</v>
          </cell>
          <cell r="F1103">
            <v>25</v>
          </cell>
          <cell r="G1103" t="str">
            <v>MANTENIMIENTO PREVENTIVO</v>
          </cell>
          <cell r="H1103">
            <v>0</v>
          </cell>
          <cell r="I1103" t="str">
            <v>Office Digital</v>
          </cell>
          <cell r="J1103">
            <v>655</v>
          </cell>
          <cell r="K1103">
            <v>1365</v>
          </cell>
          <cell r="L1103">
            <v>0</v>
          </cell>
          <cell r="M1103">
            <v>0</v>
          </cell>
          <cell r="N1103">
            <v>0.6</v>
          </cell>
          <cell r="O1103">
            <v>0.8</v>
          </cell>
          <cell r="P1103">
            <v>1.05</v>
          </cell>
          <cell r="Q1103">
            <v>1.1000000000000001</v>
          </cell>
          <cell r="R1103" t="str">
            <v>INTERIOR</v>
          </cell>
          <cell r="S1103">
            <v>5</v>
          </cell>
          <cell r="T1103">
            <v>9</v>
          </cell>
          <cell r="U1103" t="str">
            <v>Ciudad principal</v>
          </cell>
          <cell r="V1103" t="str">
            <v>Light Production Digital Business</v>
          </cell>
          <cell r="W1103" t="str">
            <v>JALISCO</v>
          </cell>
          <cell r="X1103">
            <v>2019</v>
          </cell>
          <cell r="Y1103" t="str">
            <v>Qtr 2</v>
          </cell>
          <cell r="Z1103" t="str">
            <v>April</v>
          </cell>
          <cell r="AA1103">
            <v>25</v>
          </cell>
          <cell r="AB1103">
            <v>1</v>
          </cell>
          <cell r="AC1103">
            <v>1</v>
          </cell>
          <cell r="AD1103">
            <v>0</v>
          </cell>
          <cell r="AE1103">
            <v>0</v>
          </cell>
          <cell r="AF1103">
            <v>0</v>
          </cell>
        </row>
        <row r="1104">
          <cell r="B1104" t="str">
            <v>09HB330686</v>
          </cell>
          <cell r="C1104">
            <v>2019</v>
          </cell>
          <cell r="D1104" t="str">
            <v>Qtr 2</v>
          </cell>
          <cell r="E1104" t="str">
            <v>April</v>
          </cell>
          <cell r="F1104">
            <v>25</v>
          </cell>
          <cell r="G1104" t="str">
            <v>CORRECTIVO</v>
          </cell>
          <cell r="H1104">
            <v>0</v>
          </cell>
          <cell r="I1104" t="str">
            <v>A4 Mono MFPs</v>
          </cell>
          <cell r="J1104">
            <v>468</v>
          </cell>
          <cell r="K1104">
            <v>715</v>
          </cell>
          <cell r="L1104">
            <v>0</v>
          </cell>
          <cell r="M1104">
            <v>0</v>
          </cell>
          <cell r="N1104">
            <v>0</v>
          </cell>
          <cell r="O1104">
            <v>0.6</v>
          </cell>
          <cell r="P1104">
            <v>0.8</v>
          </cell>
          <cell r="Q1104">
            <v>1.05</v>
          </cell>
          <cell r="R1104" t="str">
            <v>INTERIOR</v>
          </cell>
          <cell r="S1104">
            <v>5</v>
          </cell>
          <cell r="T1104">
            <v>9</v>
          </cell>
          <cell r="U1104" t="str">
            <v>Ciudad principal</v>
          </cell>
          <cell r="V1104" t="str">
            <v>A4 Mono MFPs</v>
          </cell>
          <cell r="W1104" t="str">
            <v>CHIHUAHUA</v>
          </cell>
          <cell r="X1104">
            <v>2019</v>
          </cell>
          <cell r="Y1104" t="str">
            <v>Qtr 2</v>
          </cell>
          <cell r="Z1104" t="str">
            <v>April</v>
          </cell>
          <cell r="AA1104">
            <v>26</v>
          </cell>
          <cell r="AB1104">
            <v>0</v>
          </cell>
          <cell r="AC1104">
            <v>0</v>
          </cell>
          <cell r="AD1104">
            <v>1.05</v>
          </cell>
          <cell r="AE1104">
            <v>0</v>
          </cell>
          <cell r="AF1104">
            <v>750.75</v>
          </cell>
        </row>
        <row r="1105">
          <cell r="B1105" t="str">
            <v>0BG2946876</v>
          </cell>
          <cell r="C1105">
            <v>2019</v>
          </cell>
          <cell r="D1105" t="str">
            <v>Qtr 2</v>
          </cell>
          <cell r="E1105" t="str">
            <v>April</v>
          </cell>
          <cell r="F1105">
            <v>25</v>
          </cell>
          <cell r="G1105" t="str">
            <v>CORRECTIVO</v>
          </cell>
          <cell r="H1105">
            <v>0.61666670000000001</v>
          </cell>
          <cell r="I1105" t="str">
            <v>Light Production Digital Business</v>
          </cell>
          <cell r="J1105">
            <v>803</v>
          </cell>
          <cell r="K1105">
            <v>1573</v>
          </cell>
          <cell r="L1105">
            <v>0.2</v>
          </cell>
          <cell r="M1105">
            <v>0.6</v>
          </cell>
          <cell r="N1105">
            <v>0.8</v>
          </cell>
          <cell r="O1105">
            <v>1.05</v>
          </cell>
          <cell r="P1105">
            <v>1.1000000000000001</v>
          </cell>
          <cell r="Q1105">
            <v>1.1499999999999999</v>
          </cell>
          <cell r="R1105" t="str">
            <v>INTERIOR</v>
          </cell>
          <cell r="S1105">
            <v>4</v>
          </cell>
          <cell r="T1105">
            <v>6</v>
          </cell>
          <cell r="U1105" t="str">
            <v>Ciudad principal</v>
          </cell>
          <cell r="V1105" t="str">
            <v>High End Cut Sheet</v>
          </cell>
          <cell r="W1105" t="str">
            <v>GUANAJUATO</v>
          </cell>
          <cell r="X1105">
            <v>2019</v>
          </cell>
          <cell r="Y1105" t="str">
            <v>Qtr 2</v>
          </cell>
          <cell r="Z1105" t="str">
            <v>April</v>
          </cell>
          <cell r="AA1105">
            <v>29</v>
          </cell>
          <cell r="AB1105">
            <v>0</v>
          </cell>
          <cell r="AC1105">
            <v>1</v>
          </cell>
          <cell r="AD1105">
            <v>0.2</v>
          </cell>
          <cell r="AE1105">
            <v>0.154166675</v>
          </cell>
          <cell r="AF1105">
            <v>314.60000000000002</v>
          </cell>
        </row>
        <row r="1106">
          <cell r="B1106" t="str">
            <v>0X76372785</v>
          </cell>
          <cell r="C1106">
            <v>2019</v>
          </cell>
          <cell r="D1106" t="str">
            <v>Qtr 2</v>
          </cell>
          <cell r="E1106" t="str">
            <v>April</v>
          </cell>
          <cell r="F1106">
            <v>25</v>
          </cell>
          <cell r="G1106" t="str">
            <v>CORRECTIVO</v>
          </cell>
          <cell r="H1106">
            <v>2.0333329999999998</v>
          </cell>
          <cell r="I1106" t="str">
            <v>Office Digital</v>
          </cell>
          <cell r="J1106">
            <v>655</v>
          </cell>
          <cell r="K1106">
            <v>1365</v>
          </cell>
          <cell r="L1106">
            <v>0</v>
          </cell>
          <cell r="M1106">
            <v>0</v>
          </cell>
          <cell r="N1106">
            <v>0.6</v>
          </cell>
          <cell r="O1106">
            <v>0.8</v>
          </cell>
          <cell r="P1106">
            <v>1.05</v>
          </cell>
          <cell r="Q1106">
            <v>1.1000000000000001</v>
          </cell>
          <cell r="R1106" t="str">
            <v>INTERIOR</v>
          </cell>
          <cell r="S1106">
            <v>5</v>
          </cell>
          <cell r="T1106">
            <v>9</v>
          </cell>
          <cell r="U1106" t="str">
            <v>Ciudad principal</v>
          </cell>
          <cell r="V1106" t="str">
            <v>Departmental Digital</v>
          </cell>
          <cell r="W1106" t="str">
            <v>TAMAULIPAS</v>
          </cell>
          <cell r="X1106">
            <v>2019</v>
          </cell>
          <cell r="Y1106" t="str">
            <v>Qtr 2</v>
          </cell>
          <cell r="Z1106" t="str">
            <v>April</v>
          </cell>
          <cell r="AA1106">
            <v>25</v>
          </cell>
          <cell r="AB1106">
            <v>0</v>
          </cell>
          <cell r="AC1106">
            <v>37</v>
          </cell>
          <cell r="AD1106">
            <v>1.05</v>
          </cell>
          <cell r="AE1106">
            <v>0.40666659999999999</v>
          </cell>
          <cell r="AF1106">
            <v>1433.25</v>
          </cell>
        </row>
        <row r="1107">
          <cell r="B1107" t="str">
            <v>0XPN399178</v>
          </cell>
          <cell r="C1107">
            <v>2019</v>
          </cell>
          <cell r="D1107" t="str">
            <v>Qtr 2</v>
          </cell>
          <cell r="E1107" t="str">
            <v>April</v>
          </cell>
          <cell r="F1107">
            <v>25</v>
          </cell>
          <cell r="G1107" t="str">
            <v>CORRECTIVO</v>
          </cell>
          <cell r="H1107">
            <v>0.93333330000000003</v>
          </cell>
          <cell r="I1107" t="str">
            <v>Entry Production Color Low/Mid</v>
          </cell>
          <cell r="J1107">
            <v>803</v>
          </cell>
          <cell r="K1107">
            <v>1573</v>
          </cell>
          <cell r="L1107">
            <v>0.2</v>
          </cell>
          <cell r="M1107">
            <v>0.6</v>
          </cell>
          <cell r="N1107">
            <v>0.8</v>
          </cell>
          <cell r="O1107">
            <v>1.05</v>
          </cell>
          <cell r="P1107">
            <v>1.1000000000000001</v>
          </cell>
          <cell r="Q1107">
            <v>1.1499999999999999</v>
          </cell>
          <cell r="R1107" t="str">
            <v>INTERIOR</v>
          </cell>
          <cell r="S1107">
            <v>4</v>
          </cell>
          <cell r="T1107">
            <v>6</v>
          </cell>
          <cell r="U1107" t="str">
            <v>Ciudad principal</v>
          </cell>
          <cell r="V1107" t="str">
            <v>Entry Production Color Low/Mid</v>
          </cell>
          <cell r="W1107" t="str">
            <v>GUANAJUATO</v>
          </cell>
          <cell r="X1107">
            <v>2019</v>
          </cell>
          <cell r="Y1107" t="str">
            <v>Qtr 2</v>
          </cell>
          <cell r="Z1107" t="str">
            <v>April</v>
          </cell>
          <cell r="AA1107">
            <v>25</v>
          </cell>
          <cell r="AB1107">
            <v>0</v>
          </cell>
          <cell r="AC1107">
            <v>59</v>
          </cell>
          <cell r="AD1107">
            <v>1.1000000000000001</v>
          </cell>
          <cell r="AE1107">
            <v>0.23333332500000001</v>
          </cell>
          <cell r="AF1107">
            <v>1730.3</v>
          </cell>
        </row>
        <row r="1108">
          <cell r="B1108" t="str">
            <v>0D6X469471</v>
          </cell>
          <cell r="C1108">
            <v>2019</v>
          </cell>
          <cell r="D1108" t="str">
            <v>Qtr 2</v>
          </cell>
          <cell r="E1108" t="str">
            <v>April</v>
          </cell>
          <cell r="F1108">
            <v>25</v>
          </cell>
          <cell r="G1108" t="str">
            <v>CORRECTIVO</v>
          </cell>
          <cell r="H1108">
            <v>0</v>
          </cell>
          <cell r="I1108" t="str">
            <v>Entry Mono Printers</v>
          </cell>
          <cell r="J1108">
            <v>468</v>
          </cell>
          <cell r="K1108">
            <v>715</v>
          </cell>
          <cell r="L1108">
            <v>0</v>
          </cell>
          <cell r="M1108">
            <v>0</v>
          </cell>
          <cell r="N1108">
            <v>0</v>
          </cell>
          <cell r="O1108">
            <v>0.6</v>
          </cell>
          <cell r="P1108">
            <v>0.8</v>
          </cell>
          <cell r="Q1108">
            <v>1.05</v>
          </cell>
          <cell r="R1108" t="str">
            <v>INTERIOR</v>
          </cell>
          <cell r="S1108">
            <v>5</v>
          </cell>
          <cell r="T1108">
            <v>9</v>
          </cell>
          <cell r="U1108" t="str">
            <v>Ciudad principal</v>
          </cell>
          <cell r="V1108" t="str">
            <v>Entry Mono Printers</v>
          </cell>
          <cell r="W1108" t="str">
            <v>CHIHUAHUA</v>
          </cell>
          <cell r="X1108">
            <v>2019</v>
          </cell>
          <cell r="Y1108" t="str">
            <v>Qtr 2</v>
          </cell>
          <cell r="Z1108" t="str">
            <v>April</v>
          </cell>
          <cell r="AA1108">
            <v>25</v>
          </cell>
          <cell r="AB1108">
            <v>0</v>
          </cell>
          <cell r="AC1108">
            <v>336</v>
          </cell>
          <cell r="AD1108">
            <v>1.05</v>
          </cell>
          <cell r="AE1108">
            <v>0</v>
          </cell>
          <cell r="AF1108">
            <v>750.75</v>
          </cell>
        </row>
        <row r="1109">
          <cell r="B1109" t="str">
            <v>06TB445692</v>
          </cell>
          <cell r="C1109">
            <v>2019</v>
          </cell>
          <cell r="D1109" t="str">
            <v>Qtr 2</v>
          </cell>
          <cell r="E1109" t="str">
            <v>April</v>
          </cell>
          <cell r="F1109">
            <v>25</v>
          </cell>
          <cell r="G1109" t="str">
            <v>MANTENIMIENTO PREVENTIVO</v>
          </cell>
          <cell r="H1109">
            <v>0</v>
          </cell>
          <cell r="I1109" t="str">
            <v>A3 Office Color Laser MFPs</v>
          </cell>
          <cell r="J1109">
            <v>655</v>
          </cell>
          <cell r="K1109">
            <v>1365</v>
          </cell>
          <cell r="L1109">
            <v>0</v>
          </cell>
          <cell r="M1109">
            <v>0</v>
          </cell>
          <cell r="N1109">
            <v>0.6</v>
          </cell>
          <cell r="O1109">
            <v>0.8</v>
          </cell>
          <cell r="P1109">
            <v>1.05</v>
          </cell>
          <cell r="Q1109">
            <v>1.1000000000000001</v>
          </cell>
          <cell r="R1109" t="str">
            <v>INTERIOR</v>
          </cell>
          <cell r="S1109">
            <v>5</v>
          </cell>
          <cell r="T1109">
            <v>9</v>
          </cell>
          <cell r="U1109" t="str">
            <v>Ciudad principal</v>
          </cell>
          <cell r="V1109" t="str">
            <v>A3 Office Color Laser MFPs</v>
          </cell>
          <cell r="W1109" t="str">
            <v>JALISCO</v>
          </cell>
          <cell r="X1109">
            <v>2019</v>
          </cell>
          <cell r="Y1109" t="str">
            <v>Qtr 2</v>
          </cell>
          <cell r="Z1109" t="str">
            <v>April</v>
          </cell>
          <cell r="AA1109">
            <v>25</v>
          </cell>
          <cell r="AB1109">
            <v>1</v>
          </cell>
          <cell r="AC1109">
            <v>14</v>
          </cell>
          <cell r="AD1109">
            <v>0</v>
          </cell>
          <cell r="AE1109">
            <v>0</v>
          </cell>
          <cell r="AF1109">
            <v>0</v>
          </cell>
        </row>
        <row r="1110">
          <cell r="B1110" t="str">
            <v>02TX060580</v>
          </cell>
          <cell r="C1110">
            <v>2019</v>
          </cell>
          <cell r="D1110" t="str">
            <v>Qtr 2</v>
          </cell>
          <cell r="E1110" t="str">
            <v>April</v>
          </cell>
          <cell r="F1110">
            <v>25</v>
          </cell>
          <cell r="G1110" t="str">
            <v>CONFIGURACION</v>
          </cell>
          <cell r="H1110">
            <v>0</v>
          </cell>
          <cell r="I1110" t="str">
            <v>A3 Office Color Laser MFPs</v>
          </cell>
          <cell r="J1110">
            <v>655</v>
          </cell>
          <cell r="K1110">
            <v>1365</v>
          </cell>
          <cell r="L1110">
            <v>0</v>
          </cell>
          <cell r="M1110">
            <v>0</v>
          </cell>
          <cell r="N1110">
            <v>0.6</v>
          </cell>
          <cell r="O1110">
            <v>0.8</v>
          </cell>
          <cell r="P1110">
            <v>1.05</v>
          </cell>
          <cell r="Q1110">
            <v>1.1000000000000001</v>
          </cell>
          <cell r="R1110" t="str">
            <v>INTERIOR</v>
          </cell>
          <cell r="S1110">
            <v>5</v>
          </cell>
          <cell r="T1110">
            <v>9</v>
          </cell>
          <cell r="U1110" t="str">
            <v>Ciudad principal</v>
          </cell>
          <cell r="V1110" t="str">
            <v>A3 Office Color Laser MFPs</v>
          </cell>
          <cell r="W1110" t="str">
            <v>JALISCO</v>
          </cell>
          <cell r="X1110">
            <v>2019</v>
          </cell>
          <cell r="Y1110" t="str">
            <v>Qtr 2</v>
          </cell>
          <cell r="Z1110" t="str">
            <v>April</v>
          </cell>
          <cell r="AA1110">
            <v>25</v>
          </cell>
          <cell r="AB1110">
            <v>0</v>
          </cell>
          <cell r="AC1110">
            <v>0</v>
          </cell>
          <cell r="AD1110">
            <v>1.1000000000000001</v>
          </cell>
          <cell r="AE1110">
            <v>0</v>
          </cell>
          <cell r="AF1110">
            <v>1501.5</v>
          </cell>
        </row>
        <row r="1111">
          <cell r="B1111" t="str">
            <v>0T4B003700</v>
          </cell>
          <cell r="C1111">
            <v>2019</v>
          </cell>
          <cell r="D1111" t="str">
            <v>Qtr 2</v>
          </cell>
          <cell r="E1111" t="str">
            <v>April</v>
          </cell>
          <cell r="F1111">
            <v>25</v>
          </cell>
          <cell r="G1111" t="str">
            <v>CORRECTIVO</v>
          </cell>
          <cell r="H1111">
            <v>1.0833330000000001</v>
          </cell>
          <cell r="J1111" t="str">
            <v>NA</v>
          </cell>
          <cell r="K1111" t="str">
            <v>NA</v>
          </cell>
          <cell r="L1111" t="str">
            <v>NA</v>
          </cell>
          <cell r="M1111" t="str">
            <v>NA</v>
          </cell>
          <cell r="N1111" t="str">
            <v>NA</v>
          </cell>
          <cell r="O1111" t="str">
            <v>NA</v>
          </cell>
          <cell r="P1111" t="str">
            <v>NA</v>
          </cell>
          <cell r="Q1111" t="str">
            <v>NA</v>
          </cell>
          <cell r="S1111" t="str">
            <v>NA</v>
          </cell>
          <cell r="T1111" t="str">
            <v>NA</v>
          </cell>
          <cell r="V1111" t="str">
            <v>Color Solid Ink Printers</v>
          </cell>
          <cell r="W1111" t="str">
            <v>JALISCO</v>
          </cell>
          <cell r="X1111">
            <v>2019</v>
          </cell>
          <cell r="Y1111" t="str">
            <v>Qtr 2</v>
          </cell>
          <cell r="Z1111" t="str">
            <v>April</v>
          </cell>
          <cell r="AA1111">
            <v>30</v>
          </cell>
          <cell r="AB1111" t="str">
            <v>NA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</row>
        <row r="1112">
          <cell r="B1112" t="str">
            <v>0X76706451</v>
          </cell>
          <cell r="C1112">
            <v>2019</v>
          </cell>
          <cell r="D1112" t="str">
            <v>Qtr 2</v>
          </cell>
          <cell r="E1112" t="str">
            <v>April</v>
          </cell>
          <cell r="F1112">
            <v>25</v>
          </cell>
          <cell r="G1112" t="str">
            <v>CORRECTIVO</v>
          </cell>
          <cell r="H1112">
            <v>0.56666669999999997</v>
          </cell>
          <cell r="J1112" t="str">
            <v>NA</v>
          </cell>
          <cell r="K1112" t="str">
            <v>NA</v>
          </cell>
          <cell r="L1112" t="str">
            <v>NA</v>
          </cell>
          <cell r="M1112" t="str">
            <v>NA</v>
          </cell>
          <cell r="N1112" t="str">
            <v>NA</v>
          </cell>
          <cell r="O1112" t="str">
            <v>NA</v>
          </cell>
          <cell r="P1112" t="str">
            <v>NA</v>
          </cell>
          <cell r="Q1112" t="str">
            <v>NA</v>
          </cell>
          <cell r="S1112" t="str">
            <v>NA</v>
          </cell>
          <cell r="T1112" t="str">
            <v>NA</v>
          </cell>
          <cell r="V1112" t="str">
            <v>Departmental Digital</v>
          </cell>
          <cell r="W1112" t="str">
            <v>CHIHUAHUA</v>
          </cell>
          <cell r="X1112">
            <v>2019</v>
          </cell>
          <cell r="Y1112" t="str">
            <v>Qtr 2</v>
          </cell>
          <cell r="Z1112" t="str">
            <v>April</v>
          </cell>
          <cell r="AA1112">
            <v>25</v>
          </cell>
          <cell r="AB1112" t="str">
            <v>NA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</row>
        <row r="1113">
          <cell r="B1113" t="str">
            <v>0MHB903219</v>
          </cell>
          <cell r="C1113">
            <v>2019</v>
          </cell>
          <cell r="D1113" t="str">
            <v>Qtr 2</v>
          </cell>
          <cell r="E1113" t="str">
            <v>April</v>
          </cell>
          <cell r="F1113">
            <v>25</v>
          </cell>
          <cell r="G1113" t="str">
            <v>CORRECTIVO</v>
          </cell>
          <cell r="H1113">
            <v>1.7166669999999999</v>
          </cell>
          <cell r="I1113" t="str">
            <v>Entry Mono Printers</v>
          </cell>
          <cell r="J1113">
            <v>468</v>
          </cell>
          <cell r="K1113">
            <v>715</v>
          </cell>
          <cell r="L1113">
            <v>0</v>
          </cell>
          <cell r="M1113">
            <v>0</v>
          </cell>
          <cell r="N1113">
            <v>0</v>
          </cell>
          <cell r="O1113">
            <v>0.6</v>
          </cell>
          <cell r="P1113">
            <v>0.8</v>
          </cell>
          <cell r="Q1113">
            <v>1.05</v>
          </cell>
          <cell r="R1113" t="str">
            <v>INTERIOR</v>
          </cell>
          <cell r="S1113">
            <v>5</v>
          </cell>
          <cell r="T1113">
            <v>9</v>
          </cell>
          <cell r="U1113" t="str">
            <v>Ciudad principal</v>
          </cell>
          <cell r="V1113" t="str">
            <v>A4 Mono MFPs</v>
          </cell>
          <cell r="W1113" t="str">
            <v>QUERETARO</v>
          </cell>
          <cell r="X1113">
            <v>2019</v>
          </cell>
          <cell r="Y1113" t="str">
            <v>Qtr 2</v>
          </cell>
          <cell r="Z1113" t="str">
            <v>April</v>
          </cell>
          <cell r="AA1113">
            <v>26</v>
          </cell>
          <cell r="AB1113">
            <v>0</v>
          </cell>
          <cell r="AC1113">
            <v>105</v>
          </cell>
          <cell r="AD1113">
            <v>1.05</v>
          </cell>
          <cell r="AE1113">
            <v>0.34333340000000001</v>
          </cell>
          <cell r="AF1113">
            <v>750.75</v>
          </cell>
        </row>
        <row r="1114">
          <cell r="B1114" t="str">
            <v>03BT802359</v>
          </cell>
          <cell r="C1114">
            <v>2019</v>
          </cell>
          <cell r="D1114" t="str">
            <v>Qtr 2</v>
          </cell>
          <cell r="E1114" t="str">
            <v>April</v>
          </cell>
          <cell r="F1114">
            <v>25</v>
          </cell>
          <cell r="G1114" t="str">
            <v>MANTENIMIENTO PREVENTIVO</v>
          </cell>
          <cell r="H1114">
            <v>0</v>
          </cell>
          <cell r="I1114" t="str">
            <v>A4 Mono MFPs</v>
          </cell>
          <cell r="J1114">
            <v>468</v>
          </cell>
          <cell r="K1114">
            <v>715</v>
          </cell>
          <cell r="L1114">
            <v>0</v>
          </cell>
          <cell r="M1114">
            <v>0</v>
          </cell>
          <cell r="N1114">
            <v>0</v>
          </cell>
          <cell r="O1114">
            <v>0.6</v>
          </cell>
          <cell r="P1114">
            <v>0.8</v>
          </cell>
          <cell r="Q1114">
            <v>1.05</v>
          </cell>
          <cell r="R1114" t="str">
            <v>INTERIOR</v>
          </cell>
          <cell r="S1114">
            <v>5</v>
          </cell>
          <cell r="T1114">
            <v>9</v>
          </cell>
          <cell r="U1114" t="str">
            <v>Ciudad principal</v>
          </cell>
          <cell r="V1114" t="str">
            <v>A4 Mono MFPs</v>
          </cell>
          <cell r="W1114" t="str">
            <v>JALISCO</v>
          </cell>
          <cell r="X1114">
            <v>2019</v>
          </cell>
          <cell r="Y1114" t="str">
            <v>Qtr 2</v>
          </cell>
          <cell r="Z1114" t="str">
            <v>April</v>
          </cell>
          <cell r="AA1114">
            <v>25</v>
          </cell>
          <cell r="AB1114">
            <v>0</v>
          </cell>
          <cell r="AC1114">
            <v>28</v>
          </cell>
          <cell r="AD1114">
            <v>0</v>
          </cell>
          <cell r="AE1114">
            <v>0</v>
          </cell>
          <cell r="AF1114">
            <v>715</v>
          </cell>
        </row>
        <row r="1115">
          <cell r="B1115" t="str">
            <v>0MX4777366</v>
          </cell>
          <cell r="C1115">
            <v>2019</v>
          </cell>
          <cell r="D1115" t="str">
            <v>Qtr 2</v>
          </cell>
          <cell r="E1115" t="str">
            <v>April</v>
          </cell>
          <cell r="F1115">
            <v>25</v>
          </cell>
          <cell r="G1115" t="str">
            <v>CORRECTIVO</v>
          </cell>
          <cell r="H1115">
            <v>0.75</v>
          </cell>
          <cell r="I1115" t="str">
            <v>A3 Office Color Laser MFPs</v>
          </cell>
          <cell r="J1115">
            <v>655</v>
          </cell>
          <cell r="K1115">
            <v>1365</v>
          </cell>
          <cell r="L1115">
            <v>0</v>
          </cell>
          <cell r="M1115">
            <v>0</v>
          </cell>
          <cell r="N1115">
            <v>0.6</v>
          </cell>
          <cell r="O1115">
            <v>0.8</v>
          </cell>
          <cell r="P1115">
            <v>1.05</v>
          </cell>
          <cell r="Q1115">
            <v>1.1000000000000001</v>
          </cell>
          <cell r="R1115" t="str">
            <v>INTERIOR</v>
          </cell>
          <cell r="S1115">
            <v>5</v>
          </cell>
          <cell r="T1115">
            <v>9</v>
          </cell>
          <cell r="U1115" t="str">
            <v>Ciudad principal</v>
          </cell>
          <cell r="V1115" t="str">
            <v>A3 Office Color Laser MFPs</v>
          </cell>
          <cell r="W1115" t="str">
            <v>CHIHUAHUA</v>
          </cell>
          <cell r="X1115">
            <v>2019</v>
          </cell>
          <cell r="Y1115" t="str">
            <v>Qtr 2</v>
          </cell>
          <cell r="Z1115" t="str">
            <v>April</v>
          </cell>
          <cell r="AA1115">
            <v>25</v>
          </cell>
          <cell r="AB1115">
            <v>0</v>
          </cell>
          <cell r="AC1115">
            <v>181</v>
          </cell>
          <cell r="AD1115">
            <v>1.1000000000000001</v>
          </cell>
          <cell r="AE1115">
            <v>0.15</v>
          </cell>
          <cell r="AF1115">
            <v>1501.5</v>
          </cell>
        </row>
        <row r="1116">
          <cell r="B1116" t="str">
            <v>0BG0974969</v>
          </cell>
          <cell r="C1116">
            <v>2019</v>
          </cell>
          <cell r="D1116" t="str">
            <v>Qtr 2</v>
          </cell>
          <cell r="E1116" t="str">
            <v>April</v>
          </cell>
          <cell r="F1116">
            <v>25</v>
          </cell>
          <cell r="G1116" t="str">
            <v>MANTENIMIENTO PREVENTIVO</v>
          </cell>
          <cell r="H1116">
            <v>0</v>
          </cell>
          <cell r="I1116" t="str">
            <v>Light Production Digital Business</v>
          </cell>
          <cell r="J1116">
            <v>803</v>
          </cell>
          <cell r="K1116">
            <v>1573</v>
          </cell>
          <cell r="L1116">
            <v>0.2</v>
          </cell>
          <cell r="M1116">
            <v>0.6</v>
          </cell>
          <cell r="N1116">
            <v>0.8</v>
          </cell>
          <cell r="O1116">
            <v>1.05</v>
          </cell>
          <cell r="P1116">
            <v>1.1000000000000001</v>
          </cell>
          <cell r="Q1116">
            <v>1.1499999999999999</v>
          </cell>
          <cell r="R1116" t="str">
            <v>INTERIOR</v>
          </cell>
          <cell r="S1116">
            <v>4</v>
          </cell>
          <cell r="T1116">
            <v>6</v>
          </cell>
          <cell r="U1116" t="str">
            <v>Ciudad principal</v>
          </cell>
          <cell r="V1116" t="str">
            <v>High End Cut Sheet</v>
          </cell>
          <cell r="W1116" t="str">
            <v>JALISCO</v>
          </cell>
          <cell r="X1116">
            <v>2019</v>
          </cell>
          <cell r="Y1116" t="str">
            <v>Qtr 2</v>
          </cell>
          <cell r="Z1116" t="str">
            <v>April</v>
          </cell>
          <cell r="AA1116">
            <v>25</v>
          </cell>
          <cell r="AB1116">
            <v>1</v>
          </cell>
          <cell r="AC1116">
            <v>3</v>
          </cell>
          <cell r="AD1116">
            <v>0</v>
          </cell>
          <cell r="AE1116">
            <v>0</v>
          </cell>
          <cell r="AF1116">
            <v>0</v>
          </cell>
        </row>
        <row r="1117">
          <cell r="B1117" t="str">
            <v>03AG880377</v>
          </cell>
          <cell r="C1117">
            <v>2019</v>
          </cell>
          <cell r="D1117" t="str">
            <v>Qtr 2</v>
          </cell>
          <cell r="E1117" t="str">
            <v>April</v>
          </cell>
          <cell r="F1117">
            <v>25</v>
          </cell>
          <cell r="G1117" t="str">
            <v>CORRECTIVO</v>
          </cell>
          <cell r="H1117">
            <v>6.6666669999999997E-2</v>
          </cell>
          <cell r="I1117" t="str">
            <v>Departmental Digital</v>
          </cell>
          <cell r="J1117">
            <v>655</v>
          </cell>
          <cell r="K1117">
            <v>1365</v>
          </cell>
          <cell r="L1117">
            <v>0</v>
          </cell>
          <cell r="M1117">
            <v>0</v>
          </cell>
          <cell r="N1117">
            <v>0.6</v>
          </cell>
          <cell r="O1117">
            <v>0.8</v>
          </cell>
          <cell r="P1117">
            <v>1.05</v>
          </cell>
          <cell r="Q1117">
            <v>1.1000000000000001</v>
          </cell>
          <cell r="R1117" t="str">
            <v>INTERIOR</v>
          </cell>
          <cell r="S1117">
            <v>5</v>
          </cell>
          <cell r="T1117">
            <v>9</v>
          </cell>
          <cell r="U1117" t="str">
            <v>Ciudad principal</v>
          </cell>
          <cell r="V1117" t="str">
            <v>Light Production Digital Business</v>
          </cell>
          <cell r="W1117" t="str">
            <v>GUANAJUATO</v>
          </cell>
          <cell r="X1117">
            <v>2019</v>
          </cell>
          <cell r="Y1117" t="str">
            <v>Qtr 2</v>
          </cell>
          <cell r="Z1117" t="str">
            <v>April</v>
          </cell>
          <cell r="AA1117">
            <v>25</v>
          </cell>
          <cell r="AB1117">
            <v>0</v>
          </cell>
          <cell r="AC1117">
            <v>21</v>
          </cell>
          <cell r="AD1117">
            <v>0.8</v>
          </cell>
          <cell r="AE1117">
            <v>1.3333334000000001E-2</v>
          </cell>
          <cell r="AF1117">
            <v>1092</v>
          </cell>
        </row>
        <row r="1118">
          <cell r="B1118" t="str">
            <v>0EX9293159</v>
          </cell>
          <cell r="C1118">
            <v>2019</v>
          </cell>
          <cell r="D1118" t="str">
            <v>Qtr 2</v>
          </cell>
          <cell r="E1118" t="str">
            <v>April</v>
          </cell>
          <cell r="F1118">
            <v>25</v>
          </cell>
          <cell r="G1118" t="str">
            <v>CORRECTIVO</v>
          </cell>
          <cell r="H1118">
            <v>0.46666669999999999</v>
          </cell>
          <cell r="I1118" t="str">
            <v>Departmental Digital</v>
          </cell>
          <cell r="J1118">
            <v>655</v>
          </cell>
          <cell r="K1118">
            <v>1365</v>
          </cell>
          <cell r="L1118">
            <v>0</v>
          </cell>
          <cell r="M1118">
            <v>0</v>
          </cell>
          <cell r="N1118">
            <v>0.6</v>
          </cell>
          <cell r="O1118">
            <v>0.8</v>
          </cell>
          <cell r="P1118">
            <v>1.05</v>
          </cell>
          <cell r="Q1118">
            <v>1.1000000000000001</v>
          </cell>
          <cell r="R1118" t="str">
            <v>INTERIOR</v>
          </cell>
          <cell r="S1118">
            <v>5</v>
          </cell>
          <cell r="T1118">
            <v>9</v>
          </cell>
          <cell r="U1118" t="str">
            <v>Ciudad principal</v>
          </cell>
          <cell r="V1118" t="str">
            <v>Departmental Digital</v>
          </cell>
          <cell r="W1118" t="str">
            <v>GUANAJUATO</v>
          </cell>
          <cell r="X1118">
            <v>2019</v>
          </cell>
          <cell r="Y1118" t="str">
            <v>Qtr 2</v>
          </cell>
          <cell r="Z1118" t="str">
            <v>April</v>
          </cell>
          <cell r="AA1118">
            <v>26</v>
          </cell>
          <cell r="AB1118">
            <v>0</v>
          </cell>
          <cell r="AC1118">
            <v>10</v>
          </cell>
          <cell r="AD1118">
            <v>0.6</v>
          </cell>
          <cell r="AE1118">
            <v>9.3333340000000001E-2</v>
          </cell>
          <cell r="AF1118">
            <v>819</v>
          </cell>
        </row>
        <row r="1119">
          <cell r="B1119" t="str">
            <v>0E2B664332</v>
          </cell>
          <cell r="C1119">
            <v>2019</v>
          </cell>
          <cell r="D1119" t="str">
            <v>Qtr 2</v>
          </cell>
          <cell r="E1119" t="str">
            <v>April</v>
          </cell>
          <cell r="F1119">
            <v>25</v>
          </cell>
          <cell r="G1119" t="str">
            <v>CORRECTIVO</v>
          </cell>
          <cell r="H1119">
            <v>0.43333329999999998</v>
          </cell>
          <cell r="I1119" t="str">
            <v>Entry Production Color Low/Mid</v>
          </cell>
          <cell r="J1119">
            <v>803</v>
          </cell>
          <cell r="K1119">
            <v>1573</v>
          </cell>
          <cell r="L1119">
            <v>0.2</v>
          </cell>
          <cell r="M1119">
            <v>0.6</v>
          </cell>
          <cell r="N1119">
            <v>0.8</v>
          </cell>
          <cell r="O1119">
            <v>1.05</v>
          </cell>
          <cell r="P1119">
            <v>1.1000000000000001</v>
          </cell>
          <cell r="Q1119">
            <v>1.1499999999999999</v>
          </cell>
          <cell r="R1119" t="str">
            <v>INTERIOR</v>
          </cell>
          <cell r="S1119">
            <v>4</v>
          </cell>
          <cell r="T1119">
            <v>6</v>
          </cell>
          <cell r="U1119" t="str">
            <v>Ciudad principal</v>
          </cell>
          <cell r="V1119" t="str">
            <v>Entry Production Color Low/Mid</v>
          </cell>
          <cell r="W1119" t="str">
            <v>GUANAJUATO</v>
          </cell>
          <cell r="X1119">
            <v>2019</v>
          </cell>
          <cell r="Y1119" t="str">
            <v>Qtr 2</v>
          </cell>
          <cell r="Z1119" t="str">
            <v>April</v>
          </cell>
          <cell r="AA1119">
            <v>26</v>
          </cell>
          <cell r="AB1119">
            <v>0</v>
          </cell>
          <cell r="AC1119">
            <v>43</v>
          </cell>
          <cell r="AD1119">
            <v>1.1000000000000001</v>
          </cell>
          <cell r="AE1119">
            <v>0.10833332499999999</v>
          </cell>
          <cell r="AF1119">
            <v>1730.3</v>
          </cell>
        </row>
        <row r="1120">
          <cell r="B1120" t="str">
            <v>0A2T382394</v>
          </cell>
          <cell r="C1120">
            <v>2019</v>
          </cell>
          <cell r="D1120" t="str">
            <v>Qtr 2</v>
          </cell>
          <cell r="E1120" t="str">
            <v>April</v>
          </cell>
          <cell r="F1120">
            <v>25</v>
          </cell>
          <cell r="G1120" t="str">
            <v>MANTENIMIENTO PREVENTIVO</v>
          </cell>
          <cell r="H1120">
            <v>0</v>
          </cell>
          <cell r="I1120" t="str">
            <v>A4 Mono MFPs</v>
          </cell>
          <cell r="J1120">
            <v>468</v>
          </cell>
          <cell r="K1120">
            <v>715</v>
          </cell>
          <cell r="L1120">
            <v>0</v>
          </cell>
          <cell r="M1120">
            <v>0</v>
          </cell>
          <cell r="N1120">
            <v>0</v>
          </cell>
          <cell r="O1120">
            <v>0.6</v>
          </cell>
          <cell r="P1120">
            <v>0.8</v>
          </cell>
          <cell r="Q1120">
            <v>1.05</v>
          </cell>
          <cell r="R1120" t="str">
            <v>INTERIOR</v>
          </cell>
          <cell r="S1120">
            <v>5</v>
          </cell>
          <cell r="T1120">
            <v>9</v>
          </cell>
          <cell r="U1120" t="str">
            <v>Ciudad principal</v>
          </cell>
          <cell r="V1120" t="str">
            <v>A4 Mono MFPs</v>
          </cell>
          <cell r="W1120" t="str">
            <v>CHIHUAHUA</v>
          </cell>
          <cell r="X1120">
            <v>2019</v>
          </cell>
          <cell r="Y1120" t="str">
            <v>Qtr 2</v>
          </cell>
          <cell r="Z1120" t="str">
            <v>April</v>
          </cell>
          <cell r="AA1120">
            <v>26</v>
          </cell>
          <cell r="AB1120">
            <v>0</v>
          </cell>
          <cell r="AC1120">
            <v>14</v>
          </cell>
          <cell r="AD1120">
            <v>0</v>
          </cell>
          <cell r="AE1120">
            <v>0</v>
          </cell>
          <cell r="AF1120">
            <v>715</v>
          </cell>
        </row>
        <row r="1121">
          <cell r="B1121" t="str">
            <v>0A1H022151</v>
          </cell>
          <cell r="C1121">
            <v>2019</v>
          </cell>
          <cell r="D1121" t="str">
            <v>Qtr 2</v>
          </cell>
          <cell r="E1121" t="str">
            <v>April</v>
          </cell>
          <cell r="F1121">
            <v>25</v>
          </cell>
          <cell r="G1121" t="str">
            <v>CORRECTIVO</v>
          </cell>
          <cell r="H1121">
            <v>0.26666669999999998</v>
          </cell>
          <cell r="I1121" t="str">
            <v>WF Mono Systems and Legacy Color</v>
          </cell>
          <cell r="J1121">
            <v>803</v>
          </cell>
          <cell r="K1121">
            <v>1573</v>
          </cell>
          <cell r="L1121">
            <v>0.2</v>
          </cell>
          <cell r="M1121">
            <v>0.6</v>
          </cell>
          <cell r="N1121">
            <v>0.8</v>
          </cell>
          <cell r="O1121">
            <v>1.05</v>
          </cell>
          <cell r="P1121">
            <v>1.1000000000000001</v>
          </cell>
          <cell r="Q1121">
            <v>1.1499999999999999</v>
          </cell>
          <cell r="R1121" t="str">
            <v>INTERIOR</v>
          </cell>
          <cell r="S1121">
            <v>4</v>
          </cell>
          <cell r="T1121">
            <v>6</v>
          </cell>
          <cell r="U1121" t="str">
            <v>Ciudad principal</v>
          </cell>
          <cell r="V1121" t="str">
            <v>WF Mono Systems and Legacy Color</v>
          </cell>
          <cell r="W1121" t="str">
            <v>GUANAJUATO</v>
          </cell>
          <cell r="X1121">
            <v>2019</v>
          </cell>
          <cell r="Y1121" t="str">
            <v>Qtr 2</v>
          </cell>
          <cell r="Z1121" t="str">
            <v>April</v>
          </cell>
          <cell r="AA1121">
            <v>26</v>
          </cell>
          <cell r="AB1121">
            <v>0</v>
          </cell>
          <cell r="AC1121">
            <v>64</v>
          </cell>
          <cell r="AD1121">
            <v>1.1499999999999999</v>
          </cell>
          <cell r="AE1121">
            <v>6.6666674999999995E-2</v>
          </cell>
          <cell r="AF1121">
            <v>1808.95</v>
          </cell>
        </row>
        <row r="1122">
          <cell r="B1122" t="str">
            <v>0DUX271706</v>
          </cell>
          <cell r="C1122">
            <v>2019</v>
          </cell>
          <cell r="D1122" t="str">
            <v>Qtr 2</v>
          </cell>
          <cell r="E1122" t="str">
            <v>April</v>
          </cell>
          <cell r="F1122">
            <v>25</v>
          </cell>
          <cell r="G1122" t="str">
            <v>CORRECTIVO</v>
          </cell>
          <cell r="H1122">
            <v>0.28333330000000001</v>
          </cell>
          <cell r="I1122" t="str">
            <v>Entry Production Color Low/Mid</v>
          </cell>
          <cell r="J1122">
            <v>803</v>
          </cell>
          <cell r="K1122">
            <v>1573</v>
          </cell>
          <cell r="L1122">
            <v>0.2</v>
          </cell>
          <cell r="M1122">
            <v>0.6</v>
          </cell>
          <cell r="N1122">
            <v>0.8</v>
          </cell>
          <cell r="O1122">
            <v>1.05</v>
          </cell>
          <cell r="P1122">
            <v>1.1000000000000001</v>
          </cell>
          <cell r="Q1122">
            <v>1.1499999999999999</v>
          </cell>
          <cell r="R1122" t="str">
            <v>INTERIOR</v>
          </cell>
          <cell r="S1122">
            <v>4</v>
          </cell>
          <cell r="T1122">
            <v>6</v>
          </cell>
          <cell r="U1122" t="str">
            <v>Ciudad principal</v>
          </cell>
          <cell r="V1122" t="str">
            <v>Entry Production Color Low/Mid</v>
          </cell>
          <cell r="W1122" t="str">
            <v>QUERETARO</v>
          </cell>
          <cell r="X1122">
            <v>2019</v>
          </cell>
          <cell r="Y1122" t="str">
            <v>Qtr 2</v>
          </cell>
          <cell r="Z1122" t="str">
            <v>April</v>
          </cell>
          <cell r="AA1122">
            <v>30</v>
          </cell>
          <cell r="AB1122">
            <v>0</v>
          </cell>
          <cell r="AC1122">
            <v>31</v>
          </cell>
          <cell r="AD1122">
            <v>1.1000000000000001</v>
          </cell>
          <cell r="AE1122">
            <v>7.0833325000000003E-2</v>
          </cell>
          <cell r="AF1122">
            <v>1730.3</v>
          </cell>
        </row>
        <row r="1123">
          <cell r="B1123" t="str">
            <v>0XPN398415</v>
          </cell>
          <cell r="C1123">
            <v>2019</v>
          </cell>
          <cell r="D1123" t="str">
            <v>Qtr 2</v>
          </cell>
          <cell r="E1123" t="str">
            <v>April</v>
          </cell>
          <cell r="F1123">
            <v>25</v>
          </cell>
          <cell r="G1123" t="str">
            <v>CORRECTIVO</v>
          </cell>
          <cell r="H1123">
            <v>0.55000000000000004</v>
          </cell>
          <cell r="I1123" t="str">
            <v>Entry Production Color Low/Mid</v>
          </cell>
          <cell r="J1123">
            <v>803</v>
          </cell>
          <cell r="K1123">
            <v>1573</v>
          </cell>
          <cell r="L1123">
            <v>0.2</v>
          </cell>
          <cell r="M1123">
            <v>0.6</v>
          </cell>
          <cell r="N1123">
            <v>0.8</v>
          </cell>
          <cell r="O1123">
            <v>1.05</v>
          </cell>
          <cell r="P1123">
            <v>1.1000000000000001</v>
          </cell>
          <cell r="Q1123">
            <v>1.1499999999999999</v>
          </cell>
          <cell r="R1123" t="str">
            <v>INTERIOR</v>
          </cell>
          <cell r="S1123">
            <v>4</v>
          </cell>
          <cell r="T1123">
            <v>6</v>
          </cell>
          <cell r="U1123" t="str">
            <v>Ciudad principal</v>
          </cell>
          <cell r="V1123" t="str">
            <v>Entry Production Color Low/Mid</v>
          </cell>
          <cell r="W1123" t="str">
            <v>JALISCO</v>
          </cell>
          <cell r="X1123">
            <v>2019</v>
          </cell>
          <cell r="Y1123" t="str">
            <v>Qtr 2</v>
          </cell>
          <cell r="Z1123" t="str">
            <v>April</v>
          </cell>
          <cell r="AA1123">
            <v>30</v>
          </cell>
          <cell r="AB1123">
            <v>0</v>
          </cell>
          <cell r="AC1123">
            <v>56</v>
          </cell>
          <cell r="AD1123">
            <v>1.1000000000000001</v>
          </cell>
          <cell r="AE1123">
            <v>0.13750000000000001</v>
          </cell>
          <cell r="AF1123">
            <v>1730.3</v>
          </cell>
        </row>
        <row r="1124">
          <cell r="B1124" t="str">
            <v>09HB321576</v>
          </cell>
          <cell r="C1124">
            <v>2019</v>
          </cell>
          <cell r="D1124" t="str">
            <v>Qtr 2</v>
          </cell>
          <cell r="E1124" t="str">
            <v>April</v>
          </cell>
          <cell r="F1124">
            <v>25</v>
          </cell>
          <cell r="G1124" t="str">
            <v>CORRECTIVO</v>
          </cell>
          <cell r="H1124">
            <v>0.56666669999999997</v>
          </cell>
          <cell r="I1124" t="str">
            <v>A4 Mono MFPs</v>
          </cell>
          <cell r="J1124">
            <v>468</v>
          </cell>
          <cell r="K1124">
            <v>715</v>
          </cell>
          <cell r="L1124">
            <v>0</v>
          </cell>
          <cell r="M1124">
            <v>0</v>
          </cell>
          <cell r="N1124">
            <v>0</v>
          </cell>
          <cell r="O1124">
            <v>0.6</v>
          </cell>
          <cell r="P1124">
            <v>0.8</v>
          </cell>
          <cell r="Q1124">
            <v>1.05</v>
          </cell>
          <cell r="R1124" t="str">
            <v>INTERIOR</v>
          </cell>
          <cell r="S1124">
            <v>5</v>
          </cell>
          <cell r="T1124">
            <v>9</v>
          </cell>
          <cell r="U1124" t="str">
            <v>Ciudad principal</v>
          </cell>
          <cell r="V1124" t="str">
            <v>A4 Mono MFPs</v>
          </cell>
          <cell r="W1124" t="str">
            <v>NUEVO LEON</v>
          </cell>
          <cell r="X1124">
            <v>2019</v>
          </cell>
          <cell r="Y1124" t="str">
            <v>Qtr 2</v>
          </cell>
          <cell r="Z1124" t="str">
            <v>April</v>
          </cell>
          <cell r="AA1124">
            <v>26</v>
          </cell>
          <cell r="AB1124">
            <v>0</v>
          </cell>
          <cell r="AC1124">
            <v>94</v>
          </cell>
          <cell r="AD1124">
            <v>1.05</v>
          </cell>
          <cell r="AE1124">
            <v>0.11333334</v>
          </cell>
          <cell r="AF1124">
            <v>750.75</v>
          </cell>
        </row>
        <row r="1125">
          <cell r="B1125" t="str">
            <v>0A4T021931</v>
          </cell>
          <cell r="C1125">
            <v>2019</v>
          </cell>
          <cell r="D1125" t="str">
            <v>Qtr 2</v>
          </cell>
          <cell r="E1125" t="str">
            <v>April</v>
          </cell>
          <cell r="F1125">
            <v>25</v>
          </cell>
          <cell r="G1125" t="str">
            <v>CORRECTIVO</v>
          </cell>
          <cell r="H1125">
            <v>0.25</v>
          </cell>
          <cell r="I1125" t="str">
            <v>Entry Mono Printers</v>
          </cell>
          <cell r="J1125">
            <v>468</v>
          </cell>
          <cell r="K1125">
            <v>715</v>
          </cell>
          <cell r="L1125">
            <v>0</v>
          </cell>
          <cell r="M1125">
            <v>0</v>
          </cell>
          <cell r="N1125">
            <v>0</v>
          </cell>
          <cell r="O1125">
            <v>0.6</v>
          </cell>
          <cell r="P1125">
            <v>0.8</v>
          </cell>
          <cell r="Q1125">
            <v>1.05</v>
          </cell>
          <cell r="R1125" t="str">
            <v>INTERIOR</v>
          </cell>
          <cell r="S1125">
            <v>5</v>
          </cell>
          <cell r="T1125">
            <v>9</v>
          </cell>
          <cell r="U1125" t="str">
            <v>Ciudad principal</v>
          </cell>
          <cell r="V1125" t="str">
            <v>A4 Mono MFPs</v>
          </cell>
          <cell r="W1125" t="str">
            <v>CHIHUAHUA</v>
          </cell>
          <cell r="X1125">
            <v>2019</v>
          </cell>
          <cell r="Y1125" t="str">
            <v>Qtr 2</v>
          </cell>
          <cell r="Z1125" t="str">
            <v>April</v>
          </cell>
          <cell r="AA1125">
            <v>30</v>
          </cell>
          <cell r="AB1125">
            <v>0</v>
          </cell>
          <cell r="AC1125">
            <v>84</v>
          </cell>
          <cell r="AD1125">
            <v>1.05</v>
          </cell>
          <cell r="AE1125">
            <v>0.05</v>
          </cell>
          <cell r="AF1125">
            <v>750.75</v>
          </cell>
        </row>
        <row r="1126">
          <cell r="B1126" t="str">
            <v>09HB331392</v>
          </cell>
          <cell r="C1126">
            <v>2019</v>
          </cell>
          <cell r="D1126" t="str">
            <v>Qtr 2</v>
          </cell>
          <cell r="E1126" t="str">
            <v>April</v>
          </cell>
          <cell r="F1126">
            <v>25</v>
          </cell>
          <cell r="G1126" t="str">
            <v>MANTENIMIENTO PREVENTIVO</v>
          </cell>
          <cell r="H1126">
            <v>0</v>
          </cell>
          <cell r="J1126" t="str">
            <v>NA</v>
          </cell>
          <cell r="K1126" t="str">
            <v>NA</v>
          </cell>
          <cell r="L1126" t="str">
            <v>NA</v>
          </cell>
          <cell r="M1126" t="str">
            <v>NA</v>
          </cell>
          <cell r="N1126" t="str">
            <v>NA</v>
          </cell>
          <cell r="O1126" t="str">
            <v>NA</v>
          </cell>
          <cell r="P1126" t="str">
            <v>NA</v>
          </cell>
          <cell r="Q1126" t="str">
            <v>NA</v>
          </cell>
          <cell r="S1126" t="str">
            <v>NA</v>
          </cell>
          <cell r="T1126" t="str">
            <v>NA</v>
          </cell>
          <cell r="V1126" t="str">
            <v>A4 Mono MFPs</v>
          </cell>
          <cell r="W1126" t="str">
            <v>JALISCO</v>
          </cell>
          <cell r="X1126">
            <v>2019</v>
          </cell>
          <cell r="Y1126" t="str">
            <v>Qtr 2</v>
          </cell>
          <cell r="Z1126" t="str">
            <v>April</v>
          </cell>
          <cell r="AA1126">
            <v>25</v>
          </cell>
          <cell r="AB1126" t="str">
            <v>NA</v>
          </cell>
          <cell r="AC1126">
            <v>14</v>
          </cell>
          <cell r="AD1126">
            <v>0</v>
          </cell>
          <cell r="AE1126">
            <v>0</v>
          </cell>
          <cell r="AF1126">
            <v>0</v>
          </cell>
        </row>
        <row r="1127">
          <cell r="B1127" t="str">
            <v>0Y4X848749</v>
          </cell>
          <cell r="C1127">
            <v>2019</v>
          </cell>
          <cell r="D1127" t="str">
            <v>Qtr 2</v>
          </cell>
          <cell r="E1127" t="str">
            <v>April</v>
          </cell>
          <cell r="F1127">
            <v>25</v>
          </cell>
          <cell r="G1127" t="str">
            <v>MANTENIMIENTO PREVENTIVO</v>
          </cell>
          <cell r="H1127">
            <v>0</v>
          </cell>
          <cell r="I1127" t="str">
            <v>Office Digital</v>
          </cell>
          <cell r="J1127">
            <v>655</v>
          </cell>
          <cell r="K1127">
            <v>1365</v>
          </cell>
          <cell r="L1127">
            <v>0</v>
          </cell>
          <cell r="M1127">
            <v>0</v>
          </cell>
          <cell r="N1127">
            <v>0.6</v>
          </cell>
          <cell r="O1127">
            <v>0.8</v>
          </cell>
          <cell r="P1127">
            <v>1.05</v>
          </cell>
          <cell r="Q1127">
            <v>1.1000000000000001</v>
          </cell>
          <cell r="R1127" t="str">
            <v>INTERIOR</v>
          </cell>
          <cell r="S1127">
            <v>5</v>
          </cell>
          <cell r="T1127">
            <v>9</v>
          </cell>
          <cell r="U1127" t="str">
            <v>Ciudad principal</v>
          </cell>
          <cell r="V1127" t="str">
            <v>Light Production Digital Business</v>
          </cell>
          <cell r="W1127" t="str">
            <v>JALISCO</v>
          </cell>
          <cell r="X1127">
            <v>2019</v>
          </cell>
          <cell r="Y1127" t="str">
            <v>Qtr 2</v>
          </cell>
          <cell r="Z1127" t="str">
            <v>April</v>
          </cell>
          <cell r="AA1127">
            <v>25</v>
          </cell>
          <cell r="AB1127">
            <v>1</v>
          </cell>
          <cell r="AC1127">
            <v>49</v>
          </cell>
          <cell r="AD1127">
            <v>0</v>
          </cell>
          <cell r="AE1127">
            <v>0</v>
          </cell>
          <cell r="AF1127">
            <v>0</v>
          </cell>
        </row>
        <row r="1128">
          <cell r="B1128" t="str">
            <v>0XEL566484</v>
          </cell>
          <cell r="C1128">
            <v>2019</v>
          </cell>
          <cell r="D1128" t="str">
            <v>Qtr 2</v>
          </cell>
          <cell r="E1128" t="str">
            <v>April</v>
          </cell>
          <cell r="F1128">
            <v>25</v>
          </cell>
          <cell r="G1128" t="str">
            <v>MANTENIMIENTO PREVENTIVO</v>
          </cell>
          <cell r="H1128">
            <v>0</v>
          </cell>
          <cell r="I1128" t="str">
            <v>Departmental Digital</v>
          </cell>
          <cell r="J1128">
            <v>655</v>
          </cell>
          <cell r="K1128">
            <v>1365</v>
          </cell>
          <cell r="L1128">
            <v>0</v>
          </cell>
          <cell r="M1128">
            <v>0</v>
          </cell>
          <cell r="N1128">
            <v>0.6</v>
          </cell>
          <cell r="O1128">
            <v>0.8</v>
          </cell>
          <cell r="P1128">
            <v>1.05</v>
          </cell>
          <cell r="Q1128">
            <v>1.1000000000000001</v>
          </cell>
          <cell r="R1128" t="str">
            <v>INTERIOR</v>
          </cell>
          <cell r="S1128">
            <v>5</v>
          </cell>
          <cell r="T1128">
            <v>9</v>
          </cell>
          <cell r="U1128" t="str">
            <v>Ciudad principal</v>
          </cell>
          <cell r="V1128" t="str">
            <v>Departmental Digital</v>
          </cell>
          <cell r="W1128" t="str">
            <v>JALISCO</v>
          </cell>
          <cell r="X1128">
            <v>2019</v>
          </cell>
          <cell r="Y1128" t="str">
            <v>Qtr 2</v>
          </cell>
          <cell r="Z1128" t="str">
            <v>April</v>
          </cell>
          <cell r="AA1128">
            <v>26</v>
          </cell>
          <cell r="AB1128">
            <v>0</v>
          </cell>
          <cell r="AC1128">
            <v>34</v>
          </cell>
          <cell r="AD1128">
            <v>0</v>
          </cell>
          <cell r="AE1128">
            <v>0</v>
          </cell>
          <cell r="AF1128">
            <v>1365</v>
          </cell>
        </row>
        <row r="1129">
          <cell r="B1129" t="str">
            <v>0XFN183642</v>
          </cell>
          <cell r="C1129">
            <v>2019</v>
          </cell>
          <cell r="D1129" t="str">
            <v>Qtr 2</v>
          </cell>
          <cell r="E1129" t="str">
            <v>April</v>
          </cell>
          <cell r="F1129">
            <v>25</v>
          </cell>
          <cell r="G1129" t="str">
            <v>MANTENIMIENTO PREVENTIVO</v>
          </cell>
          <cell r="H1129">
            <v>0</v>
          </cell>
          <cell r="I1129" t="str">
            <v>Color Solid Ink Printers</v>
          </cell>
          <cell r="J1129">
            <v>468</v>
          </cell>
          <cell r="K1129">
            <v>715</v>
          </cell>
          <cell r="L1129">
            <v>0</v>
          </cell>
          <cell r="M1129">
            <v>0</v>
          </cell>
          <cell r="N1129">
            <v>0</v>
          </cell>
          <cell r="O1129">
            <v>0.6</v>
          </cell>
          <cell r="P1129">
            <v>0.8</v>
          </cell>
          <cell r="Q1129">
            <v>1.05</v>
          </cell>
          <cell r="R1129" t="str">
            <v>INTERIOR</v>
          </cell>
          <cell r="S1129">
            <v>5</v>
          </cell>
          <cell r="T1129">
            <v>9</v>
          </cell>
          <cell r="U1129" t="str">
            <v>Ciudad principal</v>
          </cell>
          <cell r="V1129" t="str">
            <v>Color Solid Ink Printers</v>
          </cell>
          <cell r="W1129" t="str">
            <v>CHIHUAHUA</v>
          </cell>
          <cell r="X1129">
            <v>2019</v>
          </cell>
          <cell r="Y1129" t="str">
            <v>Qtr 2</v>
          </cell>
          <cell r="Z1129" t="str">
            <v>April</v>
          </cell>
          <cell r="AA1129">
            <v>26</v>
          </cell>
          <cell r="AB1129">
            <v>0</v>
          </cell>
          <cell r="AC1129">
            <v>36</v>
          </cell>
          <cell r="AD1129">
            <v>0</v>
          </cell>
          <cell r="AE1129">
            <v>0</v>
          </cell>
          <cell r="AF1129">
            <v>715</v>
          </cell>
        </row>
        <row r="1130">
          <cell r="B1130" t="str">
            <v>0BG2939611</v>
          </cell>
          <cell r="C1130">
            <v>2019</v>
          </cell>
          <cell r="D1130" t="str">
            <v>Qtr 2</v>
          </cell>
          <cell r="E1130" t="str">
            <v>April</v>
          </cell>
          <cell r="F1130">
            <v>26</v>
          </cell>
          <cell r="G1130" t="str">
            <v>MANTENIMIENTO PREVENTIVO</v>
          </cell>
          <cell r="H1130">
            <v>0</v>
          </cell>
          <cell r="I1130" t="str">
            <v>Light Production Digital Business</v>
          </cell>
          <cell r="J1130">
            <v>803</v>
          </cell>
          <cell r="K1130">
            <v>1573</v>
          </cell>
          <cell r="L1130">
            <v>0.2</v>
          </cell>
          <cell r="M1130">
            <v>0.6</v>
          </cell>
          <cell r="N1130">
            <v>0.8</v>
          </cell>
          <cell r="O1130">
            <v>1.05</v>
          </cell>
          <cell r="P1130">
            <v>1.1000000000000001</v>
          </cell>
          <cell r="Q1130">
            <v>1.1499999999999999</v>
          </cell>
          <cell r="R1130" t="str">
            <v>INTERIOR</v>
          </cell>
          <cell r="S1130">
            <v>4</v>
          </cell>
          <cell r="T1130">
            <v>6</v>
          </cell>
          <cell r="U1130" t="str">
            <v>Ciudad principal</v>
          </cell>
          <cell r="V1130" t="str">
            <v>High End Cut Sheet</v>
          </cell>
          <cell r="W1130" t="str">
            <v>TAMAULIPAS</v>
          </cell>
          <cell r="X1130">
            <v>2019</v>
          </cell>
          <cell r="Y1130" t="str">
            <v>Qtr 2</v>
          </cell>
          <cell r="Z1130" t="str">
            <v>April</v>
          </cell>
          <cell r="AA1130">
            <v>26</v>
          </cell>
          <cell r="AB1130">
            <v>0</v>
          </cell>
          <cell r="AC1130">
            <v>3</v>
          </cell>
          <cell r="AD1130">
            <v>0</v>
          </cell>
          <cell r="AE1130">
            <v>0</v>
          </cell>
          <cell r="AF1130">
            <v>1573</v>
          </cell>
        </row>
        <row r="1131">
          <cell r="B1131" t="str">
            <v>0C4X011100</v>
          </cell>
          <cell r="C1131">
            <v>2019</v>
          </cell>
          <cell r="D1131" t="str">
            <v>Qtr 2</v>
          </cell>
          <cell r="E1131" t="str">
            <v>April</v>
          </cell>
          <cell r="F1131">
            <v>26</v>
          </cell>
          <cell r="G1131" t="str">
            <v>CORRECTIVO</v>
          </cell>
          <cell r="H1131">
            <v>3.266667</v>
          </cell>
          <cell r="I1131" t="str">
            <v>A4 Mono MFPs</v>
          </cell>
          <cell r="J1131">
            <v>468</v>
          </cell>
          <cell r="K1131">
            <v>715</v>
          </cell>
          <cell r="L1131">
            <v>0</v>
          </cell>
          <cell r="M1131">
            <v>0</v>
          </cell>
          <cell r="N1131">
            <v>0</v>
          </cell>
          <cell r="O1131">
            <v>0.6</v>
          </cell>
          <cell r="P1131">
            <v>0.8</v>
          </cell>
          <cell r="Q1131">
            <v>1.05</v>
          </cell>
          <cell r="R1131" t="str">
            <v>INTERIOR</v>
          </cell>
          <cell r="S1131">
            <v>5</v>
          </cell>
          <cell r="T1131">
            <v>9</v>
          </cell>
          <cell r="U1131" t="str">
            <v>Ciudad principal</v>
          </cell>
          <cell r="V1131" t="str">
            <v>A4 Mono MFPs</v>
          </cell>
          <cell r="W1131" t="str">
            <v>QUERETARO</v>
          </cell>
          <cell r="X1131">
            <v>2019</v>
          </cell>
          <cell r="Y1131" t="str">
            <v>Qtr 2</v>
          </cell>
          <cell r="Z1131" t="str">
            <v>April</v>
          </cell>
          <cell r="AA1131">
            <v>26</v>
          </cell>
          <cell r="AB1131">
            <v>0</v>
          </cell>
          <cell r="AC1131">
            <v>105</v>
          </cell>
          <cell r="AD1131">
            <v>1.05</v>
          </cell>
          <cell r="AE1131">
            <v>0.65333339999999995</v>
          </cell>
          <cell r="AF1131">
            <v>750.75</v>
          </cell>
        </row>
        <row r="1132">
          <cell r="B1132" t="str">
            <v>0BG2948799</v>
          </cell>
          <cell r="C1132">
            <v>2019</v>
          </cell>
          <cell r="D1132" t="str">
            <v>Qtr 2</v>
          </cell>
          <cell r="E1132" t="str">
            <v>April</v>
          </cell>
          <cell r="F1132">
            <v>26</v>
          </cell>
          <cell r="G1132" t="str">
            <v>CORRECTIVO</v>
          </cell>
          <cell r="H1132">
            <v>2.95</v>
          </cell>
          <cell r="I1132" t="str">
            <v>Light Production Digital Business</v>
          </cell>
          <cell r="J1132">
            <v>803</v>
          </cell>
          <cell r="K1132">
            <v>1573</v>
          </cell>
          <cell r="L1132">
            <v>0.2</v>
          </cell>
          <cell r="M1132">
            <v>0.6</v>
          </cell>
          <cell r="N1132">
            <v>0.8</v>
          </cell>
          <cell r="O1132">
            <v>1.05</v>
          </cell>
          <cell r="P1132">
            <v>1.1000000000000001</v>
          </cell>
          <cell r="Q1132">
            <v>1.1499999999999999</v>
          </cell>
          <cell r="R1132" t="str">
            <v>INTERIOR</v>
          </cell>
          <cell r="S1132">
            <v>4</v>
          </cell>
          <cell r="T1132">
            <v>6</v>
          </cell>
          <cell r="U1132" t="str">
            <v>Ciudad principal</v>
          </cell>
          <cell r="V1132" t="str">
            <v>High End Cut Sheet</v>
          </cell>
          <cell r="W1132" t="str">
            <v>JALISCO</v>
          </cell>
          <cell r="X1132">
            <v>2019</v>
          </cell>
          <cell r="Y1132" t="str">
            <v>Qtr 2</v>
          </cell>
          <cell r="Z1132" t="str">
            <v>April</v>
          </cell>
          <cell r="AA1132">
            <v>26</v>
          </cell>
          <cell r="AB1132">
            <v>0</v>
          </cell>
          <cell r="AC1132">
            <v>2</v>
          </cell>
          <cell r="AD1132">
            <v>0.2</v>
          </cell>
          <cell r="AE1132">
            <v>0.73750000000000004</v>
          </cell>
          <cell r="AF1132">
            <v>314.60000000000002</v>
          </cell>
        </row>
        <row r="1133">
          <cell r="B1133" t="str">
            <v>0LX7658041</v>
          </cell>
          <cell r="C1133">
            <v>2019</v>
          </cell>
          <cell r="D1133" t="str">
            <v>Qtr 2</v>
          </cell>
          <cell r="E1133" t="str">
            <v>April</v>
          </cell>
          <cell r="F1133">
            <v>26</v>
          </cell>
          <cell r="G1133" t="str">
            <v>MANTENIMIENTO PREVENTIVO</v>
          </cell>
          <cell r="H1133">
            <v>0</v>
          </cell>
          <cell r="I1133" t="str">
            <v>A3 Office Color Laser MFPs</v>
          </cell>
          <cell r="J1133">
            <v>655</v>
          </cell>
          <cell r="K1133">
            <v>1365</v>
          </cell>
          <cell r="L1133">
            <v>0</v>
          </cell>
          <cell r="M1133">
            <v>0</v>
          </cell>
          <cell r="N1133">
            <v>0.6</v>
          </cell>
          <cell r="O1133">
            <v>0.8</v>
          </cell>
          <cell r="P1133">
            <v>1.05</v>
          </cell>
          <cell r="Q1133">
            <v>1.1000000000000001</v>
          </cell>
          <cell r="R1133" t="str">
            <v>INTERIOR</v>
          </cell>
          <cell r="S1133">
            <v>5</v>
          </cell>
          <cell r="T1133">
            <v>9</v>
          </cell>
          <cell r="U1133" t="str">
            <v>Ciudad principal</v>
          </cell>
          <cell r="V1133" t="str">
            <v>A3 Office Color Laser MFPs</v>
          </cell>
          <cell r="W1133" t="str">
            <v>CHIHUAHUA</v>
          </cell>
          <cell r="X1133">
            <v>2019</v>
          </cell>
          <cell r="Y1133" t="str">
            <v>Qtr 2</v>
          </cell>
          <cell r="Z1133" t="str">
            <v>April</v>
          </cell>
          <cell r="AA1133">
            <v>26</v>
          </cell>
          <cell r="AB1133">
            <v>0</v>
          </cell>
          <cell r="AC1133">
            <v>71</v>
          </cell>
          <cell r="AD1133">
            <v>0</v>
          </cell>
          <cell r="AE1133">
            <v>0</v>
          </cell>
          <cell r="AF1133">
            <v>1365</v>
          </cell>
        </row>
        <row r="1134">
          <cell r="B1134" t="str">
            <v>09HB915866</v>
          </cell>
          <cell r="C1134">
            <v>2019</v>
          </cell>
          <cell r="D1134" t="str">
            <v>Qtr 2</v>
          </cell>
          <cell r="E1134" t="str">
            <v>April</v>
          </cell>
          <cell r="F1134">
            <v>26</v>
          </cell>
          <cell r="G1134" t="str">
            <v>CORRECTIVO</v>
          </cell>
          <cell r="H1134">
            <v>0.28333330000000001</v>
          </cell>
          <cell r="I1134" t="str">
            <v>A4 Mono MFPs</v>
          </cell>
          <cell r="J1134">
            <v>468</v>
          </cell>
          <cell r="K1134">
            <v>715</v>
          </cell>
          <cell r="L1134">
            <v>0</v>
          </cell>
          <cell r="M1134">
            <v>0</v>
          </cell>
          <cell r="N1134">
            <v>0</v>
          </cell>
          <cell r="O1134">
            <v>0.6</v>
          </cell>
          <cell r="P1134">
            <v>0.8</v>
          </cell>
          <cell r="Q1134">
            <v>1.05</v>
          </cell>
          <cell r="R1134" t="str">
            <v>INTERIOR</v>
          </cell>
          <cell r="S1134">
            <v>5</v>
          </cell>
          <cell r="T1134">
            <v>9</v>
          </cell>
          <cell r="U1134" t="str">
            <v>Ciudad principal</v>
          </cell>
          <cell r="V1134" t="str">
            <v>A4 Mono MFPs</v>
          </cell>
          <cell r="W1134" t="str">
            <v>GUANAJUATO</v>
          </cell>
          <cell r="X1134">
            <v>2019</v>
          </cell>
          <cell r="Y1134" t="str">
            <v>Qtr 2</v>
          </cell>
          <cell r="Z1134" t="str">
            <v>April</v>
          </cell>
          <cell r="AA1134">
            <v>26</v>
          </cell>
          <cell r="AB1134">
            <v>0</v>
          </cell>
          <cell r="AC1134">
            <v>2</v>
          </cell>
          <cell r="AD1134">
            <v>0</v>
          </cell>
          <cell r="AE1134">
            <v>5.6666660000000001E-2</v>
          </cell>
          <cell r="AF1134">
            <v>0</v>
          </cell>
        </row>
        <row r="1135">
          <cell r="B1135" t="str">
            <v>09HB321623</v>
          </cell>
          <cell r="C1135">
            <v>2019</v>
          </cell>
          <cell r="D1135" t="str">
            <v>Qtr 2</v>
          </cell>
          <cell r="E1135" t="str">
            <v>April</v>
          </cell>
          <cell r="F1135">
            <v>26</v>
          </cell>
          <cell r="G1135" t="str">
            <v>CORRECTIVO</v>
          </cell>
          <cell r="H1135">
            <v>0.76666670000000003</v>
          </cell>
          <cell r="I1135" t="str">
            <v>A4 Mono MFPs</v>
          </cell>
          <cell r="J1135">
            <v>468</v>
          </cell>
          <cell r="K1135">
            <v>715</v>
          </cell>
          <cell r="L1135">
            <v>0</v>
          </cell>
          <cell r="M1135">
            <v>0</v>
          </cell>
          <cell r="N1135">
            <v>0</v>
          </cell>
          <cell r="O1135">
            <v>0.6</v>
          </cell>
          <cell r="P1135">
            <v>0.8</v>
          </cell>
          <cell r="Q1135">
            <v>1.05</v>
          </cell>
          <cell r="R1135" t="str">
            <v>INTERIOR</v>
          </cell>
          <cell r="S1135">
            <v>5</v>
          </cell>
          <cell r="T1135">
            <v>9</v>
          </cell>
          <cell r="U1135" t="str">
            <v>Ciudad principal</v>
          </cell>
          <cell r="V1135" t="str">
            <v>A4 Mono MFPs</v>
          </cell>
          <cell r="W1135" t="str">
            <v>NUEVO LEON</v>
          </cell>
          <cell r="X1135">
            <v>2019</v>
          </cell>
          <cell r="Y1135" t="str">
            <v>Qtr 2</v>
          </cell>
          <cell r="Z1135" t="str">
            <v>April</v>
          </cell>
          <cell r="AA1135">
            <v>26</v>
          </cell>
          <cell r="AB1135">
            <v>0</v>
          </cell>
          <cell r="AC1135">
            <v>84</v>
          </cell>
          <cell r="AD1135">
            <v>1.05</v>
          </cell>
          <cell r="AE1135">
            <v>0.15333334000000001</v>
          </cell>
          <cell r="AF1135">
            <v>750.75</v>
          </cell>
        </row>
        <row r="1136">
          <cell r="B1136" t="str">
            <v>0BG2951498</v>
          </cell>
          <cell r="C1136">
            <v>2019</v>
          </cell>
          <cell r="D1136" t="str">
            <v>Qtr 2</v>
          </cell>
          <cell r="E1136" t="str">
            <v>April</v>
          </cell>
          <cell r="F1136">
            <v>26</v>
          </cell>
          <cell r="G1136" t="str">
            <v>CORRECTIVO</v>
          </cell>
          <cell r="H1136">
            <v>0.1833333</v>
          </cell>
          <cell r="I1136" t="str">
            <v>Light Production Digital Business</v>
          </cell>
          <cell r="J1136">
            <v>803</v>
          </cell>
          <cell r="K1136">
            <v>1573</v>
          </cell>
          <cell r="L1136">
            <v>0.2</v>
          </cell>
          <cell r="M1136">
            <v>0.6</v>
          </cell>
          <cell r="N1136">
            <v>0.8</v>
          </cell>
          <cell r="O1136">
            <v>1.05</v>
          </cell>
          <cell r="P1136">
            <v>1.1000000000000001</v>
          </cell>
          <cell r="Q1136">
            <v>1.1499999999999999</v>
          </cell>
          <cell r="R1136" t="str">
            <v>INTERIOR</v>
          </cell>
          <cell r="S1136">
            <v>4</v>
          </cell>
          <cell r="T1136">
            <v>6</v>
          </cell>
          <cell r="U1136" t="str">
            <v>Ciudad principal</v>
          </cell>
          <cell r="V1136" t="str">
            <v>High End Cut Sheet</v>
          </cell>
          <cell r="W1136" t="str">
            <v>DURANGO</v>
          </cell>
          <cell r="X1136">
            <v>2019</v>
          </cell>
          <cell r="Y1136" t="str">
            <v>Qtr 2</v>
          </cell>
          <cell r="Z1136" t="str">
            <v>April</v>
          </cell>
          <cell r="AA1136">
            <v>26</v>
          </cell>
          <cell r="AB1136">
            <v>0</v>
          </cell>
          <cell r="AC1136">
            <v>3</v>
          </cell>
          <cell r="AD1136">
            <v>0.6</v>
          </cell>
          <cell r="AE1136">
            <v>4.5833325000000001E-2</v>
          </cell>
          <cell r="AF1136">
            <v>943.8</v>
          </cell>
        </row>
        <row r="1137">
          <cell r="B1137" t="str">
            <v>0KPA018636</v>
          </cell>
          <cell r="C1137">
            <v>2019</v>
          </cell>
          <cell r="D1137" t="str">
            <v>Qtr 2</v>
          </cell>
          <cell r="E1137" t="str">
            <v>April</v>
          </cell>
          <cell r="F1137">
            <v>26</v>
          </cell>
          <cell r="G1137" t="str">
            <v>MANTENIMIENTO PREVENTIVO</v>
          </cell>
          <cell r="H1137">
            <v>0</v>
          </cell>
          <cell r="I1137" t="str">
            <v>Entry Mono Printers</v>
          </cell>
          <cell r="J1137">
            <v>468</v>
          </cell>
          <cell r="K1137">
            <v>715</v>
          </cell>
          <cell r="L1137">
            <v>0</v>
          </cell>
          <cell r="M1137">
            <v>0</v>
          </cell>
          <cell r="N1137">
            <v>0</v>
          </cell>
          <cell r="O1137">
            <v>0.6</v>
          </cell>
          <cell r="P1137">
            <v>0.8</v>
          </cell>
          <cell r="Q1137">
            <v>1.05</v>
          </cell>
          <cell r="R1137" t="str">
            <v>INTERIOR</v>
          </cell>
          <cell r="S1137">
            <v>5</v>
          </cell>
          <cell r="T1137">
            <v>9</v>
          </cell>
          <cell r="U1137" t="str">
            <v>Ciudad principal</v>
          </cell>
          <cell r="V1137" t="str">
            <v>Departmental Digital</v>
          </cell>
          <cell r="W1137" t="str">
            <v>CHIHUAHUA</v>
          </cell>
          <cell r="X1137">
            <v>2019</v>
          </cell>
          <cell r="Y1137" t="str">
            <v>Qtr 2</v>
          </cell>
          <cell r="Z1137" t="str">
            <v>April</v>
          </cell>
          <cell r="AA1137">
            <v>26</v>
          </cell>
          <cell r="AB1137">
            <v>0</v>
          </cell>
          <cell r="AC1137">
            <v>21</v>
          </cell>
          <cell r="AD1137">
            <v>0</v>
          </cell>
          <cell r="AE1137">
            <v>0</v>
          </cell>
          <cell r="AF1137">
            <v>715</v>
          </cell>
        </row>
        <row r="1138">
          <cell r="B1138" t="str">
            <v>0EX9293515</v>
          </cell>
          <cell r="C1138">
            <v>2019</v>
          </cell>
          <cell r="D1138" t="str">
            <v>Qtr 2</v>
          </cell>
          <cell r="E1138" t="str">
            <v>April</v>
          </cell>
          <cell r="F1138">
            <v>26</v>
          </cell>
          <cell r="G1138" t="str">
            <v>CORRECTIVO</v>
          </cell>
          <cell r="H1138">
            <v>2.2000000000000002</v>
          </cell>
          <cell r="I1138" t="str">
            <v>Departmental Digital</v>
          </cell>
          <cell r="J1138">
            <v>655</v>
          </cell>
          <cell r="K1138">
            <v>1365</v>
          </cell>
          <cell r="L1138">
            <v>0</v>
          </cell>
          <cell r="M1138">
            <v>0</v>
          </cell>
          <cell r="N1138">
            <v>0.6</v>
          </cell>
          <cell r="O1138">
            <v>0.8</v>
          </cell>
          <cell r="P1138">
            <v>1.05</v>
          </cell>
          <cell r="Q1138">
            <v>1.1000000000000001</v>
          </cell>
          <cell r="R1138" t="str">
            <v>INTERIOR</v>
          </cell>
          <cell r="S1138">
            <v>5</v>
          </cell>
          <cell r="T1138">
            <v>9</v>
          </cell>
          <cell r="U1138" t="str">
            <v>Ciudad principal</v>
          </cell>
          <cell r="V1138" t="str">
            <v>Departmental Digital</v>
          </cell>
          <cell r="W1138" t="str">
            <v>JALISCO</v>
          </cell>
          <cell r="X1138">
            <v>2019</v>
          </cell>
          <cell r="Y1138" t="str">
            <v>Qtr 2</v>
          </cell>
          <cell r="Z1138" t="str">
            <v>April</v>
          </cell>
          <cell r="AA1138">
            <v>30</v>
          </cell>
          <cell r="AB1138">
            <v>0</v>
          </cell>
          <cell r="AC1138">
            <v>9</v>
          </cell>
          <cell r="AD1138">
            <v>0.6</v>
          </cell>
          <cell r="AE1138">
            <v>0.44</v>
          </cell>
          <cell r="AF1138">
            <v>819</v>
          </cell>
        </row>
        <row r="1139">
          <cell r="B1139" t="str">
            <v>0Y4X848952</v>
          </cell>
          <cell r="C1139">
            <v>2019</v>
          </cell>
          <cell r="D1139" t="str">
            <v>Qtr 2</v>
          </cell>
          <cell r="E1139" t="str">
            <v>April</v>
          </cell>
          <cell r="F1139">
            <v>26</v>
          </cell>
          <cell r="G1139" t="str">
            <v>CORRECTIVO</v>
          </cell>
          <cell r="H1139">
            <v>1.5333330000000001</v>
          </cell>
          <cell r="I1139" t="str">
            <v>Office Digital</v>
          </cell>
          <cell r="J1139">
            <v>655</v>
          </cell>
          <cell r="K1139">
            <v>1365</v>
          </cell>
          <cell r="L1139">
            <v>0</v>
          </cell>
          <cell r="M1139">
            <v>0</v>
          </cell>
          <cell r="N1139">
            <v>0.6</v>
          </cell>
          <cell r="O1139">
            <v>0.8</v>
          </cell>
          <cell r="P1139">
            <v>1.05</v>
          </cell>
          <cell r="Q1139">
            <v>1.1000000000000001</v>
          </cell>
          <cell r="R1139" t="str">
            <v>METRO</v>
          </cell>
          <cell r="S1139">
            <v>5</v>
          </cell>
          <cell r="T1139">
            <v>9</v>
          </cell>
          <cell r="U1139" t="str">
            <v>Ciudad principal</v>
          </cell>
          <cell r="V1139" t="str">
            <v>Light Production Digital Business</v>
          </cell>
          <cell r="W1139" t="str">
            <v>CIUDAD DE MEXICO</v>
          </cell>
          <cell r="X1139">
            <v>2019</v>
          </cell>
          <cell r="Y1139" t="str">
            <v>Qtr 2</v>
          </cell>
          <cell r="Z1139" t="str">
            <v>April</v>
          </cell>
          <cell r="AA1139">
            <v>26</v>
          </cell>
          <cell r="AB1139">
            <v>1</v>
          </cell>
          <cell r="AC1139">
            <v>58</v>
          </cell>
          <cell r="AD1139">
            <v>0</v>
          </cell>
          <cell r="AE1139">
            <v>0</v>
          </cell>
          <cell r="AF1139">
            <v>0</v>
          </cell>
        </row>
        <row r="1140">
          <cell r="B1140" t="str">
            <v>0Y4X848732</v>
          </cell>
          <cell r="C1140">
            <v>2019</v>
          </cell>
          <cell r="D1140" t="str">
            <v>Qtr 2</v>
          </cell>
          <cell r="E1140" t="str">
            <v>April</v>
          </cell>
          <cell r="F1140">
            <v>26</v>
          </cell>
          <cell r="G1140" t="str">
            <v>MANTENIMIENTO PREVENTIVO</v>
          </cell>
          <cell r="H1140">
            <v>0</v>
          </cell>
          <cell r="I1140" t="str">
            <v>Office Digital</v>
          </cell>
          <cell r="J1140">
            <v>655</v>
          </cell>
          <cell r="K1140">
            <v>1365</v>
          </cell>
          <cell r="L1140">
            <v>0</v>
          </cell>
          <cell r="M1140">
            <v>0</v>
          </cell>
          <cell r="N1140">
            <v>0.6</v>
          </cell>
          <cell r="O1140">
            <v>0.8</v>
          </cell>
          <cell r="P1140">
            <v>1.05</v>
          </cell>
          <cell r="Q1140">
            <v>1.1000000000000001</v>
          </cell>
          <cell r="R1140" t="str">
            <v>INTERIOR</v>
          </cell>
          <cell r="S1140">
            <v>5</v>
          </cell>
          <cell r="T1140">
            <v>9</v>
          </cell>
          <cell r="U1140" t="str">
            <v>Ciudad principal</v>
          </cell>
          <cell r="V1140" t="str">
            <v>Light Production Digital Business</v>
          </cell>
          <cell r="W1140" t="str">
            <v>JALISCO</v>
          </cell>
          <cell r="X1140">
            <v>2019</v>
          </cell>
          <cell r="Y1140" t="str">
            <v>Qtr 2</v>
          </cell>
          <cell r="Z1140" t="str">
            <v>April</v>
          </cell>
          <cell r="AA1140">
            <v>26</v>
          </cell>
          <cell r="AB1140">
            <v>1</v>
          </cell>
          <cell r="AC1140">
            <v>4</v>
          </cell>
          <cell r="AD1140">
            <v>0</v>
          </cell>
          <cell r="AE1140">
            <v>0</v>
          </cell>
          <cell r="AF1140">
            <v>0</v>
          </cell>
        </row>
        <row r="1141">
          <cell r="B1141" t="str">
            <v>09HB331857</v>
          </cell>
          <cell r="C1141">
            <v>2019</v>
          </cell>
          <cell r="D1141" t="str">
            <v>Qtr 2</v>
          </cell>
          <cell r="E1141" t="str">
            <v>April</v>
          </cell>
          <cell r="F1141">
            <v>26</v>
          </cell>
          <cell r="G1141" t="str">
            <v>CORRECTIVO</v>
          </cell>
          <cell r="H1141">
            <v>2.65</v>
          </cell>
          <cell r="I1141" t="str">
            <v>A4 Mono MFPs</v>
          </cell>
          <cell r="J1141">
            <v>468</v>
          </cell>
          <cell r="K1141">
            <v>715</v>
          </cell>
          <cell r="L1141">
            <v>0</v>
          </cell>
          <cell r="M1141">
            <v>0</v>
          </cell>
          <cell r="N1141">
            <v>0</v>
          </cell>
          <cell r="O1141">
            <v>0.6</v>
          </cell>
          <cell r="P1141">
            <v>0.8</v>
          </cell>
          <cell r="Q1141">
            <v>1.05</v>
          </cell>
          <cell r="R1141" t="str">
            <v>METRO</v>
          </cell>
          <cell r="S1141">
            <v>5</v>
          </cell>
          <cell r="T1141">
            <v>9</v>
          </cell>
          <cell r="U1141" t="str">
            <v>Ciudad principal</v>
          </cell>
          <cell r="V1141" t="str">
            <v>A4 Mono MFPs</v>
          </cell>
          <cell r="W1141" t="str">
            <v>CIUDAD DE MEXICO</v>
          </cell>
          <cell r="X1141">
            <v>2019</v>
          </cell>
          <cell r="Y1141" t="str">
            <v>Qtr 2</v>
          </cell>
          <cell r="Z1141" t="str">
            <v>April</v>
          </cell>
          <cell r="AA1141">
            <v>26</v>
          </cell>
          <cell r="AB1141">
            <v>1</v>
          </cell>
          <cell r="AC1141">
            <v>71</v>
          </cell>
          <cell r="AD1141">
            <v>0</v>
          </cell>
          <cell r="AE1141">
            <v>0</v>
          </cell>
          <cell r="AF1141">
            <v>0</v>
          </cell>
        </row>
        <row r="1142">
          <cell r="B1142" t="str">
            <v>0E2B665884</v>
          </cell>
          <cell r="C1142">
            <v>2019</v>
          </cell>
          <cell r="D1142" t="str">
            <v>Qtr 2</v>
          </cell>
          <cell r="E1142" t="str">
            <v>April</v>
          </cell>
          <cell r="F1142">
            <v>26</v>
          </cell>
          <cell r="G1142" t="str">
            <v>CORRECTIVO</v>
          </cell>
          <cell r="H1142">
            <v>2.8833329999999999</v>
          </cell>
          <cell r="I1142" t="str">
            <v>Entry Production Color Low/Mid</v>
          </cell>
          <cell r="J1142">
            <v>803</v>
          </cell>
          <cell r="K1142">
            <v>1573</v>
          </cell>
          <cell r="L1142">
            <v>0.2</v>
          </cell>
          <cell r="M1142">
            <v>0.6</v>
          </cell>
          <cell r="N1142">
            <v>0.8</v>
          </cell>
          <cell r="O1142">
            <v>1.05</v>
          </cell>
          <cell r="P1142">
            <v>1.1000000000000001</v>
          </cell>
          <cell r="Q1142">
            <v>1.1499999999999999</v>
          </cell>
          <cell r="R1142" t="str">
            <v>INTERIOR</v>
          </cell>
          <cell r="S1142">
            <v>4</v>
          </cell>
          <cell r="T1142">
            <v>6</v>
          </cell>
          <cell r="U1142" t="str">
            <v>Ciudad principal</v>
          </cell>
          <cell r="V1142" t="str">
            <v>Entry Production Color Low/Mid</v>
          </cell>
          <cell r="W1142" t="str">
            <v>JALISCO</v>
          </cell>
          <cell r="X1142">
            <v>2019</v>
          </cell>
          <cell r="Y1142" t="str">
            <v>Qtr 2</v>
          </cell>
          <cell r="Z1142" t="str">
            <v>April</v>
          </cell>
          <cell r="AA1142">
            <v>26</v>
          </cell>
          <cell r="AB1142">
            <v>0</v>
          </cell>
          <cell r="AC1142">
            <v>44</v>
          </cell>
          <cell r="AD1142">
            <v>1.1000000000000001</v>
          </cell>
          <cell r="AE1142">
            <v>0.72083324999999998</v>
          </cell>
          <cell r="AF1142">
            <v>1730.3</v>
          </cell>
        </row>
        <row r="1143">
          <cell r="B1143" t="str">
            <v>09HB317209</v>
          </cell>
          <cell r="C1143">
            <v>2019</v>
          </cell>
          <cell r="D1143" t="str">
            <v>Qtr 2</v>
          </cell>
          <cell r="E1143" t="str">
            <v>April</v>
          </cell>
          <cell r="F1143">
            <v>26</v>
          </cell>
          <cell r="G1143" t="str">
            <v>CORRECTIVO</v>
          </cell>
          <cell r="H1143">
            <v>1.066667</v>
          </cell>
          <cell r="I1143" t="str">
            <v>A4 Mono MFPs</v>
          </cell>
          <cell r="J1143">
            <v>468</v>
          </cell>
          <cell r="K1143">
            <v>715</v>
          </cell>
          <cell r="L1143">
            <v>0</v>
          </cell>
          <cell r="M1143">
            <v>0</v>
          </cell>
          <cell r="N1143">
            <v>0</v>
          </cell>
          <cell r="O1143">
            <v>0.6</v>
          </cell>
          <cell r="P1143">
            <v>0.8</v>
          </cell>
          <cell r="Q1143">
            <v>1.05</v>
          </cell>
          <cell r="R1143" t="str">
            <v>INTERIOR</v>
          </cell>
          <cell r="S1143">
            <v>5</v>
          </cell>
          <cell r="T1143">
            <v>9</v>
          </cell>
          <cell r="U1143" t="str">
            <v>Ciudad principal</v>
          </cell>
          <cell r="V1143" t="str">
            <v>A4 Mono MFPs</v>
          </cell>
          <cell r="W1143" t="str">
            <v>NUEVO LEON</v>
          </cell>
          <cell r="X1143">
            <v>2019</v>
          </cell>
          <cell r="Y1143" t="str">
            <v>Qtr 2</v>
          </cell>
          <cell r="Z1143" t="str">
            <v>April</v>
          </cell>
          <cell r="AA1143">
            <v>26</v>
          </cell>
          <cell r="AB1143">
            <v>0</v>
          </cell>
          <cell r="AC1143">
            <v>3</v>
          </cell>
          <cell r="AD1143">
            <v>0</v>
          </cell>
          <cell r="AE1143">
            <v>0.21333340000000001</v>
          </cell>
          <cell r="AF1143">
            <v>0</v>
          </cell>
        </row>
        <row r="1144">
          <cell r="B1144" t="str">
            <v>0XLT279452</v>
          </cell>
          <cell r="C1144">
            <v>2019</v>
          </cell>
          <cell r="D1144" t="str">
            <v>Qtr 2</v>
          </cell>
          <cell r="E1144" t="str">
            <v>April</v>
          </cell>
          <cell r="F1144">
            <v>26</v>
          </cell>
          <cell r="G1144" t="str">
            <v>MANTENIMIENTO PREVENTIVO</v>
          </cell>
          <cell r="H1144">
            <v>0</v>
          </cell>
          <cell r="I1144" t="str">
            <v>Entry Mono Printers</v>
          </cell>
          <cell r="J1144">
            <v>468</v>
          </cell>
          <cell r="K1144">
            <v>715</v>
          </cell>
          <cell r="L1144">
            <v>0</v>
          </cell>
          <cell r="M1144">
            <v>0</v>
          </cell>
          <cell r="N1144">
            <v>0</v>
          </cell>
          <cell r="O1144">
            <v>0.6</v>
          </cell>
          <cell r="P1144">
            <v>0.8</v>
          </cell>
          <cell r="Q1144">
            <v>1.05</v>
          </cell>
          <cell r="R1144" t="str">
            <v>INTERIOR</v>
          </cell>
          <cell r="S1144">
            <v>5</v>
          </cell>
          <cell r="T1144">
            <v>9</v>
          </cell>
          <cell r="U1144" t="str">
            <v>Ciudad principal</v>
          </cell>
          <cell r="V1144" t="str">
            <v>Entry Mono Printers</v>
          </cell>
          <cell r="W1144" t="str">
            <v>CHIHUAHUA</v>
          </cell>
          <cell r="X1144">
            <v>2019</v>
          </cell>
          <cell r="Y1144" t="str">
            <v>Qtr 2</v>
          </cell>
          <cell r="Z1144" t="str">
            <v>April</v>
          </cell>
          <cell r="AA1144">
            <v>26</v>
          </cell>
          <cell r="AB1144">
            <v>0</v>
          </cell>
          <cell r="AC1144">
            <v>60</v>
          </cell>
          <cell r="AD1144">
            <v>0</v>
          </cell>
          <cell r="AE1144">
            <v>0</v>
          </cell>
          <cell r="AF1144">
            <v>715</v>
          </cell>
        </row>
        <row r="1145">
          <cell r="B1145" t="str">
            <v>0EX9293999</v>
          </cell>
          <cell r="C1145">
            <v>2019</v>
          </cell>
          <cell r="D1145" t="str">
            <v>Qtr 2</v>
          </cell>
          <cell r="E1145" t="str">
            <v>April</v>
          </cell>
          <cell r="F1145">
            <v>26</v>
          </cell>
          <cell r="G1145" t="str">
            <v>CORRECTIVO</v>
          </cell>
          <cell r="H1145">
            <v>1.1333329999999999</v>
          </cell>
          <cell r="I1145" t="str">
            <v>Departmental Digital</v>
          </cell>
          <cell r="J1145">
            <v>655</v>
          </cell>
          <cell r="K1145">
            <v>1365</v>
          </cell>
          <cell r="L1145">
            <v>0</v>
          </cell>
          <cell r="M1145">
            <v>0</v>
          </cell>
          <cell r="N1145">
            <v>0.6</v>
          </cell>
          <cell r="O1145">
            <v>0.8</v>
          </cell>
          <cell r="P1145">
            <v>1.05</v>
          </cell>
          <cell r="Q1145">
            <v>1.1000000000000001</v>
          </cell>
          <cell r="R1145" t="str">
            <v>INTERIOR</v>
          </cell>
          <cell r="S1145">
            <v>5</v>
          </cell>
          <cell r="T1145">
            <v>9</v>
          </cell>
          <cell r="U1145" t="str">
            <v>Ciudad principal</v>
          </cell>
          <cell r="V1145" t="str">
            <v>Departmental Digital</v>
          </cell>
          <cell r="W1145" t="str">
            <v>GUANAJUATO</v>
          </cell>
          <cell r="X1145">
            <v>2019</v>
          </cell>
          <cell r="Y1145" t="str">
            <v>Qtr 2</v>
          </cell>
          <cell r="Z1145" t="str">
            <v>April</v>
          </cell>
          <cell r="AA1145">
            <v>26</v>
          </cell>
          <cell r="AB1145">
            <v>0</v>
          </cell>
          <cell r="AC1145">
            <v>24</v>
          </cell>
          <cell r="AD1145">
            <v>0.8</v>
          </cell>
          <cell r="AE1145">
            <v>0.2266666</v>
          </cell>
          <cell r="AF1145">
            <v>1092</v>
          </cell>
        </row>
        <row r="1146">
          <cell r="B1146" t="str">
            <v>0BG2946393</v>
          </cell>
          <cell r="C1146">
            <v>2019</v>
          </cell>
          <cell r="D1146" t="str">
            <v>Qtr 2</v>
          </cell>
          <cell r="E1146" t="str">
            <v>April</v>
          </cell>
          <cell r="F1146">
            <v>26</v>
          </cell>
          <cell r="G1146" t="str">
            <v>CORRECTIVO</v>
          </cell>
          <cell r="H1146">
            <v>0.53333339999999996</v>
          </cell>
          <cell r="I1146" t="str">
            <v>Light Production Digital Business</v>
          </cell>
          <cell r="J1146">
            <v>803</v>
          </cell>
          <cell r="K1146">
            <v>1573</v>
          </cell>
          <cell r="L1146">
            <v>0.2</v>
          </cell>
          <cell r="M1146">
            <v>0.6</v>
          </cell>
          <cell r="N1146">
            <v>0.8</v>
          </cell>
          <cell r="O1146">
            <v>1.05</v>
          </cell>
          <cell r="P1146">
            <v>1.1000000000000001</v>
          </cell>
          <cell r="Q1146">
            <v>1.1499999999999999</v>
          </cell>
          <cell r="R1146" t="str">
            <v>INTERIOR</v>
          </cell>
          <cell r="S1146">
            <v>4</v>
          </cell>
          <cell r="T1146">
            <v>6</v>
          </cell>
          <cell r="U1146" t="str">
            <v>Ciudad principal</v>
          </cell>
          <cell r="V1146" t="str">
            <v>High End Cut Sheet</v>
          </cell>
          <cell r="W1146" t="str">
            <v>GUANAJUATO</v>
          </cell>
          <cell r="X1146">
            <v>2019</v>
          </cell>
          <cell r="Y1146" t="str">
            <v>Qtr 2</v>
          </cell>
          <cell r="Z1146" t="str">
            <v>April</v>
          </cell>
          <cell r="AA1146">
            <v>26</v>
          </cell>
          <cell r="AB1146">
            <v>0</v>
          </cell>
          <cell r="AC1146">
            <v>31</v>
          </cell>
          <cell r="AD1146">
            <v>1.1000000000000001</v>
          </cell>
          <cell r="AE1146">
            <v>0.13333334999999999</v>
          </cell>
          <cell r="AF1146">
            <v>1730.3</v>
          </cell>
        </row>
        <row r="1147">
          <cell r="B1147" t="str">
            <v>03AG880297</v>
          </cell>
          <cell r="C1147">
            <v>2019</v>
          </cell>
          <cell r="D1147" t="str">
            <v>Qtr 2</v>
          </cell>
          <cell r="E1147" t="str">
            <v>April</v>
          </cell>
          <cell r="F1147">
            <v>26</v>
          </cell>
          <cell r="G1147" t="str">
            <v>CORRECTIVO</v>
          </cell>
          <cell r="H1147">
            <v>1.733333</v>
          </cell>
          <cell r="I1147" t="str">
            <v>Departmental Digital</v>
          </cell>
          <cell r="J1147">
            <v>655</v>
          </cell>
          <cell r="K1147">
            <v>1365</v>
          </cell>
          <cell r="L1147">
            <v>0</v>
          </cell>
          <cell r="M1147">
            <v>0</v>
          </cell>
          <cell r="N1147">
            <v>0.6</v>
          </cell>
          <cell r="O1147">
            <v>0.8</v>
          </cell>
          <cell r="P1147">
            <v>1.05</v>
          </cell>
          <cell r="Q1147">
            <v>1.1000000000000001</v>
          </cell>
          <cell r="R1147" t="str">
            <v>INTERIOR</v>
          </cell>
          <cell r="S1147">
            <v>5</v>
          </cell>
          <cell r="T1147">
            <v>9</v>
          </cell>
          <cell r="U1147" t="str">
            <v>Ciudad principal</v>
          </cell>
          <cell r="V1147" t="str">
            <v>Light Production Digital Business</v>
          </cell>
          <cell r="W1147" t="str">
            <v>JALISCO</v>
          </cell>
          <cell r="X1147">
            <v>2019</v>
          </cell>
          <cell r="Y1147" t="str">
            <v>Qtr 2</v>
          </cell>
          <cell r="Z1147" t="str">
            <v>April</v>
          </cell>
          <cell r="AA1147">
            <v>26</v>
          </cell>
          <cell r="AB1147">
            <v>0</v>
          </cell>
          <cell r="AC1147">
            <v>8</v>
          </cell>
          <cell r="AD1147">
            <v>0.6</v>
          </cell>
          <cell r="AE1147">
            <v>0.34666659999999999</v>
          </cell>
          <cell r="AF1147">
            <v>819</v>
          </cell>
        </row>
        <row r="1148">
          <cell r="B1148" t="str">
            <v>0D6X463460</v>
          </cell>
          <cell r="C1148">
            <v>2019</v>
          </cell>
          <cell r="D1148" t="str">
            <v>Qtr 2</v>
          </cell>
          <cell r="E1148" t="str">
            <v>April</v>
          </cell>
          <cell r="F1148">
            <v>26</v>
          </cell>
          <cell r="G1148" t="str">
            <v>CORRECTIVO</v>
          </cell>
          <cell r="H1148">
            <v>0</v>
          </cell>
          <cell r="I1148" t="str">
            <v>Entry Mono Printers</v>
          </cell>
          <cell r="J1148">
            <v>468</v>
          </cell>
          <cell r="K1148">
            <v>715</v>
          </cell>
          <cell r="L1148">
            <v>0</v>
          </cell>
          <cell r="M1148">
            <v>0</v>
          </cell>
          <cell r="N1148">
            <v>0</v>
          </cell>
          <cell r="O1148">
            <v>0.6</v>
          </cell>
          <cell r="P1148">
            <v>0.8</v>
          </cell>
          <cell r="Q1148">
            <v>1.05</v>
          </cell>
          <cell r="R1148" t="str">
            <v>INTERIOR</v>
          </cell>
          <cell r="S1148">
            <v>5</v>
          </cell>
          <cell r="T1148">
            <v>9</v>
          </cell>
          <cell r="U1148" t="str">
            <v>Ciudad principal</v>
          </cell>
          <cell r="V1148" t="str">
            <v>Entry Mono Printers</v>
          </cell>
          <cell r="W1148" t="str">
            <v>CHIHUAHUA</v>
          </cell>
          <cell r="X1148">
            <v>2019</v>
          </cell>
          <cell r="Y1148" t="str">
            <v>Qtr 2</v>
          </cell>
          <cell r="Z1148" t="str">
            <v>April</v>
          </cell>
          <cell r="AA1148">
            <v>30</v>
          </cell>
          <cell r="AB1148">
            <v>0</v>
          </cell>
          <cell r="AC1148">
            <v>253</v>
          </cell>
          <cell r="AD1148">
            <v>1.05</v>
          </cell>
          <cell r="AE1148">
            <v>0</v>
          </cell>
          <cell r="AF1148">
            <v>750.75</v>
          </cell>
        </row>
        <row r="1149">
          <cell r="B1149" t="str">
            <v>0AE9196230</v>
          </cell>
          <cell r="C1149">
            <v>2019</v>
          </cell>
          <cell r="D1149" t="str">
            <v>Qtr 2</v>
          </cell>
          <cell r="E1149" t="str">
            <v>April</v>
          </cell>
          <cell r="F1149">
            <v>26</v>
          </cell>
          <cell r="G1149" t="str">
            <v>CORRECTIVO</v>
          </cell>
          <cell r="H1149">
            <v>0.63333329999999999</v>
          </cell>
          <cell r="J1149" t="str">
            <v>NA</v>
          </cell>
          <cell r="K1149" t="str">
            <v>NA</v>
          </cell>
          <cell r="L1149" t="str">
            <v>NA</v>
          </cell>
          <cell r="M1149" t="str">
            <v>NA</v>
          </cell>
          <cell r="N1149" t="str">
            <v>NA</v>
          </cell>
          <cell r="O1149" t="str">
            <v>NA</v>
          </cell>
          <cell r="P1149" t="str">
            <v>NA</v>
          </cell>
          <cell r="Q1149" t="str">
            <v>NA</v>
          </cell>
          <cell r="S1149" t="str">
            <v>NA</v>
          </cell>
          <cell r="T1149" t="str">
            <v>NA</v>
          </cell>
          <cell r="V1149" t="str">
            <v>Departmental Digital</v>
          </cell>
          <cell r="W1149" t="str">
            <v>COAHUILA</v>
          </cell>
          <cell r="X1149">
            <v>2019</v>
          </cell>
          <cell r="Y1149" t="str">
            <v>Qtr 2</v>
          </cell>
          <cell r="Z1149" t="str">
            <v>April</v>
          </cell>
          <cell r="AA1149">
            <v>30</v>
          </cell>
          <cell r="AB1149" t="str">
            <v>NA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</row>
        <row r="1150">
          <cell r="B1150" t="str">
            <v>0AE9563383</v>
          </cell>
          <cell r="C1150">
            <v>2019</v>
          </cell>
          <cell r="D1150" t="str">
            <v>Qtr 2</v>
          </cell>
          <cell r="E1150" t="str">
            <v>April</v>
          </cell>
          <cell r="F1150">
            <v>26</v>
          </cell>
          <cell r="G1150" t="str">
            <v>INSTALACION NUEVA</v>
          </cell>
          <cell r="H1150">
            <v>0</v>
          </cell>
          <cell r="J1150" t="str">
            <v>NA</v>
          </cell>
          <cell r="K1150" t="str">
            <v>NA</v>
          </cell>
          <cell r="L1150" t="str">
            <v>NA</v>
          </cell>
          <cell r="M1150" t="str">
            <v>NA</v>
          </cell>
          <cell r="N1150" t="str">
            <v>NA</v>
          </cell>
          <cell r="O1150" t="str">
            <v>NA</v>
          </cell>
          <cell r="P1150" t="str">
            <v>NA</v>
          </cell>
          <cell r="Q1150" t="str">
            <v>NA</v>
          </cell>
          <cell r="S1150" t="str">
            <v>NA</v>
          </cell>
          <cell r="T1150" t="str">
            <v>NA</v>
          </cell>
          <cell r="V1150" t="str">
            <v>Departmental Digital</v>
          </cell>
          <cell r="W1150" t="str">
            <v>SAN LUIS POTOSI</v>
          </cell>
          <cell r="X1150">
            <v>2019</v>
          </cell>
          <cell r="Y1150" t="str">
            <v>Qtr 2</v>
          </cell>
          <cell r="Z1150" t="str">
            <v>April</v>
          </cell>
          <cell r="AA1150">
            <v>29</v>
          </cell>
          <cell r="AB1150" t="str">
            <v>NA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</row>
        <row r="1151">
          <cell r="B1151" t="str">
            <v>09HB330752</v>
          </cell>
          <cell r="C1151">
            <v>2019</v>
          </cell>
          <cell r="D1151" t="str">
            <v>Qtr 2</v>
          </cell>
          <cell r="E1151" t="str">
            <v>April</v>
          </cell>
          <cell r="F1151">
            <v>26</v>
          </cell>
          <cell r="G1151" t="str">
            <v>CORRECTIVO</v>
          </cell>
          <cell r="H1151">
            <v>1.95</v>
          </cell>
          <cell r="J1151" t="str">
            <v>NA</v>
          </cell>
          <cell r="K1151" t="str">
            <v>NA</v>
          </cell>
          <cell r="L1151" t="str">
            <v>NA</v>
          </cell>
          <cell r="M1151" t="str">
            <v>NA</v>
          </cell>
          <cell r="N1151" t="str">
            <v>NA</v>
          </cell>
          <cell r="O1151" t="str">
            <v>NA</v>
          </cell>
          <cell r="P1151" t="str">
            <v>NA</v>
          </cell>
          <cell r="Q1151" t="str">
            <v>NA</v>
          </cell>
          <cell r="S1151" t="str">
            <v>NA</v>
          </cell>
          <cell r="T1151" t="str">
            <v>NA</v>
          </cell>
          <cell r="V1151" t="str">
            <v>A4 Mono MFPs</v>
          </cell>
          <cell r="W1151" t="str">
            <v>CIUDAD DE MEXICO</v>
          </cell>
          <cell r="X1151">
            <v>2019</v>
          </cell>
          <cell r="Y1151" t="str">
            <v>Qtr 2</v>
          </cell>
          <cell r="Z1151" t="str">
            <v>April</v>
          </cell>
          <cell r="AA1151">
            <v>26</v>
          </cell>
          <cell r="AB1151" t="str">
            <v>NA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</row>
        <row r="1152">
          <cell r="B1152" t="str">
            <v>09HB331584</v>
          </cell>
          <cell r="C1152">
            <v>2019</v>
          </cell>
          <cell r="D1152" t="str">
            <v>Qtr 2</v>
          </cell>
          <cell r="E1152" t="str">
            <v>April</v>
          </cell>
          <cell r="F1152">
            <v>26</v>
          </cell>
          <cell r="G1152" t="str">
            <v>CONFIGURACION</v>
          </cell>
          <cell r="H1152">
            <v>0</v>
          </cell>
          <cell r="I1152" t="str">
            <v>A4 Mono MFPs</v>
          </cell>
          <cell r="J1152">
            <v>468</v>
          </cell>
          <cell r="K1152">
            <v>715</v>
          </cell>
          <cell r="L1152">
            <v>0</v>
          </cell>
          <cell r="M1152">
            <v>0</v>
          </cell>
          <cell r="N1152">
            <v>0</v>
          </cell>
          <cell r="O1152">
            <v>0.6</v>
          </cell>
          <cell r="P1152">
            <v>0.8</v>
          </cell>
          <cell r="Q1152">
            <v>1.05</v>
          </cell>
          <cell r="R1152" t="str">
            <v>INTERIOR</v>
          </cell>
          <cell r="S1152">
            <v>5</v>
          </cell>
          <cell r="T1152">
            <v>9</v>
          </cell>
          <cell r="U1152" t="str">
            <v>Ciudad principal</v>
          </cell>
          <cell r="V1152" t="str">
            <v>A4 Mono MFPs</v>
          </cell>
          <cell r="W1152" t="str">
            <v>JALISCO</v>
          </cell>
          <cell r="X1152">
            <v>2019</v>
          </cell>
          <cell r="Y1152" t="str">
            <v>Qtr 2</v>
          </cell>
          <cell r="Z1152" t="str">
            <v>April</v>
          </cell>
          <cell r="AA1152">
            <v>26</v>
          </cell>
          <cell r="AB1152">
            <v>1</v>
          </cell>
          <cell r="AC1152">
            <v>9</v>
          </cell>
          <cell r="AD1152">
            <v>0</v>
          </cell>
          <cell r="AE1152">
            <v>0</v>
          </cell>
          <cell r="AF1152">
            <v>0</v>
          </cell>
        </row>
        <row r="1153">
          <cell r="B1153" t="str">
            <v>03AG879576</v>
          </cell>
          <cell r="C1153">
            <v>2019</v>
          </cell>
          <cell r="D1153" t="str">
            <v>Qtr 2</v>
          </cell>
          <cell r="E1153" t="str">
            <v>April</v>
          </cell>
          <cell r="F1153">
            <v>26</v>
          </cell>
          <cell r="G1153" t="str">
            <v>CORRECTIVO</v>
          </cell>
          <cell r="H1153">
            <v>0.86666670000000001</v>
          </cell>
          <cell r="I1153" t="str">
            <v>Departmental Digital</v>
          </cell>
          <cell r="J1153">
            <v>655</v>
          </cell>
          <cell r="K1153">
            <v>1365</v>
          </cell>
          <cell r="L1153">
            <v>0</v>
          </cell>
          <cell r="M1153">
            <v>0</v>
          </cell>
          <cell r="N1153">
            <v>0.6</v>
          </cell>
          <cell r="O1153">
            <v>0.8</v>
          </cell>
          <cell r="P1153">
            <v>1.05</v>
          </cell>
          <cell r="Q1153">
            <v>1.1000000000000001</v>
          </cell>
          <cell r="R1153" t="str">
            <v>INTERIOR</v>
          </cell>
          <cell r="S1153">
            <v>5</v>
          </cell>
          <cell r="T1153">
            <v>9</v>
          </cell>
          <cell r="U1153" t="str">
            <v>Ciudad principal</v>
          </cell>
          <cell r="V1153" t="str">
            <v>Light Production Digital Business</v>
          </cell>
          <cell r="W1153" t="str">
            <v>GUANAJUATO</v>
          </cell>
          <cell r="X1153">
            <v>2019</v>
          </cell>
          <cell r="Y1153" t="str">
            <v>Qtr 2</v>
          </cell>
          <cell r="Z1153" t="str">
            <v>April</v>
          </cell>
          <cell r="AA1153">
            <v>26</v>
          </cell>
          <cell r="AB1153">
            <v>0</v>
          </cell>
          <cell r="AC1153">
            <v>32</v>
          </cell>
          <cell r="AD1153">
            <v>1.05</v>
          </cell>
          <cell r="AE1153">
            <v>0.17333334</v>
          </cell>
          <cell r="AF1153">
            <v>1433.25</v>
          </cell>
        </row>
        <row r="1154">
          <cell r="B1154" t="str">
            <v>09HB331587</v>
          </cell>
          <cell r="C1154">
            <v>2019</v>
          </cell>
          <cell r="D1154" t="str">
            <v>Qtr 2</v>
          </cell>
          <cell r="E1154" t="str">
            <v>April</v>
          </cell>
          <cell r="F1154">
            <v>26</v>
          </cell>
          <cell r="G1154" t="str">
            <v>CONFIGURACION</v>
          </cell>
          <cell r="H1154">
            <v>0</v>
          </cell>
          <cell r="I1154" t="str">
            <v>A4 Mono MFPs</v>
          </cell>
          <cell r="J1154">
            <v>468</v>
          </cell>
          <cell r="K1154">
            <v>715</v>
          </cell>
          <cell r="L1154">
            <v>0</v>
          </cell>
          <cell r="M1154">
            <v>0</v>
          </cell>
          <cell r="N1154">
            <v>0</v>
          </cell>
          <cell r="O1154">
            <v>0.6</v>
          </cell>
          <cell r="P1154">
            <v>0.8</v>
          </cell>
          <cell r="Q1154">
            <v>1.05</v>
          </cell>
          <cell r="R1154" t="str">
            <v>INTERIOR</v>
          </cell>
          <cell r="S1154">
            <v>5</v>
          </cell>
          <cell r="T1154">
            <v>9</v>
          </cell>
          <cell r="U1154" t="str">
            <v>Ciudad principal</v>
          </cell>
          <cell r="V1154" t="str">
            <v>A4 Mono MFPs</v>
          </cell>
          <cell r="W1154" t="str">
            <v>JALISCO</v>
          </cell>
          <cell r="X1154">
            <v>2019</v>
          </cell>
          <cell r="Y1154" t="str">
            <v>Qtr 2</v>
          </cell>
          <cell r="Z1154" t="str">
            <v>April</v>
          </cell>
          <cell r="AA1154">
            <v>26</v>
          </cell>
          <cell r="AB1154">
            <v>1</v>
          </cell>
          <cell r="AC1154">
            <v>49</v>
          </cell>
          <cell r="AD1154">
            <v>0</v>
          </cell>
          <cell r="AE1154">
            <v>0</v>
          </cell>
          <cell r="AF1154">
            <v>0</v>
          </cell>
        </row>
        <row r="1155">
          <cell r="B1155" t="str">
            <v>09HB331908</v>
          </cell>
          <cell r="C1155">
            <v>2019</v>
          </cell>
          <cell r="D1155" t="str">
            <v>Qtr 2</v>
          </cell>
          <cell r="E1155" t="str">
            <v>April</v>
          </cell>
          <cell r="F1155">
            <v>26</v>
          </cell>
          <cell r="G1155" t="str">
            <v>MANTENIMIENTO PREVENTIVO</v>
          </cell>
          <cell r="H1155">
            <v>0</v>
          </cell>
          <cell r="J1155" t="str">
            <v>NA</v>
          </cell>
          <cell r="K1155" t="str">
            <v>NA</v>
          </cell>
          <cell r="L1155" t="str">
            <v>NA</v>
          </cell>
          <cell r="M1155" t="str">
            <v>NA</v>
          </cell>
          <cell r="N1155" t="str">
            <v>NA</v>
          </cell>
          <cell r="O1155" t="str">
            <v>NA</v>
          </cell>
          <cell r="P1155" t="str">
            <v>NA</v>
          </cell>
          <cell r="Q1155" t="str">
            <v>NA</v>
          </cell>
          <cell r="S1155" t="str">
            <v>NA</v>
          </cell>
          <cell r="T1155" t="str">
            <v>NA</v>
          </cell>
          <cell r="V1155" t="str">
            <v>A4 Mono MFPs</v>
          </cell>
          <cell r="W1155" t="str">
            <v>JALISCO</v>
          </cell>
          <cell r="X1155">
            <v>2019</v>
          </cell>
          <cell r="Y1155" t="str">
            <v>Qtr 2</v>
          </cell>
          <cell r="Z1155" t="str">
            <v>April</v>
          </cell>
          <cell r="AA1155">
            <v>26</v>
          </cell>
          <cell r="AB1155" t="str">
            <v>NA</v>
          </cell>
          <cell r="AC1155">
            <v>37</v>
          </cell>
          <cell r="AD1155">
            <v>0</v>
          </cell>
          <cell r="AE1155">
            <v>0</v>
          </cell>
          <cell r="AF1155">
            <v>0</v>
          </cell>
        </row>
        <row r="1156">
          <cell r="B1156" t="str">
            <v>0XPN387885</v>
          </cell>
          <cell r="C1156">
            <v>2019</v>
          </cell>
          <cell r="D1156" t="str">
            <v>Qtr 2</v>
          </cell>
          <cell r="E1156" t="str">
            <v>April</v>
          </cell>
          <cell r="F1156">
            <v>26</v>
          </cell>
          <cell r="G1156" t="str">
            <v>CORRECTIVO</v>
          </cell>
          <cell r="H1156">
            <v>3.3333340000000003E-2</v>
          </cell>
          <cell r="I1156" t="str">
            <v>Entry Production Color Low/Mid</v>
          </cell>
          <cell r="J1156">
            <v>803</v>
          </cell>
          <cell r="K1156">
            <v>1573</v>
          </cell>
          <cell r="L1156">
            <v>0.2</v>
          </cell>
          <cell r="M1156">
            <v>0.6</v>
          </cell>
          <cell r="N1156">
            <v>0.8</v>
          </cell>
          <cell r="O1156">
            <v>1.05</v>
          </cell>
          <cell r="P1156">
            <v>1.1000000000000001</v>
          </cell>
          <cell r="Q1156">
            <v>1.1499999999999999</v>
          </cell>
          <cell r="R1156" t="str">
            <v>INTERIOR</v>
          </cell>
          <cell r="S1156">
            <v>4</v>
          </cell>
          <cell r="T1156">
            <v>6</v>
          </cell>
          <cell r="U1156" t="str">
            <v>Ciudad principal</v>
          </cell>
          <cell r="V1156" t="str">
            <v>Entry Production Color Low/Mid</v>
          </cell>
          <cell r="W1156" t="str">
            <v>JALISCO</v>
          </cell>
          <cell r="X1156">
            <v>2019</v>
          </cell>
          <cell r="Y1156" t="str">
            <v>Qtr 2</v>
          </cell>
          <cell r="Z1156" t="str">
            <v>April</v>
          </cell>
          <cell r="AA1156">
            <v>30</v>
          </cell>
          <cell r="AB1156">
            <v>0</v>
          </cell>
          <cell r="AC1156">
            <v>32</v>
          </cell>
          <cell r="AD1156">
            <v>1.1000000000000001</v>
          </cell>
          <cell r="AE1156">
            <v>8.3333350000000007E-3</v>
          </cell>
          <cell r="AF1156">
            <v>1730.3</v>
          </cell>
        </row>
        <row r="1157">
          <cell r="B1157" t="str">
            <v>0E2B646616</v>
          </cell>
          <cell r="C1157">
            <v>2019</v>
          </cell>
          <cell r="D1157" t="str">
            <v>Qtr 2</v>
          </cell>
          <cell r="E1157" t="str">
            <v>April</v>
          </cell>
          <cell r="F1157">
            <v>26</v>
          </cell>
          <cell r="G1157" t="str">
            <v>CORRECTIVO</v>
          </cell>
          <cell r="H1157">
            <v>1.1666669999999999</v>
          </cell>
          <cell r="I1157" t="str">
            <v>Entry Production Color Low/Mid</v>
          </cell>
          <cell r="J1157">
            <v>803</v>
          </cell>
          <cell r="K1157">
            <v>1573</v>
          </cell>
          <cell r="L1157">
            <v>0.2</v>
          </cell>
          <cell r="M1157">
            <v>0.6</v>
          </cell>
          <cell r="N1157">
            <v>0.8</v>
          </cell>
          <cell r="O1157">
            <v>1.05</v>
          </cell>
          <cell r="P1157">
            <v>1.1000000000000001</v>
          </cell>
          <cell r="Q1157">
            <v>1.1499999999999999</v>
          </cell>
          <cell r="R1157" t="str">
            <v>INTERIOR</v>
          </cell>
          <cell r="S1157">
            <v>4</v>
          </cell>
          <cell r="T1157">
            <v>6</v>
          </cell>
          <cell r="U1157" t="str">
            <v>Ciudad principal</v>
          </cell>
          <cell r="V1157" t="str">
            <v>Entry Production Color Low/Mid</v>
          </cell>
          <cell r="W1157" t="str">
            <v>JALISCO</v>
          </cell>
          <cell r="X1157">
            <v>2019</v>
          </cell>
          <cell r="Y1157" t="str">
            <v>Qtr 2</v>
          </cell>
          <cell r="Z1157" t="str">
            <v>April</v>
          </cell>
          <cell r="AA1157">
            <v>29</v>
          </cell>
          <cell r="AB1157">
            <v>0</v>
          </cell>
          <cell r="AC1157">
            <v>24</v>
          </cell>
          <cell r="AD1157">
            <v>1.05</v>
          </cell>
          <cell r="AE1157">
            <v>0.29166674999999997</v>
          </cell>
          <cell r="AF1157">
            <v>1651.65</v>
          </cell>
        </row>
        <row r="1158">
          <cell r="B1158" t="str">
            <v>0EX9286123</v>
          </cell>
          <cell r="C1158">
            <v>2019</v>
          </cell>
          <cell r="D1158" t="str">
            <v>Qtr 2</v>
          </cell>
          <cell r="E1158" t="str">
            <v>April</v>
          </cell>
          <cell r="F1158">
            <v>26</v>
          </cell>
          <cell r="G1158" t="str">
            <v>CORRECTIVO</v>
          </cell>
          <cell r="H1158">
            <v>0</v>
          </cell>
          <cell r="I1158" t="str">
            <v>Departmental Digital</v>
          </cell>
          <cell r="J1158">
            <v>655</v>
          </cell>
          <cell r="K1158">
            <v>1365</v>
          </cell>
          <cell r="L1158">
            <v>0</v>
          </cell>
          <cell r="M1158">
            <v>0</v>
          </cell>
          <cell r="N1158">
            <v>0.6</v>
          </cell>
          <cell r="O1158">
            <v>0.8</v>
          </cell>
          <cell r="P1158">
            <v>1.05</v>
          </cell>
          <cell r="Q1158">
            <v>1.1000000000000001</v>
          </cell>
          <cell r="R1158" t="str">
            <v>INTERIOR</v>
          </cell>
          <cell r="S1158">
            <v>5</v>
          </cell>
          <cell r="T1158">
            <v>9</v>
          </cell>
          <cell r="U1158" t="str">
            <v>Ciudad principal</v>
          </cell>
          <cell r="V1158" t="str">
            <v>Departmental Digital</v>
          </cell>
          <cell r="W1158" t="str">
            <v>DURANGO</v>
          </cell>
          <cell r="X1158">
            <v>2019</v>
          </cell>
          <cell r="Y1158" t="str">
            <v>Qtr 2</v>
          </cell>
          <cell r="Z1158" t="str">
            <v>April</v>
          </cell>
          <cell r="AA1158">
            <v>29</v>
          </cell>
          <cell r="AB1158">
            <v>0</v>
          </cell>
          <cell r="AC1158">
            <v>2</v>
          </cell>
          <cell r="AD1158">
            <v>0</v>
          </cell>
          <cell r="AE1158">
            <v>0</v>
          </cell>
          <cell r="AF1158">
            <v>0</v>
          </cell>
        </row>
        <row r="1159">
          <cell r="B1159" t="str">
            <v>09HB331384</v>
          </cell>
          <cell r="C1159">
            <v>2019</v>
          </cell>
          <cell r="D1159" t="str">
            <v>Qtr 2</v>
          </cell>
          <cell r="E1159" t="str">
            <v>April</v>
          </cell>
          <cell r="F1159">
            <v>26</v>
          </cell>
          <cell r="G1159" t="str">
            <v>MANTENIMIENTO PREVENTIVO</v>
          </cell>
          <cell r="H1159">
            <v>0</v>
          </cell>
          <cell r="J1159" t="str">
            <v>NA</v>
          </cell>
          <cell r="K1159" t="str">
            <v>NA</v>
          </cell>
          <cell r="L1159" t="str">
            <v>NA</v>
          </cell>
          <cell r="M1159" t="str">
            <v>NA</v>
          </cell>
          <cell r="N1159" t="str">
            <v>NA</v>
          </cell>
          <cell r="O1159" t="str">
            <v>NA</v>
          </cell>
          <cell r="P1159" t="str">
            <v>NA</v>
          </cell>
          <cell r="Q1159" t="str">
            <v>NA</v>
          </cell>
          <cell r="S1159" t="str">
            <v>NA</v>
          </cell>
          <cell r="T1159" t="str">
            <v>NA</v>
          </cell>
          <cell r="V1159" t="str">
            <v>A4 Mono MFPs</v>
          </cell>
          <cell r="W1159" t="str">
            <v>JALISCO</v>
          </cell>
          <cell r="X1159">
            <v>2019</v>
          </cell>
          <cell r="Y1159" t="str">
            <v>Qtr 2</v>
          </cell>
          <cell r="Z1159" t="str">
            <v>April</v>
          </cell>
          <cell r="AA1159">
            <v>26</v>
          </cell>
          <cell r="AB1159" t="str">
            <v>NA</v>
          </cell>
          <cell r="AC1159">
            <v>21</v>
          </cell>
          <cell r="AD1159">
            <v>0</v>
          </cell>
          <cell r="AE1159">
            <v>0</v>
          </cell>
          <cell r="AF1159">
            <v>0</v>
          </cell>
        </row>
        <row r="1160">
          <cell r="B1160" t="str">
            <v>0A4T557980</v>
          </cell>
          <cell r="C1160">
            <v>2019</v>
          </cell>
          <cell r="D1160" t="str">
            <v>Qtr 2</v>
          </cell>
          <cell r="E1160" t="str">
            <v>April</v>
          </cell>
          <cell r="F1160">
            <v>26</v>
          </cell>
          <cell r="G1160" t="str">
            <v>CORRECTIVO</v>
          </cell>
          <cell r="H1160">
            <v>0.28333330000000001</v>
          </cell>
          <cell r="I1160" t="str">
            <v>Entry Mono Printers</v>
          </cell>
          <cell r="J1160">
            <v>468</v>
          </cell>
          <cell r="K1160">
            <v>715</v>
          </cell>
          <cell r="L1160">
            <v>0</v>
          </cell>
          <cell r="M1160">
            <v>0</v>
          </cell>
          <cell r="N1160">
            <v>0</v>
          </cell>
          <cell r="O1160">
            <v>0.6</v>
          </cell>
          <cell r="P1160">
            <v>0.8</v>
          </cell>
          <cell r="Q1160">
            <v>1.05</v>
          </cell>
          <cell r="R1160" t="str">
            <v>INTERIOR</v>
          </cell>
          <cell r="S1160">
            <v>5</v>
          </cell>
          <cell r="T1160">
            <v>9</v>
          </cell>
          <cell r="U1160" t="str">
            <v>Ciudad principal</v>
          </cell>
          <cell r="V1160" t="str">
            <v>A4 Mono MFPs</v>
          </cell>
          <cell r="W1160" t="str">
            <v>JALISCO</v>
          </cell>
          <cell r="X1160">
            <v>2019</v>
          </cell>
          <cell r="Y1160" t="str">
            <v>Qtr 2</v>
          </cell>
          <cell r="Z1160" t="str">
            <v>April</v>
          </cell>
          <cell r="AA1160">
            <v>29</v>
          </cell>
          <cell r="AB1160">
            <v>0</v>
          </cell>
          <cell r="AC1160">
            <v>179</v>
          </cell>
          <cell r="AD1160">
            <v>1.05</v>
          </cell>
          <cell r="AE1160">
            <v>5.6666660000000001E-2</v>
          </cell>
          <cell r="AF1160">
            <v>750.75</v>
          </cell>
        </row>
        <row r="1161">
          <cell r="B1161" t="str">
            <v>0PW4000006</v>
          </cell>
          <cell r="C1161">
            <v>2019</v>
          </cell>
          <cell r="D1161" t="str">
            <v>Qtr 2</v>
          </cell>
          <cell r="E1161" t="str">
            <v>April</v>
          </cell>
          <cell r="F1161">
            <v>26</v>
          </cell>
          <cell r="G1161" t="str">
            <v>CORRECTIVO</v>
          </cell>
          <cell r="H1161">
            <v>1</v>
          </cell>
          <cell r="I1161" t="str">
            <v>WF Mono Systems and Legacy Color</v>
          </cell>
          <cell r="J1161">
            <v>803</v>
          </cell>
          <cell r="K1161">
            <v>1573</v>
          </cell>
          <cell r="L1161">
            <v>0.2</v>
          </cell>
          <cell r="M1161">
            <v>0.6</v>
          </cell>
          <cell r="N1161">
            <v>0.8</v>
          </cell>
          <cell r="O1161">
            <v>1.05</v>
          </cell>
          <cell r="P1161">
            <v>1.1000000000000001</v>
          </cell>
          <cell r="Q1161">
            <v>1.1499999999999999</v>
          </cell>
          <cell r="R1161" t="str">
            <v>INTERIOR</v>
          </cell>
          <cell r="S1161">
            <v>4</v>
          </cell>
          <cell r="T1161">
            <v>6</v>
          </cell>
          <cell r="U1161" t="str">
            <v>Ciudad principal</v>
          </cell>
          <cell r="V1161" t="str">
            <v>WF Mono Systems and Legacy Color</v>
          </cell>
          <cell r="W1161" t="str">
            <v>TAMAULIPAS</v>
          </cell>
          <cell r="X1161">
            <v>2019</v>
          </cell>
          <cell r="Y1161" t="str">
            <v>Qtr 2</v>
          </cell>
          <cell r="Z1161" t="str">
            <v>April</v>
          </cell>
          <cell r="AA1161">
            <v>29</v>
          </cell>
          <cell r="AB1161">
            <v>0</v>
          </cell>
          <cell r="AC1161">
            <v>94</v>
          </cell>
          <cell r="AD1161">
            <v>1.1499999999999999</v>
          </cell>
          <cell r="AE1161">
            <v>0.25</v>
          </cell>
          <cell r="AF1161">
            <v>1808.95</v>
          </cell>
        </row>
        <row r="1162">
          <cell r="B1162" t="str">
            <v>0A4T558519</v>
          </cell>
          <cell r="C1162">
            <v>2019</v>
          </cell>
          <cell r="D1162" t="str">
            <v>Qtr 2</v>
          </cell>
          <cell r="E1162" t="str">
            <v>April</v>
          </cell>
          <cell r="F1162">
            <v>26</v>
          </cell>
          <cell r="G1162" t="str">
            <v>CORRECTIVO</v>
          </cell>
          <cell r="H1162">
            <v>2.266667</v>
          </cell>
          <cell r="I1162" t="str">
            <v>Entry Mono Printers</v>
          </cell>
          <cell r="J1162">
            <v>468</v>
          </cell>
          <cell r="K1162">
            <v>715</v>
          </cell>
          <cell r="L1162">
            <v>0</v>
          </cell>
          <cell r="M1162">
            <v>0</v>
          </cell>
          <cell r="N1162">
            <v>0</v>
          </cell>
          <cell r="O1162">
            <v>0.6</v>
          </cell>
          <cell r="P1162">
            <v>0.8</v>
          </cell>
          <cell r="Q1162">
            <v>1.05</v>
          </cell>
          <cell r="R1162" t="str">
            <v>INTERIOR</v>
          </cell>
          <cell r="S1162">
            <v>5</v>
          </cell>
          <cell r="T1162">
            <v>9</v>
          </cell>
          <cell r="U1162" t="str">
            <v>Ciudad principal</v>
          </cell>
          <cell r="V1162" t="str">
            <v>A4 Mono MFPs</v>
          </cell>
          <cell r="W1162" t="str">
            <v>JALISCO</v>
          </cell>
          <cell r="X1162">
            <v>2019</v>
          </cell>
          <cell r="Y1162" t="str">
            <v>Qtr 2</v>
          </cell>
          <cell r="Z1162" t="str">
            <v>April</v>
          </cell>
          <cell r="AA1162">
            <v>29</v>
          </cell>
          <cell r="AB1162">
            <v>0</v>
          </cell>
          <cell r="AC1162">
            <v>389</v>
          </cell>
          <cell r="AD1162">
            <v>1.05</v>
          </cell>
          <cell r="AE1162">
            <v>0.4533334</v>
          </cell>
          <cell r="AF1162">
            <v>750.75</v>
          </cell>
        </row>
        <row r="1163">
          <cell r="B1163" t="str">
            <v>09HB331791</v>
          </cell>
          <cell r="C1163">
            <v>2019</v>
          </cell>
          <cell r="D1163" t="str">
            <v>Qtr 2</v>
          </cell>
          <cell r="E1163" t="str">
            <v>April</v>
          </cell>
          <cell r="F1163">
            <v>26</v>
          </cell>
          <cell r="G1163" t="str">
            <v>MANTENIMIENTO PREVENTIVO</v>
          </cell>
          <cell r="H1163">
            <v>0</v>
          </cell>
          <cell r="I1163" t="str">
            <v>A4 Mono MFPs</v>
          </cell>
          <cell r="J1163">
            <v>468</v>
          </cell>
          <cell r="K1163">
            <v>715</v>
          </cell>
          <cell r="L1163">
            <v>0</v>
          </cell>
          <cell r="M1163">
            <v>0</v>
          </cell>
          <cell r="N1163">
            <v>0</v>
          </cell>
          <cell r="O1163">
            <v>0.6</v>
          </cell>
          <cell r="P1163">
            <v>0.8</v>
          </cell>
          <cell r="Q1163">
            <v>1.05</v>
          </cell>
          <cell r="R1163" t="str">
            <v>INTERIOR</v>
          </cell>
          <cell r="S1163">
            <v>5</v>
          </cell>
          <cell r="T1163">
            <v>9</v>
          </cell>
          <cell r="U1163" t="str">
            <v>Ciudad principal</v>
          </cell>
          <cell r="V1163" t="str">
            <v>A4 Mono MFPs</v>
          </cell>
          <cell r="W1163" t="str">
            <v>JALISCO</v>
          </cell>
          <cell r="X1163">
            <v>2019</v>
          </cell>
          <cell r="Y1163" t="str">
            <v>Qtr 2</v>
          </cell>
          <cell r="Z1163" t="str">
            <v>April</v>
          </cell>
          <cell r="AA1163">
            <v>26</v>
          </cell>
          <cell r="AB1163">
            <v>1</v>
          </cell>
          <cell r="AC1163">
            <v>35</v>
          </cell>
          <cell r="AD1163">
            <v>0</v>
          </cell>
          <cell r="AE1163">
            <v>0</v>
          </cell>
          <cell r="AF1163">
            <v>0</v>
          </cell>
        </row>
        <row r="1164">
          <cell r="B1164" t="str">
            <v>06TB445692</v>
          </cell>
          <cell r="C1164">
            <v>2019</v>
          </cell>
          <cell r="D1164" t="str">
            <v>Qtr 2</v>
          </cell>
          <cell r="E1164" t="str">
            <v>April</v>
          </cell>
          <cell r="F1164">
            <v>26</v>
          </cell>
          <cell r="G1164" t="str">
            <v>MANTENIMIENTO PREVENTIVO</v>
          </cell>
          <cell r="H1164">
            <v>0</v>
          </cell>
          <cell r="I1164" t="str">
            <v>A3 Office Color Laser MFPs</v>
          </cell>
          <cell r="J1164">
            <v>655</v>
          </cell>
          <cell r="K1164">
            <v>1365</v>
          </cell>
          <cell r="L1164">
            <v>0</v>
          </cell>
          <cell r="M1164">
            <v>0</v>
          </cell>
          <cell r="N1164">
            <v>0.6</v>
          </cell>
          <cell r="O1164">
            <v>0.8</v>
          </cell>
          <cell r="P1164">
            <v>1.05</v>
          </cell>
          <cell r="Q1164">
            <v>1.1000000000000001</v>
          </cell>
          <cell r="R1164" t="str">
            <v>INTERIOR</v>
          </cell>
          <cell r="S1164">
            <v>5</v>
          </cell>
          <cell r="T1164">
            <v>9</v>
          </cell>
          <cell r="U1164" t="str">
            <v>Ciudad principal</v>
          </cell>
          <cell r="V1164" t="str">
            <v>A3 Office Color Laser MFPs</v>
          </cell>
          <cell r="W1164" t="str">
            <v>JALISCO</v>
          </cell>
          <cell r="X1164">
            <v>2019</v>
          </cell>
          <cell r="Y1164" t="str">
            <v>Qtr 2</v>
          </cell>
          <cell r="Z1164" t="str">
            <v>April</v>
          </cell>
          <cell r="AA1164">
            <v>26</v>
          </cell>
          <cell r="AB1164">
            <v>1</v>
          </cell>
          <cell r="AC1164">
            <v>1</v>
          </cell>
          <cell r="AD1164">
            <v>0</v>
          </cell>
          <cell r="AE1164">
            <v>0</v>
          </cell>
          <cell r="AF1164">
            <v>0</v>
          </cell>
        </row>
        <row r="1165">
          <cell r="B1165" t="str">
            <v>07CX043423</v>
          </cell>
          <cell r="C1165">
            <v>2019</v>
          </cell>
          <cell r="D1165" t="str">
            <v>Qtr 2</v>
          </cell>
          <cell r="E1165" t="str">
            <v>April</v>
          </cell>
          <cell r="F1165">
            <v>26</v>
          </cell>
          <cell r="G1165" t="str">
            <v>CORRECTIVO</v>
          </cell>
          <cell r="H1165">
            <v>0.13333329999999999</v>
          </cell>
          <cell r="I1165" t="str">
            <v>Office Digital</v>
          </cell>
          <cell r="J1165">
            <v>655</v>
          </cell>
          <cell r="K1165">
            <v>1365</v>
          </cell>
          <cell r="L1165">
            <v>0</v>
          </cell>
          <cell r="M1165">
            <v>0</v>
          </cell>
          <cell r="N1165">
            <v>0.6</v>
          </cell>
          <cell r="O1165">
            <v>0.8</v>
          </cell>
          <cell r="P1165">
            <v>1.05</v>
          </cell>
          <cell r="Q1165">
            <v>1.1000000000000001</v>
          </cell>
          <cell r="R1165" t="str">
            <v>INTERIOR</v>
          </cell>
          <cell r="S1165">
            <v>5</v>
          </cell>
          <cell r="T1165">
            <v>9</v>
          </cell>
          <cell r="U1165" t="str">
            <v>Ciudad principal</v>
          </cell>
          <cell r="V1165" t="str">
            <v>A3 Office Color Laser MFPs</v>
          </cell>
          <cell r="W1165" t="str">
            <v>TAMAULIPAS</v>
          </cell>
          <cell r="X1165">
            <v>2019</v>
          </cell>
          <cell r="Y1165" t="str">
            <v>Qtr 2</v>
          </cell>
          <cell r="Z1165" t="str">
            <v>April</v>
          </cell>
          <cell r="AA1165">
            <v>29</v>
          </cell>
          <cell r="AB1165">
            <v>0</v>
          </cell>
          <cell r="AC1165">
            <v>4</v>
          </cell>
          <cell r="AD1165">
            <v>0</v>
          </cell>
          <cell r="AE1165">
            <v>2.6666659999999998E-2</v>
          </cell>
          <cell r="AF1165">
            <v>0</v>
          </cell>
        </row>
        <row r="1166">
          <cell r="B1166" t="str">
            <v>0KPA018838</v>
          </cell>
          <cell r="C1166">
            <v>2019</v>
          </cell>
          <cell r="D1166" t="str">
            <v>Qtr 2</v>
          </cell>
          <cell r="E1166" t="str">
            <v>April</v>
          </cell>
          <cell r="F1166">
            <v>28</v>
          </cell>
          <cell r="G1166" t="str">
            <v>MANTENIMIENTO PREVENTIVO</v>
          </cell>
          <cell r="H1166">
            <v>0</v>
          </cell>
          <cell r="I1166" t="str">
            <v>Entry Mono Printers</v>
          </cell>
          <cell r="J1166">
            <v>468</v>
          </cell>
          <cell r="K1166">
            <v>715</v>
          </cell>
          <cell r="L1166">
            <v>0</v>
          </cell>
          <cell r="M1166">
            <v>0</v>
          </cell>
          <cell r="N1166">
            <v>0</v>
          </cell>
          <cell r="O1166">
            <v>0.6</v>
          </cell>
          <cell r="P1166">
            <v>0.8</v>
          </cell>
          <cell r="Q1166">
            <v>1.05</v>
          </cell>
          <cell r="R1166" t="str">
            <v>INTERIOR</v>
          </cell>
          <cell r="S1166">
            <v>5</v>
          </cell>
          <cell r="T1166">
            <v>9</v>
          </cell>
          <cell r="U1166" t="str">
            <v>Ciudad principal</v>
          </cell>
          <cell r="V1166" t="str">
            <v>Departmental Digital</v>
          </cell>
          <cell r="W1166" t="str">
            <v>CHIHUAHUA</v>
          </cell>
          <cell r="X1166">
            <v>2019</v>
          </cell>
          <cell r="Y1166" t="str">
            <v>Qtr 2</v>
          </cell>
          <cell r="Z1166" t="str">
            <v>April</v>
          </cell>
          <cell r="AA1166">
            <v>29</v>
          </cell>
          <cell r="AB1166">
            <v>0</v>
          </cell>
          <cell r="AC1166">
            <v>16</v>
          </cell>
          <cell r="AD1166">
            <v>0</v>
          </cell>
          <cell r="AE1166">
            <v>0</v>
          </cell>
          <cell r="AF1166">
            <v>715</v>
          </cell>
        </row>
        <row r="1167">
          <cell r="B1167" t="str">
            <v>0AE7176589</v>
          </cell>
          <cell r="C1167">
            <v>2019</v>
          </cell>
          <cell r="D1167" t="str">
            <v>Qtr 2</v>
          </cell>
          <cell r="E1167" t="str">
            <v>April</v>
          </cell>
          <cell r="F1167">
            <v>28</v>
          </cell>
          <cell r="G1167" t="str">
            <v>CORRECTIVO</v>
          </cell>
          <cell r="H1167">
            <v>0.5</v>
          </cell>
          <cell r="I1167" t="str">
            <v>Office Digital</v>
          </cell>
          <cell r="J1167">
            <v>655</v>
          </cell>
          <cell r="K1167">
            <v>1365</v>
          </cell>
          <cell r="L1167">
            <v>0</v>
          </cell>
          <cell r="M1167">
            <v>0</v>
          </cell>
          <cell r="N1167">
            <v>0.6</v>
          </cell>
          <cell r="O1167">
            <v>0.8</v>
          </cell>
          <cell r="P1167">
            <v>1.05</v>
          </cell>
          <cell r="Q1167">
            <v>1.1000000000000001</v>
          </cell>
          <cell r="R1167" t="str">
            <v>INTERIOR</v>
          </cell>
          <cell r="S1167">
            <v>5</v>
          </cell>
          <cell r="T1167">
            <v>9</v>
          </cell>
          <cell r="U1167" t="str">
            <v>Ciudad principal</v>
          </cell>
          <cell r="V1167" t="str">
            <v>Departmental Digital</v>
          </cell>
          <cell r="W1167" t="str">
            <v>MICHOACAN</v>
          </cell>
          <cell r="X1167">
            <v>2019</v>
          </cell>
          <cell r="Y1167" t="str">
            <v>Qtr 2</v>
          </cell>
          <cell r="Z1167" t="str">
            <v>April</v>
          </cell>
          <cell r="AA1167">
            <v>29</v>
          </cell>
          <cell r="AB1167">
            <v>0</v>
          </cell>
          <cell r="AC1167">
            <v>102</v>
          </cell>
          <cell r="AD1167">
            <v>1.1000000000000001</v>
          </cell>
          <cell r="AE1167">
            <v>0.1</v>
          </cell>
          <cell r="AF1167">
            <v>1501.5</v>
          </cell>
        </row>
        <row r="1168">
          <cell r="B1168" t="str">
            <v>0XPN394939</v>
          </cell>
          <cell r="C1168">
            <v>2019</v>
          </cell>
          <cell r="D1168" t="str">
            <v>Qtr 2</v>
          </cell>
          <cell r="E1168" t="str">
            <v>April</v>
          </cell>
          <cell r="F1168">
            <v>28</v>
          </cell>
          <cell r="G1168" t="str">
            <v>CORRECTIVO</v>
          </cell>
          <cell r="H1168">
            <v>2.6833330000000002</v>
          </cell>
          <cell r="I1168" t="str">
            <v>Entry Production Color Low/Mid</v>
          </cell>
          <cell r="J1168">
            <v>803</v>
          </cell>
          <cell r="K1168">
            <v>1573</v>
          </cell>
          <cell r="L1168">
            <v>0.2</v>
          </cell>
          <cell r="M1168">
            <v>0.6</v>
          </cell>
          <cell r="N1168">
            <v>0.8</v>
          </cell>
          <cell r="O1168">
            <v>1.05</v>
          </cell>
          <cell r="P1168">
            <v>1.1000000000000001</v>
          </cell>
          <cell r="Q1168">
            <v>1.1499999999999999</v>
          </cell>
          <cell r="R1168" t="str">
            <v>INTERIOR</v>
          </cell>
          <cell r="S1168">
            <v>4</v>
          </cell>
          <cell r="T1168">
            <v>6</v>
          </cell>
          <cell r="U1168" t="str">
            <v>Ciudad principal</v>
          </cell>
          <cell r="V1168" t="str">
            <v>Entry Production Color Low/Mid</v>
          </cell>
          <cell r="W1168" t="str">
            <v>JALISCO</v>
          </cell>
          <cell r="X1168">
            <v>2019</v>
          </cell>
          <cell r="Y1168" t="str">
            <v>Qtr 2</v>
          </cell>
          <cell r="Z1168" t="str">
            <v>April</v>
          </cell>
          <cell r="AA1168">
            <v>30</v>
          </cell>
          <cell r="AB1168">
            <v>0</v>
          </cell>
          <cell r="AC1168">
            <v>37</v>
          </cell>
          <cell r="AD1168">
            <v>1.1000000000000001</v>
          </cell>
          <cell r="AE1168">
            <v>0.67083325000000005</v>
          </cell>
          <cell r="AF1168">
            <v>1730.3</v>
          </cell>
        </row>
        <row r="1169">
          <cell r="B1169" t="str">
            <v>0BG0966723</v>
          </cell>
          <cell r="C1169">
            <v>2019</v>
          </cell>
          <cell r="D1169" t="str">
            <v>Qtr 2</v>
          </cell>
          <cell r="E1169" t="str">
            <v>April</v>
          </cell>
          <cell r="F1169">
            <v>28</v>
          </cell>
          <cell r="G1169" t="str">
            <v>CORRECTIVO</v>
          </cell>
          <cell r="H1169">
            <v>2.9333330000000002</v>
          </cell>
          <cell r="I1169" t="str">
            <v>Light Production Digital Business</v>
          </cell>
          <cell r="J1169">
            <v>803</v>
          </cell>
          <cell r="K1169">
            <v>1573</v>
          </cell>
          <cell r="L1169">
            <v>0.2</v>
          </cell>
          <cell r="M1169">
            <v>0.6</v>
          </cell>
          <cell r="N1169">
            <v>0.8</v>
          </cell>
          <cell r="O1169">
            <v>1.05</v>
          </cell>
          <cell r="P1169">
            <v>1.1000000000000001</v>
          </cell>
          <cell r="Q1169">
            <v>1.1499999999999999</v>
          </cell>
          <cell r="R1169" t="str">
            <v>INTERIOR</v>
          </cell>
          <cell r="S1169">
            <v>4</v>
          </cell>
          <cell r="T1169">
            <v>6</v>
          </cell>
          <cell r="U1169" t="str">
            <v>Ciudad principal</v>
          </cell>
          <cell r="V1169" t="str">
            <v>High End Cut Sheet</v>
          </cell>
          <cell r="W1169" t="str">
            <v>JALISCO</v>
          </cell>
          <cell r="X1169">
            <v>2019</v>
          </cell>
          <cell r="Y1169" t="str">
            <v>Qtr 2</v>
          </cell>
          <cell r="Z1169" t="str">
            <v>April</v>
          </cell>
          <cell r="AA1169">
            <v>30</v>
          </cell>
          <cell r="AB1169">
            <v>0</v>
          </cell>
          <cell r="AC1169">
            <v>17</v>
          </cell>
          <cell r="AD1169">
            <v>1.05</v>
          </cell>
          <cell r="AE1169">
            <v>0.73333325000000005</v>
          </cell>
          <cell r="AF1169">
            <v>1651.65</v>
          </cell>
        </row>
        <row r="1170">
          <cell r="B1170" t="str">
            <v>0BG2951623</v>
          </cell>
          <cell r="C1170">
            <v>2019</v>
          </cell>
          <cell r="D1170" t="str">
            <v>Qtr 2</v>
          </cell>
          <cell r="E1170" t="str">
            <v>April</v>
          </cell>
          <cell r="F1170">
            <v>29</v>
          </cell>
          <cell r="G1170" t="str">
            <v>MANTENIMIENTO PREVENTIVO</v>
          </cell>
          <cell r="H1170">
            <v>0</v>
          </cell>
          <cell r="I1170" t="str">
            <v>Light Production Digital Business</v>
          </cell>
          <cell r="J1170">
            <v>803</v>
          </cell>
          <cell r="K1170">
            <v>1573</v>
          </cell>
          <cell r="L1170">
            <v>0.2</v>
          </cell>
          <cell r="M1170">
            <v>0.6</v>
          </cell>
          <cell r="N1170">
            <v>0.8</v>
          </cell>
          <cell r="O1170">
            <v>1.05</v>
          </cell>
          <cell r="P1170">
            <v>1.1000000000000001</v>
          </cell>
          <cell r="Q1170">
            <v>1.1499999999999999</v>
          </cell>
          <cell r="R1170" t="str">
            <v>INTERIOR</v>
          </cell>
          <cell r="S1170">
            <v>4</v>
          </cell>
          <cell r="T1170">
            <v>6</v>
          </cell>
          <cell r="U1170" t="str">
            <v>Ciudad principal</v>
          </cell>
          <cell r="V1170" t="str">
            <v>High End Cut Sheet</v>
          </cell>
          <cell r="W1170" t="str">
            <v>TAMAULIPAS</v>
          </cell>
          <cell r="X1170">
            <v>2019</v>
          </cell>
          <cell r="Y1170" t="str">
            <v>Qtr 2</v>
          </cell>
          <cell r="Z1170" t="str">
            <v>April</v>
          </cell>
          <cell r="AA1170">
            <v>29</v>
          </cell>
          <cell r="AB1170">
            <v>0</v>
          </cell>
          <cell r="AC1170">
            <v>4</v>
          </cell>
          <cell r="AD1170">
            <v>0</v>
          </cell>
          <cell r="AE1170">
            <v>0</v>
          </cell>
          <cell r="AF1170">
            <v>1573</v>
          </cell>
        </row>
        <row r="1171">
          <cell r="B1171" t="str">
            <v>03AG873545</v>
          </cell>
          <cell r="C1171">
            <v>2019</v>
          </cell>
          <cell r="D1171" t="str">
            <v>Qtr 2</v>
          </cell>
          <cell r="E1171" t="str">
            <v>April</v>
          </cell>
          <cell r="F1171">
            <v>29</v>
          </cell>
          <cell r="G1171" t="str">
            <v>CORRECTIVO</v>
          </cell>
          <cell r="H1171">
            <v>0.75</v>
          </cell>
          <cell r="I1171" t="str">
            <v>Departmental Digital</v>
          </cell>
          <cell r="J1171">
            <v>655</v>
          </cell>
          <cell r="K1171">
            <v>1365</v>
          </cell>
          <cell r="L1171">
            <v>0</v>
          </cell>
          <cell r="M1171">
            <v>0</v>
          </cell>
          <cell r="N1171">
            <v>0.6</v>
          </cell>
          <cell r="O1171">
            <v>0.8</v>
          </cell>
          <cell r="P1171">
            <v>1.05</v>
          </cell>
          <cell r="Q1171">
            <v>1.1000000000000001</v>
          </cell>
          <cell r="R1171" t="str">
            <v>INTERIOR</v>
          </cell>
          <cell r="S1171">
            <v>5</v>
          </cell>
          <cell r="T1171">
            <v>9</v>
          </cell>
          <cell r="U1171" t="str">
            <v>Ciudad principal</v>
          </cell>
          <cell r="V1171" t="str">
            <v>Light Production Digital Business</v>
          </cell>
          <cell r="W1171" t="str">
            <v>QUERETARO</v>
          </cell>
          <cell r="X1171">
            <v>2019</v>
          </cell>
          <cell r="Y1171" t="str">
            <v>Qtr 2</v>
          </cell>
          <cell r="Z1171" t="str">
            <v>April</v>
          </cell>
          <cell r="AA1171">
            <v>29</v>
          </cell>
          <cell r="AB1171">
            <v>0</v>
          </cell>
          <cell r="AC1171">
            <v>6</v>
          </cell>
          <cell r="AD1171">
            <v>0</v>
          </cell>
          <cell r="AE1171">
            <v>0.15</v>
          </cell>
          <cell r="AF1171">
            <v>0</v>
          </cell>
        </row>
        <row r="1172">
          <cell r="B1172" t="str">
            <v>0BG2951501</v>
          </cell>
          <cell r="C1172">
            <v>2019</v>
          </cell>
          <cell r="D1172" t="str">
            <v>Qtr 2</v>
          </cell>
          <cell r="E1172" t="str">
            <v>April</v>
          </cell>
          <cell r="F1172">
            <v>29</v>
          </cell>
          <cell r="G1172" t="str">
            <v>CORRECTIVO</v>
          </cell>
          <cell r="H1172">
            <v>0.5</v>
          </cell>
          <cell r="I1172" t="str">
            <v>Light Production Digital Business</v>
          </cell>
          <cell r="J1172">
            <v>803</v>
          </cell>
          <cell r="K1172">
            <v>1573</v>
          </cell>
          <cell r="L1172">
            <v>0.2</v>
          </cell>
          <cell r="M1172">
            <v>0.6</v>
          </cell>
          <cell r="N1172">
            <v>0.8</v>
          </cell>
          <cell r="O1172">
            <v>1.05</v>
          </cell>
          <cell r="P1172">
            <v>1.1000000000000001</v>
          </cell>
          <cell r="Q1172">
            <v>1.1499999999999999</v>
          </cell>
          <cell r="R1172" t="str">
            <v>INTERIOR</v>
          </cell>
          <cell r="S1172">
            <v>4</v>
          </cell>
          <cell r="T1172">
            <v>6</v>
          </cell>
          <cell r="U1172" t="str">
            <v>Ciudad principal</v>
          </cell>
          <cell r="V1172" t="str">
            <v>High End Cut Sheet</v>
          </cell>
          <cell r="W1172" t="str">
            <v>TAMAULIPAS</v>
          </cell>
          <cell r="X1172">
            <v>2019</v>
          </cell>
          <cell r="Y1172" t="str">
            <v>Qtr 2</v>
          </cell>
          <cell r="Z1172" t="str">
            <v>April</v>
          </cell>
          <cell r="AA1172">
            <v>29</v>
          </cell>
          <cell r="AB1172">
            <v>0</v>
          </cell>
          <cell r="AC1172">
            <v>82</v>
          </cell>
          <cell r="AD1172">
            <v>1.1499999999999999</v>
          </cell>
          <cell r="AE1172">
            <v>0.125</v>
          </cell>
          <cell r="AF1172">
            <v>1808.95</v>
          </cell>
        </row>
        <row r="1173">
          <cell r="B1173" t="str">
            <v>0LX7658041</v>
          </cell>
          <cell r="C1173">
            <v>2019</v>
          </cell>
          <cell r="D1173" t="str">
            <v>Qtr 2</v>
          </cell>
          <cell r="E1173" t="str">
            <v>April</v>
          </cell>
          <cell r="F1173">
            <v>29</v>
          </cell>
          <cell r="G1173" t="str">
            <v>MANTENIMIENTO PREVENTIVO</v>
          </cell>
          <cell r="H1173">
            <v>0</v>
          </cell>
          <cell r="I1173" t="str">
            <v>A3 Office Color Laser MFPs</v>
          </cell>
          <cell r="J1173">
            <v>655</v>
          </cell>
          <cell r="K1173">
            <v>1365</v>
          </cell>
          <cell r="L1173">
            <v>0</v>
          </cell>
          <cell r="M1173">
            <v>0</v>
          </cell>
          <cell r="N1173">
            <v>0.6</v>
          </cell>
          <cell r="O1173">
            <v>0.8</v>
          </cell>
          <cell r="P1173">
            <v>1.05</v>
          </cell>
          <cell r="Q1173">
            <v>1.1000000000000001</v>
          </cell>
          <cell r="R1173" t="str">
            <v>INTERIOR</v>
          </cell>
          <cell r="S1173">
            <v>5</v>
          </cell>
          <cell r="T1173">
            <v>9</v>
          </cell>
          <cell r="U1173" t="str">
            <v>Ciudad principal</v>
          </cell>
          <cell r="V1173" t="str">
            <v>A3 Office Color Laser MFPs</v>
          </cell>
          <cell r="W1173" t="str">
            <v>CHIHUAHUA</v>
          </cell>
          <cell r="X1173">
            <v>2019</v>
          </cell>
          <cell r="Y1173" t="str">
            <v>Qtr 2</v>
          </cell>
          <cell r="Z1173" t="str">
            <v>April</v>
          </cell>
          <cell r="AA1173">
            <v>29</v>
          </cell>
          <cell r="AB1173">
            <v>0</v>
          </cell>
          <cell r="AC1173">
            <v>3</v>
          </cell>
          <cell r="AD1173">
            <v>0</v>
          </cell>
          <cell r="AE1173">
            <v>0</v>
          </cell>
          <cell r="AF1173">
            <v>1365</v>
          </cell>
        </row>
        <row r="1174">
          <cell r="B1174" t="str">
            <v>0EX9293297</v>
          </cell>
          <cell r="C1174">
            <v>2019</v>
          </cell>
          <cell r="D1174" t="str">
            <v>Qtr 2</v>
          </cell>
          <cell r="E1174" t="str">
            <v>April</v>
          </cell>
          <cell r="F1174">
            <v>29</v>
          </cell>
          <cell r="G1174" t="str">
            <v>CORRECTIVO</v>
          </cell>
          <cell r="H1174">
            <v>1.1499999999999999</v>
          </cell>
          <cell r="I1174" t="str">
            <v>Departmental Digital</v>
          </cell>
          <cell r="J1174">
            <v>655</v>
          </cell>
          <cell r="K1174">
            <v>1365</v>
          </cell>
          <cell r="L1174">
            <v>0</v>
          </cell>
          <cell r="M1174">
            <v>0</v>
          </cell>
          <cell r="N1174">
            <v>0.6</v>
          </cell>
          <cell r="O1174">
            <v>0.8</v>
          </cell>
          <cell r="P1174">
            <v>1.05</v>
          </cell>
          <cell r="Q1174">
            <v>1.1000000000000001</v>
          </cell>
          <cell r="R1174" t="str">
            <v>INTERIOR</v>
          </cell>
          <cell r="S1174">
            <v>5</v>
          </cell>
          <cell r="T1174">
            <v>9</v>
          </cell>
          <cell r="U1174" t="str">
            <v>Otras</v>
          </cell>
          <cell r="V1174" t="str">
            <v>Departmental Digital</v>
          </cell>
          <cell r="W1174" t="str">
            <v>COAHUILA</v>
          </cell>
          <cell r="X1174">
            <v>2019</v>
          </cell>
          <cell r="Y1174" t="str">
            <v>Qtr 2</v>
          </cell>
          <cell r="Z1174" t="str">
            <v>April</v>
          </cell>
          <cell r="AA1174">
            <v>30</v>
          </cell>
          <cell r="AB1174">
            <v>0</v>
          </cell>
          <cell r="AC1174">
            <v>104</v>
          </cell>
          <cell r="AD1174">
            <v>1.1000000000000001</v>
          </cell>
          <cell r="AE1174">
            <v>0.12777777777777799</v>
          </cell>
          <cell r="AF1174">
            <v>1501.5</v>
          </cell>
        </row>
        <row r="1175">
          <cell r="B1175" t="str">
            <v>0AE9549506</v>
          </cell>
          <cell r="C1175">
            <v>2019</v>
          </cell>
          <cell r="D1175" t="str">
            <v>Qtr 2</v>
          </cell>
          <cell r="E1175" t="str">
            <v>April</v>
          </cell>
          <cell r="F1175">
            <v>29</v>
          </cell>
          <cell r="G1175" t="str">
            <v>CORRECTIVO</v>
          </cell>
          <cell r="H1175">
            <v>0.73333329999999997</v>
          </cell>
          <cell r="I1175" t="str">
            <v>Office Digital</v>
          </cell>
          <cell r="J1175">
            <v>655</v>
          </cell>
          <cell r="K1175">
            <v>1365</v>
          </cell>
          <cell r="L1175">
            <v>0</v>
          </cell>
          <cell r="M1175">
            <v>0</v>
          </cell>
          <cell r="N1175">
            <v>0.6</v>
          </cell>
          <cell r="O1175">
            <v>0.8</v>
          </cell>
          <cell r="P1175">
            <v>1.05</v>
          </cell>
          <cell r="Q1175">
            <v>1.1000000000000001</v>
          </cell>
          <cell r="R1175" t="str">
            <v>INTERIOR</v>
          </cell>
          <cell r="S1175">
            <v>5</v>
          </cell>
          <cell r="T1175">
            <v>9</v>
          </cell>
          <cell r="U1175" t="str">
            <v>Ciudad principal</v>
          </cell>
          <cell r="V1175" t="str">
            <v>Departmental Digital</v>
          </cell>
          <cell r="W1175" t="str">
            <v>ESTADO DE MEXICO</v>
          </cell>
          <cell r="X1175">
            <v>2019</v>
          </cell>
          <cell r="Y1175" t="str">
            <v>Qtr 2</v>
          </cell>
          <cell r="Z1175" t="str">
            <v>April</v>
          </cell>
          <cell r="AA1175">
            <v>30</v>
          </cell>
          <cell r="AB1175">
            <v>1</v>
          </cell>
          <cell r="AC1175">
            <v>83</v>
          </cell>
          <cell r="AD1175">
            <v>0</v>
          </cell>
          <cell r="AE1175">
            <v>0</v>
          </cell>
          <cell r="AF1175">
            <v>0</v>
          </cell>
        </row>
        <row r="1176">
          <cell r="B1176" t="str">
            <v>0EX9283410</v>
          </cell>
          <cell r="C1176">
            <v>2019</v>
          </cell>
          <cell r="D1176" t="str">
            <v>Qtr 2</v>
          </cell>
          <cell r="E1176" t="str">
            <v>April</v>
          </cell>
          <cell r="F1176">
            <v>29</v>
          </cell>
          <cell r="G1176" t="str">
            <v>MANTENIMIENTO PREVENTIVO</v>
          </cell>
          <cell r="H1176">
            <v>0</v>
          </cell>
          <cell r="I1176" t="str">
            <v>Departmental Digital</v>
          </cell>
          <cell r="J1176">
            <v>655</v>
          </cell>
          <cell r="K1176">
            <v>1365</v>
          </cell>
          <cell r="L1176">
            <v>0</v>
          </cell>
          <cell r="M1176">
            <v>0</v>
          </cell>
          <cell r="N1176">
            <v>0.6</v>
          </cell>
          <cell r="O1176">
            <v>0.8</v>
          </cell>
          <cell r="P1176">
            <v>1.05</v>
          </cell>
          <cell r="Q1176">
            <v>1.1000000000000001</v>
          </cell>
          <cell r="R1176" t="str">
            <v>INTERIOR</v>
          </cell>
          <cell r="S1176">
            <v>5</v>
          </cell>
          <cell r="T1176">
            <v>9</v>
          </cell>
          <cell r="U1176" t="str">
            <v>Ciudad principal</v>
          </cell>
          <cell r="V1176" t="str">
            <v>Departmental Digital</v>
          </cell>
          <cell r="W1176" t="str">
            <v>GUANAJUATO</v>
          </cell>
          <cell r="X1176">
            <v>2019</v>
          </cell>
          <cell r="Y1176" t="str">
            <v>Qtr 2</v>
          </cell>
          <cell r="Z1176" t="str">
            <v>April</v>
          </cell>
          <cell r="AA1176">
            <v>29</v>
          </cell>
          <cell r="AB1176">
            <v>0</v>
          </cell>
          <cell r="AC1176">
            <v>11</v>
          </cell>
          <cell r="AD1176">
            <v>0</v>
          </cell>
          <cell r="AE1176">
            <v>0</v>
          </cell>
          <cell r="AF1176">
            <v>1365</v>
          </cell>
        </row>
        <row r="1177">
          <cell r="B1177" t="str">
            <v>0EX9293351</v>
          </cell>
          <cell r="C1177">
            <v>2019</v>
          </cell>
          <cell r="D1177" t="str">
            <v>Qtr 2</v>
          </cell>
          <cell r="E1177" t="str">
            <v>April</v>
          </cell>
          <cell r="F1177">
            <v>29</v>
          </cell>
          <cell r="G1177" t="str">
            <v>CORRECTIVO</v>
          </cell>
          <cell r="H1177">
            <v>0.98333329999999997</v>
          </cell>
          <cell r="I1177" t="str">
            <v>Departmental Digital</v>
          </cell>
          <cell r="J1177">
            <v>655</v>
          </cell>
          <cell r="K1177">
            <v>1365</v>
          </cell>
          <cell r="L1177">
            <v>0</v>
          </cell>
          <cell r="M1177">
            <v>0</v>
          </cell>
          <cell r="N1177">
            <v>0.6</v>
          </cell>
          <cell r="O1177">
            <v>0.8</v>
          </cell>
          <cell r="P1177">
            <v>1.05</v>
          </cell>
          <cell r="Q1177">
            <v>1.1000000000000001</v>
          </cell>
          <cell r="R1177" t="str">
            <v>INTERIOR</v>
          </cell>
          <cell r="S1177">
            <v>5</v>
          </cell>
          <cell r="T1177">
            <v>9</v>
          </cell>
          <cell r="U1177" t="str">
            <v>Ciudad principal</v>
          </cell>
          <cell r="V1177" t="str">
            <v>Departmental Digital</v>
          </cell>
          <cell r="W1177" t="str">
            <v>NUEVO LEON</v>
          </cell>
          <cell r="X1177">
            <v>2019</v>
          </cell>
          <cell r="Y1177" t="str">
            <v>Qtr 2</v>
          </cell>
          <cell r="Z1177" t="str">
            <v>April</v>
          </cell>
          <cell r="AA1177">
            <v>29</v>
          </cell>
          <cell r="AB1177">
            <v>0</v>
          </cell>
          <cell r="AC1177">
            <v>6</v>
          </cell>
          <cell r="AD1177">
            <v>0</v>
          </cell>
          <cell r="AE1177">
            <v>0.19666665999999999</v>
          </cell>
          <cell r="AF1177">
            <v>0</v>
          </cell>
        </row>
        <row r="1178">
          <cell r="B1178" t="str">
            <v>0E2B665657</v>
          </cell>
          <cell r="C1178">
            <v>2019</v>
          </cell>
          <cell r="D1178" t="str">
            <v>Qtr 2</v>
          </cell>
          <cell r="E1178" t="str">
            <v>April</v>
          </cell>
          <cell r="F1178">
            <v>29</v>
          </cell>
          <cell r="G1178" t="str">
            <v>CORRECTIVO</v>
          </cell>
          <cell r="H1178">
            <v>3.1333329999999999</v>
          </cell>
          <cell r="I1178" t="str">
            <v>Entry Production Color Low/Mid</v>
          </cell>
          <cell r="J1178">
            <v>803</v>
          </cell>
          <cell r="K1178">
            <v>1573</v>
          </cell>
          <cell r="L1178">
            <v>0.2</v>
          </cell>
          <cell r="M1178">
            <v>0.6</v>
          </cell>
          <cell r="N1178">
            <v>0.8</v>
          </cell>
          <cell r="O1178">
            <v>1.05</v>
          </cell>
          <cell r="P1178">
            <v>1.1000000000000001</v>
          </cell>
          <cell r="Q1178">
            <v>1.1499999999999999</v>
          </cell>
          <cell r="R1178" t="str">
            <v>INTERIOR</v>
          </cell>
          <cell r="S1178">
            <v>4</v>
          </cell>
          <cell r="T1178">
            <v>6</v>
          </cell>
          <cell r="U1178" t="str">
            <v>Ciudad principal</v>
          </cell>
          <cell r="V1178" t="str">
            <v>Entry Production Color Low/Mid</v>
          </cell>
          <cell r="W1178" t="str">
            <v>NUEVO LEON</v>
          </cell>
          <cell r="X1178">
            <v>2019</v>
          </cell>
          <cell r="Y1178" t="str">
            <v>Qtr 2</v>
          </cell>
          <cell r="Z1178" t="str">
            <v>April</v>
          </cell>
          <cell r="AA1178">
            <v>29</v>
          </cell>
          <cell r="AB1178">
            <v>0</v>
          </cell>
          <cell r="AC1178">
            <v>70</v>
          </cell>
          <cell r="AD1178">
            <v>1.1499999999999999</v>
          </cell>
          <cell r="AE1178">
            <v>0.78333324999999998</v>
          </cell>
          <cell r="AF1178">
            <v>1808.95</v>
          </cell>
        </row>
        <row r="1179">
          <cell r="B1179" t="str">
            <v>0BG0973687</v>
          </cell>
          <cell r="C1179">
            <v>2019</v>
          </cell>
          <cell r="D1179" t="str">
            <v>Qtr 2</v>
          </cell>
          <cell r="E1179" t="str">
            <v>April</v>
          </cell>
          <cell r="F1179">
            <v>29</v>
          </cell>
          <cell r="G1179" t="str">
            <v>CORRECTIVO</v>
          </cell>
          <cell r="H1179">
            <v>2.1166670000000001</v>
          </cell>
          <cell r="I1179" t="str">
            <v>Light Production Digital Business</v>
          </cell>
          <cell r="J1179">
            <v>803</v>
          </cell>
          <cell r="K1179">
            <v>1573</v>
          </cell>
          <cell r="L1179">
            <v>0.2</v>
          </cell>
          <cell r="M1179">
            <v>0.6</v>
          </cell>
          <cell r="N1179">
            <v>0.8</v>
          </cell>
          <cell r="O1179">
            <v>1.05</v>
          </cell>
          <cell r="P1179">
            <v>1.1000000000000001</v>
          </cell>
          <cell r="Q1179">
            <v>1.1499999999999999</v>
          </cell>
          <cell r="R1179" t="str">
            <v>INTERIOR</v>
          </cell>
          <cell r="S1179">
            <v>4</v>
          </cell>
          <cell r="T1179">
            <v>6</v>
          </cell>
          <cell r="U1179" t="str">
            <v>Ciudad principal</v>
          </cell>
          <cell r="V1179" t="str">
            <v>High End Cut Sheet</v>
          </cell>
          <cell r="W1179" t="str">
            <v>NUEVO LEON</v>
          </cell>
          <cell r="X1179">
            <v>2019</v>
          </cell>
          <cell r="Y1179" t="str">
            <v>Qtr 2</v>
          </cell>
          <cell r="Z1179" t="str">
            <v>April</v>
          </cell>
          <cell r="AA1179">
            <v>29</v>
          </cell>
          <cell r="AB1179">
            <v>0</v>
          </cell>
          <cell r="AC1179">
            <v>20</v>
          </cell>
          <cell r="AD1179">
            <v>1.05</v>
          </cell>
          <cell r="AE1179">
            <v>0.52916675000000002</v>
          </cell>
          <cell r="AF1179">
            <v>1651.65</v>
          </cell>
        </row>
        <row r="1180">
          <cell r="B1180" t="str">
            <v>0Y4X848866</v>
          </cell>
          <cell r="C1180">
            <v>2019</v>
          </cell>
          <cell r="D1180" t="str">
            <v>Qtr 2</v>
          </cell>
          <cell r="E1180" t="str">
            <v>April</v>
          </cell>
          <cell r="F1180">
            <v>29</v>
          </cell>
          <cell r="G1180" t="str">
            <v>CORRECTIVO</v>
          </cell>
          <cell r="H1180">
            <v>2.4500000000000002</v>
          </cell>
          <cell r="I1180" t="str">
            <v>Office Digital</v>
          </cell>
          <cell r="J1180">
            <v>655</v>
          </cell>
          <cell r="K1180">
            <v>1365</v>
          </cell>
          <cell r="L1180">
            <v>0</v>
          </cell>
          <cell r="M1180">
            <v>0</v>
          </cell>
          <cell r="N1180">
            <v>0.6</v>
          </cell>
          <cell r="O1180">
            <v>0.8</v>
          </cell>
          <cell r="P1180">
            <v>1.05</v>
          </cell>
          <cell r="Q1180">
            <v>1.1000000000000001</v>
          </cell>
          <cell r="R1180" t="str">
            <v>METRO</v>
          </cell>
          <cell r="S1180">
            <v>5</v>
          </cell>
          <cell r="T1180">
            <v>9</v>
          </cell>
          <cell r="U1180" t="str">
            <v>Ciudad principal</v>
          </cell>
          <cell r="V1180" t="str">
            <v>Light Production Digital Business</v>
          </cell>
          <cell r="W1180" t="str">
            <v>CIUDAD DE MEXICO</v>
          </cell>
          <cell r="X1180">
            <v>2019</v>
          </cell>
          <cell r="Y1180" t="str">
            <v>Qtr 2</v>
          </cell>
          <cell r="Z1180" t="str">
            <v>April</v>
          </cell>
          <cell r="AA1180">
            <v>29</v>
          </cell>
          <cell r="AB1180">
            <v>1</v>
          </cell>
          <cell r="AC1180">
            <v>6</v>
          </cell>
          <cell r="AD1180">
            <v>0</v>
          </cell>
          <cell r="AE1180">
            <v>0</v>
          </cell>
          <cell r="AF1180">
            <v>0</v>
          </cell>
        </row>
        <row r="1181">
          <cell r="B1181" t="str">
            <v>0MX1208881</v>
          </cell>
          <cell r="C1181">
            <v>2019</v>
          </cell>
          <cell r="D1181" t="str">
            <v>Qtr 2</v>
          </cell>
          <cell r="E1181" t="str">
            <v>April</v>
          </cell>
          <cell r="F1181">
            <v>29</v>
          </cell>
          <cell r="G1181" t="str">
            <v>INSTALACION NUEVA</v>
          </cell>
          <cell r="H1181">
            <v>0</v>
          </cell>
          <cell r="J1181" t="str">
            <v>NA</v>
          </cell>
          <cell r="K1181" t="str">
            <v>NA</v>
          </cell>
          <cell r="L1181" t="str">
            <v>NA</v>
          </cell>
          <cell r="M1181" t="str">
            <v>NA</v>
          </cell>
          <cell r="N1181" t="str">
            <v>NA</v>
          </cell>
          <cell r="O1181" t="str">
            <v>NA</v>
          </cell>
          <cell r="P1181" t="str">
            <v>NA</v>
          </cell>
          <cell r="Q1181" t="str">
            <v>NA</v>
          </cell>
          <cell r="S1181" t="str">
            <v>NA</v>
          </cell>
          <cell r="T1181" t="str">
            <v>NA</v>
          </cell>
          <cell r="V1181" t="str">
            <v>A3 Office Color Laser MFPs</v>
          </cell>
          <cell r="W1181" t="str">
            <v>NUEVO LEON</v>
          </cell>
          <cell r="X1181">
            <v>2019</v>
          </cell>
          <cell r="Y1181" t="str">
            <v>Qtr 2</v>
          </cell>
          <cell r="Z1181" t="str">
            <v>April</v>
          </cell>
          <cell r="AA1181">
            <v>30</v>
          </cell>
          <cell r="AB1181" t="str">
            <v>NA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</row>
        <row r="1182">
          <cell r="B1182" t="str">
            <v>0C7X236617</v>
          </cell>
          <cell r="C1182">
            <v>2019</v>
          </cell>
          <cell r="D1182" t="str">
            <v>Qtr 2</v>
          </cell>
          <cell r="E1182" t="str">
            <v>April</v>
          </cell>
          <cell r="F1182">
            <v>29</v>
          </cell>
          <cell r="G1182" t="str">
            <v>CORRECTIVO</v>
          </cell>
          <cell r="H1182">
            <v>0.15</v>
          </cell>
          <cell r="I1182" t="str">
            <v>A4 Mono MFPs</v>
          </cell>
          <cell r="J1182">
            <v>468</v>
          </cell>
          <cell r="K1182">
            <v>715</v>
          </cell>
          <cell r="L1182">
            <v>0</v>
          </cell>
          <cell r="M1182">
            <v>0</v>
          </cell>
          <cell r="N1182">
            <v>0</v>
          </cell>
          <cell r="O1182">
            <v>0.6</v>
          </cell>
          <cell r="P1182">
            <v>0.8</v>
          </cell>
          <cell r="Q1182">
            <v>1.05</v>
          </cell>
          <cell r="R1182" t="str">
            <v>INTERIOR</v>
          </cell>
          <cell r="S1182">
            <v>5</v>
          </cell>
          <cell r="T1182">
            <v>9</v>
          </cell>
          <cell r="U1182" t="str">
            <v>Ciudad principal</v>
          </cell>
          <cell r="V1182" t="str">
            <v>A4 Mono MFPs</v>
          </cell>
          <cell r="W1182" t="str">
            <v>CHIHUAHUA</v>
          </cell>
          <cell r="X1182">
            <v>2019</v>
          </cell>
          <cell r="Y1182" t="str">
            <v>Qtr 2</v>
          </cell>
          <cell r="Z1182" t="str">
            <v>April</v>
          </cell>
          <cell r="AA1182">
            <v>29</v>
          </cell>
          <cell r="AB1182">
            <v>0</v>
          </cell>
          <cell r="AC1182">
            <v>82</v>
          </cell>
          <cell r="AD1182">
            <v>1.05</v>
          </cell>
          <cell r="AE1182">
            <v>0.03</v>
          </cell>
          <cell r="AF1182">
            <v>750.75</v>
          </cell>
        </row>
        <row r="1183">
          <cell r="B1183" t="str">
            <v>K8B481298</v>
          </cell>
          <cell r="C1183">
            <v>2019</v>
          </cell>
          <cell r="D1183" t="str">
            <v>Qtr 2</v>
          </cell>
          <cell r="E1183" t="str">
            <v>April</v>
          </cell>
          <cell r="F1183">
            <v>29</v>
          </cell>
          <cell r="G1183" t="str">
            <v>CORRECTIVO</v>
          </cell>
          <cell r="H1183">
            <v>1.1166670000000001</v>
          </cell>
          <cell r="I1183" t="str">
            <v>A4 Mono MFPs</v>
          </cell>
          <cell r="J1183">
            <v>468</v>
          </cell>
          <cell r="K1183">
            <v>715</v>
          </cell>
          <cell r="L1183">
            <v>0</v>
          </cell>
          <cell r="M1183">
            <v>0</v>
          </cell>
          <cell r="N1183">
            <v>0</v>
          </cell>
          <cell r="O1183">
            <v>0.6</v>
          </cell>
          <cell r="P1183">
            <v>0.8</v>
          </cell>
          <cell r="Q1183">
            <v>1.05</v>
          </cell>
          <cell r="R1183" t="str">
            <v>INTERIOR</v>
          </cell>
          <cell r="S1183">
            <v>5</v>
          </cell>
          <cell r="T1183">
            <v>9</v>
          </cell>
          <cell r="U1183" t="str">
            <v>Otras</v>
          </cell>
          <cell r="V1183" t="str">
            <v>A4 Mono MFPs</v>
          </cell>
          <cell r="W1183" t="str">
            <v>NUEVO LEON</v>
          </cell>
          <cell r="X1183">
            <v>2019</v>
          </cell>
          <cell r="Y1183" t="str">
            <v>Qtr 2</v>
          </cell>
          <cell r="Z1183" t="str">
            <v>April</v>
          </cell>
          <cell r="AA1183">
            <v>29</v>
          </cell>
          <cell r="AB1183">
            <v>0</v>
          </cell>
          <cell r="AC1183">
            <v>361</v>
          </cell>
          <cell r="AD1183">
            <v>1.05</v>
          </cell>
          <cell r="AE1183">
            <v>0.124074111111111</v>
          </cell>
          <cell r="AF1183">
            <v>750.75</v>
          </cell>
        </row>
        <row r="1184">
          <cell r="B1184" t="str">
            <v>0D6X462987</v>
          </cell>
          <cell r="C1184">
            <v>2019</v>
          </cell>
          <cell r="D1184" t="str">
            <v>Qtr 2</v>
          </cell>
          <cell r="E1184" t="str">
            <v>April</v>
          </cell>
          <cell r="F1184">
            <v>29</v>
          </cell>
          <cell r="G1184" t="str">
            <v>CORRECTIVO</v>
          </cell>
          <cell r="H1184">
            <v>0.36666670000000001</v>
          </cell>
          <cell r="I1184" t="str">
            <v>Entry Mono Printers</v>
          </cell>
          <cell r="J1184">
            <v>468</v>
          </cell>
          <cell r="K1184">
            <v>715</v>
          </cell>
          <cell r="L1184">
            <v>0</v>
          </cell>
          <cell r="M1184">
            <v>0</v>
          </cell>
          <cell r="N1184">
            <v>0</v>
          </cell>
          <cell r="O1184">
            <v>0.6</v>
          </cell>
          <cell r="P1184">
            <v>0.8</v>
          </cell>
          <cell r="Q1184">
            <v>1.05</v>
          </cell>
          <cell r="R1184" t="str">
            <v>INTERIOR</v>
          </cell>
          <cell r="S1184">
            <v>5</v>
          </cell>
          <cell r="T1184">
            <v>9</v>
          </cell>
          <cell r="U1184" t="str">
            <v>Ciudad principal</v>
          </cell>
          <cell r="V1184" t="str">
            <v>Entry Mono Printers</v>
          </cell>
          <cell r="W1184" t="str">
            <v>CHIHUAHUA</v>
          </cell>
          <cell r="X1184">
            <v>2019</v>
          </cell>
          <cell r="Y1184" t="str">
            <v>Qtr 2</v>
          </cell>
          <cell r="Z1184" t="str">
            <v>April</v>
          </cell>
          <cell r="AA1184">
            <v>29</v>
          </cell>
          <cell r="AB1184">
            <v>0</v>
          </cell>
          <cell r="AC1184">
            <v>31</v>
          </cell>
          <cell r="AD1184">
            <v>0.8</v>
          </cell>
          <cell r="AE1184">
            <v>7.3333339999999997E-2</v>
          </cell>
          <cell r="AF1184">
            <v>572</v>
          </cell>
        </row>
        <row r="1185">
          <cell r="B1185" t="str">
            <v>0MX4465124</v>
          </cell>
          <cell r="C1185">
            <v>2019</v>
          </cell>
          <cell r="D1185" t="str">
            <v>Qtr 2</v>
          </cell>
          <cell r="E1185" t="str">
            <v>April</v>
          </cell>
          <cell r="F1185">
            <v>29</v>
          </cell>
          <cell r="G1185" t="str">
            <v>CORRECTIVO</v>
          </cell>
          <cell r="H1185">
            <v>2.9333330000000002</v>
          </cell>
          <cell r="J1185" t="str">
            <v>NA</v>
          </cell>
          <cell r="K1185" t="str">
            <v>NA</v>
          </cell>
          <cell r="L1185" t="str">
            <v>NA</v>
          </cell>
          <cell r="M1185" t="str">
            <v>NA</v>
          </cell>
          <cell r="N1185" t="str">
            <v>NA</v>
          </cell>
          <cell r="O1185" t="str">
            <v>NA</v>
          </cell>
          <cell r="P1185" t="str">
            <v>NA</v>
          </cell>
          <cell r="Q1185" t="str">
            <v>NA</v>
          </cell>
          <cell r="S1185" t="str">
            <v>NA</v>
          </cell>
          <cell r="T1185" t="str">
            <v>NA</v>
          </cell>
          <cell r="V1185" t="str">
            <v>A3 Office Color Laser MFPs</v>
          </cell>
          <cell r="W1185" t="str">
            <v>JALISCO</v>
          </cell>
          <cell r="X1185">
            <v>2019</v>
          </cell>
          <cell r="Y1185" t="str">
            <v>Qtr 2</v>
          </cell>
          <cell r="Z1185" t="str">
            <v>April</v>
          </cell>
          <cell r="AA1185">
            <v>29</v>
          </cell>
          <cell r="AB1185" t="str">
            <v>NA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</row>
        <row r="1186">
          <cell r="B1186" t="str">
            <v>0EX9293331</v>
          </cell>
          <cell r="C1186">
            <v>2019</v>
          </cell>
          <cell r="D1186" t="str">
            <v>Qtr 2</v>
          </cell>
          <cell r="E1186" t="str">
            <v>April</v>
          </cell>
          <cell r="F1186">
            <v>29</v>
          </cell>
          <cell r="G1186" t="str">
            <v>CORRECTIVO</v>
          </cell>
          <cell r="H1186">
            <v>1.5333330000000001</v>
          </cell>
          <cell r="I1186" t="str">
            <v>Departmental Digital</v>
          </cell>
          <cell r="J1186">
            <v>655</v>
          </cell>
          <cell r="K1186">
            <v>1365</v>
          </cell>
          <cell r="L1186">
            <v>0</v>
          </cell>
          <cell r="M1186">
            <v>0</v>
          </cell>
          <cell r="N1186">
            <v>0.6</v>
          </cell>
          <cell r="O1186">
            <v>0.8</v>
          </cell>
          <cell r="P1186">
            <v>1.05</v>
          </cell>
          <cell r="Q1186">
            <v>1.1000000000000001</v>
          </cell>
          <cell r="R1186" t="str">
            <v>INTERIOR</v>
          </cell>
          <cell r="S1186">
            <v>5</v>
          </cell>
          <cell r="T1186">
            <v>9</v>
          </cell>
          <cell r="U1186" t="str">
            <v>Ciudad principal</v>
          </cell>
          <cell r="V1186" t="str">
            <v>Departmental Digital</v>
          </cell>
          <cell r="W1186" t="str">
            <v>NUEVO LEON</v>
          </cell>
          <cell r="X1186">
            <v>2019</v>
          </cell>
          <cell r="Y1186" t="str">
            <v>Qtr 2</v>
          </cell>
          <cell r="Z1186" t="str">
            <v>April</v>
          </cell>
          <cell r="AA1186">
            <v>29</v>
          </cell>
          <cell r="AB1186">
            <v>0</v>
          </cell>
          <cell r="AC1186">
            <v>18</v>
          </cell>
          <cell r="AD1186">
            <v>0.8</v>
          </cell>
          <cell r="AE1186">
            <v>0.30666660000000001</v>
          </cell>
          <cell r="AF1186">
            <v>1092</v>
          </cell>
        </row>
        <row r="1187">
          <cell r="B1187" t="str">
            <v>AAQ100563</v>
          </cell>
          <cell r="C1187">
            <v>2019</v>
          </cell>
          <cell r="D1187" t="str">
            <v>Qtr 2</v>
          </cell>
          <cell r="E1187" t="str">
            <v>April</v>
          </cell>
          <cell r="F1187">
            <v>29</v>
          </cell>
          <cell r="G1187" t="str">
            <v>CORRECTIVO</v>
          </cell>
          <cell r="H1187">
            <v>8.2333339999999993</v>
          </cell>
          <cell r="I1187" t="str">
            <v>Office Digital</v>
          </cell>
          <cell r="J1187">
            <v>655</v>
          </cell>
          <cell r="K1187">
            <v>1365</v>
          </cell>
          <cell r="L1187">
            <v>0</v>
          </cell>
          <cell r="M1187">
            <v>0</v>
          </cell>
          <cell r="N1187">
            <v>0.6</v>
          </cell>
          <cell r="O1187">
            <v>0.8</v>
          </cell>
          <cell r="P1187">
            <v>1.05</v>
          </cell>
          <cell r="Q1187">
            <v>1.1000000000000001</v>
          </cell>
          <cell r="R1187" t="str">
            <v>INTERIOR</v>
          </cell>
          <cell r="S1187">
            <v>5</v>
          </cell>
          <cell r="T1187">
            <v>9</v>
          </cell>
          <cell r="U1187" t="str">
            <v>Ciudad principal</v>
          </cell>
          <cell r="V1187" t="str">
            <v>A4 Mono MFPs</v>
          </cell>
          <cell r="W1187" t="str">
            <v>MICHOACAN</v>
          </cell>
          <cell r="X1187">
            <v>2019</v>
          </cell>
          <cell r="Y1187" t="str">
            <v>Qtr 2</v>
          </cell>
          <cell r="Z1187" t="str">
            <v>April</v>
          </cell>
          <cell r="AA1187">
            <v>30</v>
          </cell>
          <cell r="AB1187">
            <v>0</v>
          </cell>
          <cell r="AC1187">
            <v>19</v>
          </cell>
          <cell r="AD1187">
            <v>0.8</v>
          </cell>
          <cell r="AE1187">
            <v>1.6466668</v>
          </cell>
          <cell r="AF1187">
            <v>871.32495449999999</v>
          </cell>
        </row>
        <row r="1188">
          <cell r="B1188" t="str">
            <v>0BG2949312</v>
          </cell>
          <cell r="C1188">
            <v>2019</v>
          </cell>
          <cell r="D1188" t="str">
            <v>Qtr 2</v>
          </cell>
          <cell r="E1188" t="str">
            <v>April</v>
          </cell>
          <cell r="F1188">
            <v>29</v>
          </cell>
          <cell r="G1188" t="str">
            <v>CORRECTIVO</v>
          </cell>
          <cell r="H1188">
            <v>1.1499999999999999</v>
          </cell>
          <cell r="I1188" t="str">
            <v>Light Production Digital Business</v>
          </cell>
          <cell r="J1188">
            <v>803</v>
          </cell>
          <cell r="K1188">
            <v>1573</v>
          </cell>
          <cell r="L1188">
            <v>0.2</v>
          </cell>
          <cell r="M1188">
            <v>0.6</v>
          </cell>
          <cell r="N1188">
            <v>0.8</v>
          </cell>
          <cell r="O1188">
            <v>1.05</v>
          </cell>
          <cell r="P1188">
            <v>1.1000000000000001</v>
          </cell>
          <cell r="Q1188">
            <v>1.1499999999999999</v>
          </cell>
          <cell r="R1188" t="str">
            <v>INTERIOR</v>
          </cell>
          <cell r="S1188">
            <v>4</v>
          </cell>
          <cell r="T1188">
            <v>6</v>
          </cell>
          <cell r="U1188" t="str">
            <v>Ciudad principal</v>
          </cell>
          <cell r="V1188" t="str">
            <v>High End Cut Sheet</v>
          </cell>
          <cell r="W1188" t="str">
            <v>ESTADO DE MEXICO</v>
          </cell>
          <cell r="X1188">
            <v>2019</v>
          </cell>
          <cell r="Y1188" t="str">
            <v>Qtr 2</v>
          </cell>
          <cell r="Z1188" t="str">
            <v>April</v>
          </cell>
          <cell r="AA1188">
            <v>29</v>
          </cell>
          <cell r="AB1188">
            <v>0</v>
          </cell>
          <cell r="AC1188">
            <v>18</v>
          </cell>
          <cell r="AD1188">
            <v>1.05</v>
          </cell>
          <cell r="AE1188">
            <v>0.28749999999999998</v>
          </cell>
          <cell r="AF1188">
            <v>1651.65</v>
          </cell>
        </row>
        <row r="1189">
          <cell r="B1189" t="str">
            <v>0XPN392398</v>
          </cell>
          <cell r="C1189">
            <v>2019</v>
          </cell>
          <cell r="D1189" t="str">
            <v>Qtr 2</v>
          </cell>
          <cell r="E1189" t="str">
            <v>April</v>
          </cell>
          <cell r="F1189">
            <v>29</v>
          </cell>
          <cell r="G1189" t="str">
            <v>CORRECTIVO</v>
          </cell>
          <cell r="H1189">
            <v>0</v>
          </cell>
          <cell r="I1189" t="str">
            <v>Entry Production Color Low/Mid</v>
          </cell>
          <cell r="J1189">
            <v>803</v>
          </cell>
          <cell r="K1189">
            <v>1573</v>
          </cell>
          <cell r="L1189">
            <v>0.2</v>
          </cell>
          <cell r="M1189">
            <v>0.6</v>
          </cell>
          <cell r="N1189">
            <v>0.8</v>
          </cell>
          <cell r="O1189">
            <v>1.05</v>
          </cell>
          <cell r="P1189">
            <v>1.1000000000000001</v>
          </cell>
          <cell r="Q1189">
            <v>1.1499999999999999</v>
          </cell>
          <cell r="R1189" t="str">
            <v>INTERIOR</v>
          </cell>
          <cell r="S1189">
            <v>4</v>
          </cell>
          <cell r="T1189">
            <v>6</v>
          </cell>
          <cell r="U1189" t="str">
            <v>Ciudad principal</v>
          </cell>
          <cell r="V1189" t="str">
            <v>Entry Production Color Low/Mid</v>
          </cell>
          <cell r="W1189" t="str">
            <v>CHIHUAHUA</v>
          </cell>
          <cell r="X1189">
            <v>2019</v>
          </cell>
          <cell r="Y1189" t="str">
            <v>Qtr 2</v>
          </cell>
          <cell r="Z1189" t="str">
            <v>April</v>
          </cell>
          <cell r="AA1189">
            <v>30</v>
          </cell>
          <cell r="AB1189">
            <v>0</v>
          </cell>
          <cell r="AC1189">
            <v>74</v>
          </cell>
          <cell r="AD1189">
            <v>1.1499999999999999</v>
          </cell>
          <cell r="AE1189">
            <v>0</v>
          </cell>
          <cell r="AF1189">
            <v>1808.95</v>
          </cell>
        </row>
        <row r="1190">
          <cell r="B1190" t="str">
            <v>0BG2941143</v>
          </cell>
          <cell r="C1190">
            <v>2019</v>
          </cell>
          <cell r="D1190" t="str">
            <v>Qtr 2</v>
          </cell>
          <cell r="E1190" t="str">
            <v>April</v>
          </cell>
          <cell r="F1190">
            <v>29</v>
          </cell>
          <cell r="G1190" t="str">
            <v>CORRECTIVO</v>
          </cell>
          <cell r="H1190">
            <v>2.6666669999999999</v>
          </cell>
          <cell r="I1190" t="str">
            <v>Light Production Digital Business</v>
          </cell>
          <cell r="J1190">
            <v>803</v>
          </cell>
          <cell r="K1190">
            <v>1573</v>
          </cell>
          <cell r="L1190">
            <v>0.2</v>
          </cell>
          <cell r="M1190">
            <v>0.6</v>
          </cell>
          <cell r="N1190">
            <v>0.8</v>
          </cell>
          <cell r="O1190">
            <v>1.05</v>
          </cell>
          <cell r="P1190">
            <v>1.1000000000000001</v>
          </cell>
          <cell r="Q1190">
            <v>1.1499999999999999</v>
          </cell>
          <cell r="R1190" t="str">
            <v>INTERIOR</v>
          </cell>
          <cell r="S1190">
            <v>4</v>
          </cell>
          <cell r="T1190">
            <v>6</v>
          </cell>
          <cell r="U1190" t="str">
            <v>Ciudad principal</v>
          </cell>
          <cell r="V1190" t="str">
            <v>High End Cut Sheet</v>
          </cell>
          <cell r="W1190" t="str">
            <v>TAMAULIPAS</v>
          </cell>
          <cell r="X1190">
            <v>2019</v>
          </cell>
          <cell r="Y1190" t="str">
            <v>Qtr 2</v>
          </cell>
          <cell r="Z1190" t="str">
            <v>April</v>
          </cell>
          <cell r="AA1190">
            <v>29</v>
          </cell>
          <cell r="AB1190">
            <v>0</v>
          </cell>
          <cell r="AC1190">
            <v>12</v>
          </cell>
          <cell r="AD1190">
            <v>0.8</v>
          </cell>
          <cell r="AE1190">
            <v>0.66666674999999997</v>
          </cell>
          <cell r="AF1190">
            <v>1258.4000000000001</v>
          </cell>
        </row>
        <row r="1191">
          <cell r="B1191" t="str">
            <v>06TB445745</v>
          </cell>
          <cell r="C1191">
            <v>2019</v>
          </cell>
          <cell r="D1191" t="str">
            <v>Qtr 2</v>
          </cell>
          <cell r="E1191" t="str">
            <v>April</v>
          </cell>
          <cell r="F1191">
            <v>29</v>
          </cell>
          <cell r="G1191" t="str">
            <v>MANTENIMIENTO PREVENTIVO</v>
          </cell>
          <cell r="H1191">
            <v>0</v>
          </cell>
          <cell r="I1191" t="str">
            <v>A3 Office Color Laser MFPs</v>
          </cell>
          <cell r="J1191">
            <v>655</v>
          </cell>
          <cell r="K1191">
            <v>1365</v>
          </cell>
          <cell r="L1191">
            <v>0</v>
          </cell>
          <cell r="M1191">
            <v>0</v>
          </cell>
          <cell r="N1191">
            <v>0.6</v>
          </cell>
          <cell r="O1191">
            <v>0.8</v>
          </cell>
          <cell r="P1191">
            <v>1.05</v>
          </cell>
          <cell r="Q1191">
            <v>1.1000000000000001</v>
          </cell>
          <cell r="R1191" t="str">
            <v>INTERIOR</v>
          </cell>
          <cell r="S1191">
            <v>5</v>
          </cell>
          <cell r="T1191">
            <v>9</v>
          </cell>
          <cell r="U1191" t="str">
            <v>Ciudad principal</v>
          </cell>
          <cell r="V1191" t="str">
            <v>A3 Office Color Laser MFPs</v>
          </cell>
          <cell r="W1191" t="str">
            <v>JALISCO</v>
          </cell>
          <cell r="X1191">
            <v>2019</v>
          </cell>
          <cell r="Y1191" t="str">
            <v>Qtr 2</v>
          </cell>
          <cell r="Z1191" t="str">
            <v>April</v>
          </cell>
          <cell r="AA1191">
            <v>29</v>
          </cell>
          <cell r="AB1191">
            <v>0</v>
          </cell>
          <cell r="AC1191">
            <v>34</v>
          </cell>
          <cell r="AD1191">
            <v>0</v>
          </cell>
          <cell r="AE1191">
            <v>0</v>
          </cell>
          <cell r="AF1191">
            <v>1365</v>
          </cell>
        </row>
        <row r="1192">
          <cell r="B1192" t="str">
            <v>03BT802246</v>
          </cell>
          <cell r="C1192">
            <v>2019</v>
          </cell>
          <cell r="D1192" t="str">
            <v>Qtr 2</v>
          </cell>
          <cell r="E1192" t="str">
            <v>April</v>
          </cell>
          <cell r="F1192">
            <v>29</v>
          </cell>
          <cell r="G1192" t="str">
            <v>CORRECTIVO</v>
          </cell>
          <cell r="H1192">
            <v>2.5</v>
          </cell>
          <cell r="I1192" t="str">
            <v>A4 Mono MFPs</v>
          </cell>
          <cell r="J1192">
            <v>468</v>
          </cell>
          <cell r="K1192">
            <v>715</v>
          </cell>
          <cell r="L1192">
            <v>0</v>
          </cell>
          <cell r="M1192">
            <v>0</v>
          </cell>
          <cell r="N1192">
            <v>0</v>
          </cell>
          <cell r="O1192">
            <v>0.6</v>
          </cell>
          <cell r="P1192">
            <v>0.8</v>
          </cell>
          <cell r="Q1192">
            <v>1.05</v>
          </cell>
          <cell r="R1192" t="str">
            <v>INTERIOR</v>
          </cell>
          <cell r="S1192">
            <v>5</v>
          </cell>
          <cell r="T1192">
            <v>9</v>
          </cell>
          <cell r="U1192" t="str">
            <v>Ciudad principal</v>
          </cell>
          <cell r="V1192" t="str">
            <v>A4 Mono MFPs</v>
          </cell>
          <cell r="W1192" t="str">
            <v>NUEVO LEON</v>
          </cell>
          <cell r="X1192">
            <v>2019</v>
          </cell>
          <cell r="Y1192" t="str">
            <v>Qtr 2</v>
          </cell>
          <cell r="Z1192" t="str">
            <v>April</v>
          </cell>
          <cell r="AA1192">
            <v>30</v>
          </cell>
          <cell r="AB1192">
            <v>0</v>
          </cell>
          <cell r="AC1192">
            <v>326</v>
          </cell>
          <cell r="AD1192">
            <v>1.05</v>
          </cell>
          <cell r="AE1192">
            <v>0.5</v>
          </cell>
          <cell r="AF1192">
            <v>750.75</v>
          </cell>
        </row>
        <row r="1193">
          <cell r="B1193" t="str">
            <v>0XPN395024</v>
          </cell>
          <cell r="C1193">
            <v>2019</v>
          </cell>
          <cell r="D1193" t="str">
            <v>Qtr 2</v>
          </cell>
          <cell r="E1193" t="str">
            <v>April</v>
          </cell>
          <cell r="F1193">
            <v>29</v>
          </cell>
          <cell r="G1193" t="str">
            <v>CORRECTIVO</v>
          </cell>
          <cell r="H1193">
            <v>0.96666660000000004</v>
          </cell>
          <cell r="I1193" t="str">
            <v>Entry Production Color Low/Mid</v>
          </cell>
          <cell r="J1193">
            <v>803</v>
          </cell>
          <cell r="K1193">
            <v>1573</v>
          </cell>
          <cell r="L1193">
            <v>0.2</v>
          </cell>
          <cell r="M1193">
            <v>0.6</v>
          </cell>
          <cell r="N1193">
            <v>0.8</v>
          </cell>
          <cell r="O1193">
            <v>1.05</v>
          </cell>
          <cell r="P1193">
            <v>1.1000000000000001</v>
          </cell>
          <cell r="Q1193">
            <v>1.1499999999999999</v>
          </cell>
          <cell r="R1193" t="str">
            <v>INTERIOR</v>
          </cell>
          <cell r="S1193">
            <v>4</v>
          </cell>
          <cell r="T1193">
            <v>6</v>
          </cell>
          <cell r="U1193" t="str">
            <v>Ciudad principal</v>
          </cell>
          <cell r="V1193" t="str">
            <v>Entry Production Color Low/Mid</v>
          </cell>
          <cell r="W1193" t="str">
            <v>JALISCO</v>
          </cell>
          <cell r="X1193">
            <v>2019</v>
          </cell>
          <cell r="Y1193" t="str">
            <v>Qtr 2</v>
          </cell>
          <cell r="Z1193" t="str">
            <v>April</v>
          </cell>
          <cell r="AA1193">
            <v>29</v>
          </cell>
          <cell r="AB1193">
            <v>0</v>
          </cell>
          <cell r="AC1193">
            <v>10</v>
          </cell>
          <cell r="AD1193">
            <v>0.8</v>
          </cell>
          <cell r="AE1193">
            <v>0.24166665000000001</v>
          </cell>
          <cell r="AF1193">
            <v>1258.4000000000001</v>
          </cell>
        </row>
        <row r="1194">
          <cell r="B1194" t="str">
            <v>0EX7384680</v>
          </cell>
          <cell r="C1194">
            <v>2019</v>
          </cell>
          <cell r="D1194" t="str">
            <v>Qtr 2</v>
          </cell>
          <cell r="E1194" t="str">
            <v>April</v>
          </cell>
          <cell r="F1194">
            <v>29</v>
          </cell>
          <cell r="G1194" t="str">
            <v>CORRECTIVO</v>
          </cell>
          <cell r="H1194">
            <v>0</v>
          </cell>
          <cell r="I1194" t="str">
            <v>Office Digital</v>
          </cell>
          <cell r="J1194">
            <v>655</v>
          </cell>
          <cell r="K1194">
            <v>1365</v>
          </cell>
          <cell r="L1194">
            <v>0</v>
          </cell>
          <cell r="M1194">
            <v>0</v>
          </cell>
          <cell r="N1194">
            <v>0.6</v>
          </cell>
          <cell r="O1194">
            <v>0.8</v>
          </cell>
          <cell r="P1194">
            <v>1.05</v>
          </cell>
          <cell r="Q1194">
            <v>1.1000000000000001</v>
          </cell>
          <cell r="R1194" t="str">
            <v>INTERIOR</v>
          </cell>
          <cell r="S1194">
            <v>5</v>
          </cell>
          <cell r="T1194">
            <v>9</v>
          </cell>
          <cell r="U1194" t="str">
            <v>Ciudad principal</v>
          </cell>
          <cell r="V1194" t="str">
            <v>Departmental Digital</v>
          </cell>
          <cell r="W1194" t="str">
            <v>CHIHUAHUA</v>
          </cell>
          <cell r="X1194">
            <v>2019</v>
          </cell>
          <cell r="Y1194" t="str">
            <v>Qtr 2</v>
          </cell>
          <cell r="Z1194" t="str">
            <v>April</v>
          </cell>
          <cell r="AA1194">
            <v>29</v>
          </cell>
          <cell r="AB1194">
            <v>1</v>
          </cell>
          <cell r="AC1194">
            <v>96</v>
          </cell>
          <cell r="AD1194">
            <v>0</v>
          </cell>
          <cell r="AE1194">
            <v>0</v>
          </cell>
          <cell r="AF1194">
            <v>0</v>
          </cell>
        </row>
        <row r="1195">
          <cell r="B1195" t="str">
            <v>0XLT280681</v>
          </cell>
          <cell r="C1195">
            <v>2019</v>
          </cell>
          <cell r="D1195" t="str">
            <v>Qtr 2</v>
          </cell>
          <cell r="E1195" t="str">
            <v>April</v>
          </cell>
          <cell r="F1195">
            <v>29</v>
          </cell>
          <cell r="G1195" t="str">
            <v>MANTENIMIENTO PREVENTIVO</v>
          </cell>
          <cell r="H1195">
            <v>0</v>
          </cell>
          <cell r="I1195" t="str">
            <v>Entry Mono Printers</v>
          </cell>
          <cell r="J1195">
            <v>468</v>
          </cell>
          <cell r="K1195">
            <v>715</v>
          </cell>
          <cell r="L1195">
            <v>0</v>
          </cell>
          <cell r="M1195">
            <v>0</v>
          </cell>
          <cell r="N1195">
            <v>0</v>
          </cell>
          <cell r="O1195">
            <v>0.6</v>
          </cell>
          <cell r="P1195">
            <v>0.8</v>
          </cell>
          <cell r="Q1195">
            <v>1.05</v>
          </cell>
          <cell r="R1195" t="str">
            <v>INTERIOR</v>
          </cell>
          <cell r="S1195">
            <v>5</v>
          </cell>
          <cell r="T1195">
            <v>9</v>
          </cell>
          <cell r="U1195" t="str">
            <v>Ciudad principal</v>
          </cell>
          <cell r="V1195" t="str">
            <v>Entry Mono Printers</v>
          </cell>
          <cell r="W1195" t="str">
            <v>CHIHUAHUA</v>
          </cell>
          <cell r="X1195">
            <v>2019</v>
          </cell>
          <cell r="Y1195" t="str">
            <v>Qtr 2</v>
          </cell>
          <cell r="Z1195" t="str">
            <v>April</v>
          </cell>
          <cell r="AA1195">
            <v>29</v>
          </cell>
          <cell r="AB1195">
            <v>0</v>
          </cell>
          <cell r="AC1195">
            <v>49</v>
          </cell>
          <cell r="AD1195">
            <v>0</v>
          </cell>
          <cell r="AE1195">
            <v>0</v>
          </cell>
          <cell r="AF1195">
            <v>715</v>
          </cell>
        </row>
        <row r="1196">
          <cell r="B1196" t="str">
            <v>03AG880377</v>
          </cell>
          <cell r="C1196">
            <v>2019</v>
          </cell>
          <cell r="D1196" t="str">
            <v>Qtr 2</v>
          </cell>
          <cell r="E1196" t="str">
            <v>April</v>
          </cell>
          <cell r="F1196">
            <v>29</v>
          </cell>
          <cell r="G1196" t="str">
            <v>CORRECTIVO</v>
          </cell>
          <cell r="H1196">
            <v>0.5</v>
          </cell>
          <cell r="I1196" t="str">
            <v>Departmental Digital</v>
          </cell>
          <cell r="J1196">
            <v>655</v>
          </cell>
          <cell r="K1196">
            <v>1365</v>
          </cell>
          <cell r="L1196">
            <v>0</v>
          </cell>
          <cell r="M1196">
            <v>0</v>
          </cell>
          <cell r="N1196">
            <v>0.6</v>
          </cell>
          <cell r="O1196">
            <v>0.8</v>
          </cell>
          <cell r="P1196">
            <v>1.05</v>
          </cell>
          <cell r="Q1196">
            <v>1.1000000000000001</v>
          </cell>
          <cell r="R1196" t="str">
            <v>INTERIOR</v>
          </cell>
          <cell r="S1196">
            <v>5</v>
          </cell>
          <cell r="T1196">
            <v>9</v>
          </cell>
          <cell r="U1196" t="str">
            <v>Ciudad principal</v>
          </cell>
          <cell r="V1196" t="str">
            <v>Light Production Digital Business</v>
          </cell>
          <cell r="W1196" t="str">
            <v>GUANAJUATO</v>
          </cell>
          <cell r="X1196">
            <v>2019</v>
          </cell>
          <cell r="Y1196" t="str">
            <v>Qtr 2</v>
          </cell>
          <cell r="Z1196" t="str">
            <v>April</v>
          </cell>
          <cell r="AA1196">
            <v>29</v>
          </cell>
          <cell r="AB1196">
            <v>0</v>
          </cell>
          <cell r="AC1196">
            <v>4</v>
          </cell>
          <cell r="AD1196">
            <v>0</v>
          </cell>
          <cell r="AE1196">
            <v>0.1</v>
          </cell>
          <cell r="AF1196">
            <v>0</v>
          </cell>
        </row>
        <row r="1197">
          <cell r="B1197" t="str">
            <v>0EX9293483</v>
          </cell>
          <cell r="C1197">
            <v>2019</v>
          </cell>
          <cell r="D1197" t="str">
            <v>Qtr 2</v>
          </cell>
          <cell r="E1197" t="str">
            <v>April</v>
          </cell>
          <cell r="F1197">
            <v>29</v>
          </cell>
          <cell r="G1197" t="str">
            <v>CORRECTIVO</v>
          </cell>
          <cell r="H1197">
            <v>3.0666669999999998</v>
          </cell>
          <cell r="I1197" t="str">
            <v>Departmental Digital</v>
          </cell>
          <cell r="J1197">
            <v>655</v>
          </cell>
          <cell r="K1197">
            <v>1365</v>
          </cell>
          <cell r="L1197">
            <v>0</v>
          </cell>
          <cell r="M1197">
            <v>0</v>
          </cell>
          <cell r="N1197">
            <v>0.6</v>
          </cell>
          <cell r="O1197">
            <v>0.8</v>
          </cell>
          <cell r="P1197">
            <v>1.05</v>
          </cell>
          <cell r="Q1197">
            <v>1.1000000000000001</v>
          </cell>
          <cell r="R1197" t="str">
            <v>INTERIOR</v>
          </cell>
          <cell r="S1197">
            <v>5</v>
          </cell>
          <cell r="T1197">
            <v>9</v>
          </cell>
          <cell r="U1197" t="str">
            <v>Ciudad principal</v>
          </cell>
          <cell r="V1197" t="str">
            <v>Departmental Digital</v>
          </cell>
          <cell r="W1197" t="str">
            <v>SAN LUIS POTOSI</v>
          </cell>
          <cell r="X1197">
            <v>2019</v>
          </cell>
          <cell r="Y1197" t="str">
            <v>Qtr 2</v>
          </cell>
          <cell r="Z1197" t="str">
            <v>April</v>
          </cell>
          <cell r="AA1197">
            <v>30</v>
          </cell>
          <cell r="AB1197">
            <v>0</v>
          </cell>
          <cell r="AC1197">
            <v>18</v>
          </cell>
          <cell r="AD1197">
            <v>0.8</v>
          </cell>
          <cell r="AE1197">
            <v>0.61333340000000003</v>
          </cell>
          <cell r="AF1197">
            <v>1092</v>
          </cell>
        </row>
        <row r="1198">
          <cell r="B1198" t="str">
            <v>09HB331821</v>
          </cell>
          <cell r="C1198">
            <v>2019</v>
          </cell>
          <cell r="D1198" t="str">
            <v>Qtr 2</v>
          </cell>
          <cell r="E1198" t="str">
            <v>April</v>
          </cell>
          <cell r="F1198">
            <v>29</v>
          </cell>
          <cell r="G1198" t="str">
            <v>MANTENIMIENTO PREVENTIVO</v>
          </cell>
          <cell r="H1198">
            <v>0</v>
          </cell>
          <cell r="J1198" t="str">
            <v>NA</v>
          </cell>
          <cell r="K1198" t="str">
            <v>NA</v>
          </cell>
          <cell r="L1198" t="str">
            <v>NA</v>
          </cell>
          <cell r="M1198" t="str">
            <v>NA</v>
          </cell>
          <cell r="N1198" t="str">
            <v>NA</v>
          </cell>
          <cell r="O1198" t="str">
            <v>NA</v>
          </cell>
          <cell r="P1198" t="str">
            <v>NA</v>
          </cell>
          <cell r="Q1198" t="str">
            <v>NA</v>
          </cell>
          <cell r="S1198" t="str">
            <v>NA</v>
          </cell>
          <cell r="T1198" t="str">
            <v>NA</v>
          </cell>
          <cell r="V1198" t="str">
            <v>A4 Mono MFPs</v>
          </cell>
          <cell r="W1198" t="str">
            <v>JALISCO</v>
          </cell>
          <cell r="X1198">
            <v>2019</v>
          </cell>
          <cell r="Y1198" t="str">
            <v>Qtr 2</v>
          </cell>
          <cell r="Z1198" t="str">
            <v>April</v>
          </cell>
          <cell r="AA1198">
            <v>29</v>
          </cell>
          <cell r="AB1198" t="str">
            <v>NA</v>
          </cell>
          <cell r="AC1198">
            <v>46</v>
          </cell>
          <cell r="AD1198">
            <v>0</v>
          </cell>
          <cell r="AE1198">
            <v>0</v>
          </cell>
          <cell r="AF1198">
            <v>0</v>
          </cell>
        </row>
        <row r="1199">
          <cell r="B1199" t="str">
            <v>9HB914354</v>
          </cell>
          <cell r="C1199">
            <v>2019</v>
          </cell>
          <cell r="D1199" t="str">
            <v>Qtr 2</v>
          </cell>
          <cell r="E1199" t="str">
            <v>April</v>
          </cell>
          <cell r="F1199">
            <v>29</v>
          </cell>
          <cell r="G1199" t="str">
            <v>CORRECTIVO</v>
          </cell>
          <cell r="H1199">
            <v>1.3666670000000001</v>
          </cell>
          <cell r="J1199" t="str">
            <v>NA</v>
          </cell>
          <cell r="K1199" t="str">
            <v>NA</v>
          </cell>
          <cell r="L1199" t="str">
            <v>NA</v>
          </cell>
          <cell r="M1199" t="str">
            <v>NA</v>
          </cell>
          <cell r="N1199" t="str">
            <v>NA</v>
          </cell>
          <cell r="O1199" t="str">
            <v>NA</v>
          </cell>
          <cell r="P1199" t="str">
            <v>NA</v>
          </cell>
          <cell r="Q1199" t="str">
            <v>NA</v>
          </cell>
          <cell r="S1199" t="str">
            <v>NA</v>
          </cell>
          <cell r="T1199" t="str">
            <v>NA</v>
          </cell>
          <cell r="V1199" t="str">
            <v>A4 Mono MFPs</v>
          </cell>
          <cell r="W1199" t="str">
            <v>TAMAULIPAS</v>
          </cell>
          <cell r="X1199">
            <v>2019</v>
          </cell>
          <cell r="Y1199" t="str">
            <v>Qtr 2</v>
          </cell>
          <cell r="Z1199" t="str">
            <v>April</v>
          </cell>
          <cell r="AA1199">
            <v>30</v>
          </cell>
          <cell r="AB1199" t="str">
            <v>NA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</row>
        <row r="1200">
          <cell r="B1200" t="str">
            <v>0XLT280680</v>
          </cell>
          <cell r="C1200">
            <v>2019</v>
          </cell>
          <cell r="D1200" t="str">
            <v>Qtr 2</v>
          </cell>
          <cell r="E1200" t="str">
            <v>April</v>
          </cell>
          <cell r="F1200">
            <v>29</v>
          </cell>
          <cell r="G1200" t="str">
            <v>MANTENIMIENTO PREVENTIVO</v>
          </cell>
          <cell r="H1200">
            <v>0</v>
          </cell>
          <cell r="I1200" t="str">
            <v>Entry Mono Printers</v>
          </cell>
          <cell r="J1200">
            <v>468</v>
          </cell>
          <cell r="K1200">
            <v>715</v>
          </cell>
          <cell r="L1200">
            <v>0</v>
          </cell>
          <cell r="M1200">
            <v>0</v>
          </cell>
          <cell r="N1200">
            <v>0</v>
          </cell>
          <cell r="O1200">
            <v>0.6</v>
          </cell>
          <cell r="P1200">
            <v>0.8</v>
          </cell>
          <cell r="Q1200">
            <v>1.05</v>
          </cell>
          <cell r="R1200" t="str">
            <v>INTERIOR</v>
          </cell>
          <cell r="S1200">
            <v>5</v>
          </cell>
          <cell r="T1200">
            <v>9</v>
          </cell>
          <cell r="U1200" t="str">
            <v>Ciudad principal</v>
          </cell>
          <cell r="V1200" t="str">
            <v>Entry Mono Printers</v>
          </cell>
          <cell r="W1200" t="str">
            <v>CHIHUAHUA</v>
          </cell>
          <cell r="X1200">
            <v>2019</v>
          </cell>
          <cell r="Y1200" t="str">
            <v>Qtr 2</v>
          </cell>
          <cell r="Z1200" t="str">
            <v>April</v>
          </cell>
          <cell r="AA1200">
            <v>30</v>
          </cell>
          <cell r="AB1200">
            <v>0</v>
          </cell>
          <cell r="AC1200">
            <v>40</v>
          </cell>
          <cell r="AD1200">
            <v>0</v>
          </cell>
          <cell r="AE1200">
            <v>0</v>
          </cell>
          <cell r="AF1200">
            <v>715</v>
          </cell>
        </row>
        <row r="1201">
          <cell r="B1201" t="str">
            <v>0BB1564131</v>
          </cell>
          <cell r="C1201">
            <v>2019</v>
          </cell>
          <cell r="D1201" t="str">
            <v>Qtr 2</v>
          </cell>
          <cell r="E1201" t="str">
            <v>April</v>
          </cell>
          <cell r="F1201">
            <v>29</v>
          </cell>
          <cell r="G1201" t="str">
            <v>CORRECTIVO</v>
          </cell>
          <cell r="H1201">
            <v>2.85</v>
          </cell>
          <cell r="I1201" t="str">
            <v>A4 Mono MFPs</v>
          </cell>
          <cell r="J1201">
            <v>468</v>
          </cell>
          <cell r="K1201">
            <v>715</v>
          </cell>
          <cell r="L1201">
            <v>0</v>
          </cell>
          <cell r="M1201">
            <v>0</v>
          </cell>
          <cell r="N1201">
            <v>0</v>
          </cell>
          <cell r="O1201">
            <v>0.6</v>
          </cell>
          <cell r="P1201">
            <v>0.8</v>
          </cell>
          <cell r="Q1201">
            <v>1.05</v>
          </cell>
          <cell r="R1201" t="str">
            <v>INTERIOR</v>
          </cell>
          <cell r="S1201">
            <v>5</v>
          </cell>
          <cell r="T1201">
            <v>9</v>
          </cell>
          <cell r="U1201" t="str">
            <v>Ciudad principal</v>
          </cell>
          <cell r="V1201" t="str">
            <v>A4 Mono MFPs</v>
          </cell>
          <cell r="W1201" t="str">
            <v>GUANAJUATO</v>
          </cell>
          <cell r="X1201">
            <v>2019</v>
          </cell>
          <cell r="Y1201" t="str">
            <v>Qtr 2</v>
          </cell>
          <cell r="Z1201" t="str">
            <v>April</v>
          </cell>
          <cell r="AA1201">
            <v>30</v>
          </cell>
          <cell r="AB1201">
            <v>0</v>
          </cell>
          <cell r="AC1201">
            <v>3</v>
          </cell>
          <cell r="AD1201">
            <v>0</v>
          </cell>
          <cell r="AE1201">
            <v>0.56999999999999995</v>
          </cell>
          <cell r="AF1201">
            <v>0</v>
          </cell>
        </row>
        <row r="1202">
          <cell r="B1202" t="str">
            <v>09HB333007</v>
          </cell>
          <cell r="C1202">
            <v>2019</v>
          </cell>
          <cell r="D1202" t="str">
            <v>Qtr 2</v>
          </cell>
          <cell r="E1202" t="str">
            <v>April</v>
          </cell>
          <cell r="F1202">
            <v>29</v>
          </cell>
          <cell r="G1202" t="str">
            <v>CORRECTIVO</v>
          </cell>
          <cell r="H1202">
            <v>0</v>
          </cell>
          <cell r="I1202" t="str">
            <v>A4 Mono MFPs</v>
          </cell>
          <cell r="J1202">
            <v>468</v>
          </cell>
          <cell r="K1202">
            <v>715</v>
          </cell>
          <cell r="L1202">
            <v>0</v>
          </cell>
          <cell r="M1202">
            <v>0</v>
          </cell>
          <cell r="N1202">
            <v>0</v>
          </cell>
          <cell r="O1202">
            <v>0.6</v>
          </cell>
          <cell r="P1202">
            <v>0.8</v>
          </cell>
          <cell r="Q1202">
            <v>1.05</v>
          </cell>
          <cell r="R1202" t="str">
            <v>INTERIOR</v>
          </cell>
          <cell r="S1202">
            <v>5</v>
          </cell>
          <cell r="T1202">
            <v>9</v>
          </cell>
          <cell r="U1202" t="str">
            <v>Ciudad principal</v>
          </cell>
          <cell r="V1202" t="str">
            <v>A4 Mono MFPs</v>
          </cell>
          <cell r="W1202" t="str">
            <v>NUEVO LEON</v>
          </cell>
          <cell r="X1202">
            <v>2019</v>
          </cell>
          <cell r="Y1202" t="str">
            <v>Qtr 2</v>
          </cell>
          <cell r="Z1202" t="str">
            <v>April</v>
          </cell>
          <cell r="AA1202">
            <v>30</v>
          </cell>
          <cell r="AB1202">
            <v>0</v>
          </cell>
          <cell r="AC1202">
            <v>24</v>
          </cell>
          <cell r="AD1202">
            <v>0.6</v>
          </cell>
          <cell r="AE1202">
            <v>0</v>
          </cell>
          <cell r="AF1202">
            <v>429</v>
          </cell>
        </row>
        <row r="1203">
          <cell r="B1203" t="str">
            <v>0BG2951627</v>
          </cell>
          <cell r="C1203">
            <v>2019</v>
          </cell>
          <cell r="D1203" t="str">
            <v>Qtr 2</v>
          </cell>
          <cell r="E1203" t="str">
            <v>April</v>
          </cell>
          <cell r="F1203">
            <v>29</v>
          </cell>
          <cell r="G1203" t="str">
            <v>MANTENIMIENTO PREVENTIVO</v>
          </cell>
          <cell r="H1203">
            <v>0.31666670000000002</v>
          </cell>
          <cell r="I1203" t="str">
            <v>Light Production Digital Business</v>
          </cell>
          <cell r="J1203">
            <v>803</v>
          </cell>
          <cell r="K1203">
            <v>1573</v>
          </cell>
          <cell r="L1203">
            <v>0.2</v>
          </cell>
          <cell r="M1203">
            <v>0.6</v>
          </cell>
          <cell r="N1203">
            <v>0.8</v>
          </cell>
          <cell r="O1203">
            <v>1.05</v>
          </cell>
          <cell r="P1203">
            <v>1.1000000000000001</v>
          </cell>
          <cell r="Q1203">
            <v>1.1499999999999999</v>
          </cell>
          <cell r="R1203" t="str">
            <v>INTERIOR</v>
          </cell>
          <cell r="S1203">
            <v>4</v>
          </cell>
          <cell r="T1203">
            <v>6</v>
          </cell>
          <cell r="U1203" t="str">
            <v>Ciudad principal</v>
          </cell>
          <cell r="V1203" t="str">
            <v>High End Cut Sheet</v>
          </cell>
          <cell r="W1203" t="str">
            <v>TAMAULIPAS</v>
          </cell>
          <cell r="X1203">
            <v>2019</v>
          </cell>
          <cell r="Y1203" t="str">
            <v>Qtr 2</v>
          </cell>
          <cell r="Z1203" t="str">
            <v>April</v>
          </cell>
          <cell r="AA1203">
            <v>30</v>
          </cell>
          <cell r="AB1203">
            <v>0</v>
          </cell>
          <cell r="AC1203">
            <v>14</v>
          </cell>
          <cell r="AD1203">
            <v>0</v>
          </cell>
          <cell r="AE1203">
            <v>0</v>
          </cell>
          <cell r="AF1203">
            <v>1573</v>
          </cell>
        </row>
        <row r="1204">
          <cell r="B1204" t="str">
            <v>0K3A708971</v>
          </cell>
          <cell r="C1204">
            <v>2019</v>
          </cell>
          <cell r="D1204" t="str">
            <v>Qtr 2</v>
          </cell>
          <cell r="E1204" t="str">
            <v>April</v>
          </cell>
          <cell r="F1204">
            <v>29</v>
          </cell>
          <cell r="G1204" t="str">
            <v>MANTENIMIENTO PREVENTIVO</v>
          </cell>
          <cell r="H1204">
            <v>0</v>
          </cell>
          <cell r="I1204" t="str">
            <v>Entry Mono Printers</v>
          </cell>
          <cell r="J1204">
            <v>468</v>
          </cell>
          <cell r="K1204">
            <v>715</v>
          </cell>
          <cell r="L1204">
            <v>0</v>
          </cell>
          <cell r="M1204">
            <v>0</v>
          </cell>
          <cell r="N1204">
            <v>0</v>
          </cell>
          <cell r="O1204">
            <v>0.6</v>
          </cell>
          <cell r="P1204">
            <v>0.8</v>
          </cell>
          <cell r="Q1204">
            <v>1.05</v>
          </cell>
          <cell r="R1204" t="str">
            <v>INTERIOR</v>
          </cell>
          <cell r="S1204">
            <v>5</v>
          </cell>
          <cell r="T1204">
            <v>9</v>
          </cell>
          <cell r="U1204" t="str">
            <v>Ciudad principal</v>
          </cell>
          <cell r="V1204" t="str">
            <v>A4 Mono MFPs</v>
          </cell>
          <cell r="W1204" t="str">
            <v>CHIHUAHUA</v>
          </cell>
          <cell r="X1204">
            <v>2019</v>
          </cell>
          <cell r="Y1204" t="str">
            <v>Qtr 2</v>
          </cell>
          <cell r="Z1204" t="str">
            <v>April</v>
          </cell>
          <cell r="AA1204">
            <v>30</v>
          </cell>
          <cell r="AB1204">
            <v>0</v>
          </cell>
          <cell r="AC1204">
            <v>95</v>
          </cell>
          <cell r="AD1204">
            <v>0</v>
          </cell>
          <cell r="AE1204">
            <v>0</v>
          </cell>
          <cell r="AF1204">
            <v>715</v>
          </cell>
        </row>
        <row r="1205">
          <cell r="B1205" t="str">
            <v>0BG2939611</v>
          </cell>
          <cell r="C1205">
            <v>2019</v>
          </cell>
          <cell r="D1205" t="str">
            <v>Qtr 2</v>
          </cell>
          <cell r="E1205" t="str">
            <v>April</v>
          </cell>
          <cell r="F1205">
            <v>30</v>
          </cell>
          <cell r="G1205" t="str">
            <v>MANTENIMIENTO PREVENTIVO</v>
          </cell>
          <cell r="H1205">
            <v>0</v>
          </cell>
          <cell r="I1205" t="str">
            <v>Light Production Digital Business</v>
          </cell>
          <cell r="J1205">
            <v>803</v>
          </cell>
          <cell r="K1205">
            <v>1573</v>
          </cell>
          <cell r="L1205">
            <v>0.2</v>
          </cell>
          <cell r="M1205">
            <v>0.6</v>
          </cell>
          <cell r="N1205">
            <v>0.8</v>
          </cell>
          <cell r="O1205">
            <v>1.05</v>
          </cell>
          <cell r="P1205">
            <v>1.1000000000000001</v>
          </cell>
          <cell r="Q1205">
            <v>1.1499999999999999</v>
          </cell>
          <cell r="R1205" t="str">
            <v>INTERIOR</v>
          </cell>
          <cell r="S1205">
            <v>4</v>
          </cell>
          <cell r="T1205">
            <v>6</v>
          </cell>
          <cell r="U1205" t="str">
            <v>Ciudad principal</v>
          </cell>
          <cell r="V1205" t="str">
            <v>High End Cut Sheet</v>
          </cell>
          <cell r="W1205" t="str">
            <v>TAMAULIPAS</v>
          </cell>
          <cell r="X1205">
            <v>2019</v>
          </cell>
          <cell r="Y1205" t="str">
            <v>Qtr 2</v>
          </cell>
          <cell r="Z1205" t="str">
            <v>April</v>
          </cell>
          <cell r="AA1205">
            <v>30</v>
          </cell>
          <cell r="AB1205">
            <v>0</v>
          </cell>
          <cell r="AC1205">
            <v>4</v>
          </cell>
          <cell r="AD1205">
            <v>0</v>
          </cell>
          <cell r="AE1205">
            <v>0</v>
          </cell>
          <cell r="AF1205">
            <v>1573</v>
          </cell>
        </row>
        <row r="1206">
          <cell r="B1206" t="str">
            <v>0LA6296642</v>
          </cell>
          <cell r="C1206">
            <v>2019</v>
          </cell>
          <cell r="D1206" t="str">
            <v>Qtr 2</v>
          </cell>
          <cell r="E1206" t="str">
            <v>April</v>
          </cell>
          <cell r="F1206">
            <v>30</v>
          </cell>
          <cell r="G1206" t="str">
            <v>CORRECTIVO</v>
          </cell>
          <cell r="H1206">
            <v>2.9166669999999999</v>
          </cell>
          <cell r="I1206" t="str">
            <v>A4 Mono MFPs</v>
          </cell>
          <cell r="J1206">
            <v>468</v>
          </cell>
          <cell r="K1206">
            <v>715</v>
          </cell>
          <cell r="L1206">
            <v>0</v>
          </cell>
          <cell r="M1206">
            <v>0</v>
          </cell>
          <cell r="N1206">
            <v>0</v>
          </cell>
          <cell r="O1206">
            <v>0.6</v>
          </cell>
          <cell r="P1206">
            <v>0.8</v>
          </cell>
          <cell r="Q1206">
            <v>1.05</v>
          </cell>
          <cell r="R1206" t="str">
            <v>INTERIOR</v>
          </cell>
          <cell r="S1206">
            <v>5</v>
          </cell>
          <cell r="T1206">
            <v>9</v>
          </cell>
          <cell r="U1206" t="str">
            <v>Ciudad principal</v>
          </cell>
          <cell r="V1206" t="str">
            <v>A4 Mono MFPs</v>
          </cell>
          <cell r="W1206" t="str">
            <v>TAMAULIPAS</v>
          </cell>
          <cell r="X1206">
            <v>2019</v>
          </cell>
          <cell r="Y1206" t="str">
            <v>Qtr 2</v>
          </cell>
          <cell r="Z1206" t="str">
            <v>April</v>
          </cell>
          <cell r="AA1206">
            <v>30</v>
          </cell>
          <cell r="AB1206">
            <v>0</v>
          </cell>
          <cell r="AC1206">
            <v>104</v>
          </cell>
          <cell r="AD1206">
            <v>1.05</v>
          </cell>
          <cell r="AE1206">
            <v>0.5833334</v>
          </cell>
          <cell r="AF1206">
            <v>750.75</v>
          </cell>
        </row>
        <row r="1207">
          <cell r="B1207" t="str">
            <v>0C4X003904</v>
          </cell>
          <cell r="C1207">
            <v>2019</v>
          </cell>
          <cell r="D1207" t="str">
            <v>Qtr 2</v>
          </cell>
          <cell r="E1207" t="str">
            <v>April</v>
          </cell>
          <cell r="F1207">
            <v>30</v>
          </cell>
          <cell r="G1207" t="str">
            <v>CORRECTIVO</v>
          </cell>
          <cell r="H1207">
            <v>0.96666660000000004</v>
          </cell>
          <cell r="I1207" t="str">
            <v>A4 Mono MFPs</v>
          </cell>
          <cell r="J1207">
            <v>468</v>
          </cell>
          <cell r="K1207">
            <v>715</v>
          </cell>
          <cell r="L1207">
            <v>0</v>
          </cell>
          <cell r="M1207">
            <v>0</v>
          </cell>
          <cell r="N1207">
            <v>0</v>
          </cell>
          <cell r="O1207">
            <v>0.6</v>
          </cell>
          <cell r="P1207">
            <v>0.8</v>
          </cell>
          <cell r="Q1207">
            <v>1.05</v>
          </cell>
          <cell r="R1207" t="str">
            <v>INTERIOR</v>
          </cell>
          <cell r="S1207">
            <v>5</v>
          </cell>
          <cell r="T1207">
            <v>9</v>
          </cell>
          <cell r="U1207" t="str">
            <v>Ciudad principal</v>
          </cell>
          <cell r="V1207" t="str">
            <v>A4 Mono MFPs</v>
          </cell>
          <cell r="W1207" t="str">
            <v>GUANAJUATO</v>
          </cell>
          <cell r="X1207">
            <v>2019</v>
          </cell>
          <cell r="Y1207" t="str">
            <v>Qtr 2</v>
          </cell>
          <cell r="Z1207" t="str">
            <v>April</v>
          </cell>
          <cell r="AA1207">
            <v>30</v>
          </cell>
          <cell r="AB1207">
            <v>0</v>
          </cell>
          <cell r="AC1207">
            <v>104</v>
          </cell>
          <cell r="AD1207">
            <v>1.05</v>
          </cell>
          <cell r="AE1207">
            <v>0.19333332</v>
          </cell>
          <cell r="AF1207">
            <v>750.75</v>
          </cell>
        </row>
        <row r="1208">
          <cell r="B1208" t="str">
            <v>0X76705839</v>
          </cell>
          <cell r="C1208">
            <v>2019</v>
          </cell>
          <cell r="D1208" t="str">
            <v>Qtr 2</v>
          </cell>
          <cell r="E1208" t="str">
            <v>April</v>
          </cell>
          <cell r="F1208">
            <v>30</v>
          </cell>
          <cell r="G1208" t="str">
            <v>CORRECTIVO</v>
          </cell>
          <cell r="H1208">
            <v>0.61666670000000001</v>
          </cell>
          <cell r="I1208" t="str">
            <v>Office Digital</v>
          </cell>
          <cell r="J1208">
            <v>655</v>
          </cell>
          <cell r="K1208">
            <v>1365</v>
          </cell>
          <cell r="L1208">
            <v>0</v>
          </cell>
          <cell r="M1208">
            <v>0</v>
          </cell>
          <cell r="N1208">
            <v>0.6</v>
          </cell>
          <cell r="O1208">
            <v>0.8</v>
          </cell>
          <cell r="P1208">
            <v>1.05</v>
          </cell>
          <cell r="Q1208">
            <v>1.1000000000000001</v>
          </cell>
          <cell r="R1208" t="str">
            <v>INTERIOR</v>
          </cell>
          <cell r="S1208">
            <v>5</v>
          </cell>
          <cell r="T1208">
            <v>9</v>
          </cell>
          <cell r="U1208" t="str">
            <v>Ciudad principal</v>
          </cell>
          <cell r="V1208" t="str">
            <v>Departmental Digital</v>
          </cell>
          <cell r="W1208" t="str">
            <v>CHIHUAHUA</v>
          </cell>
          <cell r="X1208">
            <v>2019</v>
          </cell>
          <cell r="Y1208" t="str">
            <v>Qtr 2</v>
          </cell>
          <cell r="Z1208" t="str">
            <v>April</v>
          </cell>
          <cell r="AA1208">
            <v>30</v>
          </cell>
          <cell r="AB1208">
            <v>0</v>
          </cell>
          <cell r="AC1208">
            <v>19</v>
          </cell>
          <cell r="AD1208">
            <v>0.8</v>
          </cell>
          <cell r="AE1208">
            <v>0.12333334</v>
          </cell>
          <cell r="AF1208">
            <v>1092</v>
          </cell>
        </row>
        <row r="1209">
          <cell r="B1209" t="str">
            <v>03AG873888</v>
          </cell>
          <cell r="C1209">
            <v>2019</v>
          </cell>
          <cell r="D1209" t="str">
            <v>Qtr 2</v>
          </cell>
          <cell r="E1209" t="str">
            <v>April</v>
          </cell>
          <cell r="F1209">
            <v>30</v>
          </cell>
          <cell r="G1209" t="str">
            <v>CORRECTIVO</v>
          </cell>
          <cell r="H1209">
            <v>2.0833330000000001</v>
          </cell>
          <cell r="I1209" t="str">
            <v>Departmental Digital</v>
          </cell>
          <cell r="J1209">
            <v>655</v>
          </cell>
          <cell r="K1209">
            <v>1365</v>
          </cell>
          <cell r="L1209">
            <v>0</v>
          </cell>
          <cell r="M1209">
            <v>0</v>
          </cell>
          <cell r="N1209">
            <v>0.6</v>
          </cell>
          <cell r="O1209">
            <v>0.8</v>
          </cell>
          <cell r="P1209">
            <v>1.05</v>
          </cell>
          <cell r="Q1209">
            <v>1.1000000000000001</v>
          </cell>
          <cell r="R1209" t="str">
            <v>INTERIOR</v>
          </cell>
          <cell r="S1209">
            <v>5</v>
          </cell>
          <cell r="T1209">
            <v>9</v>
          </cell>
          <cell r="U1209" t="str">
            <v>Ciudad principal</v>
          </cell>
          <cell r="V1209" t="str">
            <v>Light Production Digital Business</v>
          </cell>
          <cell r="W1209" t="str">
            <v>NUEVO LEON</v>
          </cell>
          <cell r="X1209">
            <v>2019</v>
          </cell>
          <cell r="Y1209" t="str">
            <v>Qtr 2</v>
          </cell>
          <cell r="Z1209" t="str">
            <v>April</v>
          </cell>
          <cell r="AA1209">
            <v>30</v>
          </cell>
          <cell r="AB1209">
            <v>0</v>
          </cell>
          <cell r="AC1209">
            <v>89</v>
          </cell>
          <cell r="AD1209">
            <v>1.1000000000000001</v>
          </cell>
          <cell r="AE1209">
            <v>0.4166666</v>
          </cell>
          <cell r="AF1209">
            <v>1501.5</v>
          </cell>
        </row>
        <row r="1210">
          <cell r="B1210" t="str">
            <v>0A1H021381</v>
          </cell>
          <cell r="C1210">
            <v>2019</v>
          </cell>
          <cell r="D1210" t="str">
            <v>Qtr 2</v>
          </cell>
          <cell r="E1210" t="str">
            <v>April</v>
          </cell>
          <cell r="F1210">
            <v>30</v>
          </cell>
          <cell r="G1210" t="str">
            <v>CORRECTIVO</v>
          </cell>
          <cell r="H1210">
            <v>1.55</v>
          </cell>
          <cell r="I1210" t="str">
            <v>WF Mono Systems and Legacy Color</v>
          </cell>
          <cell r="J1210">
            <v>803</v>
          </cell>
          <cell r="K1210">
            <v>1573</v>
          </cell>
          <cell r="L1210">
            <v>0.2</v>
          </cell>
          <cell r="M1210">
            <v>0.6</v>
          </cell>
          <cell r="N1210">
            <v>0.8</v>
          </cell>
          <cell r="O1210">
            <v>1.05</v>
          </cell>
          <cell r="P1210">
            <v>1.1000000000000001</v>
          </cell>
          <cell r="Q1210">
            <v>1.1499999999999999</v>
          </cell>
          <cell r="R1210" t="str">
            <v>INTERIOR</v>
          </cell>
          <cell r="S1210">
            <v>4</v>
          </cell>
          <cell r="T1210">
            <v>6</v>
          </cell>
          <cell r="U1210" t="str">
            <v>Ciudad principal</v>
          </cell>
          <cell r="V1210" t="str">
            <v>WF Mono Systems and Legacy Color</v>
          </cell>
          <cell r="W1210" t="str">
            <v>GUANAJUATO</v>
          </cell>
          <cell r="X1210">
            <v>2019</v>
          </cell>
          <cell r="Y1210" t="str">
            <v>Qtr 2</v>
          </cell>
          <cell r="Z1210" t="str">
            <v>April</v>
          </cell>
          <cell r="AA1210">
            <v>30</v>
          </cell>
          <cell r="AB1210">
            <v>0</v>
          </cell>
          <cell r="AC1210">
            <v>292</v>
          </cell>
          <cell r="AD1210">
            <v>1.1499999999999999</v>
          </cell>
          <cell r="AE1210">
            <v>0.38750000000000001</v>
          </cell>
          <cell r="AF1210">
            <v>1808.95</v>
          </cell>
        </row>
        <row r="1211">
          <cell r="B1211" t="str">
            <v>5AV803529</v>
          </cell>
          <cell r="C1211">
            <v>2019</v>
          </cell>
          <cell r="D1211" t="str">
            <v>Qtr 2</v>
          </cell>
          <cell r="E1211" t="str">
            <v>April</v>
          </cell>
          <cell r="F1211">
            <v>30</v>
          </cell>
          <cell r="G1211" t="str">
            <v>INSTALACION NUEVA</v>
          </cell>
          <cell r="H1211">
            <v>0</v>
          </cell>
          <cell r="J1211" t="str">
            <v>NA</v>
          </cell>
          <cell r="K1211" t="str">
            <v>NA</v>
          </cell>
          <cell r="L1211" t="str">
            <v>NA</v>
          </cell>
          <cell r="M1211" t="str">
            <v>NA</v>
          </cell>
          <cell r="N1211" t="str">
            <v>NA</v>
          </cell>
          <cell r="O1211" t="str">
            <v>NA</v>
          </cell>
          <cell r="P1211" t="str">
            <v>NA</v>
          </cell>
          <cell r="Q1211" t="str">
            <v>NA</v>
          </cell>
          <cell r="S1211" t="str">
            <v>NA</v>
          </cell>
          <cell r="T1211" t="str">
            <v>NA</v>
          </cell>
          <cell r="V1211" t="str">
            <v>A4 Color Laser MFPs</v>
          </cell>
          <cell r="W1211" t="str">
            <v>COAHUILA</v>
          </cell>
          <cell r="X1211">
            <v>2019</v>
          </cell>
          <cell r="Y1211" t="str">
            <v>Qtr 2</v>
          </cell>
          <cell r="Z1211" t="str">
            <v>April</v>
          </cell>
          <cell r="AA1211">
            <v>30</v>
          </cell>
          <cell r="AB1211" t="str">
            <v>NA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</row>
        <row r="1212">
          <cell r="B1212" t="str">
            <v>0E2B646616</v>
          </cell>
          <cell r="C1212">
            <v>2019</v>
          </cell>
          <cell r="D1212" t="str">
            <v>Qtr 2</v>
          </cell>
          <cell r="E1212" t="str">
            <v>April</v>
          </cell>
          <cell r="F1212">
            <v>30</v>
          </cell>
          <cell r="G1212" t="str">
            <v>CORRECTIVO</v>
          </cell>
          <cell r="H1212">
            <v>2.8666670000000001</v>
          </cell>
          <cell r="I1212" t="str">
            <v>Entry Production Color Low/Mid</v>
          </cell>
          <cell r="J1212">
            <v>803</v>
          </cell>
          <cell r="K1212">
            <v>1573</v>
          </cell>
          <cell r="L1212">
            <v>0.2</v>
          </cell>
          <cell r="M1212">
            <v>0.6</v>
          </cell>
          <cell r="N1212">
            <v>0.8</v>
          </cell>
          <cell r="O1212">
            <v>1.05</v>
          </cell>
          <cell r="P1212">
            <v>1.1000000000000001</v>
          </cell>
          <cell r="Q1212">
            <v>1.1499999999999999</v>
          </cell>
          <cell r="R1212" t="str">
            <v>INTERIOR</v>
          </cell>
          <cell r="S1212">
            <v>4</v>
          </cell>
          <cell r="T1212">
            <v>6</v>
          </cell>
          <cell r="U1212" t="str">
            <v>Ciudad principal</v>
          </cell>
          <cell r="V1212" t="str">
            <v>Entry Production Color Low/Mid</v>
          </cell>
          <cell r="W1212" t="str">
            <v>JALISCO</v>
          </cell>
          <cell r="X1212">
            <v>2019</v>
          </cell>
          <cell r="Y1212" t="str">
            <v>Qtr 2</v>
          </cell>
          <cell r="Z1212" t="str">
            <v>April</v>
          </cell>
          <cell r="AA1212">
            <v>30</v>
          </cell>
          <cell r="AB1212">
            <v>0</v>
          </cell>
          <cell r="AC1212">
            <v>1</v>
          </cell>
          <cell r="AD1212">
            <v>0.2</v>
          </cell>
          <cell r="AE1212">
            <v>0.71666675000000002</v>
          </cell>
          <cell r="AF1212">
            <v>314.60000000000002</v>
          </cell>
        </row>
        <row r="1213">
          <cell r="B1213" t="str">
            <v>0LBP345977</v>
          </cell>
          <cell r="C1213">
            <v>2019</v>
          </cell>
          <cell r="D1213" t="str">
            <v>Qtr 2</v>
          </cell>
          <cell r="E1213" t="str">
            <v>April</v>
          </cell>
          <cell r="F1213">
            <v>30</v>
          </cell>
          <cell r="G1213" t="str">
            <v>CORRECTIVO</v>
          </cell>
          <cell r="H1213">
            <v>2.0333329999999998</v>
          </cell>
          <cell r="J1213" t="str">
            <v>NA</v>
          </cell>
          <cell r="K1213" t="str">
            <v>NA</v>
          </cell>
          <cell r="L1213" t="str">
            <v>NA</v>
          </cell>
          <cell r="M1213" t="str">
            <v>NA</v>
          </cell>
          <cell r="N1213" t="str">
            <v>NA</v>
          </cell>
          <cell r="O1213" t="str">
            <v>NA</v>
          </cell>
          <cell r="P1213" t="str">
            <v>NA</v>
          </cell>
          <cell r="Q1213" t="str">
            <v>NA</v>
          </cell>
          <cell r="S1213" t="str">
            <v>NA</v>
          </cell>
          <cell r="T1213" t="str">
            <v>NA</v>
          </cell>
          <cell r="V1213" t="str">
            <v>A4 Mono MFPs</v>
          </cell>
          <cell r="W1213" t="str">
            <v>JALISCO</v>
          </cell>
          <cell r="X1213">
            <v>2019</v>
          </cell>
          <cell r="Y1213" t="str">
            <v>Qtr 2</v>
          </cell>
          <cell r="Z1213" t="str">
            <v>April</v>
          </cell>
          <cell r="AA1213">
            <v>30</v>
          </cell>
          <cell r="AB1213" t="str">
            <v>NA</v>
          </cell>
          <cell r="AC1213">
            <v>27</v>
          </cell>
          <cell r="AD1213">
            <v>0</v>
          </cell>
          <cell r="AE1213">
            <v>0</v>
          </cell>
          <cell r="AF1213">
            <v>0</v>
          </cell>
        </row>
        <row r="1214">
          <cell r="B1214" t="str">
            <v>0VGW624391</v>
          </cell>
          <cell r="C1214">
            <v>2019</v>
          </cell>
          <cell r="D1214" t="str">
            <v>Qtr 2</v>
          </cell>
          <cell r="E1214" t="str">
            <v>April</v>
          </cell>
          <cell r="F1214">
            <v>30</v>
          </cell>
          <cell r="G1214" t="str">
            <v>CORRECTIVO</v>
          </cell>
          <cell r="H1214">
            <v>0.3333333</v>
          </cell>
          <cell r="I1214" t="str">
            <v>Entry Production Color Low/Mid</v>
          </cell>
          <cell r="J1214">
            <v>803</v>
          </cell>
          <cell r="K1214">
            <v>1573</v>
          </cell>
          <cell r="L1214">
            <v>0.2</v>
          </cell>
          <cell r="M1214">
            <v>0.6</v>
          </cell>
          <cell r="N1214">
            <v>0.8</v>
          </cell>
          <cell r="O1214">
            <v>1.05</v>
          </cell>
          <cell r="P1214">
            <v>1.1000000000000001</v>
          </cell>
          <cell r="Q1214">
            <v>1.1499999999999999</v>
          </cell>
          <cell r="R1214" t="str">
            <v>INTERIOR</v>
          </cell>
          <cell r="S1214">
            <v>4</v>
          </cell>
          <cell r="T1214">
            <v>6</v>
          </cell>
          <cell r="U1214" t="str">
            <v>Ciudad principal</v>
          </cell>
          <cell r="V1214" t="str">
            <v>Entry Production Color Low/Mid</v>
          </cell>
          <cell r="W1214" t="str">
            <v>CHIHUAHUA</v>
          </cell>
          <cell r="X1214">
            <v>2019</v>
          </cell>
          <cell r="Y1214" t="str">
            <v>Qtr 2</v>
          </cell>
          <cell r="Z1214" t="str">
            <v>April</v>
          </cell>
          <cell r="AA1214">
            <v>30</v>
          </cell>
          <cell r="AB1214">
            <v>0</v>
          </cell>
          <cell r="AC1214">
            <v>13</v>
          </cell>
          <cell r="AD1214">
            <v>0.8</v>
          </cell>
          <cell r="AE1214">
            <v>8.3333325E-2</v>
          </cell>
          <cell r="AF1214">
            <v>1258.4000000000001</v>
          </cell>
        </row>
        <row r="1215">
          <cell r="B1215" t="str">
            <v>0AE9573921</v>
          </cell>
          <cell r="C1215">
            <v>2019</v>
          </cell>
          <cell r="D1215" t="str">
            <v>Qtr 2</v>
          </cell>
          <cell r="E1215" t="str">
            <v>April</v>
          </cell>
          <cell r="F1215">
            <v>30</v>
          </cell>
          <cell r="G1215" t="str">
            <v>CORRECTIVO</v>
          </cell>
          <cell r="H1215">
            <v>0.25</v>
          </cell>
          <cell r="J1215" t="str">
            <v>NA</v>
          </cell>
          <cell r="K1215" t="str">
            <v>NA</v>
          </cell>
          <cell r="L1215" t="str">
            <v>NA</v>
          </cell>
          <cell r="M1215" t="str">
            <v>NA</v>
          </cell>
          <cell r="N1215" t="str">
            <v>NA</v>
          </cell>
          <cell r="O1215" t="str">
            <v>NA</v>
          </cell>
          <cell r="P1215" t="str">
            <v>NA</v>
          </cell>
          <cell r="Q1215" t="str">
            <v>NA</v>
          </cell>
          <cell r="S1215" t="str">
            <v>NA</v>
          </cell>
          <cell r="T1215" t="str">
            <v>NA</v>
          </cell>
          <cell r="V1215" t="str">
            <v>Departmental Digital</v>
          </cell>
          <cell r="W1215" t="str">
            <v>CHIHUAHUA</v>
          </cell>
          <cell r="X1215">
            <v>2019</v>
          </cell>
          <cell r="Y1215" t="str">
            <v>Qtr 2</v>
          </cell>
          <cell r="Z1215" t="str">
            <v>April</v>
          </cell>
          <cell r="AA1215">
            <v>30</v>
          </cell>
          <cell r="AB1215" t="str">
            <v>NA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</row>
        <row r="1216">
          <cell r="B1216" t="str">
            <v>03AG873545</v>
          </cell>
          <cell r="C1216">
            <v>2019</v>
          </cell>
          <cell r="D1216" t="str">
            <v>Qtr 2</v>
          </cell>
          <cell r="E1216" t="str">
            <v>April</v>
          </cell>
          <cell r="F1216">
            <v>30</v>
          </cell>
          <cell r="G1216" t="str">
            <v>CORRECTIVO</v>
          </cell>
          <cell r="H1216">
            <v>0.75</v>
          </cell>
          <cell r="I1216" t="str">
            <v>Departmental Digital</v>
          </cell>
          <cell r="J1216">
            <v>655</v>
          </cell>
          <cell r="K1216">
            <v>1365</v>
          </cell>
          <cell r="L1216">
            <v>0</v>
          </cell>
          <cell r="M1216">
            <v>0</v>
          </cell>
          <cell r="N1216">
            <v>0.6</v>
          </cell>
          <cell r="O1216">
            <v>0.8</v>
          </cell>
          <cell r="P1216">
            <v>1.05</v>
          </cell>
          <cell r="Q1216">
            <v>1.1000000000000001</v>
          </cell>
          <cell r="R1216" t="str">
            <v>INTERIOR</v>
          </cell>
          <cell r="S1216">
            <v>5</v>
          </cell>
          <cell r="T1216">
            <v>9</v>
          </cell>
          <cell r="U1216" t="str">
            <v>Ciudad principal</v>
          </cell>
          <cell r="V1216" t="str">
            <v>Light Production Digital Business</v>
          </cell>
          <cell r="W1216" t="str">
            <v>QUERETARO</v>
          </cell>
          <cell r="X1216">
            <v>2019</v>
          </cell>
          <cell r="Y1216" t="str">
            <v>Qtr 2</v>
          </cell>
          <cell r="Z1216" t="str">
            <v>April</v>
          </cell>
          <cell r="AA1216">
            <v>30</v>
          </cell>
          <cell r="AB1216">
            <v>0</v>
          </cell>
          <cell r="AC1216">
            <v>1</v>
          </cell>
          <cell r="AD1216">
            <v>0</v>
          </cell>
          <cell r="AE1216">
            <v>0.15</v>
          </cell>
          <cell r="AF1216">
            <v>0</v>
          </cell>
        </row>
        <row r="1217">
          <cell r="B1217" t="str">
            <v>0EX7387578</v>
          </cell>
          <cell r="C1217">
            <v>2019</v>
          </cell>
          <cell r="D1217" t="str">
            <v>Qtr 2</v>
          </cell>
          <cell r="E1217" t="str">
            <v>April</v>
          </cell>
          <cell r="F1217">
            <v>30</v>
          </cell>
          <cell r="G1217" t="str">
            <v>CORRECTIVO</v>
          </cell>
          <cell r="H1217">
            <v>0</v>
          </cell>
          <cell r="I1217" t="str">
            <v>Office Digital</v>
          </cell>
          <cell r="J1217">
            <v>655</v>
          </cell>
          <cell r="K1217">
            <v>1365</v>
          </cell>
          <cell r="L1217">
            <v>0</v>
          </cell>
          <cell r="M1217">
            <v>0</v>
          </cell>
          <cell r="N1217">
            <v>0.6</v>
          </cell>
          <cell r="O1217">
            <v>0.8</v>
          </cell>
          <cell r="P1217">
            <v>1.05</v>
          </cell>
          <cell r="Q1217">
            <v>1.1000000000000001</v>
          </cell>
          <cell r="R1217" t="str">
            <v>INTERIOR</v>
          </cell>
          <cell r="S1217">
            <v>5</v>
          </cell>
          <cell r="T1217">
            <v>9</v>
          </cell>
          <cell r="U1217" t="str">
            <v>Ciudad principal</v>
          </cell>
          <cell r="V1217" t="str">
            <v>Departmental Digital</v>
          </cell>
          <cell r="W1217" t="str">
            <v>CHIHUAHUA</v>
          </cell>
          <cell r="X1217">
            <v>2019</v>
          </cell>
          <cell r="Y1217" t="str">
            <v>Qtr 2</v>
          </cell>
          <cell r="Z1217" t="str">
            <v>April</v>
          </cell>
          <cell r="AA1217">
            <v>30</v>
          </cell>
          <cell r="AB1217">
            <v>1</v>
          </cell>
          <cell r="AC1217">
            <v>97</v>
          </cell>
          <cell r="AD1217">
            <v>0</v>
          </cell>
          <cell r="AE1217">
            <v>0</v>
          </cell>
          <cell r="AF1217">
            <v>0</v>
          </cell>
        </row>
        <row r="1218">
          <cell r="B1218" t="str">
            <v>0EX7387014</v>
          </cell>
          <cell r="C1218">
            <v>2019</v>
          </cell>
          <cell r="D1218" t="str">
            <v>Qtr 2</v>
          </cell>
          <cell r="E1218" t="str">
            <v>April</v>
          </cell>
          <cell r="F1218">
            <v>30</v>
          </cell>
          <cell r="G1218" t="str">
            <v>CORRECTIVO</v>
          </cell>
          <cell r="H1218">
            <v>1.65</v>
          </cell>
          <cell r="I1218" t="str">
            <v>Office Digital</v>
          </cell>
          <cell r="J1218">
            <v>655</v>
          </cell>
          <cell r="K1218">
            <v>1365</v>
          </cell>
          <cell r="L1218">
            <v>0</v>
          </cell>
          <cell r="M1218">
            <v>0</v>
          </cell>
          <cell r="N1218">
            <v>0.6</v>
          </cell>
          <cell r="O1218">
            <v>0.8</v>
          </cell>
          <cell r="P1218">
            <v>1.05</v>
          </cell>
          <cell r="Q1218">
            <v>1.1000000000000001</v>
          </cell>
          <cell r="R1218" t="str">
            <v>INTERIOR</v>
          </cell>
          <cell r="S1218">
            <v>5</v>
          </cell>
          <cell r="T1218">
            <v>9</v>
          </cell>
          <cell r="U1218" t="str">
            <v>Ciudad principal</v>
          </cell>
          <cell r="V1218" t="str">
            <v>Departmental Digital</v>
          </cell>
          <cell r="W1218" t="str">
            <v>CHIHUAHUA</v>
          </cell>
          <cell r="X1218">
            <v>2019</v>
          </cell>
          <cell r="Y1218" t="str">
            <v>Qtr 2</v>
          </cell>
          <cell r="Z1218" t="str">
            <v>April</v>
          </cell>
          <cell r="AA1218">
            <v>30</v>
          </cell>
          <cell r="AB1218">
            <v>1</v>
          </cell>
          <cell r="AC1218">
            <v>154</v>
          </cell>
          <cell r="AD1218">
            <v>0</v>
          </cell>
          <cell r="AE1218">
            <v>0</v>
          </cell>
          <cell r="AF1218">
            <v>0</v>
          </cell>
        </row>
        <row r="1219">
          <cell r="B1219" t="str">
            <v>0E2B656382</v>
          </cell>
          <cell r="C1219">
            <v>2019</v>
          </cell>
          <cell r="D1219" t="str">
            <v>Qtr 2</v>
          </cell>
          <cell r="E1219" t="str">
            <v>April</v>
          </cell>
          <cell r="F1219">
            <v>30</v>
          </cell>
          <cell r="G1219" t="str">
            <v>CORRECTIVO</v>
          </cell>
          <cell r="H1219">
            <v>0.46666669999999999</v>
          </cell>
          <cell r="I1219" t="str">
            <v>Entry Production Color Low/Mid</v>
          </cell>
          <cell r="J1219">
            <v>803</v>
          </cell>
          <cell r="K1219">
            <v>1573</v>
          </cell>
          <cell r="L1219">
            <v>0.2</v>
          </cell>
          <cell r="M1219">
            <v>0.6</v>
          </cell>
          <cell r="N1219">
            <v>0.8</v>
          </cell>
          <cell r="O1219">
            <v>1.05</v>
          </cell>
          <cell r="P1219">
            <v>1.1000000000000001</v>
          </cell>
          <cell r="Q1219">
            <v>1.1499999999999999</v>
          </cell>
          <cell r="R1219" t="str">
            <v>INTERIOR</v>
          </cell>
          <cell r="S1219">
            <v>4</v>
          </cell>
          <cell r="T1219">
            <v>6</v>
          </cell>
          <cell r="U1219" t="str">
            <v>Ciudad principal</v>
          </cell>
          <cell r="V1219" t="str">
            <v>Entry Production Color Low/Mid</v>
          </cell>
          <cell r="W1219" t="str">
            <v>CHIHUAHUA</v>
          </cell>
          <cell r="X1219">
            <v>2019</v>
          </cell>
          <cell r="Y1219" t="str">
            <v>Qtr 2</v>
          </cell>
          <cell r="Z1219" t="str">
            <v>April</v>
          </cell>
          <cell r="AA1219">
            <v>30</v>
          </cell>
          <cell r="AB1219">
            <v>0</v>
          </cell>
          <cell r="AC1219">
            <v>49</v>
          </cell>
          <cell r="AD1219">
            <v>1.1000000000000001</v>
          </cell>
          <cell r="AE1219">
            <v>0.116666675</v>
          </cell>
          <cell r="AF1219">
            <v>1730.3</v>
          </cell>
        </row>
        <row r="1220">
          <cell r="B1220" t="str">
            <v>09HB331718</v>
          </cell>
          <cell r="C1220">
            <v>2019</v>
          </cell>
          <cell r="D1220" t="str">
            <v>Qtr 2</v>
          </cell>
          <cell r="E1220" t="str">
            <v>April</v>
          </cell>
          <cell r="F1220">
            <v>30</v>
          </cell>
          <cell r="G1220" t="str">
            <v>CORRECTIVO</v>
          </cell>
          <cell r="H1220">
            <v>4.4000000000000004</v>
          </cell>
          <cell r="I1220" t="str">
            <v>A4 Mono MFPs</v>
          </cell>
          <cell r="J1220">
            <v>468</v>
          </cell>
          <cell r="K1220">
            <v>715</v>
          </cell>
          <cell r="L1220">
            <v>0</v>
          </cell>
          <cell r="M1220">
            <v>0</v>
          </cell>
          <cell r="N1220">
            <v>0</v>
          </cell>
          <cell r="O1220">
            <v>0.6</v>
          </cell>
          <cell r="P1220">
            <v>0.8</v>
          </cell>
          <cell r="Q1220">
            <v>1.05</v>
          </cell>
          <cell r="R1220" t="str">
            <v>INTERIOR</v>
          </cell>
          <cell r="S1220">
            <v>5</v>
          </cell>
          <cell r="T1220">
            <v>9</v>
          </cell>
          <cell r="U1220" t="str">
            <v>Ciudad principal</v>
          </cell>
          <cell r="V1220" t="str">
            <v>A4 Mono MFPs</v>
          </cell>
          <cell r="W1220" t="str">
            <v>SINALOA</v>
          </cell>
          <cell r="X1220">
            <v>2019</v>
          </cell>
          <cell r="Y1220" t="str">
            <v>Qtr 2</v>
          </cell>
          <cell r="Z1220" t="str">
            <v>April</v>
          </cell>
          <cell r="AA1220">
            <v>30</v>
          </cell>
          <cell r="AB1220">
            <v>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</row>
        <row r="1221">
          <cell r="B1221" t="str">
            <v>09HB320745</v>
          </cell>
          <cell r="C1221">
            <v>2019</v>
          </cell>
          <cell r="D1221" t="str">
            <v>Qtr 2</v>
          </cell>
          <cell r="E1221" t="str">
            <v>April</v>
          </cell>
          <cell r="F1221">
            <v>30</v>
          </cell>
          <cell r="G1221" t="str">
            <v>CORRECTIVO</v>
          </cell>
          <cell r="H1221">
            <v>1.6666669999999999</v>
          </cell>
          <cell r="I1221" t="str">
            <v>A4 Mono MFPs</v>
          </cell>
          <cell r="J1221">
            <v>468</v>
          </cell>
          <cell r="K1221">
            <v>715</v>
          </cell>
          <cell r="L1221">
            <v>0</v>
          </cell>
          <cell r="M1221">
            <v>0</v>
          </cell>
          <cell r="N1221">
            <v>0</v>
          </cell>
          <cell r="O1221">
            <v>0.6</v>
          </cell>
          <cell r="P1221">
            <v>0.8</v>
          </cell>
          <cell r="Q1221">
            <v>1.05</v>
          </cell>
          <cell r="R1221" t="str">
            <v>INTERIOR</v>
          </cell>
          <cell r="S1221">
            <v>5</v>
          </cell>
          <cell r="T1221">
            <v>9</v>
          </cell>
          <cell r="U1221" t="str">
            <v>Ciudad principal</v>
          </cell>
          <cell r="V1221" t="str">
            <v>A4 Mono MFPs</v>
          </cell>
          <cell r="W1221" t="str">
            <v>TAMAULIPAS</v>
          </cell>
          <cell r="X1221">
            <v>2019</v>
          </cell>
          <cell r="Y1221" t="str">
            <v>Qtr 2</v>
          </cell>
          <cell r="Z1221" t="str">
            <v>April</v>
          </cell>
          <cell r="AA1221">
            <v>30</v>
          </cell>
          <cell r="AB1221">
            <v>0</v>
          </cell>
          <cell r="AC1221">
            <v>36</v>
          </cell>
          <cell r="AD1221">
            <v>0.8</v>
          </cell>
          <cell r="AE1221">
            <v>0.3333334</v>
          </cell>
          <cell r="AF1221">
            <v>572</v>
          </cell>
        </row>
        <row r="1222">
          <cell r="B1222" t="str">
            <v>0C7X236617</v>
          </cell>
          <cell r="C1222">
            <v>2019</v>
          </cell>
          <cell r="D1222" t="str">
            <v>Qtr 2</v>
          </cell>
          <cell r="E1222" t="str">
            <v>April</v>
          </cell>
          <cell r="F1222">
            <v>30</v>
          </cell>
          <cell r="G1222" t="str">
            <v>CORRECTIVO</v>
          </cell>
          <cell r="H1222">
            <v>1.3666670000000001</v>
          </cell>
          <cell r="I1222" t="str">
            <v>A4 Mono MFPs</v>
          </cell>
          <cell r="J1222">
            <v>468</v>
          </cell>
          <cell r="K1222">
            <v>715</v>
          </cell>
          <cell r="L1222">
            <v>0</v>
          </cell>
          <cell r="M1222">
            <v>0</v>
          </cell>
          <cell r="N1222">
            <v>0</v>
          </cell>
          <cell r="O1222">
            <v>0.6</v>
          </cell>
          <cell r="P1222">
            <v>0.8</v>
          </cell>
          <cell r="Q1222">
            <v>1.05</v>
          </cell>
          <cell r="R1222" t="str">
            <v>INTERIOR</v>
          </cell>
          <cell r="S1222">
            <v>5</v>
          </cell>
          <cell r="T1222">
            <v>9</v>
          </cell>
          <cell r="U1222" t="str">
            <v>Ciudad principal</v>
          </cell>
          <cell r="V1222" t="str">
            <v>A4 Mono MFPs</v>
          </cell>
          <cell r="W1222" t="str">
            <v>CHIHUAHUA</v>
          </cell>
          <cell r="X1222">
            <v>2019</v>
          </cell>
          <cell r="Y1222" t="str">
            <v>Qtr 2</v>
          </cell>
          <cell r="Z1222" t="str">
            <v>April</v>
          </cell>
          <cell r="AA1222">
            <v>30</v>
          </cell>
          <cell r="AB1222">
            <v>0</v>
          </cell>
          <cell r="AC1222">
            <v>1</v>
          </cell>
          <cell r="AD1222">
            <v>0</v>
          </cell>
          <cell r="AE1222">
            <v>0.2733334</v>
          </cell>
          <cell r="AF1222">
            <v>0</v>
          </cell>
        </row>
        <row r="1223">
          <cell r="B1223" t="str">
            <v>0BG2951526</v>
          </cell>
          <cell r="C1223">
            <v>2019</v>
          </cell>
          <cell r="D1223" t="str">
            <v>Qtr 2</v>
          </cell>
          <cell r="E1223" t="str">
            <v>April</v>
          </cell>
          <cell r="F1223">
            <v>30</v>
          </cell>
          <cell r="G1223" t="str">
            <v>CORRECTIVO</v>
          </cell>
          <cell r="H1223">
            <v>0.63333329999999999</v>
          </cell>
          <cell r="I1223" t="str">
            <v>Light Production Digital Business</v>
          </cell>
          <cell r="J1223">
            <v>803</v>
          </cell>
          <cell r="K1223">
            <v>1573</v>
          </cell>
          <cell r="L1223">
            <v>0.2</v>
          </cell>
          <cell r="M1223">
            <v>0.6</v>
          </cell>
          <cell r="N1223">
            <v>0.8</v>
          </cell>
          <cell r="O1223">
            <v>1.05</v>
          </cell>
          <cell r="P1223">
            <v>1.1000000000000001</v>
          </cell>
          <cell r="Q1223">
            <v>1.1499999999999999</v>
          </cell>
          <cell r="R1223" t="str">
            <v>INTERIOR</v>
          </cell>
          <cell r="S1223">
            <v>4</v>
          </cell>
          <cell r="T1223">
            <v>6</v>
          </cell>
          <cell r="U1223" t="str">
            <v>Ciudad principal</v>
          </cell>
          <cell r="V1223" t="str">
            <v>High End Cut Sheet</v>
          </cell>
          <cell r="W1223" t="str">
            <v>CHIHUAHUA</v>
          </cell>
          <cell r="X1223">
            <v>2019</v>
          </cell>
          <cell r="Y1223" t="str">
            <v>Qtr 2</v>
          </cell>
          <cell r="Z1223" t="str">
            <v>April</v>
          </cell>
          <cell r="AA1223">
            <v>30</v>
          </cell>
          <cell r="AB1223">
            <v>0</v>
          </cell>
          <cell r="AC1223">
            <v>33</v>
          </cell>
          <cell r="AD1223">
            <v>1.1000000000000001</v>
          </cell>
          <cell r="AE1223">
            <v>0.158333325</v>
          </cell>
          <cell r="AF1223">
            <v>1730.3</v>
          </cell>
        </row>
        <row r="1224">
          <cell r="B1224" t="str">
            <v>0XEL566484</v>
          </cell>
          <cell r="C1224">
            <v>2019</v>
          </cell>
          <cell r="D1224" t="str">
            <v>Qtr 2</v>
          </cell>
          <cell r="E1224" t="str">
            <v>April</v>
          </cell>
          <cell r="F1224">
            <v>30</v>
          </cell>
          <cell r="G1224" t="str">
            <v>MANTENIMIENTO PREVENTIVO</v>
          </cell>
          <cell r="H1224">
            <v>0</v>
          </cell>
          <cell r="I1224" t="str">
            <v>Departmental Digital</v>
          </cell>
          <cell r="J1224">
            <v>655</v>
          </cell>
          <cell r="K1224">
            <v>1365</v>
          </cell>
          <cell r="L1224">
            <v>0</v>
          </cell>
          <cell r="M1224">
            <v>0</v>
          </cell>
          <cell r="N1224">
            <v>0.6</v>
          </cell>
          <cell r="O1224">
            <v>0.8</v>
          </cell>
          <cell r="P1224">
            <v>1.05</v>
          </cell>
          <cell r="Q1224">
            <v>1.1000000000000001</v>
          </cell>
          <cell r="R1224" t="str">
            <v>INTERIOR</v>
          </cell>
          <cell r="S1224">
            <v>5</v>
          </cell>
          <cell r="T1224">
            <v>9</v>
          </cell>
          <cell r="U1224" t="str">
            <v>Ciudad principal</v>
          </cell>
          <cell r="V1224" t="str">
            <v>Departmental Digital</v>
          </cell>
          <cell r="W1224" t="str">
            <v>JALISCO</v>
          </cell>
          <cell r="X1224">
            <v>2019</v>
          </cell>
          <cell r="Y1224" t="str">
            <v>Qtr 2</v>
          </cell>
          <cell r="Z1224" t="str">
            <v>April</v>
          </cell>
          <cell r="AA1224">
            <v>30</v>
          </cell>
          <cell r="AB1224">
            <v>0</v>
          </cell>
          <cell r="AC1224">
            <v>4</v>
          </cell>
          <cell r="AD1224">
            <v>0</v>
          </cell>
          <cell r="AE1224">
            <v>0</v>
          </cell>
          <cell r="AF1224">
            <v>1365</v>
          </cell>
        </row>
        <row r="1225">
          <cell r="B1225" t="str">
            <v>0WXP008416</v>
          </cell>
          <cell r="C1225">
            <v>2019</v>
          </cell>
          <cell r="D1225" t="str">
            <v>Qtr 2</v>
          </cell>
          <cell r="E1225" t="str">
            <v>April</v>
          </cell>
          <cell r="F1225">
            <v>30</v>
          </cell>
          <cell r="G1225" t="str">
            <v>MANTENIMIENTO PREVENTIVO</v>
          </cell>
          <cell r="H1225">
            <v>0</v>
          </cell>
          <cell r="I1225" t="str">
            <v>Xerox Color Press</v>
          </cell>
          <cell r="J1225">
            <v>1116</v>
          </cell>
          <cell r="K1225">
            <v>2145</v>
          </cell>
          <cell r="L1225">
            <v>0.6</v>
          </cell>
          <cell r="M1225">
            <v>0.8</v>
          </cell>
          <cell r="N1225">
            <v>1.05</v>
          </cell>
          <cell r="O1225">
            <v>1.1000000000000001</v>
          </cell>
          <cell r="P1225">
            <v>1.1499999999999999</v>
          </cell>
          <cell r="Q1225">
            <v>1.2</v>
          </cell>
          <cell r="R1225" t="str">
            <v>INTERIOR</v>
          </cell>
          <cell r="S1225">
            <v>4</v>
          </cell>
          <cell r="T1225">
            <v>6</v>
          </cell>
          <cell r="U1225" t="str">
            <v>Ciudad principal</v>
          </cell>
          <cell r="V1225" t="str">
            <v>High End Cut Sheet</v>
          </cell>
          <cell r="W1225" t="str">
            <v>NUEVO LEON</v>
          </cell>
          <cell r="X1225">
            <v>2019</v>
          </cell>
          <cell r="Y1225" t="str">
            <v>Qtr 2</v>
          </cell>
          <cell r="Z1225" t="str">
            <v>April</v>
          </cell>
          <cell r="AA1225">
            <v>30</v>
          </cell>
          <cell r="AB1225">
            <v>0</v>
          </cell>
          <cell r="AC1225">
            <v>4</v>
          </cell>
          <cell r="AD1225">
            <v>0</v>
          </cell>
          <cell r="AE1225">
            <v>0</v>
          </cell>
          <cell r="AF1225">
            <v>2145</v>
          </cell>
        </row>
        <row r="1226">
          <cell r="B1226" t="str">
            <v>0BG2951676</v>
          </cell>
          <cell r="C1226">
            <v>2019</v>
          </cell>
          <cell r="D1226" t="str">
            <v>Qtr 2</v>
          </cell>
          <cell r="E1226" t="str">
            <v>April</v>
          </cell>
          <cell r="F1226">
            <v>30</v>
          </cell>
          <cell r="G1226" t="str">
            <v>CORRECTIVO</v>
          </cell>
          <cell r="H1226">
            <v>1.3</v>
          </cell>
          <cell r="I1226" t="str">
            <v>Light Production Digital Business</v>
          </cell>
          <cell r="J1226">
            <v>803</v>
          </cell>
          <cell r="K1226">
            <v>1573</v>
          </cell>
          <cell r="L1226">
            <v>0.2</v>
          </cell>
          <cell r="M1226">
            <v>0.6</v>
          </cell>
          <cell r="N1226">
            <v>0.8</v>
          </cell>
          <cell r="O1226">
            <v>1.05</v>
          </cell>
          <cell r="P1226">
            <v>1.1000000000000001</v>
          </cell>
          <cell r="Q1226">
            <v>1.1499999999999999</v>
          </cell>
          <cell r="R1226" t="str">
            <v>INTERIOR</v>
          </cell>
          <cell r="S1226">
            <v>4</v>
          </cell>
          <cell r="T1226">
            <v>6</v>
          </cell>
          <cell r="U1226" t="str">
            <v>Ciudad principal</v>
          </cell>
          <cell r="V1226" t="str">
            <v>High End Cut Sheet</v>
          </cell>
          <cell r="W1226" t="str">
            <v>TAMAULIPAS</v>
          </cell>
          <cell r="X1226">
            <v>2019</v>
          </cell>
          <cell r="Y1226" t="str">
            <v>Qtr 2</v>
          </cell>
          <cell r="Z1226" t="str">
            <v>April</v>
          </cell>
          <cell r="AA1226">
            <v>30</v>
          </cell>
          <cell r="AB1226">
            <v>0</v>
          </cell>
          <cell r="AC1226">
            <v>8</v>
          </cell>
          <cell r="AD1226">
            <v>0.8</v>
          </cell>
          <cell r="AE1226">
            <v>0.32500000000000001</v>
          </cell>
          <cell r="AF1226">
            <v>1258.4000000000001</v>
          </cell>
        </row>
        <row r="1227">
          <cell r="B1227" t="str">
            <v>0Y4X846817</v>
          </cell>
          <cell r="C1227">
            <v>2019</v>
          </cell>
          <cell r="D1227" t="str">
            <v>Qtr 2</v>
          </cell>
          <cell r="E1227" t="str">
            <v>April</v>
          </cell>
          <cell r="F1227">
            <v>30</v>
          </cell>
          <cell r="G1227" t="str">
            <v>CORRECTIVO</v>
          </cell>
          <cell r="H1227">
            <v>0.78333339999999996</v>
          </cell>
          <cell r="I1227" t="str">
            <v>Office Digital</v>
          </cell>
          <cell r="J1227">
            <v>655</v>
          </cell>
          <cell r="K1227">
            <v>1365</v>
          </cell>
          <cell r="L1227">
            <v>0</v>
          </cell>
          <cell r="M1227">
            <v>0</v>
          </cell>
          <cell r="N1227">
            <v>0.6</v>
          </cell>
          <cell r="O1227">
            <v>0.8</v>
          </cell>
          <cell r="P1227">
            <v>1.05</v>
          </cell>
          <cell r="Q1227">
            <v>1.1000000000000001</v>
          </cell>
          <cell r="R1227" t="str">
            <v>INTERIOR</v>
          </cell>
          <cell r="S1227">
            <v>5</v>
          </cell>
          <cell r="T1227">
            <v>9</v>
          </cell>
          <cell r="U1227" t="str">
            <v>Ciudad principal</v>
          </cell>
          <cell r="V1227" t="str">
            <v>Light Production Digital Business</v>
          </cell>
          <cell r="W1227" t="str">
            <v>JALISCO</v>
          </cell>
          <cell r="X1227">
            <v>2019</v>
          </cell>
          <cell r="Y1227" t="str">
            <v>Qtr 2</v>
          </cell>
          <cell r="Z1227" t="str">
            <v>April</v>
          </cell>
          <cell r="AA1227">
            <v>30</v>
          </cell>
          <cell r="AB1227">
            <v>1</v>
          </cell>
          <cell r="AC1227">
            <v>5</v>
          </cell>
          <cell r="AD1227">
            <v>0</v>
          </cell>
          <cell r="AE1227">
            <v>0</v>
          </cell>
          <cell r="AF1227">
            <v>0</v>
          </cell>
        </row>
        <row r="1228">
          <cell r="B1228" t="str">
            <v>09HB331503</v>
          </cell>
          <cell r="C1228">
            <v>2019</v>
          </cell>
          <cell r="D1228" t="str">
            <v>Qtr 2</v>
          </cell>
          <cell r="E1228" t="str">
            <v>April</v>
          </cell>
          <cell r="F1228">
            <v>30</v>
          </cell>
          <cell r="G1228" t="str">
            <v>MANTENIMIENTO PREVENTIVO</v>
          </cell>
          <cell r="H1228">
            <v>0</v>
          </cell>
          <cell r="I1228" t="str">
            <v>A4 Mono MFPs</v>
          </cell>
          <cell r="J1228">
            <v>468</v>
          </cell>
          <cell r="K1228">
            <v>715</v>
          </cell>
          <cell r="L1228">
            <v>0</v>
          </cell>
          <cell r="M1228">
            <v>0</v>
          </cell>
          <cell r="N1228">
            <v>0</v>
          </cell>
          <cell r="O1228">
            <v>0.6</v>
          </cell>
          <cell r="P1228">
            <v>0.8</v>
          </cell>
          <cell r="Q1228">
            <v>1.05</v>
          </cell>
          <cell r="R1228" t="str">
            <v>INTERIOR</v>
          </cell>
          <cell r="S1228">
            <v>5</v>
          </cell>
          <cell r="T1228">
            <v>9</v>
          </cell>
          <cell r="U1228" t="str">
            <v>Ciudad principal</v>
          </cell>
          <cell r="V1228" t="str">
            <v>A4 Mono MFPs</v>
          </cell>
          <cell r="W1228" t="str">
            <v>JALISCO</v>
          </cell>
          <cell r="X1228">
            <v>2019</v>
          </cell>
          <cell r="Y1228" t="str">
            <v>Qtr 2</v>
          </cell>
          <cell r="Z1228" t="str">
            <v>April</v>
          </cell>
          <cell r="AA1228">
            <v>30</v>
          </cell>
          <cell r="AB1228">
            <v>1</v>
          </cell>
          <cell r="AC1228">
            <v>50</v>
          </cell>
          <cell r="AD1228">
            <v>0</v>
          </cell>
          <cell r="AE1228">
            <v>0</v>
          </cell>
          <cell r="AF1228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Benavides Herrera" refreshedDate="43608.495358796295" createdVersion="6" refreshedVersion="6" minRefreshableVersion="3" recordCount="840" xr:uid="{DE78D4F3-0263-4E8D-A784-AD6648858623}">
  <cacheSource type="worksheet">
    <worksheetSource ref="B1:AK841" sheet="DETALLE"/>
  </cacheSource>
  <cacheFields count="37">
    <cacheField name="MES" numFmtId="17">
      <sharedItems/>
    </cacheField>
    <cacheField name="SERV" numFmtId="0">
      <sharedItems containsSemiMixedTypes="0" containsString="0" containsNumber="1" containsInteger="1" minValue="1" maxValue="1"/>
    </cacheField>
    <cacheField name="INCIDENT_N" numFmtId="0">
      <sharedItems/>
    </cacheField>
    <cacheField name="REQUEST_TY" numFmtId="0">
      <sharedItems/>
    </cacheField>
    <cacheField name="MODELO" numFmtId="14">
      <sharedItems/>
    </cacheField>
    <cacheField name="F_INICIO" numFmtId="14">
      <sharedItems/>
    </cacheField>
    <cacheField name="SERIE" numFmtId="0">
      <sharedItems/>
    </cacheField>
    <cacheField name="EMPLEADO" numFmtId="0">
      <sharedItems/>
    </cacheField>
    <cacheField name="ASP" numFmtId="0">
      <sharedItems/>
    </cacheField>
    <cacheField name="INDASP" numFmtId="0">
      <sharedItems/>
    </cacheField>
    <cacheField name="CUENTA" numFmtId="0">
      <sharedItems count="107">
        <s v="INSTITUTO TECNOLOGICO Y DE ESTUDIOS SUPERIORES DE"/>
        <s v="CREATIVIDAD PROMOCIONAL DE MONTERREY SA DE CV"/>
        <s v="RADIOMOVIL DIPSA SA DE CV"/>
        <s v="DELPHI AUTOMOTIVE SYSTEMS S DE RL DE CV"/>
        <s v="CAB LOGISTICS SA DE CV"/>
        <s v="ENSE&amp;ANZA E INVESTIGACION SUPERIOR AC"/>
        <s v="PRODUCTOS HOSPITALARIOS SA DE CV"/>
        <s v="OFFICE DEPOT DE MEXICO SA DE CV"/>
        <s v="ADMINISTRADORA ESPECIALIZADA DE SERVICIOS CAB SA D"/>
        <s v="UNIVERSIDAD AUTONOMA DEL ESTADO DE MEXICO"/>
        <s v="TELEFONOS DE MEXICO SA B DE CV"/>
        <s v="LABORATORIOS PISA SA DE CV"/>
        <s v="DOCUDIGITAL BAJIO SA DE CV"/>
        <s v="CONSTRUCCIONES Y CANALIZACIONES SA DE CV"/>
        <s v="OPERADORA OMX SA DE CV"/>
        <s v="AXA SEGUROS SA DE CV"/>
        <s v="PENSIONES BBVA BANCOMER SA DE CV GRUPO FINANCIERO"/>
        <s v="TOYOTETSU DE MEXICO SA DE CV"/>
        <s v="SUBENSAMBLES INTERNACIONALES S DE RL DE CV"/>
        <s v="COMPUTER FORMS SA DE CV"/>
        <s v="GRUPO IDEARTE SA DE CV"/>
        <s v="SIGNIFY ELECTROMAGNETICS MEXICO SA DE CV"/>
        <s v="COPY MARTZ PROFESIONAL SA DE CV"/>
        <s v="RIO BRAVO ELECTRICOS S DE RL DE CV"/>
        <s v="DHL EXPRESS MEXICO SA DE CV"/>
        <s v="DELPHI DIESEL SYSTEMS S DE RL DE CV"/>
        <s v="FLEXTRONICS MANUFACTURING JUAREZ S DE RL DE CV"/>
        <s v="OPCIONES DE SERVICIO EN MEXICO"/>
        <s v="JOSE DE JESUS FLORES PEREZ"/>
        <s v="IVOS DE MEXICO SA DE CV"/>
        <s v="HONEYWELL AUTOMOTIVE DE MEXICO S DE RL DE CV"/>
        <s v="GALAZ YAMAZAKI RUIZ URQUIZA SC"/>
        <s v="APTIV CONTRACT SERVICES NORESTE S DE RL DE CV"/>
        <s v="DOCUDIGITAL DE OCCIDENTE SA DE CV"/>
        <s v="DIGITAL NET SOLUTIONS GAV SA DE CV"/>
        <s v="IMPRESOS DIGITALES BALTAZAR S DE RL DE CV"/>
        <s v="DIGITAL VAAR SA DE CV"/>
        <s v="FEDERAL MOGUL LIGHTING S DE RL DE CV"/>
        <s v="GENESYS INFORMATICA SA DE CV"/>
        <s v="JANSSEN DE MEXICO S DE RL DE CV"/>
        <s v="AZERTY DE MEXICO SA DE CV"/>
        <s v="F DOMENE Y SOCIOS SA DE CV"/>
        <s v="OMAR GIBRAN GONZALEZ TOPETE"/>
        <s v="AT&amp;T COMUNICACIONES DIGITALES S DE RL DE CV"/>
        <s v="ARROW ELETRONICS INC"/>
        <s v="EXEL DEL NORTE SA PI DE CV"/>
        <s v="PROVEEDORA DE SERVICIOS GRAFICOS DEL NORTE SA DE C"/>
        <s v="PROCTER &amp; GAMBLE MANUFACTURING MEXICO S DE RL DE C"/>
        <s v="FLEXTRONICS MANUFACTURING MEX SA DE CV"/>
        <s v="MAGNETI MARELLI TOLUCA MEXICO S DE RL DE CV"/>
        <s v="GBT TRAVEL SERVICES MEXICO S DE RL DE CV"/>
        <s v="PAPERBOARD PRODUCTS DE MEXICO SA DE CV"/>
        <s v="ABASTECEDORA LUMEN SA DE CV"/>
        <s v="APTIV CONTRACT SERVICES S DE RL DE CV"/>
        <s v="LAND IT SA DE CV"/>
        <s v="IMPULSORA MEXICANA DE TELECOMUNICACIONES SA DE CV"/>
        <s v="FEDERAL MOGUL DE MATAMOROS S DE RL DE CV"/>
        <s v="APTIV CONTRACT SERVICES NUEVO LAREDO S DE RL DE CV"/>
        <s v="NABILE EDITH RODRIGUEZ GARCIA"/>
        <s v="INGERSOLL-RAND MANUFACTURA S DE RL DE CV"/>
        <s v="PUBLICO EN GENERAL"/>
        <s v="FCA MEXICO SA DE CV"/>
        <s v="ESPECIALIDADES FINAS DE ZAMORA SA DE CV"/>
        <s v="TRANE SA DE CV"/>
        <s v="DELPHI SISTEMAS DE ENERGIA S DE RL DE CV"/>
        <s v="ISALI SA DE CV"/>
        <s v="SOLTAR IMPRESORES SA DE CV"/>
        <s v="SMC CORPORATION MEXICO SA DE CV"/>
        <s v="TECNOLOGIA DE ILUMINACION AUTOMOTRIZ SA DE CV"/>
        <s v="APTIV CONTRACT SERVICES TAMAULIPAS S DE RL DE CV"/>
        <s v="ASOC DE COLONOS DEL CONJUNTO URBANO LOS ROBLES AC"/>
        <s v="RAMAG INDUSTRIAL SA DE CV"/>
        <s v="EL GALLITO DE CONTROL RAMIREZ SA DE CV"/>
        <s v="FOCOMSA SA DE CV"/>
        <s v="BIO PAPPEL SCRIBE SA DE CV"/>
        <s v="DART SA DE CV"/>
        <s v="FLEXTRONICS INTEGRATED SERVICES MEX S DE RL DE CV"/>
        <s v="CIA SHERWIN WILLIAMS SA DE CV"/>
        <s v="EFMA Y ASOCIADOS SC"/>
        <s v="SANOFI AVENTIS DE MEXICO SA DE CV"/>
        <s v="M3 CODICE INTEGRAL SA DE CV"/>
        <s v="HORTICULTURA Y AGUACATES SELECTOS SPR DE LR DE CV"/>
        <s v="JOSE PEDRO ESPINOZA ELIZONDO"/>
        <s v="KIMBERLY CLARK DE MEXICO SA B DE CV"/>
        <s v="CONDUENT DE MEXICO SA DE CV"/>
        <s v="PRICEWATERHOUSECOOPERS SC"/>
        <s v="COBERZA S DE RL DE CV"/>
        <s v="BBVA BANCOMER SA"/>
        <s v="DISTRIBUIDORA INTERNACIONAL DE MEDICAMENTOS Y EQUI"/>
        <s v="GRUPO ART GRAPH SA DE CV"/>
        <s v="ROSTICERIA LOS CUATES"/>
        <s v="XILOGRAFIA A COLOR S DE RL DE CV"/>
        <s v="FORMAS EFICIENTES SA DE CV"/>
        <s v="YAK TORREL SA DE CV"/>
        <s v="FUERZA GRAFICA DEL NORTE SA DE CV"/>
        <s v="ALAMBRADOS Y CIRCUITOS ELECTRICOS S DE RL DE CV"/>
        <s v="EQUIPOS NO LOCALIZADOS"/>
        <s v="ROSALBA GARDU&amp;O S"/>
        <s v="KBR MONTERREY SA DE CV"/>
        <s v="COMERCIALIZADORA DE PRODUCTOS PC S DE RL DE CV"/>
        <s v="UNITED AIRLINES INC"/>
        <s v="OPERACIONES MADAPAL SA DE CV"/>
        <s v="GALERIA PRODUCTORA DE COSMETICOS S. DE R.L. DE C.V"/>
        <s v="PRONUA SA DE CV"/>
        <s v="BODYLOGIC INTERNACIONAL SA DE CV"/>
        <s v="INTERCAM BANCO S.A., INSTITUCION DE BANCA MULTIPLE"/>
        <s v="IMPULSORA INDUSTRIAL MONTERREY SA"/>
      </sharedItems>
    </cacheField>
    <cacheField name="DOMICILIO" numFmtId="0">
      <sharedItems/>
    </cacheField>
    <cacheField name="LOC" numFmtId="0">
      <sharedItems/>
    </cacheField>
    <cacheField name="RESIDENTE/FIJO" numFmtId="0">
      <sharedItems containsSemiMixedTypes="0" containsString="0" containsNumber="1" containsInteger="1" minValue="0" maxValue="1"/>
    </cacheField>
    <cacheField name="REGION" numFmtId="0">
      <sharedItems/>
    </cacheField>
    <cacheField name="Dias/Llam" numFmtId="0">
      <sharedItems containsMixedTypes="1" containsNumber="1" containsInteger="1" minValue="0" maxValue="2706"/>
    </cacheField>
    <cacheField name="Rango" numFmtId="0">
      <sharedItems/>
    </cacheField>
    <cacheField name="Business Team" numFmtId="0">
      <sharedItems/>
    </cacheField>
    <cacheField name="Producto" numFmtId="0">
      <sharedItems/>
    </cacheField>
    <cacheField name="Loc TR" numFmtId="0">
      <sharedItems/>
    </cacheField>
    <cacheField name="Rango dias entre servicios" numFmtId="0">
      <sharedItems/>
    </cacheField>
    <cacheField name="Fiabilidad" numFmtId="9">
      <sharedItems containsSemiMixedTypes="0" containsString="0" containsNumber="1" minValue="0" maxValue="1.2"/>
    </cacheField>
    <cacheField name="Pago por servicio final" numFmtId="164">
      <sharedItems containsSemiMixedTypes="0" containsString="0" containsNumber="1" minValue="0" maxValue="2574"/>
    </cacheField>
    <cacheField name="Ind servicios" numFmtId="43">
      <sharedItems containsSemiMixedTypes="0" containsString="0" containsNumber="1" containsInteger="1" minValue="0" maxValue="1"/>
    </cacheField>
    <cacheField name="TR Real" numFmtId="165">
      <sharedItems containsSemiMixedTypes="0" containsString="0" containsNumber="1" minValue="0" maxValue="15.15"/>
    </cacheField>
    <cacheField name="TR_OBJ" numFmtId="0">
      <sharedItems containsSemiMixedTypes="0" containsString="0" containsNumber="1" containsInteger="1" minValue="3" maxValue="9"/>
    </cacheField>
    <cacheField name="Veces obj" numFmtId="166">
      <sharedItems containsSemiMixedTypes="0" containsString="0" containsNumber="1" minValue="0" maxValue="2.5940000000000003"/>
    </cacheField>
    <cacheField name="% penalización TR" numFmtId="9">
      <sharedItems containsSemiMixedTypes="0" containsString="0" containsNumber="1" minValue="0" maxValue="0.39850000000000008"/>
    </cacheField>
    <cacheField name="Monto penalización TR" numFmtId="6">
      <sharedItems containsSemiMixedTypes="0" containsString="0" containsNumber="1" minValue="-581.02687500000013" maxValue="0"/>
    </cacheField>
    <cacheField name="Fecha fin Serv" numFmtId="15">
      <sharedItems containsSemiMixedTypes="0" containsNonDate="0" containsDate="1" containsString="0" minDate="2019-03-20T00:00:00" maxDate="2019-05-01T00:00:00"/>
    </cacheField>
    <cacheField name="Fecha documentación" numFmtId="15">
      <sharedItems containsSemiMixedTypes="0" containsNonDate="0" containsDate="1" containsString="0" minDate="2019-04-01T00:00:00" maxDate="2019-05-01T00:00:00"/>
    </cacheField>
    <cacheField name="Dias documentación" numFmtId="0">
      <sharedItems containsSemiMixedTypes="0" containsString="0" containsNumber="1" containsInteger="1" minValue="0" maxValue="24"/>
    </cacheField>
    <cacheField name="Rango documentación" numFmtId="164">
      <sharedItems/>
    </cacheField>
    <cacheField name="% penalización TD" numFmtId="9">
      <sharedItems containsSemiMixedTypes="0" containsString="0" containsNumber="1" minValue="0" maxValue="1"/>
    </cacheField>
    <cacheField name="TD_Malus" numFmtId="6">
      <sharedItems containsSemiMixedTypes="0" containsString="0" containsNumber="1" minValue="-1573.0000000000002" maxValue="0"/>
    </cacheField>
    <cacheField name="CST_Malus" numFmtId="6">
      <sharedItems containsSemiMixedTypes="0" containsString="0" containsNumber="1" containsInteger="1" minValue="0" maxValue="0"/>
    </cacheField>
    <cacheField name="Pago x servicio - penalización TR" numFmtId="8">
      <sharedItems containsSemiMixedTypes="0" containsString="0" containsNumber="1" minValue="-581.02687500000013" maxValue="2466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0">
  <r>
    <s v="ABR-19"/>
    <n v="1"/>
    <s v="2016677"/>
    <s v="SR MANTENIMIENTO CORRECTIVO"/>
    <s v="6656"/>
    <s v="28/03/2019 18:30"/>
    <s v="0E1B967531"/>
    <s v="500080"/>
    <s v="PITSS"/>
    <s v="ASP"/>
    <x v="0"/>
    <s v="HEROICO COLEGIO MILITAR No 4700"/>
    <s v="Chihuahua-CHIH"/>
    <n v="0"/>
    <s v="INTERIOR"/>
    <n v="162"/>
    <s v="&gt;60"/>
    <s v="Color Laser Printers"/>
    <s v="A4"/>
    <s v="Ciudad principal"/>
    <s v="1-&gt;60"/>
    <n v="1.05"/>
    <n v="750.75000000000011"/>
    <n v="1"/>
    <n v="0"/>
    <n v="5"/>
    <n v="0"/>
    <n v="0"/>
    <n v="0"/>
    <d v="2019-03-29T00:00:00"/>
    <d v="2019-04-01T00:00:00"/>
    <n v="1"/>
    <s v="0-1 día"/>
    <n v="0"/>
    <n v="0"/>
    <n v="0"/>
    <n v="750.75000000000011"/>
  </r>
  <r>
    <s v="ABR-19"/>
    <n v="1"/>
    <s v="2016967"/>
    <s v="SR MANTENIMIENTO CORRECTIVO"/>
    <s v="0800"/>
    <s v="29/03/2019 10:24"/>
    <s v="0WXP008416"/>
    <s v="500083"/>
    <s v="PITSS"/>
    <s v="ASP"/>
    <x v="1"/>
    <s v="MM DE LLANO 736 OTE"/>
    <s v="MONTERREY-NL"/>
    <n v="0"/>
    <s v="INTERIOR"/>
    <n v="7"/>
    <s v="Entre 7 y 15"/>
    <s v="Xerox Color Press"/>
    <s v="High Production"/>
    <s v="Ciudad principal"/>
    <s v="4-Entre 7 y 15"/>
    <n v="1.05"/>
    <n v="2252.25"/>
    <n v="1"/>
    <n v="3.1"/>
    <n v="3"/>
    <n v="1.0333333333333334"/>
    <n v="8.3333333333333592E-3"/>
    <n v="-17.875000000000057"/>
    <d v="2019-03-29T00:00:00"/>
    <d v="2019-04-01T00:00:00"/>
    <n v="1"/>
    <s v="0-1 día"/>
    <n v="0"/>
    <n v="0"/>
    <n v="0"/>
    <n v="2234.375"/>
  </r>
  <r>
    <s v="ABR-19"/>
    <n v="1"/>
    <s v="2017177"/>
    <s v="SR MANTENIMIENTO CORRECTIVO"/>
    <s v="3658"/>
    <s v="29/03/2019 14:35"/>
    <s v="0C4X008527"/>
    <s v="800146"/>
    <s v="PITSS"/>
    <s v="ASP"/>
    <x v="2"/>
    <s v="AV PASEO DEL MORAL 129"/>
    <s v="LEON-GTO"/>
    <n v="0"/>
    <s v="INTERIOR"/>
    <n v="540"/>
    <s v="&gt;60"/>
    <s v="A4 Mono MFPs"/>
    <s v="A4"/>
    <s v="Ciudad principal"/>
    <s v="1-&gt;60"/>
    <n v="1.05"/>
    <n v="750.75000000000011"/>
    <n v="1"/>
    <n v="0.84"/>
    <n v="5"/>
    <n v="0.16799999999999998"/>
    <n v="0"/>
    <n v="0"/>
    <d v="2019-03-29T00:00:00"/>
    <d v="2019-04-01T00:00:00"/>
    <n v="1"/>
    <s v="0-1 día"/>
    <n v="0"/>
    <n v="0"/>
    <n v="0"/>
    <n v="750.75000000000011"/>
  </r>
  <r>
    <s v="ABR-19"/>
    <n v="1"/>
    <s v="2016353"/>
    <s v="SR MANTENIMIENTO CORRECTIVO"/>
    <s v="5552"/>
    <s v="28/03/2019 10:05"/>
    <s v="0KPA026832"/>
    <s v="500018"/>
    <s v="PITSS"/>
    <s v="ASP"/>
    <x v="3"/>
    <s v="AV MARTIRES DE SONORA 1006"/>
    <s v="DURANGO-DGO"/>
    <n v="0"/>
    <s v="INTERIOR"/>
    <n v="37"/>
    <s v="Entre 31 y 60"/>
    <s v="Entry Mono Printers"/>
    <s v="A4"/>
    <s v="Ciudad principal"/>
    <s v="1-Entre 31 y 60"/>
    <n v="0.8"/>
    <n v="572.00000000000011"/>
    <n v="1"/>
    <n v="0.55000000000000004"/>
    <n v="5"/>
    <n v="0.11000000000000001"/>
    <n v="0"/>
    <n v="0"/>
    <d v="2019-03-29T00:00:00"/>
    <d v="2019-04-01T00:00:00"/>
    <n v="1"/>
    <s v="0-1 día"/>
    <n v="0"/>
    <n v="0"/>
    <n v="0"/>
    <n v="572.00000000000011"/>
  </r>
  <r>
    <s v="ABR-19"/>
    <n v="1"/>
    <s v="2017059"/>
    <s v="SR MANTENIMIENTO CORRECTIVO"/>
    <s v="4002"/>
    <s v="29/03/2019 12:22"/>
    <s v="09HB331395"/>
    <s v="000195"/>
    <s v="PITSS"/>
    <s v="ASP"/>
    <x v="4"/>
    <s v="AV DE LA BARRANCA LOTE No 26  A S/N"/>
    <s v="Cuautitlan Izcalli-E"/>
    <n v="1"/>
    <s v="METRO"/>
    <n v="2675"/>
    <s v="&gt;60"/>
    <s v="A4 Mono MFPs"/>
    <s v="A4"/>
    <s v="Ciudad principal"/>
    <s v="1-&gt;60"/>
    <n v="1.05"/>
    <n v="0"/>
    <n v="1"/>
    <n v="3.26"/>
    <n v="5"/>
    <n v="0.65199999999999991"/>
    <n v="0"/>
    <n v="0"/>
    <d v="2019-03-29T00:00:00"/>
    <d v="2019-04-01T00:00:00"/>
    <n v="1"/>
    <s v="0-1 día"/>
    <n v="0"/>
    <n v="0"/>
    <n v="0"/>
    <n v="0"/>
  </r>
  <r>
    <s v="ABR-19"/>
    <n v="1"/>
    <s v="2017089"/>
    <s v="SR MANTENIMIENTO CORRECTIVO"/>
    <s v="3616"/>
    <s v="29/03/2019 13:05"/>
    <s v="0A2T370449"/>
    <s v="700098"/>
    <s v="PITSS"/>
    <s v="ASP"/>
    <x v="5"/>
    <s v="AV TOMAS FERNANDEZ No 8945"/>
    <s v="Ciudad Juarez-CHIH"/>
    <n v="0"/>
    <s v="INTERIOR"/>
    <n v="728"/>
    <s v="&gt;60"/>
    <s v="A4 Mono MFPs"/>
    <s v="A4"/>
    <s v="Ciudad principal"/>
    <s v="1-&gt;60"/>
    <n v="1.05"/>
    <n v="750.75000000000011"/>
    <n v="1"/>
    <n v="1.1000000000000001"/>
    <n v="5"/>
    <n v="0.22000000000000003"/>
    <n v="0"/>
    <n v="0"/>
    <d v="2019-03-29T00:00:00"/>
    <d v="2019-04-01T00:00:00"/>
    <n v="1"/>
    <s v="0-1 día"/>
    <n v="0"/>
    <n v="0"/>
    <n v="0"/>
    <n v="750.75000000000011"/>
  </r>
  <r>
    <s v="ABR-19"/>
    <n v="1"/>
    <s v="2017103"/>
    <s v="SR MANTENIMIENTO CORRECTIVO"/>
    <s v="3658"/>
    <s v="29/03/2019 13:15"/>
    <s v="0C4X011949"/>
    <s v="800187"/>
    <s v="PITSS"/>
    <s v="ASP"/>
    <x v="0"/>
    <s v="AV EPIGMENIO GONZALEZ No 500"/>
    <s v="Queretaro-QRO"/>
    <n v="0"/>
    <s v="INTERIOR"/>
    <n v="220"/>
    <s v="&gt;60"/>
    <s v="A4 Mono MFPs"/>
    <s v="A4"/>
    <s v="Ciudad principal"/>
    <s v="1-&gt;60"/>
    <n v="1.05"/>
    <n v="750.75000000000011"/>
    <n v="1"/>
    <n v="0.92"/>
    <n v="5"/>
    <n v="0.184"/>
    <n v="0"/>
    <n v="0"/>
    <d v="2019-03-29T00:00:00"/>
    <d v="2019-04-01T00:00:00"/>
    <n v="1"/>
    <s v="0-1 día"/>
    <n v="0"/>
    <n v="0"/>
    <n v="0"/>
    <n v="750.75000000000011"/>
  </r>
  <r>
    <s v="ABR-19"/>
    <n v="1"/>
    <s v="2017095"/>
    <s v="SR MANTENIMIENTO CORRECTIVO"/>
    <s v="4002"/>
    <s v="29/03/2019 13:06"/>
    <s v="09HB331795"/>
    <s v="500066"/>
    <s v="PITSS"/>
    <s v="ASP"/>
    <x v="6"/>
    <s v="AV LINCOLN No 6237"/>
    <s v="MONTERREY-NL"/>
    <n v="1"/>
    <s v="INTERIOR"/>
    <n v="22"/>
    <s v="Entre 16 y 30"/>
    <s v="A4 Mono MFPs"/>
    <s v="A4"/>
    <s v="Ciudad principal"/>
    <s v="1-Entre 16 y 30"/>
    <n v="0.6"/>
    <n v="0"/>
    <n v="1"/>
    <n v="1.55"/>
    <n v="5"/>
    <n v="0.31"/>
    <n v="0"/>
    <n v="0"/>
    <d v="2019-03-29T00:00:00"/>
    <d v="2019-04-01T00:00:00"/>
    <n v="1"/>
    <s v="0-1 día"/>
    <n v="0"/>
    <n v="0"/>
    <n v="0"/>
    <n v="0"/>
  </r>
  <r>
    <s v="ABR-19"/>
    <n v="1"/>
    <s v="2017171"/>
    <s v="SR MANTENIMIENTO CORRECTIVO"/>
    <s v="5866"/>
    <s v="29/03/2019 14:29"/>
    <s v="0EX9297565"/>
    <s v="500157"/>
    <s v="PITSS"/>
    <s v="ASP"/>
    <x v="7"/>
    <s v="AV PASEO TRIUNFO LA REP 6321"/>
    <s v="Ciudad Juarez-CHIH"/>
    <n v="0"/>
    <s v="INTERIOR"/>
    <n v="9"/>
    <s v="Entre 7 y 15"/>
    <s v="Departmental Digital"/>
    <s v="A3"/>
    <s v="Ciudad principal"/>
    <s v="2-Entre 7 y 15"/>
    <n v="0.6"/>
    <n v="819"/>
    <n v="1"/>
    <n v="1.77"/>
    <n v="5"/>
    <n v="0.35399999999999998"/>
    <n v="0"/>
    <n v="0"/>
    <d v="2019-03-29T00:00:00"/>
    <d v="2019-04-01T00:00:00"/>
    <n v="1"/>
    <s v="0-1 día"/>
    <n v="0"/>
    <n v="0"/>
    <n v="0"/>
    <n v="819"/>
  </r>
  <r>
    <s v="ABR-19"/>
    <n v="1"/>
    <s v="2016633"/>
    <s v="SR MANTENIMIENTO CORRECTIVO"/>
    <s v="4002"/>
    <s v="28/03/2019 16:54"/>
    <s v="09HB332015"/>
    <s v="000196"/>
    <s v="PITSS"/>
    <s v="ASP"/>
    <x v="8"/>
    <s v="RIO BAMBA No 639"/>
    <s v="Gustavo A Madero-CIU"/>
    <n v="1"/>
    <s v="METRO"/>
    <n v="2674"/>
    <s v="&gt;60"/>
    <s v="A4 Mono MFPs"/>
    <s v="A4"/>
    <s v="Ciudad principal"/>
    <s v="1-&gt;60"/>
    <n v="1.05"/>
    <n v="0"/>
    <n v="1"/>
    <n v="6.7"/>
    <n v="5"/>
    <n v="1.34"/>
    <n v="8.500000000000002E-2"/>
    <n v="0"/>
    <d v="2019-03-29T00:00:00"/>
    <d v="2019-04-01T00:00:00"/>
    <n v="1"/>
    <s v="0-1 día"/>
    <n v="0"/>
    <n v="0"/>
    <n v="0"/>
    <n v="0"/>
  </r>
  <r>
    <s v="ABR-19"/>
    <n v="1"/>
    <s v="2013445"/>
    <s v="SR MANTENIMIENTO CORRECTIVO"/>
    <s v="8045"/>
    <s v="22/03/2019 12:34"/>
    <s v="0Y4X838103"/>
    <s v="100038"/>
    <s v="PITSS"/>
    <s v="ASP"/>
    <x v="9"/>
    <s v="IGNACIO LOPEZ RAYON No 510"/>
    <s v="Toluca De Lerdo-ESTA"/>
    <n v="0"/>
    <s v="INTERIOR"/>
    <n v="3"/>
    <s v="&lt;=3"/>
    <s v="Office Digital"/>
    <s v="A3"/>
    <s v="Ciudad principal"/>
    <s v="2-&lt;=3"/>
    <n v="0"/>
    <n v="0"/>
    <n v="1"/>
    <n v="0.93"/>
    <n v="5"/>
    <n v="0.186"/>
    <n v="0"/>
    <n v="0"/>
    <d v="2019-03-29T00:00:00"/>
    <d v="2019-04-01T00:00:00"/>
    <n v="1"/>
    <s v="0-1 día"/>
    <n v="0"/>
    <n v="0"/>
    <n v="0"/>
    <n v="0"/>
  </r>
  <r>
    <s v="ABR-19"/>
    <n v="1"/>
    <s v="2017097"/>
    <s v="SR MANTENIMIENTO CORRECTIVO"/>
    <s v="4002"/>
    <s v="29/03/2019 13:10"/>
    <s v="09HB320531"/>
    <s v="500019"/>
    <s v="PITSS"/>
    <s v="ASP"/>
    <x v="10"/>
    <s v="ABASOLO 545 PONIENTE"/>
    <s v="TORREON-COAH"/>
    <n v="0"/>
    <s v="INTERIOR"/>
    <n v="134"/>
    <s v="&gt;60"/>
    <s v="A4 Mono MFPs"/>
    <s v="A4"/>
    <s v="Otras"/>
    <s v="1-&gt;60"/>
    <n v="1.05"/>
    <n v="750.75000000000011"/>
    <n v="1"/>
    <n v="1.26"/>
    <n v="9"/>
    <n v="0.14000000000000001"/>
    <n v="0"/>
    <n v="0"/>
    <d v="2019-03-29T00:00:00"/>
    <d v="2019-04-01T00:00:00"/>
    <n v="1"/>
    <s v="0-1 día"/>
    <n v="0"/>
    <n v="0"/>
    <n v="0"/>
    <n v="750.75000000000011"/>
  </r>
  <r>
    <s v="ABR-19"/>
    <n v="1"/>
    <s v="2017207"/>
    <s v="SR MANTENIMIENTO CORRECTIVO"/>
    <s v="8045"/>
    <s v="29/03/2019 16:47"/>
    <s v="0Y4X848009"/>
    <s v="000196"/>
    <s v="PITSS"/>
    <s v="ASP"/>
    <x v="11"/>
    <s v="AV PASEO DE LA REFORMA No 180 PISO 23"/>
    <s v="Cuauhtemoc-CIUDAD DE"/>
    <n v="1"/>
    <s v="METRO"/>
    <n v="21"/>
    <s v="Entre 16 y 30"/>
    <s v="Office Digital"/>
    <s v="A3"/>
    <s v="Ciudad principal"/>
    <s v="2-Entre 16 y 30"/>
    <n v="0.8"/>
    <n v="0"/>
    <n v="1"/>
    <n v="0.72"/>
    <n v="5"/>
    <n v="0.14399999999999999"/>
    <n v="0"/>
    <n v="0"/>
    <d v="2019-04-01T00:00:00"/>
    <d v="2019-04-01T00:00:00"/>
    <n v="0"/>
    <s v="0-1 día"/>
    <n v="0"/>
    <n v="0"/>
    <n v="0"/>
    <n v="0"/>
  </r>
  <r>
    <s v="ABR-19"/>
    <n v="1"/>
    <s v="2017371"/>
    <s v="SR MANTENIMIENTO CORRECTIVO"/>
    <s v="8045"/>
    <s v="30/03/2019 10:43"/>
    <s v="Y4X821724"/>
    <s v="500093"/>
    <s v="PITSS"/>
    <s v="ASP"/>
    <x v="12"/>
    <s v="CARRETERA LIBRAMIENTO MEXICO 2KM 28.5 S/N"/>
    <s v="Nuevo Laredo-TAM"/>
    <n v="0"/>
    <s v="INTERIOR"/>
    <n v="15"/>
    <s v="Entre 7 y 15"/>
    <s v="Office Digital"/>
    <s v="A3"/>
    <s v="Ciudad principal"/>
    <s v="2-Entre 7 y 15"/>
    <n v="0.6"/>
    <n v="819"/>
    <n v="1"/>
    <n v="0"/>
    <n v="5"/>
    <n v="0"/>
    <n v="0"/>
    <n v="0"/>
    <d v="2019-04-01T00:00:00"/>
    <d v="2019-04-01T00:00:00"/>
    <n v="0"/>
    <s v="0-1 día"/>
    <n v="0"/>
    <n v="0"/>
    <n v="0"/>
    <n v="819"/>
  </r>
  <r>
    <s v="ABR-19"/>
    <n v="1"/>
    <s v="2017125"/>
    <s v="SR MANTENIMIENTO CORRECTIVO"/>
    <s v="5866"/>
    <s v="29/03/2019 13:16"/>
    <s v="0EX9297293"/>
    <s v="500035"/>
    <s v="PITSS"/>
    <s v="ASP"/>
    <x v="7"/>
    <s v="HAROLD R PAPE MANZANA 31 NO 1910"/>
    <s v="Monclova-COAH"/>
    <n v="0"/>
    <s v="INTERIOR"/>
    <n v="35"/>
    <s v="Entre 31 y 60"/>
    <s v="Departmental Digital"/>
    <s v="A3"/>
    <s v="Ciudad principal"/>
    <s v="2-Entre 31 y 60"/>
    <n v="1.05"/>
    <n v="1433.25"/>
    <n v="1"/>
    <n v="4.2300000000000004"/>
    <n v="5"/>
    <n v="0.84600000000000009"/>
    <n v="0"/>
    <n v="0"/>
    <d v="2019-04-01T00:00:00"/>
    <d v="2019-04-01T00:00:00"/>
    <n v="0"/>
    <s v="0-1 día"/>
    <n v="0"/>
    <n v="0"/>
    <n v="0"/>
    <n v="1433.25"/>
  </r>
  <r>
    <s v="ABR-19"/>
    <n v="1"/>
    <s v="2016053"/>
    <s v="SR MANTENIMIENTO CORRECTIVO"/>
    <s v="0070"/>
    <s v="27/03/2019 16:57"/>
    <s v="0E2B646622"/>
    <s v="800185"/>
    <s v="PITSS"/>
    <s v="ASP"/>
    <x v="7"/>
    <s v="MIGUEL DE LA MADRID 9"/>
    <s v="MANZANILLO-COL"/>
    <n v="1"/>
    <s v="INTERIOR"/>
    <n v="39"/>
    <s v="Entre 31 y 60"/>
    <s v="Entry Production Color Low/Mid"/>
    <s v="Entry Production"/>
    <s v="Ciudad principal"/>
    <s v="3-Entre 31 y 60"/>
    <n v="1.1000000000000001"/>
    <n v="0"/>
    <n v="1"/>
    <n v="1.08"/>
    <n v="4"/>
    <n v="0.27"/>
    <n v="0"/>
    <n v="0"/>
    <d v="2019-04-01T00:00:00"/>
    <d v="2019-04-01T00:00:00"/>
    <n v="0"/>
    <s v="0-1 día"/>
    <n v="0"/>
    <n v="0"/>
    <n v="0"/>
    <n v="0"/>
  </r>
  <r>
    <s v="ABR-19"/>
    <n v="1"/>
    <s v="2017861"/>
    <s v="SR MANTENIMIENTO CORRECTIVO"/>
    <s v="4002"/>
    <s v="01/04/2019 08:19"/>
    <s v="09HB333670"/>
    <s v="500028"/>
    <s v="PITSS"/>
    <s v="ASP"/>
    <x v="13"/>
    <s v="AGUSTIN MELGAR 845 ENTRE ARTEAGA Y CARLOS SALAZAR"/>
    <s v="MONTERREY-NL"/>
    <n v="0"/>
    <s v="INTERIOR"/>
    <n v="17"/>
    <s v="Entre 16 y 30"/>
    <s v="A4 Mono MFPs"/>
    <s v="A4"/>
    <s v="Ciudad principal"/>
    <s v="1-Entre 16 y 30"/>
    <n v="0.6"/>
    <n v="429.00000000000006"/>
    <n v="1"/>
    <n v="1"/>
    <n v="5"/>
    <n v="0.2"/>
    <n v="0"/>
    <n v="0"/>
    <d v="2019-04-01T00:00:00"/>
    <d v="2019-04-01T00:00:00"/>
    <n v="0"/>
    <s v="0-1 día"/>
    <n v="0"/>
    <n v="0"/>
    <n v="0"/>
    <n v="429.00000000000006"/>
  </r>
  <r>
    <s v="ABR-19"/>
    <n v="1"/>
    <s v="2016393"/>
    <s v="SR MANTENIMIENTO CORRECTIVO"/>
    <s v="0070"/>
    <s v="28/03/2019 11:01"/>
    <s v="0E2B666269"/>
    <s v="800187"/>
    <s v="PITSS"/>
    <s v="ASP"/>
    <x v="14"/>
    <s v="AV 5 DE FEBRERO 9200"/>
    <s v="Queretaro-QRO"/>
    <n v="0"/>
    <s v="INTERIOR"/>
    <n v="7"/>
    <s v="Entre 7 y 15"/>
    <s v="Entry Production Color Low/Mid"/>
    <s v="Entry Production"/>
    <s v="Ciudad principal"/>
    <s v="3-Entre 7 y 15"/>
    <n v="0.8"/>
    <n v="1258.4000000000003"/>
    <n v="1"/>
    <n v="1.31"/>
    <n v="4"/>
    <n v="0.32750000000000001"/>
    <n v="0"/>
    <n v="0"/>
    <d v="2019-03-28T00:00:00"/>
    <d v="2019-04-01T00:00:00"/>
    <n v="2"/>
    <s v="2-3 días"/>
    <n v="0.25"/>
    <n v="-393.25000000000006"/>
    <n v="0"/>
    <n v="1258.4000000000003"/>
  </r>
  <r>
    <s v="ABR-19"/>
    <n v="1"/>
    <s v="2017227"/>
    <s v="SR MANTENIMIENTO CORRECTIVO"/>
    <s v="5865"/>
    <s v="29/03/2019 17:47"/>
    <s v="0EX9309804"/>
    <s v="800186"/>
    <s v="PITSS"/>
    <s v="ASP"/>
    <x v="15"/>
    <s v="AV 5 DE FEBRERO 1351"/>
    <s v="Queretaro-QRO"/>
    <n v="0"/>
    <s v="INTERIOR"/>
    <n v="3"/>
    <s v="&lt;=3"/>
    <s v="Departmental Digital"/>
    <s v="A3"/>
    <s v="Ciudad principal"/>
    <s v="2-&lt;=3"/>
    <n v="0"/>
    <n v="0"/>
    <n v="1"/>
    <n v="0.5"/>
    <n v="5"/>
    <n v="0.1"/>
    <n v="0"/>
    <n v="0"/>
    <d v="2019-04-01T00:00:00"/>
    <d v="2019-04-01T00:00:00"/>
    <n v="0"/>
    <s v="0-1 día"/>
    <n v="0"/>
    <n v="0"/>
    <n v="0"/>
    <n v="0"/>
  </r>
  <r>
    <s v="ABR-19"/>
    <n v="1"/>
    <s v="2016551"/>
    <s v="SR MANTENIMIENTO CORRECTIVO"/>
    <s v="3616"/>
    <s v="28/03/2019 13:39"/>
    <s v="0A2T386303"/>
    <s v="800197"/>
    <s v="PITSS"/>
    <s v="ASP"/>
    <x v="16"/>
    <s v="AVENIDO VENUSTIANO CARRANZA No 1190"/>
    <s v="San Luis Potosi-SLP"/>
    <n v="0"/>
    <s v="INTERIOR"/>
    <n v="1171"/>
    <s v="&gt;60"/>
    <s v="A4 Mono MFPs"/>
    <s v="A4"/>
    <s v="Ciudad principal"/>
    <s v="1-&gt;60"/>
    <n v="1.05"/>
    <n v="750.75000000000011"/>
    <n v="1"/>
    <n v="1.85"/>
    <n v="5"/>
    <n v="0.37"/>
    <n v="0"/>
    <n v="0"/>
    <d v="2019-03-28T00:00:00"/>
    <d v="2019-04-01T00:00:00"/>
    <n v="2"/>
    <s v="2-3 días"/>
    <n v="0.25"/>
    <n v="-178.75000000000003"/>
    <n v="0"/>
    <n v="750.75000000000011"/>
  </r>
  <r>
    <s v="ABR-19"/>
    <n v="1"/>
    <s v="2017013"/>
    <s v="SR MANTENIMIENTO CORRECTIVO"/>
    <s v="8056"/>
    <s v="29/03/2019 11:46"/>
    <s v="8TB609321"/>
    <s v="800188"/>
    <s v="PITSS"/>
    <s v="ASP"/>
    <x v="17"/>
    <s v="CARRETERA 45D KM 12.5 INT 4"/>
    <s v="Guanajuato-GTO"/>
    <n v="0"/>
    <s v="INTERIOR"/>
    <n v="2675"/>
    <s v="&gt;60"/>
    <s v="A3 Office Color Laser MFPs"/>
    <s v="A3"/>
    <s v="Ciudad principal"/>
    <s v="2-&gt;60"/>
    <n v="1.1000000000000001"/>
    <n v="1501.5000000000002"/>
    <n v="1"/>
    <n v="6.23"/>
    <n v="5"/>
    <n v="1.246"/>
    <n v="6.1499999999999999E-2"/>
    <n v="-83.947500000000005"/>
    <d v="2019-04-01T00:00:00"/>
    <d v="2019-04-01T00:00:00"/>
    <n v="0"/>
    <s v="0-1 día"/>
    <n v="0"/>
    <n v="0"/>
    <n v="0"/>
    <n v="1417.5525000000002"/>
  </r>
  <r>
    <s v="ABR-19"/>
    <n v="1"/>
    <s v="2015747"/>
    <s v="SR MANTENIMIENTO CORRECTIVO"/>
    <s v="3611"/>
    <s v="27/03/2019 09:52"/>
    <s v="0A4T558524"/>
    <s v="800186"/>
    <s v="PITSS"/>
    <s v="ASP"/>
    <x v="14"/>
    <s v="PROL EZEQUIEL MONTES 1 ESQ B QUINTA"/>
    <s v="Queretaro-QRO"/>
    <n v="0"/>
    <s v="INTERIOR"/>
    <n v="42"/>
    <s v="Entre 31 y 60"/>
    <s v="Entry Mono Printers"/>
    <s v="A4"/>
    <s v="Ciudad principal"/>
    <s v="1-Entre 31 y 60"/>
    <n v="0.8"/>
    <n v="572.00000000000011"/>
    <n v="1"/>
    <n v="2.76"/>
    <n v="5"/>
    <n v="0.55199999999999994"/>
    <n v="0"/>
    <n v="0"/>
    <d v="2019-03-29T00:00:00"/>
    <d v="2019-04-01T00:00:00"/>
    <n v="1"/>
    <s v="0-1 día"/>
    <n v="0"/>
    <n v="0"/>
    <n v="0"/>
    <n v="572.00000000000011"/>
  </r>
  <r>
    <s v="ABR-19"/>
    <n v="1"/>
    <s v="2017999"/>
    <s v="SR MANTENIMIENTO CORRECTIVO"/>
    <s v="3636"/>
    <s v="01/04/2019 10:28"/>
    <s v="0BB1252119"/>
    <s v="500156"/>
    <s v="PITSS"/>
    <s v="ASP"/>
    <x v="18"/>
    <s v="PROL HERMANOS ESCOBAR No 7151-E"/>
    <s v="Ciudad Juarez-CHIH"/>
    <n v="0"/>
    <s v="INTERIOR"/>
    <n v="32"/>
    <s v="Entre 31 y 60"/>
    <s v="A4 Mono MFPs"/>
    <s v="A4"/>
    <s v="Ciudad principal"/>
    <s v="1-Entre 31 y 60"/>
    <n v="0.8"/>
    <n v="572.00000000000011"/>
    <n v="1"/>
    <n v="0.53"/>
    <n v="5"/>
    <n v="0.10600000000000001"/>
    <n v="0"/>
    <n v="0"/>
    <d v="2019-04-01T00:00:00"/>
    <d v="2019-04-01T00:00:00"/>
    <n v="0"/>
    <s v="0-1 día"/>
    <n v="0"/>
    <n v="0"/>
    <n v="0"/>
    <n v="572.00000000000011"/>
  </r>
  <r>
    <s v="ABR-19"/>
    <n v="1"/>
    <s v="2007823"/>
    <s v="SR MANTENIMIENTO CORRECTIVO"/>
    <s v="4495"/>
    <s v="12/03/2019 11:06"/>
    <s v="0BPB110617"/>
    <s v="800192"/>
    <s v="PITSS"/>
    <s v="ASP"/>
    <x v="19"/>
    <s v="KM 9 CARRETERA A EL CASTILLO"/>
    <s v="Jalisco-JAL"/>
    <n v="0"/>
    <s v="INTERIOR"/>
    <n v="12"/>
    <s v="Entre 7 y 15"/>
    <s v="CF Mono"/>
    <s v="High Production"/>
    <s v="Ciudad principal"/>
    <s v="4-Entre 7 y 15"/>
    <n v="1.05"/>
    <n v="2252.25"/>
    <n v="1"/>
    <n v="2.8899999999999988"/>
    <n v="3"/>
    <n v="0.96333333333333293"/>
    <n v="0"/>
    <n v="0"/>
    <d v="2019-04-01T00:00:00"/>
    <d v="2019-04-01T00:00:00"/>
    <n v="0"/>
    <s v="0-1 día"/>
    <n v="0"/>
    <n v="0"/>
    <n v="0"/>
    <n v="2252.25"/>
  </r>
  <r>
    <s v="ABR-19"/>
    <n v="1"/>
    <s v="2015847"/>
    <s v="SR MANTENIMIENTO CORRECTIVO"/>
    <s v="3336"/>
    <s v="27/03/2019 11:46"/>
    <s v="5BT731735"/>
    <s v="800186"/>
    <s v="PITSS"/>
    <s v="ASP"/>
    <x v="20"/>
    <s v="AV PASEO DE LA REFORMA No 5"/>
    <s v="Queretaro-QRO"/>
    <n v="0"/>
    <s v="INTERIOR"/>
    <n v="2673"/>
    <s v="&gt;60"/>
    <s v="A4 Mono MFPs"/>
    <s v="A4"/>
    <s v="Ciudad principal"/>
    <s v="1-&gt;60"/>
    <n v="1.05"/>
    <n v="750.75000000000011"/>
    <n v="1"/>
    <n v="3.46"/>
    <n v="5"/>
    <n v="0.69199999999999995"/>
    <n v="0"/>
    <n v="0"/>
    <d v="2019-04-01T00:00:00"/>
    <d v="2019-04-01T00:00:00"/>
    <n v="0"/>
    <s v="0-1 día"/>
    <n v="0"/>
    <n v="0"/>
    <n v="0"/>
    <n v="750.75000000000011"/>
  </r>
  <r>
    <s v="ABR-19"/>
    <n v="1"/>
    <s v="2018035"/>
    <s v="SR MANTENIMIENTO CORRECTIVO"/>
    <s v="5757"/>
    <s v="01/04/2019 10:48"/>
    <s v="0XEH805610"/>
    <s v="700098"/>
    <s v="PITSS"/>
    <s v="ASP"/>
    <x v="21"/>
    <s v="EL CID 7830"/>
    <s v="Ciudad Juarez-CHIH"/>
    <n v="0"/>
    <s v="INTERIOR"/>
    <n v="53"/>
    <s v="Entre 31 y 60"/>
    <s v="Departmental Digital"/>
    <s v="A3"/>
    <s v="Ciudad principal"/>
    <s v="2-Entre 31 y 60"/>
    <n v="1.05"/>
    <n v="1433.25"/>
    <n v="1"/>
    <n v="1.32"/>
    <n v="5"/>
    <n v="0.26400000000000001"/>
    <n v="0"/>
    <n v="0"/>
    <d v="2019-04-01T00:00:00"/>
    <d v="2019-04-01T00:00:00"/>
    <n v="0"/>
    <s v="0-1 día"/>
    <n v="0"/>
    <n v="0"/>
    <n v="0"/>
    <n v="1433.25"/>
  </r>
  <r>
    <s v="ABR-19"/>
    <n v="1"/>
    <s v="2016975"/>
    <s v="SR MANTENIMIENTO CORRECTIVO"/>
    <s v="0770"/>
    <s v="29/03/2019 10:32"/>
    <s v="0CX0060974"/>
    <s v="500159"/>
    <s v="PITSS"/>
    <s v="ASP"/>
    <x v="22"/>
    <s v="AV UNIVERSIDAD 2761"/>
    <s v="Chihuahua-CHIH"/>
    <n v="0"/>
    <s v="INTERIOR"/>
    <n v="28"/>
    <s v="Entre 16 y 30"/>
    <s v="Entry Production Color Mid"/>
    <s v="Entry Production"/>
    <s v="Ciudad principal"/>
    <s v="3-Entre 16 y 30"/>
    <n v="1.05"/>
    <n v="1651.6500000000003"/>
    <n v="1"/>
    <n v="0.47"/>
    <n v="4"/>
    <n v="0.11749999999999999"/>
    <n v="0"/>
    <n v="0"/>
    <d v="2019-04-01T00:00:00"/>
    <d v="2019-04-01T00:00:00"/>
    <n v="0"/>
    <s v="0-1 día"/>
    <n v="0"/>
    <n v="0"/>
    <n v="0"/>
    <n v="1651.6500000000003"/>
  </r>
  <r>
    <s v="ABR-19"/>
    <n v="1"/>
    <s v="2017879"/>
    <s v="SR MANTENIMIENTO CORRECTIVO"/>
    <s v="0560"/>
    <s v="01/04/2019 08:45"/>
    <s v="0XPN546792"/>
    <s v="500157"/>
    <s v="PITSS"/>
    <s v="ASP"/>
    <x v="7"/>
    <s v="AV PASEO TRIUNFO LA REP 6321"/>
    <s v="Ciudad Juarez-CHIH"/>
    <n v="0"/>
    <s v="INTERIOR"/>
    <n v="16"/>
    <s v="Entre 16 y 30"/>
    <s v="Entry Production Color Low/Mid"/>
    <s v="Entry Production"/>
    <s v="Ciudad principal"/>
    <s v="3-Entre 16 y 30"/>
    <n v="1.05"/>
    <n v="1651.6500000000003"/>
    <n v="1"/>
    <n v="1.25"/>
    <n v="4"/>
    <n v="0.3125"/>
    <n v="0"/>
    <n v="0"/>
    <d v="2019-04-01T00:00:00"/>
    <d v="2019-04-01T00:00:00"/>
    <n v="0"/>
    <s v="0-1 día"/>
    <n v="0"/>
    <n v="0"/>
    <n v="0"/>
    <n v="1651.6500000000003"/>
  </r>
  <r>
    <s v="ABR-19"/>
    <n v="1"/>
    <s v="2017885"/>
    <s v="SR MANTENIMIENTO CORRECTIVO"/>
    <s v="4395"/>
    <s v="01/04/2019 08:49"/>
    <s v="0BG2947475"/>
    <s v="500019"/>
    <s v="PITSS"/>
    <s v="ASP"/>
    <x v="7"/>
    <s v="BLV INDEPENDENCIA SN"/>
    <s v="TORREON-COAH"/>
    <n v="0"/>
    <s v="INTERIOR"/>
    <n v="58"/>
    <s v="Entre 31 y 60"/>
    <s v="Light Production Digital Business"/>
    <s v="Entry Production"/>
    <s v="Otras"/>
    <s v="3-Entre 31 y 60"/>
    <n v="1.1000000000000001"/>
    <n v="1730.3000000000004"/>
    <n v="1"/>
    <n v="1.53"/>
    <n v="6"/>
    <n v="0.255"/>
    <n v="0"/>
    <n v="0"/>
    <d v="2019-04-01T00:00:00"/>
    <d v="2019-04-01T00:00:00"/>
    <n v="0"/>
    <s v="0-1 día"/>
    <n v="0"/>
    <n v="0"/>
    <n v="0"/>
    <n v="1730.3000000000004"/>
  </r>
  <r>
    <s v="ABR-19"/>
    <n v="1"/>
    <s v="2018135"/>
    <s v="SR MANTENIMIENTO CORRECTIVO"/>
    <s v="6705"/>
    <s v="01/04/2019 12:07"/>
    <s v="0A1H021199"/>
    <s v="500089"/>
    <s v="PITSS"/>
    <s v="ASP"/>
    <x v="23"/>
    <s v="HERMANOS ESCOBAR 5756"/>
    <s v="Ciudad Juarez-CHIH"/>
    <n v="1"/>
    <s v="INTERIOR"/>
    <n v="54"/>
    <s v="Entre 31 y 60"/>
    <s v="WF Mono Systems and Legacy Color"/>
    <s v="WF"/>
    <s v="Ciudad principal"/>
    <s v="3-Entre 31 y 60"/>
    <n v="1.1000000000000001"/>
    <n v="0"/>
    <n v="1"/>
    <n v="0.53"/>
    <n v="4"/>
    <n v="0.13250000000000001"/>
    <n v="0"/>
    <n v="0"/>
    <d v="2019-04-01T00:00:00"/>
    <d v="2019-04-01T00:00:00"/>
    <n v="0"/>
    <s v="0-1 día"/>
    <n v="0"/>
    <n v="0"/>
    <n v="0"/>
    <n v="0"/>
  </r>
  <r>
    <s v="ABR-19"/>
    <n v="1"/>
    <s v="2018065"/>
    <s v="SR MANTENIMIENTO CORRECTIVO"/>
    <s v="5955"/>
    <s v="01/04/2019 11:08"/>
    <s v="0X76092798"/>
    <s v="800183"/>
    <s v="PITSS"/>
    <s v="ASP"/>
    <x v="24"/>
    <s v="AV LAZARO CARDENAS 2229"/>
    <s v="GUADALAJARA-JAL"/>
    <n v="0"/>
    <s v="INTERIOR"/>
    <n v="264"/>
    <s v="&gt;60"/>
    <s v="Departmental Digital"/>
    <s v="A3"/>
    <s v="Ciudad principal"/>
    <s v="2-&gt;60"/>
    <n v="1.1000000000000001"/>
    <n v="1501.5000000000002"/>
    <n v="1"/>
    <n v="2.0699999999999998"/>
    <n v="5"/>
    <n v="0.41399999999999998"/>
    <n v="0"/>
    <n v="0"/>
    <d v="2019-04-01T00:00:00"/>
    <d v="2019-04-01T00:00:00"/>
    <n v="0"/>
    <s v="0-1 día"/>
    <n v="0"/>
    <n v="0"/>
    <n v="0"/>
    <n v="1501.5000000000002"/>
  </r>
  <r>
    <s v="ABR-19"/>
    <n v="1"/>
    <s v="2017975"/>
    <s v="SR MANTENIMIENTO CORRECTIVO"/>
    <s v="0251"/>
    <s v="01/04/2019 10:14"/>
    <s v="0VGW632064"/>
    <s v="500161"/>
    <s v="PITSS"/>
    <s v="ASP"/>
    <x v="22"/>
    <s v="PERIFERICO ORTIZ MENA LOCAL 8 SN"/>
    <s v="Chihuahua-CHIH"/>
    <n v="0"/>
    <s v="INTERIOR"/>
    <n v="10"/>
    <s v="Entre 7 y 15"/>
    <s v="A3 Professional Color Laser MFPs"/>
    <s v="A3"/>
    <s v="Ciudad principal"/>
    <s v="2-Entre 7 y 15"/>
    <n v="0.6"/>
    <n v="819"/>
    <n v="1"/>
    <n v="0"/>
    <n v="5"/>
    <n v="0"/>
    <n v="0"/>
    <n v="0"/>
    <d v="2019-04-01T00:00:00"/>
    <d v="2019-04-01T00:00:00"/>
    <n v="0"/>
    <s v="0-1 día"/>
    <n v="0"/>
    <n v="0"/>
    <n v="0"/>
    <n v="819"/>
  </r>
  <r>
    <s v="ABR-19"/>
    <n v="1"/>
    <s v="2017835"/>
    <s v="SR MANTENIMIENTO CORRECTIVO"/>
    <s v="5945"/>
    <s v="01/04/2019 07:56"/>
    <s v="0X76707945"/>
    <s v="500019"/>
    <s v="PITSS"/>
    <s v="ASP"/>
    <x v="25"/>
    <s v="ALAMEDAS No 750"/>
    <s v="TORREON-COAH"/>
    <n v="0"/>
    <s v="INTERIOR"/>
    <n v="6"/>
    <s v="Entre 3 y 6"/>
    <s v="Office Digital"/>
    <s v="A3"/>
    <s v="Otras"/>
    <s v="2-Entre 3 y 6"/>
    <n v="0"/>
    <n v="0"/>
    <n v="1"/>
    <n v="5.35"/>
    <n v="9"/>
    <n v="0.59444444444444444"/>
    <n v="0"/>
    <n v="0"/>
    <d v="2019-04-01T00:00:00"/>
    <d v="2019-04-01T00:00:00"/>
    <n v="0"/>
    <s v="0-1 día"/>
    <n v="0"/>
    <n v="0"/>
    <n v="0"/>
    <n v="0"/>
  </r>
  <r>
    <s v="ABR-19"/>
    <n v="1"/>
    <s v="2018149"/>
    <s v="SR MANTENIMIENTO CORRECTIVO"/>
    <s v="7835"/>
    <s v="01/04/2019 12:19"/>
    <s v="0MX1216569"/>
    <s v="500158"/>
    <s v="PITSS"/>
    <s v="ASP"/>
    <x v="26"/>
    <s v="BLVD INDEPENDENCIA 4240"/>
    <s v="Ciudad Juarez-CHIH"/>
    <n v="0"/>
    <s v="INTERIOR"/>
    <n v="255"/>
    <s v="&gt;60"/>
    <s v="A3 Office Color Laser MFPs"/>
    <s v="A3"/>
    <s v="Ciudad principal"/>
    <s v="2-&gt;60"/>
    <n v="1.1000000000000001"/>
    <n v="1501.5000000000002"/>
    <n v="1"/>
    <n v="1.86"/>
    <n v="5"/>
    <n v="0.372"/>
    <n v="0"/>
    <n v="0"/>
    <d v="2019-04-01T00:00:00"/>
    <d v="2019-04-01T00:00:00"/>
    <n v="0"/>
    <s v="0-1 día"/>
    <n v="0"/>
    <n v="0"/>
    <n v="0"/>
    <n v="1501.5000000000002"/>
  </r>
  <r>
    <s v="ABR-19"/>
    <n v="1"/>
    <s v="2016871"/>
    <s v="SR INSTALACION DE EQUIPO"/>
    <s v="4002"/>
    <s v="29/03/2019 09:25"/>
    <s v="9HB914002"/>
    <s v="500161"/>
    <s v="PITSS"/>
    <s v="ASP"/>
    <x v="27"/>
    <s v="ALEJANDRO DUMAS 1326"/>
    <s v="Chihuahua-CHIH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4-01T00:00:00"/>
    <d v="2019-04-01T00:00:00"/>
    <n v="0"/>
    <s v="0-1 día"/>
    <n v="0"/>
    <n v="0"/>
    <n v="0"/>
    <n v="1072.5000000000002"/>
  </r>
  <r>
    <s v="ABR-19"/>
    <n v="1"/>
    <s v="2017189"/>
    <s v="SR MANTENIMIENTO CORRECTIVO"/>
    <s v="7025"/>
    <s v="29/03/2019 15:17"/>
    <s v="7CX042294"/>
    <s v="800027"/>
    <s v="PITSS"/>
    <s v="ASP"/>
    <x v="28"/>
    <s v="GUILLERMO PRIETO No 65"/>
    <s v="Jalisco-JAL"/>
    <n v="0"/>
    <s v="INTERIOR"/>
    <n v="2675"/>
    <s v="&gt;60"/>
    <s v="Office Digital"/>
    <s v="A3"/>
    <s v="Ciudad principal"/>
    <s v="2-&gt;60"/>
    <n v="1.1000000000000001"/>
    <n v="1501.5000000000002"/>
    <n v="1"/>
    <n v="5.95"/>
    <n v="5"/>
    <n v="1.19"/>
    <n v="4.7499999999999987E-2"/>
    <n v="-64.837499999999977"/>
    <d v="2019-04-01T00:00:00"/>
    <d v="2019-04-01T00:00:00"/>
    <n v="0"/>
    <s v="0-1 día"/>
    <n v="0"/>
    <n v="0"/>
    <n v="0"/>
    <n v="1436.6625000000004"/>
  </r>
  <r>
    <s v="ABR-19"/>
    <n v="1"/>
    <s v="2018271"/>
    <s v="SR MANTENIMIENTO CORRECTIVO"/>
    <s v="3657"/>
    <s v="01/04/2019 14:33"/>
    <s v="0C7X246843"/>
    <s v="500071"/>
    <s v="PITSS"/>
    <s v="ASP"/>
    <x v="15"/>
    <s v="SEXTA Y SOLERNAU No 1300 LOCAL 12"/>
    <s v="Matamoros-TAM"/>
    <n v="0"/>
    <s v="INTERIOR"/>
    <n v="3"/>
    <s v="&lt;=3"/>
    <s v="A4 Mono MFPs"/>
    <s v="A4"/>
    <s v="Ciudad principal"/>
    <s v="1-&lt;=3"/>
    <n v="0"/>
    <n v="0"/>
    <n v="1"/>
    <n v="1.87"/>
    <n v="5"/>
    <n v="0.374"/>
    <n v="0"/>
    <n v="0"/>
    <d v="2019-04-01T00:00:00"/>
    <d v="2019-04-01T00:00:00"/>
    <n v="0"/>
    <s v="0-1 día"/>
    <n v="0"/>
    <n v="0"/>
    <n v="0"/>
    <n v="0"/>
  </r>
  <r>
    <s v="ABR-19"/>
    <n v="1"/>
    <s v="2016655"/>
    <s v="SR MANTENIMIENTO CORRECTIVO"/>
    <s v="4120"/>
    <s v="28/03/2019 17:28"/>
    <s v="0GXV896042"/>
    <s v="100037"/>
    <s v="PITSS"/>
    <s v="ASP"/>
    <x v="29"/>
    <s v="AV AGRIPIN GARCIA ESTRADA 1308"/>
    <s v="TOLUCA DE LERDO-MEX"/>
    <n v="0"/>
    <s v="INTERIOR"/>
    <n v="20"/>
    <s v="Entre 16 y 30"/>
    <s v="Light Production Digital Business"/>
    <s v="Entry Production"/>
    <s v="Ciudad principal"/>
    <s v="3-Entre 16 y 30"/>
    <n v="1.05"/>
    <n v="1651.6500000000003"/>
    <n v="1"/>
    <n v="0.03"/>
    <n v="4"/>
    <n v="7.4999999999999997E-3"/>
    <n v="0"/>
    <n v="0"/>
    <d v="2019-03-29T00:00:00"/>
    <d v="2019-04-01T00:00:00"/>
    <n v="1"/>
    <s v="0-1 día"/>
    <n v="0"/>
    <n v="0"/>
    <n v="0"/>
    <n v="1651.6500000000003"/>
  </r>
  <r>
    <s v="ABR-19"/>
    <n v="1"/>
    <s v="2016843"/>
    <s v="SR MANTENIMIENTO CORRECTIVO"/>
    <s v="5866"/>
    <s v="29/03/2019 08:31"/>
    <s v="0EX9293386"/>
    <s v="800188"/>
    <s v="PITSS"/>
    <s v="ASP"/>
    <x v="14"/>
    <s v="PASEO IRAPUATO 1101"/>
    <s v="IRAPUATO-GTO"/>
    <n v="0"/>
    <s v="INTERIOR"/>
    <n v="17"/>
    <s v="Entre 16 y 30"/>
    <s v="Departmental Digital"/>
    <s v="A3"/>
    <s v="Ciudad principal"/>
    <s v="2-Entre 16 y 30"/>
    <n v="0.8"/>
    <n v="1092"/>
    <n v="1"/>
    <n v="0.98"/>
    <n v="5"/>
    <n v="0.19600000000000001"/>
    <n v="0"/>
    <n v="0"/>
    <d v="2019-03-29T00:00:00"/>
    <d v="2019-04-01T00:00:00"/>
    <n v="1"/>
    <s v="0-1 día"/>
    <n v="0"/>
    <n v="0"/>
    <n v="0"/>
    <n v="1092"/>
  </r>
  <r>
    <s v="ABR-19"/>
    <n v="1"/>
    <s v="2016981"/>
    <s v="SR MANTENIMIENTO CORRECTIVO"/>
    <s v="7222"/>
    <s v="29/03/2019 10:46"/>
    <s v="0LX5688824"/>
    <s v="500157"/>
    <s v="PITSS"/>
    <s v="ASP"/>
    <x v="18"/>
    <s v="PROL HERMANOS ESCOBAR No 7151-E"/>
    <s v="Ciudad Juarez-CHIH"/>
    <n v="0"/>
    <s v="INTERIOR"/>
    <n v="50"/>
    <s v="Entre 31 y 60"/>
    <s v="A3 Office Color Laser MFPs"/>
    <s v="A3"/>
    <s v="Ciudad principal"/>
    <s v="2-Entre 31 y 60"/>
    <n v="1.05"/>
    <n v="1433.25"/>
    <n v="1"/>
    <n v="2.73"/>
    <n v="5"/>
    <n v="0.54600000000000004"/>
    <n v="0"/>
    <n v="0"/>
    <d v="2019-03-29T00:00:00"/>
    <d v="2019-04-01T00:00:00"/>
    <n v="1"/>
    <s v="0-1 día"/>
    <n v="0"/>
    <n v="0"/>
    <n v="0"/>
    <n v="1433.25"/>
  </r>
  <r>
    <s v="ABR-19"/>
    <n v="1"/>
    <s v="2017165"/>
    <s v="SR MANTENIMIENTO CORRECTIVO"/>
    <s v="4395"/>
    <s v="29/03/2019 14:25"/>
    <s v="0BG2947153"/>
    <s v="500157"/>
    <s v="PITSS"/>
    <s v="ASP"/>
    <x v="7"/>
    <s v="AV PASEO TRIUNFO LA REP 6321"/>
    <s v="Ciudad Juarez-CHIH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0.91"/>
    <n v="4"/>
    <n v="0.22750000000000001"/>
    <n v="0"/>
    <n v="0"/>
    <d v="2019-03-29T00:00:00"/>
    <d v="2019-04-01T00:00:00"/>
    <n v="1"/>
    <s v="0-1 día"/>
    <n v="0"/>
    <n v="0"/>
    <n v="0"/>
    <n v="943.80000000000007"/>
  </r>
  <r>
    <s v="ABR-19"/>
    <n v="1"/>
    <s v="2016951"/>
    <s v="SR MANTENIMIENTO CORRECTIVO"/>
    <s v="4395"/>
    <s v="29/03/2019 10:20"/>
    <s v="0BG2949312"/>
    <s v="100038"/>
    <s v="PITSS"/>
    <s v="ASP"/>
    <x v="7"/>
    <s v="BLV ISIDRO FABELA SUR 600"/>
    <s v="TOLUCA-MEX"/>
    <n v="0"/>
    <s v="INTERIOR"/>
    <n v="36"/>
    <s v="Entre 31 y 60"/>
    <s v="Light Production Digital Business"/>
    <s v="Entry Production"/>
    <s v="Ciudad principal"/>
    <s v="3-Entre 31 y 60"/>
    <n v="1.1000000000000001"/>
    <n v="1730.3000000000004"/>
    <n v="1"/>
    <n v="1.42"/>
    <n v="4"/>
    <n v="0.35499999999999998"/>
    <n v="0"/>
    <n v="0"/>
    <d v="2019-04-01T00:00:00"/>
    <d v="2019-04-02T00:00:00"/>
    <n v="1"/>
    <s v="0-1 día"/>
    <n v="0"/>
    <n v="0"/>
    <n v="0"/>
    <n v="1730.3000000000004"/>
  </r>
  <r>
    <s v="ABR-19"/>
    <n v="1"/>
    <s v="2016665"/>
    <s v="SR MANTENIMIENTO CORRECTIVO"/>
    <s v="5866"/>
    <s v="28/03/2019 17:42"/>
    <s v="0EX9293515"/>
    <s v="800183"/>
    <s v="PITSS"/>
    <s v="ASP"/>
    <x v="14"/>
    <s v="AV PATRIA 1612 MZ 1 LT 30 Y 30A"/>
    <s v="ZAPOPAN-JAL"/>
    <n v="0"/>
    <s v="INTERIOR"/>
    <n v="8"/>
    <s v="Entre 7 y 15"/>
    <s v="Departmental Digital"/>
    <s v="A3"/>
    <s v="Ciudad principal"/>
    <s v="2-Entre 7 y 15"/>
    <n v="0.6"/>
    <n v="819"/>
    <n v="1"/>
    <n v="0"/>
    <n v="5"/>
    <n v="0"/>
    <n v="0"/>
    <n v="0"/>
    <d v="2019-04-01T00:00:00"/>
    <d v="2019-04-02T00:00:00"/>
    <n v="1"/>
    <s v="0-1 día"/>
    <n v="0"/>
    <n v="0"/>
    <n v="0"/>
    <n v="819"/>
  </r>
  <r>
    <s v="ABR-19"/>
    <n v="1"/>
    <s v="2018187"/>
    <s v="SR MANTENIMIENTO CORRECTIVO"/>
    <s v="5869"/>
    <s v="01/04/2019 12:59"/>
    <s v="0EX7387236"/>
    <s v="500155"/>
    <s v="PITSS"/>
    <s v="ASP"/>
    <x v="30"/>
    <s v="CALLE DE LOS CEDROS 1681"/>
    <s v="Ciudad Juarez-CHIH"/>
    <n v="0"/>
    <s v="INTERIOR"/>
    <n v="10"/>
    <s v="Entre 7 y 15"/>
    <s v="Departmental Digital"/>
    <s v="A3"/>
    <s v="Ciudad principal"/>
    <s v="2-Entre 7 y 15"/>
    <n v="0.6"/>
    <n v="819"/>
    <n v="1"/>
    <n v="2.35"/>
    <n v="5"/>
    <n v="0.47000000000000003"/>
    <n v="0"/>
    <n v="0"/>
    <d v="2019-04-01T00:00:00"/>
    <d v="2019-04-02T00:00:00"/>
    <n v="1"/>
    <s v="0-1 día"/>
    <n v="0"/>
    <n v="0"/>
    <n v="0"/>
    <n v="819"/>
  </r>
  <r>
    <s v="ABR-19"/>
    <n v="1"/>
    <s v="2018257"/>
    <s v="SR MANTENIMIENTO CORRECTIVO"/>
    <s v="3346"/>
    <s v="01/04/2019 14:19"/>
    <s v="03BT802413"/>
    <s v="500080"/>
    <s v="PITSS"/>
    <s v="ASP"/>
    <x v="10"/>
    <s v="AV DE LAS INDUSTRIAS No 5907"/>
    <s v="Chihuahua-CHIH"/>
    <n v="0"/>
    <s v="INTERIOR"/>
    <n v="210"/>
    <s v="&gt;60"/>
    <s v="A4 Mono MFPs"/>
    <s v="A4"/>
    <s v="Ciudad principal"/>
    <s v="1-&gt;60"/>
    <n v="1.05"/>
    <n v="750.75000000000011"/>
    <n v="1"/>
    <n v="0"/>
    <n v="5"/>
    <n v="0"/>
    <n v="0"/>
    <n v="0"/>
    <d v="2019-04-01T00:00:00"/>
    <d v="2019-04-02T00:00:00"/>
    <n v="1"/>
    <s v="0-1 día"/>
    <n v="0"/>
    <n v="0"/>
    <n v="0"/>
    <n v="750.75000000000011"/>
  </r>
  <r>
    <s v="ABR-19"/>
    <n v="1"/>
    <s v="2016403"/>
    <s v="SR MANTENIMIENTO CORRECTIVO"/>
    <s v="4395"/>
    <s v="28/03/2019 11:11"/>
    <s v="0BG2946750"/>
    <s v="500157"/>
    <s v="PITSS"/>
    <s v="ASP"/>
    <x v="7"/>
    <s v="AV  ADOLFO LOPEZ MATEOS NUM 2058"/>
    <s v="Ciudad Juarez-CHIH"/>
    <n v="0"/>
    <s v="INTERIOR"/>
    <n v="3"/>
    <s v="&lt;=3"/>
    <s v="Light Production Digital Business"/>
    <s v="Entry Production"/>
    <s v="Ciudad principal"/>
    <s v="3-&lt;=3"/>
    <n v="0"/>
    <n v="0"/>
    <n v="1"/>
    <n v="2.3199999999999998"/>
    <n v="4"/>
    <n v="0.57999999999999996"/>
    <n v="0"/>
    <n v="0"/>
    <d v="2019-04-01T00:00:00"/>
    <d v="2019-04-02T00:00:00"/>
    <n v="1"/>
    <s v="0-1 día"/>
    <n v="0"/>
    <n v="0"/>
    <n v="0"/>
    <n v="0"/>
  </r>
  <r>
    <s v="ABR-19"/>
    <n v="1"/>
    <s v="2018233"/>
    <s v="SR MANTENIMIENTO CORRECTIVO"/>
    <s v="8075"/>
    <s v="01/04/2019 13:38"/>
    <s v="03AG880377"/>
    <s v="800146"/>
    <s v="PITSS"/>
    <s v="ASP"/>
    <x v="14"/>
    <s v="BLVD ADOLFO LOPEZ MATEOS 2540"/>
    <s v="LEON-GTO"/>
    <n v="0"/>
    <s v="INTERIOR"/>
    <n v="11"/>
    <s v="Entre 7 y 15"/>
    <s v="Departmental Digital"/>
    <s v="A3"/>
    <s v="Ciudad principal"/>
    <s v="2-Entre 7 y 15"/>
    <n v="0.6"/>
    <n v="819"/>
    <n v="1"/>
    <n v="1.29"/>
    <n v="5"/>
    <n v="0.25800000000000001"/>
    <n v="0"/>
    <n v="0"/>
    <d v="2019-04-01T00:00:00"/>
    <d v="2019-04-02T00:00:00"/>
    <n v="1"/>
    <s v="0-1 día"/>
    <n v="0"/>
    <n v="0"/>
    <n v="0"/>
    <n v="819"/>
  </r>
  <r>
    <s v="ABR-19"/>
    <n v="1"/>
    <s v="2017961"/>
    <s v="SR MANTENIMIENTO CORRECTIVO"/>
    <s v="4002"/>
    <s v="01/04/2019 10:01"/>
    <s v="09HB332981"/>
    <s v="500028"/>
    <s v="PITSS"/>
    <s v="ASP"/>
    <x v="31"/>
    <s v="AV JUAREZ No 1102 PISO 40"/>
    <s v="MONTERREY-NL"/>
    <n v="0"/>
    <s v="INTERIOR"/>
    <n v="2678"/>
    <s v="&gt;60"/>
    <s v="A4 Mono MFPs"/>
    <s v="A4"/>
    <s v="Ciudad principal"/>
    <s v="1-&gt;60"/>
    <n v="1.05"/>
    <n v="750.75000000000011"/>
    <n v="1"/>
    <n v="3.31"/>
    <n v="5"/>
    <n v="0.66200000000000003"/>
    <n v="0"/>
    <n v="0"/>
    <d v="2019-04-01T00:00:00"/>
    <d v="2019-04-02T00:00:00"/>
    <n v="1"/>
    <s v="0-1 día"/>
    <n v="0"/>
    <n v="0"/>
    <n v="0"/>
    <n v="750.75000000000011"/>
  </r>
  <r>
    <s v="ABR-19"/>
    <n v="1"/>
    <s v="2017943"/>
    <s v="SR MANTENIMIENTO CORRECTIVO"/>
    <s v="8572"/>
    <s v="01/04/2019 09:45"/>
    <s v="0XFN041542"/>
    <s v="500163"/>
    <s v="PITSS"/>
    <s v="ASP"/>
    <x v="32"/>
    <s v="TRANSFORMACION LT 3B MZ N SECCION II"/>
    <s v="Ciudad Victoria-TAM"/>
    <n v="0"/>
    <s v="INTERIOR"/>
    <n v="20"/>
    <s v="Entre 16 y 30"/>
    <s v="Color Solid Ink Printers"/>
    <s v="A4"/>
    <s v="Ciudad principal"/>
    <s v="1-Entre 16 y 30"/>
    <n v="0.6"/>
    <n v="429.00000000000006"/>
    <n v="1"/>
    <n v="5.08"/>
    <n v="5"/>
    <n v="1.016"/>
    <n v="4.0000000000000036E-3"/>
    <n v="-2.860000000000003"/>
    <d v="2019-04-01T00:00:00"/>
    <d v="2019-04-02T00:00:00"/>
    <n v="1"/>
    <s v="0-1 día"/>
    <n v="0"/>
    <n v="0"/>
    <n v="0"/>
    <n v="426.14000000000004"/>
  </r>
  <r>
    <s v="ABR-19"/>
    <n v="1"/>
    <s v="2018297"/>
    <s v="SR MANTENIMIENTO CORRECTIVO"/>
    <s v="8045"/>
    <s v="01/04/2019 15:19"/>
    <s v="0Y4X847064"/>
    <s v="800196"/>
    <s v="PITSS"/>
    <s v="ASP"/>
    <x v="4"/>
    <s v="CARR SAN ISIDRO MAZATEPEC No 7000"/>
    <s v="Tlajomulco De Zu&amp;Iga"/>
    <n v="1"/>
    <s v="INTERIOR"/>
    <n v="195"/>
    <s v="&gt;60"/>
    <s v="Office Digital"/>
    <s v="A3"/>
    <s v="Ciudad principal"/>
    <s v="2-&gt;60"/>
    <n v="1.1000000000000001"/>
    <n v="0"/>
    <n v="1"/>
    <n v="1.65"/>
    <n v="5"/>
    <n v="0.32999999999999996"/>
    <n v="0"/>
    <n v="0"/>
    <d v="2019-04-01T00:00:00"/>
    <d v="2019-04-02T00:00:00"/>
    <n v="1"/>
    <s v="0-1 día"/>
    <n v="0"/>
    <n v="0"/>
    <n v="0"/>
    <n v="0"/>
  </r>
  <r>
    <s v="ABR-19"/>
    <n v="1"/>
    <s v="2017941"/>
    <s v="SR MANTENIMIENTO CORRECTIVO"/>
    <s v="8572"/>
    <s v="01/04/2019 09:41"/>
    <s v="0XFN041395"/>
    <s v="500163"/>
    <s v="PITSS"/>
    <s v="ASP"/>
    <x v="32"/>
    <s v="TRANSFORMACION LT 3B MZ N SECCION II"/>
    <s v="Ciudad Victoria-TAM"/>
    <n v="0"/>
    <s v="INTERIOR"/>
    <n v="69"/>
    <s v="&gt;60"/>
    <s v="Color Solid Ink Printers"/>
    <s v="A4"/>
    <s v="Ciudad principal"/>
    <s v="1-&gt;60"/>
    <n v="1.05"/>
    <n v="750.75000000000011"/>
    <n v="1"/>
    <n v="7.49"/>
    <n v="5"/>
    <n v="1.498"/>
    <n v="0.1245"/>
    <n v="-89.017500000000013"/>
    <d v="2019-04-01T00:00:00"/>
    <d v="2019-04-02T00:00:00"/>
    <n v="1"/>
    <s v="0-1 día"/>
    <n v="0"/>
    <n v="0"/>
    <n v="0"/>
    <n v="661.73250000000007"/>
  </r>
  <r>
    <s v="ABR-19"/>
    <n v="1"/>
    <s v="2018363"/>
    <s v="SR MANTENIMIENTO CORRECTIVO"/>
    <s v="7855"/>
    <s v="01/04/2019 17:28"/>
    <s v="0MX4465075"/>
    <s v="800146"/>
    <s v="PITSS"/>
    <s v="ASP"/>
    <x v="7"/>
    <s v="BLV MANUEL J CLOUTHIER SN"/>
    <s v="LEON-GTO"/>
    <n v="0"/>
    <s v="INTERIOR"/>
    <n v="552"/>
    <s v="&gt;60"/>
    <s v="A3 Office Color Laser MFPs"/>
    <s v="A3"/>
    <s v="Ciudad principal"/>
    <s v="2-&gt;60"/>
    <n v="1.1000000000000001"/>
    <n v="1501.5000000000002"/>
    <n v="1"/>
    <n v="0.03"/>
    <n v="5"/>
    <n v="6.0000000000000001E-3"/>
    <n v="0"/>
    <n v="0"/>
    <d v="2019-04-02T00:00:00"/>
    <d v="2019-04-02T00:00:00"/>
    <n v="0"/>
    <s v="0-1 día"/>
    <n v="0"/>
    <n v="0"/>
    <n v="0"/>
    <n v="1501.5000000000002"/>
  </r>
  <r>
    <s v="ABR-19"/>
    <n v="1"/>
    <s v="2018285"/>
    <s v="SR MANTENIMIENTO CORRECTIVO"/>
    <s v="1844"/>
    <s v="01/04/2019 14:58"/>
    <s v="0UHA002004"/>
    <s v="800192"/>
    <s v="PITSS"/>
    <s v="ASP"/>
    <x v="33"/>
    <s v="AVENIDA PERIFERICO NORTE No 940"/>
    <s v="ZAPOPAN-JAL"/>
    <n v="0"/>
    <s v="INTERIOR"/>
    <n v="42"/>
    <s v="Entre 31 y 60"/>
    <s v="High End Cut Sheet"/>
    <s v="High Production"/>
    <s v="Ciudad principal"/>
    <s v="4-Entre 31 y 60"/>
    <n v="1.1499999999999999"/>
    <n v="2466.75"/>
    <n v="1"/>
    <n v="0.93"/>
    <n v="3"/>
    <n v="0.31"/>
    <n v="0"/>
    <n v="0"/>
    <d v="2019-04-02T00:00:00"/>
    <d v="2019-04-02T00:00:00"/>
    <n v="0"/>
    <s v="0-1 día"/>
    <n v="0"/>
    <n v="0"/>
    <n v="0"/>
    <n v="2466.75"/>
  </r>
  <r>
    <s v="ABR-19"/>
    <n v="1"/>
    <s v="2017569"/>
    <s v="SR MANTENIMIENTO CORRECTIVO"/>
    <s v="0070"/>
    <s v="31/03/2019 16:28"/>
    <s v="0E2B646560"/>
    <s v="500163"/>
    <s v="PITSS"/>
    <s v="ASP"/>
    <x v="7"/>
    <s v="BLVD TAMAULIPAS NORTE No 2388"/>
    <s v="Ciudad Victoria-TAM"/>
    <n v="0"/>
    <s v="INTERIOR"/>
    <n v="46"/>
    <s v="Entre 31 y 60"/>
    <s v="Entry Production Color Low/Mid"/>
    <s v="Entry Production"/>
    <s v="Ciudad principal"/>
    <s v="3-Entre 31 y 60"/>
    <n v="1.1000000000000001"/>
    <n v="1730.3000000000004"/>
    <n v="1"/>
    <n v="2.83"/>
    <n v="4"/>
    <n v="0.70750000000000002"/>
    <n v="0"/>
    <n v="0"/>
    <d v="2019-04-01T00:00:00"/>
    <d v="2019-04-02T00:00:00"/>
    <n v="1"/>
    <s v="0-1 día"/>
    <n v="0"/>
    <n v="0"/>
    <n v="0"/>
    <n v="1730.3000000000004"/>
  </r>
  <r>
    <s v="ABR-19"/>
    <n v="1"/>
    <s v="2018335"/>
    <s v="SR MANTENIMIENTO CORRECTIVO"/>
    <s v="3335"/>
    <s v="01/04/2019 16:39"/>
    <s v="5BT705040"/>
    <s v="500036"/>
    <s v="PITSS"/>
    <s v="ASP"/>
    <x v="34"/>
    <s v="INSURGENTES No 2500 L613"/>
    <s v="MONTERREY-NL"/>
    <n v="0"/>
    <s v="INTERIOR"/>
    <n v="2678"/>
    <s v="&gt;60"/>
    <s v="A4 Mono MFPs"/>
    <s v="A4"/>
    <s v="Ciudad principal"/>
    <s v="1-&gt;60"/>
    <n v="1.05"/>
    <n v="750.75000000000011"/>
    <n v="1"/>
    <n v="1.6"/>
    <n v="5"/>
    <n v="0.32"/>
    <n v="0"/>
    <n v="0"/>
    <d v="2019-04-02T00:00:00"/>
    <d v="2019-04-02T00:00:00"/>
    <n v="0"/>
    <s v="0-1 día"/>
    <n v="0"/>
    <n v="0"/>
    <n v="0"/>
    <n v="750.75000000000011"/>
  </r>
  <r>
    <s v="ABR-19"/>
    <n v="1"/>
    <s v="2014561"/>
    <s v="SR MANTENIMIENTO CORRECTIVO"/>
    <s v="5866"/>
    <s v="25/03/2019 11:20"/>
    <s v="0EX9299901"/>
    <s v="500035"/>
    <s v="PITSS"/>
    <s v="ASP"/>
    <x v="7"/>
    <s v="AV HIDALGO No 5309"/>
    <s v="Tampico-TAM"/>
    <n v="0"/>
    <s v="INTERIOR"/>
    <n v="348"/>
    <s v="&gt;60"/>
    <s v="Departmental Digital"/>
    <s v="A3"/>
    <s v="Ciudad principal"/>
    <s v="2-&gt;60"/>
    <n v="1.1000000000000001"/>
    <n v="1501.5000000000002"/>
    <n v="1"/>
    <n v="5.17"/>
    <n v="5"/>
    <n v="1.034"/>
    <n v="8.5000000000000075E-3"/>
    <n v="-11.60250000000001"/>
    <d v="2019-04-01T00:00:00"/>
    <d v="2019-04-02T00:00:00"/>
    <n v="1"/>
    <s v="0-1 día"/>
    <n v="0"/>
    <n v="0"/>
    <n v="0"/>
    <n v="1489.8975000000003"/>
  </r>
  <r>
    <s v="ABR-19"/>
    <n v="1"/>
    <s v="2018389"/>
    <s v="SR MANTENIMIENTO CORRECTIVO"/>
    <s v="8680"/>
    <s v="01/04/2019 18:48"/>
    <s v="0B2R088357"/>
    <s v="800185"/>
    <s v="PITSS"/>
    <s v="ASP"/>
    <x v="35"/>
    <s v="GABINO BARREDA No 267 B"/>
    <s v="Colima-COL"/>
    <n v="1"/>
    <s v="INTERIOR"/>
    <n v="21"/>
    <s v="Entre 16 y 30"/>
    <s v="Entry Production Color Low/Mid"/>
    <s v="Entry Production"/>
    <s v="Ciudad principal"/>
    <s v="3-Entre 16 y 30"/>
    <n v="1.05"/>
    <n v="0"/>
    <n v="1"/>
    <n v="0.62"/>
    <n v="4"/>
    <n v="0.155"/>
    <n v="0"/>
    <n v="0"/>
    <d v="2019-04-02T00:00:00"/>
    <d v="2019-04-02T00:00:00"/>
    <n v="0"/>
    <s v="0-1 día"/>
    <n v="0"/>
    <n v="0"/>
    <n v="0"/>
    <n v="0"/>
  </r>
  <r>
    <s v="ABR-19"/>
    <n v="1"/>
    <s v="2018675"/>
    <s v="SR MANTENIMIENTO CORRECTIVO"/>
    <s v="5866"/>
    <s v="02/04/2019 08:55"/>
    <s v="0EX9664460"/>
    <s v="100037"/>
    <s v="PITSS"/>
    <s v="ASP"/>
    <x v="14"/>
    <s v="LEONA VICARIO No 629"/>
    <s v="Metepec-MEX"/>
    <n v="0"/>
    <s v="INTERIOR"/>
    <n v="18"/>
    <s v="Entre 16 y 30"/>
    <s v="Departmental Digital"/>
    <s v="A3"/>
    <s v="Ciudad principal"/>
    <s v="2-Entre 16 y 30"/>
    <n v="0.8"/>
    <n v="1092"/>
    <n v="1"/>
    <n v="1.36"/>
    <n v="5"/>
    <n v="0.27200000000000002"/>
    <n v="0"/>
    <n v="0"/>
    <d v="2019-04-02T00:00:00"/>
    <d v="2019-04-02T00:00:00"/>
    <n v="0"/>
    <s v="0-1 día"/>
    <n v="0"/>
    <n v="0"/>
    <n v="0"/>
    <n v="1092"/>
  </r>
  <r>
    <s v="ABR-19"/>
    <n v="1"/>
    <s v="2015131"/>
    <s v="SR MANTENIMIENTO CORRECTIVO"/>
    <s v="4395"/>
    <s v="26/03/2019 10:13"/>
    <s v="0BG2946876"/>
    <s v="800147"/>
    <s v="PITSS"/>
    <s v="ASP"/>
    <x v="7"/>
    <s v="BLV JUAN ALONSO DE TORRES 1315-3"/>
    <s v="LEON-GTO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1.01"/>
    <n v="4"/>
    <n v="0.2525"/>
    <n v="0"/>
    <n v="0"/>
    <d v="2019-04-02T00:00:00"/>
    <d v="2019-04-02T00:00:00"/>
    <n v="0"/>
    <s v="0-1 día"/>
    <n v="0"/>
    <n v="0"/>
    <n v="0"/>
    <n v="1258.4000000000003"/>
  </r>
  <r>
    <s v="ABR-19"/>
    <n v="1"/>
    <s v="2016607"/>
    <s v="SR MANTENIMIENTO CORRECTIVO"/>
    <s v="8075"/>
    <s v="28/03/2019 15:37"/>
    <s v="03AG880144"/>
    <s v="500028"/>
    <s v="PITSS"/>
    <s v="ASP"/>
    <x v="14"/>
    <s v="AV GOMEZ MORIN No 924 LOTE 7"/>
    <s v="San Pedro Garza Garc"/>
    <n v="0"/>
    <s v="INTERIOR"/>
    <n v="7"/>
    <s v="Entre 7 y 15"/>
    <s v="Departmental Digital"/>
    <s v="A3"/>
    <s v="Ciudad principal"/>
    <s v="2-Entre 7 y 15"/>
    <n v="0.6"/>
    <n v="819"/>
    <n v="1"/>
    <n v="0.38"/>
    <n v="5"/>
    <n v="7.5999999999999998E-2"/>
    <n v="0"/>
    <n v="0"/>
    <d v="2019-04-02T00:00:00"/>
    <d v="2019-04-02T00:00:00"/>
    <n v="0"/>
    <s v="0-1 día"/>
    <n v="0"/>
    <n v="0"/>
    <n v="0"/>
    <n v="819"/>
  </r>
  <r>
    <s v="ABR-19"/>
    <n v="1"/>
    <s v="2016867"/>
    <s v="SR MANTENIMIENTO CORRECTIVO"/>
    <s v="1251"/>
    <s v="29/03/2019 09:15"/>
    <s v="0VGW624391"/>
    <s v="500161"/>
    <s v="PITSS"/>
    <s v="ASP"/>
    <x v="22"/>
    <s v="CALLE 15 NUM 105"/>
    <s v="Chihuahua-CHIH"/>
    <n v="0"/>
    <s v="INTERIOR"/>
    <n v="15"/>
    <s v="Entre 7 y 15"/>
    <s v="Entry Production Color Low/Mid"/>
    <s v="Entry Production"/>
    <s v="Ciudad principal"/>
    <s v="3-Entre 7 y 15"/>
    <n v="0.8"/>
    <n v="1258.4000000000003"/>
    <n v="1"/>
    <n v="1.75"/>
    <n v="4"/>
    <n v="0.4375"/>
    <n v="0"/>
    <n v="0"/>
    <d v="2019-04-02T00:00:00"/>
    <d v="2019-04-02T00:00:00"/>
    <n v="0"/>
    <s v="0-1 día"/>
    <n v="0"/>
    <n v="0"/>
    <n v="0"/>
    <n v="1258.4000000000003"/>
  </r>
  <r>
    <s v="ABR-19"/>
    <n v="1"/>
    <s v="2017031"/>
    <s v="SR MANTENIMIENTO CORRECTIVO"/>
    <s v="5866"/>
    <s v="29/03/2019 11:59"/>
    <s v="0EX9293200"/>
    <s v="800197"/>
    <s v="PITSS"/>
    <s v="ASP"/>
    <x v="14"/>
    <s v="AV SALVADOR NAVA MARTINEZ 3115"/>
    <s v="San Luis Potosi-SLP"/>
    <n v="0"/>
    <s v="INTERIOR"/>
    <n v="29"/>
    <s v="Entre 16 y 30"/>
    <s v="Departmental Digital"/>
    <s v="A3"/>
    <s v="Ciudad principal"/>
    <s v="2-Entre 16 y 30"/>
    <n v="0.8"/>
    <n v="1092"/>
    <n v="1"/>
    <n v="1.52"/>
    <n v="5"/>
    <n v="0.30399999999999999"/>
    <n v="0"/>
    <n v="0"/>
    <d v="2019-04-02T00:00:00"/>
    <d v="2019-04-02T00:00:00"/>
    <n v="0"/>
    <s v="0-1 día"/>
    <n v="0"/>
    <n v="0"/>
    <n v="0"/>
    <n v="1092"/>
  </r>
  <r>
    <s v="ABR-19"/>
    <n v="1"/>
    <s v="2018731"/>
    <s v="SR MANTENIMIENTO CORRECTIVO"/>
    <s v="3658"/>
    <s v="02/04/2019 09:53"/>
    <s v="0C4X013235"/>
    <s v="500066"/>
    <s v="PITSS"/>
    <s v="ASP"/>
    <x v="36"/>
    <s v="CAMINO A HUINALA 135 Y 135 B"/>
    <s v="Apodaca-NL"/>
    <n v="0"/>
    <s v="INTERIOR"/>
    <n v="76"/>
    <s v="&gt;60"/>
    <s v="A4 Mono MFPs"/>
    <s v="A4"/>
    <s v="Otras"/>
    <s v="1-&gt;60"/>
    <n v="1.05"/>
    <n v="750.75000000000011"/>
    <n v="1"/>
    <n v="1.17"/>
    <n v="9"/>
    <n v="0.13"/>
    <n v="0"/>
    <n v="0"/>
    <d v="2019-04-02T00:00:00"/>
    <d v="2019-04-02T00:00:00"/>
    <n v="0"/>
    <s v="0-1 día"/>
    <n v="0"/>
    <n v="0"/>
    <n v="0"/>
    <n v="750.75000000000011"/>
  </r>
  <r>
    <s v="ABR-19"/>
    <n v="1"/>
    <s v="2018611"/>
    <s v="SR MANTENIMIENTO CORRECTIVO"/>
    <s v="3658"/>
    <s v="02/04/2019 07:05"/>
    <s v="0C4X012642"/>
    <s v="800188"/>
    <s v="PITSS"/>
    <s v="ASP"/>
    <x v="2"/>
    <s v="AV NORTE ORIENTE 200 LOC 290"/>
    <s v="CELAYA-GTO"/>
    <n v="0"/>
    <s v="INTERIOR"/>
    <n v="2679"/>
    <s v="&gt;60"/>
    <s v="A4 Mono MFPs"/>
    <s v="A4"/>
    <s v="Ciudad principal"/>
    <s v="1-&gt;60"/>
    <n v="1.05"/>
    <n v="750.75000000000011"/>
    <n v="1"/>
    <n v="2.5"/>
    <n v="5"/>
    <n v="0.5"/>
    <n v="0"/>
    <n v="0"/>
    <d v="2019-04-02T00:00:00"/>
    <d v="2019-04-02T00:00:00"/>
    <n v="0"/>
    <s v="0-1 día"/>
    <n v="0"/>
    <n v="0"/>
    <n v="0"/>
    <n v="750.75000000000011"/>
  </r>
  <r>
    <s v="ABR-19"/>
    <n v="1"/>
    <s v="2012997"/>
    <s v="SR INSTALACION DE EQUIPO"/>
    <s v="4002"/>
    <s v="21/03/2019 13:39"/>
    <s v="9HB914002"/>
    <s v="500161"/>
    <s v="PITSS"/>
    <s v="ASP"/>
    <x v="27"/>
    <s v="ALEJANDRO DUMAS 1326"/>
    <s v="Chihuahua-CHIH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1T00:00:00"/>
    <d v="2019-04-02T00:00:00"/>
    <n v="8"/>
    <s v="6-10 días"/>
    <n v="0"/>
    <n v="0"/>
    <n v="0"/>
    <n v="1072.5000000000002"/>
  </r>
  <r>
    <s v="ABR-19"/>
    <n v="1"/>
    <s v="2018391"/>
    <s v="SR MANTENIMIENTO CORRECTIVO"/>
    <s v="8075"/>
    <s v="01/04/2019 19:45"/>
    <s v="03AG879712"/>
    <s v="800192"/>
    <s v="PITSS"/>
    <s v="ASP"/>
    <x v="14"/>
    <s v="AV PATRIA 1612 MZ 1 LT 30 Y 30A"/>
    <s v="ZAPOPAN-JAL"/>
    <n v="0"/>
    <s v="INTERIOR"/>
    <n v="77"/>
    <s v="&gt;60"/>
    <s v="Departmental Digital"/>
    <s v="A3"/>
    <s v="Ciudad principal"/>
    <s v="2-&gt;60"/>
    <n v="1.1000000000000001"/>
    <n v="1501.5000000000002"/>
    <n v="1"/>
    <n v="1.87"/>
    <n v="5"/>
    <n v="0.374"/>
    <n v="0"/>
    <n v="0"/>
    <d v="2019-04-02T00:00:00"/>
    <d v="2019-04-02T00:00:00"/>
    <n v="0"/>
    <s v="0-1 día"/>
    <n v="0"/>
    <n v="0"/>
    <n v="0"/>
    <n v="1501.5000000000002"/>
  </r>
  <r>
    <s v="ABR-19"/>
    <n v="1"/>
    <s v="2018373"/>
    <s v="SR MANTENIMIENTO CORRECTIVO"/>
    <s v="4395"/>
    <s v="01/04/2019 17:42"/>
    <s v="0BG2948894"/>
    <s v="800147"/>
    <s v="PITSS"/>
    <s v="ASP"/>
    <x v="7"/>
    <s v="BLV MANUEL J CLOUTHIER SN"/>
    <s v="LEON-GTO"/>
    <n v="0"/>
    <s v="INTERIOR"/>
    <n v="20"/>
    <s v="Entre 16 y 30"/>
    <s v="Light Production Digital Business"/>
    <s v="Entry Production"/>
    <s v="Ciudad principal"/>
    <s v="3-Entre 16 y 30"/>
    <n v="1.05"/>
    <n v="1651.6500000000003"/>
    <n v="1"/>
    <n v="1.33"/>
    <n v="4"/>
    <n v="0.33250000000000002"/>
    <n v="0"/>
    <n v="0"/>
    <d v="2019-04-02T00:00:00"/>
    <d v="2019-04-02T00:00:00"/>
    <n v="0"/>
    <s v="0-1 día"/>
    <n v="0"/>
    <n v="0"/>
    <n v="0"/>
    <n v="1651.6500000000003"/>
  </r>
  <r>
    <s v="ABR-19"/>
    <n v="1"/>
    <s v="2018851"/>
    <s v="SR MANTENIMIENTO CORRECTIVO"/>
    <s v="5774"/>
    <s v="02/04/2019 11:55"/>
    <s v="0XEL562732"/>
    <s v="800074"/>
    <s v="PITSS"/>
    <s v="ASP"/>
    <x v="7"/>
    <s v="AV LAS PALMAS 1559 LOC SA-01"/>
    <s v="LAZARO CARDENAS-MICH"/>
    <n v="0"/>
    <s v="INTERIOR"/>
    <n v="20"/>
    <s v="Entre 16 y 30"/>
    <s v="Departmental Digital"/>
    <s v="A3"/>
    <s v="Otras"/>
    <s v="2-Entre 16 y 30"/>
    <n v="0.8"/>
    <n v="1092"/>
    <n v="1"/>
    <n v="1.83"/>
    <n v="9"/>
    <n v="0.20333333333333334"/>
    <n v="0"/>
    <n v="0"/>
    <d v="2019-04-02T00:00:00"/>
    <d v="2019-04-02T00:00:00"/>
    <n v="0"/>
    <s v="0-1 día"/>
    <n v="0"/>
    <n v="0"/>
    <n v="0"/>
    <n v="1092"/>
  </r>
  <r>
    <s v="ABR-19"/>
    <n v="1"/>
    <s v="2018773"/>
    <s v="SR MANTENIMIENTO CORRECTIVO"/>
    <s v="5326"/>
    <s v="02/04/2019 10:57"/>
    <s v="0AE9560627"/>
    <s v="500157"/>
    <s v="PITSS"/>
    <s v="ASP"/>
    <x v="37"/>
    <s v="AV EJE VIAL JUAN GABRIEL No 2245"/>
    <s v="Ciudad Juarez-CHIH"/>
    <n v="0"/>
    <s v="INTERIOR"/>
    <n v="253"/>
    <s v="&gt;60"/>
    <s v="Office Digital"/>
    <s v="A3"/>
    <s v="Ciudad principal"/>
    <s v="2-&gt;60"/>
    <n v="1.1000000000000001"/>
    <n v="1501.5000000000002"/>
    <n v="1"/>
    <n v="2.0499999999999998"/>
    <n v="5"/>
    <n v="0.41"/>
    <n v="0"/>
    <n v="0"/>
    <d v="2019-04-02T00:00:00"/>
    <d v="2019-04-02T00:00:00"/>
    <n v="0"/>
    <s v="0-1 día"/>
    <n v="0"/>
    <n v="0"/>
    <n v="0"/>
    <n v="1501.5000000000002"/>
  </r>
  <r>
    <s v="ABR-19"/>
    <n v="1"/>
    <s v="2017229"/>
    <s v="SR MANTENIMIENTO CORRECTIVO"/>
    <s v="3658"/>
    <s v="29/03/2019 17:49"/>
    <s v="0C4X006454"/>
    <s v="800072"/>
    <s v="PITSS"/>
    <s v="ASP"/>
    <x v="2"/>
    <s v="AV TONALTECAS NORTE No 375"/>
    <s v="Tonala-JAL"/>
    <n v="0"/>
    <s v="INTERIOR"/>
    <n v="754"/>
    <s v="&gt;60"/>
    <s v="A4 Mono MFPs"/>
    <s v="A4"/>
    <s v="Ciudad principal"/>
    <s v="1-&gt;60"/>
    <n v="1.05"/>
    <n v="750.75000000000011"/>
    <n v="1"/>
    <n v="0"/>
    <n v="5"/>
    <n v="0"/>
    <n v="0"/>
    <n v="0"/>
    <d v="2019-04-02T00:00:00"/>
    <d v="2019-04-02T00:00:00"/>
    <n v="0"/>
    <s v="0-1 día"/>
    <n v="0"/>
    <n v="0"/>
    <n v="0"/>
    <n v="750.75000000000011"/>
  </r>
  <r>
    <s v="ABR-19"/>
    <n v="1"/>
    <s v="2018861"/>
    <s v="SR MANTENIMIENTO CORRECTIVO"/>
    <s v="5757"/>
    <s v="02/04/2019 12:02"/>
    <s v="0Y2B003355"/>
    <s v="500161"/>
    <s v="PITSS"/>
    <s v="ASP"/>
    <x v="0"/>
    <s v="HEROICO COLEGIO MILITAR No 4700"/>
    <s v="Chihuahua-CHIH"/>
    <n v="0"/>
    <s v="INTERIOR"/>
    <n v="8"/>
    <s v="Entre 7 y 15"/>
    <s v="Departmental Digital"/>
    <s v="A3"/>
    <s v="Ciudad principal"/>
    <s v="2-Entre 7 y 15"/>
    <n v="0.6"/>
    <n v="819"/>
    <n v="1"/>
    <n v="0"/>
    <n v="5"/>
    <n v="0"/>
    <n v="0"/>
    <n v="0"/>
    <d v="2019-04-02T00:00:00"/>
    <d v="2019-04-02T00:00:00"/>
    <n v="0"/>
    <s v="0-1 día"/>
    <n v="0"/>
    <n v="0"/>
    <n v="0"/>
    <n v="819"/>
  </r>
  <r>
    <s v="ABR-19"/>
    <n v="1"/>
    <s v="2018867"/>
    <s v="SR MANTENIMIENTO CORRECTIVO"/>
    <s v="0070"/>
    <s v="02/04/2019 12:10"/>
    <s v="0E2B646602"/>
    <s v="500066"/>
    <s v="PITSS"/>
    <s v="ASP"/>
    <x v="7"/>
    <s v="ROMULO GARZA 410"/>
    <s v="SAN NICOLAS DE LOS G"/>
    <n v="0"/>
    <s v="INTERIOR"/>
    <n v="14"/>
    <s v="Entre 7 y 15"/>
    <s v="Entry Production Color Low/Mid"/>
    <s v="Entry Production"/>
    <s v="Ciudad principal"/>
    <s v="3-Entre 7 y 15"/>
    <n v="0.8"/>
    <n v="1258.4000000000003"/>
    <n v="1"/>
    <n v="1.38"/>
    <n v="4"/>
    <n v="0.34499999999999997"/>
    <n v="0"/>
    <n v="0"/>
    <d v="2019-04-02T00:00:00"/>
    <d v="2019-04-02T00:00:00"/>
    <n v="0"/>
    <s v="0-1 día"/>
    <n v="0"/>
    <n v="0"/>
    <n v="0"/>
    <n v="1258.4000000000003"/>
  </r>
  <r>
    <s v="ABR-19"/>
    <n v="1"/>
    <s v="2009423"/>
    <s v="SR MANTENIMIENTO CORRECTIVO"/>
    <s v="1026"/>
    <s v="14/03/2019 15:35"/>
    <s v="AAQ100656"/>
    <s v="500066"/>
    <s v="PITSS"/>
    <s v="ASP"/>
    <x v="38"/>
    <s v="ANGEL MARTINEZ VILLAREAL No 433"/>
    <s v="Monterrey-NL"/>
    <n v="0"/>
    <s v="INTERIOR"/>
    <n v="2660"/>
    <s v="&gt;60"/>
    <s v="Office Digital"/>
    <s v="A3"/>
    <s v="Ciudad principal"/>
    <s v="2-&gt;60"/>
    <n v="1.1000000000000001"/>
    <n v="1501.5000000000002"/>
    <n v="1"/>
    <n v="2.42"/>
    <n v="5"/>
    <n v="0.48399999999999999"/>
    <n v="0"/>
    <n v="0"/>
    <d v="2019-04-02T00:00:00"/>
    <d v="2019-04-02T00:00:00"/>
    <n v="0"/>
    <s v="0-1 día"/>
    <n v="0"/>
    <n v="0"/>
    <n v="0"/>
    <n v="1501.5000000000002"/>
  </r>
  <r>
    <s v="ABR-19"/>
    <n v="1"/>
    <s v="2014509"/>
    <s v="SR MANTENIMIENTO CORRECTIVO"/>
    <s v="4395"/>
    <s v="25/03/2019 10:41"/>
    <s v="0BG2949298"/>
    <s v="100038"/>
    <s v="PITSS"/>
    <s v="ASP"/>
    <x v="7"/>
    <s v="BLV ISIDRO FABELA SUR 600"/>
    <s v="TOLUCA-MEX"/>
    <n v="0"/>
    <s v="INTERIOR"/>
    <n v="14"/>
    <s v="Entre 7 y 15"/>
    <s v="Light Production Digital Business"/>
    <s v="Entry Production"/>
    <s v="Ciudad principal"/>
    <s v="3-Entre 7 y 15"/>
    <n v="0.8"/>
    <n v="1258.4000000000003"/>
    <n v="1"/>
    <n v="3.32"/>
    <n v="4"/>
    <n v="0.83"/>
    <n v="0"/>
    <n v="0"/>
    <d v="2019-04-02T00:00:00"/>
    <d v="2019-04-02T00:00:00"/>
    <n v="0"/>
    <s v="0-1 día"/>
    <n v="0"/>
    <n v="0"/>
    <n v="0"/>
    <n v="1258.4000000000003"/>
  </r>
  <r>
    <s v="ABR-19"/>
    <n v="1"/>
    <s v="2018837"/>
    <s v="SR MANTENIMIENTO CORRECTIVO"/>
    <s v="8055"/>
    <s v="02/04/2019 11:37"/>
    <s v="0Y4X845171"/>
    <s v="500027"/>
    <s v="PITSS"/>
    <s v="ASP"/>
    <x v="39"/>
    <s v="CIRCUITO INTERIOR NORTE No 1820"/>
    <s v="Ciudad Juarez-CHIH"/>
    <n v="1"/>
    <s v="INTERIOR"/>
    <n v="28"/>
    <s v="Entre 16 y 30"/>
    <s v="Departmental Digital"/>
    <s v="A3"/>
    <s v="Ciudad principal"/>
    <s v="2-Entre 16 y 30"/>
    <n v="0.8"/>
    <n v="0"/>
    <n v="1"/>
    <n v="0.63"/>
    <n v="5"/>
    <n v="0.126"/>
    <n v="0"/>
    <n v="0"/>
    <d v="2019-04-02T00:00:00"/>
    <d v="2019-04-02T00:00:00"/>
    <n v="0"/>
    <s v="0-1 día"/>
    <n v="0"/>
    <n v="0"/>
    <n v="0"/>
    <n v="0"/>
  </r>
  <r>
    <s v="ABR-19"/>
    <n v="1"/>
    <s v="2018047"/>
    <s v="SR MANTENIMIENTO CORRECTIVO"/>
    <s v="5866"/>
    <s v="01/04/2019 10:50"/>
    <s v="0EX9664447"/>
    <s v="800072"/>
    <s v="PITSS"/>
    <s v="ASP"/>
    <x v="14"/>
    <s v="AV VALLE DE SAN ISIDRO 530"/>
    <s v="ZAPOPAN-JAL"/>
    <n v="0"/>
    <s v="INTERIOR"/>
    <n v="26"/>
    <s v="Entre 16 y 30"/>
    <s v="Departmental Digital"/>
    <s v="A3"/>
    <s v="Ciudad principal"/>
    <s v="2-Entre 16 y 30"/>
    <n v="0.8"/>
    <n v="1092"/>
    <n v="1"/>
    <n v="0.67"/>
    <n v="5"/>
    <n v="0.13400000000000001"/>
    <n v="0"/>
    <n v="0"/>
    <d v="2019-04-01T00:00:00"/>
    <d v="2019-04-02T00:00:00"/>
    <n v="1"/>
    <s v="0-1 día"/>
    <n v="0"/>
    <n v="0"/>
    <n v="0"/>
    <n v="1092"/>
  </r>
  <r>
    <s v="ABR-19"/>
    <n v="1"/>
    <s v="2018369"/>
    <s v="SR MANTENIMIENTO CORRECTIVO"/>
    <s v="0560"/>
    <s v="01/04/2019 17:34"/>
    <s v="0XPN393392"/>
    <s v="800146"/>
    <s v="PITSS"/>
    <s v="ASP"/>
    <x v="7"/>
    <s v="BLV MANUEL J CLOUTHIER SN"/>
    <s v="LEON-GTO"/>
    <n v="0"/>
    <s v="INTERIOR"/>
    <n v="96"/>
    <s v="&gt;60"/>
    <s v="Entry Production Color Low/Mid"/>
    <s v="Entry Production"/>
    <s v="Ciudad principal"/>
    <s v="3-&gt;60"/>
    <n v="1.1499999999999999"/>
    <n v="1808.95"/>
    <n v="1"/>
    <n v="1.25"/>
    <n v="4"/>
    <n v="0.3125"/>
    <n v="0"/>
    <n v="0"/>
    <d v="2019-04-02T00:00:00"/>
    <d v="2019-04-02T00:00:00"/>
    <n v="0"/>
    <s v="0-1 día"/>
    <n v="0"/>
    <n v="0"/>
    <n v="0"/>
    <n v="1808.95"/>
  </r>
  <r>
    <s v="ABR-19"/>
    <n v="1"/>
    <s v="2018643"/>
    <s v="SR MANTENIMIENTO CORRECTIVO"/>
    <s v="0070"/>
    <s v="02/04/2019 08:08"/>
    <s v="0E2B646616"/>
    <s v="800183"/>
    <s v="PITSS"/>
    <s v="ASP"/>
    <x v="7"/>
    <s v="AV ADOLFO LOPEZ MATEOS 1299"/>
    <s v="TLAJOMULCO DE ZU&amp;IGA"/>
    <n v="0"/>
    <s v="INTERIOR"/>
    <n v="126"/>
    <s v="&gt;60"/>
    <s v="Entry Production Color Low/Mid"/>
    <s v="Entry Production"/>
    <s v="Ciudad principal"/>
    <s v="3-&gt;60"/>
    <n v="1.1499999999999999"/>
    <n v="1808.95"/>
    <n v="1"/>
    <n v="2"/>
    <n v="4"/>
    <n v="0.5"/>
    <n v="0"/>
    <n v="0"/>
    <d v="2019-04-02T00:00:00"/>
    <d v="2019-04-02T00:00:00"/>
    <n v="0"/>
    <s v="0-1 día"/>
    <n v="0"/>
    <n v="0"/>
    <n v="0"/>
    <n v="1808.95"/>
  </r>
  <r>
    <s v="ABR-19"/>
    <n v="1"/>
    <s v="2018769"/>
    <s v="SR MANTENIMIENTO CORRECTIVO"/>
    <s v="5866"/>
    <s v="02/04/2019 10:54"/>
    <s v="0EX9664210"/>
    <s v="800027"/>
    <s v="PITSS"/>
    <s v="ASP"/>
    <x v="0"/>
    <s v="BLVD BOSQUES DE SANTA ANITA No 1260"/>
    <s v="Tlajomulco De Zu&amp;Iga"/>
    <n v="0"/>
    <s v="INTERIOR"/>
    <n v="22"/>
    <s v="Entre 16 y 30"/>
    <s v="Departmental Digital"/>
    <s v="A3"/>
    <s v="Ciudad principal"/>
    <s v="2-Entre 16 y 30"/>
    <n v="0.8"/>
    <n v="1092"/>
    <n v="1"/>
    <n v="3.02"/>
    <n v="5"/>
    <n v="0.60399999999999998"/>
    <n v="0"/>
    <n v="0"/>
    <d v="2019-04-02T00:00:00"/>
    <d v="2019-04-02T00:00:00"/>
    <n v="0"/>
    <s v="0-1 día"/>
    <n v="0"/>
    <n v="0"/>
    <n v="0"/>
    <n v="1092"/>
  </r>
  <r>
    <s v="ABR-19"/>
    <n v="1"/>
    <s v="2018269"/>
    <s v="SR MANTENIMIENTO CORRECTIVO"/>
    <s v="5868"/>
    <s v="01/04/2019 14:34"/>
    <s v="0EX9286123"/>
    <s v="500018"/>
    <s v="PITSS"/>
    <s v="ASP"/>
    <x v="40"/>
    <s v="GRAL MARIANO ARISTA 54 B 21"/>
    <s v="MIGUEL HIDALGO-CIUDA"/>
    <n v="0"/>
    <s v="INTERIOR"/>
    <n v="12"/>
    <s v="Entre 7 y 15"/>
    <s v="Departmental Digital"/>
    <s v="A3"/>
    <s v="Ciudad principal"/>
    <s v="2-Entre 7 y 15"/>
    <n v="0.6"/>
    <n v="819"/>
    <n v="1"/>
    <n v="0.68"/>
    <n v="5"/>
    <n v="0.13600000000000001"/>
    <n v="0"/>
    <n v="0"/>
    <d v="2019-04-02T00:00:00"/>
    <d v="2019-04-02T00:00:00"/>
    <n v="0"/>
    <s v="0-1 día"/>
    <n v="0"/>
    <n v="0"/>
    <n v="0"/>
    <n v="819"/>
  </r>
  <r>
    <s v="ABR-19"/>
    <n v="1"/>
    <s v="2018967"/>
    <s v="SR MANTENIMIENTO CORRECTIVO"/>
    <s v="4002"/>
    <s v="02/04/2019 15:01"/>
    <s v="9HB331815"/>
    <s v="100037"/>
    <s v="PITSS"/>
    <s v="ASP"/>
    <x v="41"/>
    <s v="PUERTO DE PALOS S/N"/>
    <s v="Toluca De Lerdo-ESTA"/>
    <n v="0"/>
    <s v="INTERIOR"/>
    <n v="4"/>
    <s v="Entre 3 y 6"/>
    <s v="A4 Mono MFPs"/>
    <s v="A4"/>
    <s v="Ciudad principal"/>
    <s v="1-Entre 3 y 6"/>
    <n v="0"/>
    <n v="0"/>
    <n v="1"/>
    <n v="0.63"/>
    <n v="5"/>
    <n v="0.126"/>
    <n v="0"/>
    <n v="0"/>
    <d v="2019-04-02T00:00:00"/>
    <d v="2019-04-02T00:00:00"/>
    <n v="0"/>
    <s v="0-1 día"/>
    <n v="0"/>
    <n v="0"/>
    <n v="0"/>
    <n v="0"/>
  </r>
  <r>
    <s v="ABR-19"/>
    <n v="1"/>
    <s v="2018761"/>
    <s v="SR MANTENIMIENTO CORRECTIVO"/>
    <s v="5867"/>
    <s v="02/04/2019 10:42"/>
    <s v="0EX7416648"/>
    <s v="500155"/>
    <s v="PITSS"/>
    <s v="ASP"/>
    <x v="30"/>
    <s v="AV PARQUE INDUSTRIAL JUAREZ 3328"/>
    <s v="CIUDAD JUAREZ-CHIH"/>
    <n v="0"/>
    <s v="INTERIOR"/>
    <n v="7"/>
    <s v="Entre 7 y 15"/>
    <s v="Office Digital"/>
    <s v="A3"/>
    <s v="Ciudad principal"/>
    <s v="2-Entre 7 y 15"/>
    <n v="0.6"/>
    <n v="819"/>
    <n v="1"/>
    <n v="0.8"/>
    <n v="5"/>
    <n v="0.16"/>
    <n v="0"/>
    <n v="0"/>
    <d v="2019-04-02T00:00:00"/>
    <d v="2019-04-02T00:00:00"/>
    <n v="0"/>
    <s v="0-1 día"/>
    <n v="0"/>
    <n v="0"/>
    <n v="0"/>
    <n v="819"/>
  </r>
  <r>
    <s v="ABR-19"/>
    <n v="1"/>
    <s v="2018853"/>
    <s v="SR MANTENIMIENTO CORRECTIVO"/>
    <s v="4005"/>
    <s v="02/04/2019 11:57"/>
    <s v="09HB335110"/>
    <s v="500156"/>
    <s v="PITSS"/>
    <s v="ASP"/>
    <x v="18"/>
    <s v="AV HERMANOS ESCOBAR No 7151 C"/>
    <s v="Ciudad Juarez-CHIH"/>
    <n v="0"/>
    <s v="INTERIOR"/>
    <n v="48"/>
    <s v="Entre 31 y 60"/>
    <s v="A4 Mono MFPs"/>
    <s v="A4"/>
    <s v="Ciudad principal"/>
    <s v="1-Entre 31 y 60"/>
    <n v="0.8"/>
    <n v="572.00000000000011"/>
    <n v="1"/>
    <n v="2.88"/>
    <n v="5"/>
    <n v="0.57599999999999996"/>
    <n v="0"/>
    <n v="0"/>
    <d v="2019-04-02T00:00:00"/>
    <d v="2019-04-02T00:00:00"/>
    <n v="0"/>
    <s v="0-1 día"/>
    <n v="0"/>
    <n v="0"/>
    <n v="0"/>
    <n v="572.00000000000011"/>
  </r>
  <r>
    <s v="ABR-19"/>
    <n v="1"/>
    <s v="2018979"/>
    <s v="SR MANTENIMIENTO CORRECTIVO"/>
    <s v="8075"/>
    <s v="02/04/2019 15:30"/>
    <s v="03AG880318"/>
    <s v="500028"/>
    <s v="PITSS"/>
    <s v="ASP"/>
    <x v="14"/>
    <s v="EUGENIO GARZA SADA 3525"/>
    <s v="Monterrey-NL"/>
    <n v="0"/>
    <s v="INTERIOR"/>
    <n v="22"/>
    <s v="Entre 16 y 30"/>
    <s v="Departmental Digital"/>
    <s v="A3"/>
    <s v="Ciudad principal"/>
    <s v="2-Entre 16 y 30"/>
    <n v="0.8"/>
    <n v="1092"/>
    <n v="1"/>
    <n v="0.5"/>
    <n v="5"/>
    <n v="0.1"/>
    <n v="0"/>
    <n v="0"/>
    <d v="2019-04-02T00:00:00"/>
    <d v="2019-04-02T00:00:00"/>
    <n v="0"/>
    <s v="0-1 día"/>
    <n v="0"/>
    <n v="0"/>
    <n v="0"/>
    <n v="1092"/>
  </r>
  <r>
    <s v="ABR-19"/>
    <n v="1"/>
    <s v="2018685"/>
    <s v="SR MANTENIMIENTO CORRECTIVO"/>
    <s v="8045"/>
    <s v="02/04/2019 09:07"/>
    <s v="0Y4X848740"/>
    <s v="000195"/>
    <s v="PITSS"/>
    <s v="ASP"/>
    <x v="11"/>
    <s v="AV MIGUEL ANGEL DE QUEVEDO NO 555"/>
    <s v="Coyoacan-CIUDAD DE M"/>
    <n v="1"/>
    <s v="METRO"/>
    <n v="12"/>
    <s v="Entre 7 y 15"/>
    <s v="Office Digital"/>
    <s v="A3"/>
    <s v="Ciudad principal"/>
    <s v="2-Entre 7 y 15"/>
    <n v="0.6"/>
    <n v="0"/>
    <n v="1"/>
    <n v="2.81"/>
    <n v="5"/>
    <n v="0.56200000000000006"/>
    <n v="0"/>
    <n v="0"/>
    <d v="2019-04-02T00:00:00"/>
    <d v="2019-04-02T00:00:00"/>
    <n v="0"/>
    <s v="0-1 día"/>
    <n v="0"/>
    <n v="0"/>
    <n v="0"/>
    <n v="0"/>
  </r>
  <r>
    <s v="ABR-19"/>
    <n v="1"/>
    <s v="2016023"/>
    <s v="SR MANTENIMIENTO CORRECTIVO"/>
    <s v="5866"/>
    <s v="27/03/2019 16:03"/>
    <s v="0EX9293999"/>
    <s v="800147"/>
    <s v="PITSS"/>
    <s v="ASP"/>
    <x v="7"/>
    <s v="CALLE 5 DE MAYO No 208-A"/>
    <s v="Leon-GTO"/>
    <n v="0"/>
    <s v="INTERIOR"/>
    <n v="15"/>
    <s v="Entre 7 y 15"/>
    <s v="Departmental Digital"/>
    <s v="A3"/>
    <s v="Ciudad principal"/>
    <s v="2-Entre 7 y 15"/>
    <n v="0.6"/>
    <n v="819"/>
    <n v="1"/>
    <n v="0.28000000000000003"/>
    <n v="5"/>
    <n v="5.6000000000000008E-2"/>
    <n v="0"/>
    <n v="0"/>
    <d v="2019-04-02T00:00:00"/>
    <d v="2019-04-03T00:00:00"/>
    <n v="1"/>
    <s v="0-1 día"/>
    <n v="0"/>
    <n v="0"/>
    <n v="0"/>
    <n v="819"/>
  </r>
  <r>
    <s v="ABR-19"/>
    <n v="1"/>
    <s v="2018933"/>
    <s v="SR MANTENIMIENTO CORRECTIVO"/>
    <s v="3658"/>
    <s v="02/04/2019 13:42"/>
    <s v="0C4X008113"/>
    <s v="800183"/>
    <s v="PITSS"/>
    <s v="ASP"/>
    <x v="2"/>
    <s v="AV REVOLUCION 1563"/>
    <s v="GUADALAJARA-JAL"/>
    <n v="0"/>
    <s v="INTERIOR"/>
    <n v="278"/>
    <s v="&gt;60"/>
    <s v="A4 Mono MFPs"/>
    <s v="A4"/>
    <s v="Ciudad principal"/>
    <s v="1-&gt;60"/>
    <n v="1.05"/>
    <n v="750.75000000000011"/>
    <n v="1"/>
    <n v="1.8"/>
    <n v="5"/>
    <n v="0.36"/>
    <n v="0"/>
    <n v="0"/>
    <d v="2019-04-02T00:00:00"/>
    <d v="2019-04-03T00:00:00"/>
    <n v="1"/>
    <s v="0-1 día"/>
    <n v="0"/>
    <n v="0"/>
    <n v="0"/>
    <n v="750.75000000000011"/>
  </r>
  <r>
    <s v="ABR-19"/>
    <n v="1"/>
    <s v="2016859"/>
    <s v="SR ASISTENCIA A CLIENTES"/>
    <s v="8680"/>
    <s v="29/03/2019 09:04"/>
    <s v="0B2R088255"/>
    <s v="800185"/>
    <s v="PITSS"/>
    <s v="ASP"/>
    <x v="42"/>
    <s v="BOULEVARD MIGUEL DE LA MADRID  KM 12.5"/>
    <s v="Colima-COL"/>
    <n v="1"/>
    <s v="INTERIOR"/>
    <s v="  "/>
    <s v="&gt;60"/>
    <s v="Entry Production Color Low/Mid"/>
    <s v="Entry Production"/>
    <s v="Ciudad principal"/>
    <s v="3-&gt;60"/>
    <n v="1"/>
    <n v="0"/>
    <n v="1"/>
    <n v="9.91"/>
    <n v="4"/>
    <n v="2.4775"/>
    <n v="0.36937500000000001"/>
    <n v="-581.02687500000013"/>
    <d v="2019-04-02T00:00:00"/>
    <d v="2019-04-03T00:00:00"/>
    <n v="1"/>
    <s v="0-1 día"/>
    <n v="0"/>
    <n v="0"/>
    <n v="0"/>
    <n v="-581.02687500000013"/>
  </r>
  <r>
    <s v="ABR-19"/>
    <n v="1"/>
    <s v="2019001"/>
    <s v="SR MANTENIMIENTO CORRECTIVO"/>
    <s v="0070"/>
    <s v="02/04/2019 15:42"/>
    <s v="0E2B658304"/>
    <s v="500028"/>
    <s v="PITSS"/>
    <s v="ASP"/>
    <x v="14"/>
    <s v="EUGENIO GARZA SADA 3525"/>
    <s v="Monterrey-NL"/>
    <n v="0"/>
    <s v="INTERIOR"/>
    <n v="8"/>
    <s v="Entre 7 y 15"/>
    <s v="Entry Production Color Low/Mid"/>
    <s v="Entry Production"/>
    <s v="Ciudad principal"/>
    <s v="3-Entre 7 y 15"/>
    <n v="0.8"/>
    <n v="1258.4000000000003"/>
    <n v="1"/>
    <n v="1.47"/>
    <n v="4"/>
    <n v="0.36749999999999999"/>
    <n v="0"/>
    <n v="0"/>
    <d v="2019-04-02T00:00:00"/>
    <d v="2019-04-03T00:00:00"/>
    <n v="1"/>
    <s v="0-1 día"/>
    <n v="0"/>
    <n v="0"/>
    <n v="0"/>
    <n v="1258.4000000000003"/>
  </r>
  <r>
    <s v="ABR-19"/>
    <n v="1"/>
    <s v="2018883"/>
    <s v="SR MANTENIMIENTO CORRECTIVO"/>
    <s v="4395"/>
    <s v="02/04/2019 12:54"/>
    <s v="0BG2941140"/>
    <s v="800146"/>
    <s v="PITSS"/>
    <s v="ASP"/>
    <x v="7"/>
    <s v="BLV MANUEL J CLOUTHIER SN"/>
    <s v="LEON-GTO"/>
    <n v="0"/>
    <s v="INTERIOR"/>
    <n v="21"/>
    <s v="Entre 16 y 30"/>
    <s v="Light Production Digital Business"/>
    <s v="Entry Production"/>
    <s v="Ciudad principal"/>
    <s v="3-Entre 16 y 30"/>
    <n v="1.05"/>
    <n v="1651.6500000000003"/>
    <n v="1"/>
    <n v="1.1000000000000001"/>
    <n v="4"/>
    <n v="0.27500000000000002"/>
    <n v="0"/>
    <n v="0"/>
    <d v="2019-04-02T00:00:00"/>
    <d v="2019-04-03T00:00:00"/>
    <n v="1"/>
    <s v="0-1 día"/>
    <n v="0"/>
    <n v="0"/>
    <n v="0"/>
    <n v="1651.6500000000003"/>
  </r>
  <r>
    <s v="ABR-19"/>
    <n v="1"/>
    <s v="2018097"/>
    <s v="SR MANTENIMIENTO CORRECTIVO"/>
    <s v="8055"/>
    <s v="01/04/2019 11:26"/>
    <s v="0Y4X830352"/>
    <s v="500018"/>
    <s v="PITSS"/>
    <s v="ASP"/>
    <x v="3"/>
    <s v="BLVD FRANCISCO PRIMO DE VERDAD No 3317"/>
    <s v="Durango-DGO"/>
    <n v="0"/>
    <s v="INTERIOR"/>
    <n v="32"/>
    <s v="Entre 31 y 60"/>
    <s v="Departmental Digital"/>
    <s v="A3"/>
    <s v="Ciudad principal"/>
    <s v="2-Entre 31 y 60"/>
    <n v="1.05"/>
    <n v="1433.25"/>
    <n v="1"/>
    <n v="0.82"/>
    <n v="5"/>
    <n v="0.16399999999999998"/>
    <n v="0"/>
    <n v="0"/>
    <d v="2019-04-02T00:00:00"/>
    <d v="2019-04-03T00:00:00"/>
    <n v="1"/>
    <s v="0-1 día"/>
    <n v="0"/>
    <n v="0"/>
    <n v="0"/>
    <n v="1433.25"/>
  </r>
  <r>
    <s v="ABR-19"/>
    <n v="1"/>
    <s v="2016247"/>
    <s v="SR MANTENIMIENTO CORRECTIVO"/>
    <s v="4002"/>
    <s v="28/03/2019 07:54"/>
    <s v="09HB326116"/>
    <s v="500094"/>
    <s v="PITSS"/>
    <s v="ASP"/>
    <x v="43"/>
    <s v="AV EJERCITO MEXICANO 801 LOC B 9"/>
    <s v="Tampico-TAM"/>
    <n v="0"/>
    <s v="INTERIOR"/>
    <n v="2674"/>
    <s v="&gt;60"/>
    <s v="A4 Mono MFPs"/>
    <s v="A4"/>
    <s v="Ciudad principal"/>
    <s v="1-&gt;60"/>
    <n v="1.05"/>
    <n v="750.75000000000011"/>
    <n v="1"/>
    <n v="9"/>
    <n v="5"/>
    <n v="1.8"/>
    <n v="0.2"/>
    <n v="-143.00000000000003"/>
    <d v="2019-04-02T00:00:00"/>
    <d v="2019-04-03T00:00:00"/>
    <n v="1"/>
    <s v="0-1 día"/>
    <n v="0"/>
    <n v="0"/>
    <n v="0"/>
    <n v="607.75000000000011"/>
  </r>
  <r>
    <s v="ABR-19"/>
    <n v="1"/>
    <s v="2018183"/>
    <s v="SR MANTENIMIENTO CORRECTIVO"/>
    <s v="3611"/>
    <s v="01/04/2019 12:50"/>
    <s v="0A4T036168"/>
    <s v="500155"/>
    <s v="PITSS"/>
    <s v="ASP"/>
    <x v="30"/>
    <s v="AV PARQUE INDUSTRIAL JUAREZ 3328"/>
    <s v="CIUDAD JUAREZ-CHIH"/>
    <n v="0"/>
    <s v="INTERIOR"/>
    <n v="423"/>
    <s v="&gt;60"/>
    <s v="Entry Mono Printers"/>
    <s v="A4"/>
    <s v="Ciudad principal"/>
    <s v="1-&gt;60"/>
    <n v="1.05"/>
    <n v="750.75000000000011"/>
    <n v="1"/>
    <n v="1"/>
    <n v="5"/>
    <n v="0.2"/>
    <n v="0"/>
    <n v="0"/>
    <d v="2019-04-03T00:00:00"/>
    <d v="2019-04-03T00:00:00"/>
    <n v="0"/>
    <s v="0-1 día"/>
    <n v="0"/>
    <n v="0"/>
    <n v="0"/>
    <n v="750.75000000000011"/>
  </r>
  <r>
    <s v="ABR-19"/>
    <n v="1"/>
    <s v="2018991"/>
    <s v="SR MANTENIMIENTO CORRECTIVO"/>
    <s v="4395"/>
    <s v="02/04/2019 15:34"/>
    <s v="0BG2947925"/>
    <s v="800147"/>
    <s v="PITSS"/>
    <s v="ASP"/>
    <x v="7"/>
    <s v="BLV A L MATEOS SN ESQ CHIMALPOPOC"/>
    <s v="LEON-GTO"/>
    <n v="0"/>
    <s v="INTERIOR"/>
    <n v="38"/>
    <s v="Entre 31 y 60"/>
    <s v="Light Production Digital Business"/>
    <s v="Entry Production"/>
    <s v="Ciudad principal"/>
    <s v="3-Entre 31 y 60"/>
    <n v="1.1000000000000001"/>
    <n v="1730.3000000000004"/>
    <n v="1"/>
    <n v="1.93"/>
    <n v="4"/>
    <n v="0.48249999999999998"/>
    <n v="0"/>
    <n v="0"/>
    <d v="2019-04-03T00:00:00"/>
    <d v="2019-04-03T00:00:00"/>
    <n v="0"/>
    <s v="0-1 día"/>
    <n v="0"/>
    <n v="0"/>
    <n v="0"/>
    <n v="1730.3000000000004"/>
  </r>
  <r>
    <s v="ABR-19"/>
    <n v="1"/>
    <s v="2018947"/>
    <s v="SR MANTENIMIENTO CORRECTIVO"/>
    <s v="8680"/>
    <s v="02/04/2019 12:59"/>
    <s v="0B2R091016"/>
    <s v="500083"/>
    <s v="PITSS"/>
    <s v="ASP"/>
    <x v="31"/>
    <s v="AV JUAREZ No 1102 PISO 40"/>
    <s v="Monterrey-NL"/>
    <n v="0"/>
    <s v="INTERIOR"/>
    <n v="112"/>
    <s v="&gt;60"/>
    <s v="Entry Production Color Low/Mid"/>
    <s v="Entry Production"/>
    <s v="Ciudad principal"/>
    <s v="3-&gt;60"/>
    <n v="1.1499999999999999"/>
    <n v="1808.95"/>
    <n v="1"/>
    <n v="1.17"/>
    <n v="4"/>
    <n v="0.29249999999999998"/>
    <n v="0"/>
    <n v="0"/>
    <d v="2019-04-03T00:00:00"/>
    <d v="2019-04-03T00:00:00"/>
    <n v="0"/>
    <s v="0-1 día"/>
    <n v="0"/>
    <n v="0"/>
    <n v="0"/>
    <n v="1808.95"/>
  </r>
  <r>
    <s v="ABR-19"/>
    <n v="1"/>
    <s v="2015673"/>
    <s v="SR MANTENIMIENTO CORRECTIVO"/>
    <s v="3636"/>
    <s v="27/03/2019 08:36"/>
    <s v="0LBP345977"/>
    <s v="800027"/>
    <s v="PITSS"/>
    <s v="ASP"/>
    <x v="44"/>
    <s v="CARRETERA A NOGALES No 5297"/>
    <s v="Zapopan-JAL"/>
    <n v="0"/>
    <s v="INTERIOR"/>
    <n v="453"/>
    <s v="&gt;60"/>
    <s v="A4 Mono MFPs"/>
    <s v="A4"/>
    <s v="Ciudad principal"/>
    <s v="1-&gt;60"/>
    <n v="1.05"/>
    <n v="750.75000000000011"/>
    <n v="1"/>
    <n v="3.98"/>
    <n v="5"/>
    <n v="0.79600000000000004"/>
    <n v="0"/>
    <n v="0"/>
    <d v="2019-04-03T00:00:00"/>
    <d v="2019-04-03T00:00:00"/>
    <n v="0"/>
    <s v="0-1 día"/>
    <n v="0"/>
    <n v="0"/>
    <n v="0"/>
    <n v="750.75000000000011"/>
  </r>
  <r>
    <s v="ABR-19"/>
    <n v="1"/>
    <s v="2019047"/>
    <s v="SR MANTENIMIENTO CORRECTIVO"/>
    <s v="8045"/>
    <s v="02/04/2019 18:14"/>
    <s v="0Y4X848684"/>
    <s v="000195"/>
    <s v="PITSS"/>
    <s v="ASP"/>
    <x v="6"/>
    <s v="AV TLATILCO No 239"/>
    <s v="Azcapotzalco-CIUDAD"/>
    <n v="1"/>
    <s v="METRO"/>
    <n v="112"/>
    <s v="&gt;60"/>
    <s v="Office Digital"/>
    <s v="A3"/>
    <s v="Ciudad principal"/>
    <s v="2-&gt;60"/>
    <n v="1.1000000000000001"/>
    <n v="0"/>
    <n v="1"/>
    <n v="2.12"/>
    <n v="5"/>
    <n v="0.42400000000000004"/>
    <n v="0"/>
    <n v="0"/>
    <d v="2019-04-03T00:00:00"/>
    <d v="2019-04-03T00:00:00"/>
    <n v="0"/>
    <s v="0-1 día"/>
    <n v="0"/>
    <n v="0"/>
    <n v="0"/>
    <n v="0"/>
  </r>
  <r>
    <s v="ABR-19"/>
    <n v="1"/>
    <s v="2019309"/>
    <s v="SR MANTENIMIENTO CORRECTIVO"/>
    <s v="3658"/>
    <s v="03/04/2019 10:01"/>
    <s v="0C4X013235"/>
    <s v="500028"/>
    <s v="PITSS"/>
    <s v="ASP"/>
    <x v="36"/>
    <s v="CAMINO A HUINALA 135 Y 135 B"/>
    <s v="Apodaca-NL"/>
    <n v="0"/>
    <s v="INTERIOR"/>
    <n v="1"/>
    <s v="&lt;=3"/>
    <s v="A4 Mono MFPs"/>
    <s v="A4"/>
    <s v="Otras"/>
    <s v="1-&lt;=3"/>
    <n v="0"/>
    <n v="0"/>
    <n v="1"/>
    <n v="1.98"/>
    <n v="9"/>
    <n v="0.22"/>
    <n v="0"/>
    <n v="0"/>
    <d v="2019-04-03T00:00:00"/>
    <d v="2019-04-03T00:00:00"/>
    <n v="0"/>
    <s v="0-1 día"/>
    <n v="0"/>
    <n v="0"/>
    <n v="0"/>
    <n v="0"/>
  </r>
  <r>
    <s v="ABR-19"/>
    <n v="1"/>
    <s v="2016575"/>
    <s v="SR MANTENIMIENTO CORRECTIVO"/>
    <s v="3616"/>
    <s v="28/03/2019 14:12"/>
    <s v="0A2T369923"/>
    <s v="500094"/>
    <s v="PITSS"/>
    <s v="ASP"/>
    <x v="5"/>
    <s v="BLVD PETROCEL KM 1.3 CAMPUS TAMPICO AULAS 2 PISO 3"/>
    <s v="ALTAMIRA-TAM"/>
    <n v="0"/>
    <s v="INTERIOR"/>
    <n v="66"/>
    <s v="&gt;60"/>
    <s v="A4 Mono MFPs"/>
    <s v="A4"/>
    <s v="Otras"/>
    <s v="1-&gt;60"/>
    <n v="1.05"/>
    <n v="750.75000000000011"/>
    <n v="1"/>
    <n v="4.3"/>
    <n v="9"/>
    <n v="0.47777777777777775"/>
    <n v="0"/>
    <n v="0"/>
    <d v="2019-04-03T00:00:00"/>
    <d v="2019-04-03T00:00:00"/>
    <n v="0"/>
    <s v="0-1 día"/>
    <n v="0"/>
    <n v="0"/>
    <n v="0"/>
    <n v="750.75000000000011"/>
  </r>
  <r>
    <s v="ABR-19"/>
    <n v="1"/>
    <s v="2018007"/>
    <s v="SR MANTENIMIENTO CORRECTIVO"/>
    <s v="5945"/>
    <s v="01/04/2019 10:32"/>
    <s v="0X76707584"/>
    <s v="800186"/>
    <s v="PITSS"/>
    <s v="ASP"/>
    <x v="15"/>
    <s v="AV 5 DE FEBRERO 1351"/>
    <s v="Queretaro-QRO"/>
    <n v="0"/>
    <s v="INTERIOR"/>
    <n v="5"/>
    <s v="Entre 3 y 6"/>
    <s v="Office Digital"/>
    <s v="A3"/>
    <s v="Ciudad principal"/>
    <s v="2-Entre 3 y 6"/>
    <n v="0"/>
    <n v="0"/>
    <n v="1"/>
    <n v="0"/>
    <n v="5"/>
    <n v="0"/>
    <n v="0"/>
    <n v="0"/>
    <d v="2019-04-03T00:00:00"/>
    <d v="2019-04-03T00:00:00"/>
    <n v="0"/>
    <s v="0-1 día"/>
    <n v="0"/>
    <n v="0"/>
    <n v="0"/>
    <n v="0"/>
  </r>
  <r>
    <s v="ABR-19"/>
    <n v="1"/>
    <s v="2018855"/>
    <s v="SR MANTENIMIENTO CORRECTIVO"/>
    <s v="7222"/>
    <s v="02/04/2019 12:00"/>
    <s v="0LX5688824"/>
    <s v="500167"/>
    <s v="PITSS"/>
    <s v="ASP"/>
    <x v="18"/>
    <s v="PROL HERMANOS ESCOBAR No 7151-E"/>
    <s v="Ciudad Juarez-CHIH"/>
    <n v="0"/>
    <s v="INTERIOR"/>
    <n v="4"/>
    <s v="Entre 3 y 6"/>
    <s v="A3 Office Color Laser MFPs"/>
    <s v="A3"/>
    <s v="Ciudad principal"/>
    <s v="2-Entre 3 y 6"/>
    <n v="0"/>
    <n v="0"/>
    <n v="1"/>
    <n v="3.33"/>
    <n v="5"/>
    <n v="0.66600000000000004"/>
    <n v="0"/>
    <n v="0"/>
    <d v="2019-04-02T00:00:00"/>
    <d v="2019-04-03T00:00:00"/>
    <n v="1"/>
    <s v="0-1 día"/>
    <n v="0"/>
    <n v="0"/>
    <n v="0"/>
    <n v="0"/>
  </r>
  <r>
    <s v="ABR-19"/>
    <n v="1"/>
    <s v="2019333"/>
    <s v="SR MANTENIMIENTO CORRECTIVO"/>
    <s v="3658"/>
    <s v="03/04/2019 10:32"/>
    <s v="0C4X008250"/>
    <s v="800200"/>
    <s v="PITSS"/>
    <s v="ASP"/>
    <x v="0"/>
    <s v="AV GENERAL RAMON CORONA No 2514"/>
    <s v="Zapopan-JAL"/>
    <n v="0"/>
    <s v="INTERIOR"/>
    <n v="236"/>
    <s v="&gt;60"/>
    <s v="A4 Mono MFPs"/>
    <s v="A4"/>
    <s v="Ciudad principal"/>
    <s v="1-&gt;60"/>
    <n v="1.05"/>
    <n v="750.75000000000011"/>
    <n v="1"/>
    <n v="2.8"/>
    <n v="5"/>
    <n v="0.55999999999999994"/>
    <n v="0"/>
    <n v="0"/>
    <d v="2019-04-03T00:00:00"/>
    <d v="2019-04-03T00:00:00"/>
    <n v="0"/>
    <s v="0-1 día"/>
    <n v="0"/>
    <n v="0"/>
    <n v="0"/>
    <n v="750.75000000000011"/>
  </r>
  <r>
    <s v="ABR-19"/>
    <n v="1"/>
    <s v="2017933"/>
    <s v="SR MANTENIMIENTO CORRECTIVO"/>
    <s v="3610"/>
    <s v="01/04/2019 09:38"/>
    <s v="0A4T021913"/>
    <s v="500155"/>
    <s v="PITSS"/>
    <s v="ASP"/>
    <x v="30"/>
    <s v="AV FUENTES DEL SUR 7151"/>
    <s v="CIUDAD JUAREZ-CHIH"/>
    <n v="0"/>
    <s v="INTERIOR"/>
    <n v="599"/>
    <s v="&gt;60"/>
    <s v="Entry Mono Printers"/>
    <s v="A4"/>
    <s v="Ciudad principal"/>
    <s v="1-&gt;60"/>
    <n v="1.05"/>
    <n v="750.75000000000011"/>
    <n v="1"/>
    <n v="1.87"/>
    <n v="5"/>
    <n v="0.374"/>
    <n v="0"/>
    <n v="0"/>
    <d v="2019-04-03T00:00:00"/>
    <d v="2019-04-03T00:00:00"/>
    <n v="0"/>
    <s v="0-1 día"/>
    <n v="0"/>
    <n v="0"/>
    <n v="0"/>
    <n v="750.75000000000011"/>
  </r>
  <r>
    <s v="ABR-19"/>
    <n v="1"/>
    <s v="2018203"/>
    <s v="SR MANTENIMIENTO CORRECTIVO"/>
    <s v="3611"/>
    <s v="01/04/2019 13:15"/>
    <s v="0A4T558109"/>
    <s v="800147"/>
    <s v="PITSS"/>
    <s v="ASP"/>
    <x v="14"/>
    <s v="BLV ADOLFO LOPEZ MATEOS 2009-B"/>
    <s v="LEON-GTO"/>
    <n v="0"/>
    <s v="INTERIOR"/>
    <n v="384"/>
    <s v="&gt;60"/>
    <s v="Entry Mono Printers"/>
    <s v="A4"/>
    <s v="Ciudad principal"/>
    <s v="1-&gt;60"/>
    <n v="1.05"/>
    <n v="750.75000000000011"/>
    <n v="1"/>
    <n v="0.25"/>
    <n v="5"/>
    <n v="0.05"/>
    <n v="0"/>
    <n v="0"/>
    <d v="2019-04-03T00:00:00"/>
    <d v="2019-04-03T00:00:00"/>
    <n v="0"/>
    <s v="0-1 día"/>
    <n v="0"/>
    <n v="0"/>
    <n v="0"/>
    <n v="750.75000000000011"/>
  </r>
  <r>
    <s v="ABR-19"/>
    <n v="1"/>
    <s v="2018863"/>
    <s v="SR MANTENIMIENTO CORRECTIVO"/>
    <s v="7835"/>
    <s v="02/04/2019 12:04"/>
    <s v="0MX1185934"/>
    <s v="500158"/>
    <s v="PITSS"/>
    <s v="ASP"/>
    <x v="18"/>
    <s v="PROL HERMANOS ESCOBAR No 7151-E"/>
    <s v="Ciudad Juarez-CHIH"/>
    <n v="0"/>
    <s v="INTERIOR"/>
    <n v="33"/>
    <s v="Entre 31 y 60"/>
    <s v="A3 Office Color Laser MFPs"/>
    <s v="A3"/>
    <s v="Ciudad principal"/>
    <s v="2-Entre 31 y 60"/>
    <n v="1.05"/>
    <n v="1433.25"/>
    <n v="1"/>
    <n v="3.15"/>
    <n v="5"/>
    <n v="0.63"/>
    <n v="0"/>
    <n v="0"/>
    <d v="2019-04-03T00:00:00"/>
    <d v="2019-04-03T00:00:00"/>
    <n v="0"/>
    <s v="0-1 día"/>
    <n v="0"/>
    <n v="0"/>
    <n v="0"/>
    <n v="1433.25"/>
  </r>
  <r>
    <s v="ABR-19"/>
    <n v="1"/>
    <s v="2019323"/>
    <s v="SR MANTENIMIENTO CORRECTIVO"/>
    <s v="7512"/>
    <s v="03/04/2019 10:21"/>
    <s v="0RXD136704"/>
    <s v="500161"/>
    <s v="PITSS"/>
    <s v="ASP"/>
    <x v="45"/>
    <s v="LAZARO CARDENAS 1810 PISO 7 Y 8"/>
    <s v="Monterrey-NL"/>
    <n v="0"/>
    <s v="INTERIOR"/>
    <n v="71"/>
    <s v="&gt;60"/>
    <s v="Color Laser Printers"/>
    <s v="A4"/>
    <s v="Ciudad principal"/>
    <s v="1-&gt;60"/>
    <n v="1.05"/>
    <n v="750.75000000000011"/>
    <n v="1"/>
    <n v="1.65"/>
    <n v="5"/>
    <n v="0.32999999999999996"/>
    <n v="0"/>
    <n v="0"/>
    <d v="2019-04-03T00:00:00"/>
    <d v="2019-04-03T00:00:00"/>
    <n v="0"/>
    <s v="0-1 día"/>
    <n v="0"/>
    <n v="0"/>
    <n v="0"/>
    <n v="750.75000000000011"/>
  </r>
  <r>
    <s v="ABR-19"/>
    <n v="1"/>
    <s v="2018897"/>
    <s v="SR MANTENIMIENTO CORRECTIVO"/>
    <s v="5774"/>
    <s v="02/04/2019 13:10"/>
    <s v="0XEL569871"/>
    <s v="800072"/>
    <s v="PITSS"/>
    <s v="ASP"/>
    <x v="14"/>
    <s v="AV VALLARTA 5400"/>
    <s v="ZAPOPAN-JAL"/>
    <n v="0"/>
    <s v="INTERIOR"/>
    <n v="12"/>
    <s v="Entre 7 y 15"/>
    <s v="Departmental Digital"/>
    <s v="A3"/>
    <s v="Ciudad principal"/>
    <s v="2-Entre 7 y 15"/>
    <n v="0.6"/>
    <n v="819"/>
    <n v="1"/>
    <n v="0.57999999999999996"/>
    <n v="5"/>
    <n v="0.11599999999999999"/>
    <n v="0"/>
    <n v="0"/>
    <d v="2019-04-03T00:00:00"/>
    <d v="2019-04-03T00:00:00"/>
    <n v="0"/>
    <s v="0-1 día"/>
    <n v="0"/>
    <n v="0"/>
    <n v="0"/>
    <n v="819"/>
  </r>
  <r>
    <s v="ABR-19"/>
    <n v="1"/>
    <s v="2019261"/>
    <s v="SR MANTENIMIENTO CORRECTIVO"/>
    <s v="5866"/>
    <s v="03/04/2019 08:47"/>
    <s v="0EX9299901"/>
    <s v="500094"/>
    <s v="PITSS"/>
    <s v="ASP"/>
    <x v="7"/>
    <s v="AV HIDALGO No 5309"/>
    <s v="Tampico-TAM"/>
    <n v="0"/>
    <s v="INTERIOR"/>
    <n v="9"/>
    <s v="Entre 7 y 15"/>
    <s v="Departmental Digital"/>
    <s v="A3"/>
    <s v="Ciudad principal"/>
    <s v="2-Entre 7 y 15"/>
    <n v="0.6"/>
    <n v="819"/>
    <n v="1"/>
    <n v="2.39"/>
    <n v="5"/>
    <n v="0.47800000000000004"/>
    <n v="0"/>
    <n v="0"/>
    <d v="2019-04-03T00:00:00"/>
    <d v="2019-04-03T00:00:00"/>
    <n v="0"/>
    <s v="0-1 día"/>
    <n v="0"/>
    <n v="0"/>
    <n v="0"/>
    <n v="819"/>
  </r>
  <r>
    <s v="ABR-19"/>
    <n v="1"/>
    <s v="2019381"/>
    <s v="SR MANTENIMIENTO CORRECTIVO"/>
    <s v="3636"/>
    <s v="03/04/2019 11:17"/>
    <s v="0BB1564141"/>
    <s v="800183"/>
    <s v="PITSS"/>
    <s v="ASP"/>
    <x v="2"/>
    <s v="AV MANUEL AVILA CAMACHO 1019"/>
    <s v="GUADALAJARA-JAL"/>
    <n v="0"/>
    <s v="INTERIOR"/>
    <n v="106"/>
    <s v="&gt;60"/>
    <s v="A4 Mono MFPs"/>
    <s v="A4"/>
    <s v="Ciudad principal"/>
    <s v="1-&gt;60"/>
    <n v="1.05"/>
    <n v="750.75000000000011"/>
    <n v="1"/>
    <n v="2.2200000000000002"/>
    <n v="5"/>
    <n v="0.44400000000000006"/>
    <n v="0"/>
    <n v="0"/>
    <d v="2019-04-03T00:00:00"/>
    <d v="2019-04-03T00:00:00"/>
    <n v="0"/>
    <s v="0-1 día"/>
    <n v="0"/>
    <n v="0"/>
    <n v="0"/>
    <n v="750.75000000000011"/>
  </r>
  <r>
    <s v="ABR-19"/>
    <n v="1"/>
    <s v="2019517"/>
    <s v="SR MANTENIMIENTO CORRECTIVO"/>
    <s v="5866"/>
    <s v="03/04/2019 14:10"/>
    <s v="0EX9283991"/>
    <s v="500056"/>
    <s v="PITSS"/>
    <s v="ASP"/>
    <x v="7"/>
    <s v="BLV MIGUEL HIDALGO 155"/>
    <s v="Reynosa-TAM"/>
    <n v="0"/>
    <s v="INTERIOR"/>
    <n v="128"/>
    <s v="&gt;60"/>
    <s v="Departmental Digital"/>
    <s v="A3"/>
    <s v="Ciudad principal"/>
    <s v="2-&gt;60"/>
    <n v="1.1000000000000001"/>
    <n v="1501.5000000000002"/>
    <n v="1"/>
    <n v="3.16"/>
    <n v="5"/>
    <n v="0.63200000000000001"/>
    <n v="0"/>
    <n v="0"/>
    <d v="2019-04-03T00:00:00"/>
    <d v="2019-04-03T00:00:00"/>
    <n v="0"/>
    <s v="0-1 día"/>
    <n v="0"/>
    <n v="0"/>
    <n v="0"/>
    <n v="1501.5000000000002"/>
  </r>
  <r>
    <s v="ABR-19"/>
    <n v="1"/>
    <s v="2018881"/>
    <s v="SR MANTENIMIENTO CORRECTIVO"/>
    <s v="0560"/>
    <s v="02/04/2019 12:53"/>
    <s v="0XPN553133"/>
    <s v="800188"/>
    <s v="PITSS"/>
    <s v="ASP"/>
    <x v="7"/>
    <s v="BLV ADOLFO LOPEZ MATEOS 1025"/>
    <s v="CELAYA-GTO"/>
    <n v="0"/>
    <s v="INTERIOR"/>
    <n v="117"/>
    <s v="&gt;60"/>
    <s v="Entry Production Color Low/Mid"/>
    <s v="Entry Production"/>
    <s v="Ciudad principal"/>
    <s v="3-&gt;60"/>
    <n v="1.1499999999999999"/>
    <n v="1808.95"/>
    <n v="1"/>
    <n v="1.1200000000000001"/>
    <n v="4"/>
    <n v="0.28000000000000003"/>
    <n v="0"/>
    <n v="0"/>
    <d v="2019-04-02T00:00:00"/>
    <d v="2019-04-03T00:00:00"/>
    <n v="1"/>
    <s v="0-1 día"/>
    <n v="0"/>
    <n v="0"/>
    <n v="0"/>
    <n v="1808.95"/>
  </r>
  <r>
    <s v="ABR-19"/>
    <n v="1"/>
    <s v="2018199"/>
    <s v="SR MANTENIMIENTO CORRECTIVO"/>
    <s v="5866"/>
    <s v="01/04/2019 13:13"/>
    <s v="0EX9293168"/>
    <s v="800147"/>
    <s v="PITSS"/>
    <s v="ASP"/>
    <x v="14"/>
    <s v="BLV ADOLFO LOPEZ MATEOS 2009-B"/>
    <s v="LEON-GTO"/>
    <n v="0"/>
    <s v="INTERIOR"/>
    <n v="25"/>
    <s v="Entre 16 y 30"/>
    <s v="Departmental Digital"/>
    <s v="A3"/>
    <s v="Ciudad principal"/>
    <s v="2-Entre 16 y 30"/>
    <n v="0.8"/>
    <n v="1092"/>
    <n v="1"/>
    <n v="0.28000000000000003"/>
    <n v="5"/>
    <n v="5.6000000000000008E-2"/>
    <n v="0"/>
    <n v="0"/>
    <d v="2019-04-03T00:00:00"/>
    <d v="2019-04-03T00:00:00"/>
    <n v="0"/>
    <s v="0-1 día"/>
    <n v="0"/>
    <n v="0"/>
    <n v="0"/>
    <n v="1092"/>
  </r>
  <r>
    <s v="ABR-19"/>
    <n v="1"/>
    <s v="2018345"/>
    <s v="SR MANTENIMIENTO CORRECTIVO"/>
    <s v="0560"/>
    <s v="01/04/2019 17:08"/>
    <s v="0XPN396574"/>
    <s v="800072"/>
    <s v="PITSS"/>
    <s v="ASP"/>
    <x v="7"/>
    <s v="AV MAIZ 1300"/>
    <s v="ZAPOPAN-JAL"/>
    <n v="0"/>
    <s v="INTERIOR"/>
    <n v="6"/>
    <s v="Entre 3 y 6"/>
    <s v="Entry Production Color Low/Mid"/>
    <s v="Entry Production"/>
    <s v="Ciudad principal"/>
    <s v="3-Entre 3 y 6"/>
    <n v="0.6"/>
    <n v="943.80000000000007"/>
    <n v="1"/>
    <n v="0.37"/>
    <n v="4"/>
    <n v="9.2499999999999999E-2"/>
    <n v="0"/>
    <n v="0"/>
    <d v="2019-04-03T00:00:00"/>
    <d v="2019-04-03T00:00:00"/>
    <n v="0"/>
    <s v="0-1 día"/>
    <n v="0"/>
    <n v="0"/>
    <n v="0"/>
    <n v="943.80000000000007"/>
  </r>
  <r>
    <s v="ABR-19"/>
    <n v="1"/>
    <s v="2018365"/>
    <s v="SR MANTENIMIENTO CORRECTIVO"/>
    <s v="5748"/>
    <s v="01/04/2019 17:25"/>
    <s v="0XEH798026"/>
    <s v="500159"/>
    <s v="PITSS"/>
    <s v="ASP"/>
    <x v="30"/>
    <s v="CRISTOBAL COLON 11364"/>
    <s v="CHIHUAHUA-CHIH"/>
    <n v="0"/>
    <s v="INTERIOR"/>
    <n v="7"/>
    <s v="Entre 7 y 15"/>
    <s v="Office Digital"/>
    <s v="A3"/>
    <s v="Ciudad principal"/>
    <s v="2-Entre 7 y 15"/>
    <n v="0.6"/>
    <n v="819"/>
    <n v="1"/>
    <n v="0.08"/>
    <n v="5"/>
    <n v="1.6E-2"/>
    <n v="0"/>
    <n v="0"/>
    <d v="2019-04-02T00:00:00"/>
    <d v="2019-04-03T00:00:00"/>
    <n v="1"/>
    <s v="0-1 día"/>
    <n v="0"/>
    <n v="0"/>
    <n v="0"/>
    <n v="819"/>
  </r>
  <r>
    <s v="ABR-19"/>
    <n v="1"/>
    <s v="2019509"/>
    <s v="SR MANTENIMIENTO CORRECTIVO"/>
    <s v="5868"/>
    <s v="03/04/2019 13:54"/>
    <s v="0EX9286123"/>
    <s v="500018"/>
    <s v="PITSS"/>
    <s v="ASP"/>
    <x v="40"/>
    <s v="GRAL MARIANO ARISTA 54 B 21"/>
    <s v="MIGUEL HIDALGO-CIUDA"/>
    <n v="0"/>
    <s v="INTERIOR"/>
    <n v="2"/>
    <s v="&lt;=3"/>
    <s v="Departmental Digital"/>
    <s v="A3"/>
    <s v="Ciudad principal"/>
    <s v="2-&lt;=3"/>
    <n v="0"/>
    <n v="0"/>
    <n v="1"/>
    <n v="0.35"/>
    <n v="5"/>
    <n v="6.9999999999999993E-2"/>
    <n v="0"/>
    <n v="0"/>
    <d v="2019-04-03T00:00:00"/>
    <d v="2019-04-04T00:00:00"/>
    <n v="1"/>
    <s v="0-1 día"/>
    <n v="0"/>
    <n v="0"/>
    <n v="0"/>
    <n v="0"/>
  </r>
  <r>
    <s v="ABR-19"/>
    <n v="1"/>
    <s v="2019491"/>
    <s v="SR MANTENIMIENTO CORRECTIVO"/>
    <s v="3326"/>
    <s v="03/04/2019 13:22"/>
    <s v="0LA6296487"/>
    <s v="100037"/>
    <s v="PITSS"/>
    <s v="ASP"/>
    <x v="10"/>
    <s v="ALDAMA SUR No 102"/>
    <s v="Toluca De Lerdo-ESTA"/>
    <n v="0"/>
    <s v="INTERIOR"/>
    <n v="587"/>
    <s v="&gt;60"/>
    <s v="A4 Mono MFPs"/>
    <s v="A4"/>
    <s v="Ciudad principal"/>
    <s v="1-&gt;60"/>
    <n v="1.05"/>
    <n v="750.75000000000011"/>
    <n v="1"/>
    <n v="1.91"/>
    <n v="5"/>
    <n v="0.38200000000000001"/>
    <n v="0"/>
    <n v="0"/>
    <d v="2019-04-03T00:00:00"/>
    <d v="2019-04-04T00:00:00"/>
    <n v="1"/>
    <s v="0-1 día"/>
    <n v="0"/>
    <n v="0"/>
    <n v="0"/>
    <n v="750.75000000000011"/>
  </r>
  <r>
    <s v="ABR-19"/>
    <n v="1"/>
    <s v="2019485"/>
    <s v="SR MANTENIMIENTO CORRECTIVO"/>
    <s v="4002"/>
    <s v="03/04/2019 13:02"/>
    <s v="09HB331691"/>
    <s v="500080"/>
    <s v="PITSS"/>
    <s v="ASP"/>
    <x v="8"/>
    <s v="FRANCISCO MIRANDA Y REPUBLICA DE CUBA No 8"/>
    <s v="Hidalgo Del Parral-C"/>
    <n v="1"/>
    <s v="INTERIOR"/>
    <n v="2680"/>
    <s v="&gt;60"/>
    <s v="A4 Mono MFPs"/>
    <s v="A4"/>
    <s v="Otras"/>
    <s v="1-&gt;60"/>
    <n v="1.05"/>
    <n v="0"/>
    <n v="1"/>
    <n v="1.22"/>
    <n v="9"/>
    <n v="0.13555555555555554"/>
    <n v="0"/>
    <n v="0"/>
    <d v="2019-04-03T00:00:00"/>
    <d v="2019-04-04T00:00:00"/>
    <n v="1"/>
    <s v="0-1 día"/>
    <n v="0"/>
    <n v="0"/>
    <n v="0"/>
    <n v="0"/>
  </r>
  <r>
    <s v="ABR-19"/>
    <n v="1"/>
    <s v="2018749"/>
    <s v="SR MANTENIMIENTO CORRECTIVO"/>
    <s v="5955"/>
    <s v="02/04/2019 10:16"/>
    <s v="0X76703795"/>
    <s v="500156"/>
    <s v="PITSS"/>
    <s v="ASP"/>
    <x v="3"/>
    <s v="AV TECNOLOGICO Y JUAN KEPLER 6915"/>
    <s v="CIUDAD JUAREZ-CHIH"/>
    <n v="0"/>
    <s v="INTERIOR"/>
    <n v="117"/>
    <s v="&gt;60"/>
    <s v="Departmental Digital"/>
    <s v="A3"/>
    <s v="Ciudad principal"/>
    <s v="2-&gt;60"/>
    <n v="1.1000000000000001"/>
    <n v="1501.5000000000002"/>
    <n v="1"/>
    <n v="0.9"/>
    <n v="5"/>
    <n v="0.18"/>
    <n v="0"/>
    <n v="0"/>
    <d v="2019-04-03T00:00:00"/>
    <d v="2019-04-04T00:00:00"/>
    <n v="1"/>
    <s v="0-1 día"/>
    <n v="0"/>
    <n v="0"/>
    <n v="0"/>
    <n v="1501.5000000000002"/>
  </r>
  <r>
    <s v="ABR-19"/>
    <n v="1"/>
    <s v="2019535"/>
    <s v="SR MANTENIMIENTO CORRECTIVO"/>
    <s v="0070"/>
    <s v="03/04/2019 14:27"/>
    <s v="0E2B658511"/>
    <s v="800186"/>
    <s v="PITSS"/>
    <s v="ASP"/>
    <x v="14"/>
    <s v="AV CONSTITUYENTES 152 PTE"/>
    <s v="QUERETARO-QRO"/>
    <n v="0"/>
    <s v="INTERIOR"/>
    <n v="29"/>
    <s v="Entre 16 y 30"/>
    <s v="Entry Production Color Low/Mid"/>
    <s v="Entry Production"/>
    <s v="Ciudad principal"/>
    <s v="3-Entre 16 y 30"/>
    <n v="1.05"/>
    <n v="1651.6500000000003"/>
    <n v="1"/>
    <n v="1.72"/>
    <n v="4"/>
    <n v="0.43"/>
    <n v="0"/>
    <n v="0"/>
    <d v="2019-04-03T00:00:00"/>
    <d v="2019-04-04T00:00:00"/>
    <n v="1"/>
    <s v="0-1 día"/>
    <n v="0"/>
    <n v="0"/>
    <n v="0"/>
    <n v="1651.6500000000003"/>
  </r>
  <r>
    <s v="ABR-19"/>
    <n v="1"/>
    <s v="2012347"/>
    <s v="SR MANTENIMIENTO CORRECTIVO"/>
    <s v="4310"/>
    <s v="20/03/2019 16:49"/>
    <s v="0BG0971716"/>
    <s v="500083"/>
    <s v="PITSS"/>
    <s v="ASP"/>
    <x v="46"/>
    <s v="ISSAC GARZA No 1363"/>
    <s v="Monterrey-NL"/>
    <n v="0"/>
    <s v="INTERIOR"/>
    <n v="49"/>
    <s v="Entre 31 y 60"/>
    <s v="Light Production Digital Business"/>
    <s v="Entry Production"/>
    <s v="Ciudad principal"/>
    <s v="3-Entre 31 y 60"/>
    <n v="1.1000000000000001"/>
    <n v="1730.3000000000004"/>
    <n v="1"/>
    <n v="1.51"/>
    <n v="4"/>
    <n v="0.3775"/>
    <n v="0"/>
    <n v="0"/>
    <d v="2019-04-03T00:00:00"/>
    <d v="2019-04-04T00:00:00"/>
    <n v="1"/>
    <s v="0-1 día"/>
    <n v="0"/>
    <n v="0"/>
    <n v="0"/>
    <n v="1730.3000000000004"/>
  </r>
  <r>
    <s v="ABR-19"/>
    <n v="1"/>
    <s v="2019487"/>
    <s v="SR MANTENIMIENTO CORRECTIVO"/>
    <s v="5866"/>
    <s v="03/04/2019 13:13"/>
    <s v="0EX9296094"/>
    <s v="800187"/>
    <s v="PITSS"/>
    <s v="ASP"/>
    <x v="7"/>
    <s v="AV. FAJA DE ORO NO. 1100"/>
    <s v="Salamanca-GTO"/>
    <n v="0"/>
    <s v="INTERIOR"/>
    <n v="70"/>
    <s v="&gt;60"/>
    <s v="Departmental Digital"/>
    <s v="A3"/>
    <s v="Ciudad principal"/>
    <s v="2-&gt;60"/>
    <n v="1.1000000000000001"/>
    <n v="1501.5000000000002"/>
    <n v="1"/>
    <n v="1.28"/>
    <n v="5"/>
    <n v="0.25600000000000001"/>
    <n v="0"/>
    <n v="0"/>
    <d v="2019-04-03T00:00:00"/>
    <d v="2019-04-04T00:00:00"/>
    <n v="1"/>
    <s v="0-1 día"/>
    <n v="0"/>
    <n v="0"/>
    <n v="0"/>
    <n v="1501.5000000000002"/>
  </r>
  <r>
    <s v="ABR-19"/>
    <n v="1"/>
    <s v="2016449"/>
    <s v="SR SOFTWARE"/>
    <s v="7142"/>
    <s v="28/03/2019 12:01"/>
    <s v="0PW4111396"/>
    <s v="500035"/>
    <s v="PITSS"/>
    <s v="ASP"/>
    <x v="7"/>
    <s v="AV HEROICO COLEGIO MILITAR 114"/>
    <s v="PIEDRAS NEGRAS-COAH"/>
    <n v="0"/>
    <s v="INTERIOR"/>
    <s v="  "/>
    <s v="&gt;60"/>
    <s v="WF Mono Systems and Legacy Color"/>
    <s v="WF"/>
    <s v="Ciudad principal"/>
    <s v="3-&gt;60"/>
    <n v="1"/>
    <n v="1573.0000000000002"/>
    <n v="0"/>
    <n v="4"/>
    <n v="4"/>
    <n v="1"/>
    <n v="0"/>
    <n v="0"/>
    <d v="2019-04-03T00:00:00"/>
    <d v="2019-04-04T00:00:00"/>
    <n v="1"/>
    <s v="0-1 día"/>
    <n v="0"/>
    <n v="0"/>
    <n v="0"/>
    <n v="1573.0000000000002"/>
  </r>
  <r>
    <s v="ABR-19"/>
    <n v="1"/>
    <s v="2019547"/>
    <s v="SR MANTENIMIENTO CORRECTIVO"/>
    <s v="0560"/>
    <s v="03/04/2019 14:37"/>
    <s v="0XPN546686"/>
    <s v="500036"/>
    <s v="PITSS"/>
    <s v="ASP"/>
    <x v="7"/>
    <s v="AV ABRAHAM LINCOLN 5000 PTE"/>
    <s v="MONTERREY-NL"/>
    <n v="0"/>
    <s v="INTERIOR"/>
    <n v="230"/>
    <s v="&gt;60"/>
    <s v="Entry Production Color Low/Mid"/>
    <s v="Entry Production"/>
    <s v="Ciudad principal"/>
    <s v="3-&gt;60"/>
    <n v="1.1499999999999999"/>
    <n v="1808.95"/>
    <n v="1"/>
    <n v="2.66"/>
    <n v="4"/>
    <n v="0.66500000000000004"/>
    <n v="0"/>
    <n v="0"/>
    <d v="2019-04-03T00:00:00"/>
    <d v="2019-04-04T00:00:00"/>
    <n v="1"/>
    <s v="0-1 día"/>
    <n v="0"/>
    <n v="0"/>
    <n v="0"/>
    <n v="1808.95"/>
  </r>
  <r>
    <s v="ABR-19"/>
    <n v="1"/>
    <s v="2019541"/>
    <s v="SR MANTENIMIENTO CORRECTIVO"/>
    <s v="4395"/>
    <s v="03/04/2019 14:33"/>
    <s v="0BG2951632"/>
    <s v="500036"/>
    <s v="PITSS"/>
    <s v="ASP"/>
    <x v="7"/>
    <s v="AV LICOLN No 500 PTE"/>
    <s v="Monterrey-NL"/>
    <n v="0"/>
    <s v="INTERIOR"/>
    <n v="26"/>
    <s v="Entre 16 y 30"/>
    <s v="Light Production Digital Business"/>
    <s v="Entry Production"/>
    <s v="Ciudad principal"/>
    <s v="3-Entre 16 y 30"/>
    <n v="1.05"/>
    <n v="1651.6500000000003"/>
    <n v="1"/>
    <n v="1.37"/>
    <n v="4"/>
    <n v="0.34250000000000003"/>
    <n v="0"/>
    <n v="0"/>
    <d v="2019-04-03T00:00:00"/>
    <d v="2019-04-04T00:00:00"/>
    <n v="1"/>
    <s v="0-1 día"/>
    <n v="0"/>
    <n v="0"/>
    <n v="0"/>
    <n v="1651.6500000000003"/>
  </r>
  <r>
    <s v="ABR-19"/>
    <n v="1"/>
    <s v="2017957"/>
    <s v="SR MANTENIMIENTO CORRECTIVO"/>
    <s v="4603"/>
    <s v="01/04/2019 10:01"/>
    <s v="0XLT280678"/>
    <s v="500159"/>
    <s v="PITSS"/>
    <s v="ASP"/>
    <x v="30"/>
    <s v="CRISTOBAL COLON 11364"/>
    <s v="CHIHUAHUA-CHIH"/>
    <n v="0"/>
    <s v="INTERIOR"/>
    <n v="75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4-03T00:00:00"/>
    <d v="2019-04-04T00:00:00"/>
    <n v="1"/>
    <s v="0-1 día"/>
    <n v="0"/>
    <n v="0"/>
    <n v="0"/>
    <n v="750.75000000000011"/>
  </r>
  <r>
    <s v="ABR-19"/>
    <n v="1"/>
    <s v="2018985"/>
    <s v="SR MANTENIMIENTO CORRECTIVO"/>
    <s v="8045"/>
    <s v="02/04/2019 15:33"/>
    <s v="0Y4X843007"/>
    <s v="800188"/>
    <s v="PITSS"/>
    <s v="ASP"/>
    <x v="47"/>
    <s v="CARRETERA FEDERAL IRAPUATO-ABASOLO KM 10.6"/>
    <s v="Guanajuato-GTO"/>
    <n v="0"/>
    <s v="INTERIOR"/>
    <n v="88"/>
    <s v="&gt;60"/>
    <s v="Office Digital"/>
    <s v="A3"/>
    <s v="Ciudad principal"/>
    <s v="2-&gt;60"/>
    <n v="1.1000000000000001"/>
    <n v="1501.5000000000002"/>
    <n v="1"/>
    <n v="2.4500000000000002"/>
    <n v="5"/>
    <n v="0.49000000000000005"/>
    <n v="0"/>
    <n v="0"/>
    <d v="2019-04-03T00:00:00"/>
    <d v="2019-04-04T00:00:00"/>
    <n v="1"/>
    <s v="0-1 día"/>
    <n v="0"/>
    <n v="0"/>
    <n v="0"/>
    <n v="1501.5000000000002"/>
  </r>
  <r>
    <s v="ABR-19"/>
    <n v="1"/>
    <s v="2019399"/>
    <s v="SR MANTENIMIENTO CORRECTIVO"/>
    <s v="8045"/>
    <s v="03/04/2019 11:37"/>
    <s v="0Y4X843005"/>
    <s v="800188"/>
    <s v="PITSS"/>
    <s v="ASP"/>
    <x v="47"/>
    <s v="CARRETERA FEDERAL IRAPUATO-ABASOLO KM 10.6"/>
    <s v="Guanajuato-GTO"/>
    <n v="0"/>
    <s v="INTERIOR"/>
    <n v="191"/>
    <s v="&gt;60"/>
    <s v="Office Digital"/>
    <s v="A3"/>
    <s v="Ciudad principal"/>
    <s v="2-&gt;60"/>
    <n v="1.1000000000000001"/>
    <n v="1501.5000000000002"/>
    <n v="1"/>
    <n v="0.88"/>
    <n v="5"/>
    <n v="0.17599999999999999"/>
    <n v="0"/>
    <n v="0"/>
    <d v="2019-04-03T00:00:00"/>
    <d v="2019-04-04T00:00:00"/>
    <n v="1"/>
    <s v="0-1 día"/>
    <n v="0"/>
    <n v="0"/>
    <n v="0"/>
    <n v="1501.5000000000002"/>
  </r>
  <r>
    <s v="ABR-19"/>
    <n v="1"/>
    <s v="2018859"/>
    <s v="SR MANTENIMIENTO CORRECTIVO"/>
    <s v="7835"/>
    <s v="02/04/2019 12:02"/>
    <s v="0MX1186333"/>
    <s v="500158"/>
    <s v="PITSS"/>
    <s v="ASP"/>
    <x v="18"/>
    <s v="PROL HERMANOS ESCOBAR No 7151-E"/>
    <s v="Ciudad Juarez-CHIH"/>
    <n v="0"/>
    <s v="INTERIOR"/>
    <n v="75"/>
    <s v="&gt;60"/>
    <s v="A3 Office Color Laser MFPs"/>
    <s v="A3"/>
    <s v="Ciudad principal"/>
    <s v="2-&gt;60"/>
    <n v="1.1000000000000001"/>
    <n v="1501.5000000000002"/>
    <n v="1"/>
    <n v="4.3"/>
    <n v="5"/>
    <n v="0.86"/>
    <n v="0"/>
    <n v="0"/>
    <d v="2019-04-03T00:00:00"/>
    <d v="2019-04-04T00:00:00"/>
    <n v="1"/>
    <s v="0-1 día"/>
    <n v="0"/>
    <n v="0"/>
    <n v="0"/>
    <n v="1501.5000000000002"/>
  </r>
  <r>
    <s v="ABR-19"/>
    <n v="1"/>
    <s v="2018981"/>
    <s v="SR MANTENIMIENTO CORRECTIVO"/>
    <s v="4000"/>
    <s v="02/04/2019 15:32"/>
    <s v="06HB015881"/>
    <s v="800188"/>
    <s v="PITSS"/>
    <s v="ASP"/>
    <x v="47"/>
    <s v="CARRETERA FEDERAL IRAPUATO-ABASOLO KM 10.6"/>
    <s v="Guanajuato-GTO"/>
    <n v="0"/>
    <s v="INTERIOR"/>
    <n v="190"/>
    <s v="&gt;60"/>
    <s v="Entry Mono Printers"/>
    <s v="A4"/>
    <s v="Ciudad principal"/>
    <s v="1-&gt;60"/>
    <n v="1.05"/>
    <n v="750.75000000000011"/>
    <n v="1"/>
    <n v="3.97"/>
    <n v="5"/>
    <n v="0.79400000000000004"/>
    <n v="0"/>
    <n v="0"/>
    <d v="2019-04-03T00:00:00"/>
    <d v="2019-04-04T00:00:00"/>
    <n v="1"/>
    <s v="0-1 día"/>
    <n v="0"/>
    <n v="0"/>
    <n v="0"/>
    <n v="750.75000000000011"/>
  </r>
  <r>
    <s v="ABR-19"/>
    <n v="1"/>
    <s v="2019307"/>
    <s v="SR MANTENIMIENTO CORRECTIVO"/>
    <s v="8045"/>
    <s v="03/04/2019 09:53"/>
    <s v="0Y4X848630"/>
    <s v="000195"/>
    <s v="PITSS"/>
    <s v="ASP"/>
    <x v="6"/>
    <s v="ACUEDUCTO No 92"/>
    <s v="TLALPAN-CIUDAD DE ME"/>
    <n v="1"/>
    <s v="METRO"/>
    <n v="19"/>
    <s v="Entre 16 y 30"/>
    <s v="Office Digital"/>
    <s v="A3"/>
    <s v="Ciudad principal"/>
    <s v="2-Entre 16 y 30"/>
    <n v="0.8"/>
    <n v="0"/>
    <n v="1"/>
    <n v="6.42"/>
    <n v="5"/>
    <n v="1.284"/>
    <n v="7.1000000000000008E-2"/>
    <n v="0"/>
    <d v="2019-04-03T00:00:00"/>
    <d v="2019-04-04T00:00:00"/>
    <n v="1"/>
    <s v="0-1 día"/>
    <n v="0"/>
    <n v="0"/>
    <n v="0"/>
    <n v="0"/>
  </r>
  <r>
    <s v="ABR-19"/>
    <n v="1"/>
    <s v="2019519"/>
    <s v="SR MANTENIMIENTO CORRECTIVO"/>
    <s v="8045"/>
    <s v="03/04/2019 14:15"/>
    <s v="Y4X830295"/>
    <s v="100038"/>
    <s v="PITSS"/>
    <s v="ASP"/>
    <x v="9"/>
    <s v="IGNACIO LOPEZ RAYON No 510"/>
    <s v="TOLUCA DE LERDO-MEX"/>
    <n v="0"/>
    <s v="INTERIOR"/>
    <n v="160"/>
    <s v="&gt;60"/>
    <s v="Office Digital"/>
    <s v="A3"/>
    <s v="Ciudad principal"/>
    <s v="2-&gt;60"/>
    <n v="1.1000000000000001"/>
    <n v="1501.5000000000002"/>
    <n v="1"/>
    <n v="1.75"/>
    <n v="5"/>
    <n v="0.35"/>
    <n v="0"/>
    <n v="0"/>
    <d v="2019-04-03T00:00:00"/>
    <d v="2019-04-04T00:00:00"/>
    <n v="1"/>
    <s v="0-1 día"/>
    <n v="0"/>
    <n v="0"/>
    <n v="0"/>
    <n v="1501.5000000000002"/>
  </r>
  <r>
    <s v="ABR-19"/>
    <n v="1"/>
    <s v="2019443"/>
    <s v="SR MANTENIMIENTO CORRECTIVO"/>
    <s v="5945"/>
    <s v="03/04/2019 12:16"/>
    <s v="0X76707246"/>
    <s v="500089"/>
    <s v="PITSS"/>
    <s v="ASP"/>
    <x v="25"/>
    <s v="AV HERMANOS ESCOBAR No 5756"/>
    <s v="Ciudad Juarez-CHIH"/>
    <n v="1"/>
    <s v="INTERIOR"/>
    <n v="134"/>
    <s v="&gt;60"/>
    <s v="Office Digital"/>
    <s v="A3"/>
    <s v="Ciudad principal"/>
    <s v="2-&gt;60"/>
    <n v="1.1000000000000001"/>
    <n v="0"/>
    <n v="1"/>
    <n v="3.23"/>
    <n v="5"/>
    <n v="0.64600000000000002"/>
    <n v="0"/>
    <n v="0"/>
    <d v="2019-04-03T00:00:00"/>
    <d v="2019-04-04T00:00:00"/>
    <n v="1"/>
    <s v="0-1 día"/>
    <n v="0"/>
    <n v="0"/>
    <n v="0"/>
    <n v="0"/>
  </r>
  <r>
    <s v="ABR-19"/>
    <n v="1"/>
    <s v="2018645"/>
    <s v="SR MANTENIMIENTO CORRECTIVO"/>
    <s v="4626"/>
    <s v="02/04/2019 08:07"/>
    <s v="0D6X468206"/>
    <s v="800200"/>
    <s v="PITSS"/>
    <s v="ASP"/>
    <x v="48"/>
    <s v="CARRETERA BASE AEREA No 5850-23"/>
    <s v="Zapopan-JAL"/>
    <n v="0"/>
    <s v="INTERIOR"/>
    <n v="5"/>
    <s v="Entre 3 y 6"/>
    <s v="Entry Mono Printers"/>
    <s v="A4"/>
    <s v="Ciudad principal"/>
    <s v="1-Entre 3 y 6"/>
    <n v="0"/>
    <n v="0"/>
    <n v="1"/>
    <n v="2.2200000000000002"/>
    <n v="5"/>
    <n v="0.44400000000000006"/>
    <n v="0"/>
    <n v="0"/>
    <d v="2019-04-03T00:00:00"/>
    <d v="2019-04-04T00:00:00"/>
    <n v="1"/>
    <s v="0-1 día"/>
    <n v="0"/>
    <n v="0"/>
    <n v="0"/>
    <n v="0"/>
  </r>
  <r>
    <s v="ABR-19"/>
    <n v="1"/>
    <s v="2019611"/>
    <s v="SR MANTENIMIENTO CORRECTIVO"/>
    <s v="7855"/>
    <s v="03/04/2019 16:57"/>
    <s v="0MX4465117"/>
    <s v="500056"/>
    <s v="PITSS"/>
    <s v="ASP"/>
    <x v="7"/>
    <s v="BLV MIGUEL HIDALGO 155"/>
    <s v="Reynosa-TAM"/>
    <n v="0"/>
    <s v="INTERIOR"/>
    <n v="84"/>
    <s v="&gt;60"/>
    <s v="A3 Office Color Laser MFPs"/>
    <s v="A3"/>
    <s v="Ciudad principal"/>
    <s v="2-&gt;60"/>
    <n v="1.1000000000000001"/>
    <n v="1501.5000000000002"/>
    <n v="1"/>
    <n v="0.55000000000000004"/>
    <n v="5"/>
    <n v="0.11000000000000001"/>
    <n v="0"/>
    <n v="0"/>
    <d v="2019-04-04T00:00:00"/>
    <d v="2019-04-04T00:00:00"/>
    <n v="0"/>
    <s v="0-1 día"/>
    <n v="0"/>
    <n v="0"/>
    <n v="0"/>
    <n v="1501.5000000000002"/>
  </r>
  <r>
    <s v="ABR-19"/>
    <n v="1"/>
    <s v="2018771"/>
    <s v="SR MANTENIMIENTO CORRECTIVO"/>
    <s v="3635"/>
    <s v="02/04/2019 10:55"/>
    <s v="0LBT206071"/>
    <s v="500157"/>
    <s v="PITSS"/>
    <s v="ASP"/>
    <x v="18"/>
    <s v="AV EJE VIAL JUAN GABRIEL No 2245"/>
    <s v="Ciudad Juarez-CHIH"/>
    <n v="0"/>
    <s v="INTERIOR"/>
    <n v="88"/>
    <s v="&gt;60"/>
    <s v="A4 Mono MFPs"/>
    <s v="A4"/>
    <s v="Ciudad principal"/>
    <s v="1-&gt;60"/>
    <n v="1.05"/>
    <n v="750.75000000000011"/>
    <n v="1"/>
    <n v="1.58"/>
    <n v="5"/>
    <n v="0.316"/>
    <n v="0"/>
    <n v="0"/>
    <d v="2019-04-04T00:00:00"/>
    <d v="2019-04-04T00:00:00"/>
    <n v="0"/>
    <s v="0-1 día"/>
    <n v="0"/>
    <n v="0"/>
    <n v="0"/>
    <n v="750.75000000000011"/>
  </r>
  <r>
    <s v="ABR-19"/>
    <n v="1"/>
    <s v="2017579"/>
    <s v="SR MANTENIMIENTO CORRECTIVO"/>
    <s v="4395"/>
    <s v="31/03/2019 18:15"/>
    <s v="0BG2945208"/>
    <s v="500083"/>
    <s v="PITSS"/>
    <s v="ASP"/>
    <x v="7"/>
    <s v="AV REVOLUCION 2703, LOC SA-01"/>
    <s v="Monterrey-NL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0"/>
    <n v="4"/>
    <n v="0"/>
    <n v="0"/>
    <n v="0"/>
    <d v="2019-04-04T00:00:00"/>
    <d v="2019-04-04T00:00:00"/>
    <n v="0"/>
    <s v="0-1 día"/>
    <n v="0"/>
    <n v="0"/>
    <n v="0"/>
    <n v="943.80000000000007"/>
  </r>
  <r>
    <s v="ABR-19"/>
    <n v="1"/>
    <s v="2019605"/>
    <s v="SR MANTENIMIENTO CORRECTIVO"/>
    <s v="0070"/>
    <s v="03/04/2019 16:55"/>
    <s v="0E2B666269"/>
    <s v="800186"/>
    <s v="PITSS"/>
    <s v="ASP"/>
    <x v="14"/>
    <s v="AV 5 DE FEBRERO 9200"/>
    <s v="QUERETARO-QRO"/>
    <n v="0"/>
    <s v="INTERIOR"/>
    <n v="6"/>
    <s v="Entre 3 y 6"/>
    <s v="Entry Production Color Low/Mid"/>
    <s v="Entry Production"/>
    <s v="Ciudad principal"/>
    <s v="3-Entre 3 y 6"/>
    <n v="0.6"/>
    <n v="943.80000000000007"/>
    <n v="1"/>
    <n v="0.57999999999999996"/>
    <n v="4"/>
    <n v="0.14499999999999999"/>
    <n v="0"/>
    <n v="0"/>
    <d v="2019-04-04T00:00:00"/>
    <d v="2019-04-04T00:00:00"/>
    <n v="0"/>
    <s v="0-1 día"/>
    <n v="0"/>
    <n v="0"/>
    <n v="0"/>
    <n v="943.80000000000007"/>
  </r>
  <r>
    <s v="ABR-19"/>
    <n v="1"/>
    <s v="2015329"/>
    <s v="SR RETIRO DE EQUIPO DEFINITIVO"/>
    <s v="5867"/>
    <s v="26/03/2019 13:18"/>
    <s v="0EX7381699"/>
    <s v="500089"/>
    <s v="PITSS"/>
    <s v="ASP"/>
    <x v="23"/>
    <s v="RAFAEL PEREZ SERNA Y HENRY DUNANT"/>
    <s v="CIUDAD JUAREZ-CHIH"/>
    <n v="0"/>
    <s v="INTERIOR"/>
    <s v="  "/>
    <s v="&gt;60"/>
    <s v="Office Digital"/>
    <s v="A3"/>
    <s v="Ciudad principal"/>
    <s v="2-&gt;60"/>
    <n v="1"/>
    <n v="1365"/>
    <n v="0"/>
    <n v="5"/>
    <n v="5"/>
    <n v="1"/>
    <n v="0"/>
    <n v="0"/>
    <d v="2019-04-03T00:00:00"/>
    <d v="2019-04-04T00:00:00"/>
    <n v="1"/>
    <s v="0-1 día"/>
    <n v="0"/>
    <n v="0"/>
    <n v="0"/>
    <n v="1365"/>
  </r>
  <r>
    <s v="ABR-19"/>
    <n v="1"/>
    <s v="2015327"/>
    <s v="SR INSTALACION DE EQUIPO"/>
    <s v="8045"/>
    <s v="26/03/2019 13:17"/>
    <s v="0Y4X859271"/>
    <s v="500089"/>
    <s v="PITSS"/>
    <s v="ASP"/>
    <x v="3"/>
    <s v="RAFAEL PEREZ SERNA Y HENRY DUNANT"/>
    <s v="Ciudad Juarez-CHIH"/>
    <n v="0"/>
    <s v="INTERIOR"/>
    <s v="  "/>
    <s v="&gt;60"/>
    <s v="Office Digital"/>
    <s v="A3"/>
    <s v="Ciudad principal"/>
    <s v="2-&gt;60"/>
    <n v="1"/>
    <n v="2047.5"/>
    <n v="0"/>
    <n v="5"/>
    <n v="5"/>
    <n v="1"/>
    <n v="0"/>
    <n v="0"/>
    <d v="2019-04-03T00:00:00"/>
    <d v="2019-04-04T00:00:00"/>
    <n v="1"/>
    <s v="0-1 día"/>
    <n v="0"/>
    <n v="0"/>
    <n v="0"/>
    <n v="2047.5"/>
  </r>
  <r>
    <s v="ABR-19"/>
    <n v="1"/>
    <s v="2016849"/>
    <s v="SR INSTALACION DE EQUIPO"/>
    <s v="8045"/>
    <s v="29/03/2019 08:43"/>
    <s v="0Y4X859271"/>
    <s v="500089"/>
    <s v="PITSS"/>
    <s v="ASP"/>
    <x v="3"/>
    <s v="RAFAEL PEREZ SERNA Y HENRY DUNANT"/>
    <s v="Ciudad Juarez-CHIH"/>
    <n v="0"/>
    <s v="INTERIOR"/>
    <s v="  "/>
    <s v="&gt;60"/>
    <s v="Office Digital"/>
    <s v="A3"/>
    <s v="Ciudad principal"/>
    <s v="2-&gt;60"/>
    <n v="1"/>
    <n v="2047.5"/>
    <n v="0"/>
    <n v="5"/>
    <n v="5"/>
    <n v="1"/>
    <n v="0"/>
    <n v="0"/>
    <d v="2019-04-03T00:00:00"/>
    <d v="2019-04-04T00:00:00"/>
    <n v="1"/>
    <s v="0-1 día"/>
    <n v="0"/>
    <n v="0"/>
    <n v="0"/>
    <n v="2047.5"/>
  </r>
  <r>
    <s v="ABR-19"/>
    <n v="1"/>
    <s v="2019631"/>
    <s v="SR MANTENIMIENTO CORRECTIVO"/>
    <s v="8075"/>
    <s v="03/04/2019 17:26"/>
    <s v="03AG880318"/>
    <s v="500066"/>
    <s v="PITSS"/>
    <s v="ASP"/>
    <x v="14"/>
    <s v="EUGENIO GARZA SADA 3525"/>
    <s v="Monterrey-NL"/>
    <n v="0"/>
    <s v="INTERIOR"/>
    <n v="1"/>
    <s v="&lt;=3"/>
    <s v="Departmental Digital"/>
    <s v="A3"/>
    <s v="Ciudad principal"/>
    <s v="2-&lt;=3"/>
    <n v="0"/>
    <n v="0"/>
    <n v="1"/>
    <n v="7.0000000000000007E-2"/>
    <n v="5"/>
    <n v="1.4000000000000002E-2"/>
    <n v="0"/>
    <n v="0"/>
    <d v="2019-04-04T00:00:00"/>
    <d v="2019-04-04T00:00:00"/>
    <n v="0"/>
    <s v="0-1 día"/>
    <n v="0"/>
    <n v="0"/>
    <n v="0"/>
    <n v="0"/>
  </r>
  <r>
    <s v="ABR-19"/>
    <n v="1"/>
    <s v="2019645"/>
    <s v="SR MANTENIMIENTO CORRECTIVO"/>
    <s v="5866"/>
    <s v="03/04/2019 18:11"/>
    <s v="0EX9665131"/>
    <s v="800110"/>
    <s v="PITSS"/>
    <s v="ASP"/>
    <x v="14"/>
    <s v="ENRIQUE RAMIREZ No 445"/>
    <s v="Morelia-MICH"/>
    <n v="0"/>
    <s v="INTERIOR"/>
    <n v="14"/>
    <s v="Entre 7 y 15"/>
    <s v="Departmental Digital"/>
    <s v="A3"/>
    <s v="Ciudad principal"/>
    <s v="2-Entre 7 y 15"/>
    <n v="0.6"/>
    <n v="819"/>
    <n v="1"/>
    <n v="2"/>
    <n v="5"/>
    <n v="0.4"/>
    <n v="0"/>
    <n v="0"/>
    <d v="2019-04-04T00:00:00"/>
    <d v="2019-04-04T00:00:00"/>
    <n v="0"/>
    <s v="0-1 día"/>
    <n v="0"/>
    <n v="0"/>
    <n v="0"/>
    <n v="819"/>
  </r>
  <r>
    <s v="ABR-19"/>
    <n v="1"/>
    <s v="2019577"/>
    <s v="SR MANTENIMIENTO CORRECTIVO"/>
    <s v="4002"/>
    <s v="03/04/2019 15:53"/>
    <s v="09HB325676"/>
    <s v="800188"/>
    <s v="PITSS"/>
    <s v="ASP"/>
    <x v="16"/>
    <s v="BLVD ADOLFO LOPEZ MATEOS No 1013"/>
    <s v="Celaya-GTO"/>
    <n v="0"/>
    <s v="INTERIOR"/>
    <n v="412"/>
    <s v="&gt;60"/>
    <s v="A4 Mono MFPs"/>
    <s v="A4"/>
    <s v="Ciudad principal"/>
    <s v="1-&gt;60"/>
    <n v="1.05"/>
    <n v="750.75000000000011"/>
    <n v="1"/>
    <n v="2.7"/>
    <n v="5"/>
    <n v="0.54"/>
    <n v="0"/>
    <n v="0"/>
    <d v="2019-04-04T00:00:00"/>
    <d v="2019-04-04T00:00:00"/>
    <n v="0"/>
    <s v="0-1 día"/>
    <n v="0"/>
    <n v="0"/>
    <n v="0"/>
    <n v="750.75000000000011"/>
  </r>
  <r>
    <s v="ABR-19"/>
    <n v="1"/>
    <s v="2019295"/>
    <s v="SR MANTENIMIENTO CORRECTIVO"/>
    <s v="7025"/>
    <s v="03/04/2019 09:32"/>
    <s v="07CX043832"/>
    <s v="800072"/>
    <s v="PITSS"/>
    <s v="ASP"/>
    <x v="31"/>
    <s v="AV. ADOLFO LOPEZ MATEOS NORTE 2405"/>
    <s v="Guadalajara-JAL"/>
    <n v="0"/>
    <s v="INTERIOR"/>
    <n v="103"/>
    <s v="&gt;60"/>
    <s v="Office Digital"/>
    <s v="A3"/>
    <s v="Ciudad principal"/>
    <s v="2-&gt;60"/>
    <n v="1.1000000000000001"/>
    <n v="1501.5000000000002"/>
    <n v="1"/>
    <n v="1.7199999999999998"/>
    <n v="5"/>
    <n v="0.34399999999999997"/>
    <n v="0"/>
    <n v="0"/>
    <d v="2019-04-04T00:00:00"/>
    <d v="2019-04-04T00:00:00"/>
    <n v="0"/>
    <s v="0-1 día"/>
    <n v="0"/>
    <n v="0"/>
    <n v="0"/>
    <n v="1501.5000000000002"/>
  </r>
  <r>
    <s v="ABR-19"/>
    <n v="1"/>
    <s v="2019603"/>
    <s v="SR MANTENIMIENTO CORRECTIVO"/>
    <s v="0070"/>
    <s v="03/04/2019 16:56"/>
    <s v="0E2B653886"/>
    <s v="500028"/>
    <s v="PITSS"/>
    <s v="ASP"/>
    <x v="7"/>
    <s v="AV UNIVERSIDAD 401 NTE"/>
    <s v="SAN NICOLAS DE LOS G"/>
    <n v="0"/>
    <s v="INTERIOR"/>
    <n v="22"/>
    <s v="Entre 16 y 30"/>
    <s v="Entry Production Color Low/Mid"/>
    <s v="Entry Production"/>
    <s v="Ciudad principal"/>
    <s v="3-Entre 16 y 30"/>
    <n v="1.05"/>
    <n v="1651.6500000000003"/>
    <n v="1"/>
    <n v="0.56999999999999995"/>
    <n v="4"/>
    <n v="0.14249999999999999"/>
    <n v="0"/>
    <n v="0"/>
    <d v="2019-04-04T00:00:00"/>
    <d v="2019-04-04T00:00:00"/>
    <n v="0"/>
    <s v="0-1 día"/>
    <n v="0"/>
    <n v="0"/>
    <n v="0"/>
    <n v="1651.6500000000003"/>
  </r>
  <r>
    <s v="ABR-19"/>
    <n v="1"/>
    <s v="2019563"/>
    <s v="SR MANTENIMIENTO CORRECTIVO"/>
    <s v="4002"/>
    <s v="03/04/2019 14:58"/>
    <s v="09HB331671"/>
    <s v="000195"/>
    <s v="PITSS"/>
    <s v="ASP"/>
    <x v="6"/>
    <s v="AV TLATILCO No 239"/>
    <s v="Azcapotzalco-CIUDAD"/>
    <n v="1"/>
    <s v="METRO"/>
    <n v="195"/>
    <s v="&gt;60"/>
    <s v="A4 Mono MFPs"/>
    <s v="A4"/>
    <s v="Ciudad principal"/>
    <s v="1-&gt;60"/>
    <n v="1.05"/>
    <n v="0"/>
    <n v="1"/>
    <n v="2.5299999999999998"/>
    <n v="5"/>
    <n v="0.50600000000000001"/>
    <n v="0"/>
    <n v="0"/>
    <d v="2019-04-04T00:00:00"/>
    <d v="2019-04-04T00:00:00"/>
    <n v="0"/>
    <s v="0-1 día"/>
    <n v="0"/>
    <n v="0"/>
    <n v="0"/>
    <n v="0"/>
  </r>
  <r>
    <s v="ABR-19"/>
    <n v="1"/>
    <s v="2019881"/>
    <s v="SR MANTENIMIENTO CORRECTIVO"/>
    <s v="5866"/>
    <s v="04/04/2019 09:31"/>
    <s v="0EX9664780"/>
    <s v="500018"/>
    <s v="PITSS"/>
    <s v="ASP"/>
    <x v="3"/>
    <s v="AV MARTIRES DE SONORA 1006"/>
    <s v="DURANGO-DGO"/>
    <n v="0"/>
    <s v="INTERIOR"/>
    <n v="9"/>
    <s v="Entre 7 y 15"/>
    <s v="Departmental Digital"/>
    <s v="A3"/>
    <s v="Ciudad principal"/>
    <s v="2-Entre 7 y 15"/>
    <n v="0.6"/>
    <n v="819"/>
    <n v="1"/>
    <n v="0.46"/>
    <n v="5"/>
    <n v="9.1999999999999998E-2"/>
    <n v="0"/>
    <n v="0"/>
    <d v="2019-04-04T00:00:00"/>
    <d v="2019-04-04T00:00:00"/>
    <n v="0"/>
    <s v="0-1 día"/>
    <n v="0"/>
    <n v="0"/>
    <n v="0"/>
    <n v="819"/>
  </r>
  <r>
    <s v="ABR-19"/>
    <n v="1"/>
    <s v="2019659"/>
    <s v="SR MANTENIMIENTO CORRECTIVO"/>
    <s v="6655"/>
    <s v="03/04/2019 20:58"/>
    <s v="0E1B980062"/>
    <s v="100037"/>
    <s v="PITSS"/>
    <s v="ASP"/>
    <x v="49"/>
    <s v="AV DE LA INDUSTRIA AUTOMOTRIZ No 7 MZ-4 LT-3"/>
    <s v="Mexico-MEX"/>
    <n v="0"/>
    <s v="INTERIOR"/>
    <n v="117"/>
    <s v="&gt;60"/>
    <s v="A4 Color Laser MFPs"/>
    <s v="A4"/>
    <s v="Ciudad principal"/>
    <s v="1-&gt;60"/>
    <n v="1.05"/>
    <n v="750.75000000000011"/>
    <n v="1"/>
    <n v="1.5"/>
    <n v="5"/>
    <n v="0.3"/>
    <n v="0"/>
    <n v="0"/>
    <d v="2019-04-04T00:00:00"/>
    <d v="2019-04-04T00:00:00"/>
    <n v="0"/>
    <s v="0-1 día"/>
    <n v="0"/>
    <n v="0"/>
    <n v="0"/>
    <n v="750.75000000000011"/>
  </r>
  <r>
    <s v="ABR-19"/>
    <n v="1"/>
    <s v="2018817"/>
    <s v="SR MANTENIMIENTO CORRECTIVO"/>
    <s v="3616"/>
    <s v="02/04/2019 11:30"/>
    <s v="0A2T380265"/>
    <s v="800027"/>
    <s v="PITSS"/>
    <s v="ASP"/>
    <x v="50"/>
    <s v="AV. MARIANO OTERO NO 2510-2"/>
    <s v="Guadalajara-JAL"/>
    <n v="0"/>
    <s v="INTERIOR"/>
    <n v="119"/>
    <s v="&gt;60"/>
    <s v="A4 Mono MFPs"/>
    <s v="A4"/>
    <s v="Ciudad principal"/>
    <s v="1-&gt;60"/>
    <n v="1.05"/>
    <n v="750.75000000000011"/>
    <n v="1"/>
    <n v="3.8000000000000003"/>
    <n v="5"/>
    <n v="0.76"/>
    <n v="0"/>
    <n v="0"/>
    <d v="2019-04-04T00:00:00"/>
    <d v="2019-04-04T00:00:00"/>
    <n v="0"/>
    <s v="0-1 día"/>
    <n v="0"/>
    <n v="0"/>
    <n v="0"/>
    <n v="750.75000000000011"/>
  </r>
  <r>
    <s v="ABR-19"/>
    <n v="1"/>
    <s v="2019013"/>
    <s v="SR MANTENIMIENTO CORRECTIVO"/>
    <s v="8075"/>
    <s v="02/04/2019 16:13"/>
    <s v="03AG880355"/>
    <s v="800072"/>
    <s v="PITSS"/>
    <s v="ASP"/>
    <x v="14"/>
    <s v="AV MEXICO 3370"/>
    <s v="Zapopan-JAL"/>
    <n v="0"/>
    <s v="INTERIOR"/>
    <n v="6"/>
    <s v="Entre 3 y 6"/>
    <s v="Departmental Digital"/>
    <s v="A3"/>
    <s v="Ciudad principal"/>
    <s v="2-Entre 3 y 6"/>
    <n v="0"/>
    <n v="0"/>
    <n v="1"/>
    <n v="1.28"/>
    <n v="5"/>
    <n v="0.25600000000000001"/>
    <n v="0"/>
    <n v="0"/>
    <d v="2019-04-03T00:00:00"/>
    <d v="2019-04-04T00:00:00"/>
    <n v="1"/>
    <s v="0-1 día"/>
    <n v="0"/>
    <n v="0"/>
    <n v="0"/>
    <n v="0"/>
  </r>
  <r>
    <s v="ABR-19"/>
    <n v="1"/>
    <s v="2017883"/>
    <s v="SR MANTENIMIENTO CORRECTIVO"/>
    <s v="6705"/>
    <s v="01/04/2019 08:48"/>
    <s v="0A1H020735"/>
    <s v="500157"/>
    <s v="PITSS"/>
    <s v="ASP"/>
    <x v="7"/>
    <s v="AV PASEO TRIUNFO LA REP 6321"/>
    <s v="CIUDAD JUAREZ-CHIH"/>
    <n v="0"/>
    <s v="INTERIOR"/>
    <n v="47"/>
    <s v="Entre 31 y 60"/>
    <s v="WF Mono Systems and Legacy Color"/>
    <s v="WF"/>
    <s v="Ciudad principal"/>
    <s v="3-Entre 31 y 60"/>
    <n v="1.1000000000000001"/>
    <n v="1730.3000000000004"/>
    <n v="1"/>
    <n v="4.45"/>
    <n v="4"/>
    <n v="1.1125"/>
    <n v="2.8125000000000011E-2"/>
    <n v="-44.240625000000023"/>
    <d v="2019-04-04T00:00:00"/>
    <d v="2019-04-04T00:00:00"/>
    <n v="0"/>
    <s v="0-1 día"/>
    <n v="0"/>
    <n v="0"/>
    <n v="0"/>
    <n v="1686.0593750000003"/>
  </r>
  <r>
    <s v="ABR-19"/>
    <n v="1"/>
    <s v="2018273"/>
    <s v="SR MANTENIMIENTO CORRECTIVO"/>
    <s v="4002"/>
    <s v="01/04/2019 14:34"/>
    <s v="9HB329578"/>
    <s v="800187"/>
    <s v="PITSS"/>
    <s v="ASP"/>
    <x v="51"/>
    <s v="AV CAMPANARIO 99 C-36"/>
    <s v="QUERETARO-QRO"/>
    <n v="0"/>
    <s v="INTERIOR"/>
    <n v="2678"/>
    <s v="&gt;60"/>
    <s v="A4 Mono MFPs"/>
    <s v="A4"/>
    <s v="Ciudad principal"/>
    <s v="1-&gt;60"/>
    <n v="1.05"/>
    <n v="750.75000000000011"/>
    <n v="1"/>
    <n v="3.35"/>
    <n v="5"/>
    <n v="0.67"/>
    <n v="0"/>
    <n v="0"/>
    <d v="2019-04-04T00:00:00"/>
    <d v="2019-04-04T00:00:00"/>
    <n v="0"/>
    <s v="0-1 día"/>
    <n v="0"/>
    <n v="0"/>
    <n v="0"/>
    <n v="750.75000000000011"/>
  </r>
  <r>
    <s v="ABR-19"/>
    <n v="1"/>
    <s v="2013303"/>
    <s v="SR MANTENIMIENTO CORRECTIVO"/>
    <s v="4395"/>
    <s v="22/03/2019 09:45"/>
    <s v="0BG2948893"/>
    <s v="500083"/>
    <s v="PITSS"/>
    <s v="ASP"/>
    <x v="7"/>
    <s v="MORELOS No 406 ORIENTE"/>
    <s v="Monterrey-NL"/>
    <n v="0"/>
    <s v="INTERIOR"/>
    <n v="63"/>
    <s v="&gt;60"/>
    <s v="Light Production Digital Business"/>
    <s v="Entry Production"/>
    <s v="Ciudad principal"/>
    <s v="3-&gt;60"/>
    <n v="1.1499999999999999"/>
    <n v="1808.95"/>
    <n v="1"/>
    <n v="3.47"/>
    <n v="4"/>
    <n v="0.86750000000000005"/>
    <n v="0"/>
    <n v="0"/>
    <d v="2019-04-04T00:00:00"/>
    <d v="2019-04-04T00:00:00"/>
    <n v="0"/>
    <s v="0-1 día"/>
    <n v="0"/>
    <n v="0"/>
    <n v="0"/>
    <n v="1808.95"/>
  </r>
  <r>
    <s v="ABR-19"/>
    <n v="1"/>
    <s v="2019883"/>
    <s v="SR MANTENIMIENTO CORRECTIVO"/>
    <s v="5866"/>
    <s v="04/04/2019 09:38"/>
    <s v="0EX9293159"/>
    <s v="800146"/>
    <s v="PITSS"/>
    <s v="ASP"/>
    <x v="14"/>
    <s v="BLVD ADOLFO LOPEZ MATEOS 2540"/>
    <s v="LEON-GTO"/>
    <n v="0"/>
    <s v="INTERIOR"/>
    <n v="28"/>
    <s v="Entre 16 y 30"/>
    <s v="Departmental Digital"/>
    <s v="A3"/>
    <s v="Ciudad principal"/>
    <s v="2-Entre 16 y 30"/>
    <n v="0.8"/>
    <n v="1092"/>
    <n v="1"/>
    <n v="0.62"/>
    <n v="5"/>
    <n v="0.124"/>
    <n v="0"/>
    <n v="0"/>
    <d v="2019-04-04T00:00:00"/>
    <d v="2019-04-04T00:00:00"/>
    <n v="0"/>
    <s v="0-1 día"/>
    <n v="0"/>
    <n v="0"/>
    <n v="0"/>
    <n v="1092"/>
  </r>
  <r>
    <s v="ABR-19"/>
    <n v="1"/>
    <s v="2019895"/>
    <s v="SR MANTENIMIENTO CORRECTIVO"/>
    <s v="8075"/>
    <s v="04/04/2019 09:48"/>
    <s v="03AG880377"/>
    <s v="800146"/>
    <s v="PITSS"/>
    <s v="ASP"/>
    <x v="14"/>
    <s v="BLVD ADOLFO LOPEZ MATEOS 2540"/>
    <s v="LEON-GTO"/>
    <n v="0"/>
    <s v="INTERIOR"/>
    <n v="3"/>
    <s v="&lt;=3"/>
    <s v="Departmental Digital"/>
    <s v="A3"/>
    <s v="Ciudad principal"/>
    <s v="2-&lt;=3"/>
    <n v="0"/>
    <n v="0"/>
    <n v="1"/>
    <n v="1.28"/>
    <n v="5"/>
    <n v="0.25600000000000001"/>
    <n v="0"/>
    <n v="0"/>
    <d v="2019-04-04T00:00:00"/>
    <d v="2019-04-04T00:00:00"/>
    <n v="0"/>
    <s v="0-1 día"/>
    <n v="0"/>
    <n v="0"/>
    <n v="0"/>
    <n v="0"/>
  </r>
  <r>
    <s v="ABR-19"/>
    <n v="1"/>
    <s v="2019451"/>
    <s v="SR INSTALACION DE EQUIPO"/>
    <s v="3346"/>
    <s v="03/04/2019 12:44"/>
    <s v="03BT801964"/>
    <s v="800186"/>
    <s v="PITSS"/>
    <s v="ASP"/>
    <x v="10"/>
    <s v="AV  ZARAGOZA 396"/>
    <s v="QUERETARO-QRO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4-04T00:00:00"/>
    <d v="2019-04-04T00:00:00"/>
    <n v="0"/>
    <s v="0-1 día"/>
    <n v="0"/>
    <n v="0"/>
    <n v="0"/>
    <n v="1072.5000000000002"/>
  </r>
  <r>
    <s v="ABR-19"/>
    <n v="1"/>
    <s v="2019915"/>
    <s v="SR MANTENIMIENTO CORRECTIVO"/>
    <s v="5866"/>
    <s v="04/04/2019 10:24"/>
    <s v="0EX9293145"/>
    <s v="800200"/>
    <s v="PITSS"/>
    <s v="ASP"/>
    <x v="14"/>
    <s v="AV MEXICO 3370"/>
    <s v="Zapopan-JAL"/>
    <n v="0"/>
    <s v="INTERIOR"/>
    <n v="12"/>
    <s v="Entre 7 y 15"/>
    <s v="Departmental Digital"/>
    <s v="A3"/>
    <s v="Ciudad principal"/>
    <s v="2-Entre 7 y 15"/>
    <n v="0.6"/>
    <n v="819"/>
    <n v="1"/>
    <n v="1.4"/>
    <n v="5"/>
    <n v="0.27999999999999997"/>
    <n v="0"/>
    <n v="0"/>
    <d v="2019-04-04T00:00:00"/>
    <d v="2019-04-04T00:00:00"/>
    <n v="0"/>
    <s v="0-1 día"/>
    <n v="0"/>
    <n v="0"/>
    <n v="0"/>
    <n v="819"/>
  </r>
  <r>
    <s v="ABR-19"/>
    <n v="1"/>
    <s v="2018377"/>
    <s v="SR ASISTENCIA A CLIENTES"/>
    <s v="7142"/>
    <s v="01/04/2019 17:53"/>
    <s v="0PW4979941"/>
    <s v="800188"/>
    <s v="PITSS"/>
    <s v="ASP"/>
    <x v="47"/>
    <s v="AUTOPISTA QUERETARO CELAYA KM 16 SN"/>
    <s v="Guanajuato-GTO"/>
    <n v="0"/>
    <s v="INTERIOR"/>
    <s v="  "/>
    <s v="&gt;60"/>
    <s v="WF Mono Systems and Legacy Color"/>
    <s v="WF"/>
    <s v="Ciudad principal"/>
    <s v="3-&gt;60"/>
    <n v="1"/>
    <n v="1573.0000000000002"/>
    <n v="1"/>
    <n v="0.42"/>
    <n v="4"/>
    <n v="0.105"/>
    <n v="0"/>
    <n v="0"/>
    <d v="2019-04-04T00:00:00"/>
    <d v="2019-04-04T00:00:00"/>
    <n v="0"/>
    <s v="0-1 día"/>
    <n v="0"/>
    <n v="0"/>
    <n v="0"/>
    <n v="1573.0000000000002"/>
  </r>
  <r>
    <s v="ABR-19"/>
    <n v="1"/>
    <s v="2019901"/>
    <s v="SR MANTENIMIENTO CORRECTIVO"/>
    <s v="3331"/>
    <s v="04/04/2019 10:07"/>
    <s v="09BR381870"/>
    <s v="500027"/>
    <s v="PITSS"/>
    <s v="ASP"/>
    <x v="39"/>
    <s v="CIRCUITO INTERIOR NORTE No 1820"/>
    <s v="Ciudad Juarez-CHIH"/>
    <n v="1"/>
    <s v="INTERIOR"/>
    <n v="2681"/>
    <s v="&gt;60"/>
    <s v="Entry Mono Printers"/>
    <s v="A4"/>
    <s v="Ciudad principal"/>
    <s v="1-&gt;60"/>
    <n v="1.05"/>
    <n v="0"/>
    <n v="1"/>
    <n v="0.55000000000000004"/>
    <n v="5"/>
    <n v="0.11000000000000001"/>
    <n v="0"/>
    <n v="0"/>
    <d v="2019-04-04T00:00:00"/>
    <d v="2019-04-04T00:00:00"/>
    <n v="0"/>
    <s v="0-1 día"/>
    <n v="0"/>
    <n v="0"/>
    <n v="0"/>
    <n v="0"/>
  </r>
  <r>
    <s v="ABR-19"/>
    <n v="1"/>
    <s v="2019979"/>
    <s v="SR MANTENIMIENTO CORRECTIVO"/>
    <s v="5866"/>
    <s v="04/04/2019 11:22"/>
    <s v="0EX9299931"/>
    <s v="800110"/>
    <s v="PITSS"/>
    <s v="ASP"/>
    <x v="52"/>
    <s v="SANTIAGO TAPIA No 954"/>
    <s v="Morelia-MICH"/>
    <n v="0"/>
    <s v="INTERIOR"/>
    <n v="51"/>
    <s v="Entre 31 y 60"/>
    <s v="Departmental Digital"/>
    <s v="A3"/>
    <s v="Ciudad principal"/>
    <s v="2-Entre 31 y 60"/>
    <n v="1.05"/>
    <n v="1433.25"/>
    <n v="1"/>
    <n v="1.96"/>
    <n v="5"/>
    <n v="0.39200000000000002"/>
    <n v="0"/>
    <n v="0"/>
    <d v="2019-04-04T00:00:00"/>
    <d v="2019-04-04T00:00:00"/>
    <n v="0"/>
    <s v="0-1 día"/>
    <n v="0"/>
    <n v="0"/>
    <n v="0"/>
    <n v="1433.25"/>
  </r>
  <r>
    <s v="ABR-19"/>
    <n v="1"/>
    <s v="2019251"/>
    <s v="SR MANTENIMIENTO CORRECTIVO"/>
    <s v="5867"/>
    <s v="03/04/2019 08:43"/>
    <s v="0EX7399926"/>
    <s v="500158"/>
    <s v="PITSS"/>
    <s v="ASP"/>
    <x v="23"/>
    <s v="RAFAEL PEREZ SERNA Y HENRY DUNANT"/>
    <s v="CIUDAD JUAREZ-CHIH"/>
    <n v="0"/>
    <s v="INTERIOR"/>
    <n v="33"/>
    <s v="Entre 31 y 60"/>
    <s v="Office Digital"/>
    <s v="A3"/>
    <s v="Ciudad principal"/>
    <s v="2-Entre 31 y 60"/>
    <n v="1.05"/>
    <n v="1433.25"/>
    <n v="1"/>
    <n v="1.5"/>
    <n v="5"/>
    <n v="0.3"/>
    <n v="0"/>
    <n v="0"/>
    <d v="2019-04-03T00:00:00"/>
    <d v="2019-04-04T00:00:00"/>
    <n v="1"/>
    <s v="0-1 día"/>
    <n v="0"/>
    <n v="0"/>
    <n v="0"/>
    <n v="1433.25"/>
  </r>
  <r>
    <s v="ABR-19"/>
    <n v="1"/>
    <s v="2019285"/>
    <s v="SR MANTENIMIENTO CORRECTIVO"/>
    <s v="3611"/>
    <s v="03/04/2019 09:23"/>
    <s v="0A4T554401"/>
    <s v="500155"/>
    <s v="PITSS"/>
    <s v="ASP"/>
    <x v="30"/>
    <s v="AV PARQUE INDUSTRIAL JUAREZ 3328"/>
    <s v="CIUDAD JUAREZ-CHIH"/>
    <n v="0"/>
    <s v="INTERIOR"/>
    <n v="146"/>
    <s v="&gt;60"/>
    <s v="Entry Mono Printers"/>
    <s v="A4"/>
    <s v="Ciudad principal"/>
    <s v="1-&gt;60"/>
    <n v="1.05"/>
    <n v="750.75000000000011"/>
    <n v="1"/>
    <n v="1.29"/>
    <n v="5"/>
    <n v="0.25800000000000001"/>
    <n v="0"/>
    <n v="0"/>
    <d v="2019-04-04T00:00:00"/>
    <d v="2019-04-04T00:00:00"/>
    <n v="0"/>
    <s v="0-1 día"/>
    <n v="0"/>
    <n v="0"/>
    <n v="0"/>
    <n v="750.75000000000011"/>
  </r>
  <r>
    <s v="ABR-19"/>
    <n v="1"/>
    <s v="2019339"/>
    <s v="SR MANTENIMIENTO CORRECTIVO"/>
    <s v="4002"/>
    <s v="03/04/2019 10:41"/>
    <s v="09HB321394"/>
    <s v="500156"/>
    <s v="PITSS"/>
    <s v="ASP"/>
    <x v="10"/>
    <s v="BELISARIO DOMINGUEZ Y A OBREGON"/>
    <s v="NUEVO CASAS GRANDES-"/>
    <n v="0"/>
    <s v="INTERIOR"/>
    <n v="317"/>
    <s v="&gt;60"/>
    <s v="A4 Mono MFPs"/>
    <s v="A4"/>
    <s v="Otras"/>
    <s v="1-&gt;60"/>
    <n v="1.05"/>
    <n v="750.75000000000011"/>
    <n v="1"/>
    <n v="8.32"/>
    <n v="9"/>
    <n v="0.92444444444444451"/>
    <n v="0"/>
    <n v="0"/>
    <d v="2019-04-04T00:00:00"/>
    <d v="2019-04-04T00:00:00"/>
    <n v="0"/>
    <s v="0-1 día"/>
    <n v="0"/>
    <n v="0"/>
    <n v="0"/>
    <n v="750.75000000000011"/>
  </r>
  <r>
    <s v="ABR-19"/>
    <n v="1"/>
    <s v="2019455"/>
    <s v="SR INSTALACION DE EQUIPO"/>
    <s v="3346"/>
    <s v="03/04/2019 12:45"/>
    <s v="03BT801967"/>
    <s v="800185"/>
    <s v="PITSS"/>
    <s v="ASP"/>
    <x v="10"/>
    <s v="16 DE SEPTIEMBREáNo 476"/>
    <s v="Colima-COL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4-03T00:00:00"/>
    <d v="2019-04-04T00:00:00"/>
    <n v="1"/>
    <s v="0-1 día"/>
    <n v="0"/>
    <n v="0"/>
    <n v="0"/>
    <n v="0"/>
  </r>
  <r>
    <s v="ABR-19"/>
    <n v="1"/>
    <s v="2019467"/>
    <s v="SR MANTENIMIENTO CORRECTIVO"/>
    <s v="4624"/>
    <s v="03/04/2019 12:57"/>
    <s v="0D6X461128"/>
    <s v="500018"/>
    <s v="PITSS"/>
    <s v="ASP"/>
    <x v="3"/>
    <s v="AV MARTIRES DE SONORA 1006"/>
    <s v="DURANGO-DGO"/>
    <n v="0"/>
    <s v="INTERIOR"/>
    <n v="21"/>
    <s v="Entre 16 y 30"/>
    <s v="Entry Mono Printers"/>
    <s v="A4"/>
    <s v="Ciudad principal"/>
    <s v="1-Entre 16 y 30"/>
    <n v="0.6"/>
    <n v="429.00000000000006"/>
    <n v="1"/>
    <n v="0.42"/>
    <n v="5"/>
    <n v="8.3999999999999991E-2"/>
    <n v="0"/>
    <n v="0"/>
    <d v="2019-04-03T00:00:00"/>
    <d v="2019-04-04T00:00:00"/>
    <n v="1"/>
    <s v="0-1 día"/>
    <n v="0"/>
    <n v="0"/>
    <n v="0"/>
    <n v="429.00000000000006"/>
  </r>
  <r>
    <s v="ABR-19"/>
    <n v="1"/>
    <s v="2020065"/>
    <s v="SR MANTENIMIENTO CORRECTIVO"/>
    <s v="9301"/>
    <s v="04/04/2019 12:46"/>
    <s v="0XNE133934"/>
    <s v="500158"/>
    <s v="PITSS"/>
    <s v="ASP"/>
    <x v="40"/>
    <s v="GRAL MARIANO ARISTA 54 B 21"/>
    <s v="MIGUEL HIDALGO-CIUDA"/>
    <n v="0"/>
    <s v="INTERIOR"/>
    <n v="37"/>
    <s v="Entre 31 y 60"/>
    <s v="A3 Color Solid Ink MFPs"/>
    <s v="A3"/>
    <s v="Ciudad principal"/>
    <s v="2-Entre 31 y 60"/>
    <n v="1.05"/>
    <n v="1433.25"/>
    <n v="1"/>
    <n v="1.5"/>
    <n v="5"/>
    <n v="0.3"/>
    <n v="0"/>
    <n v="0"/>
    <d v="2019-04-04T00:00:00"/>
    <d v="2019-04-04T00:00:00"/>
    <n v="0"/>
    <s v="0-1 día"/>
    <n v="0"/>
    <n v="0"/>
    <n v="0"/>
    <n v="1433.25"/>
  </r>
  <r>
    <s v="ABR-19"/>
    <n v="1"/>
    <s v="2017945"/>
    <s v="SR MANTENIMIENTO CORRECTIVO"/>
    <s v="5335"/>
    <s v="01/04/2019 09:49"/>
    <s v="0AE7146573"/>
    <s v="500163"/>
    <s v="PITSS"/>
    <s v="ASP"/>
    <x v="32"/>
    <s v="TRANSFORMACION LT 3B MZ N SECCION II"/>
    <s v="Ciudad Victoria-TAM"/>
    <n v="0"/>
    <s v="INTERIOR"/>
    <n v="313"/>
    <s v="&gt;60"/>
    <s v="Office Digital"/>
    <s v="A3"/>
    <s v="Ciudad principal"/>
    <s v="2-&gt;60"/>
    <n v="1.1000000000000001"/>
    <n v="1501.5000000000002"/>
    <n v="1"/>
    <n v="6.26"/>
    <n v="5"/>
    <n v="1.252"/>
    <n v="6.3E-2"/>
    <n v="-85.995000000000005"/>
    <d v="2019-04-04T00:00:00"/>
    <d v="2019-04-04T00:00:00"/>
    <n v="0"/>
    <s v="0-1 día"/>
    <n v="0"/>
    <n v="0"/>
    <n v="0"/>
    <n v="1415.5050000000001"/>
  </r>
  <r>
    <s v="ABR-19"/>
    <n v="1"/>
    <s v="2017167"/>
    <s v="SR MANTENIMIENTO CORRECTIVO"/>
    <s v="4395"/>
    <s v="29/03/2019 14:28"/>
    <s v="0BG2940184"/>
    <s v="800183"/>
    <s v="PITSS"/>
    <s v="ASP"/>
    <x v="7"/>
    <s v="MANUEL J CLOUTHIER 888"/>
    <s v="ZAPOPAN-JAL"/>
    <n v="0"/>
    <s v="INTERIOR"/>
    <n v="1"/>
    <s v="&lt;=3"/>
    <s v="Light Production Digital Business"/>
    <s v="Entry Production"/>
    <s v="Ciudad principal"/>
    <s v="3-&lt;=3"/>
    <n v="0"/>
    <n v="0"/>
    <n v="1"/>
    <n v="2.0299999999999998"/>
    <n v="4"/>
    <n v="0.50749999999999995"/>
    <n v="0"/>
    <n v="0"/>
    <d v="2019-04-04T00:00:00"/>
    <d v="2019-04-04T00:00:00"/>
    <n v="0"/>
    <s v="0-1 día"/>
    <n v="0"/>
    <n v="0"/>
    <n v="0"/>
    <n v="0"/>
  </r>
  <r>
    <s v="ABR-19"/>
    <n v="1"/>
    <s v="2019885"/>
    <s v="SR MANTENIMIENTO CORRECTIVO"/>
    <s v="4310"/>
    <s v="04/04/2019 09:42"/>
    <s v="0BG0972049"/>
    <s v="800146"/>
    <s v="PITSS"/>
    <s v="ASP"/>
    <x v="14"/>
    <s v="BLVD ADOLFO LOPEZ MATEOS No 2540"/>
    <s v="Leon-GTO"/>
    <n v="0"/>
    <s v="INTERIOR"/>
    <n v="28"/>
    <s v="Entre 16 y 30"/>
    <s v="Light Production Digital Business"/>
    <s v="Entry Production"/>
    <s v="Ciudad principal"/>
    <s v="3-Entre 16 y 30"/>
    <n v="1.05"/>
    <n v="1651.6500000000003"/>
    <n v="1"/>
    <n v="2.38"/>
    <n v="4"/>
    <n v="0.59499999999999997"/>
    <n v="0"/>
    <n v="0"/>
    <d v="2019-04-04T00:00:00"/>
    <d v="2019-04-04T00:00:00"/>
    <n v="0"/>
    <s v="0-1 día"/>
    <n v="0"/>
    <n v="0"/>
    <n v="0"/>
    <n v="1651.6500000000003"/>
  </r>
  <r>
    <s v="ABR-19"/>
    <n v="1"/>
    <s v="2019471"/>
    <s v="SR MANTENIMIENTO CORRECTIVO"/>
    <s v="8045"/>
    <s v="03/04/2019 13:03"/>
    <s v="0Y4X843700"/>
    <s v="500089"/>
    <s v="PITSS"/>
    <s v="ASP"/>
    <x v="53"/>
    <s v="AV HERMANOS ESCOBAR No 5756"/>
    <s v="Ciudad Juarez-CHIH"/>
    <n v="1"/>
    <s v="INTERIOR"/>
    <n v="210"/>
    <s v="&gt;60"/>
    <s v="Office Digital"/>
    <s v="A3"/>
    <s v="Ciudad principal"/>
    <s v="2-&gt;60"/>
    <n v="1.1000000000000001"/>
    <n v="0"/>
    <n v="1"/>
    <n v="0.53"/>
    <n v="5"/>
    <n v="0.10600000000000001"/>
    <n v="0"/>
    <n v="0"/>
    <d v="2019-04-04T00:00:00"/>
    <d v="2019-04-04T00:00:00"/>
    <n v="0"/>
    <s v="0-1 día"/>
    <n v="0"/>
    <n v="0"/>
    <n v="0"/>
    <n v="0"/>
  </r>
  <r>
    <s v="ABR-19"/>
    <n v="1"/>
    <s v="2016427"/>
    <s v="SR MANTENIMIENTO CORRECTIVO"/>
    <s v="4598"/>
    <s v="28/03/2019 11:29"/>
    <s v="0FBG479583"/>
    <s v="500083"/>
    <s v="PITSS"/>
    <s v="ASP"/>
    <x v="7"/>
    <s v="AV INDUSTRIALES DEL PONIENTE 1050"/>
    <s v="SANTA CATARINA-NL"/>
    <n v="0"/>
    <s v="INTERIOR"/>
    <n v="7"/>
    <s v="Entre 7 y 15"/>
    <s v="Light Production Digital Business"/>
    <s v="Entry Production"/>
    <s v="Otras"/>
    <s v="3-Entre 7 y 15"/>
    <n v="0.8"/>
    <n v="1258.4000000000003"/>
    <n v="1"/>
    <n v="1.69"/>
    <n v="6"/>
    <n v="0.28166666666666668"/>
    <n v="0"/>
    <n v="0"/>
    <d v="2019-04-04T00:00:00"/>
    <d v="2019-04-04T00:00:00"/>
    <n v="0"/>
    <s v="0-1 día"/>
    <n v="0"/>
    <n v="0"/>
    <n v="0"/>
    <n v="1258.4000000000003"/>
  </r>
  <r>
    <s v="ABR-19"/>
    <n v="1"/>
    <s v="2020165"/>
    <s v="SR MANTENIMIENTO CORRECTIVO"/>
    <s v="3658"/>
    <s v="04/04/2019 15:24"/>
    <s v="0C4X002927"/>
    <s v="500159"/>
    <s v="PITSS"/>
    <s v="ASP"/>
    <x v="2"/>
    <s v="AV GLANDORFF 3306"/>
    <s v="CHIHUAHUA-CHIH"/>
    <n v="0"/>
    <s v="INTERIOR"/>
    <n v="352"/>
    <s v="&gt;60"/>
    <s v="A4 Mono MFPs"/>
    <s v="A4"/>
    <s v="Ciudad principal"/>
    <s v="1-&gt;60"/>
    <n v="1.05"/>
    <n v="750.75000000000011"/>
    <n v="1"/>
    <n v="0"/>
    <n v="5"/>
    <n v="0"/>
    <n v="0"/>
    <n v="0"/>
    <d v="2019-04-04T00:00:00"/>
    <d v="2019-04-04T00:00:00"/>
    <n v="0"/>
    <s v="0-1 día"/>
    <n v="0"/>
    <n v="0"/>
    <n v="0"/>
    <n v="750.75000000000011"/>
  </r>
  <r>
    <s v="ABR-19"/>
    <n v="1"/>
    <s v="2020087"/>
    <s v="SR MANTENIMIENTO CORRECTIVO"/>
    <s v="8065"/>
    <s v="04/04/2019 13:17"/>
    <s v="3AG878735"/>
    <s v="500028"/>
    <s v="PITSS"/>
    <s v="ASP"/>
    <x v="34"/>
    <s v="DOLORES DE GUEVARA No 980"/>
    <s v="Monterrey-NL"/>
    <n v="0"/>
    <s v="INTERIOR"/>
    <n v="16"/>
    <s v="Entre 16 y 30"/>
    <s v="Departmental Digital"/>
    <s v="A3"/>
    <s v="Ciudad principal"/>
    <s v="2-Entre 16 y 30"/>
    <n v="0.8"/>
    <n v="1092"/>
    <n v="1"/>
    <n v="1.72"/>
    <n v="5"/>
    <n v="0.34399999999999997"/>
    <n v="0"/>
    <n v="0"/>
    <d v="2019-04-04T00:00:00"/>
    <d v="2019-04-04T00:00:00"/>
    <n v="0"/>
    <s v="0-1 día"/>
    <n v="0"/>
    <n v="0"/>
    <n v="0"/>
    <n v="1092"/>
  </r>
  <r>
    <s v="ABR-19"/>
    <n v="1"/>
    <s v="2019239"/>
    <s v="SR MANTENIMIENTO CORRECTIVO"/>
    <s v="0551"/>
    <s v="03/04/2019 08:36"/>
    <s v="0XPN396972"/>
    <s v="800192"/>
    <s v="PITSS"/>
    <s v="ASP"/>
    <x v="7"/>
    <s v="AMERICAS 655"/>
    <s v="GUADALAJARA-JAL"/>
    <n v="0"/>
    <s v="INTERIOR"/>
    <n v="98"/>
    <s v="&gt;60"/>
    <s v="Entry Production Color Low/Mid"/>
    <s v="Entry Production"/>
    <s v="Ciudad principal"/>
    <s v="3-&gt;60"/>
    <n v="1.1499999999999999"/>
    <n v="1808.95"/>
    <n v="1"/>
    <n v="1.1000000000000001"/>
    <n v="4"/>
    <n v="0.27500000000000002"/>
    <n v="0"/>
    <n v="0"/>
    <d v="2019-04-04T00:00:00"/>
    <d v="2019-04-04T00:00:00"/>
    <n v="0"/>
    <s v="0-1 día"/>
    <n v="0"/>
    <n v="0"/>
    <n v="0"/>
    <n v="1808.95"/>
  </r>
  <r>
    <s v="ABR-19"/>
    <n v="1"/>
    <s v="2020019"/>
    <s v="SR MANTENIMIENTO CORRECTIVO"/>
    <s v="4310"/>
    <s v="04/04/2019 12:16"/>
    <s v="0BG0968959"/>
    <s v="100037"/>
    <s v="PITSS"/>
    <s v="ASP"/>
    <x v="29"/>
    <s v="AV AGRIPIN GARCIA ESTRADA 1308"/>
    <s v="TOLUCA DE LERDO-MEX"/>
    <n v="0"/>
    <s v="INTERIOR"/>
    <n v="43"/>
    <s v="Entre 31 y 60"/>
    <s v="Light Production Digital Business"/>
    <s v="Entry Production"/>
    <s v="Ciudad principal"/>
    <s v="3-Entre 31 y 60"/>
    <n v="1.1000000000000001"/>
    <n v="1730.3000000000004"/>
    <n v="1"/>
    <n v="4.7300000000000004"/>
    <n v="4"/>
    <n v="1.1825000000000001"/>
    <n v="4.5625000000000027E-2"/>
    <n v="-71.768125000000055"/>
    <d v="2019-04-04T00:00:00"/>
    <d v="2019-04-04T00:00:00"/>
    <n v="0"/>
    <s v="0-1 día"/>
    <n v="0"/>
    <n v="0"/>
    <n v="0"/>
    <n v="1658.5318750000004"/>
  </r>
  <r>
    <s v="ABR-19"/>
    <n v="1"/>
    <s v="2020135"/>
    <s v="SR MANTENIMIENTO CORRECTIVO"/>
    <s v="0070"/>
    <s v="04/04/2019 14:32"/>
    <s v="0E2B659015"/>
    <s v="800027"/>
    <s v="PITSS"/>
    <s v="ASP"/>
    <x v="14"/>
    <s v="AV LOPEZ MATEOS SUR No 7000"/>
    <s v="Tlajomulco De Zu&amp;Iga"/>
    <n v="0"/>
    <s v="INTERIOR"/>
    <n v="7"/>
    <s v="Entre 7 y 15"/>
    <s v="Entry Production Color Low/Mid"/>
    <s v="Entry Production"/>
    <s v="Ciudad principal"/>
    <s v="3-Entre 7 y 15"/>
    <n v="0.8"/>
    <n v="1258.4000000000003"/>
    <n v="1"/>
    <n v="2.5"/>
    <n v="4"/>
    <n v="0.625"/>
    <n v="0"/>
    <n v="0"/>
    <d v="2019-04-04T00:00:00"/>
    <d v="2019-04-04T00:00:00"/>
    <n v="0"/>
    <s v="0-1 día"/>
    <n v="0"/>
    <n v="0"/>
    <n v="0"/>
    <n v="1258.4000000000003"/>
  </r>
  <r>
    <s v="ABR-19"/>
    <n v="1"/>
    <s v="2020147"/>
    <s v="SR MANTENIMIENTO CORRECTIVO"/>
    <s v="5866"/>
    <s v="04/04/2019 14:40"/>
    <s v="0EX9662181"/>
    <s v="800027"/>
    <s v="PITSS"/>
    <s v="ASP"/>
    <x v="14"/>
    <s v="AV LOPEZ MATEOS SUR No 7000"/>
    <s v="Tlajomulco De Zu&amp;Iga"/>
    <n v="0"/>
    <s v="INTERIOR"/>
    <n v="75"/>
    <s v="&gt;60"/>
    <s v="Departmental Digital"/>
    <s v="A3"/>
    <s v="Ciudad principal"/>
    <s v="2-&gt;60"/>
    <n v="1.1000000000000001"/>
    <n v="1501.5000000000002"/>
    <n v="1"/>
    <n v="1.33"/>
    <n v="5"/>
    <n v="0.26600000000000001"/>
    <n v="0"/>
    <n v="0"/>
    <d v="2019-04-04T00:00:00"/>
    <d v="2019-04-04T00:00:00"/>
    <n v="0"/>
    <s v="0-1 día"/>
    <n v="0"/>
    <n v="0"/>
    <n v="0"/>
    <n v="1501.5000000000002"/>
  </r>
  <r>
    <s v="ABR-19"/>
    <n v="1"/>
    <s v="2018281"/>
    <s v="SR MANTENIMIENTO CORRECTIVO"/>
    <s v="4395"/>
    <s v="01/04/2019 14:54"/>
    <s v="0BG2947159"/>
    <s v="500083"/>
    <s v="PITSS"/>
    <s v="ASP"/>
    <x v="7"/>
    <s v="AV EUGENIO GARZA SADA 3752 SUR"/>
    <s v="MONTERREY-NL"/>
    <n v="0"/>
    <s v="INTERIOR"/>
    <n v="12"/>
    <s v="Entre 7 y 15"/>
    <s v="Light Production Digital Business"/>
    <s v="Entry Production"/>
    <s v="Ciudad principal"/>
    <s v="3-Entre 7 y 15"/>
    <n v="0.8"/>
    <n v="1258.4000000000003"/>
    <n v="1"/>
    <n v="2.27"/>
    <n v="4"/>
    <n v="0.5675"/>
    <n v="0"/>
    <n v="0"/>
    <d v="2019-04-04T00:00:00"/>
    <d v="2019-04-04T00:00:00"/>
    <n v="0"/>
    <s v="0-1 día"/>
    <n v="0"/>
    <n v="0"/>
    <n v="0"/>
    <n v="1258.4000000000003"/>
  </r>
  <r>
    <s v="ABR-19"/>
    <n v="1"/>
    <s v="2019533"/>
    <s v="SR MANTENIMIENTO CORRECTIVO"/>
    <s v="5866"/>
    <s v="03/04/2019 14:22"/>
    <s v="0EX9293385"/>
    <s v="800187"/>
    <s v="PITSS"/>
    <s v="ASP"/>
    <x v="14"/>
    <s v="CONSTITUYENTES PTE 152"/>
    <s v="QUERETARO-QRO"/>
    <n v="0"/>
    <s v="INTERIOR"/>
    <n v="8"/>
    <s v="Entre 7 y 15"/>
    <s v="Departmental Digital"/>
    <s v="A3"/>
    <s v="Ciudad principal"/>
    <s v="2-Entre 7 y 15"/>
    <n v="0.6"/>
    <n v="819"/>
    <n v="1"/>
    <n v="0.61"/>
    <n v="5"/>
    <n v="0.122"/>
    <n v="0"/>
    <n v="0"/>
    <d v="2019-04-03T00:00:00"/>
    <d v="2019-04-04T00:00:00"/>
    <n v="1"/>
    <s v="0-1 día"/>
    <n v="0"/>
    <n v="0"/>
    <n v="0"/>
    <n v="819"/>
  </r>
  <r>
    <s v="ABR-19"/>
    <n v="1"/>
    <s v="2020017"/>
    <s v="SR MANTENIMIENTO CORRECTIVO"/>
    <s v="4120"/>
    <s v="04/04/2019 12:14"/>
    <s v="0GXV896042"/>
    <s v="100037"/>
    <s v="PITSS"/>
    <s v="ASP"/>
    <x v="29"/>
    <s v="AV AGRIPIN GARCIA ESTRADA 1308"/>
    <s v="TOLUCA DE LERDO-MEX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5.27"/>
    <n v="4"/>
    <n v="1.3174999999999999"/>
    <n v="7.9374999999999973E-2"/>
    <n v="-124.85687499999997"/>
    <d v="2019-04-04T00:00:00"/>
    <d v="2019-04-05T00:00:00"/>
    <n v="1"/>
    <s v="0-1 día"/>
    <n v="0"/>
    <n v="0"/>
    <n v="0"/>
    <n v="1133.5431250000004"/>
  </r>
  <r>
    <s v="ABR-19"/>
    <n v="1"/>
    <s v="2003187"/>
    <s v="SR INSTALACION DE EQUIPO"/>
    <s v="4002"/>
    <s v="03/03/2019 23:01"/>
    <s v="9HB334888"/>
    <s v="100038"/>
    <s v="PITSS"/>
    <s v="ASP"/>
    <x v="54"/>
    <s v="AV NICOLAS SAN JUAN S/N"/>
    <s v="Toluca De Lerdo-ESTA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4-04T00:00:00"/>
    <d v="2019-04-05T00:00:00"/>
    <n v="1"/>
    <s v="0-1 día"/>
    <n v="0"/>
    <n v="0"/>
    <n v="0"/>
    <n v="1072.5000000000002"/>
  </r>
  <r>
    <s v="ABR-19"/>
    <n v="1"/>
    <s v="2020163"/>
    <s v="SR MANTENIMIENTO CORRECTIVO"/>
    <s v="3616"/>
    <s v="04/04/2019 15:20"/>
    <s v="0A2T024295"/>
    <s v="800186"/>
    <s v="PITSS"/>
    <s v="ASP"/>
    <x v="5"/>
    <s v="AV EPIGMENIO GONZALEZ No 500"/>
    <s v="Queretaro-QRO"/>
    <n v="0"/>
    <s v="INTERIOR"/>
    <n v="526"/>
    <s v="&gt;60"/>
    <s v="A4 Mono MFPs"/>
    <s v="A4"/>
    <s v="Ciudad principal"/>
    <s v="1-&gt;60"/>
    <n v="1.05"/>
    <n v="750.75000000000011"/>
    <n v="1"/>
    <n v="1.67"/>
    <n v="5"/>
    <n v="0.33399999999999996"/>
    <n v="0"/>
    <n v="0"/>
    <d v="2019-04-04T00:00:00"/>
    <d v="2019-04-05T00:00:00"/>
    <n v="1"/>
    <s v="0-1 día"/>
    <n v="0"/>
    <n v="0"/>
    <n v="0"/>
    <n v="750.75000000000011"/>
  </r>
  <r>
    <s v="ABR-19"/>
    <n v="1"/>
    <s v="2019481"/>
    <s v="SR MANTENIMIENTO CORRECTIVO"/>
    <s v="3611"/>
    <s v="03/04/2019 13:06"/>
    <s v="0A4T558105"/>
    <s v="800147"/>
    <s v="PITSS"/>
    <s v="ASP"/>
    <x v="14"/>
    <s v="BLV ADOLFO LOPEZ MATEOS 2009-B"/>
    <s v="LEON-GTO"/>
    <n v="0"/>
    <s v="INTERIOR"/>
    <n v="363"/>
    <s v="&gt;60"/>
    <s v="Entry Mono Printers"/>
    <s v="A4"/>
    <s v="Ciudad principal"/>
    <s v="1-&gt;60"/>
    <n v="1.05"/>
    <n v="750.75000000000011"/>
    <n v="1"/>
    <n v="0.65"/>
    <n v="5"/>
    <n v="0.13"/>
    <n v="0"/>
    <n v="0"/>
    <d v="2019-04-05T00:00:00"/>
    <d v="2019-04-05T00:00:00"/>
    <n v="0"/>
    <s v="0-1 día"/>
    <n v="0"/>
    <n v="0"/>
    <n v="0"/>
    <n v="750.75000000000011"/>
  </r>
  <r>
    <s v="ABR-19"/>
    <n v="1"/>
    <s v="2020073"/>
    <s v="SR MANTENIMIENTO CORRECTIVO"/>
    <s v="3346"/>
    <s v="04/04/2019 11:55"/>
    <s v="03BT802213"/>
    <s v="800110"/>
    <s v="PITSS"/>
    <s v="ASP"/>
    <x v="55"/>
    <s v="TENIENTE JOSE ESPINOZA FUENTES S/N"/>
    <s v="MORELIA-MICH"/>
    <n v="0"/>
    <s v="INTERIOR"/>
    <n v="155"/>
    <s v="&gt;60"/>
    <s v="A4 Mono MFPs"/>
    <s v="A4"/>
    <s v="Ciudad principal"/>
    <s v="1-&gt;60"/>
    <n v="1.05"/>
    <n v="750.75000000000011"/>
    <n v="1"/>
    <n v="1.0200000000000005"/>
    <n v="5"/>
    <n v="0.2040000000000001"/>
    <n v="0"/>
    <n v="0"/>
    <d v="2019-04-05T00:00:00"/>
    <d v="2019-04-05T00:00:00"/>
    <n v="0"/>
    <s v="0-1 día"/>
    <n v="0"/>
    <n v="0"/>
    <n v="0"/>
    <n v="750.75000000000011"/>
  </r>
  <r>
    <s v="ABR-19"/>
    <n v="1"/>
    <s v="2018983"/>
    <s v="SR MANTENIMIENTO CORRECTIVO"/>
    <s v="4310"/>
    <s v="02/04/2019 15:32"/>
    <s v="0BG0962083"/>
    <s v="500028"/>
    <s v="PITSS"/>
    <s v="ASP"/>
    <x v="14"/>
    <s v="EUGENIO GARZA SADA 3525"/>
    <s v="MONTERREY-NL"/>
    <n v="0"/>
    <s v="INTERIOR"/>
    <n v="12"/>
    <s v="Entre 7 y 15"/>
    <s v="Light Production Digital Business"/>
    <s v="Entry Production"/>
    <s v="Ciudad principal"/>
    <s v="3-Entre 7 y 15"/>
    <n v="0.8"/>
    <n v="1258.4000000000003"/>
    <n v="1"/>
    <n v="1.97"/>
    <n v="4"/>
    <n v="0.49249999999999999"/>
    <n v="0"/>
    <n v="0"/>
    <d v="2019-04-05T00:00:00"/>
    <d v="2019-04-05T00:00:00"/>
    <n v="0"/>
    <s v="0-1 día"/>
    <n v="0"/>
    <n v="0"/>
    <n v="0"/>
    <n v="1258.4000000000003"/>
  </r>
  <r>
    <s v="ABR-19"/>
    <n v="1"/>
    <s v="2019273"/>
    <s v="SR MANTENIMIENTO CORRECTIVO"/>
    <s v="5867"/>
    <s v="03/04/2019 09:17"/>
    <s v="0EX7407508"/>
    <s v="500155"/>
    <s v="PITSS"/>
    <s v="ASP"/>
    <x v="30"/>
    <s v="AV PARQUE INDUSTRIAL JUAREZ 3328"/>
    <s v="CIUDAD JUAREZ-CHIH"/>
    <n v="0"/>
    <s v="INTERIOR"/>
    <n v="111"/>
    <s v="&gt;60"/>
    <s v="Office Digital"/>
    <s v="A3"/>
    <s v="Ciudad principal"/>
    <s v="2-&gt;60"/>
    <n v="1.1000000000000001"/>
    <n v="1501.5000000000002"/>
    <n v="1"/>
    <n v="0.55000000000000004"/>
    <n v="5"/>
    <n v="0.11000000000000001"/>
    <n v="0"/>
    <n v="0"/>
    <d v="2019-04-05T00:00:00"/>
    <d v="2019-04-05T00:00:00"/>
    <n v="0"/>
    <s v="0-1 día"/>
    <n v="0"/>
    <n v="0"/>
    <n v="0"/>
    <n v="1501.5000000000002"/>
  </r>
  <r>
    <s v="ABR-19"/>
    <n v="1"/>
    <s v="2018655"/>
    <s v="SR MANTENIMIENTO CORRECTIVO"/>
    <s v="4395"/>
    <s v="02/04/2019 08:32"/>
    <s v="0BG2951477"/>
    <s v="500083"/>
    <s v="PITSS"/>
    <s v="ASP"/>
    <x v="7"/>
    <s v="AV VASCONCELOS 160"/>
    <s v="SAN PEDRO GARZA GARC"/>
    <n v="0"/>
    <s v="INTERIOR"/>
    <n v="60"/>
    <s v="Entre 31 y 60"/>
    <s v="Light Production Digital Business"/>
    <s v="Entry Production"/>
    <s v="Ciudad principal"/>
    <s v="3-Entre 31 y 60"/>
    <n v="1.1000000000000001"/>
    <n v="1730.3000000000004"/>
    <n v="1"/>
    <n v="3.02"/>
    <n v="4"/>
    <n v="0.755"/>
    <n v="0"/>
    <n v="0"/>
    <d v="2019-04-05T00:00:00"/>
    <d v="2019-04-05T00:00:00"/>
    <n v="0"/>
    <s v="0-1 día"/>
    <n v="0"/>
    <n v="0"/>
    <n v="0"/>
    <n v="1730.3000000000004"/>
  </r>
  <r>
    <s v="ABR-19"/>
    <n v="1"/>
    <s v="2019031"/>
    <s v="SR MANTENIMIENTO CORRECTIVO"/>
    <s v="4002"/>
    <s v="02/04/2019 17:05"/>
    <s v="09HB916056"/>
    <s v="100037"/>
    <s v="PITSS"/>
    <s v="ASP"/>
    <x v="27"/>
    <s v="Av De la Industria Automotrizá No 18 Nave 3"/>
    <s v="Mexico-MEX"/>
    <n v="0"/>
    <s v="INTERIOR"/>
    <n v="12"/>
    <s v="Entre 7 y 15"/>
    <s v="A4 Mono MFPs"/>
    <s v="A4"/>
    <s v="Ciudad principal"/>
    <s v="1-Entre 7 y 15"/>
    <n v="0"/>
    <n v="0"/>
    <n v="1"/>
    <n v="0.42"/>
    <n v="5"/>
    <n v="8.3999999999999991E-2"/>
    <n v="0"/>
    <n v="0"/>
    <d v="2019-04-05T00:00:00"/>
    <d v="2019-04-05T00:00:00"/>
    <n v="0"/>
    <s v="0-1 día"/>
    <n v="0"/>
    <n v="0"/>
    <n v="0"/>
    <n v="0"/>
  </r>
  <r>
    <s v="ABR-19"/>
    <n v="1"/>
    <s v="2020103"/>
    <s v="SR MANTENIMIENTO CORRECTIVO"/>
    <s v="6514"/>
    <s v="04/04/2019 13:39"/>
    <s v="5AV820023"/>
    <s v="500163"/>
    <s v="PITSS"/>
    <s v="ASP"/>
    <x v="3"/>
    <s v="BLVD ADOLFO LOPEZ MATEOS No 805 PONIENTE"/>
    <s v="Ciudad Victoria-TAM"/>
    <n v="0"/>
    <s v="INTERIOR"/>
    <n v="44"/>
    <s v="Entre 31 y 60"/>
    <s v="A4 Color Laser MFPs"/>
    <s v="A4"/>
    <s v="Ciudad principal"/>
    <s v="1-Entre 31 y 60"/>
    <n v="0.8"/>
    <n v="572.00000000000011"/>
    <n v="1"/>
    <n v="5.18"/>
    <n v="5"/>
    <n v="1.036"/>
    <n v="9.000000000000008E-3"/>
    <n v="-6.4350000000000067"/>
    <d v="2019-04-05T00:00:00"/>
    <d v="2019-04-05T00:00:00"/>
    <n v="0"/>
    <s v="0-1 día"/>
    <n v="0"/>
    <n v="0"/>
    <n v="0"/>
    <n v="565.56500000000005"/>
  </r>
  <r>
    <s v="ABR-19"/>
    <n v="1"/>
    <s v="2013409"/>
    <s v="SR MANTENIMIENTO CORRECTIVO"/>
    <s v="7222"/>
    <s v="22/03/2019 11:31"/>
    <s v="0LX5697800"/>
    <s v="500157"/>
    <s v="PITSS"/>
    <s v="ASP"/>
    <x v="56"/>
    <s v="AV SANTIAGO TRONCOSO 281"/>
    <s v="CIUDAD JUAREZ-CHIH"/>
    <n v="0"/>
    <s v="INTERIOR"/>
    <n v="17"/>
    <s v="Entre 16 y 30"/>
    <s v="A3 Office Color Laser MFPs"/>
    <s v="A3"/>
    <s v="Ciudad principal"/>
    <s v="2-Entre 16 y 30"/>
    <n v="0.8"/>
    <n v="1092"/>
    <n v="1"/>
    <n v="0.98"/>
    <n v="5"/>
    <n v="0.19600000000000001"/>
    <n v="0"/>
    <n v="0"/>
    <d v="2019-04-04T00:00:00"/>
    <d v="2019-04-05T00:00:00"/>
    <n v="1"/>
    <s v="0-1 día"/>
    <n v="0"/>
    <n v="0"/>
    <n v="0"/>
    <n v="1092"/>
  </r>
  <r>
    <s v="ABR-19"/>
    <n v="1"/>
    <s v="2012945"/>
    <s v="SR INSTALACION DE EQUIPO"/>
    <s v="3330"/>
    <s v="21/03/2019 13:09"/>
    <s v="09BR546326"/>
    <s v="500056"/>
    <s v="PITSS"/>
    <s v="ASP"/>
    <x v="3"/>
    <s v="CARRETERA A MONTERREY AV FOMENTO INDUSTRIAL SN"/>
    <s v="Reynosa-TAM"/>
    <n v="0"/>
    <s v="INTERIOR"/>
    <s v="  "/>
    <s v="&gt;60"/>
    <s v="Entry Mono Printers"/>
    <s v="A4"/>
    <s v="Ciudad principal"/>
    <s v="1-&gt;60"/>
    <n v="1"/>
    <n v="1072.5000000000002"/>
    <n v="0"/>
    <n v="5"/>
    <n v="5"/>
    <n v="1"/>
    <n v="0"/>
    <n v="0"/>
    <d v="2019-04-05T00:00:00"/>
    <d v="2019-04-05T00:00:00"/>
    <n v="0"/>
    <s v="0-1 día"/>
    <n v="0"/>
    <n v="0"/>
    <n v="0"/>
    <n v="1072.5000000000002"/>
  </r>
  <r>
    <s v="ABR-19"/>
    <n v="1"/>
    <s v="2012779"/>
    <s v="SR MANTENIMIENTO CORRECTIVO"/>
    <s v="5866"/>
    <s v="21/03/2019 10:43"/>
    <s v="0EX9310036"/>
    <s v="500093"/>
    <s v="PITSS"/>
    <s v="ASP"/>
    <x v="57"/>
    <s v="ITURBIDE No 6970"/>
    <s v="Nuevo Laredo-TAM"/>
    <n v="0"/>
    <s v="INTERIOR"/>
    <n v="48"/>
    <s v="Entre 31 y 60"/>
    <s v="Departmental Digital"/>
    <s v="A3"/>
    <s v="Ciudad principal"/>
    <s v="2-Entre 31 y 60"/>
    <n v="1.05"/>
    <n v="1433.25"/>
    <n v="1"/>
    <n v="1.93"/>
    <n v="5"/>
    <n v="0.38600000000000001"/>
    <n v="0"/>
    <n v="0"/>
    <d v="2019-04-05T00:00:00"/>
    <d v="2019-04-05T00:00:00"/>
    <n v="0"/>
    <s v="0-1 día"/>
    <n v="0"/>
    <n v="0"/>
    <n v="0"/>
    <n v="1433.25"/>
  </r>
  <r>
    <s v="ABR-19"/>
    <n v="1"/>
    <s v="2020133"/>
    <s v="SR MANTENIMIENTO CORRECTIVO"/>
    <s v="4602"/>
    <s v="04/04/2019 14:28"/>
    <s v="0XL1421896"/>
    <s v="500158"/>
    <s v="PITSS"/>
    <s v="ASP"/>
    <x v="58"/>
    <s v="CERRA DE FRAGA No 10404-12 INTERPHONE No 112"/>
    <s v="Ciudad Juarez-CHIH"/>
    <n v="0"/>
    <s v="INTERIOR"/>
    <n v="316"/>
    <s v="&gt;60"/>
    <s v="Entry Mono Printers"/>
    <s v="A4"/>
    <s v="Ciudad principal"/>
    <s v="1-&gt;60"/>
    <n v="1.05"/>
    <n v="750.75000000000011"/>
    <n v="1"/>
    <n v="1.53"/>
    <n v="5"/>
    <n v="0.30599999999999999"/>
    <n v="0"/>
    <n v="0"/>
    <d v="2019-04-05T00:00:00"/>
    <d v="2019-04-05T00:00:00"/>
    <n v="0"/>
    <s v="0-1 día"/>
    <n v="0"/>
    <n v="0"/>
    <n v="0"/>
    <n v="750.75000000000011"/>
  </r>
  <r>
    <s v="ABR-19"/>
    <n v="1"/>
    <s v="2019057"/>
    <s v="SR MANTENIMIENTO CORRECTIVO"/>
    <s v="3658"/>
    <s v="02/04/2019 18:15"/>
    <s v="0C4X011869"/>
    <s v="500157"/>
    <s v="PITSS"/>
    <s v="ASP"/>
    <x v="2"/>
    <s v="BLVD TEOFILO BORUNDA 8681"/>
    <s v="CIUDAD JUAREZ-CHIH"/>
    <n v="0"/>
    <s v="INTERIOR"/>
    <n v="579"/>
    <s v="&gt;60"/>
    <s v="A4 Mono MFPs"/>
    <s v="A4"/>
    <s v="Ciudad principal"/>
    <s v="1-&gt;60"/>
    <n v="1.05"/>
    <n v="750.75000000000011"/>
    <n v="1"/>
    <n v="2.92"/>
    <n v="5"/>
    <n v="0.58399999999999996"/>
    <n v="0"/>
    <n v="0"/>
    <d v="2019-04-05T00:00:00"/>
    <d v="2019-04-05T00:00:00"/>
    <n v="0"/>
    <s v="0-1 día"/>
    <n v="0"/>
    <n v="0"/>
    <n v="0"/>
    <n v="750.75000000000011"/>
  </r>
  <r>
    <s v="ABR-19"/>
    <n v="1"/>
    <s v="2019615"/>
    <s v="SR ASISTENCIA A CLIENTES"/>
    <s v="4002"/>
    <s v="03/04/2019 16:59"/>
    <s v="9HB381838"/>
    <s v="800027"/>
    <s v="PITSS"/>
    <s v="ASP"/>
    <x v="59"/>
    <s v="AVENIDA NAFTA NO 750"/>
    <s v="APODACA-NL"/>
    <n v="0"/>
    <s v="INTERIOR"/>
    <s v="  "/>
    <s v="&gt;60"/>
    <s v="A4 Mono MFPs"/>
    <s v="A4"/>
    <s v="Otras"/>
    <s v="1-&gt;60"/>
    <n v="1"/>
    <n v="715.00000000000011"/>
    <n v="1"/>
    <n v="0.17"/>
    <n v="9"/>
    <n v="1.8888888888888889E-2"/>
    <n v="0"/>
    <n v="0"/>
    <d v="2019-04-05T00:00:00"/>
    <d v="2019-04-05T00:00:00"/>
    <n v="0"/>
    <s v="0-1 día"/>
    <n v="0"/>
    <n v="0"/>
    <n v="0"/>
    <n v="715.00000000000011"/>
  </r>
  <r>
    <s v="ABR-19"/>
    <n v="1"/>
    <s v="2018999"/>
    <s v="SR MANTENIMIENTO CORRECTIVO"/>
    <s v="3657"/>
    <s v="02/04/2019 15:41"/>
    <s v="0C7X246782"/>
    <s v="500080"/>
    <s v="PITSS"/>
    <s v="ASP"/>
    <x v="15"/>
    <s v="PASEO BOLIVAR No 1000"/>
    <s v="Chihuahua-CHIH"/>
    <n v="0"/>
    <s v="INTERIOR"/>
    <n v="634"/>
    <s v="&gt;60"/>
    <s v="A4 Mono MFPs"/>
    <s v="A4"/>
    <s v="Ciudad principal"/>
    <s v="1-&gt;60"/>
    <n v="1.05"/>
    <n v="750.75000000000011"/>
    <n v="1"/>
    <n v="1.82"/>
    <n v="5"/>
    <n v="0.36399999999999999"/>
    <n v="0"/>
    <n v="0"/>
    <d v="2019-04-05T00:00:00"/>
    <d v="2019-04-05T00:00:00"/>
    <n v="0"/>
    <s v="0-1 día"/>
    <n v="0"/>
    <n v="0"/>
    <n v="0"/>
    <n v="750.75000000000011"/>
  </r>
  <r>
    <s v="ABR-19"/>
    <n v="1"/>
    <s v="2020071"/>
    <s v="SR MANTENIMIENTO CORRECTIVO"/>
    <s v="1026"/>
    <s v="04/04/2019 12:56"/>
    <s v="AAQ100563"/>
    <s v="800074"/>
    <s v="PITSS"/>
    <s v="ASP"/>
    <x v="60"/>
    <s v="JAVIER MINA No 14 INT No 4"/>
    <s v="Michoacan-MICH"/>
    <n v="0"/>
    <s v="INTERIOR"/>
    <n v="29"/>
    <s v="Entre 16 y 30"/>
    <s v="Office Digital"/>
    <s v="A3"/>
    <s v="Ciudad principal"/>
    <s v="2-Entre 16 y 30"/>
    <n v="0.8"/>
    <n v="1092"/>
    <n v="1"/>
    <n v="7.57"/>
    <n v="5"/>
    <n v="1.514"/>
    <n v="0.1285"/>
    <n v="-175.4025"/>
    <d v="2019-04-05T00:00:00"/>
    <d v="2019-04-05T00:00:00"/>
    <n v="0"/>
    <s v="0-1 día"/>
    <n v="0"/>
    <n v="0"/>
    <n v="0"/>
    <n v="916.59749999999997"/>
  </r>
  <r>
    <s v="ABR-19"/>
    <n v="1"/>
    <s v="2020183"/>
    <s v="SR MANTENIMIENTO CORRECTIVO"/>
    <s v="4311"/>
    <s v="04/04/2019 16:08"/>
    <s v="0BG1000997"/>
    <s v="500036"/>
    <s v="PITSS"/>
    <s v="ASP"/>
    <x v="0"/>
    <s v="AV EUGENIO GARZA SADA 2501 SUR"/>
    <s v="Monterrey-NL"/>
    <n v="0"/>
    <s v="INTERIOR"/>
    <n v="22"/>
    <s v="Entre 16 y 30"/>
    <s v="Light Production Digital Business"/>
    <s v="Entry Production"/>
    <s v="Ciudad principal"/>
    <s v="3-Entre 16 y 30"/>
    <n v="1.05"/>
    <n v="1651.6500000000003"/>
    <n v="1"/>
    <n v="1.37"/>
    <n v="4"/>
    <n v="0.34250000000000003"/>
    <n v="0"/>
    <n v="0"/>
    <d v="2019-04-05T00:00:00"/>
    <d v="2019-04-05T00:00:00"/>
    <n v="0"/>
    <s v="0-1 día"/>
    <n v="0"/>
    <n v="0"/>
    <n v="0"/>
    <n v="1651.6500000000003"/>
  </r>
  <r>
    <s v="ABR-19"/>
    <n v="1"/>
    <s v="2019225"/>
    <s v="SR MANTENIMIENTO CORRECTIVO"/>
    <s v="7142"/>
    <s v="03/04/2019 08:13"/>
    <s v="0PW4152292"/>
    <s v="800072"/>
    <s v="PITSS"/>
    <s v="ASP"/>
    <x v="7"/>
    <s v="MANUEL J CLOUTHIER 888"/>
    <s v="ZAPOPAN-JAL"/>
    <n v="0"/>
    <s v="INTERIOR"/>
    <n v="7"/>
    <s v="Entre 7 y 15"/>
    <s v="WF Mono Systems and Legacy Color"/>
    <s v="WF"/>
    <s v="Ciudad principal"/>
    <s v="3-Entre 7 y 15"/>
    <n v="0.8"/>
    <n v="1258.4000000000003"/>
    <n v="1"/>
    <n v="1.17"/>
    <n v="4"/>
    <n v="0.29249999999999998"/>
    <n v="0"/>
    <n v="0"/>
    <d v="2019-04-05T00:00:00"/>
    <d v="2019-04-05T00:00:00"/>
    <n v="0"/>
    <s v="0-1 día"/>
    <n v="0"/>
    <n v="0"/>
    <n v="0"/>
    <n v="1258.4000000000003"/>
  </r>
  <r>
    <s v="ABR-19"/>
    <n v="1"/>
    <s v="2020201"/>
    <s v="SR MANTENIMIENTO CORRECTIVO"/>
    <s v="6705"/>
    <s v="04/04/2019 17:02"/>
    <s v="0A1H022391"/>
    <s v="800146"/>
    <s v="PITSS"/>
    <s v="ASP"/>
    <x v="14"/>
    <s v="AV SALVADOR NAVA MARTINEZ No 3115"/>
    <s v="San Luis Potosi-SLP"/>
    <n v="0"/>
    <s v="INTERIOR"/>
    <n v="35"/>
    <s v="Entre 31 y 60"/>
    <s v="WF Mono Systems and Legacy Color"/>
    <s v="WF"/>
    <s v="Ciudad principal"/>
    <s v="3-Entre 31 y 60"/>
    <n v="1.1000000000000001"/>
    <n v="1730.3000000000004"/>
    <n v="1"/>
    <n v="2"/>
    <n v="4"/>
    <n v="0.5"/>
    <n v="0"/>
    <n v="0"/>
    <d v="2019-04-05T00:00:00"/>
    <d v="2019-04-05T00:00:00"/>
    <n v="0"/>
    <s v="0-1 día"/>
    <n v="0"/>
    <n v="0"/>
    <n v="0"/>
    <n v="1730.3000000000004"/>
  </r>
  <r>
    <s v="ABR-19"/>
    <n v="1"/>
    <s v="2020455"/>
    <s v="SR MANTENIMIENTO CORRECTIVO"/>
    <s v="8045"/>
    <s v="05/04/2019 08:45"/>
    <s v="0Y4X848740"/>
    <s v="000195"/>
    <s v="PITSS"/>
    <s v="ASP"/>
    <x v="11"/>
    <s v="AV MIGUEL ANGEL DE QUEVEDO NO 555"/>
    <s v="Coyoacan-CIUDAD DE M"/>
    <n v="1"/>
    <s v="METRO"/>
    <n v="3"/>
    <s v="&lt;=3"/>
    <s v="Office Digital"/>
    <s v="A3"/>
    <s v="Ciudad principal"/>
    <s v="2-&lt;=3"/>
    <n v="0"/>
    <n v="0"/>
    <n v="1"/>
    <n v="3.07"/>
    <n v="5"/>
    <n v="0.61399999999999999"/>
    <n v="0"/>
    <n v="0"/>
    <d v="2019-04-05T00:00:00"/>
    <d v="2019-04-05T00:00:00"/>
    <n v="0"/>
    <s v="0-1 día"/>
    <n v="0"/>
    <n v="0"/>
    <n v="0"/>
    <n v="0"/>
  </r>
  <r>
    <s v="ABR-19"/>
    <n v="1"/>
    <s v="2019059"/>
    <s v="SR MANTENIMIENTO CORRECTIVO"/>
    <s v="0251"/>
    <s v="02/04/2019 18:38"/>
    <s v="0VGW632064"/>
    <s v="500161"/>
    <s v="PITSS"/>
    <s v="ASP"/>
    <x v="22"/>
    <s v="PERIFERICO ORTIZ MENA LOCAL 8 SN"/>
    <s v="CHIHUAHUA-CHIH"/>
    <n v="0"/>
    <s v="INTERIOR"/>
    <n v="1"/>
    <s v="&lt;=3"/>
    <s v="A3 Professional Color Laser MFPs"/>
    <s v="A3"/>
    <s v="Ciudad principal"/>
    <s v="2-&lt;=3"/>
    <n v="0"/>
    <n v="0"/>
    <n v="1"/>
    <n v="0"/>
    <n v="5"/>
    <n v="0"/>
    <n v="0"/>
    <n v="0"/>
    <d v="2019-04-05T00:00:00"/>
    <d v="2019-04-05T00:00:00"/>
    <n v="0"/>
    <s v="0-1 día"/>
    <n v="0"/>
    <n v="0"/>
    <n v="0"/>
    <n v="0"/>
  </r>
  <r>
    <s v="ABR-19"/>
    <n v="1"/>
    <s v="2020665"/>
    <s v="SR MANTENIMIENTO CORRECTIVO"/>
    <s v="5955"/>
    <s v="05/04/2019 11:38"/>
    <s v="0X76375747"/>
    <s v="500093"/>
    <s v="PITSS"/>
    <s v="ASP"/>
    <x v="57"/>
    <s v="AV LAS FABRICAS No 5838"/>
    <s v="Nuevo Laredo-TAM"/>
    <n v="0"/>
    <s v="INTERIOR"/>
    <n v="668"/>
    <s v="&gt;60"/>
    <s v="Departmental Digital"/>
    <s v="A3"/>
    <s v="Ciudad principal"/>
    <s v="2-&gt;60"/>
    <n v="1.1000000000000001"/>
    <n v="1501.5000000000002"/>
    <n v="1"/>
    <n v="2.37"/>
    <n v="5"/>
    <n v="0.47400000000000003"/>
    <n v="0"/>
    <n v="0"/>
    <d v="2019-04-05T00:00:00"/>
    <d v="2019-04-05T00:00:00"/>
    <n v="0"/>
    <s v="0-1 día"/>
    <n v="0"/>
    <n v="0"/>
    <n v="0"/>
    <n v="1501.5000000000002"/>
  </r>
  <r>
    <s v="ABR-19"/>
    <n v="1"/>
    <s v="2020481"/>
    <s v="SR MANTENIMIENTO CORRECTIVO"/>
    <s v="4002"/>
    <s v="05/04/2019 09:49"/>
    <s v="09HB328020"/>
    <s v="800186"/>
    <s v="PITSS"/>
    <s v="ASP"/>
    <x v="0"/>
    <s v="AV EPIGMENIO GONZALEZ No 500"/>
    <s v="Queretaro-QRO"/>
    <n v="0"/>
    <s v="INTERIOR"/>
    <n v="318"/>
    <s v="&gt;60"/>
    <s v="A4 Mono MFPs"/>
    <s v="A4"/>
    <s v="Ciudad principal"/>
    <s v="1-&gt;60"/>
    <n v="1.05"/>
    <n v="750.75000000000011"/>
    <n v="1"/>
    <n v="1.75"/>
    <n v="5"/>
    <n v="0.35"/>
    <n v="0"/>
    <n v="0"/>
    <d v="2019-04-05T00:00:00"/>
    <d v="2019-04-05T00:00:00"/>
    <n v="0"/>
    <s v="0-1 día"/>
    <n v="0"/>
    <n v="0"/>
    <n v="0"/>
    <n v="750.75000000000011"/>
  </r>
  <r>
    <s v="ABR-19"/>
    <n v="1"/>
    <s v="2020651"/>
    <s v="SR MANTENIMIENTO CORRECTIVO"/>
    <s v="0700"/>
    <s v="05/04/2019 11:30"/>
    <s v="0MAV779133"/>
    <s v="800185"/>
    <s v="PITSS"/>
    <s v="ASP"/>
    <x v="35"/>
    <s v="GABINO BARREDA No 267 B"/>
    <s v="Colima-COL"/>
    <n v="1"/>
    <s v="INTERIOR"/>
    <n v="11"/>
    <s v="Entre 7 y 15"/>
    <s v="Entry Production Color Low/Mid"/>
    <s v="Entry Production"/>
    <s v="Ciudad principal"/>
    <s v="3-Entre 7 y 15"/>
    <n v="0.8"/>
    <n v="0"/>
    <n v="1"/>
    <n v="1.32"/>
    <n v="4"/>
    <n v="0.33"/>
    <n v="0"/>
    <n v="0"/>
    <d v="2019-04-05T00:00:00"/>
    <d v="2019-04-05T00:00:00"/>
    <n v="0"/>
    <s v="0-1 día"/>
    <n v="0"/>
    <n v="0"/>
    <n v="0"/>
    <n v="0"/>
  </r>
  <r>
    <s v="ABR-19"/>
    <n v="1"/>
    <s v="2020623"/>
    <s v="SR MANTENIMIENTO CORRECTIVO"/>
    <s v="3326"/>
    <s v="05/04/2019 10:53"/>
    <s v="0LA6296587"/>
    <s v="500028"/>
    <s v="PITSS"/>
    <s v="ASP"/>
    <x v="10"/>
    <s v="ALTAMIRANO 155 OTE Y VICTORIA"/>
    <s v="ALLENDE-NL"/>
    <n v="0"/>
    <s v="INTERIOR"/>
    <n v="72"/>
    <s v="&gt;60"/>
    <s v="A4 Mono MFPs"/>
    <s v="A4"/>
    <s v="Ciudad principal"/>
    <s v="1-&gt;60"/>
    <n v="1.05"/>
    <n v="750.75000000000011"/>
    <n v="1"/>
    <n v="2.12"/>
    <n v="5"/>
    <n v="0.42400000000000004"/>
    <n v="0"/>
    <n v="0"/>
    <d v="2019-04-05T00:00:00"/>
    <d v="2019-04-05T00:00:00"/>
    <n v="0"/>
    <s v="0-1 día"/>
    <n v="0"/>
    <n v="0"/>
    <n v="0"/>
    <n v="750.75000000000011"/>
  </r>
  <r>
    <s v="ABR-19"/>
    <n v="1"/>
    <s v="2020167"/>
    <s v="SR MANTENIMIENTO CORRECTIVO"/>
    <s v="0570"/>
    <s v="04/04/2019 15:30"/>
    <s v="0XPN550545"/>
    <s v="800187"/>
    <s v="PITSS"/>
    <s v="ASP"/>
    <x v="14"/>
    <s v="AV CONSTITUYENTES 152 PTE"/>
    <s v="QUERETARO-QRO"/>
    <n v="0"/>
    <s v="INTERIOR"/>
    <n v="14"/>
    <s v="Entre 7 y 15"/>
    <s v="Entry Production Color Low/Mid"/>
    <s v="Entry Production"/>
    <s v="Ciudad principal"/>
    <s v="3-Entre 7 y 15"/>
    <n v="0.8"/>
    <n v="1258.4000000000003"/>
    <n v="1"/>
    <n v="1.25"/>
    <n v="4"/>
    <n v="0.3125"/>
    <n v="0"/>
    <n v="0"/>
    <d v="2019-04-05T00:00:00"/>
    <d v="2019-04-05T00:00:00"/>
    <n v="0"/>
    <s v="0-1 día"/>
    <n v="0"/>
    <n v="0"/>
    <n v="0"/>
    <n v="1258.4000000000003"/>
  </r>
  <r>
    <s v="ABR-19"/>
    <n v="1"/>
    <s v="2020479"/>
    <s v="SR MANTENIMIENTO CORRECTIVO"/>
    <s v="7221"/>
    <s v="05/04/2019 09:50"/>
    <s v="0LX7660915"/>
    <s v="500094"/>
    <s v="PITSS"/>
    <s v="ASP"/>
    <x v="0"/>
    <s v="BLVD PETROCEL KM 1.3"/>
    <s v="ALTAMIRA-TAM"/>
    <n v="0"/>
    <s v="INTERIOR"/>
    <n v="39"/>
    <s v="Entre 31 y 60"/>
    <s v="A3 Office Color Laser MFPs"/>
    <s v="A3"/>
    <s v="Otras"/>
    <s v="2-Entre 31 y 60"/>
    <n v="1.05"/>
    <n v="1433.25"/>
    <n v="1"/>
    <n v="1.92"/>
    <n v="9"/>
    <n v="0.21333333333333332"/>
    <n v="0"/>
    <n v="0"/>
    <d v="2019-04-05T00:00:00"/>
    <d v="2019-04-05T00:00:00"/>
    <n v="0"/>
    <s v="0-1 día"/>
    <n v="0"/>
    <n v="0"/>
    <n v="0"/>
    <n v="1433.25"/>
  </r>
  <r>
    <s v="ABR-19"/>
    <n v="1"/>
    <s v="2019951"/>
    <s v="SR MANTENIMIENTO CORRECTIVO"/>
    <s v="3350"/>
    <s v="04/04/2019 10:51"/>
    <s v="0VMA558262"/>
    <s v="100039"/>
    <s v="PITSS"/>
    <s v="ASP"/>
    <x v="61"/>
    <s v="INDUSTRIA QUIMICA S/N"/>
    <s v="TOLUCA-MEX"/>
    <n v="1"/>
    <s v="INTERIOR"/>
    <n v="279"/>
    <s v="&gt;60"/>
    <s v="A4 Mono MFPs"/>
    <s v="A4"/>
    <s v="Ciudad principal"/>
    <s v="1-&gt;60"/>
    <n v="1.05"/>
    <n v="0"/>
    <n v="1"/>
    <n v="0.57999999999999996"/>
    <n v="5"/>
    <n v="0.11599999999999999"/>
    <n v="0"/>
    <n v="0"/>
    <d v="2019-04-05T00:00:00"/>
    <d v="2019-04-05T00:00:00"/>
    <n v="0"/>
    <s v="0-1 día"/>
    <n v="0"/>
    <n v="0"/>
    <n v="0"/>
    <n v="0"/>
  </r>
  <r>
    <s v="ABR-19"/>
    <n v="1"/>
    <s v="2019921"/>
    <s v="SR MANTENIMIENTO CORRECTIVO"/>
    <s v="1026"/>
    <s v="04/04/2019 10:17"/>
    <s v="AAQ100582"/>
    <s v="800074"/>
    <s v="PITSS"/>
    <s v="ASP"/>
    <x v="62"/>
    <s v="AMADO NERVO OTE 101"/>
    <s v="ZAMORA DE HIDALGO-MI"/>
    <n v="0"/>
    <s v="INTERIOR"/>
    <n v="2681"/>
    <s v="&gt;60"/>
    <s v="Office Digital"/>
    <s v="A3"/>
    <s v="Ciudad principal"/>
    <s v="2-&gt;60"/>
    <n v="1.1000000000000001"/>
    <n v="1501.5000000000002"/>
    <n v="1"/>
    <n v="6.14"/>
    <n v="5"/>
    <n v="1.228"/>
    <n v="5.6999999999999995E-2"/>
    <n v="-77.804999999999993"/>
    <d v="2019-04-05T00:00:00"/>
    <d v="2019-04-05T00:00:00"/>
    <n v="0"/>
    <s v="0-1 día"/>
    <n v="0"/>
    <n v="0"/>
    <n v="0"/>
    <n v="1423.6950000000002"/>
  </r>
  <r>
    <s v="ABR-19"/>
    <n v="1"/>
    <s v="2020009"/>
    <s v="SR MANTENIMIENTO CORRECTIVO"/>
    <s v="4395"/>
    <s v="04/04/2019 11:58"/>
    <s v="0BG2946917"/>
    <s v="500019"/>
    <s v="PITSS"/>
    <s v="ASP"/>
    <x v="7"/>
    <s v="AUTO CLUB 194-D"/>
    <s v="GOMEZ PALACIO-DGO"/>
    <n v="0"/>
    <s v="INTERIOR"/>
    <n v="101"/>
    <s v="&gt;60"/>
    <s v="Light Production Digital Business"/>
    <s v="Entry Production"/>
    <s v="Otras"/>
    <s v="3-&gt;60"/>
    <n v="1.1499999999999999"/>
    <n v="1808.95"/>
    <n v="1"/>
    <n v="1.03"/>
    <n v="6"/>
    <n v="0.17166666666666666"/>
    <n v="0"/>
    <n v="0"/>
    <d v="2019-04-05T00:00:00"/>
    <d v="2019-04-05T00:00:00"/>
    <n v="0"/>
    <s v="0-1 día"/>
    <n v="0"/>
    <n v="0"/>
    <n v="0"/>
    <n v="1808.95"/>
  </r>
  <r>
    <s v="ABR-19"/>
    <n v="1"/>
    <s v="2015379"/>
    <s v="SR MANTENIMIENTO CORRECTIVO"/>
    <s v="1263"/>
    <s v="26/03/2019 13:41"/>
    <s v="0DRB131260"/>
    <s v="800192"/>
    <s v="PITSS"/>
    <s v="ASP"/>
    <x v="19"/>
    <s v="KM 9 CARRETERA A EL CASTILLO"/>
    <s v="Jalisco-JAL"/>
    <n v="0"/>
    <s v="INTERIOR"/>
    <n v="64"/>
    <s v="&gt;60"/>
    <s v="Entry Production Color Low/Mid"/>
    <s v="Entry Production"/>
    <s v="Ciudad principal"/>
    <s v="3-&gt;60"/>
    <n v="1.1499999999999999"/>
    <n v="1808.95"/>
    <n v="1"/>
    <n v="2.02"/>
    <n v="4"/>
    <n v="0.505"/>
    <n v="0"/>
    <n v="0"/>
    <d v="2019-04-05T00:00:00"/>
    <d v="2019-04-05T00:00:00"/>
    <n v="0"/>
    <s v="0-1 día"/>
    <n v="0"/>
    <n v="0"/>
    <n v="0"/>
    <n v="1808.95"/>
  </r>
  <r>
    <s v="ABR-19"/>
    <n v="1"/>
    <s v="2020741"/>
    <s v="SR MANTENIMIENTO CORRECTIVO"/>
    <s v="4603"/>
    <s v="05/04/2019 13:01"/>
    <s v="0XLT861010"/>
    <s v="500155"/>
    <s v="PITSS"/>
    <s v="ASP"/>
    <x v="30"/>
    <s v="AV FUENTES DEL SUR 7151"/>
    <s v="CIUDAD JUAREZ-CHIH"/>
    <n v="0"/>
    <s v="INTERIOR"/>
    <n v="854"/>
    <s v="&gt;60"/>
    <s v="Entry Mono Printers"/>
    <s v="A4"/>
    <s v="Ciudad principal"/>
    <s v="1-&gt;60"/>
    <n v="1.05"/>
    <n v="750.75000000000011"/>
    <n v="1"/>
    <n v="1.56"/>
    <n v="5"/>
    <n v="0.312"/>
    <n v="0"/>
    <n v="0"/>
    <d v="2019-04-05T00:00:00"/>
    <d v="2019-04-05T00:00:00"/>
    <n v="0"/>
    <s v="0-1 día"/>
    <n v="0"/>
    <n v="0"/>
    <n v="0"/>
    <n v="750.75000000000011"/>
  </r>
  <r>
    <s v="ABR-19"/>
    <n v="1"/>
    <s v="2020739"/>
    <s v="SR MANTENIMIENTO CORRECTIVO"/>
    <s v="8075"/>
    <s v="05/04/2019 12:55"/>
    <s v="03AG880494"/>
    <s v="800183"/>
    <s v="PITSS"/>
    <s v="ASP"/>
    <x v="14"/>
    <s v="AV LOPEZ MATEOS SUR No 7000"/>
    <s v="Tlajomulco De Zu&amp;Iga"/>
    <n v="0"/>
    <s v="INTERIOR"/>
    <n v="8"/>
    <s v="Entre 7 y 15"/>
    <s v="Departmental Digital"/>
    <s v="A3"/>
    <s v="Ciudad principal"/>
    <s v="2-Entre 7 y 15"/>
    <n v="0.6"/>
    <n v="819"/>
    <n v="1"/>
    <n v="1.08"/>
    <n v="5"/>
    <n v="0.21600000000000003"/>
    <n v="0"/>
    <n v="0"/>
    <d v="2019-04-05T00:00:00"/>
    <d v="2019-04-05T00:00:00"/>
    <n v="0"/>
    <s v="0-1 día"/>
    <n v="0"/>
    <n v="0"/>
    <n v="0"/>
    <n v="819"/>
  </r>
  <r>
    <s v="ABR-19"/>
    <n v="1"/>
    <s v="2019575"/>
    <s v="SR MANTENIMIENTO CORRECTIVO"/>
    <s v="4310"/>
    <s v="03/04/2019 15:47"/>
    <s v="0BG0964513"/>
    <s v="100037"/>
    <s v="PITSS"/>
    <s v="ASP"/>
    <x v="14"/>
    <s v="BLVD AEROPUERTO MIGUEL ALEMAN No 55"/>
    <s v="Mexico-MEX"/>
    <n v="0"/>
    <s v="INTERIOR"/>
    <n v="26"/>
    <s v="Entre 16 y 30"/>
    <s v="Light Production Digital Business"/>
    <s v="Entry Production"/>
    <s v="Ciudad principal"/>
    <s v="3-Entre 16 y 30"/>
    <n v="1.05"/>
    <n v="1651.6500000000003"/>
    <n v="1"/>
    <n v="1.07"/>
    <n v="4"/>
    <n v="0.26750000000000002"/>
    <n v="0"/>
    <n v="0"/>
    <d v="2019-04-05T00:00:00"/>
    <d v="2019-04-05T00:00:00"/>
    <n v="0"/>
    <s v="0-1 día"/>
    <n v="0"/>
    <n v="0"/>
    <n v="0"/>
    <n v="1651.6500000000003"/>
  </r>
  <r>
    <s v="ABR-19"/>
    <n v="1"/>
    <s v="2020731"/>
    <s v="SR MANTENIMIENTO CORRECTIVO"/>
    <s v="4002"/>
    <s v="05/04/2019 12:40"/>
    <s v="09HB333007"/>
    <s v="500036"/>
    <s v="PITSS"/>
    <s v="ASP"/>
    <x v="31"/>
    <s v="AV JUAREZ No 1102 PISO 40"/>
    <s v="Monterrey-NL"/>
    <n v="0"/>
    <s v="INTERIOR"/>
    <n v="22"/>
    <s v="Entre 16 y 30"/>
    <s v="A4 Mono MFPs"/>
    <s v="A4"/>
    <s v="Ciudad principal"/>
    <s v="1-Entre 16 y 30"/>
    <n v="0.6"/>
    <n v="429.00000000000006"/>
    <n v="1"/>
    <n v="3.03"/>
    <n v="5"/>
    <n v="0.60599999999999998"/>
    <n v="0"/>
    <n v="0"/>
    <d v="2019-04-05T00:00:00"/>
    <d v="2019-04-05T00:00:00"/>
    <n v="0"/>
    <s v="0-1 día"/>
    <n v="0"/>
    <n v="0"/>
    <n v="0"/>
    <n v="429.00000000000006"/>
  </r>
  <r>
    <s v="ABR-19"/>
    <n v="1"/>
    <s v="2020015"/>
    <s v="SR RETIRO CAMBIO DE LUGAR"/>
    <s v="4002"/>
    <s v="04/04/2019 12:10"/>
    <s v="09HB333000"/>
    <s v="500036"/>
    <s v="PITSS"/>
    <s v="ASP"/>
    <x v="31"/>
    <s v="AV JUAREZ No 1102 PISO 40"/>
    <s v="Monterrey-NL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4-04T00:00:00"/>
    <d v="2019-04-07T00:00:00"/>
    <n v="1"/>
    <s v="0-1 día"/>
    <n v="0"/>
    <n v="0"/>
    <n v="0"/>
    <n v="715.00000000000011"/>
  </r>
  <r>
    <s v="ABR-19"/>
    <n v="1"/>
    <s v="2020139"/>
    <s v="SR MANTENIMIENTO CORRECTIVO"/>
    <s v="0070"/>
    <s v="04/04/2019 14:37"/>
    <s v="0E2B658529"/>
    <s v="800027"/>
    <s v="PITSS"/>
    <s v="ASP"/>
    <x v="14"/>
    <s v="AV LOPEZ MATEOS SUR No 7000"/>
    <s v="Tlajomulco De Zu&amp;Iga"/>
    <n v="0"/>
    <s v="INTERIOR"/>
    <n v="210"/>
    <s v="&gt;60"/>
    <s v="Entry Production Color Low/Mid"/>
    <s v="Entry Production"/>
    <s v="Ciudad principal"/>
    <s v="3-&gt;60"/>
    <n v="1.1499999999999999"/>
    <n v="1808.95"/>
    <n v="1"/>
    <n v="2.88"/>
    <n v="4"/>
    <n v="0.72"/>
    <n v="0"/>
    <n v="0"/>
    <d v="2019-04-04T00:00:00"/>
    <d v="2019-04-07T00:00:00"/>
    <n v="1"/>
    <s v="0-1 día"/>
    <n v="0"/>
    <n v="0"/>
    <n v="0"/>
    <n v="1808.95"/>
  </r>
  <r>
    <s v="ABR-19"/>
    <n v="1"/>
    <s v="2020589"/>
    <s v="SR MANTENIMIENTO CORRECTIVO"/>
    <s v="1277"/>
    <s v="05/04/2019 10:58"/>
    <s v="0ER2127933"/>
    <s v="800027"/>
    <s v="PITSS"/>
    <s v="ASP"/>
    <x v="7"/>
    <s v="CENTRO COMERCIAL REAL CENTER AV SANTA MARGARITA No"/>
    <s v="Zapopan-JAL"/>
    <n v="0"/>
    <s v="INTERIOR"/>
    <n v="557"/>
    <s v="&gt;60"/>
    <s v="Entry Production Color Low/Mid"/>
    <s v="Entry Production"/>
    <s v="Ciudad principal"/>
    <s v="3-&gt;60"/>
    <n v="1.1499999999999999"/>
    <n v="1808.95"/>
    <n v="1"/>
    <n v="3"/>
    <n v="4"/>
    <n v="0.75"/>
    <n v="0"/>
    <n v="0"/>
    <d v="2019-04-05T00:00:00"/>
    <d v="2019-04-07T00:00:00"/>
    <n v="0"/>
    <s v="0-1 día"/>
    <n v="0"/>
    <n v="0"/>
    <n v="0"/>
    <n v="1808.95"/>
  </r>
  <r>
    <s v="ABR-19"/>
    <n v="1"/>
    <s v="2008499"/>
    <s v="SR MANTENIMIENTO CORRECTIVO"/>
    <s v="4495"/>
    <s v="13/03/2019 09:49"/>
    <s v="0BPB110653"/>
    <s v="800192"/>
    <s v="PITSS"/>
    <s v="ASP"/>
    <x v="19"/>
    <s v="KM 9 CARRETERA A EL CASTILLO"/>
    <s v="Jalisco-JAL"/>
    <n v="0"/>
    <s v="INTERIOR"/>
    <n v="36"/>
    <s v="Entre 31 y 60"/>
    <s v="CF Mono"/>
    <s v="High Production"/>
    <s v="Ciudad principal"/>
    <s v="4-Entre 31 y 60"/>
    <n v="1.1499999999999999"/>
    <n v="2466.75"/>
    <n v="1"/>
    <n v="3.98"/>
    <n v="3"/>
    <n v="1.3266666666666667"/>
    <n v="8.1666666666666665E-2"/>
    <n v="-175.17499999999998"/>
    <d v="2019-04-03T00:00:00"/>
    <d v="2019-04-07T00:00:00"/>
    <n v="2"/>
    <s v="2-3 días"/>
    <n v="0.25"/>
    <n v="-536.25"/>
    <n v="0"/>
    <n v="2291.5749999999998"/>
  </r>
  <r>
    <s v="ABR-19"/>
    <n v="1"/>
    <s v="2020831"/>
    <s v="SR MANTENIMIENTO CORRECTIVO"/>
    <s v="5955"/>
    <s v="05/04/2019 14:43"/>
    <s v="0X76704205"/>
    <s v="500158"/>
    <s v="PITSS"/>
    <s v="ASP"/>
    <x v="3"/>
    <s v="AV TECNOLOGICO Y JUAN KEPLER 6915"/>
    <s v="CIUDAD JUAREZ-CHIH"/>
    <n v="0"/>
    <s v="INTERIOR"/>
    <n v="28"/>
    <s v="Entre 16 y 30"/>
    <s v="Departmental Digital"/>
    <s v="A3"/>
    <s v="Ciudad principal"/>
    <s v="2-Entre 16 y 30"/>
    <n v="0.8"/>
    <n v="1092"/>
    <n v="1"/>
    <n v="1.45"/>
    <n v="5"/>
    <n v="0.28999999999999998"/>
    <n v="0"/>
    <n v="0"/>
    <d v="2019-04-05T00:00:00"/>
    <d v="2019-04-08T00:00:00"/>
    <n v="1"/>
    <s v="0-1 día"/>
    <n v="0"/>
    <n v="0"/>
    <n v="0"/>
    <n v="1092"/>
  </r>
  <r>
    <s v="ABR-19"/>
    <n v="1"/>
    <s v="2020691"/>
    <s v="SR MANTENIMIENTO CORRECTIVO"/>
    <s v="6705"/>
    <s v="05/04/2019 12:18"/>
    <s v="0A1H021961"/>
    <s v="500066"/>
    <s v="PITSS"/>
    <s v="ASP"/>
    <x v="7"/>
    <s v="CARRETERA NACIONAL NO 500 LOCAL N-119"/>
    <s v="Monterrey-NL"/>
    <n v="0"/>
    <s v="INTERIOR"/>
    <n v="121"/>
    <s v="&gt;60"/>
    <s v="WF Mono Systems and Legacy Color"/>
    <s v="WF"/>
    <s v="Ciudad principal"/>
    <s v="3-&gt;60"/>
    <n v="1.1499999999999999"/>
    <n v="1808.95"/>
    <n v="1"/>
    <n v="3.18"/>
    <n v="4"/>
    <n v="0.79500000000000004"/>
    <n v="0"/>
    <n v="0"/>
    <d v="2019-04-05T00:00:00"/>
    <d v="2019-04-08T00:00:00"/>
    <n v="1"/>
    <s v="0-1 día"/>
    <n v="0"/>
    <n v="0"/>
    <n v="0"/>
    <n v="1808.95"/>
  </r>
  <r>
    <s v="ABR-19"/>
    <n v="1"/>
    <s v="2019565"/>
    <s v="SR MANTENIMIENTO CORRECTIVO"/>
    <s v="4395"/>
    <s v="03/04/2019 15:08"/>
    <s v="0BG2951668"/>
    <s v="500083"/>
    <s v="PITSS"/>
    <s v="ASP"/>
    <x v="7"/>
    <s v="PROL SEGURIDAD SOCIAL SN"/>
    <s v="MONTERREY-NL"/>
    <n v="0"/>
    <s v="INTERIOR"/>
    <n v="37"/>
    <s v="Entre 31 y 60"/>
    <s v="Light Production Digital Business"/>
    <s v="Entry Production"/>
    <s v="Ciudad principal"/>
    <s v="3-Entre 31 y 60"/>
    <n v="1.1000000000000001"/>
    <n v="1730.3000000000004"/>
    <n v="1"/>
    <n v="2.37"/>
    <n v="4"/>
    <n v="0.59250000000000003"/>
    <n v="0"/>
    <n v="0"/>
    <d v="2019-04-05T00:00:00"/>
    <d v="2019-04-08T00:00:00"/>
    <n v="1"/>
    <s v="0-1 día"/>
    <n v="0"/>
    <n v="0"/>
    <n v="0"/>
    <n v="1730.3000000000004"/>
  </r>
  <r>
    <s v="ABR-19"/>
    <n v="1"/>
    <s v="2020697"/>
    <s v="SR MANTENIMIENTO CORRECTIVO"/>
    <s v="0070"/>
    <s v="05/04/2019 12:21"/>
    <s v="0E2B654062"/>
    <s v="500066"/>
    <s v="PITSS"/>
    <s v="ASP"/>
    <x v="7"/>
    <s v="CARRETERA NACIONAL NO 500 LOCAL N-119"/>
    <s v="Monterrey-NL"/>
    <n v="0"/>
    <s v="INTERIOR"/>
    <n v="32"/>
    <s v="Entre 31 y 60"/>
    <s v="Entry Production Color Low/Mid"/>
    <s v="Entry Production"/>
    <s v="Ciudad principal"/>
    <s v="3-Entre 31 y 60"/>
    <n v="1.1000000000000001"/>
    <n v="1730.3000000000004"/>
    <n v="1"/>
    <n v="2.82"/>
    <n v="4"/>
    <n v="0.70499999999999996"/>
    <n v="0"/>
    <n v="0"/>
    <d v="2019-04-05T00:00:00"/>
    <d v="2019-04-08T00:00:00"/>
    <n v="1"/>
    <s v="0-1 día"/>
    <n v="0"/>
    <n v="0"/>
    <n v="0"/>
    <n v="1730.3000000000004"/>
  </r>
  <r>
    <s v="ABR-19"/>
    <n v="1"/>
    <s v="2020737"/>
    <s v="SR MANTENIMIENTO CORRECTIVO"/>
    <s v="0070"/>
    <s v="05/04/2019 12:52"/>
    <s v="0E2B659015"/>
    <s v="800183"/>
    <s v="PITSS"/>
    <s v="ASP"/>
    <x v="14"/>
    <s v="AV LOPEZ MATEOS SUR No 7000"/>
    <s v="Tlajomulco De Zu&amp;Iga"/>
    <n v="0"/>
    <s v="INTERIOR"/>
    <n v="1"/>
    <s v="&lt;=3"/>
    <s v="Entry Production Color Low/Mid"/>
    <s v="Entry Production"/>
    <s v="Ciudad principal"/>
    <s v="3-&lt;=3"/>
    <n v="0"/>
    <n v="0"/>
    <n v="1"/>
    <n v="3.13"/>
    <n v="4"/>
    <n v="0.78249999999999997"/>
    <n v="0"/>
    <n v="0"/>
    <d v="2019-04-05T00:00:00"/>
    <d v="2019-04-08T00:00:00"/>
    <n v="1"/>
    <s v="0-1 día"/>
    <n v="0"/>
    <n v="0"/>
    <n v="0"/>
    <n v="0"/>
  </r>
  <r>
    <s v="ABR-19"/>
    <n v="1"/>
    <s v="2020801"/>
    <s v="SR MANTENIMIENTO CORRECTIVO"/>
    <s v="4002"/>
    <s v="05/04/2019 14:04"/>
    <s v="09HB331671"/>
    <s v="000195"/>
    <s v="PITSS"/>
    <s v="ASP"/>
    <x v="6"/>
    <s v="AV TLATILCO No 239"/>
    <s v="Azcapotzalco-CIUDAD"/>
    <n v="1"/>
    <s v="METRO"/>
    <n v="2"/>
    <s v="&lt;=3"/>
    <s v="A4 Mono MFPs"/>
    <s v="A4"/>
    <s v="Ciudad principal"/>
    <s v="1-&lt;=3"/>
    <n v="0"/>
    <n v="0"/>
    <n v="1"/>
    <n v="2.23"/>
    <n v="5"/>
    <n v="0.44600000000000001"/>
    <n v="0"/>
    <n v="0"/>
    <d v="2019-04-05T00:00:00"/>
    <d v="2019-04-08T00:00:00"/>
    <n v="1"/>
    <s v="0-1 día"/>
    <n v="0"/>
    <n v="0"/>
    <n v="0"/>
    <n v="0"/>
  </r>
  <r>
    <s v="ABR-19"/>
    <n v="1"/>
    <s v="2019529"/>
    <s v="SR MANTENIMIENTO CORRECTIVO"/>
    <s v="8056"/>
    <s v="03/04/2019 14:19"/>
    <s v="08TB608554"/>
    <s v="500028"/>
    <s v="PITSS"/>
    <s v="ASP"/>
    <x v="63"/>
    <s v="AV GONZALITOS 2202 NTE"/>
    <s v="MONTERREY-NL"/>
    <n v="0"/>
    <s v="INTERIOR"/>
    <n v="2680"/>
    <s v="&gt;60"/>
    <s v="A3 Office Color Laser MFPs"/>
    <s v="A3"/>
    <s v="Ciudad principal"/>
    <s v="2-&gt;60"/>
    <n v="1.1000000000000001"/>
    <n v="1501.5000000000002"/>
    <n v="1"/>
    <n v="1.18"/>
    <n v="5"/>
    <n v="0.23599999999999999"/>
    <n v="0"/>
    <n v="0"/>
    <d v="2019-04-05T00:00:00"/>
    <d v="2019-04-08T00:00:00"/>
    <n v="1"/>
    <s v="0-1 día"/>
    <n v="0"/>
    <n v="0"/>
    <n v="0"/>
    <n v="1501.5000000000002"/>
  </r>
  <r>
    <s v="ABR-19"/>
    <n v="1"/>
    <s v="2020973"/>
    <s v="SR MANTENIMIENTO CORRECTIVO"/>
    <s v="0070"/>
    <s v="06/04/2019 10:19"/>
    <s v="0E2B650746"/>
    <s v="100037"/>
    <s v="PITSS"/>
    <s v="ASP"/>
    <x v="7"/>
    <s v="BLV ISIDRO FABELA SUR 600"/>
    <s v="Toluca De Lerdo-MEX"/>
    <n v="0"/>
    <s v="INTERIOR"/>
    <n v="60"/>
    <s v="Entre 31 y 60"/>
    <s v="Entry Production Color Low/Mid"/>
    <s v="Entry Production"/>
    <s v="Ciudad principal"/>
    <s v="3-Entre 31 y 60"/>
    <n v="1.1000000000000001"/>
    <n v="1730.3000000000004"/>
    <n v="1"/>
    <n v="0"/>
    <n v="4"/>
    <n v="0"/>
    <n v="0"/>
    <n v="0"/>
    <d v="2019-04-08T00:00:00"/>
    <d v="2019-04-08T00:00:00"/>
    <n v="0"/>
    <s v="0-1 día"/>
    <n v="0"/>
    <n v="0"/>
    <n v="0"/>
    <n v="1730.3000000000004"/>
  </r>
  <r>
    <s v="ABR-19"/>
    <n v="1"/>
    <s v="2018647"/>
    <s v="SR MANTENIMIENTO CORRECTIVO"/>
    <s v="6705"/>
    <s v="02/04/2019 08:11"/>
    <s v="0A1H020656"/>
    <s v="800183"/>
    <s v="PITSS"/>
    <s v="ASP"/>
    <x v="7"/>
    <s v="AV ADOLFO LOPEZ MATEOS 1299"/>
    <s v="TLAJOMULCO DE ZU&amp;IGA"/>
    <n v="0"/>
    <s v="INTERIOR"/>
    <n v="50"/>
    <s v="Entre 31 y 60"/>
    <s v="WF Mono Systems and Legacy Color"/>
    <s v="WF"/>
    <s v="Ciudad principal"/>
    <s v="3-Entre 31 y 60"/>
    <n v="1.1000000000000001"/>
    <n v="1730.3000000000004"/>
    <n v="1"/>
    <n v="4"/>
    <n v="4"/>
    <n v="1"/>
    <n v="0"/>
    <n v="0"/>
    <d v="2019-04-08T00:00:00"/>
    <d v="2019-04-08T00:00:00"/>
    <n v="0"/>
    <s v="0-1 día"/>
    <n v="0"/>
    <n v="0"/>
    <n v="0"/>
    <n v="1730.3000000000004"/>
  </r>
  <r>
    <s v="ABR-19"/>
    <n v="1"/>
    <s v="2020853"/>
    <s v="SR MANTENIMIENTO CORRECTIVO"/>
    <s v="0070"/>
    <s v="05/04/2019 16:05"/>
    <s v="0E2B647375"/>
    <s v="500028"/>
    <s v="PITSS"/>
    <s v="ASP"/>
    <x v="7"/>
    <s v="AV PASEO DE LOS LEONES 1388 L 2-3"/>
    <s v="MONTERREY-NL"/>
    <n v="0"/>
    <s v="INTERIOR"/>
    <n v="12"/>
    <s v="Entre 7 y 15"/>
    <s v="Entry Production Color Low/Mid"/>
    <s v="Entry Production"/>
    <s v="Ciudad principal"/>
    <s v="3-Entre 7 y 15"/>
    <n v="0.8"/>
    <n v="1258.4000000000003"/>
    <n v="1"/>
    <n v="1.42"/>
    <n v="4"/>
    <n v="0.35499999999999998"/>
    <n v="0"/>
    <n v="0"/>
    <d v="2019-04-08T00:00:00"/>
    <d v="2019-04-08T00:00:00"/>
    <n v="0"/>
    <s v="0-1 día"/>
    <n v="0"/>
    <n v="0"/>
    <n v="0"/>
    <n v="1258.4000000000003"/>
  </r>
  <r>
    <s v="ABR-19"/>
    <n v="1"/>
    <s v="2020847"/>
    <s v="SR MANTENIMIENTO CORRECTIVO"/>
    <s v="5867"/>
    <s v="05/04/2019 15:54"/>
    <s v="0EX7416648"/>
    <s v="500155"/>
    <s v="PITSS"/>
    <s v="ASP"/>
    <x v="30"/>
    <s v="AV PARQUE INDUSTRIAL JUAREZ 3328"/>
    <s v="CIUDAD JUAREZ-CHIH"/>
    <n v="0"/>
    <s v="INTERIOR"/>
    <n v="3"/>
    <s v="&lt;=3"/>
    <s v="Office Digital"/>
    <s v="A3"/>
    <s v="Ciudad principal"/>
    <s v="2-&lt;=3"/>
    <n v="0"/>
    <n v="0"/>
    <n v="1"/>
    <n v="1.6"/>
    <n v="5"/>
    <n v="0.32"/>
    <n v="0"/>
    <n v="0"/>
    <d v="2019-04-08T00:00:00"/>
    <d v="2019-04-08T00:00:00"/>
    <n v="0"/>
    <s v="0-1 día"/>
    <n v="0"/>
    <n v="0"/>
    <n v="0"/>
    <n v="0"/>
  </r>
  <r>
    <s v="ABR-19"/>
    <n v="1"/>
    <s v="2020889"/>
    <s v="SR MANTENIMIENTO CORRECTIVO"/>
    <s v="7511"/>
    <s v="05/04/2019 17:08"/>
    <s v="0RXD143457"/>
    <s v="500161"/>
    <s v="PITSS"/>
    <s v="ASP"/>
    <x v="64"/>
    <s v="AV DE LAS INDUSTRIAS 4907"/>
    <s v="CHIHUAHUA-CHIH"/>
    <n v="0"/>
    <s v="INTERIOR"/>
    <n v="325"/>
    <s v="&gt;60"/>
    <s v="Color Laser Printers"/>
    <s v="A4"/>
    <s v="Ciudad principal"/>
    <s v="1-&gt;60"/>
    <n v="1.05"/>
    <n v="750.75000000000011"/>
    <n v="1"/>
    <n v="0.37"/>
    <n v="5"/>
    <n v="7.3999999999999996E-2"/>
    <n v="0"/>
    <n v="0"/>
    <d v="2019-04-08T00:00:00"/>
    <d v="2019-04-08T00:00:00"/>
    <n v="0"/>
    <s v="0-1 día"/>
    <n v="0"/>
    <n v="0"/>
    <n v="0"/>
    <n v="750.75000000000011"/>
  </r>
  <r>
    <s v="ABR-19"/>
    <n v="1"/>
    <s v="2021439"/>
    <s v="SR MANTENIMIENTO CORRECTIVO"/>
    <s v="4002"/>
    <s v="08/04/2019 09:02"/>
    <s v="09HB331742"/>
    <s v="800196"/>
    <s v="PITSS"/>
    <s v="ASP"/>
    <x v="6"/>
    <s v="BENITO JUAREZ Y SEGURO SOCIAL S/N"/>
    <s v="Hermosillo-SON"/>
    <n v="1"/>
    <s v="INTERIOR"/>
    <n v="2685"/>
    <s v="&gt;60"/>
    <s v="A4 Mono MFPs"/>
    <s v="A4"/>
    <s v="Ciudad principal"/>
    <s v="1-&gt;60"/>
    <n v="1.05"/>
    <n v="0"/>
    <n v="1"/>
    <n v="0.52"/>
    <n v="5"/>
    <n v="0.10400000000000001"/>
    <n v="0"/>
    <n v="0"/>
    <d v="2019-04-08T00:00:00"/>
    <d v="2019-04-08T00:00:00"/>
    <n v="0"/>
    <s v="0-1 día"/>
    <n v="0"/>
    <n v="0"/>
    <n v="0"/>
    <n v="0"/>
  </r>
  <r>
    <s v="ABR-19"/>
    <n v="1"/>
    <s v="2020667"/>
    <s v="SR MANTENIMIENTO CORRECTIVO"/>
    <s v="3616"/>
    <s v="05/04/2019 11:37"/>
    <s v="0A2T024295"/>
    <s v="800186"/>
    <s v="PITSS"/>
    <s v="ASP"/>
    <x v="5"/>
    <s v="AV EPIGMENIO GONZALEZ No 500"/>
    <s v="Queretaro-QRO"/>
    <n v="0"/>
    <s v="INTERIOR"/>
    <n v="1"/>
    <s v="&lt;=3"/>
    <s v="A4 Mono MFPs"/>
    <s v="A4"/>
    <s v="Ciudad principal"/>
    <s v="1-&lt;=3"/>
    <n v="0"/>
    <n v="0"/>
    <n v="1"/>
    <n v="7.73"/>
    <n v="5"/>
    <n v="1.546"/>
    <n v="0.13650000000000001"/>
    <n v="-97.597500000000025"/>
    <d v="2019-04-08T00:00:00"/>
    <d v="2019-04-08T00:00:00"/>
    <n v="0"/>
    <s v="0-1 día"/>
    <n v="0"/>
    <n v="0"/>
    <n v="0"/>
    <n v="-97.597500000000025"/>
  </r>
  <r>
    <s v="ABR-19"/>
    <n v="1"/>
    <s v="2012769"/>
    <s v="SR INSTALACION DE EQUIPO"/>
    <s v="3330"/>
    <s v="21/03/2019 10:31"/>
    <s v="09BR546320"/>
    <s v="500056"/>
    <s v="PITSS"/>
    <s v="ASP"/>
    <x v="3"/>
    <s v="CARRETERA A MONTERREY AV FOMENTO INDUSTRIAL SN"/>
    <s v="Reynosa-TAM"/>
    <n v="0"/>
    <s v="INTERIOR"/>
    <s v="  "/>
    <s v="&gt;60"/>
    <s v="Entry Mono Printers"/>
    <s v="A4"/>
    <s v="Ciudad principal"/>
    <s v="1-&gt;60"/>
    <n v="1"/>
    <n v="1072.5000000000002"/>
    <n v="0"/>
    <n v="5"/>
    <n v="5"/>
    <n v="1"/>
    <n v="0"/>
    <n v="0"/>
    <d v="2019-03-21T00:00:00"/>
    <d v="2019-04-08T00:00:00"/>
    <n v="12"/>
    <s v="&gt;10 días"/>
    <n v="0"/>
    <n v="0"/>
    <n v="0"/>
    <n v="1072.5000000000002"/>
  </r>
  <r>
    <s v="ABR-19"/>
    <n v="1"/>
    <s v="2021391"/>
    <s v="SR MANTENIMIENTO CORRECTIVO"/>
    <s v="8075"/>
    <s v="08/04/2019 07:46"/>
    <s v="03AG877879"/>
    <s v="500028"/>
    <s v="PITSS"/>
    <s v="ASP"/>
    <x v="14"/>
    <s v="AV GOMEZ MORIN No 924 LOTE 7"/>
    <s v="San Pedro Garza Garc"/>
    <n v="0"/>
    <s v="INTERIOR"/>
    <n v="40"/>
    <s v="Entre 31 y 60"/>
    <s v="Departmental Digital"/>
    <s v="A3"/>
    <s v="Ciudad principal"/>
    <s v="2-Entre 31 y 60"/>
    <n v="1.05"/>
    <n v="1433.25"/>
    <n v="1"/>
    <n v="1.5"/>
    <n v="5"/>
    <n v="0.3"/>
    <n v="0"/>
    <n v="0"/>
    <d v="2019-04-08T00:00:00"/>
    <d v="2019-04-08T00:00:00"/>
    <n v="0"/>
    <s v="0-1 día"/>
    <n v="0"/>
    <n v="0"/>
    <n v="0"/>
    <n v="1433.25"/>
  </r>
  <r>
    <s v="ABR-19"/>
    <n v="1"/>
    <s v="2020887"/>
    <s v="SR MANTENIMIENTO CORRECTIVO"/>
    <s v="3658"/>
    <s v="05/04/2019 16:58"/>
    <s v="0C4X008292"/>
    <s v="800200"/>
    <s v="PITSS"/>
    <s v="ASP"/>
    <x v="2"/>
    <s v="AV VALLARTA 3960-B"/>
    <s v="ZAPOPAN-JAL"/>
    <n v="0"/>
    <s v="INTERIOR"/>
    <n v="959"/>
    <s v="&gt;60"/>
    <s v="A4 Mono MFPs"/>
    <s v="A4"/>
    <s v="Ciudad principal"/>
    <s v="1-&gt;60"/>
    <n v="1.05"/>
    <n v="750.75000000000011"/>
    <n v="1"/>
    <n v="0.96"/>
    <n v="5"/>
    <n v="0.192"/>
    <n v="0"/>
    <n v="0"/>
    <d v="2019-04-08T00:00:00"/>
    <d v="2019-04-08T00:00:00"/>
    <n v="0"/>
    <s v="0-1 día"/>
    <n v="0"/>
    <n v="0"/>
    <n v="0"/>
    <n v="750.75000000000011"/>
  </r>
  <r>
    <s v="ABR-19"/>
    <n v="1"/>
    <s v="2019835"/>
    <s v="SR MANTENIMIENTO CORRECTIVO"/>
    <s v="3616"/>
    <s v="04/04/2019 08:22"/>
    <s v="0A2T200458"/>
    <s v="500066"/>
    <s v="PITSS"/>
    <s v="ASP"/>
    <x v="24"/>
    <s v="CARR MIGUEL ALEMAN KM 24"/>
    <s v="APODACA-NL"/>
    <n v="0"/>
    <s v="INTERIOR"/>
    <n v="119"/>
    <s v="&gt;60"/>
    <s v="A4 Mono MFPs"/>
    <s v="A4"/>
    <s v="Otras"/>
    <s v="1-&gt;60"/>
    <n v="1.05"/>
    <n v="750.75000000000011"/>
    <n v="1"/>
    <n v="2.48"/>
    <n v="9"/>
    <n v="0.27555555555555555"/>
    <n v="0"/>
    <n v="0"/>
    <d v="2019-04-08T00:00:00"/>
    <d v="2019-04-08T00:00:00"/>
    <n v="0"/>
    <s v="0-1 día"/>
    <n v="0"/>
    <n v="0"/>
    <n v="0"/>
    <n v="750.75000000000011"/>
  </r>
  <r>
    <s v="ABR-19"/>
    <n v="1"/>
    <s v="2020963"/>
    <s v="SR MANTENIMIENTO CORRECTIVO"/>
    <s v="8075"/>
    <s v="06/04/2019 09:27"/>
    <s v="03AG880355"/>
    <s v="800027"/>
    <s v="PITSS"/>
    <s v="ASP"/>
    <x v="14"/>
    <s v="AV MEXICO 3370"/>
    <s v="Zapopan-JAL"/>
    <n v="0"/>
    <s v="INTERIOR"/>
    <n v="4"/>
    <s v="Entre 3 y 6"/>
    <s v="Departmental Digital"/>
    <s v="A3"/>
    <s v="Ciudad principal"/>
    <s v="2-Entre 3 y 6"/>
    <n v="0"/>
    <n v="0"/>
    <n v="1"/>
    <n v="2.0299999999999998"/>
    <n v="5"/>
    <n v="0.40599999999999997"/>
    <n v="0"/>
    <n v="0"/>
    <d v="2019-04-08T00:00:00"/>
    <d v="2019-04-08T00:00:00"/>
    <n v="0"/>
    <s v="0-1 día"/>
    <n v="0"/>
    <n v="0"/>
    <n v="0"/>
    <n v="0"/>
  </r>
  <r>
    <s v="ABR-19"/>
    <n v="1"/>
    <s v="2020803"/>
    <s v="SR MANTENIMIENTO CORRECTIVO"/>
    <s v="0070"/>
    <s v="05/04/2019 14:14"/>
    <s v="0E2B658511"/>
    <s v="800187"/>
    <s v="PITSS"/>
    <s v="ASP"/>
    <x v="14"/>
    <s v="AV CONSTITUYENTES 152 PTE"/>
    <s v="QUERETARO-QRO"/>
    <n v="0"/>
    <s v="INTERIOR"/>
    <n v="2"/>
    <s v="&lt;=3"/>
    <s v="Entry Production Color Low/Mid"/>
    <s v="Entry Production"/>
    <s v="Ciudad principal"/>
    <s v="3-&lt;=3"/>
    <n v="0"/>
    <n v="0"/>
    <n v="1"/>
    <n v="1.1000000000000001"/>
    <n v="4"/>
    <n v="0.27500000000000002"/>
    <n v="0"/>
    <n v="0"/>
    <d v="2019-04-08T00:00:00"/>
    <d v="2019-04-08T00:00:00"/>
    <n v="0"/>
    <s v="0-1 día"/>
    <n v="0"/>
    <n v="0"/>
    <n v="0"/>
    <n v="0"/>
  </r>
  <r>
    <s v="ABR-19"/>
    <n v="1"/>
    <s v="2021393"/>
    <s v="SR MANTENIMIENTO CORRECTIVO"/>
    <s v="0070"/>
    <s v="08/04/2019 07:47"/>
    <s v="0E2B106653"/>
    <s v="500035"/>
    <s v="PITSS"/>
    <s v="ASP"/>
    <x v="14"/>
    <s v="AV GOMEZ MORIN No 924 LOTE 7"/>
    <s v="San Pedro Garza Garc"/>
    <n v="0"/>
    <s v="INTERIOR"/>
    <n v="28"/>
    <s v="Entre 16 y 30"/>
    <s v="Entry Production Color Low/Mid"/>
    <s v="Entry Production"/>
    <s v="Ciudad principal"/>
    <s v="3-Entre 16 y 30"/>
    <n v="1.05"/>
    <n v="1651.6500000000003"/>
    <n v="1"/>
    <n v="1.63"/>
    <n v="4"/>
    <n v="0.40749999999999997"/>
    <n v="0"/>
    <n v="0"/>
    <d v="2019-04-08T00:00:00"/>
    <d v="2019-04-08T00:00:00"/>
    <n v="0"/>
    <s v="0-1 día"/>
    <n v="0"/>
    <n v="0"/>
    <n v="0"/>
    <n v="1651.6500000000003"/>
  </r>
  <r>
    <s v="ABR-19"/>
    <n v="1"/>
    <s v="2021173"/>
    <s v="SR MANTENIMIENTO CORRECTIVO"/>
    <s v="0551"/>
    <s v="07/04/2019 14:48"/>
    <s v="0XPN393110"/>
    <s v="500036"/>
    <s v="PITSS"/>
    <s v="ASP"/>
    <x v="7"/>
    <s v="PERIFERICO LUIS ECHEVERRIA ALVAREZ 1474"/>
    <s v="SALTILLO-COAH"/>
    <n v="0"/>
    <s v="INTERIOR"/>
    <n v="56"/>
    <s v="Entre 31 y 60"/>
    <s v="Entry Production Color Low/Mid"/>
    <s v="Entry Production"/>
    <s v="Ciudad principal"/>
    <s v="3-Entre 31 y 60"/>
    <n v="1.1000000000000001"/>
    <n v="1730.3000000000004"/>
    <n v="1"/>
    <n v="0.62"/>
    <n v="4"/>
    <n v="0.155"/>
    <n v="0"/>
    <n v="0"/>
    <d v="2019-04-08T00:00:00"/>
    <d v="2019-04-08T00:00:00"/>
    <n v="0"/>
    <s v="0-1 día"/>
    <n v="0"/>
    <n v="0"/>
    <n v="0"/>
    <n v="1730.3000000000004"/>
  </r>
  <r>
    <s v="ABR-19"/>
    <n v="1"/>
    <s v="2021445"/>
    <s v="SR MANTENIMIENTO CORRECTIVO"/>
    <s v="4002"/>
    <s v="08/04/2019 09:09"/>
    <s v="09HB320873"/>
    <s v="100037"/>
    <s v="PITSS"/>
    <s v="ASP"/>
    <x v="10"/>
    <s v="AV SANTANA No 127"/>
    <s v="Mexico-ESTADO DE MEX"/>
    <n v="0"/>
    <s v="INTERIOR"/>
    <n v="257"/>
    <s v="&gt;60"/>
    <s v="A4 Mono MFPs"/>
    <s v="A4"/>
    <s v="Ciudad principal"/>
    <s v="1-&gt;60"/>
    <n v="1.05"/>
    <n v="750.75000000000011"/>
    <n v="1"/>
    <n v="2.3199999999999998"/>
    <n v="5"/>
    <n v="0.46399999999999997"/>
    <n v="0"/>
    <n v="0"/>
    <d v="2019-04-08T00:00:00"/>
    <d v="2019-04-08T00:00:00"/>
    <n v="0"/>
    <s v="0-1 día"/>
    <n v="0"/>
    <n v="0"/>
    <n v="0"/>
    <n v="750.75000000000011"/>
  </r>
  <r>
    <s v="ABR-19"/>
    <n v="1"/>
    <s v="2020969"/>
    <s v="SR MANTENIMIENTO CORRECTIVO"/>
    <s v="4395"/>
    <s v="06/04/2019 10:16"/>
    <s v="0BG2943221"/>
    <s v="100038"/>
    <s v="PITSS"/>
    <s v="ASP"/>
    <x v="7"/>
    <s v="BLV ISIDRO FABELA SUR 600"/>
    <s v="TOLUCA-MEX"/>
    <n v="0"/>
    <s v="INTERIOR"/>
    <n v="44"/>
    <s v="Entre 31 y 60"/>
    <s v="Light Production Digital Business"/>
    <s v="Entry Production"/>
    <s v="Ciudad principal"/>
    <s v="3-Entre 31 y 60"/>
    <n v="1.1000000000000001"/>
    <n v="1730.3000000000004"/>
    <n v="1"/>
    <n v="0.5"/>
    <n v="4"/>
    <n v="0.125"/>
    <n v="0"/>
    <n v="0"/>
    <d v="2019-04-08T00:00:00"/>
    <d v="2019-04-08T00:00:00"/>
    <n v="0"/>
    <s v="0-1 día"/>
    <n v="0"/>
    <n v="0"/>
    <n v="0"/>
    <n v="1730.3000000000004"/>
  </r>
  <r>
    <s v="ABR-19"/>
    <n v="1"/>
    <s v="2020975"/>
    <s v="SR MANTENIMIENTO CORRECTIVO"/>
    <s v="0560"/>
    <s v="06/04/2019 11:54"/>
    <s v="0XPN396574"/>
    <s v="800192"/>
    <s v="PITSS"/>
    <s v="ASP"/>
    <x v="7"/>
    <s v="AV MAIZ 1300"/>
    <s v="ZAPOPAN-JAL"/>
    <n v="0"/>
    <s v="INTERIOR"/>
    <n v="5"/>
    <s v="Entre 3 y 6"/>
    <s v="Entry Production Color Low/Mid"/>
    <s v="Entry Production"/>
    <s v="Ciudad principal"/>
    <s v="3-Entre 3 y 6"/>
    <n v="0.6"/>
    <n v="943.80000000000007"/>
    <n v="1"/>
    <n v="0"/>
    <n v="4"/>
    <n v="0"/>
    <n v="0"/>
    <n v="0"/>
    <d v="2019-04-08T00:00:00"/>
    <d v="2019-04-08T00:00:00"/>
    <n v="0"/>
    <s v="0-1 día"/>
    <n v="0"/>
    <n v="0"/>
    <n v="0"/>
    <n v="943.80000000000007"/>
  </r>
  <r>
    <s v="ABR-19"/>
    <n v="1"/>
    <s v="2021577"/>
    <s v="SR MANTENIMIENTO CORRECTIVO"/>
    <s v="8045"/>
    <s v="08/04/2019 10:37"/>
    <s v="0Y4X843429"/>
    <s v="500027"/>
    <s v="PITSS"/>
    <s v="ASP"/>
    <x v="39"/>
    <s v="DURANGO No 2751"/>
    <s v="Ciudad Juarez-CHIH"/>
    <n v="1"/>
    <s v="INTERIOR"/>
    <n v="229"/>
    <s v="&gt;60"/>
    <s v="Office Digital"/>
    <s v="A3"/>
    <s v="Ciudad principal"/>
    <s v="2-&gt;60"/>
    <n v="1.1000000000000001"/>
    <n v="0"/>
    <n v="1"/>
    <n v="0"/>
    <n v="5"/>
    <n v="0"/>
    <n v="0"/>
    <n v="0"/>
    <d v="2019-04-08T00:00:00"/>
    <d v="2019-04-08T00:00:00"/>
    <n v="0"/>
    <s v="0-1 día"/>
    <n v="0"/>
    <n v="0"/>
    <n v="0"/>
    <n v="0"/>
  </r>
  <r>
    <s v="ABR-19"/>
    <n v="1"/>
    <s v="2021413"/>
    <s v="SR MANTENIMIENTO CORRECTIVO"/>
    <s v="5866"/>
    <s v="08/04/2019 07:51"/>
    <s v="0EX9297593"/>
    <s v="500035"/>
    <s v="PITSS"/>
    <s v="ASP"/>
    <x v="7"/>
    <s v="AV HEROICO COLEGIO MILITAR 114"/>
    <s v="PIEDRAS NEGRAS-COAH"/>
    <n v="0"/>
    <s v="INTERIOR"/>
    <n v="35"/>
    <s v="Entre 31 y 60"/>
    <s v="Departmental Digital"/>
    <s v="A3"/>
    <s v="Ciudad principal"/>
    <s v="2-Entre 31 y 60"/>
    <n v="1.05"/>
    <n v="1433.25"/>
    <n v="1"/>
    <n v="1.6"/>
    <n v="5"/>
    <n v="0.32"/>
    <n v="0"/>
    <n v="0"/>
    <d v="2019-04-08T00:00:00"/>
    <d v="2019-04-08T00:00:00"/>
    <n v="0"/>
    <s v="0-1 día"/>
    <n v="0"/>
    <n v="0"/>
    <n v="0"/>
    <n v="1433.25"/>
  </r>
  <r>
    <s v="ABR-19"/>
    <n v="1"/>
    <s v="2021597"/>
    <s v="SR MANTENIMIENTO CORRECTIVO"/>
    <s v="4002"/>
    <s v="08/04/2019 11:05"/>
    <s v="09HB321202"/>
    <s v="500019"/>
    <s v="PITSS"/>
    <s v="ASP"/>
    <x v="10"/>
    <s v="AV ABASOLO 3653 OTE"/>
    <s v="TORREON-COAH"/>
    <n v="0"/>
    <s v="INTERIOR"/>
    <n v="81"/>
    <s v="&gt;60"/>
    <s v="A4 Mono MFPs"/>
    <s v="A4"/>
    <s v="Otras"/>
    <s v="1-&gt;60"/>
    <n v="1.05"/>
    <n v="750.75000000000011"/>
    <n v="1"/>
    <n v="0.54"/>
    <n v="9"/>
    <n v="6.0000000000000005E-2"/>
    <n v="0"/>
    <n v="0"/>
    <d v="2019-04-08T00:00:00"/>
    <d v="2019-04-08T00:00:00"/>
    <n v="0"/>
    <s v="0-1 día"/>
    <n v="0"/>
    <n v="0"/>
    <n v="0"/>
    <n v="750.75000000000011"/>
  </r>
  <r>
    <s v="ABR-19"/>
    <n v="1"/>
    <s v="2021541"/>
    <s v="SR MANTENIMIENTO CORRECTIVO"/>
    <s v="5945"/>
    <s v="08/04/2019 10:30"/>
    <s v="0X76706478"/>
    <s v="500155"/>
    <s v="PITSS"/>
    <s v="ASP"/>
    <x v="30"/>
    <s v="AV FUENTES DEL SUR No 7070"/>
    <s v="Ciudad Juarez-CHIH"/>
    <n v="0"/>
    <s v="INTERIOR"/>
    <n v="249"/>
    <s v="&gt;60"/>
    <s v="Office Digital"/>
    <s v="A3"/>
    <s v="Ciudad principal"/>
    <s v="2-&gt;60"/>
    <n v="1.1000000000000001"/>
    <n v="1501.5000000000002"/>
    <n v="1"/>
    <n v="1.5"/>
    <n v="5"/>
    <n v="0.3"/>
    <n v="0"/>
    <n v="0"/>
    <d v="2019-04-08T00:00:00"/>
    <d v="2019-04-08T00:00:00"/>
    <n v="0"/>
    <s v="0-1 día"/>
    <n v="0"/>
    <n v="0"/>
    <n v="0"/>
    <n v="1501.5000000000002"/>
  </r>
  <r>
    <s v="ABR-19"/>
    <n v="1"/>
    <s v="2020669"/>
    <s v="SR INSTALACION ANALISTA"/>
    <s v="3330"/>
    <s v="05/04/2019 11:55"/>
    <s v="09BR546326"/>
    <s v="500056"/>
    <s v="PITSS"/>
    <s v="ASP"/>
    <x v="3"/>
    <s v="CARRETERA A MONTERREY AV FOMENTO INDUSTRIAL SN"/>
    <s v="Reynosa-TAM"/>
    <n v="0"/>
    <s v="INTERIOR"/>
    <s v="  "/>
    <s v="&gt;60"/>
    <s v="Entry Mono Printers"/>
    <s v="A4"/>
    <s v="Ciudad principal"/>
    <s v="1-&gt;60"/>
    <n v="1"/>
    <n v="715.00000000000011"/>
    <n v="0"/>
    <n v="5"/>
    <n v="5"/>
    <n v="1"/>
    <n v="0"/>
    <n v="0"/>
    <d v="2019-04-05T00:00:00"/>
    <d v="2019-04-08T00:00:00"/>
    <n v="1"/>
    <s v="0-1 día"/>
    <n v="0"/>
    <n v="0"/>
    <n v="0"/>
    <n v="715.00000000000011"/>
  </r>
  <r>
    <s v="ABR-19"/>
    <n v="1"/>
    <s v="2021663"/>
    <s v="SR MANTENIMIENTO CORRECTIVO"/>
    <s v="4018"/>
    <s v="08/04/2019 11:57"/>
    <s v="4HX547305"/>
    <s v="500066"/>
    <s v="PITSS"/>
    <s v="ASP"/>
    <x v="65"/>
    <s v="LEON GUZMAN No 1308"/>
    <s v="Monterrey-NL"/>
    <n v="0"/>
    <s v="INTERIOR"/>
    <n v="2685"/>
    <s v="&gt;60"/>
    <s v="A4 Color Laser MFPs"/>
    <s v="A4"/>
    <s v="Ciudad principal"/>
    <s v="1-&gt;60"/>
    <n v="1.05"/>
    <n v="750.75000000000011"/>
    <n v="1"/>
    <n v="1.65"/>
    <n v="5"/>
    <n v="0.32999999999999996"/>
    <n v="0"/>
    <n v="0"/>
    <d v="2019-04-08T00:00:00"/>
    <d v="2019-04-08T00:00:00"/>
    <n v="0"/>
    <s v="0-1 día"/>
    <n v="0"/>
    <n v="0"/>
    <n v="0"/>
    <n v="750.75000000000011"/>
  </r>
  <r>
    <s v="ABR-19"/>
    <n v="1"/>
    <s v="2021733"/>
    <s v="SR MANTENIMIENTO CORRECTIVO"/>
    <s v="8075"/>
    <s v="08/04/2019 12:58"/>
    <s v="03AG879962"/>
    <s v="500159"/>
    <s v="PITSS"/>
    <s v="ASP"/>
    <x v="14"/>
    <s v="HIPERPLAZA No 3300"/>
    <s v="Chihuahua-CHIH"/>
    <n v="0"/>
    <s v="INTERIOR"/>
    <n v="14"/>
    <s v="Entre 7 y 15"/>
    <s v="Departmental Digital"/>
    <s v="A3"/>
    <s v="Ciudad principal"/>
    <s v="2-Entre 7 y 15"/>
    <n v="0.6"/>
    <n v="819"/>
    <n v="1"/>
    <n v="0"/>
    <n v="5"/>
    <n v="0"/>
    <n v="0"/>
    <n v="0"/>
    <d v="2019-04-08T00:00:00"/>
    <d v="2019-04-08T00:00:00"/>
    <n v="0"/>
    <s v="0-1 día"/>
    <n v="0"/>
    <n v="0"/>
    <n v="0"/>
    <n v="819"/>
  </r>
  <r>
    <s v="ABR-19"/>
    <n v="1"/>
    <s v="2021613"/>
    <s v="SR MANTENIMIENTO CORRECTIVO"/>
    <s v="4310"/>
    <s v="08/04/2019 11:17"/>
    <s v="0BG0966730"/>
    <s v="800110"/>
    <s v="PITSS"/>
    <s v="ASP"/>
    <x v="7"/>
    <s v="BLVD CAMELIA NO.2658"/>
    <s v="Morelia-MICH"/>
    <n v="0"/>
    <s v="INTERIOR"/>
    <n v="20"/>
    <s v="Entre 16 y 30"/>
    <s v="Light Production Digital Business"/>
    <s v="Entry Production"/>
    <s v="Ciudad principal"/>
    <s v="3-Entre 16 y 30"/>
    <n v="1.05"/>
    <n v="1651.6500000000003"/>
    <n v="1"/>
    <n v="1.84"/>
    <n v="4"/>
    <n v="0.46"/>
    <n v="0"/>
    <n v="0"/>
    <d v="2019-04-08T00:00:00"/>
    <d v="2019-04-08T00:00:00"/>
    <n v="0"/>
    <s v="0-1 día"/>
    <n v="0"/>
    <n v="0"/>
    <n v="0"/>
    <n v="1651.6500000000003"/>
  </r>
  <r>
    <s v="ABR-19"/>
    <n v="1"/>
    <s v="2021615"/>
    <s v="SR MANTENIMIENTO CORRECTIVO"/>
    <s v="6656"/>
    <s v="08/04/2019 11:16"/>
    <s v="0E1B972284"/>
    <s v="800200"/>
    <s v="PITSS"/>
    <s v="ASP"/>
    <x v="0"/>
    <s v="AV GENERAL RAMON CORONA No 2514"/>
    <s v="Zapopan-JAL"/>
    <n v="0"/>
    <s v="INTERIOR"/>
    <n v="301"/>
    <s v="&gt;60"/>
    <s v="Color Laser Printers"/>
    <s v="A4"/>
    <s v="Ciudad principal"/>
    <s v="1-&gt;60"/>
    <n v="1.05"/>
    <n v="750.75000000000011"/>
    <n v="1"/>
    <n v="2.15"/>
    <n v="5"/>
    <n v="0.43"/>
    <n v="0"/>
    <n v="0"/>
    <d v="2019-04-08T00:00:00"/>
    <d v="2019-04-08T00:00:00"/>
    <n v="0"/>
    <s v="0-1 día"/>
    <n v="0"/>
    <n v="0"/>
    <n v="0"/>
    <n v="750.75000000000011"/>
  </r>
  <r>
    <s v="ABR-19"/>
    <n v="1"/>
    <s v="2019827"/>
    <s v="SR MANTENIMIENTO CORRECTIVO"/>
    <s v="1844"/>
    <s v="04/04/2019 08:15"/>
    <s v="0UHA002004"/>
    <s v="800192"/>
    <s v="PITSS"/>
    <s v="ASP"/>
    <x v="33"/>
    <s v="AVENIDA PERIFERICO NORTE No 940"/>
    <s v="Zapopan-JAL"/>
    <n v="0"/>
    <s v="INTERIOR"/>
    <n v="3"/>
    <s v="&lt;=3"/>
    <s v="High End Cut Sheet"/>
    <s v="High Production"/>
    <s v="Ciudad principal"/>
    <s v="4-&lt;=3"/>
    <n v="0.6"/>
    <n v="1287"/>
    <n v="1"/>
    <n v="2.82"/>
    <n v="3"/>
    <n v="0.94"/>
    <n v="0"/>
    <n v="0"/>
    <d v="2019-04-08T00:00:00"/>
    <d v="2019-04-08T00:00:00"/>
    <n v="0"/>
    <s v="0-1 día"/>
    <n v="0"/>
    <n v="0"/>
    <n v="0"/>
    <n v="1287"/>
  </r>
  <r>
    <s v="ABR-19"/>
    <n v="1"/>
    <s v="2021415"/>
    <s v="SR MANTENIMIENTO CORRECTIVO"/>
    <s v="0560"/>
    <s v="08/04/2019 08:27"/>
    <s v="0XPN546541"/>
    <s v="500035"/>
    <s v="PITSS"/>
    <s v="ASP"/>
    <x v="7"/>
    <s v="AV HEROICO COLEGIO MILITAR 114"/>
    <s v="PIEDRAS NEGRAS-COAH"/>
    <n v="0"/>
    <s v="INTERIOR"/>
    <n v="20"/>
    <s v="Entre 16 y 30"/>
    <s v="Entry Production Color Low/Mid"/>
    <s v="Entry Production"/>
    <s v="Ciudad principal"/>
    <s v="3-Entre 16 y 30"/>
    <n v="1.05"/>
    <n v="1651.6500000000003"/>
    <n v="1"/>
    <n v="3.42"/>
    <n v="4"/>
    <n v="0.85499999999999998"/>
    <n v="0"/>
    <n v="0"/>
    <d v="2019-04-08T00:00:00"/>
    <d v="2019-04-08T00:00:00"/>
    <n v="0"/>
    <s v="0-1 día"/>
    <n v="0"/>
    <n v="0"/>
    <n v="0"/>
    <n v="1651.6500000000003"/>
  </r>
  <r>
    <s v="ABR-19"/>
    <n v="1"/>
    <s v="2021767"/>
    <s v="SR MANTENIMIENTO CORRECTIVO"/>
    <s v="3658"/>
    <s v="08/04/2019 13:20"/>
    <s v="0C4X008398"/>
    <s v="800183"/>
    <s v="PITSS"/>
    <s v="ASP"/>
    <x v="2"/>
    <s v="CARR CHAPALA-JOCOTEPEC  PLAZA CENTRO LAGUNA  206 L"/>
    <s v="Ajijic-JAL"/>
    <n v="0"/>
    <s v="INTERIOR"/>
    <n v="298"/>
    <s v="&gt;60"/>
    <s v="A4 Mono MFPs"/>
    <s v="A4"/>
    <s v="Ciudad principal"/>
    <s v="1-&gt;60"/>
    <n v="1.05"/>
    <n v="750.75000000000011"/>
    <n v="1"/>
    <n v="1.67"/>
    <n v="5"/>
    <n v="0.33399999999999996"/>
    <n v="0"/>
    <n v="0"/>
    <d v="2019-04-08T00:00:00"/>
    <d v="2019-04-08T00:00:00"/>
    <n v="0"/>
    <s v="0-1 día"/>
    <n v="0"/>
    <n v="0"/>
    <n v="0"/>
    <n v="750.75000000000011"/>
  </r>
  <r>
    <s v="ABR-19"/>
    <n v="1"/>
    <s v="2018623"/>
    <s v="SR MANTENIMIENTO CORRECTIVO"/>
    <s v="4395"/>
    <s v="02/04/2019 07:52"/>
    <s v="0BG2947512"/>
    <s v="500035"/>
    <s v="PITSS"/>
    <s v="ASP"/>
    <x v="7"/>
    <s v="AV HEROICO COLEGIO MILITAR 114"/>
    <s v="PIEDRAS NEGRAS-COAH"/>
    <n v="0"/>
    <s v="INTERIOR"/>
    <n v="29"/>
    <s v="Entre 16 y 30"/>
    <s v="Light Production Digital Business"/>
    <s v="Entry Production"/>
    <s v="Ciudad principal"/>
    <s v="3-Entre 16 y 30"/>
    <n v="1.05"/>
    <n v="1651.6500000000003"/>
    <n v="1"/>
    <n v="6.5"/>
    <n v="4"/>
    <n v="1.625"/>
    <n v="0.15625"/>
    <n v="-245.78125000000003"/>
    <d v="2019-04-08T00:00:00"/>
    <d v="2019-04-08T00:00:00"/>
    <n v="0"/>
    <s v="0-1 día"/>
    <n v="0"/>
    <n v="0"/>
    <n v="0"/>
    <n v="1405.8687500000003"/>
  </r>
  <r>
    <s v="ABR-19"/>
    <n v="1"/>
    <s v="2021837"/>
    <s v="SR MANTENIMIENTO CORRECTIVO"/>
    <s v="6506"/>
    <s v="08/04/2019 14:30"/>
    <s v="0YTB131550"/>
    <s v="500089"/>
    <s v="PITSS"/>
    <s v="ASP"/>
    <x v="53"/>
    <s v="AV HERMANOS ESCOBAR No 5756"/>
    <s v="Ciudad Juarez-CHIH"/>
    <n v="1"/>
    <s v="INTERIOR"/>
    <n v="10"/>
    <s v="Entre 7 y 15"/>
    <s v="A4 Color Laser MFPs"/>
    <s v="A4"/>
    <s v="Ciudad principal"/>
    <s v="1-Entre 7 y 15"/>
    <n v="0"/>
    <n v="0"/>
    <n v="1"/>
    <n v="1.08"/>
    <n v="5"/>
    <n v="0.21600000000000003"/>
    <n v="0"/>
    <n v="0"/>
    <d v="2019-04-08T00:00:00"/>
    <d v="2019-04-08T00:00:00"/>
    <n v="0"/>
    <s v="0-1 día"/>
    <n v="0"/>
    <n v="0"/>
    <n v="0"/>
    <n v="0"/>
  </r>
  <r>
    <s v="ABR-19"/>
    <n v="1"/>
    <s v="2014731"/>
    <s v="SR MANTENIMIENTO CORRECTIVO"/>
    <s v="6702"/>
    <s v="25/03/2019 13:24"/>
    <s v="0AB9779149"/>
    <s v="800186"/>
    <s v="PITSS"/>
    <s v="ASP"/>
    <x v="40"/>
    <s v="GRAL MARIANO ARISTA 54 B 21"/>
    <s v="MIGUEL HIDALGO-CIUDA"/>
    <n v="0"/>
    <s v="INTERIOR"/>
    <n v="194"/>
    <s v="&gt;60"/>
    <s v="Color Laser Printers"/>
    <s v="A4"/>
    <s v="Ciudad principal"/>
    <s v="1-&gt;60"/>
    <n v="1.05"/>
    <n v="750.75000000000011"/>
    <n v="1"/>
    <n v="0"/>
    <n v="5"/>
    <n v="0"/>
    <n v="0"/>
    <n v="0"/>
    <d v="2019-04-08T00:00:00"/>
    <d v="2019-04-09T00:00:00"/>
    <n v="1"/>
    <s v="0-1 día"/>
    <n v="0"/>
    <n v="0"/>
    <n v="0"/>
    <n v="750.75000000000011"/>
  </r>
  <r>
    <s v="ABR-19"/>
    <n v="1"/>
    <s v="2021817"/>
    <s v="SR MANTENIMIENTO CORRECTIVO"/>
    <s v="4002"/>
    <s v="08/04/2019 14:06"/>
    <s v="09HB325731"/>
    <s v="500036"/>
    <s v="PITSS"/>
    <s v="ASP"/>
    <x v="10"/>
    <s v="AV DE SAN FRANCISCO No 2691"/>
    <s v="Monterrey-NL"/>
    <n v="0"/>
    <s v="INTERIOR"/>
    <n v="341"/>
    <s v="&gt;60"/>
    <s v="A4 Mono MFPs"/>
    <s v="A4"/>
    <s v="Ciudad principal"/>
    <s v="1-&gt;60"/>
    <n v="1.05"/>
    <n v="750.75000000000011"/>
    <n v="1"/>
    <n v="1.45"/>
    <n v="5"/>
    <n v="0.28999999999999998"/>
    <n v="0"/>
    <n v="0"/>
    <d v="2019-04-08T00:00:00"/>
    <d v="2019-04-09T00:00:00"/>
    <n v="1"/>
    <s v="0-1 día"/>
    <n v="0"/>
    <n v="0"/>
    <n v="0"/>
    <n v="750.75000000000011"/>
  </r>
  <r>
    <s v="ABR-19"/>
    <n v="1"/>
    <s v="2020791"/>
    <s v="SR MANTENIMIENTO CORRECTIVO"/>
    <s v="0070"/>
    <s v="05/04/2019 13:52"/>
    <s v="0E2B663505"/>
    <s v="800192"/>
    <s v="PITSS"/>
    <s v="ASP"/>
    <x v="14"/>
    <s v="AV MEXICO 3370"/>
    <s v="Zapopan-JAL"/>
    <n v="0"/>
    <s v="INTERIOR"/>
    <n v="116"/>
    <s v="&gt;60"/>
    <s v="Entry Production Color Low/Mid"/>
    <s v="Entry Production"/>
    <s v="Ciudad principal"/>
    <s v="3-&gt;60"/>
    <n v="1.1499999999999999"/>
    <n v="1808.95"/>
    <n v="1"/>
    <n v="2.21"/>
    <n v="4"/>
    <n v="0.55249999999999999"/>
    <n v="0"/>
    <n v="0"/>
    <d v="2019-04-08T00:00:00"/>
    <d v="2019-04-09T00:00:00"/>
    <n v="1"/>
    <s v="0-1 día"/>
    <n v="0"/>
    <n v="0"/>
    <n v="0"/>
    <n v="1808.95"/>
  </r>
  <r>
    <s v="ABR-19"/>
    <n v="1"/>
    <s v="2021421"/>
    <s v="SR MANTENIMIENTO CORRECTIVO"/>
    <s v="4395"/>
    <s v="08/04/2019 08:37"/>
    <s v="0BG2947123"/>
    <s v="800197"/>
    <s v="PITSS"/>
    <s v="ASP"/>
    <x v="7"/>
    <s v="AV BENITO JUAREZ 1965"/>
    <s v="SAN LUIS POTOSI-SLP"/>
    <n v="0"/>
    <s v="INTERIOR"/>
    <n v="31"/>
    <s v="Entre 31 y 60"/>
    <s v="Light Production Digital Business"/>
    <s v="Entry Production"/>
    <s v="Ciudad principal"/>
    <s v="3-Entre 31 y 60"/>
    <n v="1.1000000000000001"/>
    <n v="1730.3000000000004"/>
    <n v="1"/>
    <n v="4.4666666666666677"/>
    <n v="4"/>
    <n v="1.1166666666666669"/>
    <n v="2.916666666666673E-2"/>
    <n v="-45.879166666666769"/>
    <d v="2019-04-08T00:00:00"/>
    <d v="2019-04-09T00:00:00"/>
    <n v="1"/>
    <s v="0-1 día"/>
    <n v="0"/>
    <n v="0"/>
    <n v="0"/>
    <n v="1684.4208333333336"/>
  </r>
  <r>
    <s v="ABR-19"/>
    <n v="1"/>
    <s v="2021683"/>
    <s v="SR MANTENIMIENTO CORRECTIVO"/>
    <s v="5757"/>
    <s v="08/04/2019 12:15"/>
    <s v="0Y2B003356"/>
    <s v="500080"/>
    <s v="PITSS"/>
    <s v="ASP"/>
    <x v="0"/>
    <s v="HEROICO COLEGIO MILITAR No 4700"/>
    <s v="Chihuahua-CHIH"/>
    <n v="0"/>
    <s v="INTERIOR"/>
    <n v="46"/>
    <s v="Entre 31 y 60"/>
    <s v="Departmental Digital"/>
    <s v="A3"/>
    <s v="Ciudad principal"/>
    <s v="2-Entre 31 y 60"/>
    <n v="1.05"/>
    <n v="1433.25"/>
    <n v="1"/>
    <n v="0"/>
    <n v="5"/>
    <n v="0"/>
    <n v="0"/>
    <n v="0"/>
    <d v="2019-04-08T00:00:00"/>
    <d v="2019-04-09T00:00:00"/>
    <n v="1"/>
    <s v="0-1 día"/>
    <n v="0"/>
    <n v="0"/>
    <n v="0"/>
    <n v="1433.25"/>
  </r>
  <r>
    <s v="ABR-19"/>
    <n v="1"/>
    <s v="2021665"/>
    <s v="SR MANTENIMIENTO CORRECTIVO"/>
    <s v="8680"/>
    <s v="08/04/2019 11:59"/>
    <s v="0B2R090061"/>
    <s v="500066"/>
    <s v="PITSS"/>
    <s v="ASP"/>
    <x v="66"/>
    <s v="CARLOS SALAZAR No 729"/>
    <s v="Monterrey-NL"/>
    <n v="0"/>
    <s v="INTERIOR"/>
    <n v="27"/>
    <s v="Entre 16 y 30"/>
    <s v="Entry Production Color Low/Mid"/>
    <s v="Entry Production"/>
    <s v="Ciudad principal"/>
    <s v="3-Entre 16 y 30"/>
    <n v="1.05"/>
    <n v="1651.6500000000003"/>
    <n v="1"/>
    <n v="3.99"/>
    <n v="4"/>
    <n v="0.99750000000000005"/>
    <n v="0"/>
    <n v="0"/>
    <d v="2019-04-08T00:00:00"/>
    <d v="2019-04-09T00:00:00"/>
    <n v="1"/>
    <s v="0-1 día"/>
    <n v="0"/>
    <n v="0"/>
    <n v="0"/>
    <n v="1651.6500000000003"/>
  </r>
  <r>
    <s v="ABR-19"/>
    <n v="1"/>
    <s v="2021573"/>
    <s v="SR MANTENIMIENTO CORRECTIVO"/>
    <s v="4310"/>
    <s v="08/04/2019 10:51"/>
    <s v="0BG0971716"/>
    <s v="500083"/>
    <s v="PITSS"/>
    <s v="ASP"/>
    <x v="46"/>
    <s v="ISSAC GARZA No 1363"/>
    <s v="Monterrey-NL"/>
    <n v="0"/>
    <s v="INTERIOR"/>
    <n v="19"/>
    <s v="Entre 16 y 30"/>
    <s v="Light Production Digital Business"/>
    <s v="Entry Production"/>
    <s v="Ciudad principal"/>
    <s v="3-Entre 16 y 30"/>
    <n v="1.05"/>
    <n v="1651.6500000000003"/>
    <n v="1"/>
    <n v="2.15"/>
    <n v="4"/>
    <n v="0.53749999999999998"/>
    <n v="0"/>
    <n v="0"/>
    <d v="2019-04-08T00:00:00"/>
    <d v="2019-04-09T00:00:00"/>
    <n v="1"/>
    <s v="0-1 día"/>
    <n v="0"/>
    <n v="0"/>
    <n v="0"/>
    <n v="1651.6500000000003"/>
  </r>
  <r>
    <s v="ABR-19"/>
    <n v="1"/>
    <s v="2020003"/>
    <s v="SR ASISTENCIA A CLIENTES"/>
    <s v="0070"/>
    <s v="04/04/2019 11:49"/>
    <s v="0E2B665653"/>
    <s v="800200"/>
    <s v="PITSS"/>
    <s v="ASP"/>
    <x v="14"/>
    <s v="AV VALLE DE SAN ISIDRO 530"/>
    <s v="ZAPOPAN-JAL"/>
    <n v="0"/>
    <s v="INTERIOR"/>
    <s v="  "/>
    <s v="&gt;60"/>
    <s v="Entry Production Color Low/Mid"/>
    <s v="Entry Production"/>
    <s v="Ciudad principal"/>
    <s v="3-&gt;60"/>
    <n v="1"/>
    <n v="1573.0000000000002"/>
    <n v="1"/>
    <n v="2.9"/>
    <n v="4"/>
    <n v="0.72499999999999998"/>
    <n v="0"/>
    <n v="0"/>
    <d v="2019-04-08T00:00:00"/>
    <d v="2019-04-09T00:00:00"/>
    <n v="1"/>
    <s v="0-1 día"/>
    <n v="0"/>
    <n v="0"/>
    <n v="0"/>
    <n v="1573.0000000000002"/>
  </r>
  <r>
    <s v="ABR-19"/>
    <n v="1"/>
    <s v="2021867"/>
    <s v="SR MANTENIMIENTO CORRECTIVO"/>
    <s v="7142"/>
    <s v="08/04/2019 15:17"/>
    <s v="0PW4112031"/>
    <s v="100038"/>
    <s v="PITSS"/>
    <s v="ASP"/>
    <x v="7"/>
    <s v="BLV ISIDRO FABELA SUR 600"/>
    <s v="TOLUCA-MEX"/>
    <n v="0"/>
    <s v="INTERIOR"/>
    <n v="18"/>
    <s v="Entre 16 y 30"/>
    <s v="WF Mono Systems and Legacy Color"/>
    <s v="WF"/>
    <s v="Ciudad principal"/>
    <s v="3-Entre 16 y 30"/>
    <n v="1.05"/>
    <n v="1651.6500000000003"/>
    <n v="1"/>
    <n v="2.2200000000000002"/>
    <n v="4"/>
    <n v="0.55500000000000005"/>
    <n v="0"/>
    <n v="0"/>
    <d v="2019-04-09T00:00:00"/>
    <d v="2019-04-09T00:00:00"/>
    <n v="0"/>
    <s v="0-1 día"/>
    <n v="0"/>
    <n v="0"/>
    <n v="0"/>
    <n v="1651.6500000000003"/>
  </r>
  <r>
    <s v="ABR-19"/>
    <n v="1"/>
    <s v="2021923"/>
    <s v="SR MANTENIMIENTO CORRECTIVO"/>
    <s v="0506"/>
    <s v="08/04/2019 16:38"/>
    <s v="09RA664553"/>
    <s v="500089"/>
    <s v="PITSS"/>
    <s v="ASP"/>
    <x v="53"/>
    <s v="AV HERMANOS ESCOBAR No 5756"/>
    <s v="Ciudad Juarez-CHIH"/>
    <n v="1"/>
    <s v="INTERIOR"/>
    <n v="13"/>
    <s v="Entre 7 y 15"/>
    <s v="Color Laser Printers"/>
    <s v="A4"/>
    <s v="Ciudad principal"/>
    <s v="1-Entre 7 y 15"/>
    <n v="0"/>
    <n v="0"/>
    <n v="1"/>
    <n v="0"/>
    <n v="5"/>
    <n v="0"/>
    <n v="0"/>
    <n v="0"/>
    <d v="2019-04-08T00:00:00"/>
    <d v="2019-04-09T00:00:00"/>
    <n v="1"/>
    <s v="0-1 día"/>
    <n v="0"/>
    <n v="0"/>
    <n v="0"/>
    <n v="0"/>
  </r>
  <r>
    <s v="ABR-19"/>
    <n v="1"/>
    <s v="2021857"/>
    <s v="SR MANTENIMIENTO CORRECTIVO"/>
    <s v="7803"/>
    <s v="08/04/2019 15:08"/>
    <s v="AT0215867"/>
    <s v="800147"/>
    <s v="PITSS"/>
    <s v="ASP"/>
    <x v="67"/>
    <s v="CARR SILAO-TREJO KM 2.5 S/N"/>
    <s v="SILAO-GTO"/>
    <n v="0"/>
    <s v="INTERIOR"/>
    <n v="2685"/>
    <s v="&gt;60"/>
    <s v="A3 Color Solid Ink MFPs"/>
    <s v="A3"/>
    <s v="Otras"/>
    <s v="2-&gt;60"/>
    <n v="1.1000000000000001"/>
    <n v="1501.5000000000002"/>
    <n v="1"/>
    <n v="2.87"/>
    <n v="9"/>
    <n v="0.31888888888888889"/>
    <n v="0"/>
    <n v="0"/>
    <d v="2019-04-09T00:00:00"/>
    <d v="2019-04-09T00:00:00"/>
    <n v="0"/>
    <s v="0-1 día"/>
    <n v="0"/>
    <n v="0"/>
    <n v="0"/>
    <n v="1501.5000000000002"/>
  </r>
  <r>
    <s v="ABR-19"/>
    <n v="1"/>
    <s v="2021871"/>
    <s v="SR MANTENIMIENTO CORRECTIVO"/>
    <s v="4624"/>
    <s v="08/04/2019 15:26"/>
    <s v="0D6X465327"/>
    <s v="500066"/>
    <s v="PITSS"/>
    <s v="ASP"/>
    <x v="30"/>
    <s v="BLVD MILLENIUM No 211"/>
    <s v="Apodaca-NL"/>
    <n v="0"/>
    <s v="INTERIOR"/>
    <n v="966"/>
    <s v="&gt;60"/>
    <s v="Entry Mono Printers"/>
    <s v="A4"/>
    <s v="Otras"/>
    <s v="1-&gt;60"/>
    <n v="1.05"/>
    <n v="750.75000000000011"/>
    <n v="1"/>
    <n v="2.0699999999999998"/>
    <n v="9"/>
    <n v="0.22999999999999998"/>
    <n v="0"/>
    <n v="0"/>
    <d v="2019-04-09T00:00:00"/>
    <d v="2019-04-09T00:00:00"/>
    <n v="0"/>
    <s v="0-1 día"/>
    <n v="0"/>
    <n v="0"/>
    <n v="0"/>
    <n v="750.75000000000011"/>
  </r>
  <r>
    <s v="ABR-19"/>
    <n v="1"/>
    <s v="2021909"/>
    <s v="SR MANTENIMIENTO CORRECTIVO"/>
    <s v="4624"/>
    <s v="08/04/2019 16:08"/>
    <s v="0D6X451648"/>
    <s v="500159"/>
    <s v="PITSS"/>
    <s v="ASP"/>
    <x v="30"/>
    <s v="CRISTOBAL COLON 11364"/>
    <s v="CHIHUAHUA-CHIH"/>
    <n v="0"/>
    <s v="INTERIOR"/>
    <n v="306"/>
    <s v="&gt;60"/>
    <s v="Entry Mono Printers"/>
    <s v="A4"/>
    <s v="Ciudad principal"/>
    <s v="1-&gt;60"/>
    <n v="1.05"/>
    <n v="750.75000000000011"/>
    <n v="1"/>
    <n v="1.37"/>
    <n v="5"/>
    <n v="0.27400000000000002"/>
    <n v="0"/>
    <n v="0"/>
    <d v="2019-04-09T00:00:00"/>
    <d v="2019-04-09T00:00:00"/>
    <n v="0"/>
    <s v="0-1 día"/>
    <n v="0"/>
    <n v="0"/>
    <n v="0"/>
    <n v="750.75000000000011"/>
  </r>
  <r>
    <s v="ABR-19"/>
    <n v="1"/>
    <s v="2021961"/>
    <s v="SR MANTENIMIENTO CORRECTIVO"/>
    <s v="4395"/>
    <s v="08/04/2019 17:48"/>
    <s v="0BG2951472"/>
    <s v="800183"/>
    <s v="PITSS"/>
    <s v="ASP"/>
    <x v="7"/>
    <s v="AMERICAS 655"/>
    <s v="GUADALAJARA-JAL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0"/>
    <n v="4"/>
    <n v="0"/>
    <n v="0"/>
    <n v="0"/>
    <d v="2019-04-09T00:00:00"/>
    <d v="2019-04-09T00:00:00"/>
    <n v="0"/>
    <s v="0-1 día"/>
    <n v="0"/>
    <n v="0"/>
    <n v="0"/>
    <n v="1258.4000000000003"/>
  </r>
  <r>
    <s v="ABR-19"/>
    <n v="1"/>
    <s v="2019657"/>
    <s v="SR MANTENIMIENTO CORRECTIVO"/>
    <s v="3611"/>
    <s v="03/04/2019 20:45"/>
    <s v="0A4T558379"/>
    <s v="800192"/>
    <s v="PITSS"/>
    <s v="ASP"/>
    <x v="14"/>
    <s v="AV VALLE DE SAN ISIDRO 530"/>
    <s v="ZAPOPAN-JAL"/>
    <n v="0"/>
    <s v="INTERIOR"/>
    <n v="33"/>
    <s v="Entre 31 y 60"/>
    <s v="Entry Mono Printers"/>
    <s v="A4"/>
    <s v="Ciudad principal"/>
    <s v="1-Entre 31 y 60"/>
    <n v="0.8"/>
    <n v="572.00000000000011"/>
    <n v="1"/>
    <n v="0.82"/>
    <n v="5"/>
    <n v="0.16399999999999998"/>
    <n v="0"/>
    <n v="0"/>
    <d v="2019-04-09T00:00:00"/>
    <d v="2019-04-09T00:00:00"/>
    <n v="0"/>
    <s v="0-1 día"/>
    <n v="0"/>
    <n v="0"/>
    <n v="0"/>
    <n v="572.00000000000011"/>
  </r>
  <r>
    <s v="ABR-19"/>
    <n v="1"/>
    <s v="2021989"/>
    <s v="SR MANTENIMIENTO CORRECTIVO"/>
    <s v="6656"/>
    <s v="08/04/2019 20:04"/>
    <s v="0E1B088097"/>
    <s v="100037"/>
    <s v="PITSS"/>
    <s v="ASP"/>
    <x v="49"/>
    <s v="AV DE LA INDUSTRIA AUTOMOTRIZ No 7 MZ-4 LT-3"/>
    <s v="Mexico-MEX"/>
    <n v="0"/>
    <s v="INTERIOR"/>
    <n v="283"/>
    <s v="&gt;60"/>
    <s v="Color Laser Printers"/>
    <s v="A4"/>
    <s v="Ciudad principal"/>
    <s v="1-&gt;60"/>
    <n v="1.05"/>
    <n v="750.75000000000011"/>
    <n v="1"/>
    <n v="1.65"/>
    <n v="5"/>
    <n v="0.32999999999999996"/>
    <n v="0"/>
    <n v="0"/>
    <d v="2019-04-09T00:00:00"/>
    <d v="2019-04-09T00:00:00"/>
    <n v="0"/>
    <s v="0-1 día"/>
    <n v="0"/>
    <n v="0"/>
    <n v="0"/>
    <n v="750.75000000000011"/>
  </r>
  <r>
    <s v="ABR-19"/>
    <n v="1"/>
    <s v="2021959"/>
    <s v="SR MANTENIMIENTO CORRECTIVO"/>
    <s v="4395"/>
    <s v="08/04/2019 17:45"/>
    <s v="0BG2940374"/>
    <s v="800183"/>
    <s v="PITSS"/>
    <s v="ASP"/>
    <x v="7"/>
    <s v="AMERICAS 655"/>
    <s v="GUADALAJARA-JAL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1.17"/>
    <n v="4"/>
    <n v="0.29249999999999998"/>
    <n v="0"/>
    <n v="0"/>
    <d v="2019-04-09T00:00:00"/>
    <d v="2019-04-09T00:00:00"/>
    <n v="0"/>
    <s v="0-1 día"/>
    <n v="0"/>
    <n v="0"/>
    <n v="0"/>
    <n v="1258.4000000000003"/>
  </r>
  <r>
    <s v="ABR-19"/>
    <n v="1"/>
    <s v="2021953"/>
    <s v="SR MANTENIMIENTO CORRECTIVO"/>
    <s v="3658"/>
    <s v="08/04/2019 17:21"/>
    <s v="0C4X003945"/>
    <s v="500159"/>
    <s v="PITSS"/>
    <s v="ASP"/>
    <x v="2"/>
    <s v="BLVD  FRANCISCO VILLA REAL TORRES No 2050 SUB ANCL"/>
    <s v="Ciudad Juarez-CHIH"/>
    <n v="0"/>
    <s v="INTERIOR"/>
    <n v="105"/>
    <s v="&gt;60"/>
    <s v="A4 Mono MFPs"/>
    <s v="A4"/>
    <s v="Ciudad principal"/>
    <s v="1-&gt;60"/>
    <n v="1.05"/>
    <n v="750.75000000000011"/>
    <n v="1"/>
    <n v="1.65"/>
    <n v="5"/>
    <n v="0.32999999999999996"/>
    <n v="0"/>
    <n v="0"/>
    <d v="2019-04-09T00:00:00"/>
    <d v="2019-04-09T00:00:00"/>
    <n v="0"/>
    <s v="0-1 día"/>
    <n v="0"/>
    <n v="0"/>
    <n v="0"/>
    <n v="750.75000000000011"/>
  </r>
  <r>
    <s v="ABR-19"/>
    <n v="1"/>
    <s v="2019873"/>
    <s v="SR MANTENIMIENTO CORRECTIVO"/>
    <s v="4310"/>
    <s v="04/04/2019 09:26"/>
    <s v="0BG0973687"/>
    <s v="500083"/>
    <s v="PITSS"/>
    <s v="ASP"/>
    <x v="14"/>
    <s v="AV JOSE ELEUTERIO GONZALEZ No 315 INT 7C"/>
    <s v="Monterrey-NL"/>
    <n v="0"/>
    <s v="INTERIOR"/>
    <n v="51"/>
    <s v="Entre 31 y 60"/>
    <s v="Light Production Digital Business"/>
    <s v="Entry Production"/>
    <s v="Ciudad principal"/>
    <s v="3-Entre 31 y 60"/>
    <n v="1.1000000000000001"/>
    <n v="1730.3000000000004"/>
    <n v="1"/>
    <n v="2.0699999999999998"/>
    <n v="4"/>
    <n v="0.51749999999999996"/>
    <n v="0"/>
    <n v="0"/>
    <d v="2019-04-09T00:00:00"/>
    <d v="2019-04-09T00:00:00"/>
    <n v="0"/>
    <s v="0-1 día"/>
    <n v="0"/>
    <n v="0"/>
    <n v="0"/>
    <n v="1730.3000000000004"/>
  </r>
  <r>
    <s v="ABR-19"/>
    <n v="1"/>
    <s v="2021667"/>
    <s v="SR MANTENIMIENTO CORRECTIVO"/>
    <s v="5866"/>
    <s v="08/04/2019 12:07"/>
    <s v="0EX9664778"/>
    <s v="500028"/>
    <s v="PITSS"/>
    <s v="ASP"/>
    <x v="32"/>
    <s v="AV DE LOS ALAMOS No 80"/>
    <s v="Linares-NL"/>
    <n v="0"/>
    <s v="INTERIOR"/>
    <n v="17"/>
    <s v="Entre 16 y 30"/>
    <s v="Departmental Digital"/>
    <s v="A3"/>
    <s v="Otras"/>
    <s v="2-Entre 16 y 30"/>
    <n v="0.8"/>
    <n v="1092"/>
    <n v="1"/>
    <n v="6.38"/>
    <n v="9"/>
    <n v="0.7088888888888889"/>
    <n v="0"/>
    <n v="0"/>
    <d v="2019-04-09T00:00:00"/>
    <d v="2019-04-09T00:00:00"/>
    <n v="0"/>
    <s v="0-1 día"/>
    <n v="0"/>
    <n v="0"/>
    <n v="0"/>
    <n v="1092"/>
  </r>
  <r>
    <s v="ABR-19"/>
    <n v="1"/>
    <s v="2019889"/>
    <s v="SR MANTENIMIENTO CORRECTIVO"/>
    <s v="0070"/>
    <s v="04/04/2019 09:45"/>
    <s v="0E2B664326"/>
    <s v="800146"/>
    <s v="PITSS"/>
    <s v="ASP"/>
    <x v="14"/>
    <s v="BLVD ADOLFO LOPEZ MATEOS 2540"/>
    <s v="LEON-GTO"/>
    <n v="0"/>
    <s v="INTERIOR"/>
    <n v="28"/>
    <s v="Entre 16 y 30"/>
    <s v="Entry Production Color Low/Mid"/>
    <s v="Entry Production"/>
    <s v="Ciudad principal"/>
    <s v="3-Entre 16 y 30"/>
    <n v="1.05"/>
    <n v="1651.6500000000003"/>
    <n v="1"/>
    <n v="3.95"/>
    <n v="4"/>
    <n v="0.98750000000000004"/>
    <n v="0"/>
    <n v="0"/>
    <d v="2019-04-09T00:00:00"/>
    <d v="2019-04-09T00:00:00"/>
    <n v="0"/>
    <s v="0-1 día"/>
    <n v="0"/>
    <n v="0"/>
    <n v="0"/>
    <n v="1651.6500000000003"/>
  </r>
  <r>
    <s v="ABR-19"/>
    <n v="1"/>
    <s v="2021883"/>
    <s v="SR MANTENIMIENTO CORRECTIVO"/>
    <s v="0560"/>
    <s v="08/04/2019 15:37"/>
    <s v="0XPN399168"/>
    <s v="800187"/>
    <s v="PITSS"/>
    <s v="ASP"/>
    <x v="7"/>
    <s v="PROL ZARAGOZA 62 A"/>
    <s v="QUERETARO-QRO"/>
    <n v="0"/>
    <s v="INTERIOR"/>
    <n v="38"/>
    <s v="Entre 31 y 60"/>
    <s v="Entry Production Color Low/Mid"/>
    <s v="Entry Production"/>
    <s v="Ciudad principal"/>
    <s v="3-Entre 31 y 60"/>
    <n v="1.1000000000000001"/>
    <n v="1730.3000000000004"/>
    <n v="1"/>
    <n v="1.88"/>
    <n v="4"/>
    <n v="0.47"/>
    <n v="0"/>
    <n v="0"/>
    <d v="2019-04-09T00:00:00"/>
    <d v="2019-04-09T00:00:00"/>
    <n v="0"/>
    <s v="0-1 día"/>
    <n v="0"/>
    <n v="0"/>
    <n v="0"/>
    <n v="1730.3000000000004"/>
  </r>
  <r>
    <s v="ABR-19"/>
    <n v="1"/>
    <s v="2022231"/>
    <s v="SR MANTENIMIENTO CORRECTIVO"/>
    <s v="0251"/>
    <s v="09/04/2019 09:12"/>
    <s v="0VGW632064"/>
    <s v="500161"/>
    <s v="PITSS"/>
    <s v="ASP"/>
    <x v="22"/>
    <s v="PERIFERICO ORTIZ MENA LOCAL 8 SN"/>
    <s v="CHIHUAHUA-CHIH"/>
    <n v="0"/>
    <s v="INTERIOR"/>
    <n v="7"/>
    <s v="Entre 7 y 15"/>
    <s v="A3 Professional Color Laser MFPs"/>
    <s v="A3"/>
    <s v="Ciudad principal"/>
    <s v="2-Entre 7 y 15"/>
    <n v="0.6"/>
    <n v="819"/>
    <n v="1"/>
    <n v="1.05"/>
    <n v="5"/>
    <n v="0.21000000000000002"/>
    <n v="0"/>
    <n v="0"/>
    <d v="2019-04-09T00:00:00"/>
    <d v="2019-04-09T00:00:00"/>
    <n v="0"/>
    <s v="0-1 día"/>
    <n v="0"/>
    <n v="0"/>
    <n v="0"/>
    <n v="819"/>
  </r>
  <r>
    <s v="ABR-19"/>
    <n v="1"/>
    <s v="2021981"/>
    <s v="SR MANTENIMIENTO CORRECTIVO"/>
    <s v="5866"/>
    <s v="08/04/2019 19:46"/>
    <s v="0EX9299999"/>
    <s v="800187"/>
    <s v="PITSS"/>
    <s v="ASP"/>
    <x v="7"/>
    <s v="AV CONSTITUYENTES ORIENTE 20"/>
    <s v="Queretaro-QRO"/>
    <n v="0"/>
    <s v="INTERIOR"/>
    <n v="175"/>
    <s v="&gt;60"/>
    <s v="Departmental Digital"/>
    <s v="A3"/>
    <s v="Ciudad principal"/>
    <s v="2-&gt;60"/>
    <n v="1.1000000000000001"/>
    <n v="1501.5000000000002"/>
    <n v="1"/>
    <n v="1"/>
    <n v="5"/>
    <n v="0.2"/>
    <n v="0"/>
    <n v="0"/>
    <d v="2019-04-09T00:00:00"/>
    <d v="2019-04-09T00:00:00"/>
    <n v="0"/>
    <s v="0-1 día"/>
    <n v="0"/>
    <n v="0"/>
    <n v="0"/>
    <n v="1501.5000000000002"/>
  </r>
  <r>
    <s v="ABR-19"/>
    <n v="1"/>
    <s v="2022235"/>
    <s v="SR MANTENIMIENTO CORRECTIVO"/>
    <s v="5867"/>
    <s v="09/04/2019 09:14"/>
    <s v="0EX7407574"/>
    <s v="500155"/>
    <s v="PITSS"/>
    <s v="ASP"/>
    <x v="30"/>
    <s v="AV PARQUE INDUSTRIAL JUAREZ 3328"/>
    <s v="CIUDAD JUAREZ-CHIH"/>
    <n v="0"/>
    <s v="INTERIOR"/>
    <n v="89"/>
    <s v="&gt;60"/>
    <s v="Office Digital"/>
    <s v="A3"/>
    <s v="Ciudad principal"/>
    <s v="2-&gt;60"/>
    <n v="1.1000000000000001"/>
    <n v="1501.5000000000002"/>
    <n v="1"/>
    <n v="0.27"/>
    <n v="5"/>
    <n v="5.4000000000000006E-2"/>
    <n v="0"/>
    <n v="0"/>
    <d v="2019-04-09T00:00:00"/>
    <d v="2019-04-09T00:00:00"/>
    <n v="0"/>
    <s v="0-1 día"/>
    <n v="0"/>
    <n v="0"/>
    <n v="0"/>
    <n v="1501.5000000000002"/>
  </r>
  <r>
    <s v="ABR-19"/>
    <n v="1"/>
    <s v="2021931"/>
    <s v="SR MANTENIMIENTO CORRECTIVO"/>
    <s v="4395"/>
    <s v="08/04/2019 16:45"/>
    <s v="0BG2948912"/>
    <s v="500094"/>
    <s v="PITSS"/>
    <s v="ASP"/>
    <x v="7"/>
    <s v="AV HIDALGO 5309"/>
    <s v="TAMPICO-TAM"/>
    <n v="0"/>
    <s v="INTERIOR"/>
    <n v="14"/>
    <s v="Entre 7 y 15"/>
    <s v="Light Production Digital Business"/>
    <s v="Entry Production"/>
    <s v="Ciudad principal"/>
    <s v="3-Entre 7 y 15"/>
    <n v="0.8"/>
    <n v="1258.4000000000003"/>
    <n v="1"/>
    <n v="0.75"/>
    <n v="4"/>
    <n v="0.1875"/>
    <n v="0"/>
    <n v="0"/>
    <d v="2019-04-09T00:00:00"/>
    <d v="2019-04-09T00:00:00"/>
    <n v="0"/>
    <s v="0-1 día"/>
    <n v="0"/>
    <n v="0"/>
    <n v="0"/>
    <n v="1258.4000000000003"/>
  </r>
  <r>
    <s v="ABR-19"/>
    <n v="1"/>
    <s v="2018955"/>
    <s v="SR MANTENIMIENTO CORRECTIVO"/>
    <s v="3636"/>
    <s v="02/04/2019 14:40"/>
    <s v="0BB1250884"/>
    <s v="800074"/>
    <s v="PITSS"/>
    <s v="ASP"/>
    <x v="2"/>
    <s v="AV MELCHOR OCAMPO 17"/>
    <s v="LAZARO CARDENAS-MICH"/>
    <n v="0"/>
    <s v="INTERIOR"/>
    <n v="370"/>
    <s v="&gt;60"/>
    <s v="A4 Mono MFPs"/>
    <s v="A4"/>
    <s v="Otras"/>
    <s v="1-&gt;60"/>
    <n v="1.05"/>
    <n v="750.75000000000011"/>
    <n v="1"/>
    <n v="0.57999999999999996"/>
    <n v="9"/>
    <n v="6.4444444444444443E-2"/>
    <n v="0"/>
    <n v="0"/>
    <d v="2019-04-09T00:00:00"/>
    <d v="2019-04-09T00:00:00"/>
    <n v="0"/>
    <s v="0-1 día"/>
    <n v="0"/>
    <n v="0"/>
    <n v="0"/>
    <n v="750.75000000000011"/>
  </r>
  <r>
    <s v="ABR-19"/>
    <n v="1"/>
    <s v="2018309"/>
    <s v="SR MANTENIMIENTO CORRECTIVO"/>
    <s v="3658"/>
    <s v="01/04/2019 15:53"/>
    <s v="0C4X008122"/>
    <s v="800074"/>
    <s v="PITSS"/>
    <s v="ASP"/>
    <x v="2"/>
    <s v="AV MELCHOR OCAMPO 17"/>
    <s v="LAZARO CARDENAS-MICH"/>
    <n v="0"/>
    <s v="INTERIOR"/>
    <n v="640"/>
    <s v="&gt;60"/>
    <s v="A4 Mono MFPs"/>
    <s v="A4"/>
    <s v="Otras"/>
    <s v="1-&gt;60"/>
    <n v="1.05"/>
    <n v="750.75000000000011"/>
    <n v="1"/>
    <n v="4.62"/>
    <n v="9"/>
    <n v="0.51333333333333331"/>
    <n v="0"/>
    <n v="0"/>
    <d v="2019-04-09T00:00:00"/>
    <d v="2019-04-09T00:00:00"/>
    <n v="0"/>
    <s v="0-1 día"/>
    <n v="0"/>
    <n v="0"/>
    <n v="0"/>
    <n v="750.75000000000011"/>
  </r>
  <r>
    <s v="ABR-19"/>
    <n v="1"/>
    <s v="2022333"/>
    <s v="SR MANTENIMIENTO CORRECTIVO"/>
    <s v="8045"/>
    <s v="09/04/2019 10:47"/>
    <s v="0Y4X838103"/>
    <s v="100037"/>
    <s v="PITSS"/>
    <s v="ASP"/>
    <x v="9"/>
    <s v="IGNACIO LOPEZ RAYON No 510"/>
    <s v="Toluca De Lerdo-ESTA"/>
    <n v="0"/>
    <s v="INTERIOR"/>
    <n v="18"/>
    <s v="Entre 16 y 30"/>
    <s v="Office Digital"/>
    <s v="A3"/>
    <s v="Ciudad principal"/>
    <s v="2-Entre 16 y 30"/>
    <n v="0.8"/>
    <n v="1092"/>
    <n v="1"/>
    <n v="1.87"/>
    <n v="5"/>
    <n v="0.374"/>
    <n v="0"/>
    <n v="0"/>
    <d v="2019-04-09T00:00:00"/>
    <d v="2019-04-09T00:00:00"/>
    <n v="0"/>
    <s v="0-1 día"/>
    <n v="0"/>
    <n v="0"/>
    <n v="0"/>
    <n v="1092"/>
  </r>
  <r>
    <s v="ABR-19"/>
    <n v="1"/>
    <s v="2021521"/>
    <s v="SR MANTENIMIENTO CORRECTIVO"/>
    <s v="6705"/>
    <s v="08/04/2019 10:19"/>
    <s v="0A1H020685"/>
    <s v="800188"/>
    <s v="PITSS"/>
    <s v="ASP"/>
    <x v="7"/>
    <s v="TORRES LANDA 103 A"/>
    <s v="CELAYA-GTO"/>
    <n v="0"/>
    <s v="INTERIOR"/>
    <n v="42"/>
    <s v="Entre 31 y 60"/>
    <s v="WF Mono Systems and Legacy Color"/>
    <s v="WF"/>
    <s v="Ciudad principal"/>
    <s v="3-Entre 31 y 60"/>
    <n v="1.1000000000000001"/>
    <n v="1730.3000000000004"/>
    <n v="1"/>
    <n v="3.43"/>
    <n v="4"/>
    <n v="0.85750000000000004"/>
    <n v="0"/>
    <n v="0"/>
    <d v="2019-04-09T00:00:00"/>
    <d v="2019-04-09T00:00:00"/>
    <n v="0"/>
    <s v="0-1 día"/>
    <n v="0"/>
    <n v="0"/>
    <n v="0"/>
    <n v="1730.3000000000004"/>
  </r>
  <r>
    <s v="ABR-19"/>
    <n v="1"/>
    <s v="2022281"/>
    <s v="SR MANTENIMIENTO CORRECTIVO"/>
    <s v="8030"/>
    <s v="09/04/2019 10:11"/>
    <s v="2TX059855"/>
    <s v="500066"/>
    <s v="PITSS"/>
    <s v="ASP"/>
    <x v="34"/>
    <s v="Carretera Miguel Alemßn KM 21"/>
    <s v="Apodaca-NL"/>
    <n v="0"/>
    <s v="INTERIOR"/>
    <n v="147"/>
    <s v="&gt;60"/>
    <s v="A3 Office Color Laser MFPs"/>
    <s v="A3"/>
    <s v="Otras"/>
    <s v="2-&gt;60"/>
    <n v="1.1000000000000001"/>
    <n v="1501.5000000000002"/>
    <n v="1"/>
    <n v="4.1399999999999997"/>
    <n v="9"/>
    <n v="0.45999999999999996"/>
    <n v="0"/>
    <n v="0"/>
    <d v="2019-04-09T00:00:00"/>
    <d v="2019-04-09T00:00:00"/>
    <n v="0"/>
    <s v="0-1 día"/>
    <n v="0"/>
    <n v="0"/>
    <n v="0"/>
    <n v="1501.5000000000002"/>
  </r>
  <r>
    <s v="ABR-19"/>
    <n v="1"/>
    <s v="2021983"/>
    <s v="SR MANTENIMIENTO CORRECTIVO"/>
    <s v="0070"/>
    <s v="08/04/2019 19:50"/>
    <s v="0E2B654127"/>
    <s v="800197"/>
    <s v="PITSS"/>
    <s v="ASP"/>
    <x v="7"/>
    <s v="AV VENUSTIANO CARRANZA 733"/>
    <s v="SAN LUIS POTOSI-SLP"/>
    <n v="0"/>
    <s v="INTERIOR"/>
    <n v="14"/>
    <s v="Entre 7 y 15"/>
    <s v="Entry Production Color Low/Mid"/>
    <s v="Entry Production"/>
    <s v="Ciudad principal"/>
    <s v="3-Entre 7 y 15"/>
    <n v="0.8"/>
    <n v="1258.4000000000003"/>
    <n v="1"/>
    <n v="4"/>
    <n v="4"/>
    <n v="1"/>
    <n v="0"/>
    <n v="0"/>
    <d v="2019-04-09T00:00:00"/>
    <d v="2019-04-09T00:00:00"/>
    <n v="0"/>
    <s v="0-1 día"/>
    <n v="0"/>
    <n v="0"/>
    <n v="0"/>
    <n v="1258.4000000000003"/>
  </r>
  <r>
    <s v="ABR-19"/>
    <n v="1"/>
    <s v="2022357"/>
    <s v="SR MANTENIMIENTO CORRECTIVO"/>
    <s v="6705"/>
    <s v="09/04/2019 11:24"/>
    <s v="0A1H020675"/>
    <s v="500094"/>
    <s v="PITSS"/>
    <s v="ASP"/>
    <x v="7"/>
    <s v="AV HIDALGO 5309"/>
    <s v="TAMPICO-TAM"/>
    <n v="0"/>
    <s v="INTERIOR"/>
    <n v="29"/>
    <s v="Entre 16 y 30"/>
    <s v="WF Mono Systems and Legacy Color"/>
    <s v="WF"/>
    <s v="Ciudad principal"/>
    <s v="3-Entre 16 y 30"/>
    <n v="1.05"/>
    <n v="1651.6500000000003"/>
    <n v="1"/>
    <n v="1.1499999999999999"/>
    <n v="4"/>
    <n v="0.28749999999999998"/>
    <n v="0"/>
    <n v="0"/>
    <d v="2019-04-09T00:00:00"/>
    <d v="2019-04-09T00:00:00"/>
    <n v="0"/>
    <s v="0-1 día"/>
    <n v="0"/>
    <n v="0"/>
    <n v="0"/>
    <n v="1651.6500000000003"/>
  </r>
  <r>
    <s v="ABR-19"/>
    <n v="1"/>
    <s v="2021537"/>
    <s v="SR MANTENIMIENTO CORRECTIVO"/>
    <s v="4395"/>
    <s v="08/04/2019 10:26"/>
    <s v="0BG2949291"/>
    <s v="800188"/>
    <s v="PITSS"/>
    <s v="ASP"/>
    <x v="7"/>
    <s v="TORRES LANDA 103 A"/>
    <s v="CELAYA-GTO"/>
    <n v="0"/>
    <s v="INTERIOR"/>
    <n v="27"/>
    <s v="Entre 16 y 30"/>
    <s v="Light Production Digital Business"/>
    <s v="Entry Production"/>
    <s v="Ciudad principal"/>
    <s v="3-Entre 16 y 30"/>
    <n v="1.05"/>
    <n v="1651.6500000000003"/>
    <n v="1"/>
    <n v="3.57"/>
    <n v="4"/>
    <n v="0.89249999999999996"/>
    <n v="0"/>
    <n v="0"/>
    <d v="2019-04-09T00:00:00"/>
    <d v="2019-04-09T00:00:00"/>
    <n v="0"/>
    <s v="0-1 día"/>
    <n v="0"/>
    <n v="0"/>
    <n v="0"/>
    <n v="1651.6500000000003"/>
  </r>
  <r>
    <s v="ABR-19"/>
    <n v="1"/>
    <s v="2021877"/>
    <s v="SR MANTENIMIENTO CORRECTIVO"/>
    <s v="4603"/>
    <s v="08/04/2019 15:30"/>
    <s v="0XLT282436"/>
    <s v="500159"/>
    <s v="PITSS"/>
    <s v="ASP"/>
    <x v="30"/>
    <s v="CRISTOBAL COLON 11364"/>
    <s v="CHIHUAHUA-CHIH"/>
    <n v="0"/>
    <s v="INTERIOR"/>
    <n v="294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4-09T00:00:00"/>
    <d v="2019-04-09T00:00:00"/>
    <n v="0"/>
    <s v="0-1 día"/>
    <n v="0"/>
    <n v="0"/>
    <n v="0"/>
    <n v="750.75000000000011"/>
  </r>
  <r>
    <s v="ABR-19"/>
    <n v="1"/>
    <s v="2020745"/>
    <s v="SR MANTENIMIENTO CORRECTIVO"/>
    <s v="4624"/>
    <s v="05/04/2019 13:04"/>
    <s v="0D6X458430"/>
    <s v="500155"/>
    <s v="PITSS"/>
    <s v="ASP"/>
    <x v="30"/>
    <s v="AV FUENTES DEL SUR 7151"/>
    <s v="CIUDAD JUAREZ-CHIH"/>
    <n v="0"/>
    <s v="INTERIOR"/>
    <n v="357"/>
    <s v="&gt;60"/>
    <s v="Entry Mono Printers"/>
    <s v="A4"/>
    <s v="Ciudad principal"/>
    <s v="1-&gt;60"/>
    <n v="1.05"/>
    <n v="750.75000000000011"/>
    <n v="1"/>
    <n v="0.93"/>
    <n v="5"/>
    <n v="0.186"/>
    <n v="0"/>
    <n v="0"/>
    <d v="2019-04-09T00:00:00"/>
    <d v="2019-04-09T00:00:00"/>
    <n v="0"/>
    <s v="0-1 día"/>
    <n v="0"/>
    <n v="0"/>
    <n v="0"/>
    <n v="750.75000000000011"/>
  </r>
  <r>
    <s v="ABR-19"/>
    <n v="1"/>
    <s v="2021831"/>
    <s v="SR MANTENIMIENTO CORRECTIVO"/>
    <s v="3325"/>
    <s v="08/04/2019 14:27"/>
    <s v="0LA8194471"/>
    <s v="500089"/>
    <s v="PITSS"/>
    <s v="ASP"/>
    <x v="53"/>
    <s v="AV HERMANOS ESCOBAR No 5756"/>
    <s v="Ciudad Juarez-CHIH"/>
    <n v="1"/>
    <s v="INTERIOR"/>
    <n v="139"/>
    <s v="&gt;60"/>
    <s v="A4 Mono MFPs"/>
    <s v="A4"/>
    <s v="Ciudad principal"/>
    <s v="1-&gt;60"/>
    <n v="1.05"/>
    <n v="0"/>
    <n v="1"/>
    <n v="0.13"/>
    <n v="5"/>
    <n v="2.6000000000000002E-2"/>
    <n v="0"/>
    <n v="0"/>
    <d v="2019-04-09T00:00:00"/>
    <d v="2019-04-09T00:00:00"/>
    <n v="0"/>
    <s v="0-1 día"/>
    <n v="0"/>
    <n v="0"/>
    <n v="0"/>
    <n v="0"/>
  </r>
  <r>
    <s v="ABR-19"/>
    <n v="1"/>
    <s v="2021875"/>
    <s v="SR MANTENIMIENTO CORRECTIVO"/>
    <s v="5867"/>
    <s v="08/04/2019 15:28"/>
    <s v="0EX7382605"/>
    <s v="500159"/>
    <s v="PITSS"/>
    <s v="ASP"/>
    <x v="30"/>
    <s v="CRISTOBAL COLON 11364"/>
    <s v="CHIHUAHUA-CHIH"/>
    <n v="0"/>
    <s v="INTERIOR"/>
    <n v="11"/>
    <s v="Entre 7 y 15"/>
    <s v="Office Digital"/>
    <s v="A3"/>
    <s v="Ciudad principal"/>
    <s v="2-Entre 7 y 15"/>
    <n v="0.6"/>
    <n v="819"/>
    <n v="1"/>
    <n v="0"/>
    <n v="5"/>
    <n v="0"/>
    <n v="0"/>
    <n v="0"/>
    <d v="2019-04-09T00:00:00"/>
    <d v="2019-04-09T00:00:00"/>
    <n v="0"/>
    <s v="0-1 día"/>
    <n v="0"/>
    <n v="0"/>
    <n v="0"/>
    <n v="819"/>
  </r>
  <r>
    <s v="ABR-19"/>
    <n v="1"/>
    <s v="2022319"/>
    <s v="SR MANTENIMIENTO CORRECTIVO"/>
    <s v="4495"/>
    <s v="09/04/2019 10:30"/>
    <s v="0BPB110617"/>
    <s v="800192"/>
    <s v="PITSS"/>
    <s v="ASP"/>
    <x v="19"/>
    <s v="KM 9 CARRETERA A EL CASTILLO"/>
    <s v="Jalisco-JAL"/>
    <n v="0"/>
    <s v="INTERIOR"/>
    <n v="28"/>
    <s v="Entre 16 y 30"/>
    <s v="CF Mono"/>
    <s v="High Production"/>
    <s v="Ciudad principal"/>
    <s v="4-Entre 16 y 30"/>
    <n v="1.1000000000000001"/>
    <n v="2359.5"/>
    <n v="1"/>
    <n v="2.12"/>
    <n v="3"/>
    <n v="0.70666666666666667"/>
    <n v="0"/>
    <n v="0"/>
    <d v="2019-04-09T00:00:00"/>
    <d v="2019-04-09T00:00:00"/>
    <n v="0"/>
    <s v="0-1 día"/>
    <n v="0"/>
    <n v="0"/>
    <n v="0"/>
    <n v="2359.5"/>
  </r>
  <r>
    <s v="ABR-19"/>
    <n v="1"/>
    <s v="2022429"/>
    <s v="SR MANTENIMIENTO CORRECTIVO"/>
    <s v="0560"/>
    <s v="09/04/2019 12:59"/>
    <s v="0XPN399496"/>
    <s v="500028"/>
    <s v="PITSS"/>
    <s v="ASP"/>
    <x v="7"/>
    <s v="MORELOS 406 OTE"/>
    <s v="MONTERREY-NL"/>
    <n v="0"/>
    <s v="INTERIOR"/>
    <n v="50"/>
    <s v="Entre 31 y 60"/>
    <s v="Entry Production Color Low/Mid"/>
    <s v="Entry Production"/>
    <s v="Ciudad principal"/>
    <s v="3-Entre 31 y 60"/>
    <n v="1.1000000000000001"/>
    <n v="1730.3000000000004"/>
    <n v="1"/>
    <n v="2.02"/>
    <n v="4"/>
    <n v="0.505"/>
    <n v="0"/>
    <n v="0"/>
    <d v="2019-04-09T00:00:00"/>
    <d v="2019-04-09T00:00:00"/>
    <n v="0"/>
    <s v="0-1 día"/>
    <n v="0"/>
    <n v="0"/>
    <n v="0"/>
    <n v="1730.3000000000004"/>
  </r>
  <r>
    <s v="ABR-19"/>
    <n v="1"/>
    <s v="2021423"/>
    <s v="SR MANTENIMIENTO CORRECTIVO"/>
    <s v="7845"/>
    <s v="08/04/2019 08:33"/>
    <s v="0MX4777373"/>
    <s v="500158"/>
    <s v="PITSS"/>
    <s v="ASP"/>
    <x v="68"/>
    <s v="AV DEL CHARRO No 1750 NTE"/>
    <s v="Ciudad Juarez-CHIH"/>
    <n v="0"/>
    <s v="INTERIOR"/>
    <n v="171"/>
    <s v="&gt;60"/>
    <s v="A3 Office Color Laser MFPs"/>
    <s v="A3"/>
    <s v="Ciudad principal"/>
    <s v="2-&gt;60"/>
    <n v="1.1000000000000001"/>
    <n v="1501.5000000000002"/>
    <n v="1"/>
    <n v="1.1299999999999999"/>
    <n v="5"/>
    <n v="0.22599999999999998"/>
    <n v="0"/>
    <n v="0"/>
    <d v="2019-04-09T00:00:00"/>
    <d v="2019-04-09T00:00:00"/>
    <n v="0"/>
    <s v="0-1 día"/>
    <n v="0"/>
    <n v="0"/>
    <n v="0"/>
    <n v="1501.5000000000002"/>
  </r>
  <r>
    <s v="ABR-19"/>
    <n v="1"/>
    <s v="2022521"/>
    <s v="SR MANTENIMIENTO CORRECTIVO"/>
    <s v="1263"/>
    <s v="09/04/2019 14:37"/>
    <s v="0DRB131260"/>
    <s v="800192"/>
    <s v="PITSS"/>
    <s v="ASP"/>
    <x v="19"/>
    <s v="KM 9 CARRETERA A EL CASTILLO"/>
    <s v="Jalisco-JAL"/>
    <n v="0"/>
    <s v="INTERIOR"/>
    <n v="14"/>
    <s v="Entre 7 y 15"/>
    <s v="Entry Production Color Low/Mid"/>
    <s v="Entry Production"/>
    <s v="Ciudad principal"/>
    <s v="3-Entre 7 y 15"/>
    <n v="0.8"/>
    <n v="1258.4000000000003"/>
    <n v="1"/>
    <n v="0.57999999999999996"/>
    <n v="4"/>
    <n v="0.14499999999999999"/>
    <n v="0"/>
    <n v="0"/>
    <d v="2019-04-09T00:00:00"/>
    <d v="2019-04-09T00:00:00"/>
    <n v="0"/>
    <s v="0-1 día"/>
    <n v="0"/>
    <n v="0"/>
    <n v="0"/>
    <n v="1258.4000000000003"/>
  </r>
  <r>
    <s v="ABR-19"/>
    <n v="1"/>
    <s v="2022337"/>
    <s v="SR MANTENIMIENTO CORRECTIVO"/>
    <s v="5866"/>
    <s v="09/04/2019 10:53"/>
    <s v="0EX9299901"/>
    <s v="500094"/>
    <s v="PITSS"/>
    <s v="ASP"/>
    <x v="7"/>
    <s v="AV HIDALGO No 5309"/>
    <s v="Tampico-TAM"/>
    <n v="0"/>
    <s v="INTERIOR"/>
    <n v="6"/>
    <s v="Entre 3 y 6"/>
    <s v="Departmental Digital"/>
    <s v="A3"/>
    <s v="Ciudad principal"/>
    <s v="2-Entre 3 y 6"/>
    <n v="0"/>
    <n v="0"/>
    <n v="1"/>
    <n v="3.7"/>
    <n v="5"/>
    <n v="0.74"/>
    <n v="0"/>
    <n v="0"/>
    <d v="2019-04-09T00:00:00"/>
    <d v="2019-04-09T00:00:00"/>
    <n v="0"/>
    <s v="0-1 día"/>
    <n v="0"/>
    <n v="0"/>
    <n v="0"/>
    <n v="0"/>
  </r>
  <r>
    <s v="ABR-19"/>
    <n v="1"/>
    <s v="2022461"/>
    <s v="SR MANTENIMIENTO CORRECTIVO"/>
    <s v="0570"/>
    <s v="09/04/2019 13:11"/>
    <s v="0XPN550545"/>
    <s v="800187"/>
    <s v="PITSS"/>
    <s v="ASP"/>
    <x v="14"/>
    <s v="AV CONSTITUYENTES 152 PTE"/>
    <s v="QUERETARO-QRO"/>
    <n v="0"/>
    <s v="INTERIOR"/>
    <n v="5"/>
    <s v="Entre 3 y 6"/>
    <s v="Entry Production Color Low/Mid"/>
    <s v="Entry Production"/>
    <s v="Ciudad principal"/>
    <s v="3-Entre 3 y 6"/>
    <n v="0.6"/>
    <n v="943.80000000000007"/>
    <n v="1"/>
    <n v="1.99"/>
    <n v="4"/>
    <n v="0.4975"/>
    <n v="0"/>
    <n v="0"/>
    <d v="2019-04-09T00:00:00"/>
    <d v="2019-04-09T00:00:00"/>
    <n v="0"/>
    <s v="0-1 día"/>
    <n v="0"/>
    <n v="0"/>
    <n v="0"/>
    <n v="943.80000000000007"/>
  </r>
  <r>
    <s v="ABR-19"/>
    <n v="1"/>
    <s v="2022241"/>
    <s v="SR MANTENIMIENTO CORRECTIVO"/>
    <s v="0075"/>
    <s v="09/04/2019 09:21"/>
    <s v="0XU8464707"/>
    <s v="800027"/>
    <s v="PITSS"/>
    <s v="ASP"/>
    <x v="35"/>
    <s v="GABINO BARREDA No 267 B"/>
    <s v="Colima-COL"/>
    <n v="1"/>
    <s v="INTERIOR"/>
    <n v="15"/>
    <s v="Entre 7 y 15"/>
    <s v="Entry Production Color Mid"/>
    <s v="Entry Production"/>
    <s v="Ciudad principal"/>
    <s v="3-Entre 7 y 15"/>
    <n v="0.8"/>
    <n v="0"/>
    <n v="1"/>
    <n v="1.2"/>
    <n v="4"/>
    <n v="0.3"/>
    <n v="0"/>
    <n v="0"/>
    <d v="2019-04-09T00:00:00"/>
    <d v="2019-04-09T00:00:00"/>
    <n v="0"/>
    <s v="0-1 día"/>
    <n v="0"/>
    <n v="0"/>
    <n v="0"/>
    <n v="0"/>
  </r>
  <r>
    <s v="ABR-19"/>
    <n v="1"/>
    <s v="2010007"/>
    <s v="SR MANTENIMIENTO CORRECTIVO"/>
    <s v="0251"/>
    <s v="15/03/2019 17:09"/>
    <s v="0VGW686533"/>
    <s v="500161"/>
    <s v="PITSS"/>
    <s v="ASP"/>
    <x v="22"/>
    <s v="AV AMERICAS 15"/>
    <s v="CHIHUAHUA-CHIH"/>
    <n v="0"/>
    <s v="INTERIOR"/>
    <n v="29"/>
    <s v="Entre 16 y 30"/>
    <s v="A3 Professional Color Laser MFPs"/>
    <s v="A3"/>
    <s v="Ciudad principal"/>
    <s v="2-Entre 16 y 30"/>
    <n v="0.8"/>
    <n v="1092"/>
    <n v="1"/>
    <n v="0.35"/>
    <n v="5"/>
    <n v="6.9999999999999993E-2"/>
    <n v="0"/>
    <n v="0"/>
    <d v="2019-04-09T00:00:00"/>
    <d v="2019-04-09T00:00:00"/>
    <n v="0"/>
    <s v="0-1 día"/>
    <n v="0"/>
    <n v="0"/>
    <n v="0"/>
    <n v="1092"/>
  </r>
  <r>
    <s v="ABR-19"/>
    <n v="1"/>
    <s v="2019861"/>
    <s v="SR MANTENIMIENTO CORRECTIVO"/>
    <s v="3611"/>
    <s v="04/04/2019 09:10"/>
    <s v="0A4T557615"/>
    <s v="800072"/>
    <s v="PITSS"/>
    <s v="ASP"/>
    <x v="48"/>
    <s v="CARRETERA BASE AEREA No 5850-23"/>
    <s v="Zapopan-JAL"/>
    <n v="0"/>
    <s v="INTERIOR"/>
    <n v="41"/>
    <s v="Entre 31 y 60"/>
    <s v="Entry Mono Printers"/>
    <s v="A4"/>
    <s v="Ciudad principal"/>
    <s v="1-Entre 31 y 60"/>
    <n v="0.8"/>
    <n v="572.00000000000011"/>
    <n v="1"/>
    <n v="1.33"/>
    <n v="5"/>
    <n v="0.26600000000000001"/>
    <n v="0"/>
    <n v="0"/>
    <d v="2019-04-09T00:00:00"/>
    <d v="2019-04-09T00:00:00"/>
    <n v="0"/>
    <s v="0-1 día"/>
    <n v="0"/>
    <n v="0"/>
    <n v="0"/>
    <n v="572.00000000000011"/>
  </r>
  <r>
    <s v="ABR-19"/>
    <n v="1"/>
    <s v="2020079"/>
    <s v="SR MANTENIMIENTO CORRECTIVO"/>
    <s v="3658"/>
    <s v="04/04/2019 13:06"/>
    <s v="0C4X008558"/>
    <s v="800197"/>
    <s v="PITSS"/>
    <s v="ASP"/>
    <x v="2"/>
    <s v="BLVD ANTONIO ROCHA CORDERO 700 INT D 3-4"/>
    <s v="SAN LUIS POTOSI-SLP"/>
    <n v="0"/>
    <s v="INTERIOR"/>
    <n v="156"/>
    <s v="&gt;60"/>
    <s v="A4 Mono MFPs"/>
    <s v="A4"/>
    <s v="Ciudad principal"/>
    <s v="1-&gt;60"/>
    <n v="1.05"/>
    <n v="750.75000000000011"/>
    <n v="1"/>
    <n v="2.23"/>
    <n v="5"/>
    <n v="0.44600000000000001"/>
    <n v="0"/>
    <n v="0"/>
    <d v="2019-04-09T00:00:00"/>
    <d v="2019-04-09T00:00:00"/>
    <n v="0"/>
    <s v="0-1 día"/>
    <n v="0"/>
    <n v="0"/>
    <n v="0"/>
    <n v="750.75000000000011"/>
  </r>
  <r>
    <s v="ABR-19"/>
    <n v="1"/>
    <s v="2022425"/>
    <s v="SR MANTENIMIENTO CORRECTIVO"/>
    <s v="0570"/>
    <s v="09/04/2019 12:53"/>
    <s v="0XPN548183"/>
    <s v="500161"/>
    <s v="PITSS"/>
    <s v="ASP"/>
    <x v="14"/>
    <s v="AV MIRADOR 3300"/>
    <s v="CHIHUAHUA-CHIH"/>
    <n v="0"/>
    <s v="INTERIOR"/>
    <n v="14"/>
    <s v="Entre 7 y 15"/>
    <s v="Entry Production Color Low/Mid"/>
    <s v="Entry Production"/>
    <s v="Ciudad principal"/>
    <s v="3-Entre 7 y 15"/>
    <n v="0.8"/>
    <n v="1258.4000000000003"/>
    <n v="1"/>
    <n v="1.1200000000000001"/>
    <n v="4"/>
    <n v="0.28000000000000003"/>
    <n v="0"/>
    <n v="0"/>
    <d v="2019-04-09T00:00:00"/>
    <d v="2019-04-10T00:00:00"/>
    <n v="1"/>
    <s v="0-1 día"/>
    <n v="0"/>
    <n v="0"/>
    <n v="0"/>
    <n v="1258.4000000000003"/>
  </r>
  <r>
    <s v="ABR-19"/>
    <n v="1"/>
    <s v="2022623"/>
    <s v="SR MANTENIMIENTO CORRECTIVO"/>
    <s v="8045"/>
    <s v="09/04/2019 16:49"/>
    <s v="0Y4X829447"/>
    <s v="500071"/>
    <s v="PITSS"/>
    <s v="ASP"/>
    <x v="69"/>
    <s v="SENDERO NACIONAL KM 3.5"/>
    <s v="Matamoros-TAM"/>
    <n v="0"/>
    <s v="INTERIOR"/>
    <n v="47"/>
    <s v="Entre 31 y 60"/>
    <s v="Office Digital"/>
    <s v="A3"/>
    <s v="Ciudad principal"/>
    <s v="2-Entre 31 y 60"/>
    <n v="1.05"/>
    <n v="1433.25"/>
    <n v="1"/>
    <n v="0.68"/>
    <n v="5"/>
    <n v="0.13600000000000001"/>
    <n v="0"/>
    <n v="0"/>
    <d v="2019-04-10T00:00:00"/>
    <d v="2019-04-10T00:00:00"/>
    <n v="0"/>
    <s v="0-1 día"/>
    <n v="0"/>
    <n v="0"/>
    <n v="0"/>
    <n v="1433.25"/>
  </r>
  <r>
    <s v="ABR-19"/>
    <n v="1"/>
    <s v="2022631"/>
    <s v="SR MANTENIMIENTO CORRECTIVO"/>
    <s v="4311"/>
    <s v="09/04/2019 17:08"/>
    <s v="0BG1000997"/>
    <s v="500083"/>
    <s v="PITSS"/>
    <s v="ASP"/>
    <x v="0"/>
    <s v="AV EUGENIO GARZA SADA 2501 SUR"/>
    <s v="Monterrey-NL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0.37"/>
    <n v="4"/>
    <n v="9.2499999999999999E-2"/>
    <n v="0"/>
    <n v="0"/>
    <d v="2019-04-10T00:00:00"/>
    <d v="2019-04-10T00:00:00"/>
    <n v="0"/>
    <s v="0-1 día"/>
    <n v="0"/>
    <n v="0"/>
    <n v="0"/>
    <n v="943.80000000000007"/>
  </r>
  <r>
    <s v="ABR-19"/>
    <n v="1"/>
    <s v="2022635"/>
    <s v="SR MANTENIMIENTO CORRECTIVO"/>
    <s v="3658"/>
    <s v="09/04/2019 17:21"/>
    <s v="0C4X003297"/>
    <s v="500080"/>
    <s v="PITSS"/>
    <s v="ASP"/>
    <x v="34"/>
    <s v="FERNANDO DE BORJA EDIFICIO Q CENTER No 913 A-PB"/>
    <s v="Chihuahua-CHIH"/>
    <n v="0"/>
    <s v="INTERIOR"/>
    <n v="25"/>
    <s v="Entre 16 y 30"/>
    <s v="A4 Mono MFPs"/>
    <s v="A4"/>
    <s v="Ciudad principal"/>
    <s v="1-Entre 16 y 30"/>
    <n v="0.6"/>
    <n v="429.00000000000006"/>
    <n v="1"/>
    <n v="0.15"/>
    <n v="5"/>
    <n v="0.03"/>
    <n v="0"/>
    <n v="0"/>
    <d v="2019-04-10T00:00:00"/>
    <d v="2019-04-10T00:00:00"/>
    <n v="0"/>
    <s v="0-1 día"/>
    <n v="0"/>
    <n v="0"/>
    <n v="0"/>
    <n v="429.00000000000006"/>
  </r>
  <r>
    <s v="ABR-19"/>
    <n v="1"/>
    <s v="2017903"/>
    <s v="SR MANTENIMIENTO CORRECTIVO"/>
    <s v="4310"/>
    <s v="01/04/2019 09:05"/>
    <s v="0BG0966721"/>
    <s v="800188"/>
    <s v="PITSS"/>
    <s v="ASP"/>
    <x v="7"/>
    <s v="AV. FAJA DE ORO NO. 1100"/>
    <s v="Salamanca-GTO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1.92"/>
    <n v="4"/>
    <n v="0.48"/>
    <n v="0"/>
    <n v="0"/>
    <d v="2019-04-09T00:00:00"/>
    <d v="2019-04-10T00:00:00"/>
    <n v="1"/>
    <s v="0-1 día"/>
    <n v="0"/>
    <n v="0"/>
    <n v="0"/>
    <n v="943.80000000000007"/>
  </r>
  <r>
    <s v="ABR-19"/>
    <n v="1"/>
    <s v="2022641"/>
    <s v="SR MANTENIMIENTO CORRECTIVO"/>
    <s v="3611"/>
    <s v="09/04/2019 17:43"/>
    <s v="0A4T562089"/>
    <s v="500155"/>
    <s v="PITSS"/>
    <s v="ASP"/>
    <x v="30"/>
    <s v="AV PARQUE INDUSTRIAL JUAREZ 3328"/>
    <s v="CIUDAD JUAREZ-CHIH"/>
    <n v="0"/>
    <s v="INTERIOR"/>
    <n v="2686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4-10T00:00:00"/>
    <d v="2019-04-10T00:00:00"/>
    <n v="0"/>
    <s v="0-1 día"/>
    <n v="0"/>
    <n v="0"/>
    <n v="0"/>
    <n v="750.75000000000011"/>
  </r>
  <r>
    <s v="ABR-19"/>
    <n v="1"/>
    <s v="2022815"/>
    <s v="SR MANTENIMIENTO CORRECTIVO"/>
    <s v="7855"/>
    <s v="10/04/2019 08:32"/>
    <s v="0MX4465095"/>
    <s v="500028"/>
    <s v="PITSS"/>
    <s v="ASP"/>
    <x v="7"/>
    <s v="CARR MIGUEL ALEMAN OTE 4605"/>
    <s v="GUADALUPE-NL"/>
    <n v="0"/>
    <s v="INTERIOR"/>
    <n v="48"/>
    <s v="Entre 31 y 60"/>
    <s v="A3 Office Color Laser MFPs"/>
    <s v="A3"/>
    <s v="Ciudad principal"/>
    <s v="2-Entre 31 y 60"/>
    <n v="1.05"/>
    <n v="1433.25"/>
    <n v="1"/>
    <n v="1.1399999999999999"/>
    <n v="5"/>
    <n v="0.22799999999999998"/>
    <n v="0"/>
    <n v="0"/>
    <d v="2019-04-10T00:00:00"/>
    <d v="2019-04-10T00:00:00"/>
    <n v="0"/>
    <s v="0-1 día"/>
    <n v="0"/>
    <n v="0"/>
    <n v="0"/>
    <n v="1433.25"/>
  </r>
  <r>
    <s v="ABR-19"/>
    <n v="1"/>
    <s v="2018371"/>
    <s v="SR MANTENIMIENTO CORRECTIVO"/>
    <s v="4395"/>
    <s v="01/04/2019 17:39"/>
    <s v="0BG2949273"/>
    <s v="800146"/>
    <s v="PITSS"/>
    <s v="ASP"/>
    <x v="7"/>
    <s v="BLV MANUEL J CLOUTHIER SN"/>
    <s v="LEON-GTO"/>
    <n v="0"/>
    <s v="INTERIOR"/>
    <n v="20"/>
    <s v="Entre 16 y 30"/>
    <s v="Light Production Digital Business"/>
    <s v="Entry Production"/>
    <s v="Ciudad principal"/>
    <s v="3-Entre 16 y 30"/>
    <n v="1.05"/>
    <n v="1651.6500000000003"/>
    <n v="1"/>
    <n v="2.67"/>
    <n v="4"/>
    <n v="0.66749999999999998"/>
    <n v="0"/>
    <n v="0"/>
    <d v="2019-04-10T00:00:00"/>
    <d v="2019-04-10T00:00:00"/>
    <n v="0"/>
    <s v="0-1 día"/>
    <n v="0"/>
    <n v="0"/>
    <n v="0"/>
    <n v="1651.6500000000003"/>
  </r>
  <r>
    <s v="ABR-19"/>
    <n v="1"/>
    <s v="2021617"/>
    <s v="SR MANTENIMIENTO CORRECTIVO"/>
    <s v="0070"/>
    <s v="08/04/2019 11:19"/>
    <s v="0E2B651413"/>
    <s v="800110"/>
    <s v="PITSS"/>
    <s v="ASP"/>
    <x v="7"/>
    <s v="AV CAMELINAS 2650"/>
    <s v="MORELIA-MICH"/>
    <n v="0"/>
    <s v="INTERIOR"/>
    <n v="259"/>
    <s v="&gt;60"/>
    <s v="Entry Production Color Low/Mid"/>
    <s v="Entry Production"/>
    <s v="Ciudad principal"/>
    <s v="3-&gt;60"/>
    <n v="1.1499999999999999"/>
    <n v="1808.95"/>
    <n v="1"/>
    <n v="3.35"/>
    <n v="4"/>
    <n v="0.83750000000000002"/>
    <n v="0"/>
    <n v="0"/>
    <d v="2019-04-10T00:00:00"/>
    <d v="2019-04-10T00:00:00"/>
    <n v="0"/>
    <s v="0-1 día"/>
    <n v="0"/>
    <n v="0"/>
    <n v="0"/>
    <n v="1808.95"/>
  </r>
  <r>
    <s v="ABR-19"/>
    <n v="1"/>
    <s v="2022441"/>
    <s v="SR MANTENIMIENTO CORRECTIVO"/>
    <s v="1026"/>
    <s v="09/04/2019 13:08"/>
    <s v="AAQ100582"/>
    <s v="800074"/>
    <s v="PITSS"/>
    <s v="ASP"/>
    <x v="62"/>
    <s v="AMADO NERVO OTE 101"/>
    <s v="ZAMORA DE HIDALGO-MI"/>
    <n v="0"/>
    <s v="INTERIOR"/>
    <n v="5"/>
    <s v="Entre 3 y 6"/>
    <s v="Office Digital"/>
    <s v="A3"/>
    <s v="Ciudad principal"/>
    <s v="2-Entre 3 y 6"/>
    <n v="0"/>
    <n v="0"/>
    <n v="1"/>
    <n v="5.95"/>
    <n v="5"/>
    <n v="1.19"/>
    <n v="4.7499999999999987E-2"/>
    <n v="-64.837499999999977"/>
    <d v="2019-04-10T00:00:00"/>
    <d v="2019-04-10T00:00:00"/>
    <n v="0"/>
    <s v="0-1 día"/>
    <n v="0"/>
    <n v="0"/>
    <n v="0"/>
    <n v="-64.837499999999977"/>
  </r>
  <r>
    <s v="ABR-19"/>
    <n v="1"/>
    <s v="2019891"/>
    <s v="SR MANTENIMIENTO CORRECTIVO"/>
    <s v="3336"/>
    <s v="04/04/2019 09:45"/>
    <s v="5BT731387"/>
    <s v="100038"/>
    <s v="PITSS"/>
    <s v="ASP"/>
    <x v="70"/>
    <s v="AV INDEPENDENCIA 1000"/>
    <s v="LERMA-MEX"/>
    <n v="0"/>
    <s v="INTERIOR"/>
    <n v="2681"/>
    <s v="&gt;60"/>
    <s v="A4 Mono MFPs"/>
    <s v="A4"/>
    <s v="Otras"/>
    <s v="1-&gt;60"/>
    <n v="1.05"/>
    <n v="750.75000000000011"/>
    <n v="1"/>
    <n v="6.25"/>
    <n v="9"/>
    <n v="0.69444444444444442"/>
    <n v="0"/>
    <n v="0"/>
    <d v="2019-04-10T00:00:00"/>
    <d v="2019-04-10T00:00:00"/>
    <n v="0"/>
    <s v="0-1 día"/>
    <n v="0"/>
    <n v="0"/>
    <n v="0"/>
    <n v="750.75000000000011"/>
  </r>
  <r>
    <s v="ABR-19"/>
    <n v="1"/>
    <s v="2022655"/>
    <s v="SR MANTENIMIENTO CORRECTIVO"/>
    <s v="3658"/>
    <s v="09/04/2019 18:28"/>
    <s v="0C4X003017"/>
    <s v="500161"/>
    <s v="PITSS"/>
    <s v="ASP"/>
    <x v="2"/>
    <s v="TERCERA NTE 311"/>
    <s v="CIUDAD DELICIAS-CHIH"/>
    <n v="0"/>
    <s v="INTERIOR"/>
    <n v="46"/>
    <s v="Entre 31 y 60"/>
    <s v="A4 Mono MFPs"/>
    <s v="A4"/>
    <s v="Otras"/>
    <s v="1-Entre 31 y 60"/>
    <n v="0.8"/>
    <n v="572.00000000000011"/>
    <n v="1"/>
    <n v="1.75"/>
    <n v="9"/>
    <n v="0.19444444444444445"/>
    <n v="0"/>
    <n v="0"/>
    <d v="2019-04-10T00:00:00"/>
    <d v="2019-04-10T00:00:00"/>
    <n v="0"/>
    <s v="0-1 día"/>
    <n v="0"/>
    <n v="0"/>
    <n v="0"/>
    <n v="572.00000000000011"/>
  </r>
  <r>
    <s v="ABR-19"/>
    <n v="1"/>
    <s v="2022637"/>
    <s v="SR MANTENIMIENTO CORRECTIVO"/>
    <s v="4002"/>
    <s v="09/04/2019 17:29"/>
    <s v="9HB327127"/>
    <s v="800072"/>
    <s v="PITSS"/>
    <s v="ASP"/>
    <x v="31"/>
    <s v="AV. ADOLFO LOPEZ MATEOS NORTE 2405"/>
    <s v="Guadalajara-JAL"/>
    <n v="0"/>
    <s v="INTERIOR"/>
    <n v="153"/>
    <s v="&gt;60"/>
    <s v="A4 Mono MFPs"/>
    <s v="A4"/>
    <s v="Ciudad principal"/>
    <s v="1-&gt;60"/>
    <n v="1.05"/>
    <n v="750.75000000000011"/>
    <n v="1"/>
    <n v="1.69"/>
    <n v="5"/>
    <n v="0.33799999999999997"/>
    <n v="0"/>
    <n v="0"/>
    <d v="2019-04-10T00:00:00"/>
    <d v="2019-04-10T00:00:00"/>
    <n v="0"/>
    <s v="0-1 día"/>
    <n v="0"/>
    <n v="0"/>
    <n v="0"/>
    <n v="750.75000000000011"/>
  </r>
  <r>
    <s v="ABR-19"/>
    <n v="1"/>
    <s v="2021517"/>
    <s v="SR MANTENIMIENTO CORRECTIVO"/>
    <s v="4395"/>
    <s v="08/04/2019 10:12"/>
    <s v="0BG2941143"/>
    <s v="500093"/>
    <s v="PITSS"/>
    <s v="ASP"/>
    <x v="7"/>
    <s v="BLV 15 DE SEP 4243"/>
    <s v="NUEVO LAREDO-TAM"/>
    <n v="0"/>
    <s v="INTERIOR"/>
    <n v="17"/>
    <s v="Entre 16 y 30"/>
    <s v="Light Production Digital Business"/>
    <s v="Entry Production"/>
    <s v="Ciudad principal"/>
    <s v="3-Entre 16 y 30"/>
    <n v="1.05"/>
    <n v="1651.6500000000003"/>
    <n v="1"/>
    <n v="1.52"/>
    <n v="4"/>
    <n v="0.38"/>
    <n v="0"/>
    <n v="0"/>
    <d v="2019-04-10T00:00:00"/>
    <d v="2019-04-10T00:00:00"/>
    <n v="0"/>
    <s v="0-1 día"/>
    <n v="0"/>
    <n v="0"/>
    <n v="0"/>
    <n v="1651.6500000000003"/>
  </r>
  <r>
    <s v="ABR-19"/>
    <n v="1"/>
    <s v="2023039"/>
    <s v="SR MANTENIMIENTO CORRECTIVO"/>
    <s v="5867"/>
    <s v="10/04/2019 12:43"/>
    <s v="0EX7380352"/>
    <s v="500158"/>
    <s v="PITSS"/>
    <s v="ASP"/>
    <x v="53"/>
    <s v="AV HERMANOS ESCOBAR No 5756"/>
    <s v="Ciudad Juarez-CHIH"/>
    <n v="1"/>
    <s v="INTERIOR"/>
    <n v="146"/>
    <s v="&gt;60"/>
    <s v="Office Digital"/>
    <s v="A3"/>
    <s v="Ciudad principal"/>
    <s v="2-&gt;60"/>
    <n v="1.1000000000000001"/>
    <n v="0"/>
    <n v="1"/>
    <n v="0"/>
    <n v="5"/>
    <n v="0"/>
    <n v="0"/>
    <n v="0"/>
    <d v="2019-04-10T00:00:00"/>
    <d v="2019-04-10T00:00:00"/>
    <n v="0"/>
    <s v="0-1 día"/>
    <n v="0"/>
    <n v="0"/>
    <n v="0"/>
    <n v="0"/>
  </r>
  <r>
    <s v="ABR-19"/>
    <n v="1"/>
    <s v="2022463"/>
    <s v="SR MANTENIMIENTO CORRECTIVO"/>
    <s v="1026"/>
    <s v="09/04/2019 13:36"/>
    <s v="AAQ100563"/>
    <s v="800074"/>
    <s v="PITSS"/>
    <s v="ASP"/>
    <x v="60"/>
    <s v="JAVIER MINA No 14 INT No 4"/>
    <s v="Michoacan-MICH"/>
    <n v="0"/>
    <s v="INTERIOR"/>
    <n v="5"/>
    <s v="Entre 3 y 6"/>
    <s v="Office Digital"/>
    <s v="A3"/>
    <s v="Ciudad principal"/>
    <s v="2-Entre 3 y 6"/>
    <n v="0"/>
    <n v="0"/>
    <n v="1"/>
    <n v="7.57"/>
    <n v="5"/>
    <n v="1.514"/>
    <n v="0.1285"/>
    <n v="-175.4025"/>
    <d v="2019-04-10T00:00:00"/>
    <d v="2019-04-10T00:00:00"/>
    <n v="0"/>
    <s v="0-1 día"/>
    <n v="0"/>
    <n v="0"/>
    <n v="0"/>
    <n v="-175.4025"/>
  </r>
  <r>
    <s v="ABR-19"/>
    <n v="1"/>
    <s v="2021987"/>
    <s v="SR MANTENIMIENTO CORRECTIVO"/>
    <s v="5774"/>
    <s v="08/04/2019 19:58"/>
    <s v="0XEL555336"/>
    <s v="800197"/>
    <s v="PITSS"/>
    <s v="ASP"/>
    <x v="7"/>
    <s v="AV VENUSTIANO CARRANZA No 733"/>
    <s v="San Luis Potosi-SLP"/>
    <n v="0"/>
    <s v="INTERIOR"/>
    <n v="142"/>
    <s v="&gt;60"/>
    <s v="Departmental Digital"/>
    <s v="A3"/>
    <s v="Ciudad principal"/>
    <s v="2-&gt;60"/>
    <n v="1.1000000000000001"/>
    <n v="1501.5000000000002"/>
    <n v="1"/>
    <n v="0.17"/>
    <n v="5"/>
    <n v="3.4000000000000002E-2"/>
    <n v="0"/>
    <n v="0"/>
    <d v="2019-04-09T00:00:00"/>
    <d v="2019-04-10T00:00:00"/>
    <n v="1"/>
    <s v="0-1 día"/>
    <n v="0"/>
    <n v="0"/>
    <n v="0"/>
    <n v="1501.5000000000002"/>
  </r>
  <r>
    <s v="ABR-19"/>
    <n v="1"/>
    <s v="2022519"/>
    <s v="SR MANTENIMIENTO CORRECTIVO"/>
    <s v="4002"/>
    <s v="09/04/2019 14:35"/>
    <s v="09HB320584"/>
    <s v="500161"/>
    <s v="PITSS"/>
    <s v="ASP"/>
    <x v="10"/>
    <s v="AV. RIO CHUVISCAR SUR 1000"/>
    <s v="CIUDAD DELICIAS-CHIH"/>
    <n v="0"/>
    <s v="INTERIOR"/>
    <n v="564"/>
    <s v="&gt;60"/>
    <s v="A4 Mono MFPs"/>
    <s v="A4"/>
    <s v="Otras"/>
    <s v="1-&gt;60"/>
    <n v="1.05"/>
    <n v="750.75000000000011"/>
    <n v="1"/>
    <n v="3.67"/>
    <n v="9"/>
    <n v="0.40777777777777779"/>
    <n v="0"/>
    <n v="0"/>
    <d v="2019-04-10T00:00:00"/>
    <d v="2019-04-10T00:00:00"/>
    <n v="0"/>
    <s v="0-1 día"/>
    <n v="0"/>
    <n v="0"/>
    <n v="0"/>
    <n v="750.75000000000011"/>
  </r>
  <r>
    <s v="ABR-19"/>
    <n v="1"/>
    <s v="2022431"/>
    <s v="SR MANTENIMIENTO PREVENTIVO"/>
    <s v="3350"/>
    <s v="09/04/2019 13:01"/>
    <s v="0VMA675216"/>
    <s v="500053"/>
    <s v="PITSS"/>
    <s v="ASP"/>
    <x v="61"/>
    <s v="BLVD MIGUEL RAMOS ARIZPE 124 SUR"/>
    <s v="Ramos Arizpe-COAH"/>
    <n v="1"/>
    <s v="INTERIOR"/>
    <s v="  "/>
    <s v="&gt;60"/>
    <s v="A4 Mono MFPs"/>
    <s v="A4"/>
    <s v="Otras"/>
    <s v="1-&gt;60"/>
    <n v="1"/>
    <n v="0"/>
    <n v="0"/>
    <n v="9"/>
    <n v="9"/>
    <n v="1"/>
    <n v="0"/>
    <n v="0"/>
    <d v="2019-04-09T00:00:00"/>
    <d v="2019-04-10T00:00:00"/>
    <n v="1"/>
    <s v="0-1 día"/>
    <n v="0"/>
    <n v="0"/>
    <n v="0"/>
    <n v="0"/>
  </r>
  <r>
    <s v="ABR-19"/>
    <n v="1"/>
    <s v="2022427"/>
    <s v="SR MANTENIMIENTO PREVENTIVO"/>
    <s v="3350"/>
    <s v="09/04/2019 13:00"/>
    <s v="0VMA675200"/>
    <s v="500053"/>
    <s v="PITSS"/>
    <s v="ASP"/>
    <x v="61"/>
    <s v="BLVD MIGUEL RAMOS ARIZPE 124 SUR"/>
    <s v="Ramos Arizpe-COAH"/>
    <n v="1"/>
    <s v="INTERIOR"/>
    <s v="  "/>
    <s v="&gt;60"/>
    <s v="A4 Mono MFPs"/>
    <s v="A4"/>
    <s v="Otras"/>
    <s v="1-&gt;60"/>
    <n v="1"/>
    <n v="0"/>
    <n v="0"/>
    <n v="9"/>
    <n v="9"/>
    <n v="1"/>
    <n v="0"/>
    <n v="0"/>
    <d v="2019-04-09T00:00:00"/>
    <d v="2019-04-10T00:00:00"/>
    <n v="1"/>
    <s v="0-1 día"/>
    <n v="0"/>
    <n v="0"/>
    <n v="0"/>
    <n v="0"/>
  </r>
  <r>
    <s v="ABR-19"/>
    <n v="1"/>
    <s v="2021417"/>
    <s v="SR MANTENIMIENTO CORRECTIVO"/>
    <s v="4395"/>
    <s v="08/04/2019 08:29"/>
    <s v="0BG2951638"/>
    <s v="800183"/>
    <s v="PITSS"/>
    <s v="ASP"/>
    <x v="7"/>
    <s v="AV LOPEZ MATEOS SUR 1299"/>
    <s v="TLAJOMULCO DE ZU&amp;IGA"/>
    <n v="0"/>
    <s v="INTERIOR"/>
    <n v="19"/>
    <s v="Entre 16 y 30"/>
    <s v="Light Production Digital Business"/>
    <s v="Entry Production"/>
    <s v="Ciudad principal"/>
    <s v="3-Entre 16 y 30"/>
    <n v="1.05"/>
    <n v="1651.6500000000003"/>
    <n v="1"/>
    <n v="2"/>
    <n v="4"/>
    <n v="0.5"/>
    <n v="0"/>
    <n v="0"/>
    <d v="2019-04-10T00:00:00"/>
    <d v="2019-04-10T00:00:00"/>
    <n v="0"/>
    <s v="0-1 día"/>
    <n v="0"/>
    <n v="0"/>
    <n v="0"/>
    <n v="1651.6500000000003"/>
  </r>
  <r>
    <s v="ABR-19"/>
    <n v="1"/>
    <s v="2022965"/>
    <s v="SR MANTENIMIENTO CORRECTIVO"/>
    <s v="8075"/>
    <s v="10/04/2019 11:08"/>
    <s v="03AG877768"/>
    <s v="800187"/>
    <s v="PITSS"/>
    <s v="ASP"/>
    <x v="14"/>
    <s v="PROLONGACION EZEQUIEL MONTES No 1"/>
    <s v="Queretaro-QRO"/>
    <n v="0"/>
    <s v="INTERIOR"/>
    <n v="37"/>
    <s v="Entre 31 y 60"/>
    <s v="Departmental Digital"/>
    <s v="A3"/>
    <s v="Ciudad principal"/>
    <s v="2-Entre 31 y 60"/>
    <n v="1.05"/>
    <n v="1433.25"/>
    <n v="1"/>
    <n v="0.87"/>
    <n v="5"/>
    <n v="0.17399999999999999"/>
    <n v="0"/>
    <n v="0"/>
    <d v="2019-04-10T00:00:00"/>
    <d v="2019-04-10T00:00:00"/>
    <n v="0"/>
    <s v="0-1 día"/>
    <n v="0"/>
    <n v="0"/>
    <n v="0"/>
    <n v="1433.25"/>
  </r>
  <r>
    <s v="ABR-19"/>
    <n v="1"/>
    <s v="2022875"/>
    <s v="SR MANTENIMIENTO CORRECTIVO"/>
    <s v="5867"/>
    <s v="10/04/2019 09:47"/>
    <s v="0EX7407186"/>
    <s v="500155"/>
    <s v="PITSS"/>
    <s v="ASP"/>
    <x v="30"/>
    <s v="AV VALLE DEL CEDRO 1681"/>
    <s v="CIUDAD JUAREZ-CHIH"/>
    <n v="0"/>
    <s v="INTERIOR"/>
    <n v="169"/>
    <s v="&gt;60"/>
    <s v="Office Digital"/>
    <s v="A3"/>
    <s v="Ciudad principal"/>
    <s v="2-&gt;60"/>
    <n v="1.1000000000000001"/>
    <n v="1501.5000000000002"/>
    <n v="1"/>
    <n v="0.72"/>
    <n v="5"/>
    <n v="0.14399999999999999"/>
    <n v="0"/>
    <n v="0"/>
    <d v="2019-04-10T00:00:00"/>
    <d v="2019-04-10T00:00:00"/>
    <n v="0"/>
    <s v="0-1 día"/>
    <n v="0"/>
    <n v="0"/>
    <n v="0"/>
    <n v="1501.5000000000002"/>
  </r>
  <r>
    <s v="ABR-19"/>
    <n v="1"/>
    <s v="2022335"/>
    <s v="SR MANTENIMIENTO CORRECTIVO"/>
    <s v="8045"/>
    <s v="09/04/2019 10:52"/>
    <s v="Y4X830295"/>
    <s v="100037"/>
    <s v="PITSS"/>
    <s v="ASP"/>
    <x v="9"/>
    <s v="IGNACIO LOPEZ RAYON No 510"/>
    <s v="TOLUCA DE LERDO-MEX"/>
    <n v="0"/>
    <s v="INTERIOR"/>
    <n v="6"/>
    <s v="Entre 3 y 6"/>
    <s v="Office Digital"/>
    <s v="A3"/>
    <s v="Ciudad principal"/>
    <s v="2-Entre 3 y 6"/>
    <n v="0"/>
    <n v="0"/>
    <n v="1"/>
    <n v="2.65"/>
    <n v="5"/>
    <n v="0.53"/>
    <n v="0"/>
    <n v="0"/>
    <d v="2019-04-10T00:00:00"/>
    <d v="2019-04-10T00:00:00"/>
    <n v="0"/>
    <s v="0-1 día"/>
    <n v="0"/>
    <n v="0"/>
    <n v="0"/>
    <n v="0"/>
  </r>
  <r>
    <s v="ABR-19"/>
    <n v="1"/>
    <s v="2022827"/>
    <s v="SR MANTENIMIENTO CORRECTIVO"/>
    <s v="7845"/>
    <s v="10/04/2019 08:53"/>
    <s v="0MX4505031"/>
    <s v="800146"/>
    <s v="PITSS"/>
    <s v="ASP"/>
    <x v="30"/>
    <s v="CIRCUITO MEXICO No 125"/>
    <s v="San Luis Potosi-SLP"/>
    <n v="0"/>
    <s v="INTERIOR"/>
    <n v="50"/>
    <s v="Entre 31 y 60"/>
    <s v="A3 Office Color Laser MFPs"/>
    <s v="A3"/>
    <s v="Ciudad principal"/>
    <s v="2-Entre 31 y 60"/>
    <n v="1.05"/>
    <n v="1433.25"/>
    <n v="1"/>
    <n v="0"/>
    <n v="5"/>
    <n v="0"/>
    <n v="0"/>
    <n v="0"/>
    <d v="2019-04-10T00:00:00"/>
    <d v="2019-04-10T00:00:00"/>
    <n v="0"/>
    <s v="0-1 día"/>
    <n v="0"/>
    <n v="0"/>
    <n v="0"/>
    <n v="1433.25"/>
  </r>
  <r>
    <s v="ABR-19"/>
    <n v="1"/>
    <s v="2023087"/>
    <s v="SR MANTENIMIENTO CORRECTIVO"/>
    <s v="3616"/>
    <s v="10/04/2019 13:30"/>
    <s v="0A2T200293"/>
    <s v="800187"/>
    <s v="PITSS"/>
    <s v="ASP"/>
    <x v="24"/>
    <s v="CARR TEQUISQUIAPAN KM 3"/>
    <s v="SAN JUAN DEL RIO-QRO"/>
    <n v="0"/>
    <s v="INTERIOR"/>
    <n v="1584"/>
    <s v="&gt;60"/>
    <s v="A4 Mono MFPs"/>
    <s v="A4"/>
    <s v="Ciudad principal"/>
    <s v="1-&gt;60"/>
    <n v="1.05"/>
    <n v="750.75000000000011"/>
    <n v="1"/>
    <n v="1.25"/>
    <n v="5"/>
    <n v="0.25"/>
    <n v="0"/>
    <n v="0"/>
    <d v="2019-04-10T00:00:00"/>
    <d v="2019-04-10T00:00:00"/>
    <n v="0"/>
    <s v="0-1 día"/>
    <n v="0"/>
    <n v="0"/>
    <n v="0"/>
    <n v="750.75000000000011"/>
  </r>
  <r>
    <s v="ABR-19"/>
    <n v="1"/>
    <s v="2022939"/>
    <s v="SR MANTENIMIENTO CORRECTIVO"/>
    <s v="0070"/>
    <s v="10/04/2019 10:54"/>
    <s v="0E2B666229"/>
    <s v="500036"/>
    <s v="PITSS"/>
    <s v="ASP"/>
    <x v="14"/>
    <s v="AV DE LAS TORRES No 2498"/>
    <s v="San Pedro Garza Garc"/>
    <n v="0"/>
    <s v="INTERIOR"/>
    <n v="16"/>
    <s v="Entre 16 y 30"/>
    <s v="Entry Production Color Low/Mid"/>
    <s v="Entry Production"/>
    <s v="Ciudad principal"/>
    <s v="3-Entre 16 y 30"/>
    <n v="1.05"/>
    <n v="1651.6500000000003"/>
    <n v="1"/>
    <n v="1.1000000000000001"/>
    <n v="4"/>
    <n v="0.27500000000000002"/>
    <n v="0"/>
    <n v="0"/>
    <d v="2019-04-10T00:00:00"/>
    <d v="2019-04-10T00:00:00"/>
    <n v="0"/>
    <s v="0-1 día"/>
    <n v="0"/>
    <n v="0"/>
    <n v="0"/>
    <n v="1651.6500000000003"/>
  </r>
  <r>
    <s v="ABR-19"/>
    <n v="1"/>
    <s v="2022981"/>
    <s v="SR MANTENIMIENTO CORRECTIVO"/>
    <s v="3226"/>
    <s v="10/04/2019 11:31"/>
    <s v="K8B485905"/>
    <s v="800072"/>
    <s v="PITSS"/>
    <s v="ASP"/>
    <x v="71"/>
    <s v="AV HIDALGO No 108 INT D"/>
    <s v="Jalisco-JAL"/>
    <n v="0"/>
    <s v="INTERIOR"/>
    <n v="2687"/>
    <s v="&gt;60"/>
    <s v="A4 Mono MFPs"/>
    <s v="A4"/>
    <s v="Ciudad principal"/>
    <s v="1-&gt;60"/>
    <n v="1.05"/>
    <n v="750.75000000000011"/>
    <n v="1"/>
    <n v="1.88"/>
    <n v="5"/>
    <n v="0.376"/>
    <n v="0"/>
    <n v="0"/>
    <d v="2019-04-10T00:00:00"/>
    <d v="2019-04-10T00:00:00"/>
    <n v="0"/>
    <s v="0-1 día"/>
    <n v="0"/>
    <n v="0"/>
    <n v="0"/>
    <n v="750.75000000000011"/>
  </r>
  <r>
    <s v="ABR-19"/>
    <n v="1"/>
    <s v="2023007"/>
    <s v="SR MANTENIMIENTO CORRECTIVO"/>
    <s v="7845"/>
    <s v="10/04/2019 12:12"/>
    <s v="0MX4766757"/>
    <s v="500155"/>
    <s v="PITSS"/>
    <s v="ASP"/>
    <x v="30"/>
    <s v="AV PARQUE INDUSTRIAL JUAREZ 3328"/>
    <s v="CIUDAD JUAREZ-CHIH"/>
    <n v="0"/>
    <s v="INTERIOR"/>
    <n v="64"/>
    <s v="&gt;60"/>
    <s v="A3 Office Color Laser MFPs"/>
    <s v="A3"/>
    <s v="Ciudad principal"/>
    <s v="2-&gt;60"/>
    <n v="1.1000000000000001"/>
    <n v="1501.5000000000002"/>
    <n v="1"/>
    <n v="1.3"/>
    <n v="5"/>
    <n v="0.26"/>
    <n v="0"/>
    <n v="0"/>
    <d v="2019-04-10T00:00:00"/>
    <d v="2019-04-10T00:00:00"/>
    <n v="0"/>
    <s v="0-1 día"/>
    <n v="0"/>
    <n v="0"/>
    <n v="0"/>
    <n v="1501.5000000000002"/>
  </r>
  <r>
    <s v="ABR-19"/>
    <n v="1"/>
    <s v="2019593"/>
    <s v="SR MANTENIMIENTO CORRECTIVO"/>
    <s v="5230"/>
    <s v="03/04/2019 16:18"/>
    <s v="0LNX631348"/>
    <s v="500159"/>
    <s v="PITSS"/>
    <s v="ASP"/>
    <x v="30"/>
    <s v="CRISTOBAL COLON 11364"/>
    <s v="Chihuahua-CHIH"/>
    <n v="0"/>
    <s v="INTERIOR"/>
    <n v="504"/>
    <s v="&gt;60"/>
    <s v="Office Digital"/>
    <s v="A3"/>
    <s v="Ciudad principal"/>
    <s v="2-&gt;60"/>
    <n v="1.1000000000000001"/>
    <n v="1501.5000000000002"/>
    <n v="1"/>
    <n v="1.2"/>
    <n v="5"/>
    <n v="0.24"/>
    <n v="0"/>
    <n v="0"/>
    <d v="2019-04-10T00:00:00"/>
    <d v="2019-04-10T00:00:00"/>
    <n v="0"/>
    <s v="0-1 día"/>
    <n v="0"/>
    <n v="0"/>
    <n v="0"/>
    <n v="1501.5000000000002"/>
  </r>
  <r>
    <s v="ABR-19"/>
    <n v="1"/>
    <s v="2021995"/>
    <s v="SR MANTENIMIENTO CORRECTIVO"/>
    <s v="5866"/>
    <s v="08/04/2019 20:55"/>
    <s v="0EX9662403"/>
    <s v="500080"/>
    <s v="PITSS"/>
    <s v="ASP"/>
    <x v="0"/>
    <s v="HEROICO COLEGIO MILITAR No 4700"/>
    <s v="Chihuahua-CHIH"/>
    <n v="0"/>
    <s v="INTERIOR"/>
    <n v="14"/>
    <s v="Entre 7 y 15"/>
    <s v="Departmental Digital"/>
    <s v="A3"/>
    <s v="Ciudad principal"/>
    <s v="2-Entre 7 y 15"/>
    <n v="0.6"/>
    <n v="819"/>
    <n v="1"/>
    <n v="0"/>
    <n v="5"/>
    <n v="0"/>
    <n v="0"/>
    <n v="0"/>
    <d v="2019-04-10T00:00:00"/>
    <d v="2019-04-10T00:00:00"/>
    <n v="0"/>
    <s v="0-1 día"/>
    <n v="0"/>
    <n v="0"/>
    <n v="0"/>
    <n v="819"/>
  </r>
  <r>
    <s v="ABR-19"/>
    <n v="1"/>
    <s v="2022805"/>
    <s v="SR MANTENIMIENTO CORRECTIVO"/>
    <s v="4395"/>
    <s v="10/04/2019 08:22"/>
    <s v="0BG2947152"/>
    <s v="800192"/>
    <s v="PITSS"/>
    <s v="ASP"/>
    <x v="7"/>
    <s v="PATRIA 1937"/>
    <s v="ZAPOPAN-JAL"/>
    <n v="0"/>
    <s v="INTERIOR"/>
    <n v="26"/>
    <s v="Entre 16 y 30"/>
    <s v="Light Production Digital Business"/>
    <s v="Entry Production"/>
    <s v="Ciudad principal"/>
    <s v="3-Entre 16 y 30"/>
    <n v="1.05"/>
    <n v="1651.6500000000003"/>
    <n v="1"/>
    <n v="3.8"/>
    <n v="4"/>
    <n v="0.95"/>
    <n v="0"/>
    <n v="0"/>
    <d v="2019-04-10T00:00:00"/>
    <d v="2019-04-10T00:00:00"/>
    <n v="0"/>
    <s v="0-1 día"/>
    <n v="0"/>
    <n v="0"/>
    <n v="0"/>
    <n v="1651.6500000000003"/>
  </r>
  <r>
    <s v="ABR-19"/>
    <n v="1"/>
    <s v="2021403"/>
    <s v="SR MANTENIMIENTO CORRECTIVO"/>
    <s v="7142"/>
    <s v="08/04/2019 08:01"/>
    <s v="0PW4152292"/>
    <s v="800192"/>
    <s v="PITSS"/>
    <s v="ASP"/>
    <x v="7"/>
    <s v="MANUEL J CLOUTHIER 888"/>
    <s v="ZAPOPAN-JAL"/>
    <n v="0"/>
    <s v="INTERIOR"/>
    <n v="5"/>
    <s v="Entre 3 y 6"/>
    <s v="WF Mono Systems and Legacy Color"/>
    <s v="WF"/>
    <s v="Ciudad principal"/>
    <s v="3-Entre 3 y 6"/>
    <n v="0.6"/>
    <n v="943.80000000000007"/>
    <n v="1"/>
    <n v="2.38"/>
    <n v="4"/>
    <n v="0.59499999999999997"/>
    <n v="0"/>
    <n v="0"/>
    <d v="2019-04-10T00:00:00"/>
    <d v="2019-04-10T00:00:00"/>
    <n v="0"/>
    <s v="0-1 día"/>
    <n v="0"/>
    <n v="0"/>
    <n v="0"/>
    <n v="943.80000000000007"/>
  </r>
  <r>
    <s v="ABR-19"/>
    <n v="1"/>
    <s v="2023107"/>
    <s v="SR MANTENIMIENTO CORRECTIVO"/>
    <s v="4002"/>
    <s v="10/04/2019 13:51"/>
    <s v="9HB326753"/>
    <s v="500071"/>
    <s v="PITSS"/>
    <s v="ASP"/>
    <x v="72"/>
    <s v="JUAREZ Y CUARTA NUM 63"/>
    <s v="MATAMOROS-TAM"/>
    <n v="0"/>
    <s v="INTERIOR"/>
    <n v="114"/>
    <s v="&gt;60"/>
    <s v="A4 Mono MFPs"/>
    <s v="A4"/>
    <s v="Ciudad principal"/>
    <s v="1-&gt;60"/>
    <n v="1.05"/>
    <n v="750.75000000000011"/>
    <n v="1"/>
    <n v="2.15"/>
    <n v="5"/>
    <n v="0.43"/>
    <n v="0"/>
    <n v="0"/>
    <d v="2019-04-10T00:00:00"/>
    <d v="2019-04-10T00:00:00"/>
    <n v="0"/>
    <s v="0-1 día"/>
    <n v="0"/>
    <n v="0"/>
    <n v="0"/>
    <n v="750.75000000000011"/>
  </r>
  <r>
    <s v="ABR-19"/>
    <n v="1"/>
    <s v="2018849"/>
    <s v="SR MANTENIMIENTO CORRECTIVO"/>
    <s v="1844"/>
    <s v="02/04/2019 11:54"/>
    <s v="0UHA001710"/>
    <s v="500083"/>
    <s v="PITSS"/>
    <s v="ASP"/>
    <x v="73"/>
    <s v="AV VICENTE GUERRERO NTE 3240"/>
    <s v="Monterrey-NL"/>
    <n v="0"/>
    <s v="INTERIOR"/>
    <n v="8"/>
    <s v="Entre 7 y 15"/>
    <s v="High End Cut Sheet"/>
    <s v="High Production"/>
    <s v="Ciudad principal"/>
    <s v="4-Entre 7 y 15"/>
    <n v="1.05"/>
    <n v="2252.25"/>
    <n v="1"/>
    <n v="0.54"/>
    <n v="3"/>
    <n v="0.18000000000000002"/>
    <n v="0"/>
    <n v="0"/>
    <d v="2019-04-10T00:00:00"/>
    <d v="2019-04-10T00:00:00"/>
    <n v="0"/>
    <s v="0-1 día"/>
    <n v="0"/>
    <n v="0"/>
    <n v="0"/>
    <n v="2252.25"/>
  </r>
  <r>
    <s v="ABR-19"/>
    <n v="1"/>
    <s v="2022473"/>
    <s v="SR MANTENIMIENTO CORRECTIVO"/>
    <s v="8030"/>
    <s v="09/04/2019 13:53"/>
    <s v="02TX061945"/>
    <s v="500027"/>
    <s v="PITSS"/>
    <s v="ASP"/>
    <x v="39"/>
    <s v="CIRCUITO INTERIOR NORTE No 1820"/>
    <s v="Ciudad Juarez-CHIH"/>
    <n v="1"/>
    <s v="INTERIOR"/>
    <n v="148"/>
    <s v="&gt;60"/>
    <s v="A3 Office Color Laser MFPs"/>
    <s v="A3"/>
    <s v="Ciudad principal"/>
    <s v="2-&gt;60"/>
    <n v="1.1000000000000001"/>
    <n v="0"/>
    <n v="1"/>
    <n v="0"/>
    <n v="5"/>
    <n v="0"/>
    <n v="0"/>
    <n v="0"/>
    <d v="2019-04-10T00:00:00"/>
    <d v="2019-04-11T00:00:00"/>
    <n v="1"/>
    <s v="0-1 día"/>
    <n v="0"/>
    <n v="0"/>
    <n v="0"/>
    <n v="0"/>
  </r>
  <r>
    <s v="ABR-19"/>
    <n v="1"/>
    <s v="2021911"/>
    <s v="SR MANTENIMIENTO CORRECTIVO"/>
    <s v="4395"/>
    <s v="08/04/2019 16:15"/>
    <s v="0BG2951480"/>
    <s v="800197"/>
    <s v="PITSS"/>
    <s v="ASP"/>
    <x v="7"/>
    <s v="AV BENITO JUAREZ 1965"/>
    <s v="SAN LUIS POTOSI-SLP"/>
    <n v="0"/>
    <s v="INTERIOR"/>
    <n v="34"/>
    <s v="Entre 31 y 60"/>
    <s v="Light Production Digital Business"/>
    <s v="Entry Production"/>
    <s v="Ciudad principal"/>
    <s v="3-Entre 31 y 60"/>
    <n v="1.1000000000000001"/>
    <n v="1730.3000000000004"/>
    <n v="1"/>
    <n v="1.25"/>
    <n v="4"/>
    <n v="0.3125"/>
    <n v="0"/>
    <n v="0"/>
    <d v="2019-04-10T00:00:00"/>
    <d v="2019-04-11T00:00:00"/>
    <n v="1"/>
    <s v="0-1 día"/>
    <n v="0"/>
    <n v="0"/>
    <n v="0"/>
    <n v="1730.3000000000004"/>
  </r>
  <r>
    <s v="ABR-19"/>
    <n v="1"/>
    <s v="2018719"/>
    <s v="SR MANTENIMIENTO CORRECTIVO"/>
    <s v="4624"/>
    <s v="02/04/2019 09:40"/>
    <s v="0D6X458381"/>
    <s v="500163"/>
    <s v="PITSS"/>
    <s v="ASP"/>
    <x v="32"/>
    <s v="BLVD ADOLFO LOPEZ MATEOS No 805 PONIENTE"/>
    <s v="Ciudad Victoria-TAM"/>
    <n v="0"/>
    <s v="INTERIOR"/>
    <n v="74"/>
    <s v="&gt;60"/>
    <s v="Entry Mono Printers"/>
    <s v="A4"/>
    <s v="Ciudad principal"/>
    <s v="1-&gt;60"/>
    <n v="1.05"/>
    <n v="750.75000000000011"/>
    <n v="1"/>
    <n v="1"/>
    <n v="5"/>
    <n v="0.2"/>
    <n v="0"/>
    <n v="0"/>
    <d v="2019-04-10T00:00:00"/>
    <d v="2019-04-11T00:00:00"/>
    <n v="1"/>
    <s v="0-1 día"/>
    <n v="0"/>
    <n v="0"/>
    <n v="0"/>
    <n v="750.75000000000011"/>
  </r>
  <r>
    <s v="ABR-19"/>
    <n v="1"/>
    <s v="2022581"/>
    <s v="SR MANTENIMIENTO CORRECTIVO"/>
    <s v="4603"/>
    <s v="09/04/2019 16:00"/>
    <s v="0XLT278481"/>
    <s v="500155"/>
    <s v="PITSS"/>
    <s v="ASP"/>
    <x v="30"/>
    <s v="AV PARQUE INDUSTRIAL JUAREZ 3328"/>
    <s v="CIUDAD JUAREZ-CHIH"/>
    <n v="0"/>
    <s v="INTERIOR"/>
    <n v="187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4-11T00:00:00"/>
    <d v="2019-04-11T00:00:00"/>
    <n v="0"/>
    <s v="0-1 día"/>
    <n v="0"/>
    <n v="0"/>
    <n v="0"/>
    <n v="750.75000000000011"/>
  </r>
  <r>
    <s v="ABR-19"/>
    <n v="1"/>
    <s v="2023441"/>
    <s v="SR MANTENIMIENTO CORRECTIVO"/>
    <s v="8045"/>
    <s v="11/04/2019 09:17"/>
    <s v="0Y4X848009"/>
    <s v="000195"/>
    <s v="PITSS"/>
    <s v="ASP"/>
    <x v="11"/>
    <s v="AV PASEO DE LA REFORMA No 180 PISO 23"/>
    <s v="Cuauhtemoc-CIUDAD DE"/>
    <n v="1"/>
    <s v="METRO"/>
    <n v="13"/>
    <s v="Entre 7 y 15"/>
    <s v="Office Digital"/>
    <s v="A3"/>
    <s v="Ciudad principal"/>
    <s v="2-Entre 7 y 15"/>
    <n v="0.6"/>
    <n v="0"/>
    <n v="1"/>
    <n v="0.44"/>
    <n v="5"/>
    <n v="8.7999999999999995E-2"/>
    <n v="0"/>
    <n v="0"/>
    <d v="2019-04-11T00:00:00"/>
    <d v="2019-04-11T00:00:00"/>
    <n v="0"/>
    <s v="0-1 día"/>
    <n v="0"/>
    <n v="0"/>
    <n v="0"/>
    <n v="0"/>
  </r>
  <r>
    <s v="ABR-19"/>
    <n v="1"/>
    <s v="2023015"/>
    <s v="SR MANTENIMIENTO CORRECTIVO"/>
    <s v="5945"/>
    <s v="10/04/2019 12:20"/>
    <s v="0X76372692"/>
    <s v="800187"/>
    <s v="PITSS"/>
    <s v="ASP"/>
    <x v="74"/>
    <s v="AV CENTRAL DR RAFAEL AYALA ECHEVERRIA KM 0.2"/>
    <s v="San Juan Del Rio-QRO"/>
    <n v="0"/>
    <s v="INTERIOR"/>
    <n v="118"/>
    <s v="&gt;60"/>
    <s v="Office Digital"/>
    <s v="A3"/>
    <s v="Ciudad principal"/>
    <s v="2-&gt;60"/>
    <n v="1.1000000000000001"/>
    <n v="1501.5000000000002"/>
    <n v="1"/>
    <n v="5.67"/>
    <n v="5"/>
    <n v="1.1339999999999999"/>
    <n v="3.3499999999999974E-2"/>
    <n v="-45.727499999999964"/>
    <d v="2019-04-11T00:00:00"/>
    <d v="2019-04-11T00:00:00"/>
    <n v="0"/>
    <s v="0-1 día"/>
    <n v="0"/>
    <n v="0"/>
    <n v="0"/>
    <n v="1455.7725000000003"/>
  </r>
  <r>
    <s v="ABR-19"/>
    <n v="1"/>
    <s v="2022807"/>
    <s v="SR MANTENIMIENTO CORRECTIVO"/>
    <s v="4395"/>
    <s v="10/04/2019 08:24"/>
    <s v="0BG2939652"/>
    <s v="800192"/>
    <s v="PITSS"/>
    <s v="ASP"/>
    <x v="7"/>
    <s v="PATRIA 1937"/>
    <s v="ZAPOPAN-JAL"/>
    <n v="0"/>
    <s v="INTERIOR"/>
    <n v="21"/>
    <s v="Entre 16 y 30"/>
    <s v="Light Production Digital Business"/>
    <s v="Entry Production"/>
    <s v="Ciudad principal"/>
    <s v="3-Entre 16 y 30"/>
    <n v="1.05"/>
    <n v="1651.6500000000003"/>
    <n v="1"/>
    <n v="1.5"/>
    <n v="4"/>
    <n v="0.375"/>
    <n v="0"/>
    <n v="0"/>
    <d v="2019-04-11T00:00:00"/>
    <d v="2019-04-11T00:00:00"/>
    <n v="0"/>
    <s v="0-1 día"/>
    <n v="0"/>
    <n v="0"/>
    <n v="0"/>
    <n v="1651.6500000000003"/>
  </r>
  <r>
    <s v="ABR-19"/>
    <n v="1"/>
    <s v="2023215"/>
    <s v="SR MANTENIMIENTO CORRECTIVO"/>
    <s v="3611"/>
    <s v="10/04/2019 16:39"/>
    <s v="0A4T558166"/>
    <s v="800197"/>
    <s v="PITSS"/>
    <s v="ASP"/>
    <x v="14"/>
    <s v="AV SALVADOR NAVA MARTINEZ 3115"/>
    <s v="SAN LUIS POTOSI-SLP"/>
    <n v="0"/>
    <s v="INTERIOR"/>
    <n v="91"/>
    <s v="&gt;60"/>
    <s v="Entry Mono Printers"/>
    <s v="A4"/>
    <s v="Ciudad principal"/>
    <s v="1-&gt;60"/>
    <n v="1.05"/>
    <n v="750.75000000000011"/>
    <n v="1"/>
    <n v="2.68"/>
    <n v="5"/>
    <n v="0.53600000000000003"/>
    <n v="0"/>
    <n v="0"/>
    <d v="2019-04-11T00:00:00"/>
    <d v="2019-04-11T00:00:00"/>
    <n v="0"/>
    <s v="0-1 día"/>
    <n v="0"/>
    <n v="0"/>
    <n v="0"/>
    <n v="750.75000000000011"/>
  </r>
  <r>
    <s v="ABR-19"/>
    <n v="1"/>
    <s v="2023011"/>
    <s v="SR MANTENIMIENTO CORRECTIVO"/>
    <s v="3657"/>
    <s v="10/04/2019 12:16"/>
    <s v="0C7X273362"/>
    <s v="800187"/>
    <s v="PITSS"/>
    <s v="ASP"/>
    <x v="74"/>
    <s v="AV CENTRAL DR RAFAEL AYALA ECHEVERRIA KM 0.2"/>
    <s v="San Juan Del Rio-QRO"/>
    <n v="0"/>
    <s v="INTERIOR"/>
    <n v="526"/>
    <s v="&gt;60"/>
    <s v="A4 Mono MFPs"/>
    <s v="A4"/>
    <s v="Ciudad principal"/>
    <s v="1-&gt;60"/>
    <n v="1.05"/>
    <n v="750.75000000000011"/>
    <n v="1"/>
    <n v="7.23"/>
    <n v="5"/>
    <n v="1.4460000000000002"/>
    <n v="0.11150000000000004"/>
    <n v="-79.722500000000039"/>
    <d v="2019-04-11T00:00:00"/>
    <d v="2019-04-11T00:00:00"/>
    <n v="0"/>
    <s v="0-1 día"/>
    <n v="0"/>
    <n v="0"/>
    <n v="0"/>
    <n v="671.02750000000003"/>
  </r>
  <r>
    <s v="ABR-19"/>
    <n v="1"/>
    <s v="2022615"/>
    <s v="SR MANTENIMIENTO CORRECTIVO"/>
    <s v="8045"/>
    <s v="09/04/2019 16:26"/>
    <s v="0Y4X826231"/>
    <s v="500158"/>
    <s v="PITSS"/>
    <s v="ASP"/>
    <x v="3"/>
    <s v="AV HERMANOS ESCOBAR No 5756"/>
    <s v="Ciudad Juarez-CHIH"/>
    <n v="1"/>
    <s v="INTERIOR"/>
    <n v="168"/>
    <s v="&gt;60"/>
    <s v="Office Digital"/>
    <s v="A3"/>
    <s v="Ciudad principal"/>
    <s v="2-&gt;60"/>
    <n v="1.1000000000000001"/>
    <n v="0"/>
    <n v="1"/>
    <n v="1.97"/>
    <n v="5"/>
    <n v="0.39400000000000002"/>
    <n v="0"/>
    <n v="0"/>
    <d v="2019-04-11T00:00:00"/>
    <d v="2019-04-11T00:00:00"/>
    <n v="0"/>
    <s v="0-1 día"/>
    <n v="0"/>
    <n v="0"/>
    <n v="0"/>
    <n v="0"/>
  </r>
  <r>
    <s v="ABR-19"/>
    <n v="1"/>
    <s v="2023397"/>
    <s v="SR MANTENIMIENTO CORRECTIVO"/>
    <s v="0070"/>
    <s v="11/04/2019 08:25"/>
    <s v="0E2B656940"/>
    <s v="100037"/>
    <s v="PITSS"/>
    <s v="ASP"/>
    <x v="7"/>
    <s v="BLV ALFREDO DEL MAZO 805"/>
    <s v="TOLUCA-MEX"/>
    <n v="0"/>
    <s v="INTERIOR"/>
    <n v="50"/>
    <s v="Entre 31 y 60"/>
    <s v="Entry Production Color Low/Mid"/>
    <s v="Entry Production"/>
    <s v="Ciudad principal"/>
    <s v="3-Entre 31 y 60"/>
    <n v="1.1000000000000001"/>
    <n v="1730.3000000000004"/>
    <n v="1"/>
    <n v="2.68"/>
    <n v="4"/>
    <n v="0.67"/>
    <n v="0"/>
    <n v="0"/>
    <d v="2019-04-11T00:00:00"/>
    <d v="2019-04-11T00:00:00"/>
    <n v="0"/>
    <s v="0-1 día"/>
    <n v="0"/>
    <n v="0"/>
    <n v="0"/>
    <n v="1730.3000000000004"/>
  </r>
  <r>
    <s v="ABR-19"/>
    <n v="1"/>
    <s v="2020203"/>
    <s v="SR MANTENIMIENTO CORRECTIVO"/>
    <s v="5866"/>
    <s v="04/04/2019 17:10"/>
    <s v="0EX9293200"/>
    <s v="800197"/>
    <s v="PITSS"/>
    <s v="ASP"/>
    <x v="14"/>
    <s v="AV SALVADOR NAVA MARTINEZ 3115"/>
    <s v="SAN LUIS POTOSI-SLP"/>
    <n v="0"/>
    <s v="INTERIOR"/>
    <n v="6"/>
    <s v="Entre 3 y 6"/>
    <s v="Departmental Digital"/>
    <s v="A3"/>
    <s v="Ciudad principal"/>
    <s v="2-Entre 3 y 6"/>
    <n v="0"/>
    <n v="0"/>
    <n v="1"/>
    <n v="0.33"/>
    <n v="5"/>
    <n v="6.6000000000000003E-2"/>
    <n v="0"/>
    <n v="0"/>
    <d v="2019-04-11T00:00:00"/>
    <d v="2019-04-11T00:00:00"/>
    <n v="0"/>
    <s v="0-1 día"/>
    <n v="0"/>
    <n v="0"/>
    <n v="0"/>
    <n v="0"/>
  </r>
  <r>
    <s v="ABR-19"/>
    <n v="1"/>
    <s v="2021591"/>
    <s v="SR MANTENIMIENTO CORRECTIVO"/>
    <s v="4626"/>
    <s v="08/04/2019 11:03"/>
    <s v="0D6X464217"/>
    <s v="100038"/>
    <s v="PITSS"/>
    <s v="ASP"/>
    <x v="75"/>
    <s v="RODOLFO PADRON No 9"/>
    <s v="Mexico-MEX"/>
    <n v="0"/>
    <s v="INTERIOR"/>
    <n v="196"/>
    <s v="&gt;60"/>
    <s v="Entry Mono Printers"/>
    <s v="A4"/>
    <s v="Ciudad principal"/>
    <s v="1-&gt;60"/>
    <n v="1.05"/>
    <n v="750.75000000000011"/>
    <n v="1"/>
    <n v="2.4500000000000002"/>
    <n v="5"/>
    <n v="0.49000000000000005"/>
    <n v="0"/>
    <n v="0"/>
    <d v="2019-04-11T00:00:00"/>
    <d v="2019-04-11T00:00:00"/>
    <n v="0"/>
    <s v="0-1 día"/>
    <n v="0"/>
    <n v="0"/>
    <n v="0"/>
    <n v="750.75000000000011"/>
  </r>
  <r>
    <s v="ABR-19"/>
    <n v="1"/>
    <s v="2023465"/>
    <s v="SR MANTENIMIENTO CORRECTIVO"/>
    <s v="4002"/>
    <s v="11/04/2019 09:58"/>
    <s v="09HB333616"/>
    <s v="800183"/>
    <s v="PITSS"/>
    <s v="ASP"/>
    <x v="13"/>
    <s v="ALTOS HORNOS 2966"/>
    <s v="GUADALAJARA-JAL"/>
    <n v="0"/>
    <s v="INTERIOR"/>
    <n v="2688"/>
    <s v="&gt;60"/>
    <s v="A4 Mono MFPs"/>
    <s v="A4"/>
    <s v="Ciudad principal"/>
    <s v="1-&gt;60"/>
    <n v="1.05"/>
    <n v="750.75000000000011"/>
    <n v="1"/>
    <n v="1.7"/>
    <n v="5"/>
    <n v="0.33999999999999997"/>
    <n v="0"/>
    <n v="0"/>
    <d v="2019-04-11T00:00:00"/>
    <d v="2019-04-11T00:00:00"/>
    <n v="0"/>
    <s v="0-1 día"/>
    <n v="0"/>
    <n v="0"/>
    <n v="0"/>
    <n v="750.75000000000011"/>
  </r>
  <r>
    <s v="ABR-19"/>
    <n v="1"/>
    <s v="2023313"/>
    <s v="SR MANTENIMIENTO CORRECTIVO"/>
    <s v="0070"/>
    <s v="10/04/2019 20:54"/>
    <s v="0E2B106687"/>
    <s v="800197"/>
    <s v="PITSS"/>
    <s v="ASP"/>
    <x v="14"/>
    <s v="AV VENUSTIANO CARRANZA 2301"/>
    <s v="SAN LUIS POTOSI-SLP"/>
    <n v="0"/>
    <s v="INTERIOR"/>
    <n v="281"/>
    <s v="&gt;60"/>
    <s v="Entry Production Color Low/Mid"/>
    <s v="Entry Production"/>
    <s v="Ciudad principal"/>
    <s v="3-&gt;60"/>
    <n v="1.1499999999999999"/>
    <n v="1808.95"/>
    <n v="1"/>
    <n v="4"/>
    <n v="4"/>
    <n v="1"/>
    <n v="0"/>
    <n v="0"/>
    <d v="2019-04-11T00:00:00"/>
    <d v="2019-04-11T00:00:00"/>
    <n v="0"/>
    <s v="0-1 día"/>
    <n v="0"/>
    <n v="0"/>
    <n v="0"/>
    <n v="1808.95"/>
  </r>
  <r>
    <s v="ABR-19"/>
    <n v="1"/>
    <s v="2022795"/>
    <s v="SR MANTENIMIENTO PREVENTIVO"/>
    <s v="3350"/>
    <s v="10/04/2019 07:40"/>
    <s v="0VMA675199"/>
    <s v="500053"/>
    <s v="PITSS"/>
    <s v="ASP"/>
    <x v="61"/>
    <s v="BLVD MIGUEL RAMOS ARIZPE 124 SUR"/>
    <s v="Ramos Arizpe-COAH"/>
    <n v="1"/>
    <s v="INTERIOR"/>
    <s v="  "/>
    <s v="&gt;60"/>
    <s v="A4 Mono MFPs"/>
    <s v="A4"/>
    <s v="Otras"/>
    <s v="1-&gt;60"/>
    <n v="1"/>
    <n v="0"/>
    <n v="0"/>
    <n v="9"/>
    <n v="9"/>
    <n v="1"/>
    <n v="0"/>
    <n v="0"/>
    <d v="2019-04-11T00:00:00"/>
    <d v="2019-04-11T00:00:00"/>
    <n v="0"/>
    <s v="0-1 día"/>
    <n v="0"/>
    <n v="0"/>
    <n v="0"/>
    <n v="0"/>
  </r>
  <r>
    <s v="ABR-19"/>
    <n v="1"/>
    <s v="2023391"/>
    <s v="SR MANTENIMIENTO CORRECTIVO"/>
    <s v="6705"/>
    <s v="11/04/2019 08:12"/>
    <s v="0A1H020683"/>
    <s v="800147"/>
    <s v="PITSS"/>
    <s v="ASP"/>
    <x v="7"/>
    <s v="BLV A L MATEOS SN ESQ CHIMALPOPOC"/>
    <s v="LEON-GTO"/>
    <n v="0"/>
    <s v="INTERIOR"/>
    <n v="72"/>
    <s v="&gt;60"/>
    <s v="WF Mono Systems and Legacy Color"/>
    <s v="WF"/>
    <s v="Ciudad principal"/>
    <s v="3-&gt;60"/>
    <n v="1.1499999999999999"/>
    <n v="1808.95"/>
    <n v="1"/>
    <n v="0.08"/>
    <n v="4"/>
    <n v="0.02"/>
    <n v="0"/>
    <n v="0"/>
    <d v="2019-04-11T00:00:00"/>
    <d v="2019-04-11T00:00:00"/>
    <n v="0"/>
    <s v="0-1 día"/>
    <n v="0"/>
    <n v="0"/>
    <n v="0"/>
    <n v="1808.95"/>
  </r>
  <r>
    <s v="ABR-19"/>
    <n v="1"/>
    <s v="2022797"/>
    <s v="SR MANTENIMIENTO PREVENTIVO"/>
    <s v="3350"/>
    <s v="10/04/2019 07:40"/>
    <s v="0VMA558280"/>
    <s v="500053"/>
    <s v="PITSS"/>
    <s v="ASP"/>
    <x v="61"/>
    <s v="BLVD MIGUEL RAMOS ARIZPE 124 SUR"/>
    <s v="Ramos Arizpe-COAH"/>
    <n v="1"/>
    <s v="INTERIOR"/>
    <s v="  "/>
    <s v="&gt;60"/>
    <s v="A4 Mono MFPs"/>
    <s v="A4"/>
    <s v="Otras"/>
    <s v="1-&gt;60"/>
    <n v="1"/>
    <n v="0"/>
    <n v="0"/>
    <n v="9"/>
    <n v="9"/>
    <n v="1"/>
    <n v="0"/>
    <n v="0"/>
    <d v="2019-04-10T00:00:00"/>
    <d v="2019-04-11T00:00:00"/>
    <n v="1"/>
    <s v="0-1 día"/>
    <n v="0"/>
    <n v="0"/>
    <n v="0"/>
    <n v="0"/>
  </r>
  <r>
    <s v="ABR-19"/>
    <n v="1"/>
    <s v="2023515"/>
    <s v="SR MANTENIMIENTO CORRECTIVO"/>
    <s v="3658"/>
    <s v="11/04/2019 10:51"/>
    <s v="0C4X011210"/>
    <s v="800200"/>
    <s v="PITSS"/>
    <s v="ASP"/>
    <x v="2"/>
    <s v="AV RUBEN DARIO No 750"/>
    <s v="Guadalajara-JAL"/>
    <n v="0"/>
    <s v="INTERIOR"/>
    <n v="462"/>
    <s v="&gt;60"/>
    <s v="A4 Mono MFPs"/>
    <s v="A4"/>
    <s v="Ciudad principal"/>
    <s v="1-&gt;60"/>
    <n v="1.05"/>
    <n v="750.75000000000011"/>
    <n v="1"/>
    <n v="1.95"/>
    <n v="5"/>
    <n v="0.39"/>
    <n v="0"/>
    <n v="0"/>
    <d v="2019-04-11T00:00:00"/>
    <d v="2019-04-11T00:00:00"/>
    <n v="0"/>
    <s v="0-1 día"/>
    <n v="0"/>
    <n v="0"/>
    <n v="0"/>
    <n v="750.75000000000011"/>
  </r>
  <r>
    <s v="ABR-19"/>
    <n v="1"/>
    <s v="2022803"/>
    <s v="SR MANTENIMIENTO CORRECTIVO"/>
    <s v="4395"/>
    <s v="10/04/2019 08:08"/>
    <s v="0BG2946786"/>
    <s v="500028"/>
    <s v="PITSS"/>
    <s v="ASP"/>
    <x v="7"/>
    <s v="CARR MIGUEL ALEMAN OTE 4605"/>
    <s v="GUADALUPE-NL"/>
    <n v="0"/>
    <s v="INTERIOR"/>
    <n v="27"/>
    <s v="Entre 16 y 30"/>
    <s v="Light Production Digital Business"/>
    <s v="Entry Production"/>
    <s v="Ciudad principal"/>
    <s v="3-Entre 16 y 30"/>
    <n v="1.05"/>
    <n v="1651.6500000000003"/>
    <n v="1"/>
    <n v="3"/>
    <n v="4"/>
    <n v="0.75"/>
    <n v="0"/>
    <n v="0"/>
    <d v="2019-04-11T00:00:00"/>
    <d v="2019-04-11T00:00:00"/>
    <n v="0"/>
    <s v="0-1 día"/>
    <n v="0"/>
    <n v="0"/>
    <n v="0"/>
    <n v="1651.6500000000003"/>
  </r>
  <r>
    <s v="ABR-19"/>
    <n v="1"/>
    <s v="2022811"/>
    <s v="SR MANTENIMIENTO CORRECTIVO"/>
    <s v="4395"/>
    <s v="10/04/2019 08:27"/>
    <s v="0BG2946876"/>
    <s v="800147"/>
    <s v="PITSS"/>
    <s v="ASP"/>
    <x v="7"/>
    <s v="BLV JUAN ALONSO DE TORRES 1315-3"/>
    <s v="LEON-GTO"/>
    <n v="0"/>
    <s v="INTERIOR"/>
    <n v="15"/>
    <s v="Entre 7 y 15"/>
    <s v="Light Production Digital Business"/>
    <s v="Entry Production"/>
    <s v="Ciudad principal"/>
    <s v="3-Entre 7 y 15"/>
    <n v="0.8"/>
    <n v="1258.4000000000003"/>
    <n v="1"/>
    <n v="0.42"/>
    <n v="4"/>
    <n v="0.105"/>
    <n v="0"/>
    <n v="0"/>
    <d v="2019-04-11T00:00:00"/>
    <d v="2019-04-11T00:00:00"/>
    <n v="0"/>
    <s v="0-1 día"/>
    <n v="0"/>
    <n v="0"/>
    <n v="0"/>
    <n v="1258.4000000000003"/>
  </r>
  <r>
    <s v="ABR-19"/>
    <n v="1"/>
    <s v="2022841"/>
    <s v="SR MANTENIMIENTO CORRECTIVO"/>
    <s v="4395"/>
    <s v="10/04/2019 09:15"/>
    <s v="0BG2949219"/>
    <s v="800027"/>
    <s v="PITSS"/>
    <s v="ASP"/>
    <x v="7"/>
    <s v="FELIPE SEVILLA DEL RIO 115"/>
    <s v="COLIMA-COL"/>
    <n v="1"/>
    <s v="INTERIOR"/>
    <n v="14"/>
    <s v="Entre 7 y 15"/>
    <s v="Light Production Digital Business"/>
    <s v="Entry Production"/>
    <s v="Ciudad principal"/>
    <s v="3-Entre 7 y 15"/>
    <n v="0.8"/>
    <n v="0"/>
    <n v="1"/>
    <n v="1.35"/>
    <n v="4"/>
    <n v="0.33750000000000002"/>
    <n v="0"/>
    <n v="0"/>
    <d v="2019-04-11T00:00:00"/>
    <d v="2019-04-11T00:00:00"/>
    <n v="0"/>
    <s v="0-1 día"/>
    <n v="0"/>
    <n v="0"/>
    <n v="0"/>
    <n v="0"/>
  </r>
  <r>
    <s v="ABR-19"/>
    <n v="1"/>
    <s v="2021749"/>
    <s v="SR MANTENIMIENTO CORRECTIVO"/>
    <s v="3658"/>
    <s v="08/04/2019 13:04"/>
    <s v="0C4X006407"/>
    <s v="500080"/>
    <s v="PITSS"/>
    <s v="ASP"/>
    <x v="0"/>
    <s v="HEROICO COLEGIO MILITAR No 4700"/>
    <s v="Chihuahua-CHIH"/>
    <n v="0"/>
    <s v="INTERIOR"/>
    <n v="91"/>
    <s v="&gt;60"/>
    <s v="A4 Mono MFPs"/>
    <s v="A4"/>
    <s v="Ciudad principal"/>
    <s v="1-&gt;60"/>
    <n v="1.05"/>
    <n v="750.75000000000011"/>
    <n v="1"/>
    <n v="0"/>
    <n v="5"/>
    <n v="0"/>
    <n v="0"/>
    <n v="0"/>
    <d v="2019-04-11T00:00:00"/>
    <d v="2019-04-11T00:00:00"/>
    <n v="0"/>
    <s v="0-1 día"/>
    <n v="0"/>
    <n v="0"/>
    <n v="0"/>
    <n v="750.75000000000011"/>
  </r>
  <r>
    <s v="ABR-19"/>
    <n v="1"/>
    <s v="2023461"/>
    <s v="SR MANTENIMIENTO CORRECTIVO"/>
    <s v="5945"/>
    <s v="11/04/2019 10:02"/>
    <s v="0X76705839"/>
    <s v="500155"/>
    <s v="PITSS"/>
    <s v="ASP"/>
    <x v="30"/>
    <s v="AV FUENTES DEL SUR No 7070"/>
    <s v="Ciudad Juarez-CHIH"/>
    <n v="0"/>
    <s v="INTERIOR"/>
    <n v="447"/>
    <s v="&gt;60"/>
    <s v="Office Digital"/>
    <s v="A3"/>
    <s v="Ciudad principal"/>
    <s v="2-&gt;60"/>
    <n v="1.1000000000000001"/>
    <n v="1501.5000000000002"/>
    <n v="1"/>
    <n v="0.64"/>
    <n v="5"/>
    <n v="0.128"/>
    <n v="0"/>
    <n v="0"/>
    <d v="2019-04-11T00:00:00"/>
    <d v="2019-04-11T00:00:00"/>
    <n v="0"/>
    <s v="0-1 día"/>
    <n v="0"/>
    <n v="0"/>
    <n v="0"/>
    <n v="1501.5000000000002"/>
  </r>
  <r>
    <s v="ABR-19"/>
    <n v="1"/>
    <s v="2023311"/>
    <s v="SR MANTENIMIENTO CORRECTIVO"/>
    <s v="5866"/>
    <s v="10/04/2019 20:52"/>
    <s v="0EX9293483"/>
    <s v="800197"/>
    <s v="PITSS"/>
    <s v="ASP"/>
    <x v="14"/>
    <s v="AV VENUSTIANO CARRANZA 2301"/>
    <s v="SAN LUIS POTOSI-SLP"/>
    <n v="0"/>
    <s v="INTERIOR"/>
    <n v="28"/>
    <s v="Entre 16 y 30"/>
    <s v="Departmental Digital"/>
    <s v="A3"/>
    <s v="Ciudad principal"/>
    <s v="2-Entre 16 y 30"/>
    <n v="0.8"/>
    <n v="1092"/>
    <n v="1"/>
    <n v="4.83"/>
    <n v="5"/>
    <n v="0.96599999999999997"/>
    <n v="0"/>
    <n v="0"/>
    <d v="2019-04-11T00:00:00"/>
    <d v="2019-04-11T00:00:00"/>
    <n v="0"/>
    <s v="0-1 día"/>
    <n v="0"/>
    <n v="0"/>
    <n v="0"/>
    <n v="1092"/>
  </r>
  <r>
    <s v="ABR-19"/>
    <n v="1"/>
    <s v="2022509"/>
    <s v="SR MANTENIMIENTO CORRECTIVO"/>
    <s v="4002"/>
    <s v="09/04/2019 14:28"/>
    <s v="09HB328227"/>
    <s v="500036"/>
    <s v="PITSS"/>
    <s v="ASP"/>
    <x v="31"/>
    <s v="AV JUAREZ No 1102 PISO 40"/>
    <s v="Monterrey-NL"/>
    <n v="0"/>
    <s v="INTERIOR"/>
    <n v="2686"/>
    <s v="&gt;60"/>
    <s v="A4 Mono MFPs"/>
    <s v="A4"/>
    <s v="Ciudad principal"/>
    <s v="1-&gt;60"/>
    <n v="1.05"/>
    <n v="750.75000000000011"/>
    <n v="1"/>
    <n v="2.2599999999999998"/>
    <n v="5"/>
    <n v="0.45199999999999996"/>
    <n v="0"/>
    <n v="0"/>
    <d v="2019-04-11T00:00:00"/>
    <d v="2019-04-11T00:00:00"/>
    <n v="0"/>
    <s v="0-1 día"/>
    <n v="0"/>
    <n v="0"/>
    <n v="0"/>
    <n v="750.75000000000011"/>
  </r>
  <r>
    <s v="ABR-19"/>
    <n v="1"/>
    <s v="2023105"/>
    <s v="SR MANTENIMIENTO CORRECTIVO"/>
    <s v="4002"/>
    <s v="10/04/2019 13:51"/>
    <s v="09HB320532"/>
    <s v="500094"/>
    <s v="PITSS"/>
    <s v="ASP"/>
    <x v="10"/>
    <s v="HIDALGO 213 NORTE ESQ MAINERO"/>
    <s v="CIUDAD MANTE-TAM"/>
    <n v="0"/>
    <s v="INTERIOR"/>
    <n v="575"/>
    <s v="&gt;60"/>
    <s v="A4 Mono MFPs"/>
    <s v="A4"/>
    <s v="Ciudad principal"/>
    <s v="1-&gt;60"/>
    <n v="1.05"/>
    <n v="750.75000000000011"/>
    <n v="1"/>
    <n v="6.98"/>
    <n v="5"/>
    <n v="1.3960000000000001"/>
    <n v="9.9000000000000032E-2"/>
    <n v="-70.785000000000039"/>
    <d v="2019-04-11T00:00:00"/>
    <d v="2019-04-11T00:00:00"/>
    <n v="0"/>
    <s v="0-1 día"/>
    <n v="0"/>
    <n v="0"/>
    <n v="0"/>
    <n v="679.96500000000003"/>
  </r>
  <r>
    <s v="ABR-19"/>
    <n v="1"/>
    <s v="2021915"/>
    <s v="SR MANTENIMIENTO CORRECTIVO"/>
    <s v="7225"/>
    <s v="08/04/2019 16:34"/>
    <s v="0LX5822381"/>
    <s v="500161"/>
    <s v="PITSS"/>
    <s v="ASP"/>
    <x v="30"/>
    <s v="VIALIDAD TABALAOPA 8507"/>
    <s v="CHIHUAHUA-CHIH"/>
    <n v="0"/>
    <s v="INTERIOR"/>
    <n v="35"/>
    <s v="Entre 31 y 60"/>
    <s v="A3 Office Color Laser MFPs"/>
    <s v="A3"/>
    <s v="Ciudad principal"/>
    <s v="2-Entre 31 y 60"/>
    <n v="1.05"/>
    <n v="1433.25"/>
    <n v="1"/>
    <n v="0.93"/>
    <n v="5"/>
    <n v="0.186"/>
    <n v="0"/>
    <n v="0"/>
    <d v="2019-04-11T00:00:00"/>
    <d v="2019-04-11T00:00:00"/>
    <n v="0"/>
    <s v="0-1 día"/>
    <n v="0"/>
    <n v="0"/>
    <n v="0"/>
    <n v="1433.25"/>
  </r>
  <r>
    <s v="ABR-19"/>
    <n v="1"/>
    <s v="2021539"/>
    <s v="SR MANTENIMIENTO CORRECTIVO"/>
    <s v="4624"/>
    <s v="08/04/2019 10:28"/>
    <s v="0D6X462113"/>
    <s v="500155"/>
    <s v="PITSS"/>
    <s v="ASP"/>
    <x v="30"/>
    <s v="AV FUENTES DEL SUR No 7070"/>
    <s v="Ciudad Juarez-CHIH"/>
    <n v="0"/>
    <s v="INTERIOR"/>
    <n v="271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4-11T00:00:00"/>
    <d v="2019-04-11T00:00:00"/>
    <n v="0"/>
    <s v="0-1 día"/>
    <n v="0"/>
    <n v="0"/>
    <n v="0"/>
    <n v="750.75000000000011"/>
  </r>
  <r>
    <s v="ABR-19"/>
    <n v="1"/>
    <s v="2023503"/>
    <s v="SR MANTENIMIENTO CORRECTIVO"/>
    <s v="4624"/>
    <s v="11/04/2019 10:40"/>
    <s v="0D6X457987"/>
    <s v="500157"/>
    <s v="PITSS"/>
    <s v="ASP"/>
    <x v="30"/>
    <s v="AV VALLE DEL CEDRO 1681"/>
    <s v="CIUDAD JUAREZ-CHIH"/>
    <n v="0"/>
    <s v="INTERIOR"/>
    <n v="177"/>
    <s v="&gt;60"/>
    <s v="Entry Mono Printers"/>
    <s v="A4"/>
    <s v="Ciudad principal"/>
    <s v="1-&gt;60"/>
    <n v="1.05"/>
    <n v="750.75000000000011"/>
    <n v="1"/>
    <n v="2.33"/>
    <n v="5"/>
    <n v="0.46600000000000003"/>
    <n v="0"/>
    <n v="0"/>
    <d v="2019-04-11T00:00:00"/>
    <d v="2019-04-11T00:00:00"/>
    <n v="0"/>
    <s v="0-1 día"/>
    <n v="0"/>
    <n v="0"/>
    <n v="0"/>
    <n v="750.75000000000011"/>
  </r>
  <r>
    <s v="ABR-19"/>
    <n v="1"/>
    <s v="2023521"/>
    <s v="SR MANTENIMIENTO CORRECTIVO"/>
    <s v="4310"/>
    <s v="11/04/2019 10:57"/>
    <s v="0BG0966730"/>
    <s v="800110"/>
    <s v="PITSS"/>
    <s v="ASP"/>
    <x v="7"/>
    <s v="BLVD CAMELIA NO.2658"/>
    <s v="Morelia-MICH"/>
    <n v="0"/>
    <s v="INTERIOR"/>
    <n v="3"/>
    <s v="&lt;=3"/>
    <s v="Light Production Digital Business"/>
    <s v="Entry Production"/>
    <s v="Ciudad principal"/>
    <s v="3-&lt;=3"/>
    <n v="0"/>
    <n v="0"/>
    <n v="1"/>
    <n v="3.28"/>
    <n v="4"/>
    <n v="0.82"/>
    <n v="0"/>
    <n v="0"/>
    <d v="2019-04-11T00:00:00"/>
    <d v="2019-04-11T00:00:00"/>
    <n v="0"/>
    <s v="0-1 día"/>
    <n v="0"/>
    <n v="0"/>
    <n v="0"/>
    <n v="0"/>
  </r>
  <r>
    <s v="ABR-19"/>
    <n v="1"/>
    <s v="2023281"/>
    <s v="SR MANTENIMIENTO CORRECTIVO"/>
    <s v="0570"/>
    <s v="10/04/2019 17:36"/>
    <s v="0XPN548183"/>
    <s v="500161"/>
    <s v="PITSS"/>
    <s v="ASP"/>
    <x v="14"/>
    <s v="AV MIRADOR 3300"/>
    <s v="CHIHUAHUA-CHIH"/>
    <n v="0"/>
    <s v="INTERIOR"/>
    <n v="1"/>
    <s v="&lt;=3"/>
    <s v="Entry Production Color Low/Mid"/>
    <s v="Entry Production"/>
    <s v="Ciudad principal"/>
    <s v="3-&lt;=3"/>
    <n v="0"/>
    <n v="0"/>
    <n v="1"/>
    <n v="3.25"/>
    <n v="4"/>
    <n v="0.8125"/>
    <n v="0"/>
    <n v="0"/>
    <d v="2019-04-11T00:00:00"/>
    <d v="2019-04-11T00:00:00"/>
    <n v="0"/>
    <s v="0-1 día"/>
    <n v="0"/>
    <n v="0"/>
    <n v="0"/>
    <n v="0"/>
  </r>
  <r>
    <s v="ABR-19"/>
    <n v="1"/>
    <s v="2023439"/>
    <s v="SR MANTENIMIENTO CORRECTIVO"/>
    <s v="3346"/>
    <s v="11/04/2019 09:07"/>
    <s v="03BT801958"/>
    <s v="500019"/>
    <s v="PITSS"/>
    <s v="ASP"/>
    <x v="10"/>
    <s v="AV ABASOLO 3653 OTE"/>
    <s v="TORREON-COAH"/>
    <n v="0"/>
    <s v="INTERIOR"/>
    <n v="14"/>
    <s v="Entre 7 y 15"/>
    <s v="A4 Mono MFPs"/>
    <s v="A4"/>
    <s v="Otras"/>
    <s v="1-Entre 7 y 15"/>
    <n v="0"/>
    <n v="0"/>
    <n v="1"/>
    <n v="4.83"/>
    <n v="9"/>
    <n v="0.53666666666666663"/>
    <n v="0"/>
    <n v="0"/>
    <d v="2019-04-11T00:00:00"/>
    <d v="2019-04-11T00:00:00"/>
    <n v="0"/>
    <s v="0-1 día"/>
    <n v="0"/>
    <n v="0"/>
    <n v="0"/>
    <n v="0"/>
  </r>
  <r>
    <s v="ABR-19"/>
    <n v="1"/>
    <s v="2023457"/>
    <s v="SR MANTENIMIENTO CORRECTIVO"/>
    <s v="4002"/>
    <s v="11/04/2019 09:33"/>
    <s v="09HB318209"/>
    <s v="500019"/>
    <s v="PITSS"/>
    <s v="ASP"/>
    <x v="10"/>
    <s v="JUSTO SIERRA 340 OTE"/>
    <s v="GOMEZ PALACIO-DGO"/>
    <n v="0"/>
    <s v="INTERIOR"/>
    <n v="73"/>
    <s v="&gt;60"/>
    <s v="A4 Mono MFPs"/>
    <s v="A4"/>
    <s v="Otras"/>
    <s v="1-&gt;60"/>
    <n v="1.05"/>
    <n v="750.75000000000011"/>
    <n v="1"/>
    <n v="2.82"/>
    <n v="9"/>
    <n v="0.3133333333333333"/>
    <n v="0"/>
    <n v="0"/>
    <d v="2019-04-11T00:00:00"/>
    <d v="2019-04-11T00:00:00"/>
    <n v="0"/>
    <s v="0-1 día"/>
    <n v="0"/>
    <n v="0"/>
    <n v="0"/>
    <n v="750.75000000000011"/>
  </r>
  <r>
    <s v="ABR-19"/>
    <n v="1"/>
    <s v="2022219"/>
    <s v="SR MANTENIMIENTO CORRECTIVO"/>
    <s v="5337"/>
    <s v="09/04/2019 08:27"/>
    <s v="0AE9566556"/>
    <s v="800072"/>
    <s v="PITSS"/>
    <s v="ASP"/>
    <x v="48"/>
    <s v="CARRETERA BASE AEREA No 5850-23"/>
    <s v="Zapopan-JAL"/>
    <n v="0"/>
    <s v="INTERIOR"/>
    <n v="40"/>
    <s v="Entre 31 y 60"/>
    <s v="Office Digital"/>
    <s v="A3"/>
    <s v="Ciudad principal"/>
    <s v="2-Entre 31 y 60"/>
    <n v="1.05"/>
    <n v="1433.25"/>
    <n v="1"/>
    <n v="2.25"/>
    <n v="5"/>
    <n v="0.45"/>
    <n v="0"/>
    <n v="0"/>
    <d v="2019-04-11T00:00:00"/>
    <d v="2019-04-11T00:00:00"/>
    <n v="0"/>
    <s v="0-1 día"/>
    <n v="0"/>
    <n v="0"/>
    <n v="0"/>
    <n v="1433.25"/>
  </r>
  <r>
    <s v="ABR-19"/>
    <n v="1"/>
    <s v="2022221"/>
    <s v="SR MANTENIMIENTO CORRECTIVO"/>
    <s v="3611"/>
    <s v="09/04/2019 08:31"/>
    <s v="0A4T562600"/>
    <s v="800072"/>
    <s v="PITSS"/>
    <s v="ASP"/>
    <x v="76"/>
    <s v="CARRETERA BASE AEREA No 5850 INT 4"/>
    <s v="Zapopan-JAL"/>
    <n v="0"/>
    <s v="INTERIOR"/>
    <n v="2686"/>
    <s v="&gt;60"/>
    <s v="Entry Mono Printers"/>
    <s v="A4"/>
    <s v="Ciudad principal"/>
    <s v="1-&gt;60"/>
    <n v="1.05"/>
    <n v="750.75000000000011"/>
    <n v="1"/>
    <n v="1.1499999999999999"/>
    <n v="5"/>
    <n v="0.22999999999999998"/>
    <n v="0"/>
    <n v="0"/>
    <d v="2019-04-11T00:00:00"/>
    <d v="2019-04-11T00:00:00"/>
    <n v="0"/>
    <s v="0-1 día"/>
    <n v="0"/>
    <n v="0"/>
    <n v="0"/>
    <n v="750.75000000000011"/>
  </r>
  <r>
    <s v="ABR-19"/>
    <n v="1"/>
    <s v="2023497"/>
    <s v="SR MANTENIMIENTO PREVENTIVO"/>
    <s v="3616"/>
    <s v="11/04/2019 10:33"/>
    <s v="0A2T382394"/>
    <s v="500159"/>
    <s v="PITSS"/>
    <s v="ASP"/>
    <x v="30"/>
    <s v="AV VICTOR HUGO No 11517"/>
    <s v="Chihuahua-CHIH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4-11T00:00:00"/>
    <d v="2019-04-11T00:00:00"/>
    <n v="0"/>
    <s v="0-1 día"/>
    <n v="0"/>
    <n v="0"/>
    <n v="0"/>
    <n v="715.00000000000011"/>
  </r>
  <r>
    <s v="ABR-19"/>
    <n v="1"/>
    <s v="2023573"/>
    <s v="SR MANTENIMIENTO PREVENTIVO"/>
    <s v="7511"/>
    <s v="11/04/2019 11:52"/>
    <s v="0RXD142390"/>
    <s v="500159"/>
    <s v="PITSS"/>
    <s v="ASP"/>
    <x v="30"/>
    <s v="AV VICTOR HUGO No 11517"/>
    <s v="Chihuahua-CHIH"/>
    <n v="0"/>
    <s v="INTERIOR"/>
    <s v="  "/>
    <s v="&gt;60"/>
    <s v="Color Laser Printers"/>
    <s v="A4"/>
    <s v="Ciudad principal"/>
    <s v="1-&gt;60"/>
    <n v="1"/>
    <n v="715.00000000000011"/>
    <n v="0"/>
    <n v="5"/>
    <n v="5"/>
    <n v="1"/>
    <n v="0"/>
    <n v="0"/>
    <d v="2019-04-11T00:00:00"/>
    <d v="2019-04-11T00:00:00"/>
    <n v="0"/>
    <s v="0-1 día"/>
    <n v="0"/>
    <n v="0"/>
    <n v="0"/>
    <n v="715.00000000000011"/>
  </r>
  <r>
    <s v="ABR-19"/>
    <n v="1"/>
    <s v="2022443"/>
    <s v="SR MANTENIMIENTO CORRECTIVO"/>
    <s v="8075"/>
    <s v="09/04/2019 13:07"/>
    <s v="03AG873545"/>
    <s v="800187"/>
    <s v="PITSS"/>
    <s v="ASP"/>
    <x v="14"/>
    <s v="AV CONSTITUYENTES 152 PTE"/>
    <s v="QUERETARO-QRO"/>
    <n v="0"/>
    <s v="INTERIOR"/>
    <n v="82"/>
    <s v="&gt;60"/>
    <s v="Departmental Digital"/>
    <s v="A3"/>
    <s v="Ciudad principal"/>
    <s v="2-&gt;60"/>
    <n v="1.1000000000000001"/>
    <n v="1501.5000000000002"/>
    <n v="1"/>
    <n v="0.71"/>
    <n v="5"/>
    <n v="0.14199999999999999"/>
    <n v="0"/>
    <n v="0"/>
    <d v="2019-04-11T00:00:00"/>
    <d v="2019-04-11T00:00:00"/>
    <n v="0"/>
    <s v="0-1 día"/>
    <n v="0"/>
    <n v="0"/>
    <n v="0"/>
    <n v="1501.5000000000002"/>
  </r>
  <r>
    <s v="ABR-19"/>
    <n v="1"/>
    <s v="2023563"/>
    <s v="SR MANTENIMIENTO CORRECTIVO"/>
    <s v="3636"/>
    <s v="11/04/2019 11:44"/>
    <s v="0BB1252025"/>
    <s v="500156"/>
    <s v="PITSS"/>
    <s v="ASP"/>
    <x v="18"/>
    <s v="PROL HERMANOS ESCOBAR No 7151-E"/>
    <s v="Ciudad Juarez-CHIH"/>
    <n v="0"/>
    <s v="INTERIOR"/>
    <n v="28"/>
    <s v="Entre 16 y 30"/>
    <s v="A4 Mono MFPs"/>
    <s v="A4"/>
    <s v="Ciudad principal"/>
    <s v="1-Entre 16 y 30"/>
    <n v="0.6"/>
    <n v="429.00000000000006"/>
    <n v="1"/>
    <n v="3.1"/>
    <n v="5"/>
    <n v="0.62"/>
    <n v="0"/>
    <n v="0"/>
    <d v="2019-04-11T00:00:00"/>
    <d v="2019-04-12T00:00:00"/>
    <n v="1"/>
    <s v="0-1 día"/>
    <n v="0"/>
    <n v="0"/>
    <n v="0"/>
    <n v="429.00000000000006"/>
  </r>
  <r>
    <s v="ABR-19"/>
    <n v="1"/>
    <s v="2023571"/>
    <s v="SR MANTENIMIENTO CORRECTIVO"/>
    <s v="7142"/>
    <s v="11/04/2019 11:50"/>
    <s v="0PW4792201"/>
    <s v="500158"/>
    <s v="PITSS"/>
    <s v="ASP"/>
    <x v="25"/>
    <s v="AV ANTONIO J BERMUDEZ No 1230"/>
    <s v="Ciudad Juarez-CHIH"/>
    <n v="0"/>
    <s v="INTERIOR"/>
    <n v="64"/>
    <s v="&gt;60"/>
    <s v="WF Mono Systems and Legacy Color"/>
    <s v="WF"/>
    <s v="Ciudad principal"/>
    <s v="3-&gt;60"/>
    <n v="1.1499999999999999"/>
    <n v="1808.95"/>
    <n v="1"/>
    <n v="0.74"/>
    <n v="4"/>
    <n v="0.185"/>
    <n v="0"/>
    <n v="0"/>
    <d v="2019-04-11T00:00:00"/>
    <d v="2019-04-12T00:00:00"/>
    <n v="1"/>
    <s v="0-1 día"/>
    <n v="0"/>
    <n v="0"/>
    <n v="0"/>
    <n v="1808.95"/>
  </r>
  <r>
    <s v="ABR-19"/>
    <n v="1"/>
    <s v="2022585"/>
    <s v="SR MANTENIMIENTO CORRECTIVO"/>
    <s v="3616"/>
    <s v="09/04/2019 16:00"/>
    <s v="0A2T370560"/>
    <s v="500080"/>
    <s v="PITSS"/>
    <s v="ASP"/>
    <x v="5"/>
    <s v="AV HEROICO COLEGIO MILITAR No 4700"/>
    <s v="Chihuahua-CHIH"/>
    <n v="0"/>
    <s v="INTERIOR"/>
    <n v="92"/>
    <s v="&gt;60"/>
    <s v="A4 Mono MFPs"/>
    <s v="A4"/>
    <s v="Ciudad principal"/>
    <s v="1-&gt;60"/>
    <n v="1.05"/>
    <n v="750.75000000000011"/>
    <n v="1"/>
    <n v="0"/>
    <n v="5"/>
    <n v="0"/>
    <n v="0"/>
    <n v="0"/>
    <d v="2019-04-11T00:00:00"/>
    <d v="2019-04-12T00:00:00"/>
    <n v="1"/>
    <s v="0-1 día"/>
    <n v="0"/>
    <n v="0"/>
    <n v="0"/>
    <n v="750.75000000000011"/>
  </r>
  <r>
    <s v="ABR-19"/>
    <n v="1"/>
    <s v="2022481"/>
    <s v="SR MANTENIMIENTO CORRECTIVO"/>
    <s v="4395"/>
    <s v="09/04/2019 14:00"/>
    <s v="0BG2940374"/>
    <s v="800183"/>
    <s v="PITSS"/>
    <s v="ASP"/>
    <x v="7"/>
    <s v="AMERICAS 655"/>
    <s v="GUADALAJARA-JAL"/>
    <n v="0"/>
    <s v="INTERIOR"/>
    <n v="1"/>
    <s v="&lt;=3"/>
    <s v="Light Production Digital Business"/>
    <s v="Entry Production"/>
    <s v="Ciudad principal"/>
    <s v="3-&lt;=3"/>
    <n v="0"/>
    <n v="0"/>
    <n v="1"/>
    <n v="1.5"/>
    <n v="4"/>
    <n v="0.375"/>
    <n v="0"/>
    <n v="0"/>
    <d v="2019-04-11T00:00:00"/>
    <d v="2019-04-12T00:00:00"/>
    <n v="1"/>
    <s v="0-1 día"/>
    <n v="0"/>
    <n v="0"/>
    <n v="0"/>
    <n v="0"/>
  </r>
  <r>
    <s v="ABR-19"/>
    <n v="1"/>
    <s v="2022539"/>
    <s v="SR MANTENIMIENTO CORRECTIVO"/>
    <s v="8045"/>
    <s v="09/04/2019 15:13"/>
    <s v="0Y4X842988"/>
    <s v="500027"/>
    <s v="PITSS"/>
    <s v="ASP"/>
    <x v="39"/>
    <s v="DURANGO No 2751"/>
    <s v="Ciudad Juarez-CHIH"/>
    <n v="1"/>
    <s v="INTERIOR"/>
    <n v="230"/>
    <s v="&gt;60"/>
    <s v="Office Digital"/>
    <s v="A3"/>
    <s v="Ciudad principal"/>
    <s v="2-&gt;60"/>
    <n v="1.1000000000000001"/>
    <n v="0"/>
    <n v="1"/>
    <n v="0.75"/>
    <n v="5"/>
    <n v="0.15"/>
    <n v="0"/>
    <n v="0"/>
    <d v="2019-04-11T00:00:00"/>
    <d v="2019-04-12T00:00:00"/>
    <n v="1"/>
    <s v="0-1 día"/>
    <n v="0"/>
    <n v="0"/>
    <n v="0"/>
    <n v="0"/>
  </r>
  <r>
    <s v="ABR-19"/>
    <n v="1"/>
    <s v="2023567"/>
    <s v="SR MANTENIMIENTO CORRECTIVO"/>
    <s v="4002"/>
    <s v="11/04/2019 11:45"/>
    <s v="09HB331385"/>
    <s v="000207"/>
    <s v="PITSS"/>
    <s v="ASP"/>
    <x v="4"/>
    <s v="AV DE LA BARRANCA LOTE No 26  A S/N"/>
    <s v="Cuautitlan Izcalli-E"/>
    <n v="1"/>
    <s v="METRO"/>
    <n v="65"/>
    <s v="&gt;60"/>
    <s v="A4 Mono MFPs"/>
    <s v="A4"/>
    <s v="Ciudad principal"/>
    <s v="1-&gt;60"/>
    <n v="1.05"/>
    <n v="0"/>
    <n v="1"/>
    <n v="3.33"/>
    <n v="5"/>
    <n v="0.66600000000000004"/>
    <n v="0"/>
    <n v="0"/>
    <d v="2019-04-11T00:00:00"/>
    <d v="2019-04-12T00:00:00"/>
    <n v="1"/>
    <s v="0-1 día"/>
    <n v="0"/>
    <n v="0"/>
    <n v="0"/>
    <n v="0"/>
  </r>
  <r>
    <s v="ABR-19"/>
    <n v="1"/>
    <s v="2022475"/>
    <s v="SR MANTENIMIENTO CORRECTIVO"/>
    <s v="4310"/>
    <s v="09/04/2019 13:53"/>
    <s v="0BG0966723"/>
    <s v="800183"/>
    <s v="PITSS"/>
    <s v="ASP"/>
    <x v="7"/>
    <s v="AV. AMERICAS No. 655"/>
    <s v="Guadalajara-JAL"/>
    <n v="0"/>
    <s v="INTERIOR"/>
    <n v="21"/>
    <s v="Entre 16 y 30"/>
    <s v="Light Production Digital Business"/>
    <s v="Entry Production"/>
    <s v="Ciudad principal"/>
    <s v="3-Entre 16 y 30"/>
    <n v="1.05"/>
    <n v="1651.6500000000003"/>
    <n v="1"/>
    <n v="3.62"/>
    <n v="4"/>
    <n v="0.90500000000000003"/>
    <n v="0"/>
    <n v="0"/>
    <d v="2019-04-11T00:00:00"/>
    <d v="2019-04-12T00:00:00"/>
    <n v="1"/>
    <s v="0-1 día"/>
    <n v="0"/>
    <n v="0"/>
    <n v="0"/>
    <n v="1651.6500000000003"/>
  </r>
  <r>
    <s v="ABR-19"/>
    <n v="1"/>
    <s v="2022477"/>
    <s v="SR MANTENIMIENTO CORRECTIVO"/>
    <s v="4395"/>
    <s v="09/04/2019 13:57"/>
    <s v="0BG2951472"/>
    <s v="800200"/>
    <s v="PITSS"/>
    <s v="ASP"/>
    <x v="7"/>
    <s v="AMERICAS 655"/>
    <s v="GUADALAJARA-JAL"/>
    <n v="0"/>
    <s v="INTERIOR"/>
    <n v="1"/>
    <s v="&lt;=3"/>
    <s v="Light Production Digital Business"/>
    <s v="Entry Production"/>
    <s v="Ciudad principal"/>
    <s v="3-&lt;=3"/>
    <n v="0"/>
    <n v="0"/>
    <n v="1"/>
    <n v="3.55"/>
    <n v="4"/>
    <n v="0.88749999999999996"/>
    <n v="0"/>
    <n v="0"/>
    <d v="2019-04-11T00:00:00"/>
    <d v="2019-04-12T00:00:00"/>
    <n v="1"/>
    <s v="0-1 día"/>
    <n v="0"/>
    <n v="0"/>
    <n v="0"/>
    <n v="0"/>
  </r>
  <r>
    <s v="ABR-19"/>
    <n v="1"/>
    <s v="2019929"/>
    <s v="SR MANTENIMIENTO CORRECTIVO"/>
    <s v="3616"/>
    <s v="04/04/2019 10:32"/>
    <s v="0A2T199940"/>
    <s v="100037"/>
    <s v="PITSS"/>
    <s v="ASP"/>
    <x v="24"/>
    <s v="Blvd Aeropuerto Miguel Aleman No 164 Bodega 1"/>
    <s v="Mexico-MEX"/>
    <n v="0"/>
    <s v="INTERIOR"/>
    <n v="35"/>
    <s v="Entre 31 y 60"/>
    <s v="A4 Mono MFPs"/>
    <s v="A4"/>
    <s v="Ciudad principal"/>
    <s v="1-Entre 31 y 60"/>
    <n v="0.8"/>
    <n v="572.00000000000011"/>
    <n v="1"/>
    <n v="1.72"/>
    <n v="5"/>
    <n v="0.34399999999999997"/>
    <n v="0"/>
    <n v="0"/>
    <d v="2019-04-11T00:00:00"/>
    <d v="2019-04-12T00:00:00"/>
    <n v="1"/>
    <s v="0-1 día"/>
    <n v="0"/>
    <n v="0"/>
    <n v="0"/>
    <n v="572.00000000000011"/>
  </r>
  <r>
    <s v="ABR-19"/>
    <n v="1"/>
    <s v="2023723"/>
    <s v="SR MANTENIMIENTO CORRECTIVO"/>
    <s v="3335"/>
    <s v="11/04/2019 15:04"/>
    <s v="05BT705082"/>
    <s v="500028"/>
    <s v="PITSS"/>
    <s v="ASP"/>
    <x v="77"/>
    <s v="AV CHAPULTEPEC No 1931"/>
    <s v="Monterrey-NL"/>
    <n v="0"/>
    <s v="INTERIOR"/>
    <n v="59"/>
    <s v="Entre 31 y 60"/>
    <s v="A4 Mono MFPs"/>
    <s v="A4"/>
    <s v="Ciudad principal"/>
    <s v="1-Entre 31 y 60"/>
    <n v="0.8"/>
    <n v="572.00000000000011"/>
    <n v="1"/>
    <n v="1.26"/>
    <n v="5"/>
    <n v="0.252"/>
    <n v="0"/>
    <n v="0"/>
    <d v="2019-04-11T00:00:00"/>
    <d v="2019-04-12T00:00:00"/>
    <n v="1"/>
    <s v="0-1 día"/>
    <n v="0"/>
    <n v="0"/>
    <n v="0"/>
    <n v="572.00000000000011"/>
  </r>
  <r>
    <s v="ABR-19"/>
    <n v="1"/>
    <s v="2020971"/>
    <s v="SR MANTENIMIENTO CORRECTIVO"/>
    <s v="4395"/>
    <s v="06/04/2019 10:18"/>
    <s v="0BG2949312"/>
    <s v="100038"/>
    <s v="PITSS"/>
    <s v="ASP"/>
    <x v="7"/>
    <s v="BLV ISIDRO FABELA SUR 600"/>
    <s v="TOLUCA-MEX"/>
    <n v="0"/>
    <s v="INTERIOR"/>
    <n v="8"/>
    <s v="Entre 7 y 15"/>
    <s v="Light Production Digital Business"/>
    <s v="Entry Production"/>
    <s v="Ciudad principal"/>
    <s v="3-Entre 7 y 15"/>
    <n v="0.8"/>
    <n v="1258.4000000000003"/>
    <n v="1"/>
    <n v="2.5"/>
    <n v="4"/>
    <n v="0.625"/>
    <n v="0"/>
    <n v="0"/>
    <d v="2019-04-11T00:00:00"/>
    <d v="2019-04-12T00:00:00"/>
    <n v="1"/>
    <s v="0-1 día"/>
    <n v="0"/>
    <n v="0"/>
    <n v="0"/>
    <n v="1258.4000000000003"/>
  </r>
  <r>
    <s v="ABR-19"/>
    <n v="1"/>
    <s v="2021967"/>
    <s v="SR MANTENIMIENTO CORRECTIVO"/>
    <s v="5757"/>
    <s v="08/04/2019 18:02"/>
    <s v="0Y2B003354"/>
    <s v="500080"/>
    <s v="PITSS"/>
    <s v="ASP"/>
    <x v="0"/>
    <s v="HEROICO COLEGIO MILITAR No 4700"/>
    <s v="Chihuahua-CHIH"/>
    <n v="0"/>
    <s v="INTERIOR"/>
    <n v="227"/>
    <s v="&gt;60"/>
    <s v="Departmental Digital"/>
    <s v="A3"/>
    <s v="Ciudad principal"/>
    <s v="2-&gt;60"/>
    <n v="1.1000000000000001"/>
    <n v="1501.5000000000002"/>
    <n v="1"/>
    <n v="0"/>
    <n v="5"/>
    <n v="0"/>
    <n v="0"/>
    <n v="0"/>
    <d v="2019-04-11T00:00:00"/>
    <d v="2019-04-12T00:00:00"/>
    <n v="1"/>
    <s v="0-1 día"/>
    <n v="0"/>
    <n v="0"/>
    <n v="0"/>
    <n v="1501.5000000000002"/>
  </r>
  <r>
    <s v="ABR-19"/>
    <n v="1"/>
    <s v="2022943"/>
    <s v="SR MANTENIMIENTO CORRECTIVO"/>
    <s v="0070"/>
    <s v="10/04/2019 10:57"/>
    <s v="0E2B658299"/>
    <s v="500036"/>
    <s v="PITSS"/>
    <s v="ASP"/>
    <x v="14"/>
    <s v="AV DE LAS TORRES No 2498"/>
    <s v="San Pedro Garza Garc"/>
    <n v="0"/>
    <s v="INTERIOR"/>
    <n v="37"/>
    <s v="Entre 31 y 60"/>
    <s v="Entry Production Color Low/Mid"/>
    <s v="Entry Production"/>
    <s v="Ciudad principal"/>
    <s v="3-Entre 31 y 60"/>
    <n v="1.1000000000000001"/>
    <n v="1730.3000000000004"/>
    <n v="1"/>
    <n v="3.17"/>
    <n v="4"/>
    <n v="0.79249999999999998"/>
    <n v="0"/>
    <n v="0"/>
    <d v="2019-04-11T00:00:00"/>
    <d v="2019-04-12T00:00:00"/>
    <n v="1"/>
    <s v="0-1 día"/>
    <n v="0"/>
    <n v="0"/>
    <n v="0"/>
    <n v="1730.3000000000004"/>
  </r>
  <r>
    <s v="ABR-19"/>
    <n v="1"/>
    <s v="2023681"/>
    <s v="SR MANTENIMIENTO CORRECTIVO"/>
    <s v="5945"/>
    <s v="11/04/2019 13:51"/>
    <s v="0X76373107"/>
    <s v="800110"/>
    <s v="PITSS"/>
    <s v="ASP"/>
    <x v="74"/>
    <s v="DOMICILIO CONOCIDO"/>
    <s v="Morelia-MICH"/>
    <n v="0"/>
    <s v="INTERIOR"/>
    <n v="253"/>
    <s v="&gt;60"/>
    <s v="Office Digital"/>
    <s v="A3"/>
    <s v="Ciudad principal"/>
    <s v="2-&gt;60"/>
    <n v="1.1000000000000001"/>
    <n v="1501.5000000000002"/>
    <n v="1"/>
    <n v="2.88"/>
    <n v="5"/>
    <n v="0.57599999999999996"/>
    <n v="0"/>
    <n v="0"/>
    <d v="2019-04-11T00:00:00"/>
    <d v="2019-04-12T00:00:00"/>
    <n v="1"/>
    <s v="0-1 día"/>
    <n v="0"/>
    <n v="0"/>
    <n v="0"/>
    <n v="1501.5000000000002"/>
  </r>
  <r>
    <s v="ABR-19"/>
    <n v="1"/>
    <s v="2023655"/>
    <s v="SR MANTENIMIENTO CORRECTIVO"/>
    <s v="8055"/>
    <s v="11/04/2019 13:22"/>
    <s v="0Y4X821406"/>
    <s v="500158"/>
    <s v="PITSS"/>
    <s v="ASP"/>
    <x v="3"/>
    <s v="AV PRINCIPAL No 1420"/>
    <s v="Ciudad Juarez-CHIH"/>
    <n v="0"/>
    <s v="INTERIOR"/>
    <n v="86"/>
    <s v="&gt;60"/>
    <s v="Departmental Digital"/>
    <s v="A3"/>
    <s v="Ciudad principal"/>
    <s v="2-&gt;60"/>
    <n v="1.1000000000000001"/>
    <n v="1501.5000000000002"/>
    <n v="1"/>
    <n v="1.71"/>
    <n v="5"/>
    <n v="0.34199999999999997"/>
    <n v="0"/>
    <n v="0"/>
    <d v="2019-04-11T00:00:00"/>
    <d v="2019-04-12T00:00:00"/>
    <n v="1"/>
    <s v="0-1 día"/>
    <n v="0"/>
    <n v="0"/>
    <n v="0"/>
    <n v="1501.5000000000002"/>
  </r>
  <r>
    <s v="ABR-19"/>
    <n v="1"/>
    <s v="2014441"/>
    <s v="SR INSTALACION DE EQUIPO"/>
    <s v="4002"/>
    <s v="25/03/2019 10:01"/>
    <s v="09HB916006"/>
    <s v="800197"/>
    <s v="PITSS"/>
    <s v="ASP"/>
    <x v="14"/>
    <s v="AV VENUSTIANO CARRANZA 2301"/>
    <s v="SAN LUIS POTOSI-SLP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5T00:00:00"/>
    <d v="2019-04-12T00:00:00"/>
    <n v="14"/>
    <s v="&gt;10 días"/>
    <n v="0"/>
    <n v="0"/>
    <n v="0"/>
    <n v="1072.5000000000002"/>
  </r>
  <r>
    <s v="ABR-19"/>
    <n v="1"/>
    <s v="2023749"/>
    <s v="SR MANTENIMIENTO CORRECTIVO"/>
    <s v="8070"/>
    <s v="11/04/2019 15:24"/>
    <s v="06TB445692"/>
    <s v="800196"/>
    <s v="PITSS"/>
    <s v="ASP"/>
    <x v="78"/>
    <s v="AV ESPA&amp;A No 1809"/>
    <s v="Guadalajara-JAL"/>
    <n v="1"/>
    <s v="INTERIOR"/>
    <n v="35"/>
    <s v="Entre 31 y 60"/>
    <s v="A3 Office Color Laser MFPs"/>
    <s v="A3"/>
    <s v="Ciudad principal"/>
    <s v="2-Entre 31 y 60"/>
    <n v="1.05"/>
    <n v="0"/>
    <n v="1"/>
    <n v="1.45"/>
    <n v="5"/>
    <n v="0.28999999999999998"/>
    <n v="0"/>
    <n v="0"/>
    <d v="2019-04-11T00:00:00"/>
    <d v="2019-04-12T00:00:00"/>
    <n v="1"/>
    <s v="0-1 día"/>
    <n v="0"/>
    <n v="0"/>
    <n v="0"/>
    <n v="0"/>
  </r>
  <r>
    <s v="ABR-19"/>
    <n v="1"/>
    <s v="2023787"/>
    <s v="SR MANTENIMIENTO CORRECTIVO"/>
    <s v="5955"/>
    <s v="11/04/2019 16:27"/>
    <s v="0X76707969"/>
    <s v="100037"/>
    <s v="PITSS"/>
    <s v="ASP"/>
    <x v="79"/>
    <s v="ACUEDUCTO DEL ALTO LERMA No 2"/>
    <s v="TOLUCA-ESTADO DE MEX"/>
    <n v="0"/>
    <s v="INTERIOR"/>
    <n v="324"/>
    <s v="&gt;60"/>
    <s v="Departmental Digital"/>
    <s v="A3"/>
    <s v="Ciudad principal"/>
    <s v="2-&gt;60"/>
    <n v="1.1000000000000001"/>
    <n v="1501.5000000000002"/>
    <n v="1"/>
    <n v="1.3"/>
    <n v="5"/>
    <n v="0.26"/>
    <n v="0"/>
    <n v="0"/>
    <d v="2019-04-12T00:00:00"/>
    <d v="2019-04-12T00:00:00"/>
    <n v="0"/>
    <s v="0-1 día"/>
    <n v="0"/>
    <n v="0"/>
    <n v="0"/>
    <n v="1501.5000000000002"/>
  </r>
  <r>
    <s v="ABR-19"/>
    <n v="1"/>
    <s v="2023691"/>
    <s v="SR MANTENIMIENTO CORRECTIVO"/>
    <s v="3615"/>
    <s v="11/04/2019 14:05"/>
    <s v="0A2T367031"/>
    <s v="500036"/>
    <s v="PITSS"/>
    <s v="ASP"/>
    <x v="34"/>
    <s v="CARR MIGUEL ALEMAN KM 24"/>
    <s v="APODACA-NL"/>
    <n v="0"/>
    <s v="INTERIOR"/>
    <n v="183"/>
    <s v="&gt;60"/>
    <s v="A4 Mono MFPs"/>
    <s v="A4"/>
    <s v="Otras"/>
    <s v="1-&gt;60"/>
    <n v="1.05"/>
    <n v="750.75000000000011"/>
    <n v="1"/>
    <n v="4.67"/>
    <n v="9"/>
    <n v="0.51888888888888884"/>
    <n v="0"/>
    <n v="0"/>
    <d v="2019-04-12T00:00:00"/>
    <d v="2019-04-12T00:00:00"/>
    <n v="0"/>
    <s v="0-1 día"/>
    <n v="0"/>
    <n v="0"/>
    <n v="0"/>
    <n v="750.75000000000011"/>
  </r>
  <r>
    <s v="ABR-19"/>
    <n v="1"/>
    <s v="2024037"/>
    <s v="SR MANTENIMIENTO CORRECTIVO"/>
    <s v="5774"/>
    <s v="12/04/2019 08:49"/>
    <s v="0XEL566166"/>
    <s v="500056"/>
    <s v="PITSS"/>
    <s v="ASP"/>
    <x v="14"/>
    <s v="BLV HIDALGO Y FUENTE DE DIANA SN"/>
    <s v="REYNOSA-TAM"/>
    <n v="0"/>
    <s v="INTERIOR"/>
    <n v="36"/>
    <s v="Entre 31 y 60"/>
    <s v="Departmental Digital"/>
    <s v="A3"/>
    <s v="Ciudad principal"/>
    <s v="2-Entre 31 y 60"/>
    <n v="1.05"/>
    <n v="1433.25"/>
    <n v="1"/>
    <n v="1.6"/>
    <n v="5"/>
    <n v="0.32"/>
    <n v="0"/>
    <n v="0"/>
    <d v="2019-04-12T00:00:00"/>
    <d v="2019-04-12T00:00:00"/>
    <n v="0"/>
    <s v="0-1 día"/>
    <n v="0"/>
    <n v="0"/>
    <n v="0"/>
    <n v="1433.25"/>
  </r>
  <r>
    <s v="ABR-19"/>
    <n v="1"/>
    <s v="2023195"/>
    <s v="SR MANTENIMIENTO CORRECTIVO"/>
    <s v="3326"/>
    <s v="10/04/2019 15:41"/>
    <s v="0LA6297372"/>
    <s v="800110"/>
    <s v="PITSS"/>
    <s v="ASP"/>
    <x v="10"/>
    <s v="RITA PEREZ DE MORENO 507"/>
    <s v="MORELIA-MICH"/>
    <n v="0"/>
    <s v="INTERIOR"/>
    <n v="26"/>
    <s v="Entre 16 y 30"/>
    <s v="A4 Mono MFPs"/>
    <s v="A4"/>
    <s v="Ciudad principal"/>
    <s v="1-Entre 16 y 30"/>
    <n v="0.6"/>
    <n v="429.00000000000006"/>
    <n v="1"/>
    <n v="1.32"/>
    <n v="5"/>
    <n v="0.26400000000000001"/>
    <n v="0"/>
    <n v="0"/>
    <d v="2019-04-12T00:00:00"/>
    <d v="2019-04-12T00:00:00"/>
    <n v="0"/>
    <s v="0-1 día"/>
    <n v="0"/>
    <n v="0"/>
    <n v="0"/>
    <n v="429.00000000000006"/>
  </r>
  <r>
    <s v="ABR-19"/>
    <n v="1"/>
    <s v="2023771"/>
    <s v="SR MANTENIMIENTO CORRECTIVO"/>
    <s v="5866"/>
    <s v="11/04/2019 16:17"/>
    <s v="0EX9664447"/>
    <s v="800200"/>
    <s v="PITSS"/>
    <s v="ASP"/>
    <x v="14"/>
    <s v="AV VALLE DE SAN ISIDRO 530"/>
    <s v="ZAPOPAN-JAL"/>
    <n v="0"/>
    <s v="INTERIOR"/>
    <n v="10"/>
    <s v="Entre 7 y 15"/>
    <s v="Departmental Digital"/>
    <s v="A3"/>
    <s v="Ciudad principal"/>
    <s v="2-Entre 7 y 15"/>
    <n v="0.6"/>
    <n v="819"/>
    <n v="1"/>
    <n v="1.22"/>
    <n v="5"/>
    <n v="0.24399999999999999"/>
    <n v="0"/>
    <n v="0"/>
    <d v="2019-04-12T00:00:00"/>
    <d v="2019-04-12T00:00:00"/>
    <n v="0"/>
    <s v="0-1 día"/>
    <n v="0"/>
    <n v="0"/>
    <n v="0"/>
    <n v="819"/>
  </r>
  <r>
    <s v="ABR-19"/>
    <n v="1"/>
    <s v="2022891"/>
    <s v="SR MANTENIMIENTO CORRECTIVO"/>
    <s v="4603"/>
    <s v="10/04/2019 10:11"/>
    <s v="0XLT280340"/>
    <s v="500156"/>
    <s v="PITSS"/>
    <s v="ASP"/>
    <x v="23"/>
    <s v="FRESNEL Y FARENHEIT 8525"/>
    <s v="Ciudad Juarez-CHIH"/>
    <n v="1"/>
    <s v="INTERIOR"/>
    <n v="35"/>
    <s v="Entre 31 y 60"/>
    <s v="Entry Mono Printers"/>
    <s v="A4"/>
    <s v="Ciudad principal"/>
    <s v="1-Entre 31 y 60"/>
    <n v="0.8"/>
    <n v="0"/>
    <n v="1"/>
    <n v="0"/>
    <n v="5"/>
    <n v="0"/>
    <n v="0"/>
    <n v="0"/>
    <d v="2019-04-12T00:00:00"/>
    <d v="2019-04-12T00:00:00"/>
    <n v="0"/>
    <s v="0-1 día"/>
    <n v="0"/>
    <n v="0"/>
    <n v="0"/>
    <n v="0"/>
  </r>
  <r>
    <s v="ABR-19"/>
    <n v="1"/>
    <s v="2023783"/>
    <s v="SR MANTENIMIENTO CORRECTIVO"/>
    <s v="8045"/>
    <s v="11/04/2019 16:28"/>
    <s v="0Y4X832131"/>
    <s v="800183"/>
    <s v="PITSS"/>
    <s v="ASP"/>
    <x v="80"/>
    <s v="AV ADOLF HORN No 6800"/>
    <s v="Tlajomulco De Zu&amp;Iga"/>
    <n v="0"/>
    <s v="INTERIOR"/>
    <n v="125"/>
    <s v="&gt;60"/>
    <s v="Office Digital"/>
    <s v="A3"/>
    <s v="Ciudad principal"/>
    <s v="2-&gt;60"/>
    <n v="1.1000000000000001"/>
    <n v="1501.5000000000002"/>
    <n v="1"/>
    <n v="4.03"/>
    <n v="5"/>
    <n v="0.80600000000000005"/>
    <n v="0"/>
    <n v="0"/>
    <d v="2019-04-12T00:00:00"/>
    <d v="2019-04-12T00:00:00"/>
    <n v="0"/>
    <s v="0-1 día"/>
    <n v="0"/>
    <n v="0"/>
    <n v="0"/>
    <n v="1501.5000000000002"/>
  </r>
  <r>
    <s v="ABR-19"/>
    <n v="1"/>
    <s v="2020977"/>
    <s v="SR MANTENIMIENTO CORRECTIVO"/>
    <s v="4002"/>
    <s v="06/04/2019 12:09"/>
    <s v="9HB333175"/>
    <s v="800074"/>
    <s v="PITSS"/>
    <s v="ASP"/>
    <x v="81"/>
    <s v="16 DE SEPTIEMBRE 239-B"/>
    <s v="LOS REYES DE SALGADO"/>
    <n v="0"/>
    <s v="INTERIOR"/>
    <n v="2683"/>
    <s v="&gt;60"/>
    <s v="A4 Mono MFPs"/>
    <s v="A4"/>
    <s v="Ciudad principal"/>
    <s v="1-&gt;60"/>
    <n v="1.05"/>
    <n v="750.75000000000011"/>
    <n v="1"/>
    <n v="5"/>
    <n v="5"/>
    <n v="1"/>
    <n v="0"/>
    <n v="0"/>
    <d v="2019-04-12T00:00:00"/>
    <d v="2019-04-12T00:00:00"/>
    <n v="0"/>
    <s v="0-1 día"/>
    <n v="0"/>
    <n v="0"/>
    <n v="0"/>
    <n v="750.75000000000011"/>
  </r>
  <r>
    <s v="ABR-19"/>
    <n v="1"/>
    <s v="2022593"/>
    <s v="SR MANTENIMIENTO CORRECTIVO"/>
    <s v="3657"/>
    <s v="09/04/2019 16:08"/>
    <s v="0C7X239180"/>
    <s v="500093"/>
    <s v="PITSS"/>
    <s v="ASP"/>
    <x v="57"/>
    <s v="ITURBIDE No 6970"/>
    <s v="Nuevo Laredo-TAM"/>
    <n v="0"/>
    <s v="INTERIOR"/>
    <n v="125"/>
    <s v="&gt;60"/>
    <s v="A4 Mono MFPs"/>
    <s v="A4"/>
    <s v="Ciudad principal"/>
    <s v="1-&gt;60"/>
    <n v="1.05"/>
    <n v="750.75000000000011"/>
    <n v="1"/>
    <n v="0.87"/>
    <n v="5"/>
    <n v="0.17399999999999999"/>
    <n v="0"/>
    <n v="0"/>
    <d v="2019-04-12T00:00:00"/>
    <d v="2019-04-12T00:00:00"/>
    <n v="0"/>
    <s v="0-1 día"/>
    <n v="0"/>
    <n v="0"/>
    <n v="0"/>
    <n v="750.75000000000011"/>
  </r>
  <r>
    <s v="ABR-19"/>
    <n v="1"/>
    <s v="2021503"/>
    <s v="SR MANTENIMIENTO CORRECTIVO"/>
    <s v="0551"/>
    <s v="08/04/2019 09:59"/>
    <s v="0XPN396972"/>
    <s v="800072"/>
    <s v="PITSS"/>
    <s v="ASP"/>
    <x v="7"/>
    <s v="AMERICAS 655"/>
    <s v="GUADALAJARA-JAL"/>
    <n v="0"/>
    <s v="INTERIOR"/>
    <n v="5"/>
    <s v="Entre 3 y 6"/>
    <s v="Entry Production Color Low/Mid"/>
    <s v="Entry Production"/>
    <s v="Ciudad principal"/>
    <s v="3-Entre 3 y 6"/>
    <n v="0.6"/>
    <n v="943.80000000000007"/>
    <n v="1"/>
    <n v="1.02"/>
    <n v="4"/>
    <n v="0.255"/>
    <n v="0"/>
    <n v="0"/>
    <d v="2019-04-12T00:00:00"/>
    <d v="2019-04-12T00:00:00"/>
    <n v="0"/>
    <s v="0-1 día"/>
    <n v="0"/>
    <n v="0"/>
    <n v="0"/>
    <n v="943.80000000000007"/>
  </r>
  <r>
    <s v="ABR-19"/>
    <n v="1"/>
    <s v="2021631"/>
    <s v="SR INSTALACION DE EQUIPO"/>
    <s v="8301"/>
    <s v="08/04/2019 11:37"/>
    <s v="001161065"/>
    <s v="800074"/>
    <s v="PITSS"/>
    <s v="ASP"/>
    <x v="10"/>
    <s v="TENIENTE JOSE ESPINOZA FUENTES S/N ENTRE AV DECIMA"/>
    <s v="Morelia-MICH"/>
    <n v="0"/>
    <s v="INTERIOR"/>
    <s v="  "/>
    <s v="&gt;60"/>
    <s v="WF Mono Systems and Legacy Color"/>
    <s v="WF"/>
    <s v="Ciudad principal"/>
    <s v="3-&gt;60"/>
    <n v="1"/>
    <n v="2359.5000000000005"/>
    <n v="0"/>
    <n v="4"/>
    <n v="4"/>
    <n v="1"/>
    <n v="0"/>
    <n v="0"/>
    <d v="2019-04-11T00:00:00"/>
    <d v="2019-04-12T00:00:00"/>
    <n v="1"/>
    <s v="0-1 día"/>
    <n v="0"/>
    <n v="0"/>
    <n v="0"/>
    <n v="2359.5000000000005"/>
  </r>
  <r>
    <s v="ABR-19"/>
    <n v="1"/>
    <s v="2024073"/>
    <s v="SR MANTENIMIENTO CORRECTIVO"/>
    <s v="3636"/>
    <s v="12/04/2019 09:33"/>
    <s v="0BB1252169"/>
    <s v="500158"/>
    <s v="PITSS"/>
    <s v="ASP"/>
    <x v="18"/>
    <s v="PROL HERMANOS ESCOBAR No 7151-E"/>
    <s v="Ciudad Juarez-CHIH"/>
    <n v="0"/>
    <s v="INTERIOR"/>
    <n v="29"/>
    <s v="Entre 16 y 30"/>
    <s v="A4 Mono MFPs"/>
    <s v="A4"/>
    <s v="Ciudad principal"/>
    <s v="1-Entre 16 y 30"/>
    <n v="0.6"/>
    <n v="429.00000000000006"/>
    <n v="1"/>
    <n v="1.95"/>
    <n v="5"/>
    <n v="0.39"/>
    <n v="0"/>
    <n v="0"/>
    <d v="2019-04-12T00:00:00"/>
    <d v="2019-04-12T00:00:00"/>
    <n v="0"/>
    <s v="0-1 día"/>
    <n v="0"/>
    <n v="0"/>
    <n v="0"/>
    <n v="429.00000000000006"/>
  </r>
  <r>
    <s v="ABR-19"/>
    <n v="1"/>
    <s v="2024099"/>
    <s v="SR MANTENIMIENTO CORRECTIVO"/>
    <s v="4002"/>
    <s v="12/04/2019 09:53"/>
    <s v="09HB320557"/>
    <s v="500080"/>
    <s v="PITSS"/>
    <s v="ASP"/>
    <x v="10"/>
    <s v="AV DE LAS INDUSTRIAS 5907"/>
    <s v="CHIHUAHUA-CHIH"/>
    <n v="0"/>
    <s v="INTERIOR"/>
    <n v="590"/>
    <s v="&gt;60"/>
    <s v="A4 Mono MFPs"/>
    <s v="A4"/>
    <s v="Ciudad principal"/>
    <s v="1-&gt;60"/>
    <n v="1.05"/>
    <n v="750.75000000000011"/>
    <n v="1"/>
    <n v="0"/>
    <n v="5"/>
    <n v="0"/>
    <n v="0"/>
    <n v="0"/>
    <d v="2019-04-12T00:00:00"/>
    <d v="2019-04-12T00:00:00"/>
    <n v="0"/>
    <s v="0-1 día"/>
    <n v="0"/>
    <n v="0"/>
    <n v="0"/>
    <n v="750.75000000000011"/>
  </r>
  <r>
    <s v="ABR-19"/>
    <n v="1"/>
    <s v="2024163"/>
    <s v="SR MANTENIMIENTO CORRECTIVO"/>
    <s v="4000"/>
    <s v="12/04/2019 11:32"/>
    <s v="06HB015876"/>
    <s v="500027"/>
    <s v="PITSS"/>
    <s v="ASP"/>
    <x v="39"/>
    <s v="CIRCUITO INTERIOR NORTE No 1820"/>
    <s v="Ciudad Juarez-CHIH"/>
    <n v="1"/>
    <s v="INTERIOR"/>
    <n v="46"/>
    <s v="Entre 31 y 60"/>
    <s v="Entry Mono Printers"/>
    <s v="A4"/>
    <s v="Ciudad principal"/>
    <s v="1-Entre 31 y 60"/>
    <n v="0.8"/>
    <n v="0"/>
    <n v="1"/>
    <n v="0.14000000000000001"/>
    <n v="5"/>
    <n v="2.8000000000000004E-2"/>
    <n v="0"/>
    <n v="0"/>
    <d v="2019-04-12T00:00:00"/>
    <d v="2019-04-12T00:00:00"/>
    <n v="0"/>
    <s v="0-1 día"/>
    <n v="0"/>
    <n v="0"/>
    <n v="0"/>
    <n v="0"/>
  </r>
  <r>
    <s v="ABR-19"/>
    <n v="1"/>
    <s v="2023653"/>
    <s v="SR MANTENIMIENTO CORRECTIVO"/>
    <s v="4395"/>
    <s v="11/04/2019 13:17"/>
    <s v="0BG2948884"/>
    <s v="500019"/>
    <s v="PITSS"/>
    <s v="ASP"/>
    <x v="7"/>
    <s v="DIAGONAL REFORMA No 2407"/>
    <s v="Torreon-COAH"/>
    <n v="0"/>
    <s v="INTERIOR"/>
    <n v="344"/>
    <s v="&gt;60"/>
    <s v="Light Production Digital Business"/>
    <s v="Entry Production"/>
    <s v="Otras"/>
    <s v="3-&gt;60"/>
    <n v="1.1499999999999999"/>
    <n v="1808.95"/>
    <n v="1"/>
    <n v="1.75"/>
    <n v="6"/>
    <n v="0.29166666666666669"/>
    <n v="0"/>
    <n v="0"/>
    <d v="2019-04-12T00:00:00"/>
    <d v="2019-04-12T00:00:00"/>
    <n v="0"/>
    <s v="0-1 día"/>
    <n v="0"/>
    <n v="0"/>
    <n v="0"/>
    <n v="1808.95"/>
  </r>
  <r>
    <s v="ABR-19"/>
    <n v="1"/>
    <s v="2022363"/>
    <s v="SR MANTENIMIENTO CORRECTIVO"/>
    <s v="0070"/>
    <s v="09/04/2019 11:26"/>
    <s v="0E2B654119"/>
    <s v="500094"/>
    <s v="PITSS"/>
    <s v="ASP"/>
    <x v="7"/>
    <s v="AV FRANCISCO I MADERO 403 SUR"/>
    <s v="CIUDAD MADERO-TAM"/>
    <n v="0"/>
    <s v="INTERIOR"/>
    <n v="34"/>
    <s v="Entre 31 y 60"/>
    <s v="Entry Production Color Low/Mid"/>
    <s v="Entry Production"/>
    <s v="Otras"/>
    <s v="3-Entre 31 y 60"/>
    <n v="1.1000000000000001"/>
    <n v="1730.3000000000004"/>
    <n v="1"/>
    <n v="2.9"/>
    <n v="6"/>
    <n v="0.48333333333333334"/>
    <n v="0"/>
    <n v="0"/>
    <d v="2019-04-11T00:00:00"/>
    <d v="2019-04-12T00:00:00"/>
    <n v="1"/>
    <s v="0-1 día"/>
    <n v="0"/>
    <n v="0"/>
    <n v="0"/>
    <n v="1730.3000000000004"/>
  </r>
  <r>
    <s v="ABR-19"/>
    <n v="1"/>
    <s v="2019539"/>
    <s v="SR MANTENIMIENTO CORRECTIVO"/>
    <s v="3657"/>
    <s v="03/04/2019 14:32"/>
    <s v="0C7X246832"/>
    <s v="500163"/>
    <s v="PITSS"/>
    <s v="ASP"/>
    <x v="15"/>
    <s v="ADOLFO LOPEZ MATEOS MZ 3 LT 1 LOCAL 1"/>
    <s v="Ciudad Victoria-TAM"/>
    <n v="0"/>
    <s v="INTERIOR"/>
    <n v="54"/>
    <s v="Entre 31 y 60"/>
    <s v="A4 Mono MFPs"/>
    <s v="A4"/>
    <s v="Ciudad principal"/>
    <s v="1-Entre 31 y 60"/>
    <n v="0.8"/>
    <n v="572.00000000000011"/>
    <n v="1"/>
    <n v="6.47"/>
    <n v="5"/>
    <n v="1.294"/>
    <n v="7.350000000000001E-2"/>
    <n v="-52.552500000000016"/>
    <d v="2019-04-12T00:00:00"/>
    <d v="2019-04-12T00:00:00"/>
    <n v="0"/>
    <s v="0-1 día"/>
    <n v="0"/>
    <n v="0"/>
    <n v="0"/>
    <n v="519.4475000000001"/>
  </r>
  <r>
    <s v="ABR-19"/>
    <n v="1"/>
    <s v="2023745"/>
    <s v="SR MANTENIMIENTO CORRECTIVO"/>
    <s v="5866"/>
    <s v="11/04/2019 15:22"/>
    <s v="0EX9299901"/>
    <s v="500094"/>
    <s v="PITSS"/>
    <s v="ASP"/>
    <x v="7"/>
    <s v="AV HIDALGO No 5309"/>
    <s v="Tampico-TAM"/>
    <n v="0"/>
    <s v="INTERIOR"/>
    <n v="2"/>
    <s v="&lt;=3"/>
    <s v="Departmental Digital"/>
    <s v="A3"/>
    <s v="Ciudad principal"/>
    <s v="2-&lt;=3"/>
    <n v="0"/>
    <n v="0"/>
    <n v="1"/>
    <n v="2.13"/>
    <n v="5"/>
    <n v="0.42599999999999999"/>
    <n v="0"/>
    <n v="0"/>
    <d v="2019-04-12T00:00:00"/>
    <d v="2019-04-12T00:00:00"/>
    <n v="0"/>
    <s v="0-1 día"/>
    <n v="0"/>
    <n v="0"/>
    <n v="0"/>
    <n v="0"/>
  </r>
  <r>
    <s v="ABR-19"/>
    <n v="1"/>
    <s v="2023741"/>
    <s v="SR MANTENIMIENTO CORRECTIVO"/>
    <s v="4625"/>
    <s v="11/04/2019 15:19"/>
    <s v="0D6X468370"/>
    <s v="800146"/>
    <s v="PITSS"/>
    <s v="ASP"/>
    <x v="30"/>
    <s v="CIRCUITO MEXICO No 145"/>
    <s v="San Luis Potosi-SLP"/>
    <n v="0"/>
    <s v="INTERIOR"/>
    <n v="511"/>
    <s v="&gt;60"/>
    <s v="Entry Mono Printers"/>
    <s v="A4"/>
    <s v="Ciudad principal"/>
    <s v="1-&gt;60"/>
    <n v="1.05"/>
    <n v="750.75000000000011"/>
    <n v="1"/>
    <n v="5.35"/>
    <n v="5"/>
    <n v="1.0699999999999998"/>
    <n v="1.749999999999996E-2"/>
    <n v="-12.512499999999973"/>
    <d v="2019-04-12T00:00:00"/>
    <d v="2019-04-12T00:00:00"/>
    <n v="0"/>
    <s v="0-1 día"/>
    <n v="0"/>
    <n v="0"/>
    <n v="0"/>
    <n v="738.23750000000018"/>
  </r>
  <r>
    <s v="ABR-19"/>
    <n v="1"/>
    <s v="2024093"/>
    <s v="SR MANTENIMIENTO CORRECTIVO"/>
    <s v="1251"/>
    <s v="12/04/2019 09:49"/>
    <s v="0VGW624391"/>
    <s v="500161"/>
    <s v="PITSS"/>
    <s v="ASP"/>
    <x v="22"/>
    <s v="CALLE 15 NUM 105"/>
    <s v="CHIHUAHUA-CHIH"/>
    <n v="0"/>
    <s v="INTERIOR"/>
    <n v="14"/>
    <s v="Entre 7 y 15"/>
    <s v="Entry Production Color Low/Mid"/>
    <s v="Entry Production"/>
    <s v="Ciudad principal"/>
    <s v="3-Entre 7 y 15"/>
    <n v="0.8"/>
    <n v="1258.4000000000003"/>
    <n v="1"/>
    <n v="0.43"/>
    <n v="4"/>
    <n v="0.1075"/>
    <n v="0"/>
    <n v="0"/>
    <d v="2019-04-12T00:00:00"/>
    <d v="2019-04-12T00:00:00"/>
    <n v="0"/>
    <s v="0-1 día"/>
    <n v="0"/>
    <n v="0"/>
    <n v="0"/>
    <n v="1258.4000000000003"/>
  </r>
  <r>
    <s v="ABR-19"/>
    <n v="1"/>
    <s v="2023565"/>
    <s v="SR MANTENIMIENTO CORRECTIVO"/>
    <s v="4603"/>
    <s v="11/04/2019 11:46"/>
    <s v="0XLT269172"/>
    <s v="500163"/>
    <s v="PITSS"/>
    <s v="ASP"/>
    <x v="32"/>
    <s v="TRANSFORMACION LT 3B MZ N SECCION II"/>
    <s v="Ciudad Victoria-TAM"/>
    <n v="0"/>
    <s v="INTERIOR"/>
    <n v="87"/>
    <s v="&gt;60"/>
    <s v="Entry Mono Printers"/>
    <s v="A4"/>
    <s v="Ciudad principal"/>
    <s v="1-&gt;60"/>
    <n v="1.05"/>
    <n v="750.75000000000011"/>
    <n v="1"/>
    <n v="9.9"/>
    <n v="5"/>
    <n v="1.98"/>
    <n v="0.245"/>
    <n v="-175.17500000000001"/>
    <d v="2019-04-12T00:00:00"/>
    <d v="2019-04-12T00:00:00"/>
    <n v="0"/>
    <s v="0-1 día"/>
    <n v="0"/>
    <n v="0"/>
    <n v="0"/>
    <n v="575.57500000000005"/>
  </r>
  <r>
    <s v="ABR-19"/>
    <n v="1"/>
    <s v="2024181"/>
    <s v="SR MANTENIMIENTO CORRECTIVO"/>
    <s v="6705"/>
    <s v="12/04/2019 12:09"/>
    <s v="0A1H020874"/>
    <s v="800183"/>
    <s v="PITSS"/>
    <s v="ASP"/>
    <x v="10"/>
    <s v="FRESNO 1161"/>
    <s v="GUADALAJARA-JAL"/>
    <n v="0"/>
    <s v="INTERIOR"/>
    <n v="1520"/>
    <s v="&gt;60"/>
    <s v="WF Mono Systems and Legacy Color"/>
    <s v="WF"/>
    <s v="Ciudad principal"/>
    <s v="3-&gt;60"/>
    <n v="1.1499999999999999"/>
    <n v="1808.95"/>
    <n v="1"/>
    <n v="2.85"/>
    <n v="4"/>
    <n v="0.71250000000000002"/>
    <n v="0"/>
    <n v="0"/>
    <d v="2019-04-12T00:00:00"/>
    <d v="2019-04-12T00:00:00"/>
    <n v="0"/>
    <s v="0-1 día"/>
    <n v="0"/>
    <n v="0"/>
    <n v="0"/>
    <n v="1808.95"/>
  </r>
  <r>
    <s v="ABR-19"/>
    <n v="1"/>
    <s v="2021589"/>
    <s v="SR MANTENIMIENTO CORRECTIVO"/>
    <s v="5865"/>
    <s v="08/04/2019 10:59"/>
    <s v="0EX9282798"/>
    <s v="100038"/>
    <s v="PITSS"/>
    <s v="ASP"/>
    <x v="75"/>
    <s v="RODOLFO PADRON No 9"/>
    <s v="Mexico-MEX"/>
    <n v="0"/>
    <s v="INTERIOR"/>
    <n v="24"/>
    <s v="Entre 16 y 30"/>
    <s v="Departmental Digital"/>
    <s v="A3"/>
    <s v="Ciudad principal"/>
    <s v="2-Entre 16 y 30"/>
    <n v="0.8"/>
    <n v="1092"/>
    <n v="1"/>
    <n v="4.0199999999999996"/>
    <n v="5"/>
    <n v="0.80399999999999994"/>
    <n v="0"/>
    <n v="0"/>
    <d v="2019-04-12T00:00:00"/>
    <d v="2019-04-12T00:00:00"/>
    <n v="0"/>
    <s v="0-1 día"/>
    <n v="0"/>
    <n v="0"/>
    <n v="0"/>
    <n v="1092"/>
  </r>
  <r>
    <s v="ABR-19"/>
    <n v="1"/>
    <s v="2023405"/>
    <s v="SR MANTENIMIENTO CORRECTIVO"/>
    <s v="4000"/>
    <s v="11/04/2019 08:42"/>
    <s v="06HB006625"/>
    <s v="500036"/>
    <s v="PITSS"/>
    <s v="ASP"/>
    <x v="82"/>
    <s v="FLAMINGO No 110"/>
    <s v="San Nicolas De Los G"/>
    <n v="0"/>
    <s v="INTERIOR"/>
    <n v="2688"/>
    <s v="&gt;60"/>
    <s v="Entry Mono Printers"/>
    <s v="A4"/>
    <s v="Ciudad principal"/>
    <s v="1-&gt;60"/>
    <n v="1.05"/>
    <n v="750.75000000000011"/>
    <n v="1"/>
    <n v="4.38"/>
    <n v="5"/>
    <n v="0.876"/>
    <n v="0"/>
    <n v="0"/>
    <d v="2019-04-11T00:00:00"/>
    <d v="2019-04-12T00:00:00"/>
    <n v="1"/>
    <s v="0-1 día"/>
    <n v="0"/>
    <n v="0"/>
    <n v="0"/>
    <n v="750.75000000000011"/>
  </r>
  <r>
    <s v="ABR-19"/>
    <n v="1"/>
    <s v="2023401"/>
    <s v="SR MANTENIMIENTO CORRECTIVO"/>
    <s v="4395"/>
    <s v="11/04/2019 08:32"/>
    <s v="0BG2951663"/>
    <s v="100037"/>
    <s v="PITSS"/>
    <s v="ASP"/>
    <x v="7"/>
    <s v="BLV ALFREDO DEL MAZO 805"/>
    <s v="TOLUCA-MEX"/>
    <n v="0"/>
    <s v="INTERIOR"/>
    <n v="42"/>
    <s v="Entre 31 y 60"/>
    <s v="Light Production Digital Business"/>
    <s v="Entry Production"/>
    <s v="Ciudad principal"/>
    <s v="3-Entre 31 y 60"/>
    <n v="1.1000000000000001"/>
    <n v="1730.3000000000004"/>
    <n v="1"/>
    <n v="4"/>
    <n v="4"/>
    <n v="1"/>
    <n v="0"/>
    <n v="0"/>
    <d v="2019-04-12T00:00:00"/>
    <d v="2019-04-12T00:00:00"/>
    <n v="0"/>
    <s v="0-1 día"/>
    <n v="0"/>
    <n v="0"/>
    <n v="0"/>
    <n v="1730.3000000000004"/>
  </r>
  <r>
    <s v="ABR-19"/>
    <n v="1"/>
    <s v="2023141"/>
    <s v="SR MANTENIMIENTO CORRECTIVO"/>
    <s v="0070"/>
    <s v="10/04/2019 14:40"/>
    <s v="0E2B654128"/>
    <s v="800072"/>
    <s v="PITSS"/>
    <s v="ASP"/>
    <x v="7"/>
    <s v="AV AMERICAS No 655"/>
    <s v="Guadalajara-JAL"/>
    <n v="0"/>
    <s v="INTERIOR"/>
    <n v="43"/>
    <s v="Entre 31 y 60"/>
    <s v="Entry Production Color Low/Mid"/>
    <s v="Entry Production"/>
    <s v="Ciudad principal"/>
    <s v="3-Entre 31 y 60"/>
    <n v="1.1000000000000001"/>
    <n v="1730.3000000000004"/>
    <n v="1"/>
    <n v="1.66"/>
    <n v="4"/>
    <n v="0.41499999999999998"/>
    <n v="0"/>
    <n v="0"/>
    <d v="2019-04-12T00:00:00"/>
    <d v="2019-04-12T00:00:00"/>
    <n v="0"/>
    <s v="0-1 día"/>
    <n v="0"/>
    <n v="0"/>
    <n v="0"/>
    <n v="1730.3000000000004"/>
  </r>
  <r>
    <s v="ABR-19"/>
    <n v="1"/>
    <s v="2023033"/>
    <s v="SR MANTENIMIENTO CORRECTIVO"/>
    <s v="8046"/>
    <s v="10/04/2019 12:37"/>
    <s v="08TB572617"/>
    <s v="500158"/>
    <s v="PITSS"/>
    <s v="ASP"/>
    <x v="68"/>
    <s v="AV DEL CHARRO No 1750 NTE"/>
    <s v="Ciudad Juarez-CHIH"/>
    <n v="0"/>
    <s v="INTERIOR"/>
    <n v="391"/>
    <s v="&gt;60"/>
    <s v="A3 Office Color Laser MFPs"/>
    <s v="A3"/>
    <s v="Ciudad principal"/>
    <s v="2-&gt;60"/>
    <n v="1.1000000000000001"/>
    <n v="1501.5000000000002"/>
    <n v="1"/>
    <n v="0.96"/>
    <n v="5"/>
    <n v="0.192"/>
    <n v="0"/>
    <n v="0"/>
    <d v="2019-04-12T00:00:00"/>
    <d v="2019-04-12T00:00:00"/>
    <n v="0"/>
    <s v="0-1 día"/>
    <n v="0"/>
    <n v="0"/>
    <n v="0"/>
    <n v="1501.5000000000002"/>
  </r>
  <r>
    <s v="ABR-19"/>
    <n v="1"/>
    <s v="2022887"/>
    <s v="SR MANTENIMIENTO CORRECTIVO"/>
    <s v="7845"/>
    <s v="10/04/2019 10:03"/>
    <s v="0MX4742856"/>
    <s v="500155"/>
    <s v="PITSS"/>
    <s v="ASP"/>
    <x v="30"/>
    <s v="8102 AV MIGUEL DE LA MADRID"/>
    <s v="Juarez-CHIH"/>
    <n v="0"/>
    <s v="INTERIOR"/>
    <n v="56"/>
    <s v="Entre 31 y 60"/>
    <s v="A3 Office Color Laser MFPs"/>
    <s v="A3"/>
    <s v="Ciudad principal"/>
    <s v="2-Entre 31 y 60"/>
    <n v="1.05"/>
    <n v="1433.25"/>
    <n v="1"/>
    <n v="1.45"/>
    <n v="5"/>
    <n v="0.28999999999999998"/>
    <n v="0"/>
    <n v="0"/>
    <d v="2019-04-12T00:00:00"/>
    <d v="2019-04-12T00:00:00"/>
    <n v="0"/>
    <s v="0-1 día"/>
    <n v="0"/>
    <n v="0"/>
    <n v="0"/>
    <n v="1433.25"/>
  </r>
  <r>
    <s v="ABR-19"/>
    <n v="1"/>
    <s v="2022817"/>
    <s v="SR INSTALACION DE EQUIPO"/>
    <s v="4002"/>
    <s v="10/04/2019 08:38"/>
    <s v="09HB918111"/>
    <s v="800197"/>
    <s v="PITSS"/>
    <s v="ASP"/>
    <x v="30"/>
    <s v="AV CENTRAL No 380"/>
    <s v="San Luis Potosi-SLP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4-10T00:00:00"/>
    <d v="2019-04-12T00:00:00"/>
    <n v="2"/>
    <s v="2-3 días"/>
    <n v="0"/>
    <n v="0"/>
    <n v="0"/>
    <n v="1072.5000000000002"/>
  </r>
  <r>
    <s v="ABR-19"/>
    <n v="1"/>
    <s v="2022523"/>
    <s v="SR MANTENIMIENTO CORRECTIVO"/>
    <s v="3658"/>
    <s v="09/04/2019 14:35"/>
    <s v="0C4X006153"/>
    <s v="500156"/>
    <s v="PITSS"/>
    <s v="ASP"/>
    <x v="2"/>
    <s v="AV TECNOLOGICO No.  1770  INT.  4  PLAZA  GALERIAS"/>
    <s v="Ciudad Juarez-CHIH"/>
    <n v="0"/>
    <s v="INTERIOR"/>
    <n v="239"/>
    <s v="&gt;60"/>
    <s v="A4 Mono MFPs"/>
    <s v="A4"/>
    <s v="Ciudad principal"/>
    <s v="1-&gt;60"/>
    <n v="1.05"/>
    <n v="750.75000000000011"/>
    <n v="1"/>
    <n v="0"/>
    <n v="5"/>
    <n v="0"/>
    <n v="0"/>
    <n v="0"/>
    <d v="2019-04-12T00:00:00"/>
    <d v="2019-04-12T00:00:00"/>
    <n v="0"/>
    <s v="0-1 día"/>
    <n v="0"/>
    <n v="0"/>
    <n v="0"/>
    <n v="750.75000000000011"/>
  </r>
  <r>
    <s v="ABR-19"/>
    <n v="1"/>
    <s v="2024199"/>
    <s v="SR MANTENIMIENTO CORRECTIVO"/>
    <s v="3658"/>
    <s v="12/04/2019 12:28"/>
    <s v="0C4X002927"/>
    <s v="500161"/>
    <s v="PITSS"/>
    <s v="ASP"/>
    <x v="2"/>
    <s v="AV GLANDORFF 3306"/>
    <s v="CHIHUAHUA-CHIH"/>
    <n v="0"/>
    <s v="INTERIOR"/>
    <n v="8"/>
    <s v="Entre 7 y 15"/>
    <s v="A4 Mono MFPs"/>
    <s v="A4"/>
    <s v="Ciudad principal"/>
    <s v="1-Entre 7 y 15"/>
    <n v="0"/>
    <n v="0"/>
    <n v="1"/>
    <n v="1.28"/>
    <n v="5"/>
    <n v="0.25600000000000001"/>
    <n v="0"/>
    <n v="0"/>
    <d v="2019-04-12T00:00:00"/>
    <d v="2019-04-12T00:00:00"/>
    <n v="0"/>
    <s v="0-1 día"/>
    <n v="0"/>
    <n v="0"/>
    <n v="0"/>
    <n v="0"/>
  </r>
  <r>
    <s v="ABR-19"/>
    <n v="1"/>
    <s v="2023983"/>
    <s v="SR MANTENIMIENTO CORRECTIVO"/>
    <s v="0070"/>
    <s v="12/04/2019 07:49"/>
    <s v="0E2B659015"/>
    <s v="800027"/>
    <s v="PITSS"/>
    <s v="ASP"/>
    <x v="14"/>
    <s v="AV LOPEZ MATEOS SUR No 7000"/>
    <s v="Tlajomulco De Zu&amp;Iga"/>
    <n v="0"/>
    <s v="INTERIOR"/>
    <n v="7"/>
    <s v="Entre 7 y 15"/>
    <s v="Entry Production Color Low/Mid"/>
    <s v="Entry Production"/>
    <s v="Ciudad principal"/>
    <s v="3-Entre 7 y 15"/>
    <n v="0.8"/>
    <n v="1258.4000000000003"/>
    <n v="1"/>
    <n v="2.62"/>
    <n v="4"/>
    <n v="0.65500000000000003"/>
    <n v="0"/>
    <n v="0"/>
    <d v="2019-04-12T00:00:00"/>
    <d v="2019-04-15T00:00:00"/>
    <n v="1"/>
    <s v="0-1 día"/>
    <n v="0"/>
    <n v="0"/>
    <n v="0"/>
    <n v="1258.4000000000003"/>
  </r>
  <r>
    <s v="ABR-19"/>
    <n v="1"/>
    <s v="2023985"/>
    <s v="SR MANTENIMIENTO CORRECTIVO"/>
    <s v="5866"/>
    <s v="12/04/2019 07:51"/>
    <s v="0EX9662181"/>
    <s v="800027"/>
    <s v="PITSS"/>
    <s v="ASP"/>
    <x v="14"/>
    <s v="AV LOPEZ MATEOS SUR No 7000"/>
    <s v="Tlajomulco De Zu&amp;Iga"/>
    <n v="0"/>
    <s v="INTERIOR"/>
    <n v="8"/>
    <s v="Entre 7 y 15"/>
    <s v="Departmental Digital"/>
    <s v="A3"/>
    <s v="Ciudad principal"/>
    <s v="2-Entre 7 y 15"/>
    <n v="0.6"/>
    <n v="819"/>
    <n v="1"/>
    <n v="3.5"/>
    <n v="5"/>
    <n v="0.7"/>
    <n v="0"/>
    <n v="0"/>
    <d v="2019-04-12T00:00:00"/>
    <d v="2019-04-15T00:00:00"/>
    <n v="1"/>
    <s v="0-1 día"/>
    <n v="0"/>
    <n v="0"/>
    <n v="0"/>
    <n v="819"/>
  </r>
  <r>
    <s v="ABR-19"/>
    <n v="1"/>
    <s v="2024159"/>
    <s v="SR MANTENIMIENTO CORRECTIVO"/>
    <s v="4002"/>
    <s v="12/04/2019 11:23"/>
    <s v="09HB320824"/>
    <s v="500028"/>
    <s v="PITSS"/>
    <s v="ASP"/>
    <x v="10"/>
    <s v="TOPO CHICO 151"/>
    <s v="SAN NICOLAS DE LOS G"/>
    <n v="0"/>
    <s v="INTERIOR"/>
    <n v="260"/>
    <s v="&gt;60"/>
    <s v="A4 Mono MFPs"/>
    <s v="A4"/>
    <s v="Ciudad principal"/>
    <s v="1-&gt;60"/>
    <n v="1.05"/>
    <n v="750.75000000000011"/>
    <n v="1"/>
    <n v="1.1200000000000001"/>
    <n v="5"/>
    <n v="0.22400000000000003"/>
    <n v="0"/>
    <n v="0"/>
    <d v="2019-04-12T00:00:00"/>
    <d v="2019-04-15T00:00:00"/>
    <n v="1"/>
    <s v="0-1 día"/>
    <n v="0"/>
    <n v="0"/>
    <n v="0"/>
    <n v="750.75000000000011"/>
  </r>
  <r>
    <s v="ABR-19"/>
    <n v="1"/>
    <s v="2024177"/>
    <s v="SR MANTENIMIENTO CORRECTIVO"/>
    <s v="3346"/>
    <s v="12/04/2019 12:07"/>
    <s v="03BT802581"/>
    <s v="500056"/>
    <s v="PITSS"/>
    <s v="ASP"/>
    <x v="10"/>
    <s v="BLVD HIDALGO ESQUINA PADRE MIER 2do PISO"/>
    <s v="Reynosa-TAM"/>
    <n v="0"/>
    <s v="INTERIOR"/>
    <n v="326"/>
    <s v="&gt;60"/>
    <s v="A4 Mono MFPs"/>
    <s v="A4"/>
    <s v="Ciudad principal"/>
    <s v="1-&gt;60"/>
    <n v="1.05"/>
    <n v="750.75000000000011"/>
    <n v="1"/>
    <n v="1.8"/>
    <n v="5"/>
    <n v="0.36"/>
    <n v="0"/>
    <n v="0"/>
    <d v="2019-04-12T00:00:00"/>
    <d v="2019-04-15T00:00:00"/>
    <n v="1"/>
    <s v="0-1 día"/>
    <n v="0"/>
    <n v="0"/>
    <n v="0"/>
    <n v="750.75000000000011"/>
  </r>
  <r>
    <s v="ABR-19"/>
    <n v="1"/>
    <s v="2024179"/>
    <s v="SR MANTENIMIENTO CORRECTIVO"/>
    <s v="3658"/>
    <s v="12/04/2019 12:04"/>
    <s v="0C4X003927"/>
    <s v="500158"/>
    <s v="PITSS"/>
    <s v="ASP"/>
    <x v="2"/>
    <s v="HERMANOS ESCOBAR 3515"/>
    <s v="CIUDAD JUAREZ-CHIH"/>
    <n v="0"/>
    <s v="INTERIOR"/>
    <n v="71"/>
    <s v="&gt;60"/>
    <s v="A4 Mono MFPs"/>
    <s v="A4"/>
    <s v="Ciudad principal"/>
    <s v="1-&gt;60"/>
    <n v="1.05"/>
    <n v="750.75000000000011"/>
    <n v="1"/>
    <n v="1.1499999999999999"/>
    <n v="5"/>
    <n v="0.22999999999999998"/>
    <n v="0"/>
    <n v="0"/>
    <d v="2019-04-12T00:00:00"/>
    <d v="2019-04-15T00:00:00"/>
    <n v="1"/>
    <s v="0-1 día"/>
    <n v="0"/>
    <n v="0"/>
    <n v="0"/>
    <n v="750.75000000000011"/>
  </r>
  <r>
    <s v="ABR-19"/>
    <n v="1"/>
    <s v="2024171"/>
    <s v="SR MANTENIMIENTO CORRECTIVO"/>
    <s v="5945"/>
    <s v="12/04/2019 11:56"/>
    <s v="0X76370965"/>
    <s v="500157"/>
    <s v="PITSS"/>
    <s v="ASP"/>
    <x v="3"/>
    <s v="AV DE LAS INDUSTRIAS S/N"/>
    <s v="Ciudad Juarez-CHIH"/>
    <n v="0"/>
    <s v="INTERIOR"/>
    <n v="155"/>
    <s v="&gt;60"/>
    <s v="Office Digital"/>
    <s v="A3"/>
    <s v="Ciudad principal"/>
    <s v="2-&gt;60"/>
    <n v="1.1000000000000001"/>
    <n v="1501.5000000000002"/>
    <n v="1"/>
    <n v="0.56999999999999995"/>
    <n v="5"/>
    <n v="0.11399999999999999"/>
    <n v="0"/>
    <n v="0"/>
    <d v="2019-04-12T00:00:00"/>
    <d v="2019-04-15T00:00:00"/>
    <n v="1"/>
    <s v="0-1 día"/>
    <n v="0"/>
    <n v="0"/>
    <n v="0"/>
    <n v="1501.5000000000002"/>
  </r>
  <r>
    <s v="ABR-19"/>
    <n v="1"/>
    <s v="2024299"/>
    <s v="SR MANTENIMIENTO CORRECTIVO"/>
    <s v="5869"/>
    <s v="12/04/2019 16:25"/>
    <s v="0EX7387236"/>
    <s v="500155"/>
    <s v="PITSS"/>
    <s v="ASP"/>
    <x v="30"/>
    <s v="CALLE DE LOS CEDROS 1681"/>
    <s v="CIUDAD JUAREZ-CHIH"/>
    <n v="0"/>
    <s v="INTERIOR"/>
    <n v="11"/>
    <s v="Entre 7 y 15"/>
    <s v="Departmental Digital"/>
    <s v="A3"/>
    <s v="Ciudad principal"/>
    <s v="2-Entre 7 y 15"/>
    <n v="0.6"/>
    <n v="819"/>
    <n v="1"/>
    <n v="0"/>
    <n v="5"/>
    <n v="0"/>
    <n v="0"/>
    <n v="0"/>
    <d v="2019-04-12T00:00:00"/>
    <d v="2019-04-15T00:00:00"/>
    <n v="1"/>
    <s v="0-1 día"/>
    <n v="0"/>
    <n v="0"/>
    <n v="0"/>
    <n v="819"/>
  </r>
  <r>
    <s v="ABR-19"/>
    <n v="1"/>
    <s v="2023791"/>
    <s v="SR MANTENIMIENTO CORRECTIVO"/>
    <s v="0560"/>
    <s v="11/04/2019 16:32"/>
    <s v="0XPN399404"/>
    <s v="800186"/>
    <s v="PITSS"/>
    <s v="ASP"/>
    <x v="7"/>
    <s v="PROL ZARAGOZA 62 A"/>
    <s v="QUERETARO-QRO"/>
    <n v="0"/>
    <s v="INTERIOR"/>
    <n v="31"/>
    <s v="Entre 31 y 60"/>
    <s v="Entry Production Color Low/Mid"/>
    <s v="Entry Production"/>
    <s v="Ciudad principal"/>
    <s v="3-Entre 31 y 60"/>
    <n v="1.1000000000000001"/>
    <n v="1730.3000000000004"/>
    <n v="1"/>
    <n v="0.97"/>
    <n v="4"/>
    <n v="0.24249999999999999"/>
    <n v="0"/>
    <n v="0"/>
    <d v="2019-04-15T00:00:00"/>
    <d v="2019-04-15T00:00:00"/>
    <n v="0"/>
    <s v="0-1 día"/>
    <n v="0"/>
    <n v="0"/>
    <n v="0"/>
    <n v="1730.3000000000004"/>
  </r>
  <r>
    <s v="ABR-19"/>
    <n v="1"/>
    <s v="2024043"/>
    <s v="SR ASISTENCIA A CLIENTES"/>
    <s v="8301"/>
    <s v="12/04/2019 08:59"/>
    <s v="002411031"/>
    <s v="800187"/>
    <s v="PITSS"/>
    <s v="ASP"/>
    <x v="14"/>
    <s v="PROL EZEQUIEL MONTES 1"/>
    <s v="QUERETARO-QRO"/>
    <n v="0"/>
    <s v="INTERIOR"/>
    <s v="  "/>
    <s v="&gt;60"/>
    <s v="WF Mono Systems and Legacy Color"/>
    <s v="WF"/>
    <s v="Ciudad principal"/>
    <s v="3-&gt;60"/>
    <n v="1"/>
    <n v="1573.0000000000002"/>
    <n v="1"/>
    <n v="0.94"/>
    <n v="4"/>
    <n v="0.23499999999999999"/>
    <n v="0"/>
    <n v="0"/>
    <d v="2019-04-12T00:00:00"/>
    <d v="2019-04-15T00:00:00"/>
    <n v="1"/>
    <s v="0-1 día"/>
    <n v="0"/>
    <n v="0"/>
    <n v="0"/>
    <n v="1573.0000000000002"/>
  </r>
  <r>
    <s v="ABR-19"/>
    <n v="1"/>
    <s v="2023817"/>
    <s v="SR MANTENIMIENTO CORRECTIVO"/>
    <s v="6705"/>
    <s v="11/04/2019 16:47"/>
    <s v="0A1H022401"/>
    <s v="800187"/>
    <s v="PITSS"/>
    <s v="ASP"/>
    <x v="14"/>
    <s v="BLVD ENCUESTRE MZA 1 LTE 1 LOCAL 14"/>
    <s v="QUERETARO-QRO"/>
    <n v="0"/>
    <s v="INTERIOR"/>
    <n v="94"/>
    <s v="&gt;60"/>
    <s v="WF Mono Systems and Legacy Color"/>
    <s v="WF"/>
    <s v="Ciudad principal"/>
    <s v="3-&gt;60"/>
    <n v="1.1499999999999999"/>
    <n v="1808.95"/>
    <n v="1"/>
    <n v="0.72"/>
    <n v="4"/>
    <n v="0.18"/>
    <n v="0"/>
    <n v="0"/>
    <d v="2019-04-12T00:00:00"/>
    <d v="2019-04-15T00:00:00"/>
    <n v="1"/>
    <s v="0-1 día"/>
    <n v="0"/>
    <n v="0"/>
    <n v="0"/>
    <n v="1808.95"/>
  </r>
  <r>
    <s v="ABR-19"/>
    <n v="1"/>
    <s v="2024241"/>
    <s v="SR MANTENIMIENTO CORRECTIVO"/>
    <s v="6705"/>
    <s v="12/04/2019 13:58"/>
    <s v="0A1H020707"/>
    <s v="800186"/>
    <s v="PITSS"/>
    <s v="ASP"/>
    <x v="7"/>
    <s v="PROL ZARAGOZA 62 A"/>
    <s v="QUERETARO-QRO"/>
    <n v="0"/>
    <s v="INTERIOR"/>
    <n v="65"/>
    <s v="&gt;60"/>
    <s v="WF Mono Systems and Legacy Color"/>
    <s v="WF"/>
    <s v="Ciudad principal"/>
    <s v="3-&gt;60"/>
    <n v="1.1499999999999999"/>
    <n v="1808.95"/>
    <n v="1"/>
    <n v="3.03"/>
    <n v="4"/>
    <n v="0.75749999999999995"/>
    <n v="0"/>
    <n v="0"/>
    <d v="2019-04-12T00:00:00"/>
    <d v="2019-04-15T00:00:00"/>
    <n v="1"/>
    <s v="0-1 día"/>
    <n v="0"/>
    <n v="0"/>
    <n v="0"/>
    <n v="1808.95"/>
  </r>
  <r>
    <s v="ABR-19"/>
    <n v="1"/>
    <s v="2024293"/>
    <s v="SR MANTENIMIENTO CORRECTIVO"/>
    <s v="8045"/>
    <s v="12/04/2019 15:57"/>
    <s v="0Y4X848752"/>
    <s v="800196"/>
    <s v="PITSS"/>
    <s v="ASP"/>
    <x v="11"/>
    <s v="CALLE 7 No 1308"/>
    <s v="Guadalajara-JAL"/>
    <n v="1"/>
    <s v="INTERIOR"/>
    <n v="57"/>
    <s v="Entre 31 y 60"/>
    <s v="Office Digital"/>
    <s v="A3"/>
    <s v="Ciudad principal"/>
    <s v="2-Entre 31 y 60"/>
    <n v="1.05"/>
    <n v="0"/>
    <n v="1"/>
    <n v="1.1299999999999999"/>
    <n v="5"/>
    <n v="0.22599999999999998"/>
    <n v="0"/>
    <n v="0"/>
    <d v="2019-04-12T00:00:00"/>
    <d v="2019-04-15T00:00:00"/>
    <n v="1"/>
    <s v="0-1 día"/>
    <n v="0"/>
    <n v="0"/>
    <n v="0"/>
    <n v="0"/>
  </r>
  <r>
    <s v="ABR-19"/>
    <n v="1"/>
    <s v="2015829"/>
    <s v="SR INSTALACION DE EQUIPO"/>
    <s v="4002"/>
    <s v="27/03/2019 11:40"/>
    <s v="09HB916006"/>
    <s v="800197"/>
    <s v="PITSS"/>
    <s v="ASP"/>
    <x v="14"/>
    <s v="AV VENUSTIANO CARRANZA 2301"/>
    <s v="SAN LUIS POTOSI-SLP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7T00:00:00"/>
    <d v="2019-04-15T00:00:00"/>
    <n v="13"/>
    <s v="&gt;10 días"/>
    <n v="0"/>
    <n v="0"/>
    <n v="0"/>
    <n v="1072.5000000000002"/>
  </r>
  <r>
    <s v="ABR-19"/>
    <n v="1"/>
    <s v="2022325"/>
    <s v="SR MANTENIMIENTO CORRECTIVO"/>
    <s v="0560"/>
    <s v="09/04/2019 10:40"/>
    <s v="0XPN393392"/>
    <s v="800147"/>
    <s v="PITSS"/>
    <s v="ASP"/>
    <x v="7"/>
    <s v="BLV MANUEL J CLOUTHIER SN"/>
    <s v="LEON-GTO"/>
    <n v="0"/>
    <s v="INTERIOR"/>
    <n v="8"/>
    <s v="Entre 7 y 15"/>
    <s v="Entry Production Color Low/Mid"/>
    <s v="Entry Production"/>
    <s v="Ciudad principal"/>
    <s v="3-Entre 7 y 15"/>
    <n v="0.8"/>
    <n v="1258.4000000000003"/>
    <n v="1"/>
    <n v="0.57999999999999996"/>
    <n v="4"/>
    <n v="0.14499999999999999"/>
    <n v="0"/>
    <n v="0"/>
    <d v="2019-04-12T00:00:00"/>
    <d v="2019-04-15T00:00:00"/>
    <n v="1"/>
    <s v="0-1 día"/>
    <n v="0"/>
    <n v="0"/>
    <n v="0"/>
    <n v="1258.4000000000003"/>
  </r>
  <r>
    <s v="ABR-19"/>
    <n v="1"/>
    <s v="2024281"/>
    <s v="SR MANTENIMIENTO CORRECTIVO"/>
    <s v="4310"/>
    <s v="12/04/2019 14:57"/>
    <s v="0BG0972350"/>
    <s v="500083"/>
    <s v="PITSS"/>
    <s v="ASP"/>
    <x v="14"/>
    <s v="EUGENIO GARZA SADA 3525"/>
    <s v="Monterrey-NL"/>
    <n v="0"/>
    <s v="INTERIOR"/>
    <n v="32"/>
    <s v="Entre 31 y 60"/>
    <s v="Light Production Digital Business"/>
    <s v="Entry Production"/>
    <s v="Ciudad principal"/>
    <s v="3-Entre 31 y 60"/>
    <n v="1.1000000000000001"/>
    <n v="1730.3000000000004"/>
    <n v="1"/>
    <n v="2.5499999999999998"/>
    <n v="4"/>
    <n v="0.63749999999999996"/>
    <n v="0"/>
    <n v="0"/>
    <d v="2019-04-12T00:00:00"/>
    <d v="2019-04-15T00:00:00"/>
    <n v="1"/>
    <s v="0-1 día"/>
    <n v="0"/>
    <n v="0"/>
    <n v="0"/>
    <n v="1730.3000000000004"/>
  </r>
  <r>
    <s v="ABR-19"/>
    <n v="1"/>
    <s v="2022975"/>
    <s v="SR MANTENIMIENTO CORRECTIVO"/>
    <s v="3657"/>
    <s v="10/04/2019 11:29"/>
    <s v="0C7X246842"/>
    <s v="800200"/>
    <s v="PITSS"/>
    <s v="ASP"/>
    <x v="15"/>
    <s v="LERDO DE TEJADA No 2007 PB"/>
    <s v="Guadalajara-JAL"/>
    <n v="0"/>
    <s v="INTERIOR"/>
    <n v="55"/>
    <s v="Entre 31 y 60"/>
    <s v="A4 Mono MFPs"/>
    <s v="A4"/>
    <s v="Ciudad principal"/>
    <s v="1-Entre 31 y 60"/>
    <n v="0.8"/>
    <n v="572.00000000000011"/>
    <n v="1"/>
    <n v="1.44"/>
    <n v="5"/>
    <n v="0.28799999999999998"/>
    <n v="0"/>
    <n v="0"/>
    <d v="2019-04-12T00:00:00"/>
    <d v="2019-04-15T00:00:00"/>
    <n v="1"/>
    <s v="0-1 día"/>
    <n v="0"/>
    <n v="0"/>
    <n v="0"/>
    <n v="572.00000000000011"/>
  </r>
  <r>
    <s v="ABR-19"/>
    <n v="1"/>
    <s v="2024375"/>
    <s v="SR MANTENIMIENTO CORRECTIVO"/>
    <s v="4395"/>
    <s v="13/04/2019 16:34"/>
    <s v="0BG2950141"/>
    <s v="800183"/>
    <s v="PITSS"/>
    <s v="ASP"/>
    <x v="7"/>
    <s v="AV LOPEZ MATEOS SUR 1299"/>
    <s v="TLAJOMULCO DE ZU&amp;IGA"/>
    <n v="0"/>
    <s v="INTERIOR"/>
    <n v="82"/>
    <s v="&gt;60"/>
    <s v="Light Production Digital Business"/>
    <s v="Entry Production"/>
    <s v="Ciudad principal"/>
    <s v="3-&gt;60"/>
    <n v="1.1499999999999999"/>
    <n v="1808.95"/>
    <n v="1"/>
    <n v="0"/>
    <n v="4"/>
    <n v="0"/>
    <n v="0"/>
    <n v="0"/>
    <d v="2019-04-15T00:00:00"/>
    <d v="2019-04-15T00:00:00"/>
    <n v="0"/>
    <s v="0-1 día"/>
    <n v="0"/>
    <n v="0"/>
    <n v="0"/>
    <n v="1808.95"/>
  </r>
  <r>
    <s v="ABR-19"/>
    <n v="1"/>
    <s v="2022999"/>
    <s v="SR MANTENIMIENTO CORRECTIVO"/>
    <s v="5866"/>
    <s v="10/04/2019 12:05"/>
    <s v="0EX9297705"/>
    <s v="500028"/>
    <s v="PITSS"/>
    <s v="ASP"/>
    <x v="7"/>
    <s v="CARR MIGUEL ALEMAN OTE 4605"/>
    <s v="GUADALUPE-NL"/>
    <n v="0"/>
    <s v="INTERIOR"/>
    <n v="44"/>
    <s v="Entre 31 y 60"/>
    <s v="Departmental Digital"/>
    <s v="A3"/>
    <s v="Ciudad principal"/>
    <s v="2-Entre 31 y 60"/>
    <n v="1.05"/>
    <n v="1433.25"/>
    <n v="1"/>
    <n v="2.42"/>
    <n v="5"/>
    <n v="0.48399999999999999"/>
    <n v="0"/>
    <n v="0"/>
    <d v="2019-04-15T00:00:00"/>
    <d v="2019-04-15T00:00:00"/>
    <n v="0"/>
    <s v="0-1 día"/>
    <n v="0"/>
    <n v="0"/>
    <n v="0"/>
    <n v="1433.25"/>
  </r>
  <r>
    <s v="ABR-19"/>
    <n v="1"/>
    <s v="2024377"/>
    <s v="SR MANTENIMIENTO CORRECTIVO"/>
    <s v="4395"/>
    <s v="13/04/2019 16:37"/>
    <s v="0BG2951638"/>
    <s v="800183"/>
    <s v="PITSS"/>
    <s v="ASP"/>
    <x v="7"/>
    <s v="AV LOPEZ MATEOS SUR 1299"/>
    <s v="TLAJOMULCO DE ZU&amp;IGA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0.83"/>
    <n v="4"/>
    <n v="0.20749999999999999"/>
    <n v="0"/>
    <n v="0"/>
    <d v="2019-04-15T00:00:00"/>
    <d v="2019-04-15T00:00:00"/>
    <n v="0"/>
    <s v="0-1 día"/>
    <n v="0"/>
    <n v="0"/>
    <n v="0"/>
    <n v="943.80000000000007"/>
  </r>
  <r>
    <s v="ABR-19"/>
    <n v="1"/>
    <s v="2024331"/>
    <s v="SR MANTENIMIENTO CORRECTIVO"/>
    <s v="4395"/>
    <s v="12/04/2019 19:38"/>
    <s v="0BG2951480"/>
    <s v="800197"/>
    <s v="PITSS"/>
    <s v="ASP"/>
    <x v="7"/>
    <s v="AV BENITO JUAREZ 1965"/>
    <s v="SAN LUIS POTOSI-SLP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1.5"/>
    <n v="4"/>
    <n v="0.375"/>
    <n v="0"/>
    <n v="0"/>
    <d v="2019-04-15T00:00:00"/>
    <d v="2019-04-15T00:00:00"/>
    <n v="0"/>
    <s v="0-1 día"/>
    <n v="0"/>
    <n v="0"/>
    <n v="0"/>
    <n v="943.80000000000007"/>
  </r>
  <r>
    <s v="ABR-19"/>
    <n v="1"/>
    <s v="2024807"/>
    <s v="SR MANTENIMIENTO CORRECTIVO"/>
    <s v="4395"/>
    <s v="15/04/2019 08:37"/>
    <s v="0BG2947147"/>
    <s v="800187"/>
    <s v="PITSS"/>
    <s v="ASP"/>
    <x v="7"/>
    <s v="BLV ADOLFO LOPEZ MATEOS 1025"/>
    <s v="CELAYA-GTO"/>
    <n v="0"/>
    <s v="INTERIOR"/>
    <n v="82"/>
    <s v="&gt;60"/>
    <s v="Light Production Digital Business"/>
    <s v="Entry Production"/>
    <s v="Ciudad principal"/>
    <s v="3-&gt;60"/>
    <n v="1.1499999999999999"/>
    <n v="1808.95"/>
    <n v="1"/>
    <n v="1.71"/>
    <n v="4"/>
    <n v="0.42749999999999999"/>
    <n v="0"/>
    <n v="0"/>
    <d v="2019-04-15T00:00:00"/>
    <d v="2019-04-15T00:00:00"/>
    <n v="0"/>
    <s v="0-1 día"/>
    <n v="0"/>
    <n v="0"/>
    <n v="0"/>
    <n v="1808.95"/>
  </r>
  <r>
    <s v="ABR-19"/>
    <n v="1"/>
    <s v="2024791"/>
    <s v="SR MANTENIMIENTO CORRECTIVO"/>
    <s v="4395"/>
    <s v="15/04/2019 08:07"/>
    <s v="0BG2947509"/>
    <s v="800183"/>
    <s v="PITSS"/>
    <s v="ASP"/>
    <x v="7"/>
    <s v="AV ADOLFO LOPEZ MATEOS 1299"/>
    <s v="TLAJOMULCO DE ZU&amp;IGA"/>
    <n v="0"/>
    <s v="INTERIOR"/>
    <n v="95"/>
    <s v="&gt;60"/>
    <s v="Light Production Digital Business"/>
    <s v="Entry Production"/>
    <s v="Ciudad principal"/>
    <s v="3-&gt;60"/>
    <n v="1.1499999999999999"/>
    <n v="1808.95"/>
    <n v="1"/>
    <n v="1.83"/>
    <n v="4"/>
    <n v="0.45750000000000002"/>
    <n v="0"/>
    <n v="0"/>
    <d v="2019-04-15T00:00:00"/>
    <d v="2019-04-15T00:00:00"/>
    <n v="0"/>
    <s v="0-1 día"/>
    <n v="0"/>
    <n v="0"/>
    <n v="0"/>
    <n v="1808.95"/>
  </r>
  <r>
    <s v="ABR-19"/>
    <n v="1"/>
    <s v="2024297"/>
    <s v="SR MANTENIMIENTO CORRECTIVO"/>
    <s v="5955"/>
    <s v="12/04/2019 14:44"/>
    <s v="0X76707644"/>
    <s v="100038"/>
    <s v="PITSS"/>
    <s v="ASP"/>
    <x v="79"/>
    <s v="ACUEDUCTO DEL ALTO LERMA No 2"/>
    <s v="TOLUCA-ESTADO DE MEX"/>
    <n v="0"/>
    <s v="INTERIOR"/>
    <n v="150"/>
    <s v="&gt;60"/>
    <s v="Departmental Digital"/>
    <s v="A3"/>
    <s v="Ciudad principal"/>
    <s v="2-&gt;60"/>
    <n v="1.1000000000000001"/>
    <n v="1501.5000000000002"/>
    <n v="1"/>
    <n v="2.77"/>
    <n v="5"/>
    <n v="0.55400000000000005"/>
    <n v="0"/>
    <n v="0"/>
    <d v="2019-04-15T00:00:00"/>
    <d v="2019-04-15T00:00:00"/>
    <n v="0"/>
    <s v="0-1 día"/>
    <n v="0"/>
    <n v="0"/>
    <n v="0"/>
    <n v="1501.5000000000002"/>
  </r>
  <r>
    <s v="ABR-19"/>
    <n v="1"/>
    <s v="2021419"/>
    <s v="SR MANTENIMIENTO CORRECTIVO"/>
    <s v="0070"/>
    <s v="08/04/2019 08:32"/>
    <s v="0E2B646574"/>
    <s v="800146"/>
    <s v="PITSS"/>
    <s v="ASP"/>
    <x v="7"/>
    <s v="AV BENITO JUAREZ 1965"/>
    <s v="SAN LUIS POTOSI-SLP"/>
    <n v="0"/>
    <s v="INTERIOR"/>
    <n v="41"/>
    <s v="Entre 31 y 60"/>
    <s v="Entry Production Color Low/Mid"/>
    <s v="Entry Production"/>
    <s v="Ciudad principal"/>
    <s v="3-Entre 31 y 60"/>
    <n v="1.1000000000000001"/>
    <n v="1730.3000000000004"/>
    <n v="1"/>
    <n v="4.8366666666666651"/>
    <n v="4"/>
    <n v="1.2091666666666663"/>
    <n v="5.229166666666657E-2"/>
    <n v="-82.25479166666652"/>
    <d v="2019-04-12T00:00:00"/>
    <d v="2019-04-15T00:00:00"/>
    <n v="1"/>
    <s v="0-1 día"/>
    <n v="0"/>
    <n v="0"/>
    <n v="0"/>
    <n v="1648.0452083333339"/>
  </r>
  <r>
    <s v="ABR-19"/>
    <n v="1"/>
    <s v="2018971"/>
    <s v="SR MANTENIMIENTO CORRECTIVO"/>
    <s v="5867"/>
    <s v="02/04/2019 15:02"/>
    <s v="0EX7397457"/>
    <s v="500163"/>
    <s v="PITSS"/>
    <s v="ASP"/>
    <x v="32"/>
    <s v="BLVD ADOLFO LOPEZ MATEOS No 805 PONIENTE"/>
    <s v="Ciudad Victoria-TAM"/>
    <n v="0"/>
    <s v="INTERIOR"/>
    <n v="70"/>
    <s v="&gt;60"/>
    <s v="Office Digital"/>
    <s v="A3"/>
    <s v="Ciudad principal"/>
    <s v="2-&gt;60"/>
    <n v="1.1000000000000001"/>
    <n v="1501.5000000000002"/>
    <n v="1"/>
    <n v="4.97"/>
    <n v="5"/>
    <n v="0.99399999999999999"/>
    <n v="0"/>
    <n v="0"/>
    <d v="2019-04-15T00:00:00"/>
    <d v="2019-04-15T00:00:00"/>
    <n v="0"/>
    <s v="0-1 día"/>
    <n v="0"/>
    <n v="0"/>
    <n v="0"/>
    <n v="1501.5000000000002"/>
  </r>
  <r>
    <s v="ABR-19"/>
    <n v="1"/>
    <s v="2023705"/>
    <s v="SR MANTENIMIENTO CORRECTIVO"/>
    <s v="7546"/>
    <s v="11/04/2019 14:29"/>
    <s v="0XKP536906"/>
    <s v="500155"/>
    <s v="PITSS"/>
    <s v="ASP"/>
    <x v="30"/>
    <s v="AV PARQUE INDUSTRIAL JUAREZ 3328"/>
    <s v="CIUDAD JUAREZ-CHIH"/>
    <n v="0"/>
    <s v="INTERIOR"/>
    <n v="92"/>
    <s v="&gt;60"/>
    <s v="A3 Office Color Laser MFPs"/>
    <s v="A3"/>
    <s v="Ciudad principal"/>
    <s v="2-&gt;60"/>
    <n v="1.1000000000000001"/>
    <n v="1501.5000000000002"/>
    <n v="1"/>
    <n v="0.52"/>
    <n v="5"/>
    <n v="0.10400000000000001"/>
    <n v="0"/>
    <n v="0"/>
    <d v="2019-04-15T00:00:00"/>
    <d v="2019-04-15T00:00:00"/>
    <n v="0"/>
    <s v="0-1 día"/>
    <n v="0"/>
    <n v="0"/>
    <n v="0"/>
    <n v="1501.5000000000002"/>
  </r>
  <r>
    <s v="ABR-19"/>
    <n v="1"/>
    <s v="2024871"/>
    <s v="SR ASISTENCIA A CLIENTES"/>
    <s v="4002"/>
    <s v="15/04/2019 09:39"/>
    <s v="09HB916191"/>
    <s v="500159"/>
    <s v="PITSS"/>
    <s v="ASP"/>
    <x v="27"/>
    <s v="NI&amp;OS HEROES No 1107 ESQUINA CALLE 13 PISO 2"/>
    <s v="Chihuahua-CHIH"/>
    <n v="0"/>
    <s v="INTERIOR"/>
    <s v="  "/>
    <s v="&gt;60"/>
    <s v="A4 Mono MFPs"/>
    <s v="A4"/>
    <s v="Ciudad principal"/>
    <s v="1-&gt;60"/>
    <n v="1"/>
    <n v="715.00000000000011"/>
    <n v="1"/>
    <n v="1.35"/>
    <n v="5"/>
    <n v="0.27"/>
    <n v="0"/>
    <n v="0"/>
    <d v="2019-04-15T00:00:00"/>
    <d v="2019-04-15T00:00:00"/>
    <n v="0"/>
    <s v="0-1 día"/>
    <n v="0"/>
    <n v="0"/>
    <n v="0"/>
    <n v="715.00000000000011"/>
  </r>
  <r>
    <s v="ABR-19"/>
    <n v="1"/>
    <s v="2024157"/>
    <s v="SR MANTENIMIENTO CORRECTIVO"/>
    <s v="4395"/>
    <s v="12/04/2019 11:05"/>
    <s v="0BG2940184"/>
    <s v="800192"/>
    <s v="PITSS"/>
    <s v="ASP"/>
    <x v="7"/>
    <s v="MANUEL J CLOUTHIER 888"/>
    <s v="ZAPOPAN-JAL"/>
    <n v="0"/>
    <s v="INTERIOR"/>
    <n v="14"/>
    <s v="Entre 7 y 15"/>
    <s v="Light Production Digital Business"/>
    <s v="Entry Production"/>
    <s v="Ciudad principal"/>
    <s v="3-Entre 7 y 15"/>
    <n v="0.8"/>
    <n v="1258.4000000000003"/>
    <n v="1"/>
    <n v="1.32"/>
    <n v="4"/>
    <n v="0.33"/>
    <n v="0"/>
    <n v="0"/>
    <d v="2019-04-15T00:00:00"/>
    <d v="2019-04-15T00:00:00"/>
    <n v="0"/>
    <s v="0-1 día"/>
    <n v="0"/>
    <n v="0"/>
    <n v="0"/>
    <n v="1258.4000000000003"/>
  </r>
  <r>
    <s v="ABR-19"/>
    <n v="1"/>
    <s v="2024869"/>
    <s v="SR ASISTENCIA A CLIENTES"/>
    <s v="4002"/>
    <s v="15/04/2019 09:36"/>
    <s v="9HB914002"/>
    <s v="500161"/>
    <s v="PITSS"/>
    <s v="ASP"/>
    <x v="27"/>
    <s v="ALEJANDRO DUMAS 1326"/>
    <s v="Chihuahua-CHIH"/>
    <n v="0"/>
    <s v="INTERIOR"/>
    <s v="  "/>
    <s v="&gt;60"/>
    <s v="A4 Mono MFPs"/>
    <s v="A4"/>
    <s v="Ciudad principal"/>
    <s v="1-&gt;60"/>
    <n v="1"/>
    <n v="715.00000000000011"/>
    <n v="1"/>
    <n v="1.9"/>
    <n v="5"/>
    <n v="0.38"/>
    <n v="0"/>
    <n v="0"/>
    <d v="2019-04-15T00:00:00"/>
    <d v="2019-04-15T00:00:00"/>
    <n v="0"/>
    <s v="0-1 día"/>
    <n v="0"/>
    <n v="0"/>
    <n v="0"/>
    <n v="715.00000000000011"/>
  </r>
  <r>
    <s v="ABR-19"/>
    <n v="1"/>
    <s v="2024989"/>
    <s v="SR MANTENIMIENTO CORRECTIVO"/>
    <s v="6705"/>
    <s v="15/04/2019 11:32"/>
    <s v="0A1H022210"/>
    <s v="800183"/>
    <s v="PITSS"/>
    <s v="ASP"/>
    <x v="14"/>
    <s v="AV LOPEZ MATEOS SUR No 7000"/>
    <s v="Tlajomulco De Zu&amp;Iga"/>
    <n v="0"/>
    <s v="INTERIOR"/>
    <n v="251"/>
    <s v="&gt;60"/>
    <s v="WF Mono Systems and Legacy Color"/>
    <s v="WF"/>
    <s v="Ciudad principal"/>
    <s v="3-&gt;60"/>
    <n v="1.1499999999999999"/>
    <n v="1808.95"/>
    <n v="1"/>
    <n v="1.97"/>
    <n v="4"/>
    <n v="0.49249999999999999"/>
    <n v="0"/>
    <n v="0"/>
    <d v="2019-04-15T00:00:00"/>
    <d v="2019-04-15T00:00:00"/>
    <n v="0"/>
    <s v="0-1 día"/>
    <n v="0"/>
    <n v="0"/>
    <n v="0"/>
    <n v="1808.95"/>
  </r>
  <r>
    <s v="ABR-19"/>
    <n v="1"/>
    <s v="2015699"/>
    <s v="SR MANTENIMIENTO CORRECTIVO"/>
    <s v="4395"/>
    <s v="27/03/2019 09:18"/>
    <s v="0BG2947932"/>
    <s v="800186"/>
    <s v="PITSS"/>
    <s v="ASP"/>
    <x v="7"/>
    <s v="EZEQUIEL MONTES 8"/>
    <s v="QUERETARO-QRO"/>
    <n v="0"/>
    <s v="INTERIOR"/>
    <n v="41"/>
    <s v="Entre 31 y 60"/>
    <s v="Light Production Digital Business"/>
    <s v="Entry Production"/>
    <s v="Ciudad principal"/>
    <s v="3-Entre 31 y 60"/>
    <n v="1.1000000000000001"/>
    <n v="1730.3000000000004"/>
    <n v="1"/>
    <n v="1.6"/>
    <n v="4"/>
    <n v="0.4"/>
    <n v="0"/>
    <n v="0"/>
    <d v="2019-04-15T00:00:00"/>
    <d v="2019-04-15T00:00:00"/>
    <n v="0"/>
    <s v="0-1 día"/>
    <n v="0"/>
    <n v="0"/>
    <n v="0"/>
    <n v="1730.3000000000004"/>
  </r>
  <r>
    <s v="ABR-19"/>
    <n v="1"/>
    <s v="2024307"/>
    <s v="SR MANTENIMIENTO CORRECTIVO"/>
    <s v="8055"/>
    <s v="12/04/2019 16:56"/>
    <s v="0Y4X831638"/>
    <s v="500080"/>
    <s v="PITSS"/>
    <s v="ASP"/>
    <x v="3"/>
    <s v="PREDIO SANTO TOMAS SN"/>
    <s v="Hidalgo Del Parral-C"/>
    <n v="0"/>
    <s v="INTERIOR"/>
    <n v="123"/>
    <s v="&gt;60"/>
    <s v="Departmental Digital"/>
    <s v="A3"/>
    <s v="Otras"/>
    <s v="2-&gt;60"/>
    <n v="1.1000000000000001"/>
    <n v="1501.5000000000002"/>
    <n v="1"/>
    <n v="3.57"/>
    <n v="9"/>
    <n v="0.39666666666666667"/>
    <n v="0"/>
    <n v="0"/>
    <d v="2019-04-15T00:00:00"/>
    <d v="2019-04-15T00:00:00"/>
    <n v="0"/>
    <s v="0-1 día"/>
    <n v="0"/>
    <n v="0"/>
    <n v="0"/>
    <n v="1501.5000000000002"/>
  </r>
  <r>
    <s v="ABR-19"/>
    <n v="1"/>
    <s v="2021709"/>
    <s v="SR INSTALACION DE EQUIPO"/>
    <s v="8301"/>
    <s v="08/04/2019 12:33"/>
    <s v="001161065"/>
    <s v="800074"/>
    <s v="PITSS"/>
    <s v="ASP"/>
    <x v="10"/>
    <s v="TENIENTE JOSE ESPINOZA FUENTES S/N ENTRE AV DECIMA"/>
    <s v="Morelia-MICH"/>
    <n v="0"/>
    <s v="INTERIOR"/>
    <s v="  "/>
    <s v="&gt;60"/>
    <s v="WF Mono Systems and Legacy Color"/>
    <s v="WF"/>
    <s v="Ciudad principal"/>
    <s v="3-&gt;60"/>
    <n v="1"/>
    <n v="2359.5000000000005"/>
    <n v="0"/>
    <n v="4"/>
    <n v="4"/>
    <n v="1"/>
    <n v="0"/>
    <n v="0"/>
    <d v="2019-04-08T00:00:00"/>
    <d v="2019-04-15T00:00:00"/>
    <n v="5"/>
    <s v="4-5 días"/>
    <n v="0"/>
    <n v="0"/>
    <n v="0"/>
    <n v="2359.5000000000005"/>
  </r>
  <r>
    <s v="ABR-19"/>
    <n v="1"/>
    <s v="2025047"/>
    <s v="SR RETIRO CAMBIO DE LUGAR"/>
    <s v="0070"/>
    <s v="15/04/2019 12:29"/>
    <s v="0E2B654080"/>
    <s v="800187"/>
    <s v="PITSS"/>
    <s v="ASP"/>
    <x v="7"/>
    <s v="ANILLO VIAL II JUNIPERO SERRA NO. 21260 PAD.5 CENT"/>
    <s v="Queretaro-QRO"/>
    <n v="0"/>
    <s v="INTERIOR"/>
    <s v="  "/>
    <s v="&gt;60"/>
    <s v="Entry Production Color Low/Mid"/>
    <s v="Entry Production"/>
    <s v="Ciudad principal"/>
    <s v="3-&gt;60"/>
    <n v="1"/>
    <n v="1573.0000000000002"/>
    <n v="0"/>
    <n v="4"/>
    <n v="4"/>
    <n v="1"/>
    <n v="0"/>
    <n v="0"/>
    <d v="2019-04-15T00:00:00"/>
    <d v="2019-04-15T00:00:00"/>
    <n v="0"/>
    <s v="0-1 día"/>
    <n v="0"/>
    <n v="0"/>
    <n v="0"/>
    <n v="1573.0000000000002"/>
  </r>
  <r>
    <s v="ABR-19"/>
    <n v="1"/>
    <s v="2024983"/>
    <s v="SR MANTENIMIENTO CORRECTIVO"/>
    <s v="5866"/>
    <s v="15/04/2019 11:26"/>
    <s v="0EX9293159"/>
    <s v="800147"/>
    <s v="PITSS"/>
    <s v="ASP"/>
    <x v="14"/>
    <s v="BLVD ADOLFO LOPEZ MATEOS 2540"/>
    <s v="LEON-GTO"/>
    <n v="0"/>
    <s v="INTERIOR"/>
    <n v="11"/>
    <s v="Entre 7 y 15"/>
    <s v="Departmental Digital"/>
    <s v="A3"/>
    <s v="Ciudad principal"/>
    <s v="2-Entre 7 y 15"/>
    <n v="0.6"/>
    <n v="819"/>
    <n v="1"/>
    <n v="0.32"/>
    <n v="5"/>
    <n v="6.4000000000000001E-2"/>
    <n v="0"/>
    <n v="0"/>
    <d v="2019-04-15T00:00:00"/>
    <d v="2019-04-15T00:00:00"/>
    <n v="0"/>
    <s v="0-1 día"/>
    <n v="0"/>
    <n v="0"/>
    <n v="0"/>
    <n v="819"/>
  </r>
  <r>
    <s v="ABR-19"/>
    <n v="1"/>
    <s v="2023089"/>
    <s v="SR MANTENIMIENTO CORRECTIVO"/>
    <s v="8046"/>
    <s v="10/04/2019 13:32"/>
    <s v="08TB572633"/>
    <s v="500157"/>
    <s v="PITSS"/>
    <s v="ASP"/>
    <x v="68"/>
    <s v="AV DEL CHARRO No 1750 NTE"/>
    <s v="Ciudad Juarez-CHIH"/>
    <n v="0"/>
    <s v="INTERIOR"/>
    <n v="345"/>
    <s v="&gt;60"/>
    <s v="A3 Office Color Laser MFPs"/>
    <s v="A3"/>
    <s v="Ciudad principal"/>
    <s v="2-&gt;60"/>
    <n v="1.1000000000000001"/>
    <n v="1501.5000000000002"/>
    <n v="1"/>
    <n v="0.47"/>
    <n v="5"/>
    <n v="9.4E-2"/>
    <n v="0"/>
    <n v="0"/>
    <d v="2019-04-15T00:00:00"/>
    <d v="2019-04-15T00:00:00"/>
    <n v="0"/>
    <s v="0-1 día"/>
    <n v="0"/>
    <n v="0"/>
    <n v="0"/>
    <n v="1501.5000000000002"/>
  </r>
  <r>
    <s v="ABR-19"/>
    <n v="1"/>
    <s v="2023763"/>
    <s v="SR MANTENIMIENTO CORRECTIVO"/>
    <s v="5866"/>
    <s v="11/04/2019 15:53"/>
    <s v="0EX9293515"/>
    <s v="800072"/>
    <s v="PITSS"/>
    <s v="ASP"/>
    <x v="14"/>
    <s v="AV PATRIA 1612 MZ 1 LT 30 Y 30A"/>
    <s v="ZAPOPAN-JAL"/>
    <n v="0"/>
    <s v="INTERIOR"/>
    <n v="14"/>
    <s v="Entre 7 y 15"/>
    <s v="Departmental Digital"/>
    <s v="A3"/>
    <s v="Ciudad principal"/>
    <s v="2-Entre 7 y 15"/>
    <n v="0.6"/>
    <n v="819"/>
    <n v="1"/>
    <n v="1.62"/>
    <n v="5"/>
    <n v="0.32400000000000001"/>
    <n v="0"/>
    <n v="0"/>
    <d v="2019-04-15T00:00:00"/>
    <d v="2019-04-15T00:00:00"/>
    <n v="0"/>
    <s v="0-1 día"/>
    <n v="0"/>
    <n v="0"/>
    <n v="0"/>
    <n v="819"/>
  </r>
  <r>
    <s v="ABR-19"/>
    <n v="1"/>
    <s v="2024951"/>
    <s v="SR MANTENIMIENTO CORRECTIVO"/>
    <s v="4310"/>
    <s v="15/04/2019 10:30"/>
    <s v="0BG0973607"/>
    <s v="100037"/>
    <s v="PITSS"/>
    <s v="ASP"/>
    <x v="14"/>
    <s v="LEONA VICARIO No 629"/>
    <s v="Metepec-MEX"/>
    <n v="0"/>
    <s v="INTERIOR"/>
    <n v="26"/>
    <s v="Entre 16 y 30"/>
    <s v="Light Production Digital Business"/>
    <s v="Entry Production"/>
    <s v="Ciudad principal"/>
    <s v="3-Entre 16 y 30"/>
    <n v="1.05"/>
    <n v="1651.6500000000003"/>
    <n v="1"/>
    <n v="1.67"/>
    <n v="4"/>
    <n v="0.41749999999999998"/>
    <n v="0"/>
    <n v="0"/>
    <d v="2019-04-15T00:00:00"/>
    <d v="2019-04-15T00:00:00"/>
    <n v="0"/>
    <s v="0-1 día"/>
    <n v="0"/>
    <n v="0"/>
    <n v="0"/>
    <n v="1651.6500000000003"/>
  </r>
  <r>
    <s v="ABR-19"/>
    <n v="1"/>
    <s v="2022551"/>
    <s v="SR MANTENIMIENTO CORRECTIVO"/>
    <s v="3616"/>
    <s v="09/04/2019 15:18"/>
    <s v="0A2T386303"/>
    <s v="800197"/>
    <s v="PITSS"/>
    <s v="ASP"/>
    <x v="16"/>
    <s v="AVENIDO VENUSTIANO CARRANZA No 1190"/>
    <s v="San Luis Potosi-SLP"/>
    <n v="0"/>
    <s v="INTERIOR"/>
    <n v="12"/>
    <s v="Entre 7 y 15"/>
    <s v="A4 Mono MFPs"/>
    <s v="A4"/>
    <s v="Ciudad principal"/>
    <s v="1-Entre 7 y 15"/>
    <n v="0"/>
    <n v="0"/>
    <n v="1"/>
    <n v="2.2000000000000002"/>
    <n v="5"/>
    <n v="0.44000000000000006"/>
    <n v="0"/>
    <n v="0"/>
    <d v="2019-04-15T00:00:00"/>
    <d v="2019-04-15T00:00:00"/>
    <n v="0"/>
    <s v="0-1 día"/>
    <n v="0"/>
    <n v="0"/>
    <n v="0"/>
    <n v="0"/>
  </r>
  <r>
    <s v="ABR-19"/>
    <n v="1"/>
    <s v="2023829"/>
    <s v="SR MANTENIMIENTO CORRECTIVO"/>
    <s v="6705"/>
    <s v="11/04/2019 17:15"/>
    <s v="0A1H022378"/>
    <s v="500028"/>
    <s v="PITSS"/>
    <s v="ASP"/>
    <x v="14"/>
    <s v="EUGENIO GARZA SADA 3525"/>
    <s v="Monterrey-NL"/>
    <n v="0"/>
    <s v="INTERIOR"/>
    <n v="374"/>
    <s v="&gt;60"/>
    <s v="WF Mono Systems and Legacy Color"/>
    <s v="WF"/>
    <s v="Ciudad principal"/>
    <s v="3-&gt;60"/>
    <n v="1.1499999999999999"/>
    <n v="1808.95"/>
    <n v="1"/>
    <n v="0.25"/>
    <n v="4"/>
    <n v="6.25E-2"/>
    <n v="0"/>
    <n v="0"/>
    <d v="2019-04-15T00:00:00"/>
    <d v="2019-04-15T00:00:00"/>
    <n v="0"/>
    <s v="0-1 día"/>
    <n v="0"/>
    <n v="0"/>
    <n v="0"/>
    <n v="1808.95"/>
  </r>
  <r>
    <s v="ABR-19"/>
    <n v="1"/>
    <s v="2016181"/>
    <s v="SR MANTENIMIENTO CORRECTIVO"/>
    <s v="4395"/>
    <s v="28/03/2019 06:26"/>
    <s v="0BG2951627"/>
    <s v="500093"/>
    <s v="PITSS"/>
    <s v="ASP"/>
    <x v="7"/>
    <s v="AV REFORMA 4243"/>
    <s v="Nuevo Laredo-TAM"/>
    <n v="0"/>
    <s v="INTERIOR"/>
    <n v="12"/>
    <s v="Entre 7 y 15"/>
    <s v="Light Production Digital Business"/>
    <s v="Entry Production"/>
    <s v="Ciudad principal"/>
    <s v="3-Entre 7 y 15"/>
    <n v="0.8"/>
    <n v="1258.4000000000003"/>
    <n v="1"/>
    <n v="2"/>
    <n v="4"/>
    <n v="0.5"/>
    <n v="0"/>
    <n v="0"/>
    <d v="2019-04-15T00:00:00"/>
    <d v="2019-04-15T00:00:00"/>
    <n v="0"/>
    <s v="0-1 día"/>
    <n v="0"/>
    <n v="0"/>
    <n v="0"/>
    <n v="1258.4000000000003"/>
  </r>
  <r>
    <s v="ABR-19"/>
    <n v="1"/>
    <s v="2024053"/>
    <s v="SR MANTENIMIENTO CORRECTIVO"/>
    <s v="7835"/>
    <s v="12/04/2019 09:12"/>
    <s v="0MX1185934"/>
    <s v="500158"/>
    <s v="PITSS"/>
    <s v="ASP"/>
    <x v="18"/>
    <s v="PROL HERMANOS ESCOBAR No 7151-E"/>
    <s v="Ciudad Juarez-CHIH"/>
    <n v="0"/>
    <s v="INTERIOR"/>
    <n v="10"/>
    <s v="Entre 7 y 15"/>
    <s v="A3 Office Color Laser MFPs"/>
    <s v="A3"/>
    <s v="Ciudad principal"/>
    <s v="2-Entre 7 y 15"/>
    <n v="0.6"/>
    <n v="819"/>
    <n v="1"/>
    <n v="1.22"/>
    <n v="5"/>
    <n v="0.24399999999999999"/>
    <n v="0"/>
    <n v="0"/>
    <d v="2019-04-15T00:00:00"/>
    <d v="2019-04-15T00:00:00"/>
    <n v="0"/>
    <s v="0-1 día"/>
    <n v="0"/>
    <n v="0"/>
    <n v="0"/>
    <n v="819"/>
  </r>
  <r>
    <s v="ABR-19"/>
    <n v="1"/>
    <s v="2024585"/>
    <s v="SR MANTENIMIENTO CORRECTIVO"/>
    <s v="5866"/>
    <s v="14/04/2019 17:55"/>
    <s v="0EX9293386"/>
    <s v="800074"/>
    <s v="PITSS"/>
    <s v="ASP"/>
    <x v="14"/>
    <s v="PASEO IRAPUATO 1101"/>
    <s v="IRAPUATO-GTO"/>
    <n v="0"/>
    <s v="INTERIOR"/>
    <n v="16"/>
    <s v="Entre 16 y 30"/>
    <s v="Departmental Digital"/>
    <s v="A3"/>
    <s v="Ciudad principal"/>
    <s v="2-Entre 16 y 30"/>
    <n v="0.8"/>
    <n v="1092"/>
    <n v="1"/>
    <n v="3.5"/>
    <n v="5"/>
    <n v="0.7"/>
    <n v="0"/>
    <n v="0"/>
    <d v="2019-04-15T00:00:00"/>
    <d v="2019-04-15T00:00:00"/>
    <n v="0"/>
    <s v="0-1 día"/>
    <n v="0"/>
    <n v="0"/>
    <n v="0"/>
    <n v="1092"/>
  </r>
  <r>
    <s v="ABR-19"/>
    <n v="1"/>
    <s v="2025147"/>
    <s v="SR MANTENIMIENTO CORRECTIVO"/>
    <s v="4624"/>
    <s v="15/04/2019 14:21"/>
    <s v="0D6X463381"/>
    <s v="500028"/>
    <s v="PITSS"/>
    <s v="ASP"/>
    <x v="30"/>
    <s v="BLVD MILLENIUM No 211"/>
    <s v="Apodaca-NL"/>
    <n v="0"/>
    <s v="INTERIOR"/>
    <n v="2692"/>
    <s v="&gt;60"/>
    <s v="Entry Mono Printers"/>
    <s v="A4"/>
    <s v="Otras"/>
    <s v="1-&gt;60"/>
    <n v="1.05"/>
    <n v="750.75000000000011"/>
    <n v="1"/>
    <n v="1.65"/>
    <n v="9"/>
    <n v="0.18333333333333332"/>
    <n v="0"/>
    <n v="0"/>
    <d v="2019-04-15T00:00:00"/>
    <d v="2019-04-15T00:00:00"/>
    <n v="0"/>
    <s v="0-1 día"/>
    <n v="0"/>
    <n v="0"/>
    <n v="0"/>
    <n v="750.75000000000011"/>
  </r>
  <r>
    <s v="ABR-19"/>
    <n v="1"/>
    <s v="2024587"/>
    <s v="SR MANTENIMIENTO CORRECTIVO"/>
    <s v="5866"/>
    <s v="14/04/2019 17:57"/>
    <s v="0EX9293387"/>
    <s v="800074"/>
    <s v="PITSS"/>
    <s v="ASP"/>
    <x v="14"/>
    <s v="PASEO IRAPUATO 1101"/>
    <s v="IRAPUATO-GTO"/>
    <n v="0"/>
    <s v="INTERIOR"/>
    <n v="39"/>
    <s v="Entre 31 y 60"/>
    <s v="Departmental Digital"/>
    <s v="A3"/>
    <s v="Ciudad principal"/>
    <s v="2-Entre 31 y 60"/>
    <n v="1.05"/>
    <n v="1433.25"/>
    <n v="1"/>
    <n v="4.67"/>
    <n v="5"/>
    <n v="0.93399999999999994"/>
    <n v="0"/>
    <n v="0"/>
    <d v="2019-04-15T00:00:00"/>
    <d v="2019-04-15T00:00:00"/>
    <n v="0"/>
    <s v="0-1 día"/>
    <n v="0"/>
    <n v="0"/>
    <n v="0"/>
    <n v="1433.25"/>
  </r>
  <r>
    <s v="ABR-19"/>
    <n v="1"/>
    <s v="2023785"/>
    <s v="SR MANTENIMIENTO CORRECTIVO"/>
    <s v="4395"/>
    <s v="11/04/2019 16:29"/>
    <s v="0BG2956818"/>
    <s v="800192"/>
    <s v="PITSS"/>
    <s v="ASP"/>
    <x v="80"/>
    <s v="AV ADOLF HORN No 6800"/>
    <s v="Tlajomulco De Zu&amp;Iga"/>
    <n v="0"/>
    <s v="INTERIOR"/>
    <n v="50"/>
    <s v="Entre 31 y 60"/>
    <s v="Light Production Digital Business"/>
    <s v="Entry Production"/>
    <s v="Ciudad principal"/>
    <s v="3-Entre 31 y 60"/>
    <n v="1.1000000000000001"/>
    <n v="1730.3000000000004"/>
    <n v="1"/>
    <n v="1.02"/>
    <n v="4"/>
    <n v="0.255"/>
    <n v="0"/>
    <n v="0"/>
    <d v="2019-04-15T00:00:00"/>
    <d v="2019-04-15T00:00:00"/>
    <n v="0"/>
    <s v="0-1 día"/>
    <n v="0"/>
    <n v="0"/>
    <n v="0"/>
    <n v="1730.3000000000004"/>
  </r>
  <r>
    <s v="ABR-19"/>
    <n v="1"/>
    <s v="2024109"/>
    <s v="SR INSTALACION DE EQUIPO"/>
    <s v="4002"/>
    <s v="12/04/2019 10:10"/>
    <s v="09HB916006"/>
    <s v="800197"/>
    <s v="PITSS"/>
    <s v="ASP"/>
    <x v="14"/>
    <s v="AV VENUSTIANO CARRANZA 2301"/>
    <s v="SAN LUIS POTOSI-SLP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4-12T00:00:00"/>
    <d v="2019-04-15T00:00:00"/>
    <n v="1"/>
    <s v="0-1 día"/>
    <n v="0"/>
    <n v="0"/>
    <n v="0"/>
    <n v="1072.5000000000002"/>
  </r>
  <r>
    <s v="ABR-19"/>
    <n v="1"/>
    <s v="2024931"/>
    <s v="SR INSTALACION ANALISTA"/>
    <s v="4002"/>
    <s v="15/04/2019 10:22"/>
    <s v="09HB916006"/>
    <s v="800197"/>
    <s v="PITSS"/>
    <s v="ASP"/>
    <x v="14"/>
    <s v="AV VENUSTIANO CARRANZA 2301"/>
    <s v="SAN LUIS POTOSI-SLP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4-15T00:00:00"/>
    <d v="2019-04-15T00:00:00"/>
    <n v="0"/>
    <s v="0-1 día"/>
    <n v="0"/>
    <n v="0"/>
    <n v="0"/>
    <n v="715.00000000000011"/>
  </r>
  <r>
    <s v="ABR-19"/>
    <n v="1"/>
    <s v="2025011"/>
    <s v="SR MANTENIMIENTO CORRECTIVO"/>
    <s v="4395"/>
    <s v="15/04/2019 11:48"/>
    <s v="0BG2943221"/>
    <s v="100038"/>
    <s v="PITSS"/>
    <s v="ASP"/>
    <x v="7"/>
    <s v="BLV ISIDRO FABELA SUR 600"/>
    <s v="TOLUCA-MEX"/>
    <n v="0"/>
    <s v="INTERIOR"/>
    <n v="9"/>
    <s v="Entre 7 y 15"/>
    <s v="Light Production Digital Business"/>
    <s v="Entry Production"/>
    <s v="Ciudad principal"/>
    <s v="3-Entre 7 y 15"/>
    <n v="0.8"/>
    <n v="1258.4000000000003"/>
    <n v="1"/>
    <n v="1.7"/>
    <n v="4"/>
    <n v="0.42499999999999999"/>
    <n v="0"/>
    <n v="0"/>
    <d v="2019-04-15T00:00:00"/>
    <d v="2019-04-15T00:00:00"/>
    <n v="0"/>
    <s v="0-1 día"/>
    <n v="0"/>
    <n v="0"/>
    <n v="0"/>
    <n v="1258.4000000000003"/>
  </r>
  <r>
    <s v="ABR-19"/>
    <n v="1"/>
    <s v="2024825"/>
    <s v="SR MANTENIMIENTO CORRECTIVO"/>
    <s v="4002"/>
    <s v="15/04/2019 09:01"/>
    <s v="09HB331352"/>
    <s v="000196"/>
    <s v="PITSS"/>
    <s v="ASP"/>
    <x v="4"/>
    <s v="AV DE LA BARRANCA LOTE No 26  A S/N"/>
    <s v="Cuautitlan Izcalli-E"/>
    <n v="1"/>
    <s v="METRO"/>
    <n v="2692"/>
    <s v="&gt;60"/>
    <s v="A4 Mono MFPs"/>
    <s v="A4"/>
    <s v="Ciudad principal"/>
    <s v="1-&gt;60"/>
    <n v="1.05"/>
    <n v="0"/>
    <n v="1"/>
    <n v="6.76"/>
    <n v="5"/>
    <n v="1.3519999999999999"/>
    <n v="8.7999999999999967E-2"/>
    <n v="0"/>
    <d v="2019-04-15T00:00:00"/>
    <d v="2019-04-15T00:00:00"/>
    <n v="0"/>
    <s v="0-1 día"/>
    <n v="0"/>
    <n v="0"/>
    <n v="0"/>
    <n v="0"/>
  </r>
  <r>
    <s v="ABR-19"/>
    <n v="1"/>
    <s v="2025085"/>
    <s v="SR MANTENIMIENTO CORRECTIVO"/>
    <s v="4002"/>
    <s v="15/04/2019 12:58"/>
    <s v="09HB328042"/>
    <s v="500028"/>
    <s v="PITSS"/>
    <s v="ASP"/>
    <x v="83"/>
    <s v="BLVD GUADALUPE No 403"/>
    <s v="Apodaca-NL"/>
    <n v="0"/>
    <s v="INTERIOR"/>
    <n v="103"/>
    <s v="&gt;60"/>
    <s v="A4 Mono MFPs"/>
    <s v="A4"/>
    <s v="Otras"/>
    <s v="1-&gt;60"/>
    <n v="1.05"/>
    <n v="750.75000000000011"/>
    <n v="1"/>
    <n v="3.7"/>
    <n v="9"/>
    <n v="0.41111111111111115"/>
    <n v="0"/>
    <n v="0"/>
    <d v="2019-04-15T00:00:00"/>
    <d v="2019-04-15T00:00:00"/>
    <n v="0"/>
    <s v="0-1 día"/>
    <n v="0"/>
    <n v="0"/>
    <n v="0"/>
    <n v="750.75000000000011"/>
  </r>
  <r>
    <s v="ABR-19"/>
    <n v="1"/>
    <s v="2024891"/>
    <s v="SR MANTENIMIENTO CORRECTIVO"/>
    <s v="0251"/>
    <s v="15/04/2019 10:00"/>
    <s v="0VGW686533"/>
    <s v="500161"/>
    <s v="PITSS"/>
    <s v="ASP"/>
    <x v="22"/>
    <s v="AV AMERICAS 15"/>
    <s v="CHIHUAHUA-CHIH"/>
    <n v="0"/>
    <s v="INTERIOR"/>
    <n v="31"/>
    <s v="Entre 31 y 60"/>
    <s v="A3 Professional Color Laser MFPs"/>
    <s v="A3"/>
    <s v="Ciudad principal"/>
    <s v="2-Entre 31 y 60"/>
    <n v="1.05"/>
    <n v="1433.25"/>
    <n v="1"/>
    <n v="1"/>
    <n v="5"/>
    <n v="0.2"/>
    <n v="0"/>
    <n v="0"/>
    <d v="2019-04-15T00:00:00"/>
    <d v="2019-04-15T00:00:00"/>
    <n v="0"/>
    <s v="0-1 día"/>
    <n v="0"/>
    <n v="0"/>
    <n v="0"/>
    <n v="1433.25"/>
  </r>
  <r>
    <s v="ABR-19"/>
    <n v="1"/>
    <s v="2025199"/>
    <s v="SR MANTENIMIENTO CORRECTIVO"/>
    <s v="3657"/>
    <s v="15/04/2019 15:01"/>
    <s v="0C7X246884"/>
    <s v="800200"/>
    <s v="PITSS"/>
    <s v="ASP"/>
    <x v="15"/>
    <s v="LERDO DE TEJADA No 2007 PB"/>
    <s v="Guadalajara-JAL"/>
    <n v="0"/>
    <s v="INTERIOR"/>
    <n v="230"/>
    <s v="&gt;60"/>
    <s v="A4 Mono MFPs"/>
    <s v="A4"/>
    <s v="Ciudad principal"/>
    <s v="1-&gt;60"/>
    <n v="1.05"/>
    <n v="750.75000000000011"/>
    <n v="1"/>
    <n v="1.66"/>
    <n v="5"/>
    <n v="0.33199999999999996"/>
    <n v="0"/>
    <n v="0"/>
    <d v="2019-04-15T00:00:00"/>
    <d v="2019-04-15T00:00:00"/>
    <n v="0"/>
    <s v="0-1 día"/>
    <n v="0"/>
    <n v="0"/>
    <n v="0"/>
    <n v="750.75000000000011"/>
  </r>
  <r>
    <s v="ABR-19"/>
    <n v="1"/>
    <s v="2021985"/>
    <s v="SR MANTENIMIENTO CORRECTIVO"/>
    <s v="4395"/>
    <s v="08/04/2019 19:56"/>
    <s v="0BG2949279"/>
    <s v="800197"/>
    <s v="PITSS"/>
    <s v="ASP"/>
    <x v="7"/>
    <s v="AV VENUSTIANO CARRANZA 733"/>
    <s v="SAN LUIS POTOSI-SLP"/>
    <n v="0"/>
    <s v="INTERIOR"/>
    <n v="129"/>
    <s v="&gt;60"/>
    <s v="Light Production Digital Business"/>
    <s v="Entry Production"/>
    <s v="Ciudad principal"/>
    <s v="3-&gt;60"/>
    <n v="1.1499999999999999"/>
    <n v="1808.95"/>
    <n v="1"/>
    <n v="4"/>
    <n v="4"/>
    <n v="1"/>
    <n v="0"/>
    <n v="0"/>
    <d v="2019-04-15T00:00:00"/>
    <d v="2019-04-15T00:00:00"/>
    <n v="0"/>
    <s v="0-1 día"/>
    <n v="0"/>
    <n v="0"/>
    <n v="0"/>
    <n v="1808.95"/>
  </r>
  <r>
    <s v="ABR-19"/>
    <n v="1"/>
    <s v="2021865"/>
    <s v="SR MANTENIMIENTO CORRECTIVO"/>
    <s v="6705"/>
    <s v="08/04/2019 15:15"/>
    <s v="0A1H020640"/>
    <s v="100037"/>
    <s v="PITSS"/>
    <s v="ASP"/>
    <x v="7"/>
    <s v="BLV ISIDRO FABELA SUR 600"/>
    <s v="TOLUCA-MEX"/>
    <n v="0"/>
    <s v="INTERIOR"/>
    <n v="18"/>
    <s v="Entre 16 y 30"/>
    <s v="WF Mono Systems and Legacy Color"/>
    <s v="WF"/>
    <s v="Ciudad principal"/>
    <s v="3-Entre 16 y 30"/>
    <n v="1.05"/>
    <n v="1651.6500000000003"/>
    <n v="1"/>
    <n v="1.3"/>
    <n v="4"/>
    <n v="0.32500000000000001"/>
    <n v="0"/>
    <n v="0"/>
    <d v="2019-04-15T00:00:00"/>
    <d v="2019-04-15T00:00:00"/>
    <n v="0"/>
    <s v="0-1 día"/>
    <n v="0"/>
    <n v="0"/>
    <n v="0"/>
    <n v="1651.6500000000003"/>
  </r>
  <r>
    <s v="ABR-19"/>
    <n v="1"/>
    <s v="2025203"/>
    <s v="SR MANTENIMIENTO CORRECTIVO"/>
    <s v="0075"/>
    <s v="15/04/2019 15:02"/>
    <s v="0XU8464707"/>
    <s v="800185"/>
    <s v="PITSS"/>
    <s v="ASP"/>
    <x v="35"/>
    <s v="GABINO BARREDA No 267 B"/>
    <s v="Colima-COL"/>
    <n v="1"/>
    <s v="INTERIOR"/>
    <n v="6"/>
    <s v="Entre 3 y 6"/>
    <s v="Entry Production Color Mid"/>
    <s v="Entry Production"/>
    <s v="Ciudad principal"/>
    <s v="3-Entre 3 y 6"/>
    <n v="0.6"/>
    <n v="0"/>
    <n v="1"/>
    <n v="1.97"/>
    <n v="4"/>
    <n v="0.49249999999999999"/>
    <n v="0"/>
    <n v="0"/>
    <d v="2019-04-15T00:00:00"/>
    <d v="2019-04-15T00:00:00"/>
    <n v="0"/>
    <s v="0-1 día"/>
    <n v="0"/>
    <n v="0"/>
    <n v="0"/>
    <n v="0"/>
  </r>
  <r>
    <s v="ABR-19"/>
    <n v="1"/>
    <s v="2025207"/>
    <s v="SR MANTENIMIENTO CORRECTIVO"/>
    <s v="3657"/>
    <s v="15/04/2019 15:04"/>
    <s v="0C7X246857"/>
    <s v="800200"/>
    <s v="PITSS"/>
    <s v="ASP"/>
    <x v="15"/>
    <s v="LERDO DE TEJADA No 2007 PB"/>
    <s v="Guadalajara-JAL"/>
    <n v="0"/>
    <s v="INTERIOR"/>
    <n v="42"/>
    <s v="Entre 31 y 60"/>
    <s v="A4 Mono MFPs"/>
    <s v="A4"/>
    <s v="Ciudad principal"/>
    <s v="1-Entre 31 y 60"/>
    <n v="0.8"/>
    <n v="572.00000000000011"/>
    <n v="1"/>
    <n v="2.4300000000000002"/>
    <n v="5"/>
    <n v="0.48600000000000004"/>
    <n v="0"/>
    <n v="0"/>
    <d v="2019-04-15T00:00:00"/>
    <d v="2019-04-15T00:00:00"/>
    <n v="0"/>
    <s v="0-1 día"/>
    <n v="0"/>
    <n v="0"/>
    <n v="0"/>
    <n v="572.00000000000011"/>
  </r>
  <r>
    <s v="ABR-19"/>
    <n v="1"/>
    <s v="2025139"/>
    <s v="SR MANTENIMIENTO CORRECTIVO"/>
    <s v="6705"/>
    <s v="15/04/2019 14:10"/>
    <s v="0A1H022530"/>
    <s v="800183"/>
    <s v="PITSS"/>
    <s v="ASP"/>
    <x v="14"/>
    <s v="AV VALLARTA 5400"/>
    <s v="ZAPOPAN-JAL"/>
    <n v="0"/>
    <s v="INTERIOR"/>
    <n v="39"/>
    <s v="Entre 31 y 60"/>
    <s v="WF Mono Systems and Legacy Color"/>
    <s v="WF"/>
    <s v="Ciudad principal"/>
    <s v="3-Entre 31 y 60"/>
    <n v="1.1000000000000001"/>
    <n v="1730.3000000000004"/>
    <n v="1"/>
    <n v="1.83"/>
    <n v="4"/>
    <n v="0.45750000000000002"/>
    <n v="0"/>
    <n v="0"/>
    <d v="2019-04-15T00:00:00"/>
    <d v="2019-04-15T00:00:00"/>
    <n v="0"/>
    <s v="0-1 día"/>
    <n v="0"/>
    <n v="0"/>
    <n v="0"/>
    <n v="1730.3000000000004"/>
  </r>
  <r>
    <s v="ABR-19"/>
    <n v="1"/>
    <s v="2025213"/>
    <s v="SR MANTENIMIENTO CORRECTIVO"/>
    <s v="8075"/>
    <s v="15/04/2019 15:11"/>
    <s v="03AG880355"/>
    <s v="800072"/>
    <s v="PITSS"/>
    <s v="ASP"/>
    <x v="14"/>
    <s v="AV MEXICO 3370"/>
    <s v="Zapopan-JAL"/>
    <n v="0"/>
    <s v="INTERIOR"/>
    <n v="9"/>
    <s v="Entre 7 y 15"/>
    <s v="Departmental Digital"/>
    <s v="A3"/>
    <s v="Ciudad principal"/>
    <s v="2-Entre 7 y 15"/>
    <n v="0.6"/>
    <n v="819"/>
    <n v="1"/>
    <n v="0.82"/>
    <n v="5"/>
    <n v="0.16399999999999998"/>
    <n v="0"/>
    <n v="0"/>
    <d v="2019-04-15T00:00:00"/>
    <d v="2019-04-15T00:00:00"/>
    <n v="0"/>
    <s v="0-1 día"/>
    <n v="0"/>
    <n v="0"/>
    <n v="0"/>
    <n v="819"/>
  </r>
  <r>
    <s v="ABR-19"/>
    <n v="1"/>
    <s v="2025091"/>
    <s v="SR MANTENIMIENTO CORRECTIVO"/>
    <s v="7025"/>
    <s v="15/04/2019 13:05"/>
    <s v="07CX042311"/>
    <s v="500028"/>
    <s v="PITSS"/>
    <s v="ASP"/>
    <x v="83"/>
    <s v="BLVD GUADALUPE No 403"/>
    <s v="Apodaca-NL"/>
    <n v="0"/>
    <s v="INTERIOR"/>
    <n v="363"/>
    <s v="&gt;60"/>
    <s v="Office Digital"/>
    <s v="A3"/>
    <s v="Otras"/>
    <s v="2-&gt;60"/>
    <n v="1.1000000000000001"/>
    <n v="1501.5000000000002"/>
    <n v="1"/>
    <n v="4.17"/>
    <n v="9"/>
    <n v="0.46333333333333332"/>
    <n v="0"/>
    <n v="0"/>
    <d v="2019-04-15T00:00:00"/>
    <d v="2019-04-15T00:00:00"/>
    <n v="0"/>
    <s v="0-1 día"/>
    <n v="0"/>
    <n v="0"/>
    <n v="0"/>
    <n v="1501.5000000000002"/>
  </r>
  <r>
    <s v="ABR-19"/>
    <n v="1"/>
    <s v="2025167"/>
    <s v="SR MANTENIMIENTO CORRECTIVO"/>
    <s v="6203"/>
    <s v="15/04/2019 14:40"/>
    <s v="0AGD461521"/>
    <s v="500018"/>
    <s v="PITSS"/>
    <s v="ASP"/>
    <x v="7"/>
    <s v="BLV FELIPE PESCADOR 1902 ESQ PEDRO"/>
    <s v="DURANGO-DGO"/>
    <n v="0"/>
    <s v="INTERIOR"/>
    <n v="108"/>
    <s v="&gt;60"/>
    <s v="WF Mono Systems and Legacy Color"/>
    <s v="WF"/>
    <s v="Ciudad principal"/>
    <s v="3-&gt;60"/>
    <n v="1.1499999999999999"/>
    <n v="1808.95"/>
    <n v="1"/>
    <n v="2.4500000000000002"/>
    <n v="4"/>
    <n v="0.61250000000000004"/>
    <n v="0"/>
    <n v="0"/>
    <d v="2019-04-15T00:00:00"/>
    <d v="2019-04-15T00:00:00"/>
    <n v="0"/>
    <s v="0-1 día"/>
    <n v="0"/>
    <n v="0"/>
    <n v="0"/>
    <n v="1808.95"/>
  </r>
  <r>
    <s v="ABR-19"/>
    <n v="1"/>
    <s v="2019469"/>
    <s v="SR MANTENIMIENTO CORRECTIVO"/>
    <s v="8045"/>
    <s v="03/04/2019 13:01"/>
    <s v="0Y4X827535"/>
    <s v="500089"/>
    <s v="PITSS"/>
    <s v="ASP"/>
    <x v="53"/>
    <s v="AV HERMANOS ESCOBAR No 5756"/>
    <s v="Ciudad Juarez-CHIH"/>
    <n v="1"/>
    <s v="INTERIOR"/>
    <n v="21"/>
    <s v="Entre 16 y 30"/>
    <s v="Office Digital"/>
    <s v="A3"/>
    <s v="Ciudad principal"/>
    <s v="2-Entre 16 y 30"/>
    <n v="0.8"/>
    <n v="0"/>
    <n v="1"/>
    <n v="1.51"/>
    <n v="5"/>
    <n v="0.30199999999999999"/>
    <n v="0"/>
    <n v="0"/>
    <d v="2019-04-15T00:00:00"/>
    <d v="2019-04-16T00:00:00"/>
    <n v="1"/>
    <s v="0-1 día"/>
    <n v="0"/>
    <n v="0"/>
    <n v="0"/>
    <n v="0"/>
  </r>
  <r>
    <s v="ABR-19"/>
    <n v="1"/>
    <s v="2023399"/>
    <s v="SR MANTENIMIENTO CORRECTIVO"/>
    <s v="4395"/>
    <s v="11/04/2019 08:29"/>
    <s v="0BG2948808"/>
    <s v="100038"/>
    <s v="PITSS"/>
    <s v="ASP"/>
    <x v="7"/>
    <s v="BLV ALFREDO DEL MAZO 805"/>
    <s v="TOLUCA-MEX"/>
    <n v="0"/>
    <s v="INTERIOR"/>
    <n v="94"/>
    <s v="&gt;60"/>
    <s v="Light Production Digital Business"/>
    <s v="Entry Production"/>
    <s v="Ciudad principal"/>
    <s v="3-&gt;60"/>
    <n v="1.1499999999999999"/>
    <n v="1808.95"/>
    <n v="1"/>
    <n v="4.4833333333333325"/>
    <n v="4"/>
    <n v="1.1208333333333331"/>
    <n v="3.0208333333333282E-2"/>
    <n v="-47.51770833333326"/>
    <d v="2019-04-16T00:00:00"/>
    <d v="2019-04-16T00:00:00"/>
    <n v="0"/>
    <s v="0-1 día"/>
    <n v="0"/>
    <n v="0"/>
    <n v="0"/>
    <n v="1761.4322916666667"/>
  </r>
  <r>
    <s v="ABR-19"/>
    <n v="1"/>
    <s v="2025233"/>
    <s v="SR MANTENIMIENTO CORRECTIVO"/>
    <s v="4624"/>
    <s v="15/04/2019 15:30"/>
    <s v="0D6X459986"/>
    <s v="500093"/>
    <s v="PITSS"/>
    <s v="ASP"/>
    <x v="53"/>
    <s v="CENTRO ITURBIDE No 6970"/>
    <s v="Nuevo Laredo-TAM"/>
    <n v="0"/>
    <s v="INTERIOR"/>
    <n v="542"/>
    <s v="&gt;60"/>
    <s v="Entry Mono Printers"/>
    <s v="A4"/>
    <s v="Ciudad principal"/>
    <s v="1-&gt;60"/>
    <n v="1.05"/>
    <n v="750.75000000000011"/>
    <n v="1"/>
    <n v="2"/>
    <n v="5"/>
    <n v="0.4"/>
    <n v="0"/>
    <n v="0"/>
    <d v="2019-04-16T00:00:00"/>
    <d v="2019-04-16T00:00:00"/>
    <n v="0"/>
    <s v="0-1 día"/>
    <n v="0"/>
    <n v="0"/>
    <n v="0"/>
    <n v="750.75000000000011"/>
  </r>
  <r>
    <s v="ABR-19"/>
    <n v="1"/>
    <s v="2015479"/>
    <s v="SR MANTENIMIENTO CORRECTIVO"/>
    <s v="3616"/>
    <s v="26/03/2019 16:46"/>
    <s v="0A2T370631"/>
    <s v="800197"/>
    <s v="PITSS"/>
    <s v="ASP"/>
    <x v="5"/>
    <s v="CARRETERA SAN LUIS POTOSI OJUELOS No 1510"/>
    <s v="San Luis Potosi-SLP"/>
    <n v="0"/>
    <s v="INTERIOR"/>
    <n v="554"/>
    <s v="&gt;60"/>
    <s v="A4 Mono MFPs"/>
    <s v="A4"/>
    <s v="Ciudad principal"/>
    <s v="1-&gt;60"/>
    <n v="1.05"/>
    <n v="750.75000000000011"/>
    <n v="1"/>
    <n v="2.9"/>
    <n v="5"/>
    <n v="0.57999999999999996"/>
    <n v="0"/>
    <n v="0"/>
    <d v="2019-04-12T00:00:00"/>
    <d v="2019-04-16T00:00:00"/>
    <n v="2"/>
    <s v="2-3 días"/>
    <n v="0.25"/>
    <n v="-178.75000000000003"/>
    <n v="0"/>
    <n v="750.75000000000011"/>
  </r>
  <r>
    <s v="ABR-19"/>
    <n v="1"/>
    <s v="2025225"/>
    <s v="SR MANTENIMIENTO CORRECTIVO"/>
    <s v="0560"/>
    <s v="15/04/2019 15:21"/>
    <s v="0XPN397750"/>
    <s v="800187"/>
    <s v="PITSS"/>
    <s v="ASP"/>
    <x v="7"/>
    <s v="LIBRAMIENTO JOSE MANUEL ZAVALA 165"/>
    <s v="SAN MIGUEL DE ALLEND"/>
    <n v="0"/>
    <s v="INTERIOR"/>
    <n v="96"/>
    <s v="&gt;60"/>
    <s v="Entry Production Color Low/Mid"/>
    <s v="Entry Production"/>
    <s v="Otras"/>
    <s v="3-&gt;60"/>
    <n v="1.1499999999999999"/>
    <n v="1808.95"/>
    <n v="1"/>
    <n v="2.15"/>
    <n v="6"/>
    <n v="0.35833333333333334"/>
    <n v="0"/>
    <n v="0"/>
    <d v="2019-04-16T00:00:00"/>
    <d v="2019-04-16T00:00:00"/>
    <n v="0"/>
    <s v="0-1 día"/>
    <n v="0"/>
    <n v="0"/>
    <n v="0"/>
    <n v="1808.95"/>
  </r>
  <r>
    <s v="ABR-19"/>
    <n v="1"/>
    <s v="2023463"/>
    <s v="SR MANTENIMIENTO CORRECTIVO"/>
    <s v="5955"/>
    <s v="11/04/2019 10:03"/>
    <s v="0X76703918"/>
    <s v="500157"/>
    <s v="PITSS"/>
    <s v="ASP"/>
    <x v="84"/>
    <s v="AV DE LAS TORRES No 2170"/>
    <s v="Ciudad Juarez-CHIH"/>
    <n v="0"/>
    <s v="INTERIOR"/>
    <n v="115"/>
    <s v="&gt;60"/>
    <s v="Departmental Digital"/>
    <s v="A3"/>
    <s v="Ciudad principal"/>
    <s v="2-&gt;60"/>
    <n v="1.1000000000000001"/>
    <n v="1501.5000000000002"/>
    <n v="1"/>
    <n v="1.45"/>
    <n v="5"/>
    <n v="0.28999999999999998"/>
    <n v="0"/>
    <n v="0"/>
    <d v="2019-04-16T00:00:00"/>
    <d v="2019-04-16T00:00:00"/>
    <n v="0"/>
    <s v="0-1 día"/>
    <n v="0"/>
    <n v="0"/>
    <n v="0"/>
    <n v="1501.5000000000002"/>
  </r>
  <r>
    <s v="ABR-19"/>
    <n v="1"/>
    <s v="2025131"/>
    <s v="SR MANTENIMIENTO CORRECTIVO"/>
    <s v="8045"/>
    <s v="15/04/2019 14:03"/>
    <s v="0Y4X842970"/>
    <s v="800147"/>
    <s v="PITSS"/>
    <s v="ASP"/>
    <x v="47"/>
    <s v="CARRETERA FEDERAL IRAPUATO-ABASOLO KM 10.6"/>
    <s v="Guanajuato-GTO"/>
    <n v="0"/>
    <s v="INTERIOR"/>
    <n v="63"/>
    <s v="&gt;60"/>
    <s v="Office Digital"/>
    <s v="A3"/>
    <s v="Ciudad principal"/>
    <s v="2-&gt;60"/>
    <n v="1.1000000000000001"/>
    <n v="1501.5000000000002"/>
    <n v="1"/>
    <n v="3.53"/>
    <n v="5"/>
    <n v="0.70599999999999996"/>
    <n v="0"/>
    <n v="0"/>
    <d v="2019-04-16T00:00:00"/>
    <d v="2019-04-16T00:00:00"/>
    <n v="0"/>
    <s v="0-1 día"/>
    <n v="0"/>
    <n v="0"/>
    <n v="0"/>
    <n v="1501.5000000000002"/>
  </r>
  <r>
    <s v="ABR-19"/>
    <n v="1"/>
    <s v="2025323"/>
    <s v="SR MANTENIMIENTO CORRECTIVO"/>
    <s v="5866"/>
    <s v="15/04/2019 19:12"/>
    <s v="0EX9664404"/>
    <s v="800072"/>
    <s v="PITSS"/>
    <s v="ASP"/>
    <x v="14"/>
    <s v="AV PATRIA 1612 MZ 1 LT 30 Y 30A"/>
    <s v="ZAPOPAN-JAL"/>
    <n v="0"/>
    <s v="INTERIOR"/>
    <n v="48"/>
    <s v="Entre 31 y 60"/>
    <s v="Departmental Digital"/>
    <s v="A3"/>
    <s v="Ciudad principal"/>
    <s v="2-Entre 31 y 60"/>
    <n v="1.05"/>
    <n v="1433.25"/>
    <n v="1"/>
    <n v="1.5"/>
    <n v="5"/>
    <n v="0.3"/>
    <n v="0"/>
    <n v="0"/>
    <d v="2019-04-16T00:00:00"/>
    <d v="2019-04-16T00:00:00"/>
    <n v="0"/>
    <s v="0-1 día"/>
    <n v="0"/>
    <n v="0"/>
    <n v="0"/>
    <n v="1433.25"/>
  </r>
  <r>
    <s v="ABR-19"/>
    <n v="1"/>
    <s v="2024275"/>
    <s v="SR MANTENIMIENTO CORRECTIVO"/>
    <s v="8075"/>
    <s v="12/04/2019 14:44"/>
    <s v="03AG879544"/>
    <s v="800072"/>
    <s v="PITSS"/>
    <s v="ASP"/>
    <x v="14"/>
    <s v="MARIANO OTERO No 1614"/>
    <s v="Zapopan-JAL"/>
    <n v="0"/>
    <s v="INTERIOR"/>
    <n v="18"/>
    <s v="Entre 16 y 30"/>
    <s v="Departmental Digital"/>
    <s v="A3"/>
    <s v="Ciudad principal"/>
    <s v="2-Entre 16 y 30"/>
    <n v="0.8"/>
    <n v="1092"/>
    <n v="1"/>
    <n v="2.77"/>
    <n v="5"/>
    <n v="0.55400000000000005"/>
    <n v="0"/>
    <n v="0"/>
    <d v="2019-04-16T00:00:00"/>
    <d v="2019-04-16T00:00:00"/>
    <n v="0"/>
    <s v="0-1 día"/>
    <n v="0"/>
    <n v="0"/>
    <n v="0"/>
    <n v="1092"/>
  </r>
  <r>
    <s v="ABR-19"/>
    <n v="1"/>
    <s v="2025065"/>
    <s v="SR MANTENIMIENTO CORRECTIVO"/>
    <s v="5337"/>
    <s v="15/04/2019 12:40"/>
    <s v="0AE9551066"/>
    <s v="100039"/>
    <s v="PITSS"/>
    <s v="ASP"/>
    <x v="61"/>
    <s v="INDUSTRIA QUIMICA S/N"/>
    <s v="TOLUCA-MEX"/>
    <n v="1"/>
    <s v="INTERIOR"/>
    <n v="42"/>
    <s v="Entre 31 y 60"/>
    <s v="Office Digital"/>
    <s v="A3"/>
    <s v="Ciudad principal"/>
    <s v="2-Entre 31 y 60"/>
    <n v="1.05"/>
    <n v="0"/>
    <n v="1"/>
    <n v="0.26"/>
    <n v="5"/>
    <n v="5.2000000000000005E-2"/>
    <n v="0"/>
    <n v="0"/>
    <d v="2019-04-16T00:00:00"/>
    <d v="2019-04-16T00:00:00"/>
    <n v="0"/>
    <s v="0-1 día"/>
    <n v="0"/>
    <n v="0"/>
    <n v="0"/>
    <n v="0"/>
  </r>
  <r>
    <s v="ABR-19"/>
    <n v="1"/>
    <s v="2025313"/>
    <s v="SR MANTENIMIENTO CORRECTIVO"/>
    <s v="8301"/>
    <s v="15/04/2019 18:08"/>
    <s v="001021065"/>
    <s v="500036"/>
    <s v="PITSS"/>
    <s v="ASP"/>
    <x v="10"/>
    <s v="AVENIDA PARQUE VIA 198"/>
    <s v="CUAUHTEMOC-CIUDAD DE"/>
    <n v="0"/>
    <s v="INTERIOR"/>
    <n v="21"/>
    <s v="Entre 16 y 30"/>
    <s v="WF Mono Systems and Legacy Color"/>
    <s v="WF"/>
    <s v="Ciudad principal"/>
    <s v="3-Entre 16 y 30"/>
    <n v="1.05"/>
    <n v="1651.6500000000003"/>
    <n v="1"/>
    <n v="3.65"/>
    <n v="4"/>
    <n v="0.91249999999999998"/>
    <n v="0"/>
    <n v="0"/>
    <d v="2019-04-16T00:00:00"/>
    <d v="2019-04-16T00:00:00"/>
    <n v="0"/>
    <s v="0-1 día"/>
    <n v="0"/>
    <n v="0"/>
    <n v="0"/>
    <n v="1651.6500000000003"/>
  </r>
  <r>
    <s v="ABR-19"/>
    <n v="1"/>
    <s v="2025605"/>
    <s v="SR MANTENIMIENTO CORRECTIVO"/>
    <s v="5955"/>
    <s v="16/04/2019 11:36"/>
    <s v="0X76371424"/>
    <s v="800183"/>
    <s v="PITSS"/>
    <s v="ASP"/>
    <x v="85"/>
    <s v="AV PROLONGACION AMERICAS NO 1905 PISO 8"/>
    <s v="Guadalajara-JAL"/>
    <n v="0"/>
    <s v="INTERIOR"/>
    <n v="40"/>
    <s v="Entre 31 y 60"/>
    <s v="Departmental Digital"/>
    <s v="A3"/>
    <s v="Ciudad principal"/>
    <s v="2-Entre 31 y 60"/>
    <n v="1.05"/>
    <n v="1433.25"/>
    <n v="1"/>
    <n v="1.4"/>
    <n v="5"/>
    <n v="0.27999999999999997"/>
    <n v="0"/>
    <n v="0"/>
    <d v="2019-04-16T00:00:00"/>
    <d v="2019-04-16T00:00:00"/>
    <n v="0"/>
    <s v="0-1 día"/>
    <n v="0"/>
    <n v="0"/>
    <n v="0"/>
    <n v="1433.25"/>
  </r>
  <r>
    <s v="ABR-19"/>
    <n v="1"/>
    <s v="2025459"/>
    <s v="SR MANTENIMIENTO CORRECTIVO"/>
    <s v="3611"/>
    <s v="16/04/2019 09:15"/>
    <s v="0A4T554111"/>
    <s v="500159"/>
    <s v="PITSS"/>
    <s v="ASP"/>
    <x v="30"/>
    <s v="VIALIDAD TABALAOPA 8507"/>
    <s v="CHIHUAHUA-CHIH"/>
    <n v="0"/>
    <s v="INTERIOR"/>
    <n v="62"/>
    <s v="&gt;60"/>
    <s v="Entry Mono Printers"/>
    <s v="A4"/>
    <s v="Ciudad principal"/>
    <s v="1-&gt;60"/>
    <n v="1.05"/>
    <n v="750.75000000000011"/>
    <n v="1"/>
    <n v="1.5"/>
    <n v="5"/>
    <n v="0.3"/>
    <n v="0"/>
    <n v="0"/>
    <d v="2019-04-16T00:00:00"/>
    <d v="2019-04-16T00:00:00"/>
    <n v="0"/>
    <s v="0-1 día"/>
    <n v="0"/>
    <n v="0"/>
    <n v="0"/>
    <n v="750.75000000000011"/>
  </r>
  <r>
    <s v="ABR-19"/>
    <n v="1"/>
    <s v="2025629"/>
    <s v="SR MANTENIMIENTO CORRECTIVO"/>
    <s v="3658"/>
    <s v="16/04/2019 11:55"/>
    <s v="0C4X003106"/>
    <s v="500157"/>
    <s v="PITSS"/>
    <s v="ASP"/>
    <x v="2"/>
    <s v="AV EJERCITO NACIONAL 2926-A2"/>
    <s v="CIUDAD JUAREZ-CHIH"/>
    <n v="0"/>
    <s v="INTERIOR"/>
    <n v="224"/>
    <s v="&gt;60"/>
    <s v="A4 Mono MFPs"/>
    <s v="A4"/>
    <s v="Ciudad principal"/>
    <s v="1-&gt;60"/>
    <n v="1.05"/>
    <n v="750.75000000000011"/>
    <n v="1"/>
    <n v="0.57999999999999996"/>
    <n v="5"/>
    <n v="0.11599999999999999"/>
    <n v="0"/>
    <n v="0"/>
    <d v="2019-04-16T00:00:00"/>
    <d v="2019-04-16T00:00:00"/>
    <n v="0"/>
    <s v="0-1 día"/>
    <n v="0"/>
    <n v="0"/>
    <n v="0"/>
    <n v="750.75000000000011"/>
  </r>
  <r>
    <s v="ABR-19"/>
    <n v="1"/>
    <s v="2012931"/>
    <s v="SR MANTENIMIENTO CORRECTIVO"/>
    <s v="8056"/>
    <s v="21/03/2019 12:57"/>
    <s v="08TB592525"/>
    <s v="500027"/>
    <s v="PITSS"/>
    <s v="ASP"/>
    <x v="39"/>
    <s v="CIRCUITO INTERIOR NORTE No 1820"/>
    <s v="Ciudad Juarez-CHIH"/>
    <n v="1"/>
    <s v="INTERIOR"/>
    <n v="30"/>
    <s v="Entre 16 y 30"/>
    <s v="A3 Office Color Laser MFPs"/>
    <s v="A3"/>
    <s v="Ciudad principal"/>
    <s v="2-Entre 16 y 30"/>
    <n v="0.8"/>
    <n v="0"/>
    <n v="1"/>
    <n v="1.33"/>
    <n v="5"/>
    <n v="0.26600000000000001"/>
    <n v="0"/>
    <n v="0"/>
    <d v="2019-04-16T00:00:00"/>
    <d v="2019-04-16T00:00:00"/>
    <n v="0"/>
    <s v="0-1 día"/>
    <n v="0"/>
    <n v="0"/>
    <n v="0"/>
    <n v="0"/>
  </r>
  <r>
    <s v="ABR-19"/>
    <n v="1"/>
    <s v="2025463"/>
    <s v="SR MANTENIMIENTO CORRECTIVO"/>
    <s v="5866"/>
    <s v="16/04/2019 09:18"/>
    <s v="0EX9293121"/>
    <s v="500083"/>
    <s v="PITSS"/>
    <s v="ASP"/>
    <x v="14"/>
    <s v="AV DE LAS TORRES 2498"/>
    <s v="SAN PEDRO GARZA GARC"/>
    <n v="0"/>
    <s v="INTERIOR"/>
    <n v="25"/>
    <s v="Entre 16 y 30"/>
    <s v="Departmental Digital"/>
    <s v="A3"/>
    <s v="Ciudad principal"/>
    <s v="2-Entre 16 y 30"/>
    <n v="0.8"/>
    <n v="1092"/>
    <n v="1"/>
    <n v="3.37"/>
    <n v="5"/>
    <n v="0.67400000000000004"/>
    <n v="0"/>
    <n v="0"/>
    <d v="2019-04-16T00:00:00"/>
    <d v="2019-04-16T00:00:00"/>
    <n v="0"/>
    <s v="0-1 día"/>
    <n v="0"/>
    <n v="0"/>
    <n v="0"/>
    <n v="1092"/>
  </r>
  <r>
    <s v="ABR-19"/>
    <n v="1"/>
    <s v="2025237"/>
    <s v="SR MANTENIMIENTO CORRECTIVO"/>
    <s v="4624"/>
    <s v="15/04/2019 15:35"/>
    <s v="0D6X459991"/>
    <s v="500093"/>
    <s v="PITSS"/>
    <s v="ASP"/>
    <x v="53"/>
    <s v="CENTRO ITURBIDE No 6970"/>
    <s v="Nuevo Laredo-TAM"/>
    <n v="0"/>
    <s v="INTERIOR"/>
    <n v="152"/>
    <s v="&gt;60"/>
    <s v="Entry Mono Printers"/>
    <s v="A4"/>
    <s v="Ciudad principal"/>
    <s v="1-&gt;60"/>
    <n v="1.05"/>
    <n v="750.75000000000011"/>
    <n v="1"/>
    <n v="1.92"/>
    <n v="5"/>
    <n v="0.38400000000000001"/>
    <n v="0"/>
    <n v="0"/>
    <d v="2019-04-16T00:00:00"/>
    <d v="2019-04-16T00:00:00"/>
    <n v="0"/>
    <s v="0-1 día"/>
    <n v="0"/>
    <n v="0"/>
    <n v="0"/>
    <n v="750.75000000000011"/>
  </r>
  <r>
    <s v="ABR-19"/>
    <n v="1"/>
    <s v="2025661"/>
    <s v="SR MANTENIMIENTO CORRECTIVO"/>
    <s v="4002"/>
    <s v="16/04/2019 12:43"/>
    <s v="09HB331492"/>
    <s v="000195"/>
    <s v="PITSS"/>
    <s v="ASP"/>
    <x v="6"/>
    <s v="EPSILON No 101"/>
    <s v="Coyoacan-CIUDAD DE M"/>
    <n v="1"/>
    <s v="METRO"/>
    <n v="32"/>
    <s v="Entre 31 y 60"/>
    <s v="A4 Mono MFPs"/>
    <s v="A4"/>
    <s v="Ciudad principal"/>
    <s v="1-Entre 31 y 60"/>
    <n v="0.8"/>
    <n v="0"/>
    <n v="1"/>
    <n v="2.11"/>
    <n v="5"/>
    <n v="0.42199999999999999"/>
    <n v="0"/>
    <n v="0"/>
    <d v="2019-04-16T00:00:00"/>
    <d v="2019-04-16T00:00:00"/>
    <n v="0"/>
    <s v="0-1 día"/>
    <n v="0"/>
    <n v="0"/>
    <n v="0"/>
    <n v="0"/>
  </r>
  <r>
    <s v="ABR-19"/>
    <n v="1"/>
    <s v="2024837"/>
    <s v="SR MANTENIMIENTO CORRECTIVO"/>
    <s v="3658"/>
    <s v="15/04/2019 09:06"/>
    <s v="0C4X011365"/>
    <s v="800200"/>
    <s v="PITSS"/>
    <s v="ASP"/>
    <x v="2"/>
    <s v="AV RIO NILO 1000"/>
    <s v="GUADALAJARA-JAL"/>
    <n v="0"/>
    <s v="INTERIOR"/>
    <n v="46"/>
    <s v="Entre 31 y 60"/>
    <s v="A4 Mono MFPs"/>
    <s v="A4"/>
    <s v="Ciudad principal"/>
    <s v="1-Entre 31 y 60"/>
    <n v="0.8"/>
    <n v="572.00000000000011"/>
    <n v="1"/>
    <n v="3.15"/>
    <n v="5"/>
    <n v="0.63"/>
    <n v="0"/>
    <n v="0"/>
    <d v="2019-04-16T00:00:00"/>
    <d v="2019-04-16T00:00:00"/>
    <n v="0"/>
    <s v="0-1 día"/>
    <n v="0"/>
    <n v="0"/>
    <n v="0"/>
    <n v="572.00000000000011"/>
  </r>
  <r>
    <s v="ABR-19"/>
    <n v="1"/>
    <s v="2021739"/>
    <s v="SR MANTENIMIENTO CORRECTIVO"/>
    <s v="0070"/>
    <s v="08/04/2019 13:00"/>
    <s v="0E2B666074"/>
    <s v="500161"/>
    <s v="PITSS"/>
    <s v="ASP"/>
    <x v="14"/>
    <s v="AV MIRADOR 3300"/>
    <s v="CHIHUAHUA-CHIH"/>
    <n v="0"/>
    <s v="INTERIOR"/>
    <n v="14"/>
    <s v="Entre 7 y 15"/>
    <s v="Entry Production Color Low/Mid"/>
    <s v="Entry Production"/>
    <s v="Ciudad principal"/>
    <s v="3-Entre 7 y 15"/>
    <n v="0.8"/>
    <n v="1258.4000000000003"/>
    <n v="1"/>
    <n v="0"/>
    <n v="4"/>
    <n v="0"/>
    <n v="0"/>
    <n v="0"/>
    <d v="2019-04-16T00:00:00"/>
    <d v="2019-04-16T00:00:00"/>
    <n v="0"/>
    <s v="0-1 día"/>
    <n v="0"/>
    <n v="0"/>
    <n v="0"/>
    <n v="1258.4000000000003"/>
  </r>
  <r>
    <s v="ABR-19"/>
    <n v="1"/>
    <s v="2025297"/>
    <s v="SR MANTENIMIENTO CORRECTIVO"/>
    <s v="4002"/>
    <s v="15/04/2019 17:02"/>
    <s v="09HB331395"/>
    <s v="000207"/>
    <s v="PITSS"/>
    <s v="ASP"/>
    <x v="4"/>
    <s v="AV DE LA BARRANCA LOTE No 26  A S/N"/>
    <s v="Cuautitlan Izcalli-E"/>
    <n v="1"/>
    <s v="METRO"/>
    <n v="17"/>
    <s v="Entre 16 y 30"/>
    <s v="A4 Mono MFPs"/>
    <s v="A4"/>
    <s v="Ciudad principal"/>
    <s v="1-Entre 16 y 30"/>
    <n v="0.6"/>
    <n v="0"/>
    <n v="1"/>
    <n v="1.39"/>
    <n v="5"/>
    <n v="0.27799999999999997"/>
    <n v="0"/>
    <n v="0"/>
    <d v="2019-04-16T00:00:00"/>
    <d v="2019-04-16T00:00:00"/>
    <n v="0"/>
    <s v="0-1 día"/>
    <n v="0"/>
    <n v="0"/>
    <n v="0"/>
    <n v="0"/>
  </r>
  <r>
    <s v="ABR-19"/>
    <n v="1"/>
    <s v="2025317"/>
    <s v="SR MANTENIMIENTO CORRECTIVO"/>
    <s v="5866"/>
    <s v="15/04/2019 18:33"/>
    <s v="0EX9665373"/>
    <s v="800147"/>
    <s v="PITSS"/>
    <s v="ASP"/>
    <x v="14"/>
    <s v="BLV ADOLFO LOPEZ MATEOS 2009-B"/>
    <s v="LEON-GTO"/>
    <n v="0"/>
    <s v="INTERIOR"/>
    <n v="36"/>
    <s v="Entre 31 y 60"/>
    <s v="Departmental Digital"/>
    <s v="A3"/>
    <s v="Ciudad principal"/>
    <s v="2-Entre 31 y 60"/>
    <n v="1.05"/>
    <n v="1433.25"/>
    <n v="1"/>
    <n v="4.9800000000000004"/>
    <n v="5"/>
    <n v="0.99600000000000011"/>
    <n v="0"/>
    <n v="0"/>
    <d v="2019-04-16T00:00:00"/>
    <d v="2019-04-16T00:00:00"/>
    <n v="0"/>
    <s v="0-1 día"/>
    <n v="0"/>
    <n v="0"/>
    <n v="0"/>
    <n v="1433.25"/>
  </r>
  <r>
    <s v="ABR-19"/>
    <n v="1"/>
    <s v="2024867"/>
    <s v="SR MANTENIMIENTO CORRECTIVO"/>
    <s v="4603"/>
    <s v="15/04/2019 09:36"/>
    <s v="0XLT278481"/>
    <s v="500155"/>
    <s v="PITSS"/>
    <s v="ASP"/>
    <x v="30"/>
    <s v="AV PARQUE INDUSTRIAL JUAREZ 3328"/>
    <s v="CIUDAD JUAREZ-CHIH"/>
    <n v="0"/>
    <s v="INTERIOR"/>
    <n v="6"/>
    <s v="Entre 3 y 6"/>
    <s v="Entry Mono Printers"/>
    <s v="A4"/>
    <s v="Ciudad principal"/>
    <s v="1-Entre 3 y 6"/>
    <n v="0"/>
    <n v="0"/>
    <n v="1"/>
    <n v="1.9"/>
    <n v="5"/>
    <n v="0.38"/>
    <n v="0"/>
    <n v="0"/>
    <d v="2019-04-16T00:00:00"/>
    <d v="2019-04-16T00:00:00"/>
    <n v="0"/>
    <s v="0-1 día"/>
    <n v="0"/>
    <n v="0"/>
    <n v="0"/>
    <n v="0"/>
  </r>
  <r>
    <s v="ABR-19"/>
    <n v="1"/>
    <s v="2025567"/>
    <s v="SR MANTENIMIENTO CORRECTIVO"/>
    <s v="7142"/>
    <s v="16/04/2019 10:55"/>
    <s v="0PW4111396"/>
    <s v="500168"/>
    <s v="PITSS"/>
    <s v="ASP"/>
    <x v="7"/>
    <s v="AV HEROICO COLEGIO MILITAR 114"/>
    <s v="PIEDRAS NEGRAS-COAH"/>
    <n v="0"/>
    <s v="INTERIOR"/>
    <n v="175"/>
    <s v="&gt;60"/>
    <s v="WF Mono Systems and Legacy Color"/>
    <s v="WF"/>
    <s v="Ciudad principal"/>
    <s v="3-&gt;60"/>
    <n v="1.1499999999999999"/>
    <n v="1808.95"/>
    <n v="1"/>
    <n v="3.13"/>
    <n v="4"/>
    <n v="0.78249999999999997"/>
    <n v="0"/>
    <n v="0"/>
    <d v="2019-04-16T00:00:00"/>
    <d v="2019-04-16T00:00:00"/>
    <n v="0"/>
    <s v="0-1 día"/>
    <n v="0"/>
    <n v="0"/>
    <n v="0"/>
    <n v="1808.95"/>
  </r>
  <r>
    <s v="ABR-19"/>
    <n v="1"/>
    <s v="2016037"/>
    <s v="SR VISITA DE CORTESIA"/>
    <s v="7010"/>
    <s v="27/03/2019 16:42"/>
    <s v="7TX135776"/>
    <s v="800110"/>
    <s v="PITSS"/>
    <s v="ASP"/>
    <x v="86"/>
    <s v="CARR. ZAMORA MORELIA No 45"/>
    <s v="Michoacan-MICH"/>
    <n v="0"/>
    <s v="INTERIOR"/>
    <s v="  "/>
    <s v="&gt;60"/>
    <s v="A3 Office Color Laser MFPs"/>
    <s v="A3"/>
    <s v="Ciudad principal"/>
    <s v="2-&gt;60"/>
    <n v="1"/>
    <n v="1365"/>
    <n v="1"/>
    <n v="12.97"/>
    <n v="5"/>
    <n v="2.5940000000000003"/>
    <n v="0.39850000000000008"/>
    <n v="-543.9525000000001"/>
    <d v="2019-04-16T00:00:00"/>
    <d v="2019-04-16T00:00:00"/>
    <n v="0"/>
    <s v="0-1 día"/>
    <n v="0"/>
    <n v="0"/>
    <n v="0"/>
    <n v="821.0474999999999"/>
  </r>
  <r>
    <s v="ABR-19"/>
    <n v="1"/>
    <s v="2025209"/>
    <s v="SR MANTENIMIENTO CORRECTIVO"/>
    <s v="3657"/>
    <s v="15/04/2019 15:06"/>
    <s v="0C7X246698"/>
    <s v="800192"/>
    <s v="PITSS"/>
    <s v="ASP"/>
    <x v="15"/>
    <s v="LERDO DE TEJADA No 2007 PB"/>
    <s v="Guadalajara-JAL"/>
    <n v="0"/>
    <s v="INTERIOR"/>
    <n v="468"/>
    <s v="&gt;60"/>
    <s v="A4 Mono MFPs"/>
    <s v="A4"/>
    <s v="Ciudad principal"/>
    <s v="1-&gt;60"/>
    <n v="1.05"/>
    <n v="750.75000000000011"/>
    <n v="1"/>
    <n v="2.4"/>
    <n v="5"/>
    <n v="0.48"/>
    <n v="0"/>
    <n v="0"/>
    <d v="2019-04-16T00:00:00"/>
    <d v="2019-04-16T00:00:00"/>
    <n v="0"/>
    <s v="0-1 día"/>
    <n v="0"/>
    <n v="0"/>
    <n v="0"/>
    <n v="750.75000000000011"/>
  </r>
  <r>
    <s v="ABR-19"/>
    <n v="1"/>
    <s v="2025261"/>
    <s v="SR SOFTWARE"/>
    <s v="0070"/>
    <s v="15/04/2019 16:21"/>
    <s v="0E2B666252"/>
    <s v="800197"/>
    <s v="PITSS"/>
    <s v="ASP"/>
    <x v="14"/>
    <s v="AV SALVADOR NAVA MARTINEZ No 3115"/>
    <s v="San Luis Potosi-SLP"/>
    <n v="0"/>
    <s v="INTERIOR"/>
    <s v="  "/>
    <s v="&gt;60"/>
    <s v="Entry Production Color Low/Mid"/>
    <s v="Entry Production"/>
    <s v="Ciudad principal"/>
    <s v="3-&gt;60"/>
    <n v="1"/>
    <n v="1573.0000000000002"/>
    <n v="0"/>
    <n v="4"/>
    <n v="4"/>
    <n v="1"/>
    <n v="0"/>
    <n v="0"/>
    <d v="2019-04-16T00:00:00"/>
    <d v="2019-04-16T00:00:00"/>
    <n v="0"/>
    <s v="0-1 día"/>
    <n v="0"/>
    <n v="0"/>
    <n v="0"/>
    <n v="1573.0000000000002"/>
  </r>
  <r>
    <s v="ABR-19"/>
    <n v="1"/>
    <s v="2025669"/>
    <s v="SR MANTENIMIENTO CORRECTIVO"/>
    <s v="8045"/>
    <s v="16/04/2019 13:08"/>
    <s v="0Y4X848737"/>
    <s v="000195"/>
    <s v="PITSS"/>
    <s v="ASP"/>
    <x v="11"/>
    <s v="AV MIGUEL ANGEL DE QUEVEDO NO 555"/>
    <s v="Coyoacan-CIUDAD DE M"/>
    <n v="1"/>
    <s v="METRO"/>
    <n v="28"/>
    <s v="Entre 16 y 30"/>
    <s v="Office Digital"/>
    <s v="A3"/>
    <s v="Ciudad principal"/>
    <s v="2-Entre 16 y 30"/>
    <n v="0.8"/>
    <n v="0"/>
    <n v="1"/>
    <n v="2.79"/>
    <n v="5"/>
    <n v="0.55800000000000005"/>
    <n v="0"/>
    <n v="0"/>
    <d v="2019-04-16T00:00:00"/>
    <d v="2019-04-16T00:00:00"/>
    <n v="0"/>
    <s v="0-1 día"/>
    <n v="0"/>
    <n v="0"/>
    <n v="0"/>
    <n v="0"/>
  </r>
  <r>
    <s v="ABR-19"/>
    <n v="1"/>
    <s v="2025201"/>
    <s v="SR MANTENIMIENTO CORRECTIVO"/>
    <s v="3657"/>
    <s v="15/04/2019 15:02"/>
    <s v="0C7X246888"/>
    <s v="800192"/>
    <s v="PITSS"/>
    <s v="ASP"/>
    <x v="15"/>
    <s v="LERDO DE TEJADA No 2007 PB"/>
    <s v="Guadalajara-JAL"/>
    <n v="0"/>
    <s v="INTERIOR"/>
    <n v="19"/>
    <s v="Entre 16 y 30"/>
    <s v="A4 Mono MFPs"/>
    <s v="A4"/>
    <s v="Ciudad principal"/>
    <s v="1-Entre 16 y 30"/>
    <n v="0.6"/>
    <n v="429.00000000000006"/>
    <n v="1"/>
    <n v="3.42"/>
    <n v="5"/>
    <n v="0.68399999999999994"/>
    <n v="0"/>
    <n v="0"/>
    <d v="2019-04-16T00:00:00"/>
    <d v="2019-04-16T00:00:00"/>
    <n v="0"/>
    <s v="0-1 día"/>
    <n v="0"/>
    <n v="0"/>
    <n v="0"/>
    <n v="429.00000000000006"/>
  </r>
  <r>
    <s v="ABR-19"/>
    <n v="1"/>
    <s v="2024799"/>
    <s v="SR MANTENIMIENTO CORRECTIVO"/>
    <s v="6705"/>
    <s v="15/04/2019 08:21"/>
    <s v="0A1H020600"/>
    <s v="800147"/>
    <s v="PITSS"/>
    <s v="ASP"/>
    <x v="7"/>
    <s v="BLV JUAN ALONSO DE TORRES 1315-3"/>
    <s v="LEON-GTO"/>
    <n v="0"/>
    <s v="INTERIOR"/>
    <n v="118"/>
    <s v="&gt;60"/>
    <s v="WF Mono Systems and Legacy Color"/>
    <s v="WF"/>
    <s v="Ciudad principal"/>
    <s v="3-&gt;60"/>
    <n v="1.1499999999999999"/>
    <n v="1808.95"/>
    <n v="1"/>
    <n v="0.33"/>
    <n v="4"/>
    <n v="8.2500000000000004E-2"/>
    <n v="0"/>
    <n v="0"/>
    <d v="2019-04-16T00:00:00"/>
    <d v="2019-04-16T00:00:00"/>
    <n v="0"/>
    <s v="0-1 día"/>
    <n v="0"/>
    <n v="0"/>
    <n v="0"/>
    <n v="1808.95"/>
  </r>
  <r>
    <s v="ABR-19"/>
    <n v="1"/>
    <s v="2025647"/>
    <s v="SR MANTENIMIENTO CORRECTIVO"/>
    <s v="5955"/>
    <s v="16/04/2019 12:27"/>
    <s v="0X76703255"/>
    <s v="800200"/>
    <s v="PITSS"/>
    <s v="ASP"/>
    <x v="87"/>
    <s v="AV VALLARTA No 1440 PISO 4"/>
    <s v="Guadalajara-JAL"/>
    <n v="0"/>
    <s v="INTERIOR"/>
    <n v="211"/>
    <s v="&gt;60"/>
    <s v="Departmental Digital"/>
    <s v="A3"/>
    <s v="Ciudad principal"/>
    <s v="2-&gt;60"/>
    <n v="1.1000000000000001"/>
    <n v="1501.5000000000002"/>
    <n v="1"/>
    <n v="3.98"/>
    <n v="5"/>
    <n v="0.79600000000000004"/>
    <n v="0"/>
    <n v="0"/>
    <d v="2019-04-16T00:00:00"/>
    <d v="2019-04-16T00:00:00"/>
    <n v="0"/>
    <s v="0-1 día"/>
    <n v="0"/>
    <n v="0"/>
    <n v="0"/>
    <n v="1501.5000000000002"/>
  </r>
  <r>
    <s v="ABR-19"/>
    <n v="1"/>
    <s v="2024809"/>
    <s v="SR MANTENIMIENTO CORRECTIVO"/>
    <s v="0560"/>
    <s v="15/04/2019 08:42"/>
    <s v="0XPN397749"/>
    <s v="800187"/>
    <s v="PITSS"/>
    <s v="ASP"/>
    <x v="7"/>
    <s v="BLV ADOLFO LOPEZ MATEOS 1025"/>
    <s v="CELAYA-GTO"/>
    <n v="0"/>
    <s v="INTERIOR"/>
    <n v="181"/>
    <s v="&gt;60"/>
    <s v="Entry Production Color Low/Mid"/>
    <s v="Entry Production"/>
    <s v="Ciudad principal"/>
    <s v="3-&gt;60"/>
    <n v="1.1499999999999999"/>
    <n v="1808.95"/>
    <n v="1"/>
    <n v="2.8"/>
    <n v="4"/>
    <n v="0.7"/>
    <n v="0"/>
    <n v="0"/>
    <d v="2019-04-16T00:00:00"/>
    <d v="2019-04-17T00:00:00"/>
    <n v="1"/>
    <s v="0-1 día"/>
    <n v="0"/>
    <n v="0"/>
    <n v="0"/>
    <n v="1808.95"/>
  </r>
  <r>
    <s v="ABR-19"/>
    <n v="1"/>
    <s v="2024279"/>
    <s v="SR MANTENIMIENTO CORRECTIVO"/>
    <s v="5866"/>
    <s v="12/04/2019 14:53"/>
    <s v="0EX9293419"/>
    <s v="500028"/>
    <s v="PITSS"/>
    <s v="ASP"/>
    <x v="14"/>
    <s v="AV GOMEZ MORIN 924"/>
    <s v="SAN PEDRO GARZA GARC"/>
    <n v="0"/>
    <s v="INTERIOR"/>
    <n v="15"/>
    <s v="Entre 7 y 15"/>
    <s v="Departmental Digital"/>
    <s v="A3"/>
    <s v="Ciudad principal"/>
    <s v="2-Entre 7 y 15"/>
    <n v="0.6"/>
    <n v="819"/>
    <n v="1"/>
    <n v="1.1200000000000001"/>
    <n v="5"/>
    <n v="0.22400000000000003"/>
    <n v="0"/>
    <n v="0"/>
    <d v="2019-04-17T00:00:00"/>
    <d v="2019-04-17T00:00:00"/>
    <n v="0"/>
    <s v="0-1 día"/>
    <n v="0"/>
    <n v="0"/>
    <n v="0"/>
    <n v="819"/>
  </r>
  <r>
    <s v="ABR-19"/>
    <n v="1"/>
    <s v="2023471"/>
    <s v="SR MANTENIMIENTO CORRECTIVO"/>
    <s v="1844"/>
    <s v="11/04/2019 10:14"/>
    <s v="0UHA002004"/>
    <s v="800192"/>
    <s v="PITSS"/>
    <s v="ASP"/>
    <x v="33"/>
    <s v="AVENIDA PERIFERICO NORTE No 940"/>
    <s v="Zapopan-JAL"/>
    <n v="0"/>
    <s v="INTERIOR"/>
    <n v="7"/>
    <s v="Entre 7 y 15"/>
    <s v="High End Cut Sheet"/>
    <s v="High Production"/>
    <s v="Ciudad principal"/>
    <s v="4-Entre 7 y 15"/>
    <n v="1.05"/>
    <n v="2252.25"/>
    <n v="1"/>
    <n v="1.1499999999999999"/>
    <n v="3"/>
    <n v="0.3833333333333333"/>
    <n v="0"/>
    <n v="0"/>
    <d v="2019-04-17T00:00:00"/>
    <d v="2019-04-17T00:00:00"/>
    <n v="0"/>
    <s v="0-1 día"/>
    <n v="0"/>
    <n v="0"/>
    <n v="0"/>
    <n v="2252.25"/>
  </r>
  <r>
    <s v="ABR-19"/>
    <n v="1"/>
    <s v="2024065"/>
    <s v="SR MANTENIMIENTO CORRECTIVO"/>
    <s v="4603"/>
    <s v="12/04/2019 09:22"/>
    <s v="0XLT861820"/>
    <s v="500159"/>
    <s v="PITSS"/>
    <s v="ASP"/>
    <x v="30"/>
    <s v="VIALIDAD TABALAOPA 8507"/>
    <s v="CHIHUAHUA-CHIH"/>
    <n v="0"/>
    <s v="INTERIOR"/>
    <n v="178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4-17T00:00:00"/>
    <d v="2019-04-17T00:00:00"/>
    <n v="0"/>
    <s v="0-1 día"/>
    <n v="0"/>
    <n v="0"/>
    <n v="0"/>
    <n v="750.75000000000011"/>
  </r>
  <r>
    <s v="ABR-19"/>
    <n v="1"/>
    <s v="2024311"/>
    <s v="SR MANTENIMIENTO CORRECTIVO"/>
    <s v="0070"/>
    <s v="12/04/2019 17:03"/>
    <s v="0E2B658304"/>
    <s v="500083"/>
    <s v="PITSS"/>
    <s v="ASP"/>
    <x v="14"/>
    <s v="EUGENIO GARZA SADA 3525"/>
    <s v="Monterrey-NL"/>
    <n v="0"/>
    <s v="INTERIOR"/>
    <n v="10"/>
    <s v="Entre 7 y 15"/>
    <s v="Entry Production Color Low/Mid"/>
    <s v="Entry Production"/>
    <s v="Ciudad principal"/>
    <s v="3-Entre 7 y 15"/>
    <n v="0.8"/>
    <n v="1258.4000000000003"/>
    <n v="1"/>
    <n v="0.45"/>
    <n v="4"/>
    <n v="0.1125"/>
    <n v="0"/>
    <n v="0"/>
    <d v="2019-04-17T00:00:00"/>
    <d v="2019-04-17T00:00:00"/>
    <n v="0"/>
    <s v="0-1 día"/>
    <n v="0"/>
    <n v="0"/>
    <n v="0"/>
    <n v="1258.4000000000003"/>
  </r>
  <r>
    <s v="ABR-19"/>
    <n v="1"/>
    <s v="2023781"/>
    <s v="SR MANTENIMIENTO CORRECTIVO"/>
    <s v="8045"/>
    <s v="11/04/2019 16:24"/>
    <s v="0Y4X826690"/>
    <s v="800183"/>
    <s v="PITSS"/>
    <s v="ASP"/>
    <x v="80"/>
    <s v="AV ADOLF HORN No 6800"/>
    <s v="Tlajomulco De Zu&amp;Iga"/>
    <n v="0"/>
    <s v="INTERIOR"/>
    <n v="146"/>
    <s v="&gt;60"/>
    <s v="Office Digital"/>
    <s v="A3"/>
    <s v="Ciudad principal"/>
    <s v="2-&gt;60"/>
    <n v="1.1000000000000001"/>
    <n v="1501.5000000000002"/>
    <n v="1"/>
    <n v="1.6"/>
    <n v="5"/>
    <n v="0.32"/>
    <n v="0"/>
    <n v="0"/>
    <d v="2019-04-17T00:00:00"/>
    <d v="2019-04-17T00:00:00"/>
    <n v="0"/>
    <s v="0-1 día"/>
    <n v="0"/>
    <n v="0"/>
    <n v="0"/>
    <n v="1501.5000000000002"/>
  </r>
  <r>
    <s v="ABR-19"/>
    <n v="1"/>
    <s v="2025677"/>
    <s v="SR MANTENIMIENTO CORRECTIVO"/>
    <s v="4395"/>
    <s v="16/04/2019 13:19"/>
    <s v="0BG2947505"/>
    <s v="800185"/>
    <s v="PITSS"/>
    <s v="ASP"/>
    <x v="7"/>
    <s v="MIGUEL DE LA MADRID 9"/>
    <s v="MANZANILLO-COL"/>
    <n v="1"/>
    <s v="INTERIOR"/>
    <n v="32"/>
    <s v="Entre 31 y 60"/>
    <s v="Light Production Digital Business"/>
    <s v="Entry Production"/>
    <s v="Ciudad principal"/>
    <s v="3-Entre 31 y 60"/>
    <n v="1.1000000000000001"/>
    <n v="0"/>
    <n v="1"/>
    <n v="4.6666666666666661"/>
    <n v="4"/>
    <n v="1.1666666666666665"/>
    <n v="4.166666666666663E-2"/>
    <n v="-65.541666666666615"/>
    <d v="2019-04-17T00:00:00"/>
    <d v="2019-04-17T00:00:00"/>
    <n v="0"/>
    <s v="0-1 día"/>
    <n v="0"/>
    <n v="0"/>
    <n v="0"/>
    <n v="-65.541666666666615"/>
  </r>
  <r>
    <s v="ABR-19"/>
    <n v="1"/>
    <s v="2025729"/>
    <s v="SR MANTENIMIENTO CORRECTIVO"/>
    <s v="8055"/>
    <s v="16/04/2019 15:30"/>
    <s v="0Y4X861067"/>
    <s v="800200"/>
    <s v="PITSS"/>
    <s v="ASP"/>
    <x v="27"/>
    <s v="AV NI&amp;OS HEROES No 1555 INT 103 Y 105"/>
    <s v="Guadalajara-JAL"/>
    <n v="0"/>
    <s v="INTERIOR"/>
    <n v="2693"/>
    <s v="&gt;60"/>
    <s v="Departmental Digital"/>
    <s v="A3"/>
    <s v="Ciudad principal"/>
    <s v="2-&gt;60"/>
    <n v="1.1000000000000001"/>
    <n v="1501.5000000000002"/>
    <n v="1"/>
    <n v="2.38"/>
    <n v="5"/>
    <n v="0.47599999999999998"/>
    <n v="0"/>
    <n v="0"/>
    <d v="2019-04-17T00:00:00"/>
    <d v="2019-04-17T00:00:00"/>
    <n v="0"/>
    <s v="0-1 día"/>
    <n v="0"/>
    <n v="0"/>
    <n v="0"/>
    <n v="1501.5000000000002"/>
  </r>
  <r>
    <s v="ABR-19"/>
    <n v="1"/>
    <s v="2026023"/>
    <s v="SR INSTALACION DE EQUIPO"/>
    <s v="5865"/>
    <s v="17/04/2019 08:18"/>
    <s v="0EX9303605"/>
    <s v="500155"/>
    <s v="PITSS"/>
    <s v="ASP"/>
    <x v="30"/>
    <s v="AV VALLE DEL CEDRO 1681"/>
    <s v="Ciudad Juarez-CHIH"/>
    <n v="0"/>
    <s v="INTERIOR"/>
    <s v="  "/>
    <s v="&gt;60"/>
    <s v="Departmental Digital"/>
    <s v="A3"/>
    <s v="Ciudad principal"/>
    <s v="2-&gt;60"/>
    <n v="1"/>
    <n v="2047.5"/>
    <n v="0"/>
    <n v="5"/>
    <n v="5"/>
    <n v="1"/>
    <n v="0"/>
    <n v="0"/>
    <d v="2019-04-17T00:00:00"/>
    <d v="2019-04-17T00:00:00"/>
    <n v="0"/>
    <s v="0-1 día"/>
    <n v="0"/>
    <n v="0"/>
    <n v="0"/>
    <n v="2047.5"/>
  </r>
  <r>
    <s v="ABR-19"/>
    <n v="1"/>
    <s v="2025807"/>
    <s v="SR MANTENIMIENTO CORRECTIVO"/>
    <s v="5866"/>
    <s v="16/04/2019 23:31"/>
    <s v="0EX9293515"/>
    <s v="800072"/>
    <s v="PITSS"/>
    <s v="ASP"/>
    <x v="14"/>
    <s v="AV PATRIA 1612 MZ 1 LT 30 Y 30A"/>
    <s v="ZAPOPAN-JAL"/>
    <n v="0"/>
    <s v="INTERIOR"/>
    <n v="5"/>
    <s v="Entre 3 y 6"/>
    <s v="Departmental Digital"/>
    <s v="A3"/>
    <s v="Ciudad principal"/>
    <s v="2-Entre 3 y 6"/>
    <n v="0"/>
    <n v="0"/>
    <n v="1"/>
    <n v="1"/>
    <n v="5"/>
    <n v="0.2"/>
    <n v="0"/>
    <n v="0"/>
    <d v="2019-04-17T00:00:00"/>
    <d v="2019-04-17T00:00:00"/>
    <n v="0"/>
    <s v="0-1 día"/>
    <n v="0"/>
    <n v="0"/>
    <n v="0"/>
    <n v="0"/>
  </r>
  <r>
    <s v="ABR-19"/>
    <n v="1"/>
    <s v="2025753"/>
    <s v="SR MANTENIMIENTO PREVENTIVO"/>
    <s v="8570"/>
    <s v="16/04/2019 16:27"/>
    <s v="0XFN116939"/>
    <s v="500159"/>
    <s v="PITSS"/>
    <s v="ASP"/>
    <x v="30"/>
    <s v="CRISTOBAL COLON 11364"/>
    <s v="CHIHUAHUA-CHIH"/>
    <n v="0"/>
    <s v="INTERIOR"/>
    <s v="  "/>
    <s v="&gt;60"/>
    <s v="Color Solid Ink Printers"/>
    <s v="A4"/>
    <s v="Ciudad principal"/>
    <s v="1-&gt;60"/>
    <n v="1"/>
    <n v="715.00000000000011"/>
    <n v="0"/>
    <n v="5"/>
    <n v="5"/>
    <n v="1"/>
    <n v="0"/>
    <n v="0"/>
    <d v="2019-04-16T00:00:00"/>
    <d v="2019-04-17T00:00:00"/>
    <n v="1"/>
    <s v="0-1 día"/>
    <n v="0"/>
    <n v="0"/>
    <n v="0"/>
    <n v="715.00000000000011"/>
  </r>
  <r>
    <s v="ABR-19"/>
    <n v="1"/>
    <s v="2026145"/>
    <s v="SR MANTENIMIENTO CORRECTIVO"/>
    <s v="3346"/>
    <s v="17/04/2019 10:10"/>
    <s v="03BT802611"/>
    <s v="800185"/>
    <s v="PITSS"/>
    <s v="ASP"/>
    <x v="10"/>
    <s v="ABASOLO 337"/>
    <s v="TECOMAN-COL"/>
    <n v="1"/>
    <s v="INTERIOR"/>
    <n v="240"/>
    <s v="&gt;60"/>
    <s v="A4 Mono MFPs"/>
    <s v="A4"/>
    <s v="Ciudad principal"/>
    <s v="1-&gt;60"/>
    <n v="1.05"/>
    <n v="0"/>
    <n v="1"/>
    <n v="1.46"/>
    <n v="5"/>
    <n v="0.29199999999999998"/>
    <n v="0"/>
    <n v="0"/>
    <d v="2019-04-17T00:00:00"/>
    <d v="2019-04-17T00:00:00"/>
    <n v="0"/>
    <s v="0-1 día"/>
    <n v="0"/>
    <n v="0"/>
    <n v="0"/>
    <n v="0"/>
  </r>
  <r>
    <s v="ABR-19"/>
    <n v="1"/>
    <s v="2020827"/>
    <s v="SR MANTENIMIENTO CORRECTIVO"/>
    <s v="6203"/>
    <s v="05/04/2019 14:39"/>
    <s v="0AGC431093"/>
    <s v="500094"/>
    <s v="PITSS"/>
    <s v="ASP"/>
    <x v="10"/>
    <s v="CARR TAMPICO-MANTE 6902"/>
    <s v="TAMPICO-TAM"/>
    <n v="0"/>
    <s v="INTERIOR"/>
    <n v="232"/>
    <s v="&gt;60"/>
    <s v="WF Mono Systems and Legacy Color"/>
    <s v="WF"/>
    <s v="Ciudad principal"/>
    <s v="3-&gt;60"/>
    <n v="1.1499999999999999"/>
    <n v="1808.95"/>
    <n v="1"/>
    <n v="2.85"/>
    <n v="4"/>
    <n v="0.71250000000000002"/>
    <n v="0"/>
    <n v="0"/>
    <d v="2019-04-17T00:00:00"/>
    <d v="2019-04-17T00:00:00"/>
    <n v="0"/>
    <s v="0-1 día"/>
    <n v="0"/>
    <n v="0"/>
    <n v="0"/>
    <n v="1808.95"/>
  </r>
  <r>
    <s v="ABR-19"/>
    <n v="1"/>
    <s v="2026135"/>
    <s v="SR MANTENIMIENTO CORRECTIVO"/>
    <s v="8045"/>
    <s v="17/04/2019 10:07"/>
    <s v="0Y4X848866"/>
    <s v="000196"/>
    <s v="PITSS"/>
    <s v="ASP"/>
    <x v="11"/>
    <s v="AV PASEO DE LA REFORMA No 180 PISO 23"/>
    <s v="Cuauhtemoc-CIUDAD DE"/>
    <n v="1"/>
    <s v="METRO"/>
    <n v="34"/>
    <s v="Entre 31 y 60"/>
    <s v="Office Digital"/>
    <s v="A3"/>
    <s v="Ciudad principal"/>
    <s v="2-Entre 31 y 60"/>
    <n v="1.05"/>
    <n v="0"/>
    <n v="1"/>
    <n v="1.41"/>
    <n v="5"/>
    <n v="0.28199999999999997"/>
    <n v="0"/>
    <n v="0"/>
    <d v="2019-04-17T00:00:00"/>
    <d v="2019-04-17T00:00:00"/>
    <n v="0"/>
    <s v="0-1 día"/>
    <n v="0"/>
    <n v="0"/>
    <n v="0"/>
    <n v="0"/>
  </r>
  <r>
    <s v="ABR-19"/>
    <n v="1"/>
    <s v="2026225"/>
    <s v="SR MANTENIMIENTO CORRECTIVO"/>
    <s v="4002"/>
    <s v="17/04/2019 11:01"/>
    <s v="09HB321648"/>
    <s v="500036"/>
    <s v="PITSS"/>
    <s v="ASP"/>
    <x v="10"/>
    <s v="NEVADO DE TOLUCA 201"/>
    <s v="MONTERREY-NL"/>
    <n v="0"/>
    <s v="INTERIOR"/>
    <n v="295"/>
    <s v="&gt;60"/>
    <s v="A4 Mono MFPs"/>
    <s v="A4"/>
    <s v="Ciudad principal"/>
    <s v="1-&gt;60"/>
    <n v="1.05"/>
    <n v="750.75000000000011"/>
    <n v="1"/>
    <n v="1.33"/>
    <n v="5"/>
    <n v="0.26600000000000001"/>
    <n v="0"/>
    <n v="0"/>
    <d v="2019-04-17T00:00:00"/>
    <d v="2019-04-17T00:00:00"/>
    <n v="0"/>
    <s v="0-1 día"/>
    <n v="0"/>
    <n v="0"/>
    <n v="0"/>
    <n v="750.75000000000011"/>
  </r>
  <r>
    <s v="ABR-19"/>
    <n v="1"/>
    <s v="2024969"/>
    <s v="SR MANTENIMIENTO CORRECTIVO"/>
    <s v="5955"/>
    <s v="15/04/2019 10:53"/>
    <s v="0X76093349"/>
    <s v="500071"/>
    <s v="PITSS"/>
    <s v="ASP"/>
    <x v="69"/>
    <s v="SENDERO NACIONAL KM 3.5"/>
    <s v="Matamoros-TAM"/>
    <n v="0"/>
    <s v="INTERIOR"/>
    <n v="68"/>
    <s v="&gt;60"/>
    <s v="Departmental Digital"/>
    <s v="A3"/>
    <s v="Ciudad principal"/>
    <s v="2-&gt;60"/>
    <n v="1.1000000000000001"/>
    <n v="1501.5000000000002"/>
    <n v="1"/>
    <n v="1.0900000000000001"/>
    <n v="5"/>
    <n v="0.21800000000000003"/>
    <n v="0"/>
    <n v="0"/>
    <d v="2019-04-17T00:00:00"/>
    <d v="2019-04-17T00:00:00"/>
    <n v="0"/>
    <s v="0-1 día"/>
    <n v="0"/>
    <n v="0"/>
    <n v="0"/>
    <n v="1501.5000000000002"/>
  </r>
  <r>
    <s v="ABR-19"/>
    <n v="1"/>
    <s v="2024323"/>
    <s v="SR MANTENIMIENTO CORRECTIVO"/>
    <s v="0070"/>
    <s v="12/04/2019 18:09"/>
    <s v="0E2B646633"/>
    <s v="500056"/>
    <s v="PITSS"/>
    <s v="ASP"/>
    <x v="7"/>
    <s v="BLV MIGUEL HIDALGO 155"/>
    <s v="Reynosa-TAM"/>
    <n v="0"/>
    <s v="INTERIOR"/>
    <n v="36"/>
    <s v="Entre 31 y 60"/>
    <s v="Entry Production Color Low/Mid"/>
    <s v="Entry Production"/>
    <s v="Ciudad principal"/>
    <s v="3-Entre 31 y 60"/>
    <n v="1.1000000000000001"/>
    <n v="1730.3000000000004"/>
    <n v="1"/>
    <n v="1.08"/>
    <n v="4"/>
    <n v="0.27"/>
    <n v="0"/>
    <n v="0"/>
    <d v="2019-04-17T00:00:00"/>
    <d v="2019-04-17T00:00:00"/>
    <n v="0"/>
    <s v="0-1 día"/>
    <n v="0"/>
    <n v="0"/>
    <n v="0"/>
    <n v="1730.3000000000004"/>
  </r>
  <r>
    <s v="ABR-19"/>
    <n v="1"/>
    <s v="2020873"/>
    <s v="SR MANTENIMIENTO CORRECTIVO"/>
    <s v="7835"/>
    <s v="05/04/2019 16:42"/>
    <s v="0MX1219085"/>
    <s v="800072"/>
    <s v="PITSS"/>
    <s v="ASP"/>
    <x v="45"/>
    <s v="LAZARO CARDENAS 1810 PISO 7 Y 8"/>
    <s v="Monterrey-NL"/>
    <n v="0"/>
    <s v="INTERIOR"/>
    <n v="224"/>
    <s v="&gt;60"/>
    <s v="A3 Office Color Laser MFPs"/>
    <s v="A3"/>
    <s v="Ciudad principal"/>
    <s v="2-&gt;60"/>
    <n v="1.1000000000000001"/>
    <n v="1501.5000000000002"/>
    <n v="1"/>
    <n v="0.8"/>
    <n v="5"/>
    <n v="0.16"/>
    <n v="0"/>
    <n v="0"/>
    <d v="2019-04-17T00:00:00"/>
    <d v="2019-04-17T00:00:00"/>
    <n v="0"/>
    <s v="0-1 día"/>
    <n v="0"/>
    <n v="0"/>
    <n v="0"/>
    <n v="1501.5000000000002"/>
  </r>
  <r>
    <s v="ABR-19"/>
    <n v="1"/>
    <s v="2026173"/>
    <s v="SR MANTENIMIENTO CORRECTIVO"/>
    <s v="3616"/>
    <s v="17/04/2019 10:29"/>
    <s v="0A2T200060"/>
    <s v="800200"/>
    <s v="PITSS"/>
    <s v="ASP"/>
    <x v="24"/>
    <s v="AEROPUERTO INTER MIGUEL HIDALGO"/>
    <s v="EL QUINCE-JAL"/>
    <n v="0"/>
    <s v="INTERIOR"/>
    <n v="180"/>
    <s v="&gt;60"/>
    <s v="A4 Mono MFPs"/>
    <s v="A4"/>
    <s v="Ciudad principal"/>
    <s v="1-&gt;60"/>
    <n v="1.05"/>
    <n v="750.75000000000011"/>
    <n v="1"/>
    <n v="4.3499999999999996"/>
    <n v="5"/>
    <n v="0.86999999999999988"/>
    <n v="0"/>
    <n v="0"/>
    <d v="2019-04-17T00:00:00"/>
    <d v="2019-04-17T00:00:00"/>
    <n v="0"/>
    <s v="0-1 día"/>
    <n v="0"/>
    <n v="0"/>
    <n v="0"/>
    <n v="750.75000000000011"/>
  </r>
  <r>
    <s v="ABR-19"/>
    <n v="1"/>
    <s v="2024579"/>
    <s v="SR MANTENIMIENTO CORRECTIVO"/>
    <s v="4395"/>
    <s v="14/04/2019 16:43"/>
    <s v="0BG2948799"/>
    <s v="800192"/>
    <s v="PITSS"/>
    <s v="ASP"/>
    <x v="7"/>
    <s v="AV CIRCUNVALACION No 2700 LOC SA01"/>
    <s v="Guadalajara-JAL"/>
    <n v="0"/>
    <s v="INTERIOR"/>
    <n v="50"/>
    <s v="Entre 31 y 60"/>
    <s v="Light Production Digital Business"/>
    <s v="Entry Production"/>
    <s v="Ciudad principal"/>
    <s v="3-Entre 31 y 60"/>
    <n v="1.1000000000000001"/>
    <n v="1730.3000000000004"/>
    <n v="1"/>
    <n v="0"/>
    <n v="4"/>
    <n v="0"/>
    <n v="0"/>
    <n v="0"/>
    <d v="2019-04-17T00:00:00"/>
    <d v="2019-04-17T00:00:00"/>
    <n v="0"/>
    <s v="0-1 día"/>
    <n v="0"/>
    <n v="0"/>
    <n v="0"/>
    <n v="1730.3000000000004"/>
  </r>
  <r>
    <s v="ABR-19"/>
    <n v="1"/>
    <s v="2026223"/>
    <s v="SR MANTENIMIENTO CORRECTIVO"/>
    <s v="3636"/>
    <s v="17/04/2019 11:00"/>
    <s v="0BB1265406"/>
    <s v="800147"/>
    <s v="PITSS"/>
    <s v="ASP"/>
    <x v="2"/>
    <s v="AV ENRIQUE COLUNGA 1184 LOC SA1"/>
    <s v="Irapuato-GTO"/>
    <n v="0"/>
    <s v="INTERIOR"/>
    <n v="397"/>
    <s v="&gt;60"/>
    <s v="A4 Mono MFPs"/>
    <s v="A4"/>
    <s v="Ciudad principal"/>
    <s v="1-&gt;60"/>
    <n v="1.05"/>
    <n v="750.75000000000011"/>
    <n v="1"/>
    <n v="2.33"/>
    <n v="5"/>
    <n v="0.46600000000000003"/>
    <n v="0"/>
    <n v="0"/>
    <d v="2019-04-17T00:00:00"/>
    <d v="2019-04-18T00:00:00"/>
    <n v="1"/>
    <s v="0-1 día"/>
    <n v="0"/>
    <n v="0"/>
    <n v="0"/>
    <n v="750.75000000000011"/>
  </r>
  <r>
    <s v="ABR-19"/>
    <n v="1"/>
    <s v="2026255"/>
    <s v="SR MANTENIMIENTO CORRECTIVO"/>
    <s v="8045"/>
    <s v="17/04/2019 12:04"/>
    <s v="0Y4X848849"/>
    <s v="000195"/>
    <s v="PITSS"/>
    <s v="ASP"/>
    <x v="11"/>
    <s v="AV MIGUEL ANGEL DE QUEVEDO NO 555"/>
    <s v="Coyoacan-CIUDAD DE M"/>
    <n v="1"/>
    <s v="METRO"/>
    <n v="63"/>
    <s v="&gt;60"/>
    <s v="Office Digital"/>
    <s v="A3"/>
    <s v="Ciudad principal"/>
    <s v="2-&gt;60"/>
    <n v="1.1000000000000001"/>
    <n v="0"/>
    <n v="1"/>
    <n v="1.38"/>
    <n v="5"/>
    <n v="0.27599999999999997"/>
    <n v="0"/>
    <n v="0"/>
    <d v="2019-04-17T00:00:00"/>
    <d v="2019-04-18T00:00:00"/>
    <n v="1"/>
    <s v="0-1 día"/>
    <n v="0"/>
    <n v="0"/>
    <n v="0"/>
    <n v="0"/>
  </r>
  <r>
    <s v="ABR-19"/>
    <n v="1"/>
    <s v="2023131"/>
    <s v="SR MANTENIMIENTO CORRECTIVO"/>
    <s v="8680"/>
    <s v="10/04/2019 14:24"/>
    <s v="0B2R088357"/>
    <s v="800027"/>
    <s v="PITSS"/>
    <s v="ASP"/>
    <x v="35"/>
    <s v="GABINO BARREDA No 267 B"/>
    <s v="Colima-COL"/>
    <n v="1"/>
    <s v="INTERIOR"/>
    <n v="9"/>
    <s v="Entre 7 y 15"/>
    <s v="Entry Production Color Low/Mid"/>
    <s v="Entry Production"/>
    <s v="Ciudad principal"/>
    <s v="3-Entre 7 y 15"/>
    <n v="0.8"/>
    <n v="0"/>
    <n v="1"/>
    <n v="0.35"/>
    <n v="4"/>
    <n v="8.7499999999999994E-2"/>
    <n v="0"/>
    <n v="0"/>
    <d v="2019-04-17T00:00:00"/>
    <d v="2019-04-18T00:00:00"/>
    <n v="1"/>
    <s v="0-1 día"/>
    <n v="0"/>
    <n v="0"/>
    <n v="0"/>
    <n v="0"/>
  </r>
  <r>
    <s v="ABR-19"/>
    <n v="1"/>
    <s v="2026201"/>
    <s v="SR MANTENIMIENTO CORRECTIVO"/>
    <s v="5945"/>
    <s v="17/04/2019 10:42"/>
    <s v="0X76705877"/>
    <s v="500155"/>
    <s v="PITSS"/>
    <s v="ASP"/>
    <x v="30"/>
    <s v="AV FUENTES DEL SUR No 7070"/>
    <s v="Ciudad Juarez-CHIH"/>
    <n v="0"/>
    <s v="INTERIOR"/>
    <n v="1258"/>
    <s v="&gt;60"/>
    <s v="Office Digital"/>
    <s v="A3"/>
    <s v="Ciudad principal"/>
    <s v="2-&gt;60"/>
    <n v="1.1000000000000001"/>
    <n v="1501.5000000000002"/>
    <n v="1"/>
    <n v="1.3"/>
    <n v="5"/>
    <n v="0.26"/>
    <n v="0"/>
    <n v="0"/>
    <d v="2019-04-17T00:00:00"/>
    <d v="2019-04-18T00:00:00"/>
    <n v="1"/>
    <s v="0-1 día"/>
    <n v="0"/>
    <n v="0"/>
    <n v="0"/>
    <n v="1501.5000000000002"/>
  </r>
  <r>
    <s v="ABR-19"/>
    <n v="1"/>
    <s v="2026187"/>
    <s v="SR MANTENIMIENTO CORRECTIVO"/>
    <s v="3611"/>
    <s v="17/04/2019 10:34"/>
    <s v="0A4T037736"/>
    <s v="800200"/>
    <s v="PITSS"/>
    <s v="ASP"/>
    <x v="24"/>
    <s v="ALMACEN FISCALIZADO No 1"/>
    <s v="Jalisco-JAL"/>
    <n v="0"/>
    <s v="INTERIOR"/>
    <n v="560"/>
    <s v="&gt;60"/>
    <s v="Entry Mono Printers"/>
    <s v="A4"/>
    <s v="Ciudad principal"/>
    <s v="1-&gt;60"/>
    <n v="1.05"/>
    <n v="750.75000000000011"/>
    <n v="1"/>
    <n v="3.96"/>
    <n v="5"/>
    <n v="0.79200000000000004"/>
    <n v="0"/>
    <n v="0"/>
    <d v="2019-04-17T00:00:00"/>
    <d v="2019-04-18T00:00:00"/>
    <n v="1"/>
    <s v="0-1 día"/>
    <n v="0"/>
    <n v="0"/>
    <n v="0"/>
    <n v="750.75000000000011"/>
  </r>
  <r>
    <s v="ABR-19"/>
    <n v="1"/>
    <s v="2025461"/>
    <s v="SR MANTENIMIENTO CORRECTIVO"/>
    <s v="5866"/>
    <s v="16/04/2019 09:15"/>
    <s v="0EX9665193"/>
    <s v="500083"/>
    <s v="PITSS"/>
    <s v="ASP"/>
    <x v="14"/>
    <s v="AV DE LAS TORRES No 2498"/>
    <s v="San Pedro Garza Garc"/>
    <n v="0"/>
    <s v="INTERIOR"/>
    <n v="71"/>
    <s v="&gt;60"/>
    <s v="Departmental Digital"/>
    <s v="A3"/>
    <s v="Ciudad principal"/>
    <s v="2-&gt;60"/>
    <n v="1.1000000000000001"/>
    <n v="1501.5000000000002"/>
    <n v="1"/>
    <n v="1.75"/>
    <n v="5"/>
    <n v="0.35"/>
    <n v="0"/>
    <n v="0"/>
    <d v="2019-04-17T00:00:00"/>
    <d v="2019-04-18T00:00:00"/>
    <n v="1"/>
    <s v="0-1 día"/>
    <n v="0"/>
    <n v="0"/>
    <n v="0"/>
    <n v="1501.5000000000002"/>
  </r>
  <r>
    <s v="ABR-19"/>
    <n v="1"/>
    <s v="2025781"/>
    <s v="SR MANTENIMIENTO CORRECTIVO"/>
    <s v="4002"/>
    <s v="16/04/2019 17:17"/>
    <s v="09HB331355"/>
    <s v="000207"/>
    <s v="PITSS"/>
    <s v="ASP"/>
    <x v="4"/>
    <s v="AV DE LA BARRANCA LOTE No 26  A S/N"/>
    <s v="Cuautitlan Izcalli-E"/>
    <n v="1"/>
    <s v="METRO"/>
    <n v="2693"/>
    <s v="&gt;60"/>
    <s v="A4 Mono MFPs"/>
    <s v="A4"/>
    <s v="Ciudad principal"/>
    <s v="1-&gt;60"/>
    <n v="1.05"/>
    <n v="0"/>
    <n v="1"/>
    <n v="2.2200000000000002"/>
    <n v="5"/>
    <n v="0.44400000000000006"/>
    <n v="0"/>
    <n v="0"/>
    <d v="2019-04-17T00:00:00"/>
    <d v="2019-04-18T00:00:00"/>
    <n v="1"/>
    <s v="0-1 día"/>
    <n v="0"/>
    <n v="0"/>
    <n v="0"/>
    <n v="0"/>
  </r>
  <r>
    <s v="ABR-19"/>
    <n v="1"/>
    <s v="2025255"/>
    <s v="SR MANTENIMIENTO CORRECTIVO"/>
    <s v="4310"/>
    <s v="15/04/2019 15:56"/>
    <s v="0BG0966745"/>
    <s v="800183"/>
    <s v="PITSS"/>
    <s v="ASP"/>
    <x v="7"/>
    <s v="CENTRO COMERCIAL REAL CENTER AV SANTA MARGARITA No"/>
    <s v="Zapopan-JAL"/>
    <n v="0"/>
    <s v="INTERIOR"/>
    <n v="18"/>
    <s v="Entre 16 y 30"/>
    <s v="Light Production Digital Business"/>
    <s v="Entry Production"/>
    <s v="Ciudad principal"/>
    <s v="3-Entre 16 y 30"/>
    <n v="1.05"/>
    <n v="1651.6500000000003"/>
    <n v="1"/>
    <n v="1.57"/>
    <n v="4"/>
    <n v="0.39250000000000002"/>
    <n v="0"/>
    <n v="0"/>
    <d v="2019-04-17T00:00:00"/>
    <d v="2019-04-18T00:00:00"/>
    <n v="1"/>
    <s v="0-1 día"/>
    <n v="0"/>
    <n v="0"/>
    <n v="0"/>
    <n v="1651.6500000000003"/>
  </r>
  <r>
    <s v="ABR-19"/>
    <n v="1"/>
    <s v="2026321"/>
    <s v="SR MANTENIMIENTO CORRECTIVO"/>
    <s v="3611"/>
    <s v="17/04/2019 13:23"/>
    <s v="0A4T558166"/>
    <s v="800197"/>
    <s v="PITSS"/>
    <s v="ASP"/>
    <x v="14"/>
    <s v="AV SALVADOR NAVA MARTINEZ 3115"/>
    <s v="SAN LUIS POTOSI-SLP"/>
    <n v="0"/>
    <s v="INTERIOR"/>
    <n v="7"/>
    <s v="Entre 7 y 15"/>
    <s v="Entry Mono Printers"/>
    <s v="A4"/>
    <s v="Ciudad principal"/>
    <s v="1-Entre 7 y 15"/>
    <n v="0"/>
    <n v="0"/>
    <n v="1"/>
    <n v="4.12"/>
    <n v="5"/>
    <n v="0.82400000000000007"/>
    <n v="0"/>
    <n v="0"/>
    <d v="2019-04-17T00:00:00"/>
    <d v="2019-04-18T00:00:00"/>
    <n v="1"/>
    <s v="0-1 día"/>
    <n v="0"/>
    <n v="0"/>
    <n v="0"/>
    <n v="0"/>
  </r>
  <r>
    <s v="ABR-19"/>
    <n v="1"/>
    <s v="2025249"/>
    <s v="SR MANTENIMIENTO CORRECTIVO"/>
    <s v="7142"/>
    <s v="15/04/2019 15:50"/>
    <s v="0PW4980265"/>
    <s v="800183"/>
    <s v="PITSS"/>
    <s v="ASP"/>
    <x v="7"/>
    <s v="CENTRO COMERCIAL REAL CENTER AV SANTA MARGARITA No"/>
    <s v="Zapopan-JAL"/>
    <n v="0"/>
    <s v="INTERIOR"/>
    <n v="34"/>
    <s v="Entre 31 y 60"/>
    <s v="WF Mono Systems and Legacy Color"/>
    <s v="WF"/>
    <s v="Ciudad principal"/>
    <s v="3-Entre 31 y 60"/>
    <n v="1.1000000000000001"/>
    <n v="1730.3000000000004"/>
    <n v="1"/>
    <n v="3.17"/>
    <n v="4"/>
    <n v="0.79249999999999998"/>
    <n v="0"/>
    <n v="0"/>
    <d v="2019-04-17T00:00:00"/>
    <d v="2019-04-18T00:00:00"/>
    <n v="1"/>
    <s v="0-1 día"/>
    <n v="0"/>
    <n v="0"/>
    <n v="0"/>
    <n v="1730.3000000000004"/>
  </r>
  <r>
    <s v="ABR-19"/>
    <n v="1"/>
    <s v="2026323"/>
    <s v="SR MANTENIMIENTO CORRECTIVO"/>
    <s v="0070"/>
    <s v="17/04/2019 13:29"/>
    <s v="0E2B656917"/>
    <s v="500018"/>
    <s v="PITSS"/>
    <s v="ASP"/>
    <x v="7"/>
    <s v="BLV FELIPE PESCADOR 1902 ESQ PEDRO"/>
    <s v="DURANGO-DGO"/>
    <n v="0"/>
    <s v="INTERIOR"/>
    <n v="43"/>
    <s v="Entre 31 y 60"/>
    <s v="Entry Production Color Low/Mid"/>
    <s v="Entry Production"/>
    <s v="Ciudad principal"/>
    <s v="3-Entre 31 y 60"/>
    <n v="1.1000000000000001"/>
    <n v="1730.3000000000004"/>
    <n v="1"/>
    <n v="1.9"/>
    <n v="4"/>
    <n v="0.47499999999999998"/>
    <n v="0"/>
    <n v="0"/>
    <d v="2019-04-17T00:00:00"/>
    <d v="2019-04-18T00:00:00"/>
    <n v="1"/>
    <s v="0-1 día"/>
    <n v="0"/>
    <n v="0"/>
    <n v="0"/>
    <n v="1730.3000000000004"/>
  </r>
  <r>
    <s v="ABR-19"/>
    <n v="1"/>
    <s v="2026317"/>
    <s v="SR MANTENIMIENTO CORRECTIVO"/>
    <s v="5955"/>
    <s v="17/04/2019 13:20"/>
    <s v="0X76092842"/>
    <s v="800200"/>
    <s v="PITSS"/>
    <s v="ASP"/>
    <x v="24"/>
    <s v="ALMACEN FISCALIZADO No 1"/>
    <s v="Jalisco-JAL"/>
    <n v="0"/>
    <s v="INTERIOR"/>
    <n v="180"/>
    <s v="&gt;60"/>
    <s v="Departmental Digital"/>
    <s v="A3"/>
    <s v="Ciudad principal"/>
    <s v="2-&gt;60"/>
    <n v="1.1000000000000001"/>
    <n v="1501.5000000000002"/>
    <n v="1"/>
    <n v="1.8"/>
    <n v="5"/>
    <n v="0.36"/>
    <n v="0"/>
    <n v="0"/>
    <d v="2019-04-17T00:00:00"/>
    <d v="2019-04-18T00:00:00"/>
    <n v="1"/>
    <s v="0-1 día"/>
    <n v="0"/>
    <n v="0"/>
    <n v="0"/>
    <n v="1501.5000000000002"/>
  </r>
  <r>
    <s v="ABR-19"/>
    <n v="1"/>
    <s v="2026245"/>
    <s v="SR MANTENIMIENTO CORRECTIVO"/>
    <s v="4002"/>
    <s v="17/04/2019 11:31"/>
    <s v="09HB325909"/>
    <s v="500036"/>
    <s v="PITSS"/>
    <s v="ASP"/>
    <x v="43"/>
    <s v="CARR MIGUEL ALEMAN KM 14.2 LOC  13 14 15 Y 16"/>
    <s v="APODACA-NL"/>
    <n v="0"/>
    <s v="INTERIOR"/>
    <n v="91"/>
    <s v="&gt;60"/>
    <s v="A4 Mono MFPs"/>
    <s v="A4"/>
    <s v="Otras"/>
    <s v="1-&gt;60"/>
    <n v="1.05"/>
    <n v="750.75000000000011"/>
    <n v="1"/>
    <n v="4.2"/>
    <n v="9"/>
    <n v="0.46666666666666667"/>
    <n v="0"/>
    <n v="0"/>
    <d v="2019-04-17T00:00:00"/>
    <d v="2019-04-18T00:00:00"/>
    <n v="1"/>
    <s v="0-1 día"/>
    <n v="0"/>
    <n v="0"/>
    <n v="0"/>
    <n v="750.75000000000011"/>
  </r>
  <r>
    <s v="ABR-19"/>
    <n v="1"/>
    <s v="2026129"/>
    <s v="SR MANTENIMIENTO CORRECTIVO"/>
    <s v="8680"/>
    <s v="17/04/2019 09:57"/>
    <s v="0B2R090061"/>
    <s v="500083"/>
    <s v="PITSS"/>
    <s v="ASP"/>
    <x v="66"/>
    <s v="CARLOS SALAZAR No 729"/>
    <s v="Monterrey-NL"/>
    <n v="0"/>
    <s v="INTERIOR"/>
    <n v="9"/>
    <s v="Entre 7 y 15"/>
    <s v="Entry Production Color Low/Mid"/>
    <s v="Entry Production"/>
    <s v="Ciudad principal"/>
    <s v="3-Entre 7 y 15"/>
    <n v="0.8"/>
    <n v="1258.4000000000003"/>
    <n v="1"/>
    <n v="1.55"/>
    <n v="4"/>
    <n v="0.38750000000000001"/>
    <n v="0"/>
    <n v="0"/>
    <d v="2019-04-17T00:00:00"/>
    <d v="2019-04-18T00:00:00"/>
    <n v="1"/>
    <s v="0-1 día"/>
    <n v="0"/>
    <n v="0"/>
    <n v="0"/>
    <n v="1258.4000000000003"/>
  </r>
  <r>
    <s v="ABR-19"/>
    <n v="1"/>
    <s v="2023025"/>
    <s v="SR MANTENIMIENTO CORRECTIVO"/>
    <s v="7845"/>
    <s v="10/04/2019 12:29"/>
    <s v="0MX4777397"/>
    <s v="500156"/>
    <s v="PITSS"/>
    <s v="ASP"/>
    <x v="68"/>
    <s v="AV HERMANOS ESCOBAR No 6965 ESQ RAFAEL PEREZ SERNA"/>
    <s v="Ciudad Juarez-CHIH"/>
    <n v="0"/>
    <s v="INTERIOR"/>
    <n v="155"/>
    <s v="&gt;60"/>
    <s v="A3 Office Color Laser MFPs"/>
    <s v="A3"/>
    <s v="Ciudad principal"/>
    <s v="2-&gt;60"/>
    <n v="1.1000000000000001"/>
    <n v="1501.5000000000002"/>
    <n v="1"/>
    <n v="1.69"/>
    <n v="5"/>
    <n v="0.33799999999999997"/>
    <n v="0"/>
    <n v="0"/>
    <d v="2019-04-17T00:00:00"/>
    <d v="2019-04-18T00:00:00"/>
    <n v="1"/>
    <s v="0-1 día"/>
    <n v="0"/>
    <n v="0"/>
    <n v="0"/>
    <n v="1501.5000000000002"/>
  </r>
  <r>
    <s v="ABR-19"/>
    <n v="1"/>
    <s v="2024789"/>
    <s v="SR MANTENIMIENTO CORRECTIVO"/>
    <s v="4395"/>
    <s v="15/04/2019 08:01"/>
    <s v="0BG2941143"/>
    <s v="500093"/>
    <s v="PITSS"/>
    <s v="ASP"/>
    <x v="7"/>
    <s v="BLV 15 DE SEP 4243"/>
    <s v="NUEVO LAREDO-TAM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1.25"/>
    <n v="4"/>
    <n v="0.3125"/>
    <n v="0"/>
    <n v="0"/>
    <d v="2019-04-17T00:00:00"/>
    <d v="2019-04-18T00:00:00"/>
    <n v="1"/>
    <s v="0-1 día"/>
    <n v="0"/>
    <n v="0"/>
    <n v="0"/>
    <n v="1258.4000000000003"/>
  </r>
  <r>
    <s v="ABR-19"/>
    <n v="1"/>
    <s v="2026369"/>
    <s v="SR MANTENIMIENTO CORRECTIVO"/>
    <s v="5326"/>
    <s v="17/04/2019 14:21"/>
    <s v="0AE9573935"/>
    <s v="500157"/>
    <s v="PITSS"/>
    <s v="ASP"/>
    <x v="68"/>
    <s v="AV HERMANOS ESCOBAR No 6965 ESQ RAFAEL PEREZ SERNA"/>
    <s v="Ciudad Juarez-CHIH"/>
    <n v="0"/>
    <s v="INTERIOR"/>
    <n v="324"/>
    <s v="&gt;60"/>
    <s v="Office Digital"/>
    <s v="A3"/>
    <s v="Ciudad principal"/>
    <s v="2-&gt;60"/>
    <n v="1.1000000000000001"/>
    <n v="1501.5000000000002"/>
    <n v="1"/>
    <n v="0.15"/>
    <n v="5"/>
    <n v="0.03"/>
    <n v="0"/>
    <n v="0"/>
    <d v="2019-04-17T00:00:00"/>
    <d v="2019-04-18T00:00:00"/>
    <n v="1"/>
    <s v="0-1 día"/>
    <n v="0"/>
    <n v="0"/>
    <n v="0"/>
    <n v="1501.5000000000002"/>
  </r>
  <r>
    <s v="ABR-19"/>
    <n v="1"/>
    <s v="2024963"/>
    <s v="SR MANTENIMIENTO CORRECTIVO"/>
    <s v="4002"/>
    <s v="15/04/2019 10:47"/>
    <s v="09HB333253"/>
    <s v="800186"/>
    <s v="PITSS"/>
    <s v="ASP"/>
    <x v="31"/>
    <s v="AV TECNOLOGICO No 100 - 901"/>
    <s v="Queretaro-QRO"/>
    <n v="0"/>
    <s v="INTERIOR"/>
    <n v="167"/>
    <s v="&gt;60"/>
    <s v="A4 Mono MFPs"/>
    <s v="A4"/>
    <s v="Ciudad principal"/>
    <s v="1-&gt;60"/>
    <n v="1.05"/>
    <n v="750.75000000000011"/>
    <n v="1"/>
    <n v="0.99000000000000021"/>
    <n v="5"/>
    <n v="0.19800000000000004"/>
    <n v="0"/>
    <n v="0"/>
    <d v="2019-04-17T00:00:00"/>
    <d v="2019-04-18T00:00:00"/>
    <n v="1"/>
    <s v="0-1 día"/>
    <n v="0"/>
    <n v="0"/>
    <n v="0"/>
    <n v="750.75000000000011"/>
  </r>
  <r>
    <s v="ABR-19"/>
    <n v="1"/>
    <s v="2025811"/>
    <s v="SR INSTALACION CAMBIO DE LUGAR"/>
    <s v="0070"/>
    <s v="17/04/2019 00:31"/>
    <s v="0E2B654080"/>
    <s v="800186"/>
    <s v="PITSS"/>
    <s v="ASP"/>
    <x v="7"/>
    <s v="ANILLO VIAL II JUNIPERO SERRA NO. 21260 PAD.5 CENT"/>
    <s v="Queretaro-QRO"/>
    <n v="0"/>
    <s v="INTERIOR"/>
    <s v="  "/>
    <s v="&gt;60"/>
    <s v="Entry Production Color Low/Mid"/>
    <s v="Entry Production"/>
    <s v="Ciudad principal"/>
    <s v="3-&gt;60"/>
    <n v="1"/>
    <n v="1573.0000000000002"/>
    <n v="0"/>
    <n v="4"/>
    <n v="4"/>
    <n v="1"/>
    <n v="0"/>
    <n v="0"/>
    <d v="2019-04-17T00:00:00"/>
    <d v="2019-04-18T00:00:00"/>
    <n v="1"/>
    <s v="0-1 día"/>
    <n v="0"/>
    <n v="0"/>
    <n v="0"/>
    <n v="1573.0000000000002"/>
  </r>
  <r>
    <s v="ABR-19"/>
    <n v="1"/>
    <s v="2026417"/>
    <s v="SR MANTENIMIENTO CORRECTIVO"/>
    <s v="4002"/>
    <s v="17/04/2019 16:27"/>
    <s v="09HB331348"/>
    <s v="000196"/>
    <s v="PITSS"/>
    <s v="ASP"/>
    <x v="88"/>
    <s v="CALLE OLIVOS No 27 NAVE 1A CORTINA 20"/>
    <s v="TLALNEPANTLA DE BAZ-"/>
    <n v="1"/>
    <s v="METRO"/>
    <n v="36"/>
    <s v="Entre 31 y 60"/>
    <s v="A4 Mono MFPs"/>
    <s v="A4"/>
    <s v="Ciudad principal"/>
    <s v="1-Entre 31 y 60"/>
    <n v="0.8"/>
    <n v="0"/>
    <n v="1"/>
    <n v="2.98"/>
    <n v="5"/>
    <n v="0.59599999999999997"/>
    <n v="0"/>
    <n v="0"/>
    <d v="2019-04-18T00:00:00"/>
    <d v="2019-04-18T00:00:00"/>
    <n v="0"/>
    <s v="0-1 día"/>
    <n v="0"/>
    <n v="0"/>
    <n v="0"/>
    <n v="0"/>
  </r>
  <r>
    <s v="ABR-19"/>
    <n v="1"/>
    <s v="2025717"/>
    <s v="SR MANTENIMIENTO CORRECTIVO"/>
    <s v="4624"/>
    <s v="16/04/2019 14:56"/>
    <s v="0D6X469486"/>
    <s v="500018"/>
    <s v="PITSS"/>
    <s v="ASP"/>
    <x v="3"/>
    <s v="AV MARTIRES DE SONORA 1006"/>
    <s v="DURANGO-DGO"/>
    <n v="0"/>
    <s v="INTERIOR"/>
    <n v="50"/>
    <s v="Entre 31 y 60"/>
    <s v="Entry Mono Printers"/>
    <s v="A4"/>
    <s v="Ciudad principal"/>
    <s v="1-Entre 31 y 60"/>
    <n v="0.8"/>
    <n v="572.00000000000011"/>
    <n v="1"/>
    <n v="0.52"/>
    <n v="5"/>
    <n v="0.10400000000000001"/>
    <n v="0"/>
    <n v="0"/>
    <d v="2019-04-17T00:00:00"/>
    <d v="2019-04-18T00:00:00"/>
    <n v="1"/>
    <s v="0-1 día"/>
    <n v="0"/>
    <n v="0"/>
    <n v="0"/>
    <n v="572.00000000000011"/>
  </r>
  <r>
    <s v="ABR-19"/>
    <n v="1"/>
    <s v="2026401"/>
    <s v="SR MANTENIMIENTO CORRECTIVO"/>
    <s v="3336"/>
    <s v="17/04/2019 15:00"/>
    <s v="5BT731387"/>
    <s v="100038"/>
    <s v="PITSS"/>
    <s v="ASP"/>
    <x v="70"/>
    <s v="AV INDEPENDENCIA 1000"/>
    <s v="LERMA-MEX"/>
    <n v="0"/>
    <s v="INTERIOR"/>
    <n v="13"/>
    <s v="Entre 7 y 15"/>
    <s v="A4 Mono MFPs"/>
    <s v="A4"/>
    <s v="Otras"/>
    <s v="1-Entre 7 y 15"/>
    <n v="0"/>
    <n v="0"/>
    <n v="1"/>
    <n v="3.18"/>
    <n v="9"/>
    <n v="0.35333333333333333"/>
    <n v="0"/>
    <n v="0"/>
    <d v="2019-04-18T00:00:00"/>
    <d v="2019-04-18T00:00:00"/>
    <n v="0"/>
    <s v="0-1 día"/>
    <n v="0"/>
    <n v="0"/>
    <n v="0"/>
    <n v="0"/>
  </r>
  <r>
    <s v="ABR-19"/>
    <n v="1"/>
    <s v="2025651"/>
    <s v="SR MANTENIMIENTO CORRECTIVO"/>
    <s v="5866"/>
    <s v="16/04/2019 12:28"/>
    <s v="0EX9283410"/>
    <s v="800147"/>
    <s v="PITSS"/>
    <s v="ASP"/>
    <x v="7"/>
    <s v="BLV JUAN ALONSO DE TORRES 1315-3"/>
    <s v="LEON-GTO"/>
    <n v="0"/>
    <s v="INTERIOR"/>
    <n v="36"/>
    <s v="Entre 31 y 60"/>
    <s v="Departmental Digital"/>
    <s v="A3"/>
    <s v="Ciudad principal"/>
    <s v="2-Entre 31 y 60"/>
    <n v="1.05"/>
    <n v="1433.25"/>
    <n v="1"/>
    <n v="2.4300000000000002"/>
    <n v="5"/>
    <n v="0.48600000000000004"/>
    <n v="0"/>
    <n v="0"/>
    <d v="2019-04-18T00:00:00"/>
    <d v="2019-04-18T00:00:00"/>
    <n v="0"/>
    <s v="0-1 día"/>
    <n v="0"/>
    <n v="0"/>
    <n v="0"/>
    <n v="1433.25"/>
  </r>
  <r>
    <s v="ABR-19"/>
    <n v="1"/>
    <s v="2025745"/>
    <s v="SR MANTENIMIENTO CORRECTIVO"/>
    <s v="6702"/>
    <s v="16/04/2019 16:16"/>
    <s v="0AB9779149"/>
    <s v="800187"/>
    <s v="PITSS"/>
    <s v="ASP"/>
    <x v="40"/>
    <s v="GRAL MARIANO ARISTA 54 B 21"/>
    <s v="MIGUEL HIDALGO-CIUDA"/>
    <n v="0"/>
    <s v="INTERIOR"/>
    <n v="22"/>
    <s v="Entre 16 y 30"/>
    <s v="Color Laser Printers"/>
    <s v="A4"/>
    <s v="Ciudad principal"/>
    <s v="1-Entre 16 y 30"/>
    <n v="0.6"/>
    <n v="429.00000000000006"/>
    <n v="1"/>
    <n v="1.23"/>
    <n v="5"/>
    <n v="0.246"/>
    <n v="0"/>
    <n v="0"/>
    <d v="2019-04-17T00:00:00"/>
    <d v="2019-04-18T00:00:00"/>
    <n v="1"/>
    <s v="0-1 día"/>
    <n v="0"/>
    <n v="0"/>
    <n v="0"/>
    <n v="429.00000000000006"/>
  </r>
  <r>
    <s v="ABR-19"/>
    <n v="1"/>
    <s v="2026641"/>
    <s v="SR MANTENIMIENTO CORRECTIVO"/>
    <s v="8070"/>
    <s v="18/04/2019 09:58"/>
    <s v="06TB449258"/>
    <s v="500093"/>
    <s v="PITSS"/>
    <s v="ASP"/>
    <x v="3"/>
    <s v="ITURBIDE No 6970"/>
    <s v="Nuevo Laredo-TAM"/>
    <n v="0"/>
    <s v="INTERIOR"/>
    <n v="63"/>
    <s v="&gt;60"/>
    <s v="A3 Office Color Laser MFPs"/>
    <s v="A3"/>
    <s v="Ciudad principal"/>
    <s v="2-&gt;60"/>
    <n v="1.1000000000000001"/>
    <n v="1501.5000000000002"/>
    <n v="1"/>
    <n v="0.11"/>
    <n v="5"/>
    <n v="2.1999999999999999E-2"/>
    <n v="0"/>
    <n v="0"/>
    <d v="2019-04-18T00:00:00"/>
    <d v="2019-04-18T00:00:00"/>
    <n v="0"/>
    <s v="0-1 día"/>
    <n v="0"/>
    <n v="0"/>
    <n v="0"/>
    <n v="1501.5000000000002"/>
  </r>
  <r>
    <s v="ABR-19"/>
    <n v="1"/>
    <s v="2025087"/>
    <s v="SR MANTENIMIENTO CORRECTIVO"/>
    <s v="8075"/>
    <s v="15/04/2019 12:59"/>
    <s v="03AG880297"/>
    <s v="800192"/>
    <s v="PITSS"/>
    <s v="ASP"/>
    <x v="14"/>
    <s v="MARIANO OTERO No 1614"/>
    <s v="Zapopan-JAL"/>
    <n v="0"/>
    <s v="INTERIOR"/>
    <n v="41"/>
    <s v="Entre 31 y 60"/>
    <s v="Departmental Digital"/>
    <s v="A3"/>
    <s v="Ciudad principal"/>
    <s v="2-Entre 31 y 60"/>
    <n v="1.05"/>
    <n v="1433.25"/>
    <n v="1"/>
    <n v="2.95"/>
    <n v="5"/>
    <n v="0.59000000000000008"/>
    <n v="0"/>
    <n v="0"/>
    <d v="2019-04-18T00:00:00"/>
    <d v="2019-04-18T00:00:00"/>
    <n v="0"/>
    <s v="0-1 día"/>
    <n v="0"/>
    <n v="0"/>
    <n v="0"/>
    <n v="1433.25"/>
  </r>
  <r>
    <s v="ABR-19"/>
    <n v="1"/>
    <s v="2026631"/>
    <s v="SR MANTENIMIENTO CORRECTIVO"/>
    <s v="8045"/>
    <s v="18/04/2019 09:45"/>
    <s v="0Y4X838625"/>
    <s v="500158"/>
    <s v="PITSS"/>
    <s v="ASP"/>
    <x v="3"/>
    <s v="FRESNEL Y FARENHEIT 8525"/>
    <s v="Ciudad Juarez-CHIH"/>
    <n v="1"/>
    <s v="INTERIOR"/>
    <n v="70"/>
    <s v="&gt;60"/>
    <s v="Office Digital"/>
    <s v="A3"/>
    <s v="Ciudad principal"/>
    <s v="2-&gt;60"/>
    <n v="1.1000000000000001"/>
    <n v="0"/>
    <n v="1"/>
    <n v="0.4"/>
    <n v="5"/>
    <n v="0.08"/>
    <n v="0"/>
    <n v="0"/>
    <d v="2019-04-18T00:00:00"/>
    <d v="2019-04-18T00:00:00"/>
    <n v="0"/>
    <s v="0-1 día"/>
    <n v="0"/>
    <n v="0"/>
    <n v="0"/>
    <n v="0"/>
  </r>
  <r>
    <s v="ABR-19"/>
    <n v="1"/>
    <s v="2026393"/>
    <s v="SR MANTENIMIENTO CORRECTIVO"/>
    <s v="4395"/>
    <s v="17/04/2019 15:01"/>
    <s v="0BG2945237"/>
    <s v="500094"/>
    <s v="PITSS"/>
    <s v="ASP"/>
    <x v="7"/>
    <s v="AV HIDALGO 5309"/>
    <s v="TAMPICO-TAM"/>
    <n v="0"/>
    <s v="INTERIOR"/>
    <n v="43"/>
    <s v="Entre 31 y 60"/>
    <s v="Light Production Digital Business"/>
    <s v="Entry Production"/>
    <s v="Ciudad principal"/>
    <s v="3-Entre 31 y 60"/>
    <n v="1.1000000000000001"/>
    <n v="1730.3000000000004"/>
    <n v="1"/>
    <n v="0.98"/>
    <n v="4"/>
    <n v="0.245"/>
    <n v="0"/>
    <n v="0"/>
    <d v="2019-04-17T00:00:00"/>
    <d v="2019-04-18T00:00:00"/>
    <n v="1"/>
    <s v="0-1 día"/>
    <n v="0"/>
    <n v="0"/>
    <n v="0"/>
    <n v="1730.3000000000004"/>
  </r>
  <r>
    <s v="ABR-19"/>
    <n v="1"/>
    <s v="2026395"/>
    <s v="SR MANTENIMIENTO CORRECTIVO"/>
    <s v="4395"/>
    <s v="17/04/2019 15:04"/>
    <s v="0BG2948912"/>
    <s v="500094"/>
    <s v="PITSS"/>
    <s v="ASP"/>
    <x v="7"/>
    <s v="AV HIDALGO 5309"/>
    <s v="TAMPICO-TAM"/>
    <n v="0"/>
    <s v="INTERIOR"/>
    <n v="9"/>
    <s v="Entre 7 y 15"/>
    <s v="Light Production Digital Business"/>
    <s v="Entry Production"/>
    <s v="Ciudad principal"/>
    <s v="3-Entre 7 y 15"/>
    <n v="0.8"/>
    <n v="1258.4000000000003"/>
    <n v="1"/>
    <n v="2.4300000000000002"/>
    <n v="4"/>
    <n v="0.60750000000000004"/>
    <n v="0"/>
    <n v="0"/>
    <d v="2019-04-18T00:00:00"/>
    <d v="2019-04-18T00:00:00"/>
    <n v="0"/>
    <s v="0-1 día"/>
    <n v="0"/>
    <n v="0"/>
    <n v="0"/>
    <n v="1258.4000000000003"/>
  </r>
  <r>
    <s v="ABR-19"/>
    <n v="1"/>
    <s v="2026399"/>
    <s v="SR MANTENIMIENTO CORRECTIVO"/>
    <s v="6705"/>
    <s v="17/04/2019 15:06"/>
    <s v="0A1H020675"/>
    <s v="500094"/>
    <s v="PITSS"/>
    <s v="ASP"/>
    <x v="7"/>
    <s v="AV HIDALGO 5309"/>
    <s v="TAMPICO-TAM"/>
    <n v="0"/>
    <s v="INTERIOR"/>
    <n v="8"/>
    <s v="Entre 7 y 15"/>
    <s v="WF Mono Systems and Legacy Color"/>
    <s v="WF"/>
    <s v="Ciudad principal"/>
    <s v="3-Entre 7 y 15"/>
    <n v="0.8"/>
    <n v="1258.4000000000003"/>
    <n v="1"/>
    <n v="4.4000000000000004"/>
    <n v="4"/>
    <n v="1.1000000000000001"/>
    <n v="2.5000000000000022E-2"/>
    <n v="-39.325000000000038"/>
    <d v="2019-04-18T00:00:00"/>
    <d v="2019-04-18T00:00:00"/>
    <n v="0"/>
    <s v="0-1 día"/>
    <n v="0"/>
    <n v="0"/>
    <n v="0"/>
    <n v="1219.0750000000003"/>
  </r>
  <r>
    <s v="ABR-19"/>
    <n v="1"/>
    <s v="2026755"/>
    <s v="SR MANTENIMIENTO CORRECTIVO"/>
    <s v="8075"/>
    <s v="18/04/2019 13:59"/>
    <s v="03AG880355"/>
    <s v="800192"/>
    <s v="PITSS"/>
    <s v="ASP"/>
    <x v="14"/>
    <s v="AV MEXICO 3370"/>
    <s v="Zapopan-JAL"/>
    <n v="0"/>
    <s v="INTERIOR"/>
    <n v="3"/>
    <s v="&lt;=3"/>
    <s v="Departmental Digital"/>
    <s v="A3"/>
    <s v="Ciudad principal"/>
    <s v="2-&lt;=3"/>
    <n v="0"/>
    <n v="0"/>
    <n v="1"/>
    <n v="0"/>
    <n v="5"/>
    <n v="0"/>
    <n v="0"/>
    <n v="0"/>
    <d v="2019-04-18T00:00:00"/>
    <d v="2019-04-19T00:00:00"/>
    <n v="1"/>
    <s v="0-1 día"/>
    <n v="0"/>
    <n v="0"/>
    <n v="0"/>
    <n v="0"/>
  </r>
  <r>
    <s v="ABR-19"/>
    <n v="1"/>
    <s v="2024333"/>
    <s v="SR MANTENIMIENTO CORRECTIVO"/>
    <s v="1251"/>
    <s v="12/04/2019 20:11"/>
    <s v="0VGW624391"/>
    <s v="500161"/>
    <s v="PITSS"/>
    <s v="ASP"/>
    <x v="22"/>
    <s v="CALLE 15 NUM 105"/>
    <s v="CHIHUAHUA-CHIH"/>
    <n v="0"/>
    <s v="INTERIOR"/>
    <n v="0"/>
    <s v="&lt;=3"/>
    <s v="Entry Production Color Low/Mid"/>
    <s v="Entry Production"/>
    <s v="Ciudad principal"/>
    <s v="3-&lt;=3"/>
    <n v="0"/>
    <n v="0"/>
    <n v="1"/>
    <n v="0"/>
    <n v="4"/>
    <n v="0"/>
    <n v="0"/>
    <n v="0"/>
    <d v="2019-04-17T00:00:00"/>
    <d v="2019-04-19T00:00:00"/>
    <n v="2"/>
    <s v="2-3 días"/>
    <n v="0.25"/>
    <n v="-393.25000000000006"/>
    <n v="0"/>
    <n v="0"/>
  </r>
  <r>
    <s v="ABR-19"/>
    <n v="1"/>
    <s v="2026697"/>
    <s v="SR MANTENIMIENTO CORRECTIVO"/>
    <s v="6705"/>
    <s v="18/04/2019 11:54"/>
    <s v="0A1H020591"/>
    <s v="800110"/>
    <s v="PITSS"/>
    <s v="ASP"/>
    <x v="7"/>
    <s v="CALZ DE LA HUERTA 2799"/>
    <s v="MORELIA-MICH"/>
    <n v="0"/>
    <s v="INTERIOR"/>
    <n v="66"/>
    <s v="&gt;60"/>
    <s v="WF Mono Systems and Legacy Color"/>
    <s v="WF"/>
    <s v="Ciudad principal"/>
    <s v="3-&gt;60"/>
    <n v="1.1499999999999999"/>
    <n v="1808.95"/>
    <n v="1"/>
    <n v="3.32"/>
    <n v="4"/>
    <n v="0.83"/>
    <n v="0"/>
    <n v="0"/>
    <d v="2019-04-18T00:00:00"/>
    <d v="2019-04-19T00:00:00"/>
    <n v="1"/>
    <s v="0-1 día"/>
    <n v="0"/>
    <n v="0"/>
    <n v="0"/>
    <n v="1808.95"/>
  </r>
  <r>
    <s v="ABR-19"/>
    <n v="1"/>
    <s v="2025555"/>
    <s v="SR MANTENIMIENTO CORRECTIVO"/>
    <s v="4000"/>
    <s v="16/04/2019 10:43"/>
    <s v="06HB014103"/>
    <s v="500028"/>
    <s v="PITSS"/>
    <s v="ASP"/>
    <x v="43"/>
    <s v="AV HACIENDA PE&amp;UELAS No 6769 PLAZA CUMBRES LOCAL G"/>
    <s v="Monterrey-NL"/>
    <n v="0"/>
    <s v="INTERIOR"/>
    <n v="126"/>
    <s v="&gt;60"/>
    <s v="Entry Mono Printers"/>
    <s v="A4"/>
    <s v="Ciudad principal"/>
    <s v="1-&gt;60"/>
    <n v="1.05"/>
    <n v="750.75000000000011"/>
    <n v="1"/>
    <n v="3.28"/>
    <n v="5"/>
    <n v="0.65599999999999992"/>
    <n v="0"/>
    <n v="0"/>
    <d v="2019-04-19T00:00:00"/>
    <d v="2019-04-19T00:00:00"/>
    <n v="0"/>
    <s v="0-1 día"/>
    <n v="0"/>
    <n v="0"/>
    <n v="0"/>
    <n v="750.75000000000011"/>
  </r>
  <r>
    <s v="ABR-19"/>
    <n v="1"/>
    <s v="2026775"/>
    <s v="SR MANTENIMIENTO CORRECTIVO"/>
    <s v="4395"/>
    <s v="18/04/2019 15:01"/>
    <s v="0BG2947926"/>
    <s v="500083"/>
    <s v="PITSS"/>
    <s v="ASP"/>
    <x v="7"/>
    <s v="AV PASEO DE LOS LEONES 1388 L 2-3"/>
    <s v="MONTERREY-NL"/>
    <n v="0"/>
    <s v="INTERIOR"/>
    <n v="62"/>
    <s v="&gt;60"/>
    <s v="Light Production Digital Business"/>
    <s v="Entry Production"/>
    <s v="Ciudad principal"/>
    <s v="3-&gt;60"/>
    <n v="1.1499999999999999"/>
    <n v="1808.95"/>
    <n v="1"/>
    <n v="2.48"/>
    <n v="4"/>
    <n v="0.62"/>
    <n v="0"/>
    <n v="0"/>
    <d v="2019-04-19T00:00:00"/>
    <d v="2019-04-19T00:00:00"/>
    <n v="0"/>
    <s v="0-1 día"/>
    <n v="0"/>
    <n v="0"/>
    <n v="0"/>
    <n v="1808.95"/>
  </r>
  <r>
    <s v="ABR-19"/>
    <n v="1"/>
    <s v="2026665"/>
    <s v="SR MANTENIMIENTO CORRECTIVO"/>
    <s v="4395"/>
    <s v="18/04/2019 10:39"/>
    <s v="0BG2947152"/>
    <s v="800192"/>
    <s v="PITSS"/>
    <s v="ASP"/>
    <x v="7"/>
    <s v="PATRIA 1937"/>
    <s v="ZAPOPAN-JAL"/>
    <n v="0"/>
    <s v="INTERIOR"/>
    <n v="8"/>
    <s v="Entre 7 y 15"/>
    <s v="Light Production Digital Business"/>
    <s v="Entry Production"/>
    <s v="Ciudad principal"/>
    <s v="3-Entre 7 y 15"/>
    <n v="0.8"/>
    <n v="1258.4000000000003"/>
    <n v="1"/>
    <n v="2.0699999999999998"/>
    <n v="4"/>
    <n v="0.51749999999999996"/>
    <n v="0"/>
    <n v="0"/>
    <d v="2019-04-18T00:00:00"/>
    <d v="2019-04-19T00:00:00"/>
    <n v="1"/>
    <s v="0-1 día"/>
    <n v="0"/>
    <n v="0"/>
    <n v="0"/>
    <n v="1258.4000000000003"/>
  </r>
  <r>
    <s v="ABR-19"/>
    <n v="1"/>
    <s v="2026977"/>
    <s v="SR MANTENIMIENTO CORRECTIVO"/>
    <s v="0070"/>
    <s v="19/04/2019 10:45"/>
    <s v="0E2B658299"/>
    <s v="500036"/>
    <s v="PITSS"/>
    <s v="ASP"/>
    <x v="14"/>
    <s v="AV DE LAS TORRES No 2498"/>
    <s v="San Pedro Garza Garc"/>
    <n v="0"/>
    <s v="INTERIOR"/>
    <n v="9"/>
    <s v="Entre 7 y 15"/>
    <s v="Entry Production Color Low/Mid"/>
    <s v="Entry Production"/>
    <s v="Ciudad principal"/>
    <s v="3-Entre 7 y 15"/>
    <n v="0.8"/>
    <n v="1258.4000000000003"/>
    <n v="1"/>
    <n v="3.17"/>
    <n v="4"/>
    <n v="0.79249999999999998"/>
    <n v="0"/>
    <n v="0"/>
    <d v="2019-04-19T00:00:00"/>
    <d v="2019-04-19T00:00:00"/>
    <n v="0"/>
    <s v="0-1 día"/>
    <n v="0"/>
    <n v="0"/>
    <n v="0"/>
    <n v="1258.4000000000003"/>
  </r>
  <r>
    <s v="ABR-19"/>
    <n v="1"/>
    <s v="2026229"/>
    <s v="SR MANTENIMIENTO CORRECTIVO"/>
    <s v="4395"/>
    <s v="17/04/2019 11:04"/>
    <s v="0BG2940928"/>
    <s v="800192"/>
    <s v="PITSS"/>
    <s v="ASP"/>
    <x v="7"/>
    <s v="AV CIRCUNVALACION OBLATOS 2700"/>
    <s v="GUADALAJARA-JAL"/>
    <n v="0"/>
    <s v="INTERIOR"/>
    <n v="25"/>
    <s v="Entre 16 y 30"/>
    <s v="Light Production Digital Business"/>
    <s v="Entry Production"/>
    <s v="Ciudad principal"/>
    <s v="3-Entre 16 y 30"/>
    <n v="1.05"/>
    <n v="1651.6500000000003"/>
    <n v="1"/>
    <n v="1.2"/>
    <n v="4"/>
    <n v="0.3"/>
    <n v="0"/>
    <n v="0"/>
    <d v="2019-04-19T00:00:00"/>
    <d v="2019-04-22T00:00:00"/>
    <n v="1"/>
    <s v="0-1 día"/>
    <n v="0"/>
    <n v="0"/>
    <n v="0"/>
    <n v="1651.6500000000003"/>
  </r>
  <r>
    <s v="ABR-19"/>
    <n v="1"/>
    <s v="2026983"/>
    <s v="SR MANTENIMIENTO CORRECTIVO"/>
    <s v="0560"/>
    <s v="19/04/2019 15:28"/>
    <s v="0XPN395024"/>
    <s v="800200"/>
    <s v="PITSS"/>
    <s v="ASP"/>
    <x v="7"/>
    <s v="MANUEL J CLOUTHIER 888"/>
    <s v="ZAPOPAN-JAL"/>
    <n v="0"/>
    <s v="INTERIOR"/>
    <n v="87"/>
    <s v="&gt;60"/>
    <s v="Entry Production Color Low/Mid"/>
    <s v="Entry Production"/>
    <s v="Ciudad principal"/>
    <s v="3-&gt;60"/>
    <n v="1.1499999999999999"/>
    <n v="1808.95"/>
    <n v="1"/>
    <n v="0.45"/>
    <n v="4"/>
    <n v="0.1125"/>
    <n v="0"/>
    <n v="0"/>
    <d v="2019-04-19T00:00:00"/>
    <d v="2019-04-22T00:00:00"/>
    <n v="1"/>
    <s v="0-1 día"/>
    <n v="0"/>
    <n v="0"/>
    <n v="0"/>
    <n v="1808.95"/>
  </r>
  <r>
    <s v="ABR-19"/>
    <n v="1"/>
    <s v="2026999"/>
    <s v="SR MANTENIMIENTO CORRECTIVO"/>
    <s v="4624"/>
    <s v="19/04/2019 17:48"/>
    <s v="0D6X463381"/>
    <s v="500066"/>
    <s v="PITSS"/>
    <s v="ASP"/>
    <x v="30"/>
    <s v="BLVD MILLENIUM No 211"/>
    <s v="Apodaca-NL"/>
    <n v="0"/>
    <s v="INTERIOR"/>
    <n v="4"/>
    <s v="Entre 3 y 6"/>
    <s v="Entry Mono Printers"/>
    <s v="A4"/>
    <s v="Otras"/>
    <s v="1-Entre 3 y 6"/>
    <n v="0"/>
    <n v="0"/>
    <n v="1"/>
    <n v="0"/>
    <n v="9"/>
    <n v="0"/>
    <n v="0"/>
    <n v="0"/>
    <d v="2019-04-22T00:00:00"/>
    <d v="2019-04-22T00:00:00"/>
    <n v="0"/>
    <s v="0-1 día"/>
    <n v="0"/>
    <n v="0"/>
    <n v="0"/>
    <n v="0"/>
  </r>
  <r>
    <s v="ABR-19"/>
    <n v="1"/>
    <s v="2026307"/>
    <s v="SR MANTENIMIENTO CORRECTIVO"/>
    <s v="3616"/>
    <s v="17/04/2019 12:58"/>
    <s v="0A2T386442"/>
    <s v="800110"/>
    <s v="PITSS"/>
    <s v="ASP"/>
    <x v="16"/>
    <s v="AV LAZARO CARDENAS No 2780"/>
    <s v="Morelia-MICH"/>
    <n v="0"/>
    <s v="INTERIOR"/>
    <n v="1191"/>
    <s v="&gt;60"/>
    <s v="A4 Mono MFPs"/>
    <s v="A4"/>
    <s v="Ciudad principal"/>
    <s v="1-&gt;60"/>
    <n v="1.05"/>
    <n v="750.75000000000011"/>
    <n v="1"/>
    <n v="1.66"/>
    <n v="5"/>
    <n v="0.33199999999999996"/>
    <n v="0"/>
    <n v="0"/>
    <d v="2019-04-22T00:00:00"/>
    <d v="2019-04-22T00:00:00"/>
    <n v="0"/>
    <s v="0-1 día"/>
    <n v="0"/>
    <n v="0"/>
    <n v="0"/>
    <n v="750.75000000000011"/>
  </r>
  <r>
    <s v="ABR-19"/>
    <n v="1"/>
    <s v="2027005"/>
    <s v="SR MANTENIMIENTO CORRECTIVO"/>
    <s v="0560"/>
    <s v="19/04/2019 20:32"/>
    <s v="0XPN396574"/>
    <s v="800192"/>
    <s v="PITSS"/>
    <s v="ASP"/>
    <x v="7"/>
    <s v="AV MAIZ 1300"/>
    <s v="ZAPOPAN-JAL"/>
    <n v="0"/>
    <s v="INTERIOR"/>
    <n v="13"/>
    <s v="Entre 7 y 15"/>
    <s v="Entry Production Color Low/Mid"/>
    <s v="Entry Production"/>
    <s v="Ciudad principal"/>
    <s v="3-Entre 7 y 15"/>
    <n v="0.8"/>
    <n v="1258.4000000000003"/>
    <n v="1"/>
    <n v="0"/>
    <n v="4"/>
    <n v="0"/>
    <n v="0"/>
    <n v="0"/>
    <d v="2019-04-22T00:00:00"/>
    <d v="2019-04-22T00:00:00"/>
    <n v="0"/>
    <s v="0-1 día"/>
    <n v="0"/>
    <n v="0"/>
    <n v="0"/>
    <n v="1258.4000000000003"/>
  </r>
  <r>
    <s v="ABR-19"/>
    <n v="1"/>
    <s v="2026291"/>
    <s v="SR MANTENIMIENTO CORRECTIVO"/>
    <s v="0070"/>
    <s v="17/04/2019 12:38"/>
    <s v="0E2B106647"/>
    <s v="800183"/>
    <s v="PITSS"/>
    <s v="ASP"/>
    <x v="14"/>
    <s v="AV PATRIA 1612 MZ 1 LT 30 Y 30A"/>
    <s v="ZAPOPAN-JAL"/>
    <n v="0"/>
    <s v="INTERIOR"/>
    <n v="152"/>
    <s v="&gt;60"/>
    <s v="Entry Production Color Low/Mid"/>
    <s v="Entry Production"/>
    <s v="Ciudad principal"/>
    <s v="3-&gt;60"/>
    <n v="1.1499999999999999"/>
    <n v="1808.95"/>
    <n v="1"/>
    <n v="2.37"/>
    <n v="4"/>
    <n v="0.59250000000000003"/>
    <n v="0"/>
    <n v="0"/>
    <d v="2019-04-22T00:00:00"/>
    <d v="2019-04-22T00:00:00"/>
    <n v="0"/>
    <s v="0-1 día"/>
    <n v="0"/>
    <n v="0"/>
    <n v="0"/>
    <n v="1808.95"/>
  </r>
  <r>
    <s v="ABR-19"/>
    <n v="1"/>
    <s v="2026989"/>
    <s v="SR MANTENIMIENTO CORRECTIVO"/>
    <s v="7845"/>
    <s v="19/04/2019 16:01"/>
    <s v="0MX4766757"/>
    <s v="500155"/>
    <s v="PITSS"/>
    <s v="ASP"/>
    <x v="30"/>
    <s v="AV PARQUE INDUSTRIAL JUAREZ 3328"/>
    <s v="CIUDAD JUAREZ-CHIH"/>
    <n v="0"/>
    <s v="INTERIOR"/>
    <n v="9"/>
    <s v="Entre 7 y 15"/>
    <s v="A3 Office Color Laser MFPs"/>
    <s v="A3"/>
    <s v="Ciudad principal"/>
    <s v="2-Entre 7 y 15"/>
    <n v="0.6"/>
    <n v="819"/>
    <n v="1"/>
    <n v="1.48"/>
    <n v="5"/>
    <n v="0.29599999999999999"/>
    <n v="0"/>
    <n v="0"/>
    <d v="2019-04-22T00:00:00"/>
    <d v="2019-04-22T00:00:00"/>
    <n v="0"/>
    <s v="0-1 día"/>
    <n v="0"/>
    <n v="0"/>
    <n v="0"/>
    <n v="819"/>
  </r>
  <r>
    <s v="ABR-19"/>
    <n v="1"/>
    <s v="2027369"/>
    <s v="SR MANTENIMIENTO CORRECTIVO"/>
    <s v="4395"/>
    <s v="21/04/2019 14:38"/>
    <s v="0BG2947627"/>
    <s v="800146"/>
    <s v="PITSS"/>
    <s v="ASP"/>
    <x v="7"/>
    <s v="BULEVAR AEROPUERTO No 190 (ANTES 202) LOCALES DEL"/>
    <s v="Leon-GTO"/>
    <n v="0"/>
    <s v="INTERIOR"/>
    <n v="30"/>
    <s v="Entre 16 y 30"/>
    <s v="Light Production Digital Business"/>
    <s v="Entry Production"/>
    <s v="Ciudad principal"/>
    <s v="3-Entre 16 y 30"/>
    <n v="1.05"/>
    <n v="1651.6500000000003"/>
    <n v="1"/>
    <n v="0"/>
    <n v="4"/>
    <n v="0"/>
    <n v="0"/>
    <n v="0"/>
    <d v="2019-04-22T00:00:00"/>
    <d v="2019-04-22T00:00:00"/>
    <n v="0"/>
    <s v="0-1 día"/>
    <n v="0"/>
    <n v="0"/>
    <n v="0"/>
    <n v="1651.6500000000003"/>
  </r>
  <r>
    <s v="ABR-19"/>
    <n v="1"/>
    <s v="2027003"/>
    <s v="SR MANTENIMIENTO CORRECTIVO"/>
    <s v="5955"/>
    <s v="19/04/2019 19:33"/>
    <s v="0X76703816"/>
    <s v="500158"/>
    <s v="PITSS"/>
    <s v="ASP"/>
    <x v="26"/>
    <s v="BLVD INDEPENDENCIA 4240"/>
    <s v="Ciudad Juarez-CHIH"/>
    <n v="0"/>
    <s v="INTERIOR"/>
    <n v="81"/>
    <s v="&gt;60"/>
    <s v="Departmental Digital"/>
    <s v="A3"/>
    <s v="Ciudad principal"/>
    <s v="2-&gt;60"/>
    <n v="1.1000000000000001"/>
    <n v="1501.5000000000002"/>
    <n v="1"/>
    <n v="0"/>
    <n v="5"/>
    <n v="0"/>
    <n v="0"/>
    <n v="0"/>
    <d v="2019-04-22T00:00:00"/>
    <d v="2019-04-22T00:00:00"/>
    <n v="0"/>
    <s v="0-1 día"/>
    <n v="0"/>
    <n v="0"/>
    <n v="0"/>
    <n v="1501.5000000000002"/>
  </r>
  <r>
    <s v="ABR-19"/>
    <n v="1"/>
    <s v="2024797"/>
    <s v="SR MANTENIMIENTO CORRECTIVO"/>
    <s v="4395"/>
    <s v="15/04/2019 08:18"/>
    <s v="0BG2946876"/>
    <s v="800147"/>
    <s v="PITSS"/>
    <s v="ASP"/>
    <x v="7"/>
    <s v="BLV JUAN ALONSO DE TORRES 1315-3"/>
    <s v="LEON-GTO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9"/>
    <n v="4"/>
    <n v="2.25"/>
    <n v="0.3125"/>
    <n v="-491.56250000000006"/>
    <d v="2019-04-22T00:00:00"/>
    <d v="2019-04-22T00:00:00"/>
    <n v="0"/>
    <s v="0-1 día"/>
    <n v="0"/>
    <n v="0"/>
    <n v="0"/>
    <n v="452.23750000000001"/>
  </r>
  <r>
    <s v="ABR-19"/>
    <n v="1"/>
    <s v="2027705"/>
    <s v="SR MANTENIMIENTO CORRECTIVO"/>
    <s v="0070"/>
    <s v="22/04/2019 09:51"/>
    <s v="0E2B649503"/>
    <s v="800197"/>
    <s v="PITSS"/>
    <s v="ASP"/>
    <x v="7"/>
    <s v="NEREO RODRIGUEZ BARRAGAN 1350"/>
    <s v="SAN LUIS POTOSI-SLP"/>
    <n v="0"/>
    <s v="INTERIOR"/>
    <n v="130"/>
    <s v="&gt;60"/>
    <s v="Entry Production Color Low/Mid"/>
    <s v="Entry Production"/>
    <s v="Ciudad principal"/>
    <s v="3-&gt;60"/>
    <n v="1.1499999999999999"/>
    <n v="1808.95"/>
    <n v="1"/>
    <n v="1.82"/>
    <n v="4"/>
    <n v="0.45500000000000002"/>
    <n v="0"/>
    <n v="0"/>
    <d v="2019-04-22T00:00:00"/>
    <d v="2019-04-22T00:00:00"/>
    <n v="0"/>
    <s v="0-1 día"/>
    <n v="0"/>
    <n v="0"/>
    <n v="0"/>
    <n v="1808.95"/>
  </r>
  <r>
    <s v="ABR-19"/>
    <n v="1"/>
    <s v="2027711"/>
    <s v="SR MANTENIMIENTO CORRECTIVO"/>
    <s v="7845"/>
    <s v="22/04/2019 09:58"/>
    <s v="0MX4777324"/>
    <s v="500158"/>
    <s v="PITSS"/>
    <s v="ASP"/>
    <x v="30"/>
    <s v="AV VALLE DEL CEDRO 1681"/>
    <s v="Ciudad Juarez-CHIH"/>
    <n v="0"/>
    <s v="INTERIOR"/>
    <n v="2699"/>
    <s v="&gt;60"/>
    <s v="A3 Office Color Laser MFPs"/>
    <s v="A3"/>
    <s v="Ciudad principal"/>
    <s v="2-&gt;60"/>
    <n v="1.1000000000000001"/>
    <n v="1501.5000000000002"/>
    <n v="1"/>
    <n v="0.2"/>
    <n v="5"/>
    <n v="0.04"/>
    <n v="0"/>
    <n v="0"/>
    <d v="2019-04-22T00:00:00"/>
    <d v="2019-04-22T00:00:00"/>
    <n v="0"/>
    <s v="0-1 día"/>
    <n v="0"/>
    <n v="0"/>
    <n v="0"/>
    <n v="1501.5000000000002"/>
  </r>
  <r>
    <s v="ABR-19"/>
    <n v="1"/>
    <s v="2026963"/>
    <s v="SR MANTENIMIENTO CORRECTIVO"/>
    <s v="4310"/>
    <s v="19/04/2019 10:03"/>
    <s v="0BG0972350"/>
    <s v="500083"/>
    <s v="PITSS"/>
    <s v="ASP"/>
    <x v="14"/>
    <s v="EUGENIO GARZA SADA 3525"/>
    <s v="Monterrey-NL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4"/>
    <n v="4"/>
    <n v="1"/>
    <n v="0"/>
    <n v="0"/>
    <d v="2019-04-22T00:00:00"/>
    <d v="2019-04-22T00:00:00"/>
    <n v="0"/>
    <s v="0-1 día"/>
    <n v="0"/>
    <n v="0"/>
    <n v="0"/>
    <n v="1258.4000000000003"/>
  </r>
  <r>
    <s v="ABR-19"/>
    <n v="1"/>
    <s v="2027673"/>
    <s v="SR MANTENIMIENTO CORRECTIVO"/>
    <s v="6203"/>
    <s v="22/04/2019 09:28"/>
    <s v="0AGD461848"/>
    <s v="800183"/>
    <s v="PITSS"/>
    <s v="ASP"/>
    <x v="7"/>
    <s v="PATRIA 1937"/>
    <s v="ZAPOPAN-JAL"/>
    <n v="0"/>
    <s v="INTERIOR"/>
    <n v="38"/>
    <s v="Entre 31 y 60"/>
    <s v="WF Mono Systems and Legacy Color"/>
    <s v="WF"/>
    <s v="Ciudad principal"/>
    <s v="3-Entre 31 y 60"/>
    <n v="1.1000000000000001"/>
    <n v="1730.3000000000004"/>
    <n v="1"/>
    <n v="1.53"/>
    <n v="4"/>
    <n v="0.38250000000000001"/>
    <n v="0"/>
    <n v="0"/>
    <d v="2019-04-22T00:00:00"/>
    <d v="2019-04-22T00:00:00"/>
    <n v="0"/>
    <s v="0-1 día"/>
    <n v="0"/>
    <n v="0"/>
    <n v="0"/>
    <n v="1730.3000000000004"/>
  </r>
  <r>
    <s v="ABR-19"/>
    <n v="1"/>
    <s v="2027671"/>
    <s v="SR MANTENIMIENTO CORRECTIVO"/>
    <s v="4395"/>
    <s v="22/04/2019 09:19"/>
    <s v="0BG2948808"/>
    <s v="100038"/>
    <s v="PITSS"/>
    <s v="ASP"/>
    <x v="7"/>
    <s v="BLV ALFREDO DEL MAZO 805"/>
    <s v="TOLUCA-MEX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2.1800000000000002"/>
    <n v="4"/>
    <n v="0.54500000000000004"/>
    <n v="0"/>
    <n v="0"/>
    <d v="2019-04-22T00:00:00"/>
    <d v="2019-04-22T00:00:00"/>
    <n v="0"/>
    <s v="0-1 día"/>
    <n v="0"/>
    <n v="0"/>
    <n v="0"/>
    <n v="1258.4000000000003"/>
  </r>
  <r>
    <s v="ABR-19"/>
    <n v="1"/>
    <s v="2027815"/>
    <s v="SR MANTENIMIENTO CORRECTIVO"/>
    <s v="5955"/>
    <s v="22/04/2019 11:27"/>
    <s v="0X76371386"/>
    <s v="500066"/>
    <s v="PITSS"/>
    <s v="ASP"/>
    <x v="85"/>
    <s v="AV RUFINO TAMAYO NO 100"/>
    <s v="San Pedro Garza Garc"/>
    <n v="0"/>
    <s v="INTERIOR"/>
    <n v="60"/>
    <s v="Entre 31 y 60"/>
    <s v="Departmental Digital"/>
    <s v="A3"/>
    <s v="Ciudad principal"/>
    <s v="2-Entre 31 y 60"/>
    <n v="1.05"/>
    <n v="1433.25"/>
    <n v="1"/>
    <n v="1.5"/>
    <n v="5"/>
    <n v="0.3"/>
    <n v="0"/>
    <n v="0"/>
    <d v="2019-04-22T00:00:00"/>
    <d v="2019-04-22T00:00:00"/>
    <n v="0"/>
    <s v="0-1 día"/>
    <n v="0"/>
    <n v="0"/>
    <n v="0"/>
    <n v="1433.25"/>
  </r>
  <r>
    <s v="ABR-19"/>
    <n v="1"/>
    <s v="2026205"/>
    <s v="SR MANTENIMIENTO CORRECTIVO"/>
    <s v="3658"/>
    <s v="17/04/2019 10:37"/>
    <s v="0C4X002910"/>
    <s v="500018"/>
    <s v="PITSS"/>
    <s v="ASP"/>
    <x v="2"/>
    <s v="AV 20 DE NOVIEMBRE OTE 1011"/>
    <s v="DURANGO-DGO"/>
    <n v="0"/>
    <s v="INTERIOR"/>
    <n v="775"/>
    <s v="&gt;60"/>
    <s v="A4 Mono MFPs"/>
    <s v="A4"/>
    <s v="Ciudad principal"/>
    <s v="1-&gt;60"/>
    <n v="1.05"/>
    <n v="750.75000000000011"/>
    <n v="1"/>
    <n v="0.93"/>
    <n v="5"/>
    <n v="0.186"/>
    <n v="0"/>
    <n v="0"/>
    <d v="2019-04-22T00:00:00"/>
    <d v="2019-04-22T00:00:00"/>
    <n v="0"/>
    <s v="0-1 día"/>
    <n v="0"/>
    <n v="0"/>
    <n v="0"/>
    <n v="750.75000000000011"/>
  </r>
  <r>
    <s v="ABR-19"/>
    <n v="1"/>
    <s v="2027683"/>
    <s v="SR MANTENIMIENTO CORRECTIVO"/>
    <s v="5748"/>
    <s v="22/04/2019 09:34"/>
    <s v="0XEH805292"/>
    <s v="500155"/>
    <s v="PITSS"/>
    <s v="ASP"/>
    <x v="30"/>
    <s v="AV VALLE DEL CEDRO 1681"/>
    <s v="CIUDAD JUAREZ-CHIH"/>
    <n v="0"/>
    <s v="INTERIOR"/>
    <n v="616"/>
    <s v="&gt;60"/>
    <s v="Office Digital"/>
    <s v="A3"/>
    <s v="Ciudad principal"/>
    <s v="2-&gt;60"/>
    <n v="1.1000000000000001"/>
    <n v="1501.5000000000002"/>
    <n v="1"/>
    <n v="1.1000000000000001"/>
    <n v="5"/>
    <n v="0.22000000000000003"/>
    <n v="0"/>
    <n v="0"/>
    <d v="2019-04-22T00:00:00"/>
    <d v="2019-04-22T00:00:00"/>
    <n v="0"/>
    <s v="0-1 día"/>
    <n v="0"/>
    <n v="0"/>
    <n v="0"/>
    <n v="1501.5000000000002"/>
  </r>
  <r>
    <s v="ABR-19"/>
    <n v="1"/>
    <s v="2027723"/>
    <s v="SR MANTENIMIENTO CORRECTIVO"/>
    <s v="5866"/>
    <s v="22/04/2019 10:14"/>
    <s v="0EX9293026"/>
    <s v="100037"/>
    <s v="PITSS"/>
    <s v="ASP"/>
    <x v="14"/>
    <s v="BLV AEROPUERTO MIGUEL ALEMAN 55"/>
    <s v="LERMA-MEX"/>
    <n v="0"/>
    <s v="INTERIOR"/>
    <n v="48"/>
    <s v="Entre 31 y 60"/>
    <s v="Departmental Digital"/>
    <s v="A3"/>
    <s v="Otras"/>
    <s v="2-Entre 31 y 60"/>
    <n v="1.05"/>
    <n v="1433.25"/>
    <n v="1"/>
    <n v="1.1499999999999999"/>
    <n v="9"/>
    <n v="0.12777777777777777"/>
    <n v="0"/>
    <n v="0"/>
    <d v="2019-04-22T00:00:00"/>
    <d v="2019-04-22T00:00:00"/>
    <n v="0"/>
    <s v="0-1 día"/>
    <n v="0"/>
    <n v="0"/>
    <n v="0"/>
    <n v="1433.25"/>
  </r>
  <r>
    <s v="ABR-19"/>
    <n v="1"/>
    <s v="2023305"/>
    <s v="SR MANTENIMIENTO CORRECTIVO"/>
    <s v="3658"/>
    <s v="10/04/2019 19:30"/>
    <s v="0C4X008011"/>
    <s v="800110"/>
    <s v="PITSS"/>
    <s v="ASP"/>
    <x v="0"/>
    <s v="CAMINO A JESUS DEL MONTE S/N KM 2"/>
    <s v="Michoacan-MICH"/>
    <n v="0"/>
    <s v="INTERIOR"/>
    <n v="86"/>
    <s v="&gt;60"/>
    <s v="A4 Mono MFPs"/>
    <s v="A4"/>
    <s v="Ciudad principal"/>
    <s v="1-&gt;60"/>
    <n v="1.05"/>
    <n v="750.75000000000011"/>
    <n v="1"/>
    <n v="1.82"/>
    <n v="5"/>
    <n v="0.36399999999999999"/>
    <n v="0"/>
    <n v="0"/>
    <d v="2019-04-22T00:00:00"/>
    <d v="2019-04-22T00:00:00"/>
    <n v="0"/>
    <s v="0-1 día"/>
    <n v="0"/>
    <n v="0"/>
    <n v="0"/>
    <n v="750.75000000000011"/>
  </r>
  <r>
    <s v="ABR-19"/>
    <n v="1"/>
    <s v="2024565"/>
    <s v="SR MANTENIMIENTO CORRECTIVO"/>
    <s v="0570"/>
    <s v="14/04/2019 09:58"/>
    <s v="0XPN548352"/>
    <s v="800072"/>
    <s v="PITSS"/>
    <s v="ASP"/>
    <x v="14"/>
    <s v="AV GENERAL MARCELINO GARCIA BARRAGAN 2077"/>
    <s v="TLAQUEPAQUE-JAL"/>
    <n v="0"/>
    <s v="INTERIOR"/>
    <n v="123"/>
    <s v="&gt;60"/>
    <s v="Entry Production Color Low/Mid"/>
    <s v="Entry Production"/>
    <s v="Ciudad principal"/>
    <s v="3-&gt;60"/>
    <n v="1.1499999999999999"/>
    <n v="1808.95"/>
    <n v="1"/>
    <n v="0"/>
    <n v="4"/>
    <n v="0"/>
    <n v="0"/>
    <n v="0"/>
    <d v="2019-04-17T00:00:00"/>
    <d v="2019-04-22T00:00:00"/>
    <n v="3"/>
    <s v="2-3 días"/>
    <n v="0.25"/>
    <n v="-393.25000000000006"/>
    <n v="0"/>
    <n v="1808.95"/>
  </r>
  <r>
    <s v="ABR-19"/>
    <n v="1"/>
    <s v="2027891"/>
    <s v="SR MANTENIMIENTO CORRECTIVO"/>
    <s v="5866"/>
    <s v="22/04/2019 12:43"/>
    <s v="0EX9293145"/>
    <s v="800183"/>
    <s v="PITSS"/>
    <s v="ASP"/>
    <x v="14"/>
    <s v="AV MEXICO 3370"/>
    <s v="Zapopan-JAL"/>
    <n v="0"/>
    <s v="INTERIOR"/>
    <n v="18"/>
    <s v="Entre 16 y 30"/>
    <s v="Departmental Digital"/>
    <s v="A3"/>
    <s v="Ciudad principal"/>
    <s v="2-Entre 16 y 30"/>
    <n v="0.8"/>
    <n v="1092"/>
    <n v="1"/>
    <n v="1.28"/>
    <n v="5"/>
    <n v="0.25600000000000001"/>
    <n v="0"/>
    <n v="0"/>
    <d v="2019-04-22T00:00:00"/>
    <d v="2019-04-22T00:00:00"/>
    <n v="0"/>
    <s v="0-1 día"/>
    <n v="0"/>
    <n v="0"/>
    <n v="0"/>
    <n v="1092"/>
  </r>
  <r>
    <s v="ABR-19"/>
    <n v="1"/>
    <s v="2023435"/>
    <s v="SR MANTENIMIENTO CORRECTIVO"/>
    <s v="4310"/>
    <s v="11/04/2019 09:04"/>
    <s v="0BG0966729"/>
    <s v="800197"/>
    <s v="PITSS"/>
    <s v="ASP"/>
    <x v="7"/>
    <s v="AV MEREO RODRIGUEZ BARRAGAN S/N"/>
    <s v="San Luis Potosi-SLP"/>
    <n v="0"/>
    <s v="INTERIOR"/>
    <n v="16"/>
    <s v="Entre 16 y 30"/>
    <s v="Light Production Digital Business"/>
    <s v="Entry Production"/>
    <s v="Ciudad principal"/>
    <s v="3-Entre 16 y 30"/>
    <n v="1.05"/>
    <n v="1651.6500000000003"/>
    <n v="1"/>
    <n v="5.26"/>
    <n v="4"/>
    <n v="1.3149999999999999"/>
    <n v="7.8749999999999987E-2"/>
    <n v="-123.87375"/>
    <d v="2019-04-18T00:00:00"/>
    <d v="2019-04-22T00:00:00"/>
    <n v="2"/>
    <s v="2-3 días"/>
    <n v="0.25"/>
    <n v="-393.25000000000006"/>
    <n v="0"/>
    <n v="1527.7762500000003"/>
  </r>
  <r>
    <s v="ABR-19"/>
    <n v="1"/>
    <s v="2025471"/>
    <s v="SR MANTENIMIENTO CORRECTIVO"/>
    <s v="3611"/>
    <s v="16/04/2019 09:29"/>
    <s v="0A4T558879"/>
    <s v="800192"/>
    <s v="PITSS"/>
    <s v="ASP"/>
    <x v="48"/>
    <s v="CARRETERA BASE AEREA No 5850-23"/>
    <s v="Zapopan-JAL"/>
    <n v="0"/>
    <s v="INTERIOR"/>
    <n v="61"/>
    <s v="&gt;60"/>
    <s v="Entry Mono Printers"/>
    <s v="A4"/>
    <s v="Ciudad principal"/>
    <s v="1-&gt;60"/>
    <n v="1.05"/>
    <n v="750.75000000000011"/>
    <n v="1"/>
    <n v="2.44"/>
    <n v="5"/>
    <n v="0.48799999999999999"/>
    <n v="0"/>
    <n v="0"/>
    <d v="2019-04-22T00:00:00"/>
    <d v="2019-04-22T00:00:00"/>
    <n v="0"/>
    <s v="0-1 día"/>
    <n v="0"/>
    <n v="0"/>
    <n v="0"/>
    <n v="750.75000000000011"/>
  </r>
  <r>
    <s v="ABR-19"/>
    <n v="1"/>
    <s v="2025541"/>
    <s v="SR MANTENIMIENTO CORRECTIVO"/>
    <s v="1844"/>
    <s v="16/04/2019 10:27"/>
    <s v="0UHA002009"/>
    <s v="800192"/>
    <s v="PITSS"/>
    <s v="ASP"/>
    <x v="89"/>
    <s v="INDUSTRIA VINICOLA 304"/>
    <s v="ZAPOPAN-JAL"/>
    <n v="0"/>
    <s v="INTERIOR"/>
    <n v="68"/>
    <s v="&gt;60"/>
    <s v="High End Cut Sheet"/>
    <s v="High Production"/>
    <s v="Ciudad principal"/>
    <s v="4-&gt;60"/>
    <n v="1.2"/>
    <n v="2574"/>
    <n v="1"/>
    <n v="4.83"/>
    <n v="3"/>
    <n v="1.61"/>
    <n v="0.15250000000000002"/>
    <n v="-327.11250000000007"/>
    <d v="2019-04-22T00:00:00"/>
    <d v="2019-04-22T00:00:00"/>
    <n v="0"/>
    <s v="0-1 día"/>
    <n v="0"/>
    <n v="0"/>
    <n v="0"/>
    <n v="2246.8874999999998"/>
  </r>
  <r>
    <s v="ABR-19"/>
    <n v="1"/>
    <s v="2027657"/>
    <s v="SR MANTENIMIENTO CORRECTIVO"/>
    <s v="8075"/>
    <s v="22/04/2019 08:58"/>
    <s v="03AG877899"/>
    <s v="500056"/>
    <s v="PITSS"/>
    <s v="ASP"/>
    <x v="14"/>
    <s v="BLV HIDALGO Y FUENTE DE DIANA SN"/>
    <s v="REYNOSA-TAM"/>
    <n v="0"/>
    <s v="INTERIOR"/>
    <n v="40"/>
    <s v="Entre 31 y 60"/>
    <s v="Departmental Digital"/>
    <s v="A3"/>
    <s v="Ciudad principal"/>
    <s v="2-Entre 31 y 60"/>
    <n v="1.05"/>
    <n v="1433.25"/>
    <n v="1"/>
    <n v="1.78"/>
    <n v="5"/>
    <n v="0.35599999999999998"/>
    <n v="0"/>
    <n v="0"/>
    <d v="2019-04-22T00:00:00"/>
    <d v="2019-04-22T00:00:00"/>
    <n v="0"/>
    <s v="0-1 día"/>
    <n v="0"/>
    <n v="0"/>
    <n v="0"/>
    <n v="1433.25"/>
  </r>
  <r>
    <s v="ABR-19"/>
    <n v="1"/>
    <s v="2025437"/>
    <s v="SR MANTENIMIENTO CORRECTIVO"/>
    <s v="0502"/>
    <s v="16/04/2019 08:28"/>
    <s v="3RB705952"/>
    <s v="500028"/>
    <s v="PITSS"/>
    <s v="ASP"/>
    <x v="90"/>
    <s v="QUINTA DE LOS ENCINOS No 105"/>
    <s v="General Escobedo-NL"/>
    <n v="0"/>
    <s v="INTERIOR"/>
    <n v="33"/>
    <s v="Entre 31 y 60"/>
    <s v="A4 Color Laser MFPs"/>
    <s v="A4"/>
    <s v="Otras"/>
    <s v="1-Entre 31 y 60"/>
    <n v="0.8"/>
    <n v="572.00000000000011"/>
    <n v="1"/>
    <n v="2"/>
    <n v="9"/>
    <n v="0.22222222222222221"/>
    <n v="0"/>
    <n v="0"/>
    <d v="2019-04-17T00:00:00"/>
    <d v="2019-04-22T00:00:00"/>
    <n v="3"/>
    <s v="2-3 días"/>
    <n v="0.25"/>
    <n v="-178.75000000000003"/>
    <n v="0"/>
    <n v="572.00000000000011"/>
  </r>
  <r>
    <s v="ABR-19"/>
    <n v="1"/>
    <s v="2021661"/>
    <s v="SR MANTENIMIENTO CORRECTIVO"/>
    <s v="0700"/>
    <s v="08/04/2019 11:56"/>
    <s v="0MAV779133"/>
    <s v="800027"/>
    <s v="PITSS"/>
    <s v="ASP"/>
    <x v="35"/>
    <s v="GABINO BARREDA No 267 B"/>
    <s v="Colima-COL"/>
    <n v="1"/>
    <s v="INTERIOR"/>
    <n v="3"/>
    <s v="&lt;=3"/>
    <s v="Entry Production Color Low/Mid"/>
    <s v="Entry Production"/>
    <s v="Ciudad principal"/>
    <s v="3-&lt;=3"/>
    <n v="0"/>
    <n v="0"/>
    <n v="1"/>
    <n v="5.57"/>
    <n v="4"/>
    <n v="1.3925000000000001"/>
    <n v="9.8125000000000018E-2"/>
    <n v="-154.35062500000004"/>
    <d v="2019-04-22T00:00:00"/>
    <d v="2019-04-22T00:00:00"/>
    <n v="0"/>
    <s v="0-1 día"/>
    <n v="0"/>
    <n v="0"/>
    <n v="0"/>
    <n v="-154.35062500000004"/>
  </r>
  <r>
    <s v="ABR-19"/>
    <n v="1"/>
    <s v="2021655"/>
    <s v="SR MANTENIMIENTO CORRECTIVO"/>
    <s v="0551"/>
    <s v="08/04/2019 11:52"/>
    <s v="0E2B659680"/>
    <s v="800187"/>
    <s v="PITSS"/>
    <s v="ASP"/>
    <x v="91"/>
    <s v="16 DE SEPTIEMBRE No 8 INT 8"/>
    <s v="Quintana Roo-QROO"/>
    <n v="0"/>
    <s v="INTERIOR"/>
    <n v="2685"/>
    <s v="&gt;60"/>
    <s v="Entry Production Color Low/Mid"/>
    <s v="Entry Production"/>
    <s v="Ciudad principal"/>
    <s v="3-&gt;60"/>
    <n v="1.1499999999999999"/>
    <n v="1808.95"/>
    <n v="1"/>
    <n v="0.96"/>
    <n v="4"/>
    <n v="0.24"/>
    <n v="0"/>
    <n v="0"/>
    <d v="2019-04-15T00:00:00"/>
    <d v="2019-04-22T00:00:00"/>
    <n v="5"/>
    <s v="4-5 días"/>
    <n v="0.5"/>
    <n v="-786.50000000000011"/>
    <n v="0"/>
    <n v="1808.95"/>
  </r>
  <r>
    <s v="ABR-19"/>
    <n v="1"/>
    <s v="2028065"/>
    <s v="SR MANTENIMIENTO CORRECTIVO"/>
    <s v="8680"/>
    <s v="22/04/2019 17:07"/>
    <s v="0B2R088357"/>
    <s v="800185"/>
    <s v="PITSS"/>
    <s v="ASP"/>
    <x v="35"/>
    <s v="GABINO BARREDA No 267 B"/>
    <s v="Colima-COL"/>
    <n v="1"/>
    <s v="INTERIOR"/>
    <n v="12"/>
    <s v="Entre 7 y 15"/>
    <s v="Entry Production Color Low/Mid"/>
    <s v="Entry Production"/>
    <s v="Ciudad principal"/>
    <s v="3-Entre 7 y 15"/>
    <n v="0.8"/>
    <n v="0"/>
    <n v="1"/>
    <n v="0.38"/>
    <n v="4"/>
    <n v="9.5000000000000001E-2"/>
    <n v="0"/>
    <n v="0"/>
    <d v="2019-04-22T00:00:00"/>
    <d v="2019-04-23T00:00:00"/>
    <n v="1"/>
    <s v="0-1 día"/>
    <n v="0"/>
    <n v="0"/>
    <n v="0"/>
    <n v="0"/>
  </r>
  <r>
    <s v="ABR-19"/>
    <n v="1"/>
    <s v="2027921"/>
    <s v="SR MANTENIMIENTO CORRECTIVO"/>
    <s v="4395"/>
    <s v="22/04/2019 13:13"/>
    <s v="0BG2945237"/>
    <s v="500094"/>
    <s v="PITSS"/>
    <s v="ASP"/>
    <x v="7"/>
    <s v="AV HIDALGO 5309"/>
    <s v="TAMPICO-TAM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2.36"/>
    <n v="4"/>
    <n v="0.59"/>
    <n v="0"/>
    <n v="0"/>
    <d v="2019-04-22T00:00:00"/>
    <d v="2019-04-23T00:00:00"/>
    <n v="1"/>
    <s v="0-1 día"/>
    <n v="0"/>
    <n v="0"/>
    <n v="0"/>
    <n v="943.80000000000007"/>
  </r>
  <r>
    <s v="ABR-19"/>
    <n v="1"/>
    <s v="2025813"/>
    <s v="SR INSTALACION CAMBIO DE LUGAR"/>
    <s v="0070"/>
    <s v="17/04/2019 00:34"/>
    <s v="0E2B665653"/>
    <s v="800183"/>
    <s v="PITSS"/>
    <s v="ASP"/>
    <x v="14"/>
    <s v="AV VALLE DE SAN ISIDRO 530"/>
    <s v="ZAPOPAN-JAL"/>
    <n v="0"/>
    <s v="INTERIOR"/>
    <s v="  "/>
    <s v="&gt;60"/>
    <s v="Entry Production Color Low/Mid"/>
    <s v="Entry Production"/>
    <s v="Ciudad principal"/>
    <s v="3-&gt;60"/>
    <n v="1"/>
    <n v="1573.0000000000002"/>
    <n v="0"/>
    <n v="4"/>
    <n v="4"/>
    <n v="1"/>
    <n v="0"/>
    <n v="0"/>
    <d v="2019-04-22T00:00:00"/>
    <d v="2019-04-23T00:00:00"/>
    <n v="1"/>
    <s v="0-1 día"/>
    <n v="0"/>
    <n v="0"/>
    <n v="0"/>
    <n v="1573.0000000000002"/>
  </r>
  <r>
    <s v="ABR-19"/>
    <n v="1"/>
    <s v="2027927"/>
    <s v="SR MANTENIMIENTO CORRECTIVO"/>
    <s v="6705"/>
    <s v="22/04/2019 13:20"/>
    <s v="0A1H020675"/>
    <s v="500094"/>
    <s v="PITSS"/>
    <s v="ASP"/>
    <x v="7"/>
    <s v="AV HIDALGO 5309"/>
    <s v="TAMPICO-TAM"/>
    <n v="0"/>
    <s v="INTERIOR"/>
    <n v="5"/>
    <s v="Entre 3 y 6"/>
    <s v="WF Mono Systems and Legacy Color"/>
    <s v="WF"/>
    <s v="Ciudad principal"/>
    <s v="3-Entre 3 y 6"/>
    <n v="0.6"/>
    <n v="943.80000000000007"/>
    <n v="1"/>
    <n v="4.17"/>
    <n v="4"/>
    <n v="1.0425"/>
    <n v="1.0624999999999996E-2"/>
    <n v="-16.713124999999994"/>
    <d v="2019-04-22T00:00:00"/>
    <d v="2019-04-23T00:00:00"/>
    <n v="1"/>
    <s v="0-1 día"/>
    <n v="0"/>
    <n v="0"/>
    <n v="0"/>
    <n v="927.08687500000008"/>
  </r>
  <r>
    <s v="ABR-19"/>
    <n v="1"/>
    <s v="2027923"/>
    <s v="SR MANTENIMIENTO CORRECTIVO"/>
    <s v="4395"/>
    <s v="22/04/2019 13:17"/>
    <s v="0BG2948912"/>
    <s v="500094"/>
    <s v="PITSS"/>
    <s v="ASP"/>
    <x v="7"/>
    <s v="AV HIDALGO 5309"/>
    <s v="TAMPICO-TAM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4.22"/>
    <n v="4"/>
    <n v="1.0549999999999999"/>
    <n v="1.3749999999999984E-2"/>
    <n v="-21.628749999999979"/>
    <d v="2019-04-22T00:00:00"/>
    <d v="2019-04-23T00:00:00"/>
    <n v="1"/>
    <s v="0-1 día"/>
    <n v="0"/>
    <n v="0"/>
    <n v="0"/>
    <n v="922.1712500000001"/>
  </r>
  <r>
    <s v="ABR-19"/>
    <n v="1"/>
    <s v="2026237"/>
    <s v="SR MANTENIMIENTO CORRECTIVO"/>
    <s v="4395"/>
    <s v="17/04/2019 11:09"/>
    <s v="0BG2949227"/>
    <s v="100037"/>
    <s v="PITSS"/>
    <s v="ASP"/>
    <x v="7"/>
    <s v="VIALIDAD METEPEC ESQ. CON CALLE GPE VICTORIA. LOCA"/>
    <s v="Metepec-MEX"/>
    <n v="0"/>
    <s v="INTERIOR"/>
    <n v="90"/>
    <s v="&gt;60"/>
    <s v="Light Production Digital Business"/>
    <s v="Entry Production"/>
    <s v="Ciudad principal"/>
    <s v="3-&gt;60"/>
    <n v="1.1499999999999999"/>
    <n v="1808.95"/>
    <n v="1"/>
    <n v="1.85"/>
    <n v="4"/>
    <n v="0.46250000000000002"/>
    <n v="0"/>
    <n v="0"/>
    <d v="2019-04-22T00:00:00"/>
    <d v="2019-04-23T00:00:00"/>
    <n v="1"/>
    <s v="0-1 día"/>
    <n v="0"/>
    <n v="0"/>
    <n v="0"/>
    <n v="1808.95"/>
  </r>
  <r>
    <s v="ABR-19"/>
    <n v="1"/>
    <s v="2004303"/>
    <s v="SR MANTENIMIENTO CORRECTIVO"/>
    <s v="6203"/>
    <s v="05/03/2019 15:48"/>
    <s v="0AGD461524"/>
    <s v="500083"/>
    <s v="PITSS"/>
    <s v="ASP"/>
    <x v="7"/>
    <s v="AV UNIVERSIDAD 401 NTE"/>
    <s v="SAN NICOLAS DE LOS G"/>
    <n v="0"/>
    <s v="INTERIOR"/>
    <n v="1089"/>
    <s v="&gt;60"/>
    <s v="WF Mono Systems and Legacy Color"/>
    <s v="WF"/>
    <s v="Ciudad principal"/>
    <s v="3-&gt;60"/>
    <n v="1.1499999999999999"/>
    <n v="1808.95"/>
    <n v="1"/>
    <n v="3.45"/>
    <n v="4"/>
    <n v="0.86250000000000004"/>
    <n v="0"/>
    <n v="0"/>
    <d v="2019-03-20T00:00:00"/>
    <d v="2019-04-23T00:00:00"/>
    <n v="24"/>
    <s v="&gt;10 días"/>
    <n v="1"/>
    <n v="-1573.0000000000002"/>
    <n v="0"/>
    <n v="1808.95"/>
  </r>
  <r>
    <s v="ABR-19"/>
    <n v="1"/>
    <s v="2028039"/>
    <s v="SR MANTENIMIENTO CORRECTIVO"/>
    <s v="4002"/>
    <s v="22/04/2019 16:01"/>
    <s v="09HB331860"/>
    <s v="000195"/>
    <s v="PITSS"/>
    <s v="ASP"/>
    <x v="11"/>
    <s v="AV MIGUEL ANGEL DE QUEVEDO NO 555"/>
    <s v="Coyoacan-CIUDAD DE M"/>
    <n v="1"/>
    <s v="METRO"/>
    <n v="34"/>
    <s v="Entre 31 y 60"/>
    <s v="A4 Mono MFPs"/>
    <s v="A4"/>
    <s v="Ciudad principal"/>
    <s v="1-Entre 31 y 60"/>
    <n v="0.8"/>
    <n v="0"/>
    <n v="1"/>
    <n v="1.48"/>
    <n v="5"/>
    <n v="0.29599999999999999"/>
    <n v="0"/>
    <n v="0"/>
    <d v="2019-04-23T00:00:00"/>
    <d v="2019-04-23T00:00:00"/>
    <n v="0"/>
    <s v="0-1 día"/>
    <n v="0"/>
    <n v="0"/>
    <n v="0"/>
    <n v="0"/>
  </r>
  <r>
    <s v="ABR-19"/>
    <n v="1"/>
    <s v="2028075"/>
    <s v="SR MANTENIMIENTO CORRECTIVO"/>
    <s v="6513"/>
    <s v="22/04/2019 17:19"/>
    <s v="5AV814873"/>
    <s v="800146"/>
    <s v="PITSS"/>
    <s v="ASP"/>
    <x v="92"/>
    <s v="PLAZA HIDALGO NO 304"/>
    <s v="Guanajuato-GTO"/>
    <n v="0"/>
    <s v="INTERIOR"/>
    <n v="73"/>
    <s v="&gt;60"/>
    <s v="A4 Color Laser MFPs"/>
    <s v="A4"/>
    <s v="Ciudad principal"/>
    <s v="1-&gt;60"/>
    <n v="1.05"/>
    <n v="750.75000000000011"/>
    <n v="1"/>
    <n v="0.18"/>
    <n v="5"/>
    <n v="3.5999999999999997E-2"/>
    <n v="0"/>
    <n v="0"/>
    <d v="2019-04-23T00:00:00"/>
    <d v="2019-04-23T00:00:00"/>
    <n v="0"/>
    <s v="0-1 día"/>
    <n v="0"/>
    <n v="0"/>
    <n v="0"/>
    <n v="750.75000000000011"/>
  </r>
  <r>
    <s v="ABR-19"/>
    <n v="1"/>
    <s v="2028025"/>
    <s v="SR MANTENIMIENTO CORRECTIVO"/>
    <s v="4395"/>
    <s v="22/04/2019 15:44"/>
    <s v="0BG2947152"/>
    <s v="800183"/>
    <s v="PITSS"/>
    <s v="ASP"/>
    <x v="7"/>
    <s v="PATRIA 1937"/>
    <s v="ZAPOPAN-JAL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1.77"/>
    <n v="4"/>
    <n v="0.4425"/>
    <n v="0"/>
    <n v="0"/>
    <d v="2019-04-23T00:00:00"/>
    <d v="2019-04-23T00:00:00"/>
    <n v="0"/>
    <s v="0-1 día"/>
    <n v="0"/>
    <n v="0"/>
    <n v="0"/>
    <n v="943.80000000000007"/>
  </r>
  <r>
    <s v="ABR-19"/>
    <n v="1"/>
    <s v="2028093"/>
    <s v="SR MANTENIMIENTO CORRECTIVO"/>
    <s v="5866"/>
    <s v="22/04/2019 19:55"/>
    <s v="0EX9293386"/>
    <s v="800188"/>
    <s v="PITSS"/>
    <s v="ASP"/>
    <x v="14"/>
    <s v="PASEO IRAPUATO 1101"/>
    <s v="IRAPUATO-GTO"/>
    <n v="0"/>
    <s v="INTERIOR"/>
    <n v="8"/>
    <s v="Entre 7 y 15"/>
    <s v="Departmental Digital"/>
    <s v="A3"/>
    <s v="Ciudad principal"/>
    <s v="2-Entre 7 y 15"/>
    <n v="0.6"/>
    <n v="819"/>
    <n v="1"/>
    <n v="0.75"/>
    <n v="5"/>
    <n v="0.15"/>
    <n v="0"/>
    <n v="0"/>
    <d v="2019-04-23T00:00:00"/>
    <d v="2019-04-23T00:00:00"/>
    <n v="0"/>
    <s v="0-1 día"/>
    <n v="0"/>
    <n v="0"/>
    <n v="0"/>
    <n v="819"/>
  </r>
  <r>
    <s v="ABR-19"/>
    <n v="1"/>
    <s v="2026171"/>
    <s v="SR MANTENIMIENTO CORRECTIVO"/>
    <s v="3657"/>
    <s v="17/04/2019 10:26"/>
    <s v="0C7X273155"/>
    <s v="800187"/>
    <s v="PITSS"/>
    <s v="ASP"/>
    <x v="74"/>
    <s v="AV PASEO CENTRAL No 2A"/>
    <s v="San Juan Del Rio-QRO"/>
    <n v="0"/>
    <s v="INTERIOR"/>
    <n v="217"/>
    <s v="&gt;60"/>
    <s v="A4 Mono MFPs"/>
    <s v="A4"/>
    <s v="Ciudad principal"/>
    <s v="1-&gt;60"/>
    <n v="1.05"/>
    <n v="750.75000000000011"/>
    <n v="1"/>
    <n v="0.4"/>
    <n v="5"/>
    <n v="0.08"/>
    <n v="0"/>
    <n v="0"/>
    <d v="2019-04-23T00:00:00"/>
    <d v="2019-04-23T00:00:00"/>
    <n v="0"/>
    <s v="0-1 día"/>
    <n v="0"/>
    <n v="0"/>
    <n v="0"/>
    <n v="750.75000000000011"/>
  </r>
  <r>
    <s v="ABR-19"/>
    <n v="1"/>
    <s v="2028023"/>
    <s v="SR MANTENIMIENTO CORRECTIVO"/>
    <s v="8045"/>
    <s v="22/04/2019 15:44"/>
    <s v="0Y4X848866"/>
    <s v="000196"/>
    <s v="PITSS"/>
    <s v="ASP"/>
    <x v="11"/>
    <s v="AV PASEO DE LA REFORMA No 180 PISO 23"/>
    <s v="Cuauhtemoc-CIUDAD DE"/>
    <n v="1"/>
    <s v="METRO"/>
    <n v="5"/>
    <s v="Entre 3 y 6"/>
    <s v="Office Digital"/>
    <s v="A3"/>
    <s v="Ciudad principal"/>
    <s v="2-Entre 3 y 6"/>
    <n v="0"/>
    <n v="0"/>
    <n v="1"/>
    <n v="1.77"/>
    <n v="5"/>
    <n v="0.35399999999999998"/>
    <n v="0"/>
    <n v="0"/>
    <d v="2019-04-23T00:00:00"/>
    <d v="2019-04-23T00:00:00"/>
    <n v="0"/>
    <s v="0-1 día"/>
    <n v="0"/>
    <n v="0"/>
    <n v="0"/>
    <n v="0"/>
  </r>
  <r>
    <s v="ABR-19"/>
    <n v="1"/>
    <s v="2028223"/>
    <s v="SR MANTENIMIENTO CORRECTIVO"/>
    <s v="5866"/>
    <s v="23/04/2019 08:38"/>
    <s v="0EX9297565"/>
    <s v="500157"/>
    <s v="PITSS"/>
    <s v="ASP"/>
    <x v="7"/>
    <s v="AV PASEO TRIUNFO LA REP 6321"/>
    <s v="CIUDAD JUAREZ-CHIH"/>
    <n v="0"/>
    <s v="INTERIOR"/>
    <n v="25"/>
    <s v="Entre 16 y 30"/>
    <s v="Departmental Digital"/>
    <s v="A3"/>
    <s v="Ciudad principal"/>
    <s v="2-Entre 16 y 30"/>
    <n v="0.8"/>
    <n v="1092"/>
    <n v="1"/>
    <n v="0.87"/>
    <n v="5"/>
    <n v="0.17399999999999999"/>
    <n v="0"/>
    <n v="0"/>
    <d v="2019-04-23T00:00:00"/>
    <d v="2019-04-23T00:00:00"/>
    <n v="0"/>
    <s v="0-1 día"/>
    <n v="0"/>
    <n v="0"/>
    <n v="0"/>
    <n v="1092"/>
  </r>
  <r>
    <s v="ABR-19"/>
    <n v="1"/>
    <s v="2028313"/>
    <s v="SR MANTENIMIENTO CORRECTIVO"/>
    <s v="5945"/>
    <s v="23/04/2019 10:11"/>
    <s v="0X76373202"/>
    <s v="500158"/>
    <s v="PITSS"/>
    <s v="ASP"/>
    <x v="3"/>
    <s v="AV DE LAS INDUSTRIAS S/N"/>
    <s v="CIUDAD JUAREZ-CHIH"/>
    <n v="0"/>
    <s v="INTERIOR"/>
    <n v="104"/>
    <s v="&gt;60"/>
    <s v="Office Digital"/>
    <s v="A3"/>
    <s v="Ciudad principal"/>
    <s v="2-&gt;60"/>
    <n v="1.1000000000000001"/>
    <n v="1501.5000000000002"/>
    <n v="1"/>
    <n v="0"/>
    <n v="5"/>
    <n v="0"/>
    <n v="0"/>
    <n v="0"/>
    <d v="2019-04-23T00:00:00"/>
    <d v="2019-04-23T00:00:00"/>
    <n v="0"/>
    <s v="0-1 día"/>
    <n v="0"/>
    <n v="0"/>
    <n v="0"/>
    <n v="1501.5000000000002"/>
  </r>
  <r>
    <s v="ABR-19"/>
    <n v="1"/>
    <s v="2028003"/>
    <s v="SR MANTENIMIENTO CORRECTIVO"/>
    <s v="0601"/>
    <s v="22/04/2019 14:57"/>
    <s v="5XB478288"/>
    <s v="800027"/>
    <s v="PITSS"/>
    <s v="ASP"/>
    <x v="93"/>
    <s v="LA GUAITA No 2882"/>
    <s v="Guadalajara-JAL"/>
    <n v="0"/>
    <s v="INTERIOR"/>
    <n v="2699"/>
    <s v="&gt;60"/>
    <s v="A4 Mono MFPs"/>
    <s v="A4"/>
    <s v="Ciudad principal"/>
    <s v="1-&gt;60"/>
    <n v="1.05"/>
    <n v="750.75000000000011"/>
    <n v="1"/>
    <n v="2.5499999999999998"/>
    <n v="5"/>
    <n v="0.51"/>
    <n v="0"/>
    <n v="0"/>
    <d v="2019-04-23T00:00:00"/>
    <d v="2019-04-23T00:00:00"/>
    <n v="0"/>
    <s v="0-1 día"/>
    <n v="0"/>
    <n v="0"/>
    <n v="0"/>
    <n v="750.75000000000011"/>
  </r>
  <r>
    <s v="ABR-19"/>
    <n v="1"/>
    <s v="2028293"/>
    <s v="SR MANTENIMIENTO PREVENTIVO"/>
    <s v="7225"/>
    <s v="23/04/2019 09:46"/>
    <s v="0LX5822381"/>
    <s v="500159"/>
    <s v="PITSS"/>
    <s v="ASP"/>
    <x v="30"/>
    <s v="VIALIDAD TABALAOPA 8507"/>
    <s v="CHIHUAHUA-CHIH"/>
    <n v="0"/>
    <s v="INTERIOR"/>
    <s v="  "/>
    <s v="&gt;60"/>
    <s v="A3 Office Color Laser MFPs"/>
    <s v="A3"/>
    <s v="Ciudad principal"/>
    <s v="2-&gt;60"/>
    <n v="1"/>
    <n v="1365"/>
    <n v="0"/>
    <n v="5"/>
    <n v="5"/>
    <n v="1"/>
    <n v="0"/>
    <n v="0"/>
    <d v="2019-04-23T00:00:00"/>
    <d v="2019-04-23T00:00:00"/>
    <n v="0"/>
    <s v="0-1 día"/>
    <n v="0"/>
    <n v="0"/>
    <n v="0"/>
    <n v="1365"/>
  </r>
  <r>
    <s v="ABR-19"/>
    <n v="1"/>
    <s v="2028295"/>
    <s v="SR MANTENIMIENTO PREVENTIVO"/>
    <s v="3636"/>
    <s v="23/04/2019 09:53"/>
    <s v="0BB1564112"/>
    <s v="500159"/>
    <s v="PITSS"/>
    <s v="ASP"/>
    <x v="30"/>
    <s v="VIALIDAD TABALAOPA 8507"/>
    <s v="CHIHUAHUA-CHIH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4-23T00:00:00"/>
    <d v="2019-04-23T00:00:00"/>
    <n v="0"/>
    <s v="0-1 día"/>
    <n v="0"/>
    <n v="0"/>
    <n v="0"/>
    <n v="715.00000000000011"/>
  </r>
  <r>
    <s v="ABR-19"/>
    <n v="1"/>
    <s v="2027949"/>
    <s v="SR MANTENIMIENTO CORRECTIVO"/>
    <s v="4395"/>
    <s v="22/04/2019 13:49"/>
    <s v="0BG2950042"/>
    <s v="500066"/>
    <s v="PITSS"/>
    <s v="ASP"/>
    <x v="7"/>
    <s v="CARRETERA NACIONAL NO 500 LOCAL N-119"/>
    <s v="Monterrey-NL"/>
    <n v="0"/>
    <s v="INTERIOR"/>
    <n v="27"/>
    <s v="Entre 16 y 30"/>
    <s v="Light Production Digital Business"/>
    <s v="Entry Production"/>
    <s v="Ciudad principal"/>
    <s v="3-Entre 16 y 30"/>
    <n v="1.05"/>
    <n v="1651.6500000000003"/>
    <n v="1"/>
    <n v="1.56"/>
    <n v="4"/>
    <n v="0.39"/>
    <n v="0"/>
    <n v="0"/>
    <d v="2019-04-22T00:00:00"/>
    <d v="2019-04-23T00:00:00"/>
    <n v="1"/>
    <s v="0-1 día"/>
    <n v="0"/>
    <n v="0"/>
    <n v="0"/>
    <n v="1651.6500000000003"/>
  </r>
  <r>
    <s v="ABR-19"/>
    <n v="1"/>
    <s v="2028217"/>
    <s v="SR MANTENIMIENTO CORRECTIVO"/>
    <s v="0570"/>
    <s v="23/04/2019 08:23"/>
    <s v="0XPN548251"/>
    <s v="500066"/>
    <s v="PITSS"/>
    <s v="ASP"/>
    <x v="14"/>
    <s v="AV JOSE ELEUTERIO GONZALEZ No 315 INT 7C"/>
    <s v="Monterrey-NL"/>
    <n v="0"/>
    <s v="INTERIOR"/>
    <n v="68"/>
    <s v="&gt;60"/>
    <s v="Entry Production Color Low/Mid"/>
    <s v="Entry Production"/>
    <s v="Ciudad principal"/>
    <s v="3-&gt;60"/>
    <n v="1.1499999999999999"/>
    <n v="1808.95"/>
    <n v="1"/>
    <n v="2.12"/>
    <n v="4"/>
    <n v="0.53"/>
    <n v="0"/>
    <n v="0"/>
    <d v="2019-04-23T00:00:00"/>
    <d v="2019-04-23T00:00:00"/>
    <n v="0"/>
    <s v="0-1 día"/>
    <n v="0"/>
    <n v="0"/>
    <n v="0"/>
    <n v="1808.95"/>
  </r>
  <r>
    <s v="ABR-19"/>
    <n v="1"/>
    <s v="2028219"/>
    <s v="SR MANTENIMIENTO CORRECTIVO"/>
    <s v="5866"/>
    <s v="23/04/2019 08:29"/>
    <s v="0EX9293351"/>
    <s v="500066"/>
    <s v="PITSS"/>
    <s v="ASP"/>
    <x v="14"/>
    <s v="AV JOSE ELEUTERIO GONZALEZ 315"/>
    <s v="MONTERREY-NL"/>
    <n v="0"/>
    <s v="INTERIOR"/>
    <n v="64"/>
    <s v="&gt;60"/>
    <s v="Departmental Digital"/>
    <s v="A3"/>
    <s v="Ciudad principal"/>
    <s v="2-&gt;60"/>
    <n v="1.1000000000000001"/>
    <n v="1501.5000000000002"/>
    <n v="1"/>
    <n v="2.08"/>
    <n v="5"/>
    <n v="0.41600000000000004"/>
    <n v="0"/>
    <n v="0"/>
    <d v="2019-04-23T00:00:00"/>
    <d v="2019-04-23T00:00:00"/>
    <n v="0"/>
    <s v="0-1 día"/>
    <n v="0"/>
    <n v="0"/>
    <n v="0"/>
    <n v="1501.5000000000002"/>
  </r>
  <r>
    <s v="ABR-19"/>
    <n v="1"/>
    <s v="2025809"/>
    <s v="SR INSTALACION CAMBIO DE LUGAR"/>
    <s v="4310"/>
    <s v="16/04/2019 23:50"/>
    <s v="0BG0972374"/>
    <s v="800192"/>
    <s v="PITSS"/>
    <s v="ASP"/>
    <x v="14"/>
    <s v="AV VALLARTA 5400"/>
    <s v="ZAPOPAN-JAL"/>
    <n v="0"/>
    <s v="INTERIOR"/>
    <s v="  "/>
    <s v="&gt;60"/>
    <s v="Light Production Digital Business"/>
    <s v="Entry Production"/>
    <s v="Ciudad principal"/>
    <s v="3-&gt;60"/>
    <n v="1"/>
    <n v="1573.0000000000002"/>
    <n v="0"/>
    <n v="4"/>
    <n v="4"/>
    <n v="1"/>
    <n v="0"/>
    <n v="0"/>
    <d v="2019-04-23T00:00:00"/>
    <d v="2019-04-23T00:00:00"/>
    <n v="0"/>
    <s v="0-1 día"/>
    <n v="0"/>
    <n v="0"/>
    <n v="0"/>
    <n v="1573.0000000000002"/>
  </r>
  <r>
    <s v="ABR-19"/>
    <n v="1"/>
    <s v="2027857"/>
    <s v="SR MANTENIMIENTO CORRECTIVO"/>
    <s v="7025"/>
    <s v="22/04/2019 12:02"/>
    <s v="07CX043423"/>
    <s v="500056"/>
    <s v="PITSS"/>
    <s v="ASP"/>
    <x v="31"/>
    <s v="CARR MONTERREY - REYNOSA No 210 B, PLANTA ALTA"/>
    <s v="Reynosa-TAM"/>
    <n v="0"/>
    <s v="INTERIOR"/>
    <n v="167"/>
    <s v="&gt;60"/>
    <s v="Office Digital"/>
    <s v="A3"/>
    <s v="Ciudad principal"/>
    <s v="2-&gt;60"/>
    <n v="1.1000000000000001"/>
    <n v="1501.5000000000002"/>
    <n v="1"/>
    <n v="4.22"/>
    <n v="5"/>
    <n v="0.84399999999999997"/>
    <n v="0"/>
    <n v="0"/>
    <d v="2019-04-22T00:00:00"/>
    <d v="2019-04-23T00:00:00"/>
    <n v="1"/>
    <s v="0-1 día"/>
    <n v="0"/>
    <n v="0"/>
    <n v="0"/>
    <n v="1501.5000000000002"/>
  </r>
  <r>
    <s v="ABR-19"/>
    <n v="1"/>
    <s v="2028059"/>
    <s v="SR MANTENIMIENTO CORRECTIVO"/>
    <s v="8600"/>
    <s v="22/04/2019 16:51"/>
    <s v="0B2E530304"/>
    <s v="500083"/>
    <s v="PITSS"/>
    <s v="ASP"/>
    <x v="94"/>
    <s v="AYUTLA OTE 1012"/>
    <s v="Monterrey-NL"/>
    <n v="0"/>
    <s v="INTERIOR"/>
    <n v="31"/>
    <s v="Entre 31 y 60"/>
    <s v="Entry Production Color Mid"/>
    <s v="Entry Production"/>
    <s v="Ciudad principal"/>
    <s v="3-Entre 31 y 60"/>
    <n v="1.1000000000000001"/>
    <n v="1730.3000000000004"/>
    <n v="1"/>
    <n v="0.65"/>
    <n v="4"/>
    <n v="0.16250000000000001"/>
    <n v="0"/>
    <n v="0"/>
    <d v="2019-04-23T00:00:00"/>
    <d v="2019-04-23T00:00:00"/>
    <n v="0"/>
    <s v="0-1 día"/>
    <n v="0"/>
    <n v="0"/>
    <n v="0"/>
    <n v="1730.3000000000004"/>
  </r>
  <r>
    <s v="ABR-19"/>
    <n v="1"/>
    <s v="2027993"/>
    <s v="SR MANTENIMIENTO CORRECTIVO"/>
    <s v="3657"/>
    <s v="22/04/2019 14:52"/>
    <s v="0C7X239181"/>
    <s v="500089"/>
    <s v="PITSS"/>
    <s v="ASP"/>
    <x v="25"/>
    <s v="AV HERMANOS ESCOBAR No 5756"/>
    <s v="Ciudad Juarez-CHIH"/>
    <n v="1"/>
    <s v="INTERIOR"/>
    <n v="40"/>
    <s v="Entre 31 y 60"/>
    <s v="A4 Mono MFPs"/>
    <s v="A4"/>
    <s v="Ciudad principal"/>
    <s v="1-Entre 31 y 60"/>
    <n v="0.8"/>
    <n v="0"/>
    <n v="1"/>
    <n v="4.55"/>
    <n v="5"/>
    <n v="0.90999999999999992"/>
    <n v="0"/>
    <n v="0"/>
    <d v="2019-04-23T00:00:00"/>
    <d v="2019-04-23T00:00:00"/>
    <n v="0"/>
    <s v="0-1 día"/>
    <n v="0"/>
    <n v="0"/>
    <n v="0"/>
    <n v="0"/>
  </r>
  <r>
    <s v="ABR-19"/>
    <n v="1"/>
    <s v="2024317"/>
    <s v="SR MANTENIMIENTO CORRECTIVO"/>
    <s v="7855"/>
    <s v="12/04/2019 18:01"/>
    <s v="0MX4465075"/>
    <s v="800147"/>
    <s v="PITSS"/>
    <s v="ASP"/>
    <x v="7"/>
    <s v="BLV MANUEL J CLOUTHIER SN"/>
    <s v="LEON-GTO"/>
    <n v="0"/>
    <s v="INTERIOR"/>
    <n v="11"/>
    <s v="Entre 7 y 15"/>
    <s v="A3 Office Color Laser MFPs"/>
    <s v="A3"/>
    <s v="Ciudad principal"/>
    <s v="2-Entre 7 y 15"/>
    <n v="0.6"/>
    <n v="819"/>
    <n v="1"/>
    <n v="0"/>
    <n v="5"/>
    <n v="0"/>
    <n v="0"/>
    <n v="0"/>
    <d v="2019-04-23T00:00:00"/>
    <d v="2019-04-23T00:00:00"/>
    <n v="0"/>
    <s v="0-1 día"/>
    <n v="0"/>
    <n v="0"/>
    <n v="0"/>
    <n v="819"/>
  </r>
  <r>
    <s v="ABR-19"/>
    <n v="1"/>
    <s v="2025165"/>
    <s v="SR MANTENIMIENTO CORRECTIVO"/>
    <s v="4395"/>
    <s v="15/04/2019 14:38"/>
    <s v="0BG2951498"/>
    <s v="500018"/>
    <s v="PITSS"/>
    <s v="ASP"/>
    <x v="7"/>
    <s v="BLV FELIPE PESCADOR 1902 ESQ PEDRO"/>
    <s v="DURANGO-DGO"/>
    <n v="0"/>
    <s v="INTERIOR"/>
    <n v="146"/>
    <s v="&gt;60"/>
    <s v="Light Production Digital Business"/>
    <s v="Entry Production"/>
    <s v="Ciudad principal"/>
    <s v="3-&gt;60"/>
    <n v="1.1499999999999999"/>
    <n v="1808.95"/>
    <n v="1"/>
    <n v="1.65"/>
    <n v="4"/>
    <n v="0.41249999999999998"/>
    <n v="0"/>
    <n v="0"/>
    <d v="2019-04-23T00:00:00"/>
    <d v="2019-04-23T00:00:00"/>
    <n v="0"/>
    <s v="0-1 día"/>
    <n v="0"/>
    <n v="0"/>
    <n v="0"/>
    <n v="1808.95"/>
  </r>
  <r>
    <s v="ABR-19"/>
    <n v="1"/>
    <s v="2028417"/>
    <s v="SR MANTENIMIENTO CORRECTIVO"/>
    <s v="5774"/>
    <s v="23/04/2019 11:42"/>
    <s v="0XEL555336"/>
    <s v="800197"/>
    <s v="PITSS"/>
    <s v="ASP"/>
    <x v="7"/>
    <s v="AV VENUSTIANO CARRANZA No 733"/>
    <s v="San Luis Potosi-SLP"/>
    <n v="0"/>
    <s v="INTERIOR"/>
    <n v="15"/>
    <s v="Entre 7 y 15"/>
    <s v="Departmental Digital"/>
    <s v="A3"/>
    <s v="Ciudad principal"/>
    <s v="2-Entre 7 y 15"/>
    <n v="0.6"/>
    <n v="819"/>
    <n v="1"/>
    <n v="0"/>
    <n v="5"/>
    <n v="0"/>
    <n v="0"/>
    <n v="0"/>
    <d v="2019-04-23T00:00:00"/>
    <d v="2019-04-23T00:00:00"/>
    <n v="0"/>
    <s v="0-1 día"/>
    <n v="0"/>
    <n v="0"/>
    <n v="0"/>
    <n v="819"/>
  </r>
  <r>
    <s v="ABR-19"/>
    <n v="1"/>
    <s v="2027883"/>
    <s v="SR MANTENIMIENTO CORRECTIVO"/>
    <s v="4000"/>
    <s v="22/04/2019 12:29"/>
    <s v="06HB014103"/>
    <s v="500066"/>
    <s v="PITSS"/>
    <s v="ASP"/>
    <x v="43"/>
    <s v="AV HACIENDA PE&amp;UELAS No 6769 PLAZA CUMBRES LOCAL G"/>
    <s v="Monterrey-NL"/>
    <n v="0"/>
    <s v="INTERIOR"/>
    <n v="6"/>
    <s v="Entre 3 y 6"/>
    <s v="Entry Mono Printers"/>
    <s v="A4"/>
    <s v="Ciudad principal"/>
    <s v="1-Entre 3 y 6"/>
    <n v="0"/>
    <n v="0"/>
    <n v="1"/>
    <n v="2.2999999999999989"/>
    <n v="5"/>
    <n v="0.4599999999999998"/>
    <n v="0"/>
    <n v="0"/>
    <d v="2019-04-23T00:00:00"/>
    <d v="2019-04-23T00:00:00"/>
    <n v="0"/>
    <s v="0-1 día"/>
    <n v="0"/>
    <n v="0"/>
    <n v="0"/>
    <n v="0"/>
  </r>
  <r>
    <s v="ABR-19"/>
    <n v="1"/>
    <s v="2026723"/>
    <s v="SR MANTENIMIENTO CORRECTIVO"/>
    <s v="0551"/>
    <s v="18/04/2019 13:03"/>
    <s v="0XPN396544"/>
    <s v="800183"/>
    <s v="PITSS"/>
    <s v="ASP"/>
    <x v="14"/>
    <s v="AV VALLE DE SAN ISIDRO 530"/>
    <s v="ZAPOPAN-JAL"/>
    <n v="0"/>
    <s v="INTERIOR"/>
    <n v="42"/>
    <s v="Entre 31 y 60"/>
    <s v="Entry Production Color Low/Mid"/>
    <s v="Entry Production"/>
    <s v="Ciudad principal"/>
    <s v="3-Entre 31 y 60"/>
    <n v="1.1000000000000001"/>
    <n v="1730.3000000000004"/>
    <n v="1"/>
    <n v="0"/>
    <n v="4"/>
    <n v="0"/>
    <n v="0"/>
    <n v="0"/>
    <d v="2019-04-23T00:00:00"/>
    <d v="2019-04-23T00:00:00"/>
    <n v="0"/>
    <s v="0-1 día"/>
    <n v="0"/>
    <n v="0"/>
    <n v="0"/>
    <n v="1730.3000000000004"/>
  </r>
  <r>
    <s v="ABR-19"/>
    <n v="1"/>
    <s v="2027371"/>
    <s v="SR MANTENIMIENTO CORRECTIVO"/>
    <s v="4395"/>
    <s v="21/04/2019 14:43"/>
    <s v="0BG2947906"/>
    <s v="800185"/>
    <s v="PITSS"/>
    <s v="ASP"/>
    <x v="7"/>
    <s v="MIGUEL DE LA MADRID 9"/>
    <s v="MANZANILLO-COL"/>
    <n v="1"/>
    <s v="INTERIOR"/>
    <n v="38"/>
    <s v="Entre 31 y 60"/>
    <s v="Light Production Digital Business"/>
    <s v="Entry Production"/>
    <s v="Ciudad principal"/>
    <s v="3-Entre 31 y 60"/>
    <n v="1.1000000000000001"/>
    <n v="0"/>
    <n v="1"/>
    <n v="1.65"/>
    <n v="4"/>
    <n v="0.41249999999999998"/>
    <n v="0"/>
    <n v="0"/>
    <d v="2019-04-22T00:00:00"/>
    <d v="2019-04-23T00:00:00"/>
    <n v="1"/>
    <s v="0-1 día"/>
    <n v="0"/>
    <n v="0"/>
    <n v="0"/>
    <n v="0"/>
  </r>
  <r>
    <s v="ABR-19"/>
    <n v="1"/>
    <s v="2027623"/>
    <s v="SR MANTENIMIENTO CORRECTIVO"/>
    <s v="5774"/>
    <s v="22/04/2019 08:18"/>
    <s v="0XEL562732"/>
    <s v="800110"/>
    <s v="PITSS"/>
    <s v="ASP"/>
    <x v="7"/>
    <s v="AV LAS PALMAS 1559 LOC SA-01"/>
    <s v="LAZARO CARDENAS-MICH"/>
    <n v="0"/>
    <s v="INTERIOR"/>
    <n v="20"/>
    <s v="Entre 16 y 30"/>
    <s v="Departmental Digital"/>
    <s v="A3"/>
    <s v="Otras"/>
    <s v="2-Entre 16 y 30"/>
    <n v="0.8"/>
    <n v="1092"/>
    <n v="1"/>
    <n v="15.15"/>
    <n v="9"/>
    <n v="1.6833333333333333"/>
    <n v="0.17083333333333334"/>
    <n v="-233.1875"/>
    <d v="2019-04-23T00:00:00"/>
    <d v="2019-04-23T00:00:00"/>
    <n v="0"/>
    <s v="0-1 día"/>
    <n v="0"/>
    <n v="0"/>
    <n v="0"/>
    <n v="858.8125"/>
  </r>
  <r>
    <s v="ABR-19"/>
    <n v="1"/>
    <s v="2028351"/>
    <s v="SR MANTENIMIENTO CORRECTIVO"/>
    <s v="3615"/>
    <s v="23/04/2019 10:36"/>
    <s v="0A2T143867"/>
    <s v="500060"/>
    <s v="PITSS"/>
    <s v="ASP"/>
    <x v="84"/>
    <s v="AV ANTONIO J BERMUDEZ No 960"/>
    <s v="Ciudad Juarez-CHIH"/>
    <n v="0"/>
    <s v="INTERIOR"/>
    <n v="2700"/>
    <s v="&gt;60"/>
    <s v="A4 Mono MFPs"/>
    <s v="A4"/>
    <s v="Ciudad principal"/>
    <s v="1-&gt;60"/>
    <n v="1.05"/>
    <n v="750.75000000000011"/>
    <n v="1"/>
    <n v="1.83"/>
    <n v="5"/>
    <n v="0.36599999999999999"/>
    <n v="0"/>
    <n v="0"/>
    <d v="2019-04-23T00:00:00"/>
    <d v="2019-04-23T00:00:00"/>
    <n v="0"/>
    <s v="0-1 día"/>
    <n v="0"/>
    <n v="0"/>
    <n v="0"/>
    <n v="750.75000000000011"/>
  </r>
  <r>
    <s v="ABR-19"/>
    <n v="1"/>
    <s v="2025755"/>
    <s v="SR MANTENIMIENTO CORRECTIVO"/>
    <s v="5945"/>
    <s v="16/04/2019 16:29"/>
    <s v="0X76706506"/>
    <s v="500155"/>
    <s v="PITSS"/>
    <s v="ASP"/>
    <x v="30"/>
    <s v="AV VALLE DEL CEDRO 1681"/>
    <s v="Ciudad Juarez-CHIH"/>
    <n v="0"/>
    <s v="INTERIOR"/>
    <n v="287"/>
    <s v="&gt;60"/>
    <s v="Office Digital"/>
    <s v="A3"/>
    <s v="Ciudad principal"/>
    <s v="2-&gt;60"/>
    <n v="1.1000000000000001"/>
    <n v="1501.5000000000002"/>
    <n v="1"/>
    <n v="0"/>
    <n v="5"/>
    <n v="0"/>
    <n v="0"/>
    <n v="0"/>
    <d v="2019-04-23T00:00:00"/>
    <d v="2019-04-23T00:00:00"/>
    <n v="0"/>
    <s v="0-1 día"/>
    <n v="0"/>
    <n v="0"/>
    <n v="0"/>
    <n v="1501.5000000000002"/>
  </r>
  <r>
    <s v="ABR-19"/>
    <n v="1"/>
    <s v="2028507"/>
    <s v="SR MANTENIMIENTO CORRECTIVO"/>
    <s v="0251"/>
    <s v="23/04/2019 14:17"/>
    <s v="0VGW632064"/>
    <s v="500161"/>
    <s v="PITSS"/>
    <s v="ASP"/>
    <x v="22"/>
    <s v="PERIFERICO ORTIZ MENA LOCAL 8 SN"/>
    <s v="CHIHUAHUA-CHIH"/>
    <n v="0"/>
    <s v="INTERIOR"/>
    <n v="14"/>
    <s v="Entre 7 y 15"/>
    <s v="A3 Professional Color Laser MFPs"/>
    <s v="A3"/>
    <s v="Ciudad principal"/>
    <s v="2-Entre 7 y 15"/>
    <n v="0.6"/>
    <n v="819"/>
    <n v="1"/>
    <n v="0"/>
    <n v="5"/>
    <n v="0"/>
    <n v="0"/>
    <n v="0"/>
    <d v="2019-04-23T00:00:00"/>
    <d v="2019-04-23T00:00:00"/>
    <n v="0"/>
    <s v="0-1 día"/>
    <n v="0"/>
    <n v="0"/>
    <n v="0"/>
    <n v="819"/>
  </r>
  <r>
    <s v="ABR-19"/>
    <n v="1"/>
    <s v="2028517"/>
    <s v="SR MANTENIMIENTO CORRECTIVO"/>
    <s v="4002"/>
    <s v="23/04/2019 14:43"/>
    <s v="09HB317209"/>
    <s v="500083"/>
    <s v="PITSS"/>
    <s v="ASP"/>
    <x v="10"/>
    <s v="AV NOGALAR SUR Y CRISANTEMO"/>
    <s v="SAN NICOLAS DE LOS G"/>
    <n v="0"/>
    <s v="INTERIOR"/>
    <n v="204"/>
    <s v="&gt;60"/>
    <s v="A4 Mono MFPs"/>
    <s v="A4"/>
    <s v="Ciudad principal"/>
    <s v="1-&gt;60"/>
    <n v="1.05"/>
    <n v="750.75000000000011"/>
    <n v="1"/>
    <n v="0"/>
    <n v="5"/>
    <n v="0"/>
    <n v="0"/>
    <n v="0"/>
    <d v="2019-04-23T00:00:00"/>
    <d v="2019-04-23T00:00:00"/>
    <n v="0"/>
    <s v="0-1 día"/>
    <n v="0"/>
    <n v="0"/>
    <n v="0"/>
    <n v="750.75000000000011"/>
  </r>
  <r>
    <s v="ABR-19"/>
    <n v="1"/>
    <s v="2027629"/>
    <s v="SR MANTENIMIENTO CORRECTIVO"/>
    <s v="5945"/>
    <s v="22/04/2019 08:23"/>
    <s v="0X76707836"/>
    <s v="500018"/>
    <s v="PITSS"/>
    <s v="ASP"/>
    <x v="95"/>
    <s v="BOULEVARD FRANCISCO PRIMO DE VERDAD No 3317"/>
    <s v="Durango-DGO"/>
    <n v="0"/>
    <s v="INTERIOR"/>
    <n v="48"/>
    <s v="Entre 31 y 60"/>
    <s v="Office Digital"/>
    <s v="A3"/>
    <s v="Ciudad principal"/>
    <s v="2-Entre 31 y 60"/>
    <n v="1.05"/>
    <n v="1433.25"/>
    <n v="1"/>
    <n v="1.3"/>
    <n v="5"/>
    <n v="0.26"/>
    <n v="0"/>
    <n v="0"/>
    <d v="2019-04-23T00:00:00"/>
    <d v="2019-04-23T00:00:00"/>
    <n v="0"/>
    <s v="0-1 día"/>
    <n v="0"/>
    <n v="0"/>
    <n v="0"/>
    <n v="1433.25"/>
  </r>
  <r>
    <s v="ABR-19"/>
    <n v="1"/>
    <s v="2027663"/>
    <s v="SR MANTENIMIENTO CORRECTIVO"/>
    <s v="5865"/>
    <s v="22/04/2019 09:12"/>
    <s v="0EX9303605"/>
    <s v="500158"/>
    <s v="PITSS"/>
    <s v="ASP"/>
    <x v="30"/>
    <s v="AV VALLE DEL CEDRO 1681"/>
    <s v="Ciudad Juarez-CHIH"/>
    <n v="0"/>
    <s v="INTERIOR"/>
    <n v="5"/>
    <s v="Entre 3 y 6"/>
    <s v="Departmental Digital"/>
    <s v="A3"/>
    <s v="Ciudad principal"/>
    <s v="2-Entre 3 y 6"/>
    <n v="0"/>
    <n v="0"/>
    <n v="1"/>
    <n v="1.1299999999999999"/>
    <n v="5"/>
    <n v="0.22599999999999998"/>
    <n v="0"/>
    <n v="0"/>
    <d v="2019-04-23T00:00:00"/>
    <d v="2019-04-23T00:00:00"/>
    <n v="0"/>
    <s v="0-1 día"/>
    <n v="0"/>
    <n v="0"/>
    <n v="0"/>
    <n v="0"/>
  </r>
  <r>
    <s v="ABR-19"/>
    <n v="1"/>
    <s v="2028413"/>
    <s v="SR MANTENIMIENTO CORRECTIVO"/>
    <s v="6705"/>
    <s v="23/04/2019 11:37"/>
    <s v="0A1H021675"/>
    <s v="800197"/>
    <s v="PITSS"/>
    <s v="ASP"/>
    <x v="7"/>
    <s v="AV VENUSTIANO CARRANZA 733"/>
    <s v="SAN LUIS POTOSI-SLP"/>
    <n v="0"/>
    <s v="INTERIOR"/>
    <n v="337"/>
    <s v="&gt;60"/>
    <s v="WF Mono Systems and Legacy Color"/>
    <s v="WF"/>
    <s v="Ciudad principal"/>
    <s v="3-&gt;60"/>
    <n v="1.1499999999999999"/>
    <n v="1808.95"/>
    <n v="1"/>
    <n v="2.71"/>
    <n v="4"/>
    <n v="0.67749999999999999"/>
    <n v="0"/>
    <n v="0"/>
    <d v="2019-04-23T00:00:00"/>
    <d v="2019-04-23T00:00:00"/>
    <n v="0"/>
    <s v="0-1 día"/>
    <n v="0"/>
    <n v="0"/>
    <n v="0"/>
    <n v="1808.95"/>
  </r>
  <r>
    <s v="ABR-19"/>
    <n v="1"/>
    <s v="2027373"/>
    <s v="SR MANTENIMIENTO CORRECTIVO"/>
    <s v="4395"/>
    <s v="21/04/2019 14:45"/>
    <s v="0BG2947505"/>
    <s v="800185"/>
    <s v="PITSS"/>
    <s v="ASP"/>
    <x v="7"/>
    <s v="MIGUEL DE LA MADRID 9"/>
    <s v="MANZANILLO-COL"/>
    <n v="1"/>
    <s v="INTERIOR"/>
    <n v="5"/>
    <s v="Entre 3 y 6"/>
    <s v="Light Production Digital Business"/>
    <s v="Entry Production"/>
    <s v="Ciudad principal"/>
    <s v="3-Entre 3 y 6"/>
    <n v="0.6"/>
    <n v="0"/>
    <n v="1"/>
    <n v="0.63"/>
    <n v="4"/>
    <n v="0.1575"/>
    <n v="0"/>
    <n v="0"/>
    <d v="2019-04-23T00:00:00"/>
    <d v="2019-04-23T00:00:00"/>
    <n v="0"/>
    <s v="0-1 día"/>
    <n v="0"/>
    <n v="0"/>
    <n v="0"/>
    <n v="0"/>
  </r>
  <r>
    <s v="ABR-19"/>
    <n v="1"/>
    <s v="2028525"/>
    <s v="SR MANTENIMIENTO CORRECTIVO"/>
    <s v="8075"/>
    <s v="23/04/2019 15:06"/>
    <s v="03AG873545"/>
    <s v="800186"/>
    <s v="PITSS"/>
    <s v="ASP"/>
    <x v="14"/>
    <s v="AV CONSTITUYENTES 152 PTE"/>
    <s v="QUERETARO-QRO"/>
    <n v="0"/>
    <s v="INTERIOR"/>
    <n v="14"/>
    <s v="Entre 7 y 15"/>
    <s v="Departmental Digital"/>
    <s v="A3"/>
    <s v="Ciudad principal"/>
    <s v="2-Entre 7 y 15"/>
    <n v="0.6"/>
    <n v="819"/>
    <n v="1"/>
    <n v="0"/>
    <n v="5"/>
    <n v="0"/>
    <n v="0"/>
    <n v="0"/>
    <d v="2019-04-23T00:00:00"/>
    <d v="2019-04-23T00:00:00"/>
    <n v="0"/>
    <s v="0-1 día"/>
    <n v="0"/>
    <n v="0"/>
    <n v="0"/>
    <n v="819"/>
  </r>
  <r>
    <s v="ABR-19"/>
    <n v="1"/>
    <s v="2026191"/>
    <s v="SR MANTENIMIENTO CORRECTIVO"/>
    <s v="5866"/>
    <s v="17/04/2019 10:35"/>
    <s v="0EX9664404"/>
    <s v="800072"/>
    <s v="PITSS"/>
    <s v="ASP"/>
    <x v="14"/>
    <s v="AV PATRIA 1612 MZ 1 LT 30 Y 30A"/>
    <s v="ZAPOPAN-JAL"/>
    <n v="0"/>
    <s v="INTERIOR"/>
    <n v="2"/>
    <s v="&lt;=3"/>
    <s v="Departmental Digital"/>
    <s v="A3"/>
    <s v="Ciudad principal"/>
    <s v="2-&lt;=3"/>
    <n v="0"/>
    <n v="0"/>
    <n v="1"/>
    <n v="0.19"/>
    <n v="5"/>
    <n v="3.7999999999999999E-2"/>
    <n v="0"/>
    <n v="0"/>
    <d v="2019-04-23T00:00:00"/>
    <d v="2019-04-23T00:00:00"/>
    <n v="0"/>
    <s v="0-1 día"/>
    <n v="0"/>
    <n v="0"/>
    <n v="0"/>
    <n v="0"/>
  </r>
  <r>
    <s v="ABR-19"/>
    <n v="1"/>
    <s v="2028323"/>
    <s v="SR MANTENIMIENTO CORRECTIVO"/>
    <s v="5866"/>
    <s v="23/04/2019 10:28"/>
    <s v="0EX9293087"/>
    <s v="500066"/>
    <s v="PITSS"/>
    <s v="ASP"/>
    <x v="14"/>
    <s v="AV DE LAS TORRES 2498"/>
    <s v="SAN PEDRO GARZA GARC"/>
    <n v="0"/>
    <s v="INTERIOR"/>
    <n v="32"/>
    <s v="Entre 31 y 60"/>
    <s v="Departmental Digital"/>
    <s v="A3"/>
    <s v="Ciudad principal"/>
    <s v="2-Entre 31 y 60"/>
    <n v="1.05"/>
    <n v="1433.25"/>
    <n v="1"/>
    <n v="2.93"/>
    <n v="5"/>
    <n v="0.58600000000000008"/>
    <n v="0"/>
    <n v="0"/>
    <d v="2019-04-23T00:00:00"/>
    <d v="2019-04-24T00:00:00"/>
    <n v="1"/>
    <s v="0-1 día"/>
    <n v="0"/>
    <n v="0"/>
    <n v="0"/>
    <n v="1433.25"/>
  </r>
  <r>
    <s v="ABR-19"/>
    <n v="1"/>
    <s v="2028327"/>
    <s v="SR MANTENIMIENTO CORRECTIVO"/>
    <s v="5866"/>
    <s v="23/04/2019 10:30"/>
    <s v="0EX9293121"/>
    <s v="500066"/>
    <s v="PITSS"/>
    <s v="ASP"/>
    <x v="14"/>
    <s v="AV DE LAS TORRES 2498"/>
    <s v="SAN PEDRO GARZA GARC"/>
    <n v="0"/>
    <s v="INTERIOR"/>
    <n v="7"/>
    <s v="Entre 7 y 15"/>
    <s v="Departmental Digital"/>
    <s v="A3"/>
    <s v="Ciudad principal"/>
    <s v="2-Entre 7 y 15"/>
    <n v="0.6"/>
    <n v="819"/>
    <n v="1"/>
    <n v="3.55"/>
    <n v="5"/>
    <n v="0.71"/>
    <n v="0"/>
    <n v="0"/>
    <d v="2019-04-23T00:00:00"/>
    <d v="2019-04-24T00:00:00"/>
    <n v="1"/>
    <s v="0-1 día"/>
    <n v="0"/>
    <n v="0"/>
    <n v="0"/>
    <n v="819"/>
  </r>
  <r>
    <s v="ABR-19"/>
    <n v="1"/>
    <s v="2028439"/>
    <s v="SR MANTENIMIENTO CORRECTIVO"/>
    <s v="3658"/>
    <s v="23/04/2019 12:02"/>
    <s v="0C4X008138"/>
    <s v="800146"/>
    <s v="PITSS"/>
    <s v="ASP"/>
    <x v="2"/>
    <s v="AV CAMELINAS 725"/>
    <s v="MORELIA-MICH"/>
    <n v="0"/>
    <s v="INTERIOR"/>
    <n v="613"/>
    <s v="&gt;60"/>
    <s v="A4 Mono MFPs"/>
    <s v="A4"/>
    <s v="Ciudad principal"/>
    <s v="1-&gt;60"/>
    <n v="1.05"/>
    <n v="750.75000000000011"/>
    <n v="1"/>
    <n v="4.47"/>
    <n v="5"/>
    <n v="0.89399999999999991"/>
    <n v="0"/>
    <n v="0"/>
    <d v="2019-04-23T00:00:00"/>
    <d v="2019-04-24T00:00:00"/>
    <n v="1"/>
    <s v="0-1 día"/>
    <n v="0"/>
    <n v="0"/>
    <n v="0"/>
    <n v="750.75000000000011"/>
  </r>
  <r>
    <s v="ABR-19"/>
    <n v="1"/>
    <s v="2028523"/>
    <s v="SR MANTENIMIENTO CORRECTIVO"/>
    <s v="5866"/>
    <s v="23/04/2019 15:01"/>
    <s v="0EX9293385"/>
    <s v="800186"/>
    <s v="PITSS"/>
    <s v="ASP"/>
    <x v="14"/>
    <s v="CONSTITUYENTES PTE 152"/>
    <s v="QUERETARO-QRO"/>
    <n v="0"/>
    <s v="INTERIOR"/>
    <n v="20"/>
    <s v="Entre 16 y 30"/>
    <s v="Departmental Digital"/>
    <s v="A3"/>
    <s v="Ciudad principal"/>
    <s v="2-Entre 16 y 30"/>
    <n v="0.8"/>
    <n v="1092"/>
    <n v="1"/>
    <n v="2.46"/>
    <n v="5"/>
    <n v="0.49199999999999999"/>
    <n v="0"/>
    <n v="0"/>
    <d v="2019-04-23T00:00:00"/>
    <d v="2019-04-24T00:00:00"/>
    <n v="1"/>
    <s v="0-1 día"/>
    <n v="0"/>
    <n v="0"/>
    <n v="0"/>
    <n v="1092"/>
  </r>
  <r>
    <s v="ABR-19"/>
    <n v="1"/>
    <s v="2026239"/>
    <s v="SR MANTENIMIENTO CORRECTIVO"/>
    <s v="0070"/>
    <s v="17/04/2019 11:12"/>
    <s v="0E2B656929"/>
    <s v="100037"/>
    <s v="PITSS"/>
    <s v="ASP"/>
    <x v="7"/>
    <s v="AV METEPEC LOCAL A-8"/>
    <s v="METEPEC-MEX"/>
    <n v="0"/>
    <s v="INTERIOR"/>
    <n v="387"/>
    <s v="&gt;60"/>
    <s v="Entry Production Color Low/Mid"/>
    <s v="Entry Production"/>
    <s v="Ciudad principal"/>
    <s v="3-&gt;60"/>
    <n v="1.1499999999999999"/>
    <n v="1808.95"/>
    <n v="1"/>
    <n v="2.75"/>
    <n v="4"/>
    <n v="0.6875"/>
    <n v="0"/>
    <n v="0"/>
    <d v="2019-04-23T00:00:00"/>
    <d v="2019-04-24T00:00:00"/>
    <n v="1"/>
    <s v="0-1 día"/>
    <n v="0"/>
    <n v="0"/>
    <n v="0"/>
    <n v="1808.95"/>
  </r>
  <r>
    <s v="ABR-19"/>
    <n v="1"/>
    <s v="2028051"/>
    <s v="SR MANTENIMIENTO CORRECTIVO"/>
    <s v="4002"/>
    <s v="22/04/2019 16:43"/>
    <s v="09HB331956"/>
    <s v="800196"/>
    <s v="PITSS"/>
    <s v="ASP"/>
    <x v="11"/>
    <s v="CARRETERA SAN ISIDRO MAZATEPEC No 7000"/>
    <s v="Tlajomulco De Zu&amp;Iga"/>
    <n v="1"/>
    <s v="INTERIOR"/>
    <n v="97"/>
    <s v="&gt;60"/>
    <s v="A4 Mono MFPs"/>
    <s v="A4"/>
    <s v="Ciudad principal"/>
    <s v="1-&gt;60"/>
    <n v="1.05"/>
    <n v="0"/>
    <n v="1"/>
    <n v="0"/>
    <n v="5"/>
    <n v="0"/>
    <n v="0"/>
    <n v="0"/>
    <d v="2019-04-24T00:00:00"/>
    <d v="2019-04-24T00:00:00"/>
    <n v="0"/>
    <s v="0-1 día"/>
    <n v="0"/>
    <n v="0"/>
    <n v="0"/>
    <n v="0"/>
  </r>
  <r>
    <s v="ABR-19"/>
    <n v="1"/>
    <s v="2024303"/>
    <s v="SR ASISTENCIA A CLIENTES"/>
    <s v="4310"/>
    <s v="12/04/2019 16:46"/>
    <s v="0BG0966721"/>
    <s v="800188"/>
    <s v="PITSS"/>
    <s v="ASP"/>
    <x v="7"/>
    <s v="AV. FAJA DE ORO NO. 1100"/>
    <s v="Salamanca-GTO"/>
    <n v="0"/>
    <s v="INTERIOR"/>
    <s v="  "/>
    <s v="&gt;60"/>
    <s v="Light Production Digital Business"/>
    <s v="Entry Production"/>
    <s v="Ciudad principal"/>
    <s v="3-&gt;60"/>
    <n v="1"/>
    <n v="1573.0000000000002"/>
    <n v="1"/>
    <n v="0.51"/>
    <n v="4"/>
    <n v="0.1275"/>
    <n v="0"/>
    <n v="0"/>
    <d v="2019-04-12T00:00:00"/>
    <d v="2019-04-24T00:00:00"/>
    <n v="8"/>
    <s v="6-10 días"/>
    <n v="1"/>
    <n v="-1573.0000000000002"/>
    <n v="0"/>
    <n v="1573.0000000000002"/>
  </r>
  <r>
    <s v="ABR-19"/>
    <n v="1"/>
    <s v="2025675"/>
    <s v="SR MANTENIMIENTO CORRECTIVO"/>
    <s v="3657"/>
    <s v="16/04/2019 13:19"/>
    <s v="0C7X246885"/>
    <s v="500080"/>
    <s v="PITSS"/>
    <s v="ASP"/>
    <x v="15"/>
    <s v="PASEO BOLIVAR No 1000"/>
    <s v="Chihuahua-CHIH"/>
    <n v="0"/>
    <s v="INTERIOR"/>
    <n v="1086"/>
    <s v="&gt;60"/>
    <s v="A4 Mono MFPs"/>
    <s v="A4"/>
    <s v="Ciudad principal"/>
    <s v="1-&gt;60"/>
    <n v="1.05"/>
    <n v="750.75000000000011"/>
    <n v="1"/>
    <n v="0"/>
    <n v="5"/>
    <n v="0"/>
    <n v="0"/>
    <n v="0"/>
    <d v="2019-04-23T00:00:00"/>
    <d v="2019-04-24T00:00:00"/>
    <n v="1"/>
    <s v="0-1 día"/>
    <n v="0"/>
    <n v="0"/>
    <n v="0"/>
    <n v="750.75000000000011"/>
  </r>
  <r>
    <s v="ABR-19"/>
    <n v="1"/>
    <s v="2028571"/>
    <s v="SR MANTENIMIENTO CORRECTIVO"/>
    <s v="4624"/>
    <s v="23/04/2019 16:48"/>
    <s v="0D6X452141"/>
    <s v="500158"/>
    <s v="PITSS"/>
    <s v="ASP"/>
    <x v="84"/>
    <s v="AV DE LAS TORRES No 2170"/>
    <s v="Ciudad Juarez-CHIH"/>
    <n v="0"/>
    <s v="INTERIOR"/>
    <n v="28"/>
    <s v="Entre 16 y 30"/>
    <s v="Entry Mono Printers"/>
    <s v="A4"/>
    <s v="Ciudad principal"/>
    <s v="1-Entre 16 y 30"/>
    <n v="0.6"/>
    <n v="429.00000000000006"/>
    <n v="1"/>
    <n v="0.7"/>
    <n v="5"/>
    <n v="0.13999999999999999"/>
    <n v="0"/>
    <n v="0"/>
    <d v="2019-04-24T00:00:00"/>
    <d v="2019-04-24T00:00:00"/>
    <n v="0"/>
    <s v="0-1 día"/>
    <n v="0"/>
    <n v="0"/>
    <n v="0"/>
    <n v="429.00000000000006"/>
  </r>
  <r>
    <s v="ABR-19"/>
    <n v="1"/>
    <s v="2027827"/>
    <s v="SR MANTENIMIENTO CORRECTIVO"/>
    <s v="3657"/>
    <s v="22/04/2019 11:34"/>
    <s v="0C7X238362"/>
    <s v="800192"/>
    <s v="PITSS"/>
    <s v="ASP"/>
    <x v="48"/>
    <s v="CARRETERA BASE AEREA No 5850-23"/>
    <s v="Zapopan-JAL"/>
    <n v="0"/>
    <s v="INTERIOR"/>
    <n v="83"/>
    <s v="&gt;60"/>
    <s v="A4 Mono MFPs"/>
    <s v="A4"/>
    <s v="Ciudad principal"/>
    <s v="1-&gt;60"/>
    <n v="1.05"/>
    <n v="750.75000000000011"/>
    <n v="1"/>
    <n v="4.95"/>
    <n v="5"/>
    <n v="0.99"/>
    <n v="0"/>
    <n v="0"/>
    <d v="2019-04-24T00:00:00"/>
    <d v="2019-04-24T00:00:00"/>
    <n v="0"/>
    <s v="0-1 día"/>
    <n v="0"/>
    <n v="0"/>
    <n v="0"/>
    <n v="750.75000000000011"/>
  </r>
  <r>
    <s v="ABR-19"/>
    <n v="1"/>
    <s v="2028823"/>
    <s v="SR MANTENIMIENTO PREVENTIVO"/>
    <s v="4603"/>
    <s v="24/04/2019 08:31"/>
    <s v="0XLT278481"/>
    <s v="500155"/>
    <s v="PITSS"/>
    <s v="ASP"/>
    <x v="30"/>
    <s v="AV PARQUE INDUSTRIAL JUAREZ 3328"/>
    <s v="CIUDAD JUAREZ-CHIH"/>
    <n v="0"/>
    <s v="INTERIOR"/>
    <s v="  "/>
    <s v="&gt;60"/>
    <s v="Entry Mono Printers"/>
    <s v="A4"/>
    <s v="Ciudad principal"/>
    <s v="1-&gt;60"/>
    <n v="1"/>
    <n v="715.00000000000011"/>
    <n v="0"/>
    <n v="5"/>
    <n v="5"/>
    <n v="1"/>
    <n v="0"/>
    <n v="0"/>
    <d v="2019-04-24T00:00:00"/>
    <d v="2019-04-24T00:00:00"/>
    <n v="0"/>
    <s v="0-1 día"/>
    <n v="0"/>
    <n v="0"/>
    <n v="0"/>
    <n v="715.00000000000011"/>
  </r>
  <r>
    <s v="ABR-19"/>
    <n v="1"/>
    <s v="2028561"/>
    <s v="SR MANTENIMIENTO CORRECTIVO"/>
    <s v="4395"/>
    <s v="23/04/2019 16:23"/>
    <s v="0BG2946876"/>
    <s v="800147"/>
    <s v="PITSS"/>
    <s v="ASP"/>
    <x v="7"/>
    <s v="BLV JUAN ALONSO DE TORRES 1315-3"/>
    <s v="LEON-GTO"/>
    <n v="0"/>
    <s v="INTERIOR"/>
    <n v="8"/>
    <s v="Entre 7 y 15"/>
    <s v="Light Production Digital Business"/>
    <s v="Entry Production"/>
    <s v="Ciudad principal"/>
    <s v="3-Entre 7 y 15"/>
    <n v="0.8"/>
    <n v="1258.4000000000003"/>
    <n v="1"/>
    <n v="1.1200000000000001"/>
    <n v="4"/>
    <n v="0.28000000000000003"/>
    <n v="0"/>
    <n v="0"/>
    <d v="2019-04-24T00:00:00"/>
    <d v="2019-04-24T00:00:00"/>
    <n v="0"/>
    <s v="0-1 día"/>
    <n v="0"/>
    <n v="0"/>
    <n v="0"/>
    <n v="1258.4000000000003"/>
  </r>
  <r>
    <s v="ABR-19"/>
    <n v="1"/>
    <s v="2028453"/>
    <s v="SR MANTENIMIENTO CORRECTIVO"/>
    <s v="4002"/>
    <s v="23/04/2019 12:47"/>
    <s v="09HB320526"/>
    <s v="500094"/>
    <s v="PITSS"/>
    <s v="ASP"/>
    <x v="10"/>
    <s v="S DIAZ MIRON Y COLON"/>
    <s v="TAMPICO-TAM"/>
    <n v="0"/>
    <s v="INTERIOR"/>
    <n v="601"/>
    <s v="&gt;60"/>
    <s v="A4 Mono MFPs"/>
    <s v="A4"/>
    <s v="Ciudad principal"/>
    <s v="1-&gt;60"/>
    <n v="1.05"/>
    <n v="750.75000000000011"/>
    <n v="1"/>
    <n v="4.72"/>
    <n v="5"/>
    <n v="0.94399999999999995"/>
    <n v="0"/>
    <n v="0"/>
    <d v="2019-04-24T00:00:00"/>
    <d v="2019-04-24T00:00:00"/>
    <n v="0"/>
    <s v="0-1 día"/>
    <n v="0"/>
    <n v="0"/>
    <n v="0"/>
    <n v="750.75000000000011"/>
  </r>
  <r>
    <s v="ABR-19"/>
    <n v="1"/>
    <s v="2028881"/>
    <s v="SR MANTENIMIENTO CORRECTIVO"/>
    <s v="6700"/>
    <s v="24/04/2019 09:32"/>
    <s v="0AB9779577"/>
    <s v="500155"/>
    <s v="PITSS"/>
    <s v="ASP"/>
    <x v="30"/>
    <s v="AV PARQUE INDUSTRIAL JUAREZ 3328"/>
    <s v="CIUDAD JUAREZ-CHIH"/>
    <n v="0"/>
    <s v="INTERIOR"/>
    <n v="85"/>
    <s v="&gt;60"/>
    <s v="Color Laser Printers"/>
    <s v="A4"/>
    <s v="Ciudad principal"/>
    <s v="1-&gt;60"/>
    <n v="1.05"/>
    <n v="750.75000000000011"/>
    <n v="1"/>
    <n v="0"/>
    <n v="5"/>
    <n v="0"/>
    <n v="0"/>
    <n v="0"/>
    <d v="2019-04-24T00:00:00"/>
    <d v="2019-04-24T00:00:00"/>
    <n v="0"/>
    <s v="0-1 día"/>
    <n v="0"/>
    <n v="0"/>
    <n v="0"/>
    <n v="750.75000000000011"/>
  </r>
  <r>
    <s v="ABR-19"/>
    <n v="1"/>
    <s v="2025145"/>
    <s v="SR MANTENIMIENTO CORRECTIVO"/>
    <s v="4395"/>
    <s v="15/04/2019 14:17"/>
    <s v="0BG2941133"/>
    <s v="500093"/>
    <s v="PITSS"/>
    <s v="ASP"/>
    <x v="7"/>
    <s v="BLV 15 DE SEP 4243"/>
    <s v="NUEVO LAREDO-TAM"/>
    <n v="0"/>
    <s v="INTERIOR"/>
    <n v="81"/>
    <s v="&gt;60"/>
    <s v="Light Production Digital Business"/>
    <s v="Entry Production"/>
    <s v="Ciudad principal"/>
    <s v="3-&gt;60"/>
    <n v="1.1499999999999999"/>
    <n v="1808.95"/>
    <n v="1"/>
    <n v="3.14"/>
    <n v="4"/>
    <n v="0.78500000000000003"/>
    <n v="0"/>
    <n v="0"/>
    <d v="2019-04-24T00:00:00"/>
    <d v="2019-04-24T00:00:00"/>
    <n v="0"/>
    <s v="0-1 día"/>
    <n v="0"/>
    <n v="0"/>
    <n v="0"/>
    <n v="1808.95"/>
  </r>
  <r>
    <s v="ABR-19"/>
    <n v="1"/>
    <s v="2028551"/>
    <s v="SR MANTENIMIENTO CORRECTIVO"/>
    <s v="8090"/>
    <s v="23/04/2019 16:00"/>
    <s v="03AG877337"/>
    <s v="500027"/>
    <s v="PITSS"/>
    <s v="ASP"/>
    <x v="39"/>
    <s v="CIRCUITO INTERIOR NORTE No 1820"/>
    <s v="Ciudad Juarez-CHIH"/>
    <n v="1"/>
    <s v="INTERIOR"/>
    <n v="28"/>
    <s v="Entre 16 y 30"/>
    <s v="Departmental Digital"/>
    <s v="A3"/>
    <s v="Ciudad principal"/>
    <s v="2-Entre 16 y 30"/>
    <n v="0.8"/>
    <n v="0"/>
    <n v="1"/>
    <n v="0.33"/>
    <n v="5"/>
    <n v="6.6000000000000003E-2"/>
    <n v="0"/>
    <n v="0"/>
    <d v="2019-04-24T00:00:00"/>
    <d v="2019-04-24T00:00:00"/>
    <n v="0"/>
    <s v="0-1 día"/>
    <n v="0"/>
    <n v="0"/>
    <n v="0"/>
    <n v="0"/>
  </r>
  <r>
    <s v="ABR-19"/>
    <n v="1"/>
    <s v="2028563"/>
    <s v="SR MANTENIMIENTO CORRECTIVO"/>
    <s v="6705"/>
    <s v="23/04/2019 16:26"/>
    <s v="0A1H020600"/>
    <s v="800146"/>
    <s v="PITSS"/>
    <s v="ASP"/>
    <x v="7"/>
    <s v="BLV JUAN ALONSO DE TORRES 1315-3"/>
    <s v="LEON-GTO"/>
    <n v="0"/>
    <s v="INTERIOR"/>
    <n v="8"/>
    <s v="Entre 7 y 15"/>
    <s v="WF Mono Systems and Legacy Color"/>
    <s v="WF"/>
    <s v="Ciudad principal"/>
    <s v="3-Entre 7 y 15"/>
    <n v="0.8"/>
    <n v="1258.4000000000003"/>
    <n v="1"/>
    <n v="1.07"/>
    <n v="4"/>
    <n v="0.26750000000000002"/>
    <n v="0"/>
    <n v="0"/>
    <d v="2019-04-24T00:00:00"/>
    <d v="2019-04-24T00:00:00"/>
    <n v="0"/>
    <s v="0-1 día"/>
    <n v="0"/>
    <n v="0"/>
    <n v="0"/>
    <n v="1258.4000000000003"/>
  </r>
  <r>
    <s v="ABR-19"/>
    <n v="1"/>
    <s v="2028917"/>
    <s v="SR MANTENIMIENTO CORRECTIVO"/>
    <s v="5945"/>
    <s v="24/04/2019 10:44"/>
    <s v="0X76708202"/>
    <s v="500018"/>
    <s v="PITSS"/>
    <s v="ASP"/>
    <x v="3"/>
    <s v="AV MARTIRES DE SONORA 1006"/>
    <s v="DURANGO-DGO"/>
    <n v="0"/>
    <s v="INTERIOR"/>
    <n v="29"/>
    <s v="Entre 16 y 30"/>
    <s v="Office Digital"/>
    <s v="A3"/>
    <s v="Ciudad principal"/>
    <s v="2-Entre 16 y 30"/>
    <n v="0.8"/>
    <n v="1092"/>
    <n v="1"/>
    <n v="0.3"/>
    <n v="5"/>
    <n v="0.06"/>
    <n v="0"/>
    <n v="0"/>
    <d v="2019-04-24T00:00:00"/>
    <d v="2019-04-24T00:00:00"/>
    <n v="0"/>
    <s v="0-1 día"/>
    <n v="0"/>
    <n v="0"/>
    <n v="0"/>
    <n v="1092"/>
  </r>
  <r>
    <s v="ABR-19"/>
    <n v="1"/>
    <s v="2028605"/>
    <s v="SR MANTENIMIENTO CORRECTIVO"/>
    <s v="0560"/>
    <s v="23/04/2019 20:04"/>
    <s v="0XPN547501"/>
    <s v="800197"/>
    <s v="PITSS"/>
    <s v="ASP"/>
    <x v="7"/>
    <s v="AV MEREO RGZ BARRAGAN NUM 1350"/>
    <s v="SAN LUIS POTOSI-SLP"/>
    <n v="0"/>
    <s v="INTERIOR"/>
    <n v="28"/>
    <s v="Entre 16 y 30"/>
    <s v="Entry Production Color Low/Mid"/>
    <s v="Entry Production"/>
    <s v="Ciudad principal"/>
    <s v="3-Entre 16 y 30"/>
    <n v="1.05"/>
    <n v="1651.6500000000003"/>
    <n v="1"/>
    <n v="2.82"/>
    <n v="4"/>
    <n v="0.70499999999999996"/>
    <n v="0"/>
    <n v="0"/>
    <d v="2019-04-24T00:00:00"/>
    <d v="2019-04-24T00:00:00"/>
    <n v="0"/>
    <s v="0-1 día"/>
    <n v="0"/>
    <n v="0"/>
    <n v="0"/>
    <n v="1651.6500000000003"/>
  </r>
  <r>
    <s v="ABR-19"/>
    <n v="1"/>
    <s v="2028609"/>
    <s v="SR MANTENIMIENTO CORRECTIVO"/>
    <s v="6705"/>
    <s v="23/04/2019 20:38"/>
    <s v="0A1H021665"/>
    <s v="800186"/>
    <s v="PITSS"/>
    <s v="ASP"/>
    <x v="7"/>
    <s v="PASEO CENTRAL 131"/>
    <s v="SAN JUAN DEL RIO-QRO"/>
    <n v="0"/>
    <s v="INTERIOR"/>
    <n v="28"/>
    <s v="Entre 16 y 30"/>
    <s v="WF Mono Systems and Legacy Color"/>
    <s v="WF"/>
    <s v="Ciudad principal"/>
    <s v="3-Entre 16 y 30"/>
    <n v="1.05"/>
    <n v="1651.6500000000003"/>
    <n v="1"/>
    <n v="2.02"/>
    <n v="4"/>
    <n v="0.505"/>
    <n v="0"/>
    <n v="0"/>
    <d v="2019-04-24T00:00:00"/>
    <d v="2019-04-24T00:00:00"/>
    <n v="0"/>
    <s v="0-1 día"/>
    <n v="0"/>
    <n v="0"/>
    <n v="0"/>
    <n v="1651.6500000000003"/>
  </r>
  <r>
    <s v="ABR-19"/>
    <n v="1"/>
    <s v="2028913"/>
    <s v="SR MANTENIMIENTO CORRECTIVO"/>
    <s v="5868"/>
    <s v="24/04/2019 10:43"/>
    <s v="0EX9286123"/>
    <s v="500018"/>
    <s v="PITSS"/>
    <s v="ASP"/>
    <x v="40"/>
    <s v="GRAL MARIANO ARISTA 54 B 21"/>
    <s v="MIGUEL HIDALGO-CIUDA"/>
    <n v="0"/>
    <s v="INTERIOR"/>
    <n v="21"/>
    <s v="Entre 16 y 30"/>
    <s v="Departmental Digital"/>
    <s v="A3"/>
    <s v="Ciudad principal"/>
    <s v="2-Entre 16 y 30"/>
    <n v="0.8"/>
    <n v="1092"/>
    <n v="1"/>
    <n v="1.41"/>
    <n v="5"/>
    <n v="0.28199999999999997"/>
    <n v="0"/>
    <n v="0"/>
    <d v="2019-04-24T00:00:00"/>
    <d v="2019-04-24T00:00:00"/>
    <n v="0"/>
    <s v="0-1 día"/>
    <n v="0"/>
    <n v="0"/>
    <n v="0"/>
    <n v="1092"/>
  </r>
  <r>
    <s v="ABR-19"/>
    <n v="1"/>
    <s v="2028803"/>
    <s v="SR MANTENIMIENTO CORRECTIVO"/>
    <s v="6203"/>
    <s v="24/04/2019 08:05"/>
    <s v="0AGD460903"/>
    <s v="000195"/>
    <s v="PITSS"/>
    <s v="ASP"/>
    <x v="96"/>
    <s v="BOSQUE DE DURAZNOS 61"/>
    <s v="MIGUEL HIDALGO-CIUDA"/>
    <n v="0"/>
    <s v="METRO"/>
    <n v="230"/>
    <s v="&gt;60"/>
    <s v="WF Mono Systems and Legacy Color"/>
    <s v="WF"/>
    <s v="Ciudad principal"/>
    <s v="3-&gt;60"/>
    <n v="1.1499999999999999"/>
    <n v="923.44999999999993"/>
    <n v="1"/>
    <n v="2.72"/>
    <n v="4"/>
    <n v="0.68"/>
    <n v="0"/>
    <n v="0"/>
    <d v="2019-04-24T00:00:00"/>
    <d v="2019-04-24T00:00:00"/>
    <n v="0"/>
    <s v="0-1 día"/>
    <n v="0"/>
    <n v="0"/>
    <n v="0"/>
    <n v="923.44999999999993"/>
  </r>
  <r>
    <s v="ABR-19"/>
    <n v="1"/>
    <s v="2028603"/>
    <s v="SR MANTENIMIENTO CORRECTIVO"/>
    <s v="4395"/>
    <s v="23/04/2019 20:02"/>
    <s v="0BG2947468"/>
    <s v="800197"/>
    <s v="PITSS"/>
    <s v="ASP"/>
    <x v="7"/>
    <s v="AV MEREO RGZ BARRAGAN NUM 1350"/>
    <s v="SAN LUIS POTOSI-SLP"/>
    <n v="0"/>
    <s v="INTERIOR"/>
    <n v="125"/>
    <s v="&gt;60"/>
    <s v="Light Production Digital Business"/>
    <s v="Entry Production"/>
    <s v="Ciudad principal"/>
    <s v="3-&gt;60"/>
    <n v="1.1499999999999999"/>
    <n v="1808.95"/>
    <n v="1"/>
    <n v="3.58"/>
    <n v="4"/>
    <n v="0.89500000000000002"/>
    <n v="0"/>
    <n v="0"/>
    <d v="2019-04-24T00:00:00"/>
    <d v="2019-04-24T00:00:00"/>
    <n v="0"/>
    <s v="0-1 día"/>
    <n v="0"/>
    <n v="0"/>
    <n v="0"/>
    <n v="1808.95"/>
  </r>
  <r>
    <s v="ABR-19"/>
    <n v="1"/>
    <s v="2028835"/>
    <s v="SR EVALUACION DEL EQUIPO"/>
    <s v="6512"/>
    <s v="24/04/2019 08:58"/>
    <s v="5AV814267"/>
    <s v="800187"/>
    <s v="PITSS"/>
    <s v="ASP"/>
    <x v="97"/>
    <s v="HEROICO COLEGIO MILITAR No 717"/>
    <s v="Queretaro-QRO"/>
    <n v="0"/>
    <s v="INTERIOR"/>
    <s v="  "/>
    <s v="&gt;60"/>
    <s v="A4 Color Laser MFPs"/>
    <s v="A4"/>
    <s v="Ciudad principal"/>
    <s v="1-&gt;60"/>
    <n v="1"/>
    <n v="715.00000000000011"/>
    <n v="1"/>
    <n v="4.03"/>
    <n v="5"/>
    <n v="0.80600000000000005"/>
    <n v="0"/>
    <n v="0"/>
    <d v="2019-04-24T00:00:00"/>
    <d v="2019-04-24T00:00:00"/>
    <n v="0"/>
    <s v="0-1 día"/>
    <n v="0"/>
    <n v="0"/>
    <n v="0"/>
    <n v="715.00000000000011"/>
  </r>
  <r>
    <s v="ABR-19"/>
    <n v="1"/>
    <s v="2025231"/>
    <s v="SR INSTALACION DE EQUIPO"/>
    <s v="4000"/>
    <s v="15/04/2019 15:32"/>
    <s v="06HB007261"/>
    <s v="500155"/>
    <s v="PITSS"/>
    <s v="ASP"/>
    <x v="30"/>
    <s v="AV FUENTES DEL SUR 7151"/>
    <s v="CIUDAD JUAREZ-CHIH"/>
    <n v="0"/>
    <s v="INTERIOR"/>
    <s v="  "/>
    <s v="&gt;60"/>
    <s v="Entry Mono Printers"/>
    <s v="A4"/>
    <s v="Ciudad principal"/>
    <s v="1-&gt;60"/>
    <n v="1"/>
    <n v="1072.5000000000002"/>
    <n v="0"/>
    <n v="5"/>
    <n v="5"/>
    <n v="1"/>
    <n v="0"/>
    <n v="0"/>
    <d v="2019-04-15T00:00:00"/>
    <d v="2019-04-24T00:00:00"/>
    <n v="7"/>
    <s v="6-10 días"/>
    <n v="0"/>
    <n v="0"/>
    <n v="0"/>
    <n v="1072.5000000000002"/>
  </r>
  <r>
    <s v="ABR-19"/>
    <n v="1"/>
    <s v="2029089"/>
    <s v="SR MANTENIMIENTO CORRECTIVO"/>
    <s v="3657"/>
    <s v="24/04/2019 14:43"/>
    <s v="0C7X246854"/>
    <s v="800147"/>
    <s v="PITSS"/>
    <s v="ASP"/>
    <x v="15"/>
    <s v="BLVD CAMPESTRE No 2502"/>
    <s v="Leon-GTO"/>
    <n v="0"/>
    <s v="INTERIOR"/>
    <n v="279"/>
    <s v="&gt;60"/>
    <s v="A4 Mono MFPs"/>
    <s v="A4"/>
    <s v="Ciudad principal"/>
    <s v="1-&gt;60"/>
    <n v="1.05"/>
    <n v="750.75000000000011"/>
    <n v="1"/>
    <n v="0"/>
    <n v="5"/>
    <n v="0"/>
    <n v="0"/>
    <n v="0"/>
    <d v="2019-04-24T00:00:00"/>
    <d v="2019-04-24T00:00:00"/>
    <n v="0"/>
    <s v="0-1 día"/>
    <n v="0"/>
    <n v="0"/>
    <n v="0"/>
    <n v="750.75000000000011"/>
  </r>
  <r>
    <s v="ABR-19"/>
    <n v="1"/>
    <s v="2028855"/>
    <s v="SR MANTENIMIENTO CORRECTIVO"/>
    <s v="4395"/>
    <s v="24/04/2019 09:11"/>
    <s v="0BG2948799"/>
    <s v="800027"/>
    <s v="PITSS"/>
    <s v="ASP"/>
    <x v="7"/>
    <s v="AV CIRCUNVALACION No 2700 LOC SA01"/>
    <s v="Guadalajara-JAL"/>
    <n v="0"/>
    <s v="INTERIOR"/>
    <n v="10"/>
    <s v="Entre 7 y 15"/>
    <s v="Light Production Digital Business"/>
    <s v="Entry Production"/>
    <s v="Ciudad principal"/>
    <s v="3-Entre 7 y 15"/>
    <n v="0.8"/>
    <n v="1258.4000000000003"/>
    <n v="1"/>
    <n v="2.89"/>
    <n v="4"/>
    <n v="0.72250000000000003"/>
    <n v="0"/>
    <n v="0"/>
    <d v="2019-04-24T00:00:00"/>
    <d v="2019-04-24T00:00:00"/>
    <n v="0"/>
    <s v="0-1 día"/>
    <n v="0"/>
    <n v="0"/>
    <n v="0"/>
    <n v="1258.4000000000003"/>
  </r>
  <r>
    <s v="ABR-19"/>
    <n v="1"/>
    <s v="2028353"/>
    <s v="SR MANTENIMIENTO CORRECTIVO"/>
    <s v="5329"/>
    <s v="23/04/2019 10:41"/>
    <s v="0AE9566035"/>
    <s v="500159"/>
    <s v="PITSS"/>
    <s v="ASP"/>
    <x v="30"/>
    <s v="VIALIDAD TABALAOPA 8507"/>
    <s v="CHIHUAHUA-CHIH"/>
    <n v="0"/>
    <s v="INTERIOR"/>
    <n v="110"/>
    <s v="&gt;60"/>
    <s v="Office Digital"/>
    <s v="A3"/>
    <s v="Ciudad principal"/>
    <s v="2-&gt;60"/>
    <n v="1.1000000000000001"/>
    <n v="1501.5000000000002"/>
    <n v="1"/>
    <n v="0"/>
    <n v="5"/>
    <n v="0"/>
    <n v="0"/>
    <n v="0"/>
    <d v="2019-04-24T00:00:00"/>
    <d v="2019-04-24T00:00:00"/>
    <n v="0"/>
    <s v="0-1 día"/>
    <n v="0"/>
    <n v="0"/>
    <n v="0"/>
    <n v="1501.5000000000002"/>
  </r>
  <r>
    <s v="ABR-19"/>
    <n v="1"/>
    <s v="2028985"/>
    <s v="SR MANTENIMIENTO CORRECTIVO"/>
    <s v="4002"/>
    <s v="24/04/2019 11:45"/>
    <s v="09HB915866"/>
    <s v="800188"/>
    <s v="PITSS"/>
    <s v="ASP"/>
    <x v="27"/>
    <s v="Av De los Insurgentes  2604 Loc B5"/>
    <s v="Irapuato-GTO"/>
    <n v="0"/>
    <s v="INTERIOR"/>
    <n v="34"/>
    <s v="Entre 31 y 60"/>
    <s v="A4 Mono MFPs"/>
    <s v="A4"/>
    <s v="Ciudad principal"/>
    <s v="1-Entre 31 y 60"/>
    <n v="0.8"/>
    <n v="572.00000000000011"/>
    <n v="1"/>
    <n v="1.08"/>
    <n v="5"/>
    <n v="0.21600000000000003"/>
    <n v="0"/>
    <n v="0"/>
    <d v="2019-04-24T00:00:00"/>
    <d v="2019-04-24T00:00:00"/>
    <n v="0"/>
    <s v="0-1 día"/>
    <n v="0"/>
    <n v="0"/>
    <n v="0"/>
    <n v="572.00000000000011"/>
  </r>
  <r>
    <s v="ABR-19"/>
    <n v="1"/>
    <s v="2028957"/>
    <s v="SR SERVICIO ANALISTA"/>
    <s v="5955"/>
    <s v="24/04/2019 11:27"/>
    <s v="0X76703902"/>
    <s v="500060"/>
    <s v="PITSS"/>
    <s v="ASP"/>
    <x v="32"/>
    <s v="AV DE LOS ALAMOS No 80"/>
    <s v="Linares-NL"/>
    <n v="0"/>
    <s v="INTERIOR"/>
    <s v="  "/>
    <s v="&gt;60"/>
    <s v="Departmental Digital"/>
    <s v="A3"/>
    <s v="Otras"/>
    <s v="2-&gt;60"/>
    <n v="1"/>
    <n v="1365"/>
    <n v="0"/>
    <n v="9"/>
    <n v="9"/>
    <n v="1"/>
    <n v="0"/>
    <n v="0"/>
    <d v="2019-04-24T00:00:00"/>
    <d v="2019-04-24T00:00:00"/>
    <n v="0"/>
    <s v="0-1 día"/>
    <n v="0"/>
    <n v="0"/>
    <n v="0"/>
    <n v="1365"/>
  </r>
  <r>
    <s v="ABR-19"/>
    <n v="1"/>
    <s v="2028033"/>
    <s v="SR MANTENIMIENTO CORRECTIVO"/>
    <s v="8055"/>
    <s v="22/04/2019 15:57"/>
    <s v="0Y4X846822"/>
    <s v="500027"/>
    <s v="PITSS"/>
    <s v="ASP"/>
    <x v="39"/>
    <s v="DURANGO No 2751"/>
    <s v="Ciudad Juarez-CHIH"/>
    <n v="1"/>
    <s v="INTERIOR"/>
    <n v="160"/>
    <s v="&gt;60"/>
    <s v="Departmental Digital"/>
    <s v="A3"/>
    <s v="Ciudad principal"/>
    <s v="2-&gt;60"/>
    <n v="1.1000000000000001"/>
    <n v="0"/>
    <n v="1"/>
    <n v="0"/>
    <n v="5"/>
    <n v="0"/>
    <n v="0"/>
    <n v="0"/>
    <d v="2019-04-24T00:00:00"/>
    <d v="2019-04-24T00:00:00"/>
    <n v="0"/>
    <s v="0-1 día"/>
    <n v="0"/>
    <n v="0"/>
    <n v="0"/>
    <n v="0"/>
  </r>
  <r>
    <s v="ABR-19"/>
    <n v="1"/>
    <s v="2027909"/>
    <s v="SR MANTENIMIENTO CORRECTIVO"/>
    <s v="3658"/>
    <s v="22/04/2019 13:05"/>
    <s v="0C4X006409"/>
    <s v="500080"/>
    <s v="PITSS"/>
    <s v="ASP"/>
    <x v="0"/>
    <s v="HEROICO COLEGIO MILITAR No 4700"/>
    <s v="Chihuahua-CHIH"/>
    <n v="0"/>
    <s v="INTERIOR"/>
    <n v="294"/>
    <s v="&gt;60"/>
    <s v="A4 Mono MFPs"/>
    <s v="A4"/>
    <s v="Ciudad principal"/>
    <s v="1-&gt;60"/>
    <n v="1.05"/>
    <n v="750.75000000000011"/>
    <n v="1"/>
    <n v="0"/>
    <n v="5"/>
    <n v="0"/>
    <n v="0"/>
    <n v="0"/>
    <d v="2019-04-24T00:00:00"/>
    <d v="2019-04-24T00:00:00"/>
    <n v="0"/>
    <s v="0-1 día"/>
    <n v="0"/>
    <n v="0"/>
    <n v="0"/>
    <n v="750.75000000000011"/>
  </r>
  <r>
    <s v="ABR-19"/>
    <n v="1"/>
    <s v="2027665"/>
    <s v="SR MANTENIMIENTO CORRECTIVO"/>
    <s v="0570"/>
    <s v="22/04/2019 09:13"/>
    <s v="0XPN548347"/>
    <s v="500056"/>
    <s v="PITSS"/>
    <s v="ASP"/>
    <x v="14"/>
    <s v="BLV HIDALGO Y FUENTE DE DIANA SN"/>
    <s v="REYNOSA-TAM"/>
    <n v="0"/>
    <s v="INTERIOR"/>
    <n v="40"/>
    <s v="Entre 31 y 60"/>
    <s v="Entry Production Color Low/Mid"/>
    <s v="Entry Production"/>
    <s v="Ciudad principal"/>
    <s v="3-Entre 31 y 60"/>
    <n v="1.1000000000000001"/>
    <n v="1730.3000000000004"/>
    <n v="1"/>
    <n v="3.03"/>
    <n v="4"/>
    <n v="0.75749999999999995"/>
    <n v="0"/>
    <n v="0"/>
    <d v="2019-04-24T00:00:00"/>
    <d v="2019-04-24T00:00:00"/>
    <n v="0"/>
    <s v="0-1 día"/>
    <n v="0"/>
    <n v="0"/>
    <n v="0"/>
    <n v="1730.3000000000004"/>
  </r>
  <r>
    <s v="ABR-19"/>
    <n v="1"/>
    <s v="2028579"/>
    <s v="SR MANTENIMIENTO CORRECTIVO"/>
    <s v="0560"/>
    <s v="23/04/2019 17:21"/>
    <s v="0XPN546684"/>
    <s v="800110"/>
    <s v="PITSS"/>
    <s v="ASP"/>
    <x v="7"/>
    <s v="PASEO LAZARO CARDENAS 1655"/>
    <s v="URUAPAN-MICH"/>
    <n v="0"/>
    <s v="INTERIOR"/>
    <n v="147"/>
    <s v="&gt;60"/>
    <s v="Entry Production Color Low/Mid"/>
    <s v="Entry Production"/>
    <s v="Ciudad principal"/>
    <s v="3-&gt;60"/>
    <n v="1.1499999999999999"/>
    <n v="1808.95"/>
    <n v="1"/>
    <n v="4.2300000000000004"/>
    <n v="4"/>
    <n v="1.0575000000000001"/>
    <n v="1.4375000000000027E-2"/>
    <n v="-22.611875000000044"/>
    <d v="2019-04-24T00:00:00"/>
    <d v="2019-04-24T00:00:00"/>
    <n v="0"/>
    <s v="0-1 día"/>
    <n v="0"/>
    <n v="0"/>
    <n v="0"/>
    <n v="1786.338125"/>
  </r>
  <r>
    <s v="ABR-19"/>
    <n v="1"/>
    <s v="2028841"/>
    <s v="SR MANTENIMIENTO CORRECTIVO"/>
    <s v="8075"/>
    <s v="24/04/2019 09:03"/>
    <s v="03AG880350"/>
    <s v="800192"/>
    <s v="PITSS"/>
    <s v="ASP"/>
    <x v="14"/>
    <s v="AV VALLE DE SAN ISIDRO 530"/>
    <s v="ZAPOPAN-JAL"/>
    <n v="0"/>
    <s v="INTERIOR"/>
    <n v="78"/>
    <s v="&gt;60"/>
    <s v="Departmental Digital"/>
    <s v="A3"/>
    <s v="Ciudad principal"/>
    <s v="2-&gt;60"/>
    <n v="1.1000000000000001"/>
    <n v="1501.5000000000002"/>
    <n v="1"/>
    <n v="2.38"/>
    <n v="5"/>
    <n v="0.47599999999999998"/>
    <n v="0"/>
    <n v="0"/>
    <d v="2019-04-24T00:00:00"/>
    <d v="2019-04-24T00:00:00"/>
    <n v="0"/>
    <s v="0-1 día"/>
    <n v="0"/>
    <n v="0"/>
    <n v="0"/>
    <n v="1501.5000000000002"/>
  </r>
  <r>
    <s v="ABR-19"/>
    <n v="1"/>
    <s v="2028929"/>
    <s v="SR MANTENIMIENTO CORRECTIVO"/>
    <s v="6705"/>
    <s v="24/04/2019 11:11"/>
    <s v="0A1H020591"/>
    <s v="800074"/>
    <s v="PITSS"/>
    <s v="ASP"/>
    <x v="7"/>
    <s v="CALZ DE LA HUERTA 2799"/>
    <s v="MORELIA-MICH"/>
    <n v="0"/>
    <s v="INTERIOR"/>
    <n v="6"/>
    <s v="Entre 3 y 6"/>
    <s v="WF Mono Systems and Legacy Color"/>
    <s v="WF"/>
    <s v="Ciudad principal"/>
    <s v="3-Entre 3 y 6"/>
    <n v="0.6"/>
    <n v="943.80000000000007"/>
    <n v="1"/>
    <n v="2.15"/>
    <n v="4"/>
    <n v="0.53749999999999998"/>
    <n v="0"/>
    <n v="0"/>
    <d v="2019-04-24T00:00:00"/>
    <d v="2019-04-24T00:00:00"/>
    <n v="0"/>
    <s v="0-1 día"/>
    <n v="0"/>
    <n v="0"/>
    <n v="0"/>
    <n v="943.80000000000007"/>
  </r>
  <r>
    <s v="ABR-19"/>
    <n v="1"/>
    <s v="2028853"/>
    <s v="SR MANTENIMIENTO CORRECTIVO"/>
    <s v="8075"/>
    <s v="24/04/2019 09:10"/>
    <s v="03AG879962"/>
    <s v="500080"/>
    <s v="PITSS"/>
    <s v="ASP"/>
    <x v="14"/>
    <s v="HIPERPLAZA No 3300"/>
    <s v="Chihuahua-CHIH"/>
    <n v="0"/>
    <s v="INTERIOR"/>
    <n v="16"/>
    <s v="Entre 16 y 30"/>
    <s v="Departmental Digital"/>
    <s v="A3"/>
    <s v="Ciudad principal"/>
    <s v="2-Entre 16 y 30"/>
    <n v="0.8"/>
    <n v="1092"/>
    <n v="1"/>
    <n v="2.08"/>
    <n v="5"/>
    <n v="0.41600000000000004"/>
    <n v="0"/>
    <n v="0"/>
    <d v="2019-04-24T00:00:00"/>
    <d v="2019-04-24T00:00:00"/>
    <n v="0"/>
    <s v="0-1 día"/>
    <n v="0"/>
    <n v="0"/>
    <n v="0"/>
    <n v="1092"/>
  </r>
  <r>
    <s v="ABR-19"/>
    <n v="1"/>
    <s v="2028925"/>
    <s v="SR MANTENIMIENTO CORRECTIVO"/>
    <s v="5866"/>
    <s v="24/04/2019 10:54"/>
    <s v="0EX9283118"/>
    <s v="800074"/>
    <s v="PITSS"/>
    <s v="ASP"/>
    <x v="7"/>
    <s v="CALZ DE LA HUERTA 2799"/>
    <s v="MORELIA-MICH"/>
    <n v="0"/>
    <s v="INTERIOR"/>
    <n v="49"/>
    <s v="Entre 31 y 60"/>
    <s v="Departmental Digital"/>
    <s v="A3"/>
    <s v="Ciudad principal"/>
    <s v="2-Entre 31 y 60"/>
    <n v="1.05"/>
    <n v="1433.25"/>
    <n v="1"/>
    <n v="3.18"/>
    <n v="5"/>
    <n v="0.63600000000000001"/>
    <n v="0"/>
    <n v="0"/>
    <d v="2019-04-24T00:00:00"/>
    <d v="2019-04-24T00:00:00"/>
    <n v="0"/>
    <s v="0-1 día"/>
    <n v="0"/>
    <n v="0"/>
    <n v="0"/>
    <n v="1433.25"/>
  </r>
  <r>
    <s v="ABR-19"/>
    <n v="1"/>
    <s v="2029023"/>
    <s v="SR MANTENIMIENTO CORRECTIVO"/>
    <s v="8075"/>
    <s v="24/04/2019 12:48"/>
    <s v="03AG876220"/>
    <s v="500158"/>
    <s v="PITSS"/>
    <s v="ASP"/>
    <x v="3"/>
    <s v="AV PRINCIPAL No 1420"/>
    <s v="Ciudad Juarez-CHIH"/>
    <n v="0"/>
    <s v="INTERIOR"/>
    <n v="47"/>
    <s v="Entre 31 y 60"/>
    <s v="Departmental Digital"/>
    <s v="A3"/>
    <s v="Ciudad principal"/>
    <s v="2-Entre 31 y 60"/>
    <n v="1.05"/>
    <n v="1433.25"/>
    <n v="1"/>
    <n v="1.78"/>
    <n v="5"/>
    <n v="0.35599999999999998"/>
    <n v="0"/>
    <n v="0"/>
    <d v="2019-04-24T00:00:00"/>
    <d v="2019-04-24T00:00:00"/>
    <n v="0"/>
    <s v="0-1 día"/>
    <n v="0"/>
    <n v="0"/>
    <n v="0"/>
    <n v="1433.25"/>
  </r>
  <r>
    <s v="ABR-19"/>
    <n v="1"/>
    <s v="2028895"/>
    <s v="SR MANTENIMIENTO CORRECTIVO"/>
    <s v="8680"/>
    <s v="24/04/2019 10:06"/>
    <s v="0B2R091016"/>
    <s v="500083"/>
    <s v="PITSS"/>
    <s v="ASP"/>
    <x v="31"/>
    <s v="AV JUAREZ No 1102 PISO 40"/>
    <s v="Monterrey-NL"/>
    <n v="0"/>
    <s v="INTERIOR"/>
    <n v="22"/>
    <s v="Entre 16 y 30"/>
    <s v="Entry Production Color Low/Mid"/>
    <s v="Entry Production"/>
    <s v="Ciudad principal"/>
    <s v="3-Entre 16 y 30"/>
    <n v="1.05"/>
    <n v="1651.6500000000003"/>
    <n v="1"/>
    <n v="4.05"/>
    <n v="4"/>
    <n v="1.0125"/>
    <n v="3.1249999999999889E-3"/>
    <n v="-4.9156249999999835"/>
    <d v="2019-04-24T00:00:00"/>
    <d v="2019-04-24T00:00:00"/>
    <n v="0"/>
    <s v="0-1 día"/>
    <n v="0"/>
    <n v="0"/>
    <n v="0"/>
    <n v="1646.7343750000002"/>
  </r>
  <r>
    <s v="ABR-19"/>
    <n v="1"/>
    <s v="2029045"/>
    <s v="SR MANTENIMIENTO CORRECTIVO"/>
    <s v="3658"/>
    <s v="24/04/2019 13:25"/>
    <s v="0C4X008636"/>
    <s v="800187"/>
    <s v="PITSS"/>
    <s v="ASP"/>
    <x v="2"/>
    <s v="EPIGMENIO GONZALEZ 2"/>
    <s v="QUERETARO-QRO"/>
    <n v="0"/>
    <s v="INTERIOR"/>
    <n v="93"/>
    <s v="&gt;60"/>
    <s v="A4 Mono MFPs"/>
    <s v="A4"/>
    <s v="Ciudad principal"/>
    <s v="1-&gt;60"/>
    <n v="1.05"/>
    <n v="750.75000000000011"/>
    <n v="1"/>
    <n v="1"/>
    <n v="5"/>
    <n v="0.2"/>
    <n v="0"/>
    <n v="0"/>
    <d v="2019-04-24T00:00:00"/>
    <d v="2019-04-24T00:00:00"/>
    <n v="0"/>
    <s v="0-1 día"/>
    <n v="0"/>
    <n v="0"/>
    <n v="0"/>
    <n v="750.75000000000011"/>
  </r>
  <r>
    <s v="ABR-19"/>
    <n v="1"/>
    <s v="2025271"/>
    <s v="SR MANTENIMIENTO CORRECTIVO"/>
    <s v="8045"/>
    <s v="15/04/2019 16:23"/>
    <s v="0Y4X820694"/>
    <s v="500161"/>
    <s v="PITSS"/>
    <s v="ASP"/>
    <x v="25"/>
    <s v="AV DE LAS INDUSTRIAS No 4907"/>
    <s v="Chihuahua-CHIH"/>
    <n v="0"/>
    <s v="INTERIOR"/>
    <n v="38"/>
    <s v="Entre 31 y 60"/>
    <s v="Office Digital"/>
    <s v="A3"/>
    <s v="Ciudad principal"/>
    <s v="2-Entre 31 y 60"/>
    <n v="1.05"/>
    <n v="1433.25"/>
    <n v="1"/>
    <n v="1.1200000000000001"/>
    <n v="5"/>
    <n v="0.22400000000000003"/>
    <n v="0"/>
    <n v="0"/>
    <d v="2019-04-24T00:00:00"/>
    <d v="2019-04-24T00:00:00"/>
    <n v="0"/>
    <s v="0-1 día"/>
    <n v="0"/>
    <n v="0"/>
    <n v="0"/>
    <n v="1433.25"/>
  </r>
  <r>
    <s v="ABR-19"/>
    <n v="1"/>
    <s v="2023021"/>
    <s v="SR MANTENIMIENTO CORRECTIVO"/>
    <s v="7225"/>
    <s v="10/04/2019 12:22"/>
    <s v="0LX5825590"/>
    <s v="500156"/>
    <s v="PITSS"/>
    <s v="ASP"/>
    <x v="68"/>
    <s v="AV HERMANOS ESCOBAR No 6965 ESQ RAFAEL PEREZ SERNA"/>
    <s v="Ciudad Juarez-CHIH"/>
    <n v="0"/>
    <s v="INTERIOR"/>
    <n v="155"/>
    <s v="&gt;60"/>
    <s v="A3 Office Color Laser MFPs"/>
    <s v="A3"/>
    <s v="Ciudad principal"/>
    <s v="2-&gt;60"/>
    <n v="1.1000000000000001"/>
    <n v="1501.5000000000002"/>
    <n v="1"/>
    <n v="0.13"/>
    <n v="5"/>
    <n v="2.6000000000000002E-2"/>
    <n v="0"/>
    <n v="0"/>
    <d v="2019-04-24T00:00:00"/>
    <d v="2019-04-24T00:00:00"/>
    <n v="0"/>
    <s v="0-1 día"/>
    <n v="0"/>
    <n v="0"/>
    <n v="0"/>
    <n v="1501.5000000000002"/>
  </r>
  <r>
    <s v="ABR-19"/>
    <n v="1"/>
    <s v="2028321"/>
    <s v="SR MANTENIMIENTO CORRECTIVO"/>
    <s v="4326"/>
    <s v="23/04/2019 10:23"/>
    <s v="0BG1001361"/>
    <s v="500157"/>
    <s v="PITSS"/>
    <s v="ASP"/>
    <x v="3"/>
    <s v="RAFAEL PEREZ SERNA Y HENRY DUNANT"/>
    <s v="CIUDAD JUAREZ-CHIH"/>
    <n v="0"/>
    <s v="INTERIOR"/>
    <n v="39"/>
    <s v="Entre 31 y 60"/>
    <s v="Light Production Digital Business"/>
    <s v="Entry Production"/>
    <s v="Ciudad principal"/>
    <s v="3-Entre 31 y 60"/>
    <n v="1.1000000000000001"/>
    <n v="1730.3000000000004"/>
    <n v="1"/>
    <n v="0.62"/>
    <n v="4"/>
    <n v="0.155"/>
    <n v="0"/>
    <n v="0"/>
    <d v="2019-04-24T00:00:00"/>
    <d v="2019-04-24T00:00:00"/>
    <n v="0"/>
    <s v="0-1 día"/>
    <n v="0"/>
    <n v="0"/>
    <n v="0"/>
    <n v="1730.3000000000004"/>
  </r>
  <r>
    <s v="ABR-19"/>
    <n v="1"/>
    <s v="2018023"/>
    <s v="SR MANTENIMIENTO CORRECTIVO"/>
    <s v="4395"/>
    <s v="01/04/2019 10:40"/>
    <s v="0BG2940370"/>
    <s v="500156"/>
    <s v="PITSS"/>
    <s v="ASP"/>
    <x v="7"/>
    <s v="AV EJERCITO NAL NUM 2926 ESQ JACARANDAS"/>
    <s v="CIUDAD JUAREZ-CHIH"/>
    <n v="0"/>
    <s v="INTERIOR"/>
    <n v="12"/>
    <s v="Entre 7 y 15"/>
    <s v="Light Production Digital Business"/>
    <s v="Entry Production"/>
    <s v="Ciudad principal"/>
    <s v="3-Entre 7 y 15"/>
    <n v="0.8"/>
    <n v="1258.4000000000003"/>
    <n v="1"/>
    <n v="2.33"/>
    <n v="4"/>
    <n v="0.58250000000000002"/>
    <n v="0"/>
    <n v="0"/>
    <d v="2019-04-24T00:00:00"/>
    <d v="2019-04-24T00:00:00"/>
    <n v="0"/>
    <s v="0-1 día"/>
    <n v="0"/>
    <n v="0"/>
    <n v="0"/>
    <n v="1258.4000000000003"/>
  </r>
  <r>
    <s v="ABR-19"/>
    <n v="1"/>
    <s v="2025571"/>
    <s v="SR MANTENIMIENTO CORRECTIVO"/>
    <s v="6705"/>
    <s v="16/04/2019 10:57"/>
    <s v="0A1H021115"/>
    <s v="500168"/>
    <s v="PITSS"/>
    <s v="ASP"/>
    <x v="7"/>
    <s v="AV HEROICO COLEGIO MILITAR 114"/>
    <s v="PIEDRAS NEGRAS-COAH"/>
    <n v="0"/>
    <s v="INTERIOR"/>
    <n v="50"/>
    <s v="Entre 31 y 60"/>
    <s v="WF Mono Systems and Legacy Color"/>
    <s v="WF"/>
    <s v="Ciudad principal"/>
    <s v="3-Entre 31 y 60"/>
    <n v="1.1000000000000001"/>
    <n v="1730.3000000000004"/>
    <n v="1"/>
    <n v="3.2"/>
    <n v="4"/>
    <n v="0.8"/>
    <n v="0"/>
    <n v="0"/>
    <d v="2019-04-24T00:00:00"/>
    <d v="2019-04-24T00:00:00"/>
    <n v="0"/>
    <s v="0-1 día"/>
    <n v="0"/>
    <n v="0"/>
    <n v="0"/>
    <n v="1730.3000000000004"/>
  </r>
  <r>
    <s v="ABR-19"/>
    <n v="1"/>
    <s v="2028831"/>
    <s v="SR MANTENIMIENTO CORRECTIVO"/>
    <s v="6203"/>
    <s v="24/04/2019 08:49"/>
    <s v="0AGD461919"/>
    <s v="800183"/>
    <s v="PITSS"/>
    <s v="ASP"/>
    <x v="55"/>
    <s v="PEDRO MORENO 1401"/>
    <s v="Guadalajara-JAL"/>
    <n v="0"/>
    <s v="INTERIOR"/>
    <n v="49"/>
    <s v="Entre 31 y 60"/>
    <s v="WF Mono Systems and Legacy Color"/>
    <s v="WF"/>
    <s v="Ciudad principal"/>
    <s v="3-Entre 31 y 60"/>
    <n v="1.1000000000000001"/>
    <n v="1730.3000000000004"/>
    <n v="1"/>
    <n v="0.68"/>
    <n v="4"/>
    <n v="0.17"/>
    <n v="0"/>
    <n v="0"/>
    <d v="2019-04-24T00:00:00"/>
    <d v="2019-04-24T00:00:00"/>
    <n v="0"/>
    <s v="0-1 día"/>
    <n v="0"/>
    <n v="0"/>
    <n v="0"/>
    <n v="1730.3000000000004"/>
  </r>
  <r>
    <s v="ABR-19"/>
    <n v="1"/>
    <s v="2028273"/>
    <s v="SR MANTENIMIENTO CORRECTIVO"/>
    <s v="4495"/>
    <s v="23/04/2019 09:24"/>
    <s v="0BPB110653"/>
    <s v="800192"/>
    <s v="PITSS"/>
    <s v="ASP"/>
    <x v="19"/>
    <s v="KM 9 CARRETERA A EL CASTILLO"/>
    <s v="Jalisco-JAL"/>
    <n v="0"/>
    <s v="INTERIOR"/>
    <n v="41"/>
    <s v="Entre 31 y 60"/>
    <s v="CF Mono"/>
    <s v="High Production"/>
    <s v="Ciudad principal"/>
    <s v="4-Entre 31 y 60"/>
    <n v="1.1499999999999999"/>
    <n v="2466.75"/>
    <n v="1"/>
    <n v="5.2"/>
    <n v="3"/>
    <n v="1.7333333333333334"/>
    <n v="0.18333333333333335"/>
    <n v="-393.25000000000006"/>
    <d v="2019-04-24T00:00:00"/>
    <d v="2019-04-25T00:00:00"/>
    <n v="1"/>
    <s v="0-1 día"/>
    <n v="0"/>
    <n v="0"/>
    <n v="0"/>
    <n v="2073.5"/>
  </r>
  <r>
    <s v="ABR-19"/>
    <n v="1"/>
    <s v="2028865"/>
    <s v="SR MANTENIMIENTO CORRECTIVO"/>
    <s v="4603"/>
    <s v="24/04/2019 09:29"/>
    <s v="0XLT993509"/>
    <s v="500159"/>
    <s v="PITSS"/>
    <s v="ASP"/>
    <x v="30"/>
    <s v="CRISTOBAL COLON 11364"/>
    <s v="CHIHUAHUA-CHIH"/>
    <n v="0"/>
    <s v="INTERIOR"/>
    <n v="440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4-24T00:00:00"/>
    <d v="2019-04-25T00:00:00"/>
    <n v="1"/>
    <s v="0-1 día"/>
    <n v="0"/>
    <n v="0"/>
    <n v="0"/>
    <n v="750.75000000000011"/>
  </r>
  <r>
    <s v="ABR-19"/>
    <n v="1"/>
    <s v="2027941"/>
    <s v="SR MANTENIMIENTO CORRECTIVO"/>
    <s v="8045"/>
    <s v="22/04/2019 13:38"/>
    <s v="0Y4X842481"/>
    <s v="500060"/>
    <s v="PITSS"/>
    <s v="ASP"/>
    <x v="98"/>
    <s v="LIC. GUSTAVO DIAZ ORDAZ No 130 PISO 17, 18, 19 Y 2"/>
    <s v="MONTERREY-NL"/>
    <n v="0"/>
    <s v="INTERIOR"/>
    <n v="252"/>
    <s v="&gt;60"/>
    <s v="Office Digital"/>
    <s v="A3"/>
    <s v="Ciudad principal"/>
    <s v="2-&gt;60"/>
    <n v="1.1000000000000001"/>
    <n v="1501.5000000000002"/>
    <n v="1"/>
    <n v="2.1"/>
    <n v="5"/>
    <n v="0.42000000000000004"/>
    <n v="0"/>
    <n v="0"/>
    <d v="2019-04-25T00:00:00"/>
    <d v="2019-04-25T00:00:00"/>
    <n v="0"/>
    <s v="0-1 día"/>
    <n v="0"/>
    <n v="0"/>
    <n v="0"/>
    <n v="1501.5000000000002"/>
  </r>
  <r>
    <s v="ABR-19"/>
    <n v="1"/>
    <s v="2022985"/>
    <s v="SR MANTENIMIENTO CORRECTIVO"/>
    <s v="4326"/>
    <s v="10/04/2019 11:44"/>
    <s v="0BG1000839"/>
    <s v="500157"/>
    <s v="PITSS"/>
    <s v="ASP"/>
    <x v="84"/>
    <s v="AV DE LAS TORRES No 2170"/>
    <s v="Ciudad Juarez-CHIH"/>
    <n v="0"/>
    <s v="INTERIOR"/>
    <n v="48"/>
    <s v="Entre 31 y 60"/>
    <s v="Light Production Digital Business"/>
    <s v="Entry Production"/>
    <s v="Ciudad principal"/>
    <s v="3-Entre 31 y 60"/>
    <n v="1.1000000000000001"/>
    <n v="1730.3000000000004"/>
    <n v="1"/>
    <n v="0.77"/>
    <n v="4"/>
    <n v="0.1925"/>
    <n v="0"/>
    <n v="0"/>
    <d v="2019-04-25T00:00:00"/>
    <d v="2019-04-25T00:00:00"/>
    <n v="0"/>
    <s v="0-1 día"/>
    <n v="0"/>
    <n v="0"/>
    <n v="0"/>
    <n v="1730.3000000000004"/>
  </r>
  <r>
    <s v="ABR-19"/>
    <n v="1"/>
    <s v="2029139"/>
    <s v="SR MANTENIMIENTO PREVENTIVO"/>
    <s v="5945"/>
    <s v="24/04/2019 17:13"/>
    <s v="0X76704334"/>
    <s v="500155"/>
    <s v="PITSS"/>
    <s v="ASP"/>
    <x v="30"/>
    <s v="AV FUENTES DEL SUR 7151"/>
    <s v="CIUDAD JUAREZ-CHIH"/>
    <n v="0"/>
    <s v="INTERIOR"/>
    <s v="  "/>
    <s v="&gt;60"/>
    <s v="Office Digital"/>
    <s v="A3"/>
    <s v="Ciudad principal"/>
    <s v="2-&gt;60"/>
    <n v="1"/>
    <n v="1365"/>
    <n v="0"/>
    <n v="5"/>
    <n v="5"/>
    <n v="1"/>
    <n v="0"/>
    <n v="0"/>
    <d v="2019-04-25T00:00:00"/>
    <d v="2019-04-25T00:00:00"/>
    <n v="0"/>
    <s v="0-1 día"/>
    <n v="0"/>
    <n v="0"/>
    <n v="0"/>
    <n v="1365"/>
  </r>
  <r>
    <s v="ABR-19"/>
    <n v="1"/>
    <s v="2028317"/>
    <s v="SR MANTENIMIENTO CORRECTIVO"/>
    <s v="3616"/>
    <s v="23/04/2019 10:15"/>
    <s v="0A2T024863"/>
    <s v="100037"/>
    <s v="PITSS"/>
    <s v="ASP"/>
    <x v="99"/>
    <s v="BLVD TOLUCA METEPEC No 719 NORTE"/>
    <s v="Metepec-ESTADO DE ME"/>
    <n v="0"/>
    <s v="INTERIOR"/>
    <n v="907"/>
    <s v="&gt;60"/>
    <s v="A4 Mono MFPs"/>
    <s v="A4"/>
    <s v="Ciudad principal"/>
    <s v="1-&gt;60"/>
    <n v="1.05"/>
    <n v="750.75000000000011"/>
    <n v="1"/>
    <n v="1.5166666666666675"/>
    <n v="5"/>
    <n v="0.30333333333333351"/>
    <n v="0"/>
    <n v="0"/>
    <d v="2019-04-24T00:00:00"/>
    <d v="2019-04-25T00:00:00"/>
    <n v="1"/>
    <s v="0-1 día"/>
    <n v="0"/>
    <n v="0"/>
    <n v="0"/>
    <n v="750.75000000000011"/>
  </r>
  <r>
    <s v="ABR-19"/>
    <n v="1"/>
    <s v="2029125"/>
    <s v="SR MANTENIMIENTO PREVENTIVO"/>
    <s v="4603"/>
    <s v="24/04/2019 15:59"/>
    <s v="0XLT861338"/>
    <s v="500159"/>
    <s v="PITSS"/>
    <s v="ASP"/>
    <x v="30"/>
    <s v="CRISTOBAL COLON 11364"/>
    <s v="CHIHUAHUA-CHIH"/>
    <n v="0"/>
    <s v="INTERIOR"/>
    <s v="  "/>
    <s v="&gt;60"/>
    <s v="Entry Mono Printers"/>
    <s v="A4"/>
    <s v="Ciudad principal"/>
    <s v="1-&gt;60"/>
    <n v="1"/>
    <n v="715.00000000000011"/>
    <n v="0"/>
    <n v="5"/>
    <n v="5"/>
    <n v="1"/>
    <n v="0"/>
    <n v="0"/>
    <d v="2019-04-24T00:00:00"/>
    <d v="2019-04-25T00:00:00"/>
    <n v="1"/>
    <s v="0-1 día"/>
    <n v="0"/>
    <n v="0"/>
    <n v="0"/>
    <n v="715.00000000000011"/>
  </r>
  <r>
    <s v="ABR-19"/>
    <n v="1"/>
    <s v="2029431"/>
    <s v="SR MANTENIMIENTO CORRECTIVO"/>
    <s v="4002"/>
    <s v="25/04/2019 07:22"/>
    <s v="09HB331430"/>
    <s v="800196"/>
    <s v="PITSS"/>
    <s v="ASP"/>
    <x v="6"/>
    <s v="VENEZUELA No 821"/>
    <s v="Guadalajara-JAL"/>
    <n v="1"/>
    <s v="INTERIOR"/>
    <n v="2702"/>
    <s v="&gt;60"/>
    <s v="A4 Mono MFPs"/>
    <s v="A4"/>
    <s v="Ciudad principal"/>
    <s v="1-&gt;60"/>
    <n v="1.05"/>
    <n v="0"/>
    <n v="1"/>
    <n v="0"/>
    <n v="5"/>
    <n v="0"/>
    <n v="0"/>
    <n v="0"/>
    <d v="2019-04-25T00:00:00"/>
    <d v="2019-04-25T00:00:00"/>
    <n v="0"/>
    <s v="0-1 día"/>
    <n v="0"/>
    <n v="0"/>
    <n v="0"/>
    <n v="0"/>
  </r>
  <r>
    <s v="ABR-19"/>
    <n v="1"/>
    <s v="2029523"/>
    <s v="SR MANTENIMIENTO PREVENTIVO"/>
    <s v="5867"/>
    <s v="25/04/2019 09:26"/>
    <s v="0EX7382605"/>
    <s v="500159"/>
    <s v="PITSS"/>
    <s v="ASP"/>
    <x v="30"/>
    <s v="CRISTOBAL COLON 11364"/>
    <s v="CHIHUAHUA-CHIH"/>
    <n v="0"/>
    <s v="INTERIOR"/>
    <s v="  "/>
    <s v="&gt;60"/>
    <s v="Office Digital"/>
    <s v="A3"/>
    <s v="Ciudad principal"/>
    <s v="2-&gt;60"/>
    <n v="1"/>
    <n v="1365"/>
    <n v="0"/>
    <n v="5"/>
    <n v="5"/>
    <n v="1"/>
    <n v="0"/>
    <n v="0"/>
    <d v="2019-04-25T00:00:00"/>
    <d v="2019-04-25T00:00:00"/>
    <n v="0"/>
    <s v="0-1 día"/>
    <n v="0"/>
    <n v="0"/>
    <n v="0"/>
    <n v="1365"/>
  </r>
  <r>
    <s v="ABR-19"/>
    <n v="1"/>
    <s v="2028473"/>
    <s v="SR MANTENIMIENTO CORRECTIVO"/>
    <s v="4002"/>
    <s v="23/04/2019 13:24"/>
    <s v="09HB325846"/>
    <s v="500094"/>
    <s v="PITSS"/>
    <s v="ASP"/>
    <x v="43"/>
    <s v="ESQUINA CALLE ABASOLO Y CARRETERA NACIONAL MEXICO-"/>
    <s v="Ciudad Valles-SLP"/>
    <n v="0"/>
    <s v="INTERIOR"/>
    <n v="369"/>
    <s v="&gt;60"/>
    <s v="A4 Mono MFPs"/>
    <s v="A4"/>
    <s v="Otras"/>
    <s v="1-&gt;60"/>
    <n v="1.05"/>
    <n v="750.75000000000011"/>
    <n v="1"/>
    <n v="5.0166666666666657"/>
    <n v="9"/>
    <n v="0.55740740740740735"/>
    <n v="0"/>
    <n v="0"/>
    <d v="2019-04-25T00:00:00"/>
    <d v="2019-04-25T00:00:00"/>
    <n v="0"/>
    <s v="0-1 día"/>
    <n v="0"/>
    <n v="0"/>
    <n v="0"/>
    <n v="750.75000000000011"/>
  </r>
  <r>
    <s v="ABR-19"/>
    <n v="1"/>
    <s v="2027595"/>
    <s v="SR MANTENIMIENTO CORRECTIVO"/>
    <s v="0070"/>
    <s v="22/04/2019 07:41"/>
    <s v="0E2B663679"/>
    <s v="800146"/>
    <s v="PITSS"/>
    <s v="ASP"/>
    <x v="14"/>
    <s v="BLV ADOLFO LOPEZ MATEOS 2009-B"/>
    <s v="LEON-GTO"/>
    <n v="0"/>
    <s v="INTERIOR"/>
    <n v="43"/>
    <s v="Entre 31 y 60"/>
    <s v="Entry Production Color Low/Mid"/>
    <s v="Entry Production"/>
    <s v="Ciudad principal"/>
    <s v="3-Entre 31 y 60"/>
    <n v="1.1000000000000001"/>
    <n v="1730.3000000000004"/>
    <n v="1"/>
    <n v="1.5"/>
    <n v="4"/>
    <n v="0.375"/>
    <n v="0"/>
    <n v="0"/>
    <d v="2019-04-24T00:00:00"/>
    <d v="2019-04-25T00:00:00"/>
    <n v="1"/>
    <s v="0-1 día"/>
    <n v="0"/>
    <n v="0"/>
    <n v="0"/>
    <n v="1730.3000000000004"/>
  </r>
  <r>
    <s v="ABR-19"/>
    <n v="1"/>
    <s v="2029601"/>
    <s v="SR MANTENIMIENTO PREVENTIVO"/>
    <s v="4603"/>
    <s v="25/04/2019 10:35"/>
    <s v="0XLT861011"/>
    <s v="500155"/>
    <s v="PITSS"/>
    <s v="ASP"/>
    <x v="30"/>
    <s v="AV FUENTES DEL SUR 7151"/>
    <s v="CIUDAD JUAREZ-CHIH"/>
    <n v="0"/>
    <s v="INTERIOR"/>
    <s v="  "/>
    <s v="&gt;60"/>
    <s v="Entry Mono Printers"/>
    <s v="A4"/>
    <s v="Ciudad principal"/>
    <s v="1-&gt;60"/>
    <n v="1"/>
    <n v="715.00000000000011"/>
    <n v="0"/>
    <n v="5"/>
    <n v="5"/>
    <n v="1"/>
    <n v="0"/>
    <n v="0"/>
    <d v="2019-04-25T00:00:00"/>
    <d v="2019-04-25T00:00:00"/>
    <n v="0"/>
    <s v="0-1 día"/>
    <n v="0"/>
    <n v="0"/>
    <n v="0"/>
    <n v="715.00000000000011"/>
  </r>
  <r>
    <s v="ABR-19"/>
    <n v="1"/>
    <s v="2027849"/>
    <s v="SR MANTENIMIENTO CORRECTIVO"/>
    <s v="6606"/>
    <s v="22/04/2019 11:58"/>
    <s v="0XL3583788"/>
    <s v="500157"/>
    <s v="PITSS"/>
    <s v="ASP"/>
    <x v="84"/>
    <s v="AV DE LAS TORRES No 2170"/>
    <s v="Ciudad Juarez-CHIH"/>
    <n v="0"/>
    <s v="INTERIOR"/>
    <n v="369"/>
    <s v="&gt;60"/>
    <s v="A4 Color Laser MFPs"/>
    <s v="A4"/>
    <s v="Ciudad principal"/>
    <s v="1-&gt;60"/>
    <n v="1.05"/>
    <n v="750.75000000000011"/>
    <n v="1"/>
    <n v="0"/>
    <n v="5"/>
    <n v="0"/>
    <n v="0"/>
    <n v="0"/>
    <d v="2019-04-25T00:00:00"/>
    <d v="2019-04-25T00:00:00"/>
    <n v="0"/>
    <s v="0-1 día"/>
    <n v="0"/>
    <n v="0"/>
    <n v="0"/>
    <n v="750.75000000000011"/>
  </r>
  <r>
    <s v="ABR-19"/>
    <n v="1"/>
    <s v="2028861"/>
    <s v="SR MANTENIMIENTO CORRECTIVO"/>
    <s v="3616"/>
    <s v="24/04/2019 09:24"/>
    <s v="0A2T382396"/>
    <s v="500159"/>
    <s v="PITSS"/>
    <s v="ASP"/>
    <x v="30"/>
    <s v="CRISTOBAL COLON 11364"/>
    <s v="CHIHUAHUA-CHIH"/>
    <n v="0"/>
    <s v="INTERIOR"/>
    <n v="428"/>
    <s v="&gt;60"/>
    <s v="A4 Mono MFPs"/>
    <s v="A4"/>
    <s v="Ciudad principal"/>
    <s v="1-&gt;60"/>
    <n v="1.05"/>
    <n v="750.75000000000011"/>
    <n v="1"/>
    <n v="0"/>
    <n v="5"/>
    <n v="0"/>
    <n v="0"/>
    <n v="0"/>
    <d v="2019-04-24T00:00:00"/>
    <d v="2019-04-25T00:00:00"/>
    <n v="1"/>
    <s v="0-1 día"/>
    <n v="0"/>
    <n v="0"/>
    <n v="0"/>
    <n v="750.75000000000011"/>
  </r>
  <r>
    <s v="ABR-19"/>
    <n v="1"/>
    <s v="2029561"/>
    <s v="SR MANTENIMIENTO CORRECTIVO"/>
    <s v="5866"/>
    <s v="25/04/2019 09:55"/>
    <s v="0EX9287045"/>
    <s v="800187"/>
    <s v="PITSS"/>
    <s v="ASP"/>
    <x v="14"/>
    <s v="AV 5 DE FEBRERO 9200"/>
    <s v="QUERETARO-QRO"/>
    <n v="0"/>
    <s v="INTERIOR"/>
    <n v="35"/>
    <s v="Entre 31 y 60"/>
    <s v="Departmental Digital"/>
    <s v="A3"/>
    <s v="Ciudad principal"/>
    <s v="2-Entre 31 y 60"/>
    <n v="1.05"/>
    <n v="1433.25"/>
    <n v="1"/>
    <n v="1.33"/>
    <n v="5"/>
    <n v="0.26600000000000001"/>
    <n v="0"/>
    <n v="0"/>
    <d v="2019-04-25T00:00:00"/>
    <d v="2019-04-25T00:00:00"/>
    <n v="0"/>
    <s v="0-1 día"/>
    <n v="0"/>
    <n v="0"/>
    <n v="0"/>
    <n v="1433.25"/>
  </r>
  <r>
    <s v="ABR-19"/>
    <n v="1"/>
    <s v="2027619"/>
    <s v="SR MANTENIMIENTO CORRECTIVO"/>
    <s v="4395"/>
    <s v="22/04/2019 08:12"/>
    <s v="0BG2939661"/>
    <s v="800110"/>
    <s v="PITSS"/>
    <s v="ASP"/>
    <x v="7"/>
    <s v="AV LAS PALMAS 1559 LOC SA-01"/>
    <s v="LAZARO CARDENAS-MICH"/>
    <n v="0"/>
    <s v="INTERIOR"/>
    <n v="42"/>
    <s v="Entre 31 y 60"/>
    <s v="Light Production Digital Business"/>
    <s v="Entry Production"/>
    <s v="Otras"/>
    <s v="3-Entre 31 y 60"/>
    <n v="1.1000000000000001"/>
    <n v="1730.3000000000004"/>
    <n v="1"/>
    <n v="11.53"/>
    <n v="6"/>
    <n v="1.9216666666666666"/>
    <n v="0.23041666666666666"/>
    <n v="-362.44541666666669"/>
    <d v="2019-04-25T00:00:00"/>
    <d v="2019-04-25T00:00:00"/>
    <n v="0"/>
    <s v="0-1 día"/>
    <n v="0"/>
    <n v="0"/>
    <n v="0"/>
    <n v="1367.8545833333337"/>
  </r>
  <r>
    <s v="ABR-19"/>
    <n v="1"/>
    <s v="2029615"/>
    <s v="SR MANTENIMIENTO CORRECTIVO"/>
    <s v="4395"/>
    <s v="25/04/2019 10:48"/>
    <s v="0BG2956972"/>
    <s v="800188"/>
    <s v="PITSS"/>
    <s v="ASP"/>
    <x v="80"/>
    <s v="AV MEXICO JAPON No 225"/>
    <s v="Celaya-GTO"/>
    <n v="0"/>
    <s v="INTERIOR"/>
    <n v="59"/>
    <s v="Entre 31 y 60"/>
    <s v="Light Production Digital Business"/>
    <s v="Entry Production"/>
    <s v="Ciudad principal"/>
    <s v="3-Entre 31 y 60"/>
    <n v="1.1000000000000001"/>
    <n v="1730.3000000000004"/>
    <n v="1"/>
    <n v="1.2"/>
    <n v="4"/>
    <n v="0.3"/>
    <n v="0"/>
    <n v="0"/>
    <d v="2019-04-25T00:00:00"/>
    <d v="2019-04-25T00:00:00"/>
    <n v="0"/>
    <s v="0-1 día"/>
    <n v="0"/>
    <n v="0"/>
    <n v="0"/>
    <n v="1730.3000000000004"/>
  </r>
  <r>
    <s v="ABR-19"/>
    <n v="1"/>
    <s v="2028797"/>
    <s v="SR MANTENIMIENTO CORRECTIVO"/>
    <s v="3335"/>
    <s v="24/04/2019 07:49"/>
    <s v="5BT705116"/>
    <s v="800186"/>
    <s v="PITSS"/>
    <s v="ASP"/>
    <x v="100"/>
    <s v="PROLONGACION CORREGIDORA No 306 LTE 11"/>
    <s v="Queretaro-QRO"/>
    <n v="0"/>
    <s v="INTERIOR"/>
    <n v="2701"/>
    <s v="&gt;60"/>
    <s v="A4 Mono MFPs"/>
    <s v="A4"/>
    <s v="Ciudad principal"/>
    <s v="1-&gt;60"/>
    <n v="1.05"/>
    <n v="750.75000000000011"/>
    <n v="1"/>
    <n v="5.25"/>
    <n v="5"/>
    <n v="1.05"/>
    <n v="1.2500000000000011E-2"/>
    <n v="-8.9375000000000089"/>
    <d v="2019-04-25T00:00:00"/>
    <d v="2019-04-25T00:00:00"/>
    <n v="0"/>
    <s v="0-1 día"/>
    <n v="0"/>
    <n v="0"/>
    <n v="0"/>
    <n v="741.81250000000011"/>
  </r>
  <r>
    <s v="ABR-19"/>
    <n v="1"/>
    <s v="2029729"/>
    <s v="SR MANTENIMIENTO CORRECTIVO"/>
    <s v="0560"/>
    <s v="25/04/2019 13:08"/>
    <s v="0XPN399178"/>
    <s v="800188"/>
    <s v="PITSS"/>
    <s v="ASP"/>
    <x v="7"/>
    <s v="TORRES LANDA 103 A"/>
    <s v="CELAYA-GTO"/>
    <n v="0"/>
    <s v="INTERIOR"/>
    <n v="59"/>
    <s v="Entre 31 y 60"/>
    <s v="Entry Production Color Low/Mid"/>
    <s v="Entry Production"/>
    <s v="Ciudad principal"/>
    <s v="3-Entre 31 y 60"/>
    <n v="1.1000000000000001"/>
    <n v="1730.3000000000004"/>
    <n v="1"/>
    <n v="0.37"/>
    <n v="4"/>
    <n v="9.2499999999999999E-2"/>
    <n v="0"/>
    <n v="0"/>
    <d v="2019-04-25T00:00:00"/>
    <d v="2019-04-25T00:00:00"/>
    <n v="0"/>
    <s v="0-1 día"/>
    <n v="0"/>
    <n v="0"/>
    <n v="0"/>
    <n v="1730.3000000000004"/>
  </r>
  <r>
    <s v="ABR-19"/>
    <n v="1"/>
    <s v="2026371"/>
    <s v="SR MANTENIMIENTO CORRECTIVO"/>
    <s v="7225"/>
    <s v="17/04/2019 14:25"/>
    <s v="0LX5825534"/>
    <s v="500157"/>
    <s v="PITSS"/>
    <s v="ASP"/>
    <x v="68"/>
    <s v="AV HERMANOS ESCOBAR No 6965 ESQ RAFAEL PEREZ SERNA"/>
    <s v="Ciudad Juarez-CHIH"/>
    <n v="0"/>
    <s v="INTERIOR"/>
    <n v="278"/>
    <s v="&gt;60"/>
    <s v="A3 Office Color Laser MFPs"/>
    <s v="A3"/>
    <s v="Ciudad principal"/>
    <s v="2-&gt;60"/>
    <n v="1.1000000000000001"/>
    <n v="1501.5000000000002"/>
    <n v="1"/>
    <n v="1.83"/>
    <n v="5"/>
    <n v="0.36599999999999999"/>
    <n v="0"/>
    <n v="0"/>
    <d v="2019-04-25T00:00:00"/>
    <d v="2019-04-25T00:00:00"/>
    <n v="0"/>
    <s v="0-1 día"/>
    <n v="0"/>
    <n v="0"/>
    <n v="0"/>
    <n v="1501.5000000000002"/>
  </r>
  <r>
    <s v="ABR-19"/>
    <n v="1"/>
    <s v="2019037"/>
    <s v="SR MANTENIMIENTO CORRECTIVO"/>
    <s v="6227"/>
    <s v="02/04/2019 17:41"/>
    <s v="P7A327292"/>
    <s v="800197"/>
    <s v="PITSS"/>
    <s v="ASP"/>
    <x v="101"/>
    <s v="SIERRA DE SANTA CATANA No 104"/>
    <s v="San Luis Potosi-SLP"/>
    <n v="0"/>
    <s v="INTERIOR"/>
    <n v="14"/>
    <s v="Entre 7 y 15"/>
    <s v="A4 Color Laser MFPs"/>
    <s v="A4"/>
    <s v="Ciudad principal"/>
    <s v="1-Entre 7 y 15"/>
    <n v="0"/>
    <n v="0"/>
    <n v="1"/>
    <n v="1.92"/>
    <n v="5"/>
    <n v="0.38400000000000001"/>
    <n v="0"/>
    <n v="0"/>
    <d v="2019-04-25T00:00:00"/>
    <d v="2019-04-25T00:00:00"/>
    <n v="0"/>
    <s v="0-1 día"/>
    <n v="0"/>
    <n v="0"/>
    <n v="0"/>
    <n v="0"/>
  </r>
  <r>
    <s v="ABR-19"/>
    <n v="1"/>
    <s v="2028415"/>
    <s v="SR MANTENIMIENTO CORRECTIVO"/>
    <s v="4002"/>
    <s v="23/04/2019 11:36"/>
    <s v="09HB331499"/>
    <s v="800147"/>
    <s v="PITSS"/>
    <s v="ASP"/>
    <x v="6"/>
    <s v="BLVD MARIANO ESCOBEDO No 4222"/>
    <s v="Leon-GTO"/>
    <n v="1"/>
    <s v="INTERIOR"/>
    <n v="2700"/>
    <s v="&gt;60"/>
    <s v="A4 Mono MFPs"/>
    <s v="A4"/>
    <s v="Ciudad principal"/>
    <s v="1-&gt;60"/>
    <n v="1.05"/>
    <n v="0"/>
    <n v="1"/>
    <n v="1.83"/>
    <n v="5"/>
    <n v="0.36599999999999999"/>
    <n v="0"/>
    <n v="0"/>
    <d v="2019-04-25T00:00:00"/>
    <d v="2019-04-25T00:00:00"/>
    <n v="0"/>
    <s v="0-1 día"/>
    <n v="0"/>
    <n v="0"/>
    <n v="0"/>
    <n v="0"/>
  </r>
  <r>
    <s v="ABR-19"/>
    <n v="1"/>
    <s v="2029027"/>
    <s v="SR MANTENIMIENTO CORRECTIVO"/>
    <s v="5866"/>
    <s v="24/04/2019 12:52"/>
    <s v="0EX9297582"/>
    <s v="500019"/>
    <s v="PITSS"/>
    <s v="ASP"/>
    <x v="7"/>
    <s v="BLV INDEPENDENCIA SN"/>
    <s v="TORREON-COAH"/>
    <n v="0"/>
    <s v="INTERIOR"/>
    <n v="102"/>
    <s v="&gt;60"/>
    <s v="Departmental Digital"/>
    <s v="A3"/>
    <s v="Otras"/>
    <s v="2-&gt;60"/>
    <n v="1.1000000000000001"/>
    <n v="1501.5000000000002"/>
    <n v="1"/>
    <n v="1.3"/>
    <n v="9"/>
    <n v="0.14444444444444446"/>
    <n v="0"/>
    <n v="0"/>
    <d v="2019-04-25T00:00:00"/>
    <d v="2019-04-25T00:00:00"/>
    <n v="0"/>
    <s v="0-1 día"/>
    <n v="0"/>
    <n v="0"/>
    <n v="0"/>
    <n v="1501.5000000000002"/>
  </r>
  <r>
    <s v="ABR-19"/>
    <n v="1"/>
    <s v="2029469"/>
    <s v="SR MANTENIMIENTO CORRECTIVO"/>
    <s v="6705"/>
    <s v="25/04/2019 08:12"/>
    <s v="0A1H022379"/>
    <s v="500161"/>
    <s v="PITSS"/>
    <s v="ASP"/>
    <x v="14"/>
    <s v="NORTE MIRADOR E INDIANA CC HIPERPLAZA No 3300"/>
    <s v="Chihuahua-CHIH"/>
    <n v="0"/>
    <s v="INTERIOR"/>
    <n v="185"/>
    <s v="&gt;60"/>
    <s v="WF Mono Systems and Legacy Color"/>
    <s v="WF"/>
    <s v="Ciudad principal"/>
    <s v="3-&gt;60"/>
    <n v="1.1499999999999999"/>
    <n v="1808.95"/>
    <n v="1"/>
    <n v="2"/>
    <n v="4"/>
    <n v="0.5"/>
    <n v="0"/>
    <n v="0"/>
    <d v="2019-04-25T00:00:00"/>
    <d v="2019-04-25T00:00:00"/>
    <n v="0"/>
    <s v="0-1 día"/>
    <n v="0"/>
    <n v="0"/>
    <n v="0"/>
    <n v="1808.95"/>
  </r>
  <r>
    <s v="ABR-19"/>
    <n v="1"/>
    <s v="2025561"/>
    <s v="SR MANTENIMIENTO CORRECTIVO"/>
    <s v="7512"/>
    <s v="16/04/2019 10:47"/>
    <s v="0RXD138972"/>
    <s v="500018"/>
    <s v="PITSS"/>
    <s v="ASP"/>
    <x v="40"/>
    <s v="GRAL MARIANO ARISTA 54 B 21"/>
    <s v="MIGUEL HIDALGO-CIUDA"/>
    <n v="0"/>
    <s v="INTERIOR"/>
    <n v="55"/>
    <s v="Entre 31 y 60"/>
    <s v="Color Laser Printers"/>
    <s v="A4"/>
    <s v="Ciudad principal"/>
    <s v="1-Entre 31 y 60"/>
    <n v="0.8"/>
    <n v="572.00000000000011"/>
    <n v="1"/>
    <n v="0.89"/>
    <n v="5"/>
    <n v="0.17799999999999999"/>
    <n v="0"/>
    <n v="0"/>
    <d v="2019-04-25T00:00:00"/>
    <d v="2019-04-25T00:00:00"/>
    <n v="0"/>
    <s v="0-1 día"/>
    <n v="0"/>
    <n v="0"/>
    <n v="0"/>
    <n v="572.00000000000011"/>
  </r>
  <r>
    <s v="ABR-19"/>
    <n v="1"/>
    <s v="2029475"/>
    <s v="SR MANTENIMIENTO CORRECTIVO"/>
    <s v="4395"/>
    <s v="25/04/2019 08:24"/>
    <s v="0BG2949291"/>
    <s v="800188"/>
    <s v="PITSS"/>
    <s v="ASP"/>
    <x v="7"/>
    <s v="TORRES LANDA 103 A"/>
    <s v="CELAYA-GTO"/>
    <n v="0"/>
    <s v="INTERIOR"/>
    <n v="17"/>
    <s v="Entre 16 y 30"/>
    <s v="Light Production Digital Business"/>
    <s v="Entry Production"/>
    <s v="Ciudad principal"/>
    <s v="3-Entre 16 y 30"/>
    <n v="1.05"/>
    <n v="1651.6500000000003"/>
    <n v="1"/>
    <n v="2.5"/>
    <n v="4"/>
    <n v="0.625"/>
    <n v="0"/>
    <n v="0"/>
    <d v="2019-04-25T00:00:00"/>
    <d v="2019-04-25T00:00:00"/>
    <n v="0"/>
    <s v="0-1 día"/>
    <n v="0"/>
    <n v="0"/>
    <n v="0"/>
    <n v="1651.6500000000003"/>
  </r>
  <r>
    <s v="ABR-19"/>
    <n v="1"/>
    <s v="2029563"/>
    <s v="SR MANTENIMIENTO CORRECTIVO"/>
    <s v="8075"/>
    <s v="25/04/2019 10:00"/>
    <s v="03AG879434"/>
    <s v="800187"/>
    <s v="PITSS"/>
    <s v="ASP"/>
    <x v="14"/>
    <s v="AV 5 DE FEBRERO 9200"/>
    <s v="QUERETARO-QRO"/>
    <n v="0"/>
    <s v="INTERIOR"/>
    <n v="31"/>
    <s v="Entre 31 y 60"/>
    <s v="Departmental Digital"/>
    <s v="A3"/>
    <s v="Ciudad principal"/>
    <s v="2-Entre 31 y 60"/>
    <n v="1.05"/>
    <n v="1433.25"/>
    <n v="1"/>
    <n v="2"/>
    <n v="5"/>
    <n v="0.4"/>
    <n v="0"/>
    <n v="0"/>
    <d v="2019-04-25T00:00:00"/>
    <d v="2019-04-25T00:00:00"/>
    <n v="0"/>
    <s v="0-1 día"/>
    <n v="0"/>
    <n v="0"/>
    <n v="0"/>
    <n v="1433.25"/>
  </r>
  <r>
    <s v="ABR-19"/>
    <n v="1"/>
    <s v="2029645"/>
    <s v="SR MANTENIMIENTO CORRECTIVO"/>
    <s v="4002"/>
    <s v="25/04/2019 11:15"/>
    <s v="09HB331482"/>
    <s v="800072"/>
    <s v="PITSS"/>
    <s v="ASP"/>
    <x v="6"/>
    <s v="ABASOLO No 92"/>
    <s v="Tala-JAL"/>
    <n v="1"/>
    <s v="INTERIOR"/>
    <n v="71"/>
    <s v="&gt;60"/>
    <s v="A4 Mono MFPs"/>
    <s v="A4"/>
    <s v="Otras"/>
    <s v="1-&gt;60"/>
    <n v="1.05"/>
    <n v="0"/>
    <n v="1"/>
    <n v="2.08"/>
    <n v="9"/>
    <n v="0.23111111111111113"/>
    <n v="0"/>
    <n v="0"/>
    <d v="2019-04-25T00:00:00"/>
    <d v="2019-04-25T00:00:00"/>
    <n v="0"/>
    <s v="0-1 día"/>
    <n v="0"/>
    <n v="0"/>
    <n v="0"/>
    <n v="0"/>
  </r>
  <r>
    <s v="ABR-19"/>
    <n v="1"/>
    <s v="2029759"/>
    <s v="SR MANTENIMIENTO CORRECTIVO"/>
    <s v="4624"/>
    <s v="25/04/2019 13:41"/>
    <s v="0D6X469471"/>
    <s v="500155"/>
    <s v="PITSS"/>
    <s v="ASP"/>
    <x v="3"/>
    <s v="RAFAEL PEREZ SERNA Y HENRY DUNANT"/>
    <s v="CIUDAD JUAREZ-CHIH"/>
    <n v="0"/>
    <s v="INTERIOR"/>
    <n v="336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4-25T00:00:00"/>
    <d v="2019-04-25T00:00:00"/>
    <n v="0"/>
    <s v="0-1 día"/>
    <n v="0"/>
    <n v="0"/>
    <n v="0"/>
    <n v="750.75000000000011"/>
  </r>
  <r>
    <s v="ABR-19"/>
    <n v="1"/>
    <s v="2029589"/>
    <s v="SR MANTENIMIENTO CORRECTIVO"/>
    <s v="5757"/>
    <s v="25/04/2019 10:30"/>
    <s v="0Y2B003348"/>
    <s v="500080"/>
    <s v="PITSS"/>
    <s v="ASP"/>
    <x v="0"/>
    <s v="HEROICO COLEGIO MILITAR No 4700"/>
    <s v="Chihuahua-CHIH"/>
    <n v="0"/>
    <s v="INTERIOR"/>
    <n v="42"/>
    <s v="Entre 31 y 60"/>
    <s v="Departmental Digital"/>
    <s v="A3"/>
    <s v="Ciudad principal"/>
    <s v="2-Entre 31 y 60"/>
    <n v="1.05"/>
    <n v="1433.25"/>
    <n v="1"/>
    <n v="0"/>
    <n v="5"/>
    <n v="0"/>
    <n v="0"/>
    <n v="0"/>
    <d v="2019-04-25T00:00:00"/>
    <d v="2019-04-25T00:00:00"/>
    <n v="0"/>
    <s v="0-1 día"/>
    <n v="0"/>
    <n v="0"/>
    <n v="0"/>
    <n v="1433.25"/>
  </r>
  <r>
    <s v="ABR-19"/>
    <n v="1"/>
    <s v="2020617"/>
    <s v="SR MANTENIMIENTO CORRECTIVO"/>
    <s v="8880"/>
    <s v="05/04/2019 11:09"/>
    <s v="0T4B035507"/>
    <s v="800072"/>
    <s v="PITSS"/>
    <s v="ASP"/>
    <x v="48"/>
    <s v="CARRETERA BASE AEREA No 5850-23"/>
    <s v="Zapopan-JAL"/>
    <n v="0"/>
    <s v="INTERIOR"/>
    <n v="28"/>
    <s v="Entre 16 y 30"/>
    <s v="Color Solid Ink Printers"/>
    <s v="A4"/>
    <s v="Ciudad principal"/>
    <s v="1-Entre 16 y 30"/>
    <n v="0.6"/>
    <n v="429.00000000000006"/>
    <n v="1"/>
    <n v="2.85"/>
    <n v="5"/>
    <n v="0.57000000000000006"/>
    <n v="0"/>
    <n v="0"/>
    <d v="2019-04-25T00:00:00"/>
    <d v="2019-04-25T00:00:00"/>
    <n v="0"/>
    <s v="0-1 día"/>
    <n v="0"/>
    <n v="0"/>
    <n v="0"/>
    <n v="429.00000000000006"/>
  </r>
  <r>
    <s v="ABR-19"/>
    <n v="1"/>
    <s v="2026405"/>
    <s v="SR MANTENIMIENTO CORRECTIVO"/>
    <s v="3636"/>
    <s v="17/04/2019 15:26"/>
    <s v="0LBP256981"/>
    <s v="800186"/>
    <s v="PITSS"/>
    <s v="ASP"/>
    <x v="2"/>
    <s v="AV CONSTITUYENTES 123 Y 125"/>
    <s v="QUERETARO-QRO"/>
    <n v="0"/>
    <s v="INTERIOR"/>
    <n v="68"/>
    <s v="&gt;60"/>
    <s v="A4 Mono MFPs"/>
    <s v="A4"/>
    <s v="Ciudad principal"/>
    <s v="1-&gt;60"/>
    <n v="1.05"/>
    <n v="750.75000000000011"/>
    <n v="1"/>
    <n v="2.0699999999999998"/>
    <n v="5"/>
    <n v="0.41399999999999998"/>
    <n v="0"/>
    <n v="0"/>
    <d v="2019-04-25T00:00:00"/>
    <d v="2019-04-25T00:00:00"/>
    <n v="0"/>
    <s v="0-1 día"/>
    <n v="0"/>
    <n v="0"/>
    <n v="0"/>
    <n v="750.75000000000011"/>
  </r>
  <r>
    <s v="ABR-19"/>
    <n v="1"/>
    <s v="2029735"/>
    <s v="SR MANTENIMIENTO CORRECTIVO"/>
    <s v="5945"/>
    <s v="25/04/2019 13:14"/>
    <s v="0X76372785"/>
    <s v="500093"/>
    <s v="PITSS"/>
    <s v="ASP"/>
    <x v="57"/>
    <s v="AV DE LAS FABRICAS No 5939"/>
    <s v="Nuevo Laredo-TAM"/>
    <n v="0"/>
    <s v="INTERIOR"/>
    <n v="42"/>
    <s v="Entre 31 y 60"/>
    <s v="Office Digital"/>
    <s v="A3"/>
    <s v="Ciudad principal"/>
    <s v="2-Entre 31 y 60"/>
    <n v="1.05"/>
    <n v="1433.25"/>
    <n v="1"/>
    <n v="2.15"/>
    <n v="5"/>
    <n v="0.43"/>
    <n v="0"/>
    <n v="0"/>
    <d v="2019-04-25T00:00:00"/>
    <d v="2019-04-25T00:00:00"/>
    <n v="0"/>
    <s v="0-1 día"/>
    <n v="0"/>
    <n v="0"/>
    <n v="0"/>
    <n v="1433.25"/>
  </r>
  <r>
    <s v="ABR-19"/>
    <n v="1"/>
    <s v="2028837"/>
    <s v="SR MANTENIMIENTO CORRECTIVO"/>
    <s v="0070"/>
    <s v="24/04/2019 08:58"/>
    <s v="0E2B665653"/>
    <s v="800192"/>
    <s v="PITSS"/>
    <s v="ASP"/>
    <x v="14"/>
    <s v="AV VALLE DE SAN ISIDRO 530"/>
    <s v="ZAPOPAN-JAL"/>
    <n v="0"/>
    <s v="INTERIOR"/>
    <n v="7"/>
    <s v="Entre 7 y 15"/>
    <s v="Entry Production Color Low/Mid"/>
    <s v="Entry Production"/>
    <s v="Ciudad principal"/>
    <s v="3-Entre 7 y 15"/>
    <n v="0.8"/>
    <n v="1258.4000000000003"/>
    <n v="1"/>
    <n v="3.28"/>
    <n v="4"/>
    <n v="0.82"/>
    <n v="0"/>
    <n v="0"/>
    <d v="2019-04-25T00:00:00"/>
    <d v="2019-04-25T00:00:00"/>
    <n v="0"/>
    <s v="0-1 día"/>
    <n v="0"/>
    <n v="0"/>
    <n v="0"/>
    <n v="1258.4000000000003"/>
  </r>
  <r>
    <s v="ABR-19"/>
    <n v="1"/>
    <s v="2029809"/>
    <s v="SR MANTENIMIENTO CORRECTIVO"/>
    <s v="5945"/>
    <s v="25/04/2019 14:45"/>
    <s v="0X76706451"/>
    <s v="500155"/>
    <s v="PITSS"/>
    <s v="ASP"/>
    <x v="30"/>
    <s v="AV VALLE DEL CEDRO 1681"/>
    <s v="Ciudad Juarez-CHIH"/>
    <n v="0"/>
    <s v="INTERIOR"/>
    <n v="723"/>
    <s v="&gt;60"/>
    <s v="Office Digital"/>
    <s v="A3"/>
    <s v="Ciudad principal"/>
    <s v="2-&gt;60"/>
    <n v="1.1000000000000001"/>
    <n v="1501.5000000000002"/>
    <n v="1"/>
    <n v="0.75"/>
    <n v="5"/>
    <n v="0.15"/>
    <n v="0"/>
    <n v="0"/>
    <d v="2019-04-25T00:00:00"/>
    <d v="2019-04-25T00:00:00"/>
    <n v="0"/>
    <s v="0-1 día"/>
    <n v="0"/>
    <n v="0"/>
    <n v="0"/>
    <n v="1501.5000000000002"/>
  </r>
  <r>
    <s v="ABR-19"/>
    <n v="1"/>
    <s v="2029831"/>
    <s v="SR MANTENIMIENTO CORRECTIVO"/>
    <s v="7845"/>
    <s v="25/04/2019 15:20"/>
    <s v="0MX4777366"/>
    <s v="500158"/>
    <s v="PITSS"/>
    <s v="ASP"/>
    <x v="68"/>
    <s v="AV DEL CHARRO No 1750 NTE"/>
    <s v="Ciudad Juarez-CHIH"/>
    <n v="0"/>
    <s v="INTERIOR"/>
    <n v="185"/>
    <s v="&gt;60"/>
    <s v="A3 Office Color Laser MFPs"/>
    <s v="A3"/>
    <s v="Ciudad principal"/>
    <s v="2-&gt;60"/>
    <n v="1.1000000000000001"/>
    <n v="1501.5000000000002"/>
    <n v="1"/>
    <n v="0.92"/>
    <n v="5"/>
    <n v="0.184"/>
    <n v="0"/>
    <n v="0"/>
    <d v="2019-04-25T00:00:00"/>
    <d v="2019-04-25T00:00:00"/>
    <n v="0"/>
    <s v="0-1 día"/>
    <n v="0"/>
    <n v="0"/>
    <n v="0"/>
    <n v="1501.5000000000002"/>
  </r>
  <r>
    <s v="ABR-19"/>
    <n v="1"/>
    <s v="2029033"/>
    <s v="SR MANTENIMIENTO CORRECTIVO"/>
    <s v="4395"/>
    <s v="24/04/2019 13:06"/>
    <s v="0BG2947161"/>
    <s v="500066"/>
    <s v="PITSS"/>
    <s v="ASP"/>
    <x v="7"/>
    <s v="MISSISIPI 152 LOC 206"/>
    <s v="SAN PEDRO GARZA GARC"/>
    <n v="0"/>
    <s v="INTERIOR"/>
    <n v="58"/>
    <s v="Entre 31 y 60"/>
    <s v="Light Production Digital Business"/>
    <s v="Entry Production"/>
    <s v="Ciudad principal"/>
    <s v="3-Entre 31 y 60"/>
    <n v="1.1000000000000001"/>
    <n v="1730.3000000000004"/>
    <n v="1"/>
    <n v="1.85"/>
    <n v="4"/>
    <n v="0.46250000000000002"/>
    <n v="0"/>
    <n v="0"/>
    <d v="2019-04-25T00:00:00"/>
    <d v="2019-04-25T00:00:00"/>
    <n v="0"/>
    <s v="0-1 día"/>
    <n v="0"/>
    <n v="0"/>
    <n v="0"/>
    <n v="1730.3000000000004"/>
  </r>
  <r>
    <s v="ABR-19"/>
    <n v="1"/>
    <s v="2028433"/>
    <s v="SR MANTENIMIENTO CORRECTIVO"/>
    <s v="3657"/>
    <s v="23/04/2019 12:13"/>
    <s v="0C7X246862"/>
    <s v="500080"/>
    <s v="PITSS"/>
    <s v="ASP"/>
    <x v="15"/>
    <s v="PASEO BOLIVAR No 1000"/>
    <s v="Chihuahua-CHIH"/>
    <n v="0"/>
    <s v="INTERIOR"/>
    <n v="85"/>
    <s v="&gt;60"/>
    <s v="A4 Mono MFPs"/>
    <s v="A4"/>
    <s v="Ciudad principal"/>
    <s v="1-&gt;60"/>
    <n v="1.05"/>
    <n v="750.75000000000011"/>
    <n v="1"/>
    <n v="0.53"/>
    <n v="5"/>
    <n v="0.10600000000000001"/>
    <n v="0"/>
    <n v="0"/>
    <d v="2019-04-25T00:00:00"/>
    <d v="2019-04-25T00:00:00"/>
    <n v="0"/>
    <s v="0-1 día"/>
    <n v="0"/>
    <n v="0"/>
    <n v="0"/>
    <n v="750.75000000000011"/>
  </r>
  <r>
    <s v="ABR-19"/>
    <n v="1"/>
    <s v="2028215"/>
    <s v="SR MANTENIMIENTO CORRECTIVO"/>
    <s v="3657"/>
    <s v="23/04/2019 08:20"/>
    <s v="0C7X225095"/>
    <s v="100038"/>
    <s v="PITSS"/>
    <s v="ASP"/>
    <x v="75"/>
    <s v="RODOLFO PADRON No 9"/>
    <s v="Mexico-MEX"/>
    <n v="0"/>
    <s v="INTERIOR"/>
    <n v="69"/>
    <s v="&gt;60"/>
    <s v="A4 Mono MFPs"/>
    <s v="A4"/>
    <s v="Ciudad principal"/>
    <s v="1-&gt;60"/>
    <n v="1.05"/>
    <n v="750.75000000000011"/>
    <n v="1"/>
    <n v="2.5"/>
    <n v="5"/>
    <n v="0.5"/>
    <n v="0"/>
    <n v="0"/>
    <d v="2019-04-25T00:00:00"/>
    <d v="2019-04-25T00:00:00"/>
    <n v="0"/>
    <s v="0-1 día"/>
    <n v="0"/>
    <n v="0"/>
    <n v="0"/>
    <n v="750.75000000000011"/>
  </r>
  <r>
    <s v="ABR-19"/>
    <n v="1"/>
    <s v="2029859"/>
    <s v="SR MANTENIMIENTO CORRECTIVO"/>
    <s v="0070"/>
    <s v="25/04/2019 16:03"/>
    <s v="0E2B664332"/>
    <s v="800146"/>
    <s v="PITSS"/>
    <s v="ASP"/>
    <x v="14"/>
    <s v="BLVD ADOLFO LOPEZ MATEOS 2540"/>
    <s v="LEON-GTO"/>
    <n v="0"/>
    <s v="INTERIOR"/>
    <n v="44"/>
    <s v="Entre 31 y 60"/>
    <s v="Entry Production Color Low/Mid"/>
    <s v="Entry Production"/>
    <s v="Ciudad principal"/>
    <s v="3-Entre 31 y 60"/>
    <n v="1.1000000000000001"/>
    <n v="1730.3000000000004"/>
    <n v="1"/>
    <n v="1.1200000000000001"/>
    <n v="4"/>
    <n v="0.28000000000000003"/>
    <n v="0"/>
    <n v="0"/>
    <d v="2019-04-25T00:00:00"/>
    <d v="2019-04-25T00:00:00"/>
    <n v="0"/>
    <s v="0-1 día"/>
    <n v="0"/>
    <n v="0"/>
    <n v="0"/>
    <n v="1730.3000000000004"/>
  </r>
  <r>
    <s v="ABR-19"/>
    <n v="1"/>
    <s v="2029855"/>
    <s v="SR MANTENIMIENTO CORRECTIVO"/>
    <s v="8075"/>
    <s v="25/04/2019 15:57"/>
    <s v="03AG880377"/>
    <s v="800146"/>
    <s v="PITSS"/>
    <s v="ASP"/>
    <x v="14"/>
    <s v="BLVD ADOLFO LOPEZ MATEOS 2540"/>
    <s v="LEON-GTO"/>
    <n v="0"/>
    <s v="INTERIOR"/>
    <n v="21"/>
    <s v="Entre 16 y 30"/>
    <s v="Departmental Digital"/>
    <s v="A3"/>
    <s v="Ciudad principal"/>
    <s v="2-Entre 16 y 30"/>
    <n v="0.8"/>
    <n v="1092"/>
    <n v="1"/>
    <n v="0.55000000000000004"/>
    <n v="5"/>
    <n v="0.11000000000000001"/>
    <n v="0"/>
    <n v="0"/>
    <d v="2019-04-25T00:00:00"/>
    <d v="2019-04-25T00:00:00"/>
    <n v="0"/>
    <s v="0-1 día"/>
    <n v="0"/>
    <n v="0"/>
    <n v="0"/>
    <n v="1092"/>
  </r>
  <r>
    <s v="ABR-19"/>
    <n v="1"/>
    <s v="2029863"/>
    <s v="SR MANTENIMIENTO CORRECTIVO"/>
    <s v="6705"/>
    <s v="25/04/2019 16:06"/>
    <s v="0A1H022151"/>
    <s v="800147"/>
    <s v="PITSS"/>
    <s v="ASP"/>
    <x v="14"/>
    <s v="BLVD ADOLFO LOPEZ MATEOS 2540"/>
    <s v="LEON-GTO"/>
    <n v="0"/>
    <s v="INTERIOR"/>
    <n v="49"/>
    <s v="Entre 31 y 60"/>
    <s v="WF Mono Systems and Legacy Color"/>
    <s v="WF"/>
    <s v="Ciudad principal"/>
    <s v="3-Entre 31 y 60"/>
    <n v="1.1000000000000001"/>
    <n v="1730.3000000000004"/>
    <n v="1"/>
    <n v="1.4"/>
    <n v="4"/>
    <n v="0.35"/>
    <n v="0"/>
    <n v="0"/>
    <d v="2019-04-26T00:00:00"/>
    <d v="2019-04-26T00:00:00"/>
    <n v="0"/>
    <s v="0-1 día"/>
    <n v="0"/>
    <n v="0"/>
    <n v="0"/>
    <n v="1730.3000000000004"/>
  </r>
  <r>
    <s v="ABR-19"/>
    <n v="1"/>
    <s v="2028565"/>
    <s v="SR MANTENIMIENTO CORRECTIVO"/>
    <s v="5866"/>
    <s v="23/04/2019 16:31"/>
    <s v="0EX9297293"/>
    <s v="500168"/>
    <s v="PITSS"/>
    <s v="ASP"/>
    <x v="7"/>
    <s v="HAROLD R PAPE MANZANA 31 NO 1910"/>
    <s v="Monclova-COAH"/>
    <n v="0"/>
    <s v="INTERIOR"/>
    <n v="25"/>
    <s v="Entre 16 y 30"/>
    <s v="Departmental Digital"/>
    <s v="A3"/>
    <s v="Ciudad principal"/>
    <s v="2-Entre 16 y 30"/>
    <n v="0.8"/>
    <n v="1092"/>
    <n v="1"/>
    <n v="0.98"/>
    <n v="5"/>
    <n v="0.19600000000000001"/>
    <n v="0"/>
    <n v="0"/>
    <d v="2019-04-24T00:00:00"/>
    <d v="2019-04-26T00:00:00"/>
    <n v="2"/>
    <s v="2-3 días"/>
    <n v="0.25"/>
    <n v="-341.25"/>
    <n v="0"/>
    <n v="1092"/>
  </r>
  <r>
    <s v="ABR-19"/>
    <n v="1"/>
    <s v="2027755"/>
    <s v="SR MANTENIMIENTO CORRECTIVO"/>
    <s v="4395"/>
    <s v="22/04/2019 10:37"/>
    <s v="0BG2947501"/>
    <s v="800110"/>
    <s v="PITSS"/>
    <s v="ASP"/>
    <x v="7"/>
    <s v="CALZ DE LA HUERTA 2799"/>
    <s v="MORELIA-MICH"/>
    <n v="0"/>
    <s v="INTERIOR"/>
    <n v="70"/>
    <s v="&gt;60"/>
    <s v="Light Production Digital Business"/>
    <s v="Entry Production"/>
    <s v="Ciudad principal"/>
    <s v="3-&gt;60"/>
    <n v="1.1499999999999999"/>
    <n v="1808.95"/>
    <n v="1"/>
    <n v="3.23"/>
    <n v="4"/>
    <n v="0.8075"/>
    <n v="0"/>
    <n v="0"/>
    <d v="2019-04-26T00:00:00"/>
    <d v="2019-04-26T00:00:00"/>
    <n v="0"/>
    <s v="0-1 día"/>
    <n v="0"/>
    <n v="0"/>
    <n v="0"/>
    <n v="1808.95"/>
  </r>
  <r>
    <s v="ABR-19"/>
    <n v="1"/>
    <s v="2029881"/>
    <s v="SR MANTENIMIENTO CORRECTIVO"/>
    <s v="4002"/>
    <s v="25/04/2019 16:53"/>
    <s v="09HB321576"/>
    <s v="500066"/>
    <s v="PITSS"/>
    <s v="ASP"/>
    <x v="10"/>
    <s v="5 DE MAYO 315 OTE Y GALEANA"/>
    <s v="MONTERREY-NL"/>
    <n v="0"/>
    <s v="INTERIOR"/>
    <n v="94"/>
    <s v="&gt;60"/>
    <s v="A4 Mono MFPs"/>
    <s v="A4"/>
    <s v="Ciudad principal"/>
    <s v="1-&gt;60"/>
    <n v="1.05"/>
    <n v="750.75000000000011"/>
    <n v="1"/>
    <n v="1.1200000000000001"/>
    <n v="5"/>
    <n v="0.22400000000000003"/>
    <n v="0"/>
    <n v="0"/>
    <d v="2019-04-26T00:00:00"/>
    <d v="2019-04-26T00:00:00"/>
    <n v="0"/>
    <s v="0-1 día"/>
    <n v="0"/>
    <n v="0"/>
    <n v="0"/>
    <n v="750.75000000000011"/>
  </r>
  <r>
    <s v="ABR-19"/>
    <n v="1"/>
    <s v="2029857"/>
    <s v="SR MANTENIMIENTO CORRECTIVO"/>
    <s v="5866"/>
    <s v="25/04/2019 16:01"/>
    <s v="0EX9293159"/>
    <s v="800147"/>
    <s v="PITSS"/>
    <s v="ASP"/>
    <x v="14"/>
    <s v="BLVD ADOLFO LOPEZ MATEOS 2540"/>
    <s v="LEON-GTO"/>
    <n v="0"/>
    <s v="INTERIOR"/>
    <n v="10"/>
    <s v="Entre 7 y 15"/>
    <s v="Departmental Digital"/>
    <s v="A3"/>
    <s v="Ciudad principal"/>
    <s v="2-Entre 7 y 15"/>
    <n v="0.6"/>
    <n v="819"/>
    <n v="1"/>
    <n v="1.48"/>
    <n v="5"/>
    <n v="0.29599999999999999"/>
    <n v="0"/>
    <n v="0"/>
    <d v="2019-04-26T00:00:00"/>
    <d v="2019-04-26T00:00:00"/>
    <n v="0"/>
    <s v="0-1 día"/>
    <n v="0"/>
    <n v="0"/>
    <n v="0"/>
    <n v="819"/>
  </r>
  <r>
    <s v="ABR-19"/>
    <n v="1"/>
    <s v="2029861"/>
    <s v="SR MANTENIMIENTO PREVENTIVO"/>
    <s v="3616"/>
    <s v="25/04/2019 16:07"/>
    <s v="0A2T382394"/>
    <s v="500159"/>
    <s v="PITSS"/>
    <s v="ASP"/>
    <x v="30"/>
    <s v="AV VICTOR HUGO No 11517"/>
    <s v="Chihuahua-CHIH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4-25T00:00:00"/>
    <d v="2019-04-26T00:00:00"/>
    <n v="1"/>
    <s v="0-1 día"/>
    <n v="0"/>
    <n v="0"/>
    <n v="0"/>
    <n v="715.00000000000011"/>
  </r>
  <r>
    <s v="ABR-19"/>
    <n v="1"/>
    <s v="2029755"/>
    <s v="SR MANTENIMIENTO CORRECTIVO"/>
    <s v="3601"/>
    <s v="25/04/2019 13:37"/>
    <s v="0MHB903219"/>
    <s v="800186"/>
    <s v="PITSS"/>
    <s v="ASP"/>
    <x v="47"/>
    <s v="AUTOPISTA QUERETARO CELAYA KM 16 SN"/>
    <s v="Guanajuato-GTO"/>
    <n v="0"/>
    <s v="INTERIOR"/>
    <n v="108"/>
    <s v="&gt;60"/>
    <s v="Entry Mono Printers"/>
    <s v="A4"/>
    <s v="Ciudad principal"/>
    <s v="1-&gt;60"/>
    <n v="1.05"/>
    <n v="750.75000000000011"/>
    <n v="1"/>
    <n v="3.88"/>
    <n v="5"/>
    <n v="0.77600000000000002"/>
    <n v="0"/>
    <n v="0"/>
    <d v="2019-04-26T00:00:00"/>
    <d v="2019-04-26T00:00:00"/>
    <n v="0"/>
    <s v="0-1 día"/>
    <n v="0"/>
    <n v="0"/>
    <n v="0"/>
    <n v="750.75000000000011"/>
  </r>
  <r>
    <s v="ABR-19"/>
    <n v="1"/>
    <s v="2030049"/>
    <s v="SR MANTENIMIENTO CORRECTIVO"/>
    <s v="4002"/>
    <s v="26/04/2019 09:23"/>
    <s v="09HB321623"/>
    <s v="500066"/>
    <s v="PITSS"/>
    <s v="ASP"/>
    <x v="10"/>
    <s v="NAHUA 333"/>
    <s v="GUADALUPE-NL"/>
    <n v="0"/>
    <s v="INTERIOR"/>
    <n v="84"/>
    <s v="&gt;60"/>
    <s v="A4 Mono MFPs"/>
    <s v="A4"/>
    <s v="Ciudad principal"/>
    <s v="1-&gt;60"/>
    <n v="1.05"/>
    <n v="750.75000000000011"/>
    <n v="1"/>
    <n v="0.09"/>
    <n v="5"/>
    <n v="1.7999999999999999E-2"/>
    <n v="0"/>
    <n v="0"/>
    <d v="2019-04-26T00:00:00"/>
    <d v="2019-04-26T00:00:00"/>
    <n v="0"/>
    <s v="0-1 día"/>
    <n v="0"/>
    <n v="0"/>
    <n v="0"/>
    <n v="750.75000000000011"/>
  </r>
  <r>
    <s v="ABR-19"/>
    <n v="1"/>
    <s v="2030043"/>
    <s v="SR MANTENIMIENTO CORRECTIVO"/>
    <s v="4002"/>
    <s v="26/04/2019 09:22"/>
    <s v="09HB915866"/>
    <s v="800188"/>
    <s v="PITSS"/>
    <s v="ASP"/>
    <x v="27"/>
    <s v="Av De los Insurgentes  2604 Loc B5"/>
    <s v="Irapuato-GTO"/>
    <n v="0"/>
    <s v="INTERIOR"/>
    <n v="2"/>
    <s v="&lt;=3"/>
    <s v="A4 Mono MFPs"/>
    <s v="A4"/>
    <s v="Ciudad principal"/>
    <s v="1-&lt;=3"/>
    <n v="0"/>
    <n v="0"/>
    <n v="1"/>
    <n v="0.63"/>
    <n v="5"/>
    <n v="0.126"/>
    <n v="0"/>
    <n v="0"/>
    <d v="2019-04-26T00:00:00"/>
    <d v="2019-04-26T00:00:00"/>
    <n v="0"/>
    <s v="0-1 día"/>
    <n v="0"/>
    <n v="0"/>
    <n v="0"/>
    <n v="0"/>
  </r>
  <r>
    <s v="ABR-19"/>
    <n v="1"/>
    <s v="2020457"/>
    <s v="SR MANTENIMIENTO CORRECTIVO"/>
    <s v="6656"/>
    <s v="05/04/2019 08:27"/>
    <s v="0E1B980213"/>
    <s v="800187"/>
    <s v="PITSS"/>
    <s v="ASP"/>
    <x v="102"/>
    <s v="AV FERROCARRIL NORTE No 100"/>
    <s v="Guanajuato-GTO"/>
    <n v="0"/>
    <s v="INTERIOR"/>
    <n v="190"/>
    <s v="&gt;60"/>
    <s v="Color Laser Printers"/>
    <s v="A4"/>
    <s v="Ciudad principal"/>
    <s v="1-&gt;60"/>
    <n v="1.05"/>
    <n v="750.75000000000011"/>
    <n v="1"/>
    <n v="1.25"/>
    <n v="5"/>
    <n v="0.25"/>
    <n v="0"/>
    <n v="0"/>
    <d v="2019-04-26T00:00:00"/>
    <d v="2019-04-26T00:00:00"/>
    <n v="0"/>
    <s v="0-1 día"/>
    <n v="0"/>
    <n v="0"/>
    <n v="0"/>
    <n v="750.75000000000011"/>
  </r>
  <r>
    <s v="ABR-19"/>
    <n v="1"/>
    <s v="2029997"/>
    <s v="SR MANTENIMIENTO PREVENTIVO"/>
    <s v="3657"/>
    <s v="26/04/2019 08:39"/>
    <s v="0C7X273155"/>
    <s v="800187"/>
    <s v="PITSS"/>
    <s v="ASP"/>
    <x v="74"/>
    <s v="AV PASEO CENTRAL No 2A"/>
    <s v="San Juan Del Rio-QRO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4-26T00:00:00"/>
    <d v="2019-04-26T00:00:00"/>
    <n v="0"/>
    <s v="0-1 día"/>
    <n v="0"/>
    <n v="0"/>
    <n v="0"/>
    <n v="715.00000000000011"/>
  </r>
  <r>
    <s v="ABR-19"/>
    <n v="1"/>
    <s v="2029999"/>
    <s v="SR MANTENIMIENTO PREVENTIVO"/>
    <s v="4603"/>
    <s v="26/04/2019 08:41"/>
    <s v="0XLT280687"/>
    <s v="500159"/>
    <s v="PITSS"/>
    <s v="ASP"/>
    <x v="30"/>
    <s v="CRISTOBAL COLON 11364"/>
    <s v="CHIHUAHUA-CHIH"/>
    <n v="0"/>
    <s v="INTERIOR"/>
    <s v="  "/>
    <s v="&gt;60"/>
    <s v="Entry Mono Printers"/>
    <s v="A4"/>
    <s v="Ciudad principal"/>
    <s v="1-&gt;60"/>
    <n v="1"/>
    <n v="715.00000000000011"/>
    <n v="0"/>
    <n v="5"/>
    <n v="5"/>
    <n v="1"/>
    <n v="0"/>
    <n v="0"/>
    <d v="2019-04-26T00:00:00"/>
    <d v="2019-04-26T00:00:00"/>
    <n v="0"/>
    <s v="0-1 día"/>
    <n v="0"/>
    <n v="0"/>
    <n v="0"/>
    <n v="715.00000000000011"/>
  </r>
  <r>
    <s v="ABR-19"/>
    <n v="1"/>
    <s v="2030001"/>
    <s v="SR MANTENIMIENTO PREVENTIVO"/>
    <s v="4603"/>
    <s v="26/04/2019 08:43"/>
    <s v="0XLT282436"/>
    <s v="500159"/>
    <s v="PITSS"/>
    <s v="ASP"/>
    <x v="30"/>
    <s v="CRISTOBAL COLON 11364"/>
    <s v="CHIHUAHUA-CHIH"/>
    <n v="0"/>
    <s v="INTERIOR"/>
    <s v="  "/>
    <s v="&gt;60"/>
    <s v="Entry Mono Printers"/>
    <s v="A4"/>
    <s v="Ciudad principal"/>
    <s v="1-&gt;60"/>
    <n v="1"/>
    <n v="715.00000000000011"/>
    <n v="0"/>
    <n v="5"/>
    <n v="5"/>
    <n v="1"/>
    <n v="0"/>
    <n v="0"/>
    <d v="2019-04-26T00:00:00"/>
    <d v="2019-04-26T00:00:00"/>
    <n v="0"/>
    <s v="0-1 día"/>
    <n v="0"/>
    <n v="0"/>
    <n v="0"/>
    <n v="715.00000000000011"/>
  </r>
  <r>
    <s v="ABR-19"/>
    <n v="1"/>
    <s v="2030163"/>
    <s v="SR MANTENIMIENTO PREVENTIVO"/>
    <s v="4603"/>
    <s v="26/04/2019 11:36"/>
    <s v="0XLT279452"/>
    <s v="500155"/>
    <s v="PITSS"/>
    <s v="ASP"/>
    <x v="30"/>
    <s v="AV VALLE DEL CEDRO 1681"/>
    <s v="CIUDAD JUAREZ-CHIH"/>
    <n v="0"/>
    <s v="INTERIOR"/>
    <s v="  "/>
    <s v="&gt;60"/>
    <s v="Entry Mono Printers"/>
    <s v="A4"/>
    <s v="Ciudad principal"/>
    <s v="1-&gt;60"/>
    <n v="1"/>
    <n v="715.00000000000011"/>
    <n v="0"/>
    <n v="5"/>
    <n v="5"/>
    <n v="1"/>
    <n v="0"/>
    <n v="0"/>
    <d v="2019-04-26T00:00:00"/>
    <d v="2019-04-26T00:00:00"/>
    <n v="0"/>
    <s v="0-1 día"/>
    <n v="0"/>
    <n v="0"/>
    <n v="0"/>
    <n v="715.00000000000011"/>
  </r>
  <r>
    <s v="ABR-19"/>
    <n v="1"/>
    <s v="2028607"/>
    <s v="SR MANTENIMIENTO CORRECTIVO"/>
    <s v="5774"/>
    <s v="23/04/2019 20:12"/>
    <s v="0XEL566484"/>
    <s v="800183"/>
    <s v="PITSS"/>
    <s v="ASP"/>
    <x v="7"/>
    <s v="AV MAIZ 1300"/>
    <s v="ZAPOPAN-JAL"/>
    <n v="0"/>
    <s v="INTERIOR"/>
    <n v="34"/>
    <s v="Entre 31 y 60"/>
    <s v="Departmental Digital"/>
    <s v="A3"/>
    <s v="Ciudad principal"/>
    <s v="2-Entre 31 y 60"/>
    <n v="1.05"/>
    <n v="1433.25"/>
    <n v="1"/>
    <n v="0.5"/>
    <n v="5"/>
    <n v="0.1"/>
    <n v="0"/>
    <n v="0"/>
    <d v="2019-04-26T00:00:00"/>
    <d v="2019-04-26T00:00:00"/>
    <n v="0"/>
    <s v="0-1 día"/>
    <n v="0"/>
    <n v="0"/>
    <n v="0"/>
    <n v="1433.25"/>
  </r>
  <r>
    <s v="ABR-19"/>
    <n v="1"/>
    <s v="2027875"/>
    <s v="SR MANTENIMIENTO CORRECTIVO"/>
    <s v="3636"/>
    <s v="22/04/2019 12:25"/>
    <s v="0BB1564131"/>
    <s v="800188"/>
    <s v="PITSS"/>
    <s v="ASP"/>
    <x v="2"/>
    <s v="BLVD URIANGATO 240"/>
    <s v="URIANGATO-GTO"/>
    <n v="0"/>
    <s v="INTERIOR"/>
    <n v="131"/>
    <s v="&gt;60"/>
    <s v="A4 Mono MFPs"/>
    <s v="A4"/>
    <s v="Ciudad principal"/>
    <s v="1-&gt;60"/>
    <n v="1.05"/>
    <n v="750.75000000000011"/>
    <n v="1"/>
    <n v="2.58"/>
    <n v="5"/>
    <n v="0.51600000000000001"/>
    <n v="0"/>
    <n v="0"/>
    <d v="2019-04-26T00:00:00"/>
    <d v="2019-04-26T00:00:00"/>
    <n v="0"/>
    <s v="0-1 día"/>
    <n v="0"/>
    <n v="0"/>
    <n v="0"/>
    <n v="750.75000000000011"/>
  </r>
  <r>
    <s v="ABR-19"/>
    <n v="1"/>
    <s v="2029633"/>
    <s v="SR MANTENIMIENTO CORRECTIVO"/>
    <s v="5955"/>
    <s v="25/04/2019 11:03"/>
    <s v="0X76703031"/>
    <s v="800072"/>
    <s v="PITSS"/>
    <s v="ASP"/>
    <x v="87"/>
    <s v="AV VALLARTA No 1440 PISO 4"/>
    <s v="Guadalajara-JAL"/>
    <n v="0"/>
    <s v="INTERIOR"/>
    <n v="220"/>
    <s v="&gt;60"/>
    <s v="Departmental Digital"/>
    <s v="A3"/>
    <s v="Ciudad principal"/>
    <s v="2-&gt;60"/>
    <n v="1.1000000000000001"/>
    <n v="1501.5000000000002"/>
    <n v="1"/>
    <n v="0.95"/>
    <n v="5"/>
    <n v="0.19"/>
    <n v="0"/>
    <n v="0"/>
    <d v="2019-04-25T00:00:00"/>
    <d v="2019-04-26T00:00:00"/>
    <n v="1"/>
    <s v="0-1 día"/>
    <n v="0"/>
    <n v="0"/>
    <n v="0"/>
    <n v="1501.5000000000002"/>
  </r>
  <r>
    <s v="ABR-19"/>
    <n v="1"/>
    <s v="2029987"/>
    <s v="SR MANTENIMIENTO CORRECTIVO"/>
    <s v="4395"/>
    <s v="26/04/2019 08:06"/>
    <s v="0BG2948799"/>
    <s v="800192"/>
    <s v="PITSS"/>
    <s v="ASP"/>
    <x v="7"/>
    <s v="AV CIRCUNVALACION No 2700 LOC SA01"/>
    <s v="Guadalajara-JAL"/>
    <n v="0"/>
    <s v="INTERIOR"/>
    <n v="2"/>
    <s v="&lt;=3"/>
    <s v="Light Production Digital Business"/>
    <s v="Entry Production"/>
    <s v="Ciudad principal"/>
    <s v="3-&lt;=3"/>
    <n v="0"/>
    <n v="0"/>
    <n v="1"/>
    <n v="2.2999999999999998"/>
    <n v="4"/>
    <n v="0.57499999999999996"/>
    <n v="0"/>
    <n v="0"/>
    <d v="2019-04-26T00:00:00"/>
    <d v="2019-04-26T00:00:00"/>
    <n v="0"/>
    <s v="0-1 día"/>
    <n v="0"/>
    <n v="0"/>
    <n v="0"/>
    <n v="0"/>
  </r>
  <r>
    <s v="ABR-19"/>
    <n v="1"/>
    <s v="2028419"/>
    <s v="SR MANTENIMIENTO CORRECTIVO"/>
    <s v="7222"/>
    <s v="23/04/2019 11:52"/>
    <s v="0LX5697800"/>
    <s v="500157"/>
    <s v="PITSS"/>
    <s v="ASP"/>
    <x v="56"/>
    <s v="AV SANTIAGO TRONCOSO 281"/>
    <s v="CIUDAD JUAREZ-CHIH"/>
    <n v="0"/>
    <s v="INTERIOR"/>
    <n v="32"/>
    <s v="Entre 31 y 60"/>
    <s v="A3 Office Color Laser MFPs"/>
    <s v="A3"/>
    <s v="Ciudad principal"/>
    <s v="2-Entre 31 y 60"/>
    <n v="1.05"/>
    <n v="1433.25"/>
    <n v="1"/>
    <n v="2.7633333333333345"/>
    <n v="5"/>
    <n v="0.55266666666666686"/>
    <n v="0"/>
    <n v="0"/>
    <d v="2019-04-26T00:00:00"/>
    <d v="2019-04-26T00:00:00"/>
    <n v="0"/>
    <s v="0-1 día"/>
    <n v="0"/>
    <n v="0"/>
    <n v="0"/>
    <n v="1433.25"/>
  </r>
  <r>
    <s v="ABR-19"/>
    <n v="1"/>
    <s v="2029605"/>
    <s v="SR MANTENIMIENTO CORRECTIVO"/>
    <s v="4002"/>
    <s v="25/04/2019 10:41"/>
    <s v="09HB328413"/>
    <s v="800072"/>
    <s v="PITSS"/>
    <s v="ASP"/>
    <x v="103"/>
    <s v="BLV JOSE GUADALUPE ZUNO 52-A"/>
    <s v="ZAPOPAN-JAL"/>
    <n v="0"/>
    <s v="INTERIOR"/>
    <n v="2702"/>
    <s v="&gt;60"/>
    <s v="A4 Mono MFPs"/>
    <s v="A4"/>
    <s v="Ciudad principal"/>
    <s v="1-&gt;60"/>
    <n v="1.05"/>
    <n v="750.75000000000011"/>
    <n v="1"/>
    <n v="3.15"/>
    <n v="5"/>
    <n v="0.63"/>
    <n v="0"/>
    <n v="0"/>
    <d v="2019-04-25T00:00:00"/>
    <d v="2019-04-26T00:00:00"/>
    <n v="1"/>
    <s v="0-1 día"/>
    <n v="0"/>
    <n v="0"/>
    <n v="0"/>
    <n v="750.75000000000011"/>
  </r>
  <r>
    <s v="ABR-19"/>
    <n v="1"/>
    <s v="2030003"/>
    <s v="SR MANTENIMIENTO PREVENTIVO"/>
    <s v="7511"/>
    <s v="26/04/2019 08:43"/>
    <s v="0RXD109069"/>
    <s v="500159"/>
    <s v="PITSS"/>
    <s v="ASP"/>
    <x v="30"/>
    <s v="CRISTOBAL COLON 11364"/>
    <s v="Chihuahua-CHIH"/>
    <n v="0"/>
    <s v="INTERIOR"/>
    <s v="  "/>
    <s v="&gt;60"/>
    <s v="Color Laser Printers"/>
    <s v="A4"/>
    <s v="Ciudad principal"/>
    <s v="1-&gt;60"/>
    <n v="1"/>
    <n v="715.00000000000011"/>
    <n v="0"/>
    <n v="5"/>
    <n v="5"/>
    <n v="1"/>
    <n v="0"/>
    <n v="0"/>
    <d v="2019-04-26T00:00:00"/>
    <d v="2019-04-26T00:00:00"/>
    <n v="0"/>
    <s v="0-1 día"/>
    <n v="0"/>
    <n v="0"/>
    <n v="0"/>
    <n v="715.00000000000011"/>
  </r>
  <r>
    <s v="ABR-19"/>
    <n v="1"/>
    <s v="2030115"/>
    <s v="SR MANTENIMIENTO CORRECTIVO"/>
    <s v="8045"/>
    <s v="26/04/2019 10:25"/>
    <s v="0Y4X848952"/>
    <s v="000196"/>
    <s v="PITSS"/>
    <s v="ASP"/>
    <x v="11"/>
    <s v="AV MIGUEL ANGEL DE QUEVEDO NO 555"/>
    <s v="Coyoacan-CIUDAD DE M"/>
    <n v="1"/>
    <s v="METRO"/>
    <n v="58"/>
    <s v="Entre 31 y 60"/>
    <s v="Office Digital"/>
    <s v="A3"/>
    <s v="Ciudad principal"/>
    <s v="2-Entre 31 y 60"/>
    <n v="1.05"/>
    <n v="0"/>
    <n v="1"/>
    <n v="1.71"/>
    <n v="5"/>
    <n v="0.34199999999999997"/>
    <n v="0"/>
    <n v="0"/>
    <d v="2019-04-26T00:00:00"/>
    <d v="2019-04-26T00:00:00"/>
    <n v="0"/>
    <s v="0-1 día"/>
    <n v="0"/>
    <n v="0"/>
    <n v="0"/>
    <n v="0"/>
  </r>
  <r>
    <s v="ABR-19"/>
    <n v="1"/>
    <s v="2030117"/>
    <s v="SR MANTENIMIENTO CORRECTIVO"/>
    <s v="4002"/>
    <s v="26/04/2019 10:28"/>
    <s v="09HB331857"/>
    <s v="000196"/>
    <s v="PITSS"/>
    <s v="ASP"/>
    <x v="11"/>
    <s v="AV MIGUEL ANGEL DE QUEVEDO NO 555"/>
    <s v="Coyoacan-CIUDAD DE M"/>
    <n v="1"/>
    <s v="METRO"/>
    <n v="72"/>
    <s v="&gt;60"/>
    <s v="A4 Mono MFPs"/>
    <s v="A4"/>
    <s v="Ciudad principal"/>
    <s v="1-&gt;60"/>
    <n v="1.05"/>
    <n v="0"/>
    <n v="1"/>
    <n v="2.86"/>
    <n v="5"/>
    <n v="0.57199999999999995"/>
    <n v="0"/>
    <n v="0"/>
    <d v="2019-04-26T00:00:00"/>
    <d v="2019-04-26T00:00:00"/>
    <n v="0"/>
    <s v="0-1 día"/>
    <n v="0"/>
    <n v="0"/>
    <n v="0"/>
    <n v="0"/>
  </r>
  <r>
    <s v="ABR-19"/>
    <n v="1"/>
    <s v="2030017"/>
    <s v="SR MANTENIMIENTO PREVENTIVO"/>
    <s v="4626"/>
    <s v="26/04/2019 09:01"/>
    <s v="0D6X469662"/>
    <s v="800187"/>
    <s v="PITSS"/>
    <s v="ASP"/>
    <x v="74"/>
    <s v="AV CENTRAL DR RAFAEL AYALA ECHEVERRIA KM 0.2"/>
    <s v="San Juan Del Rio-QRO"/>
    <n v="0"/>
    <s v="INTERIOR"/>
    <s v="  "/>
    <s v="&gt;60"/>
    <s v="Entry Mono Printers"/>
    <s v="A4"/>
    <s v="Ciudad principal"/>
    <s v="1-&gt;60"/>
    <n v="1"/>
    <n v="715.00000000000011"/>
    <n v="0"/>
    <n v="5"/>
    <n v="5"/>
    <n v="1"/>
    <n v="0"/>
    <n v="0"/>
    <d v="2019-04-26T00:00:00"/>
    <d v="2019-04-26T00:00:00"/>
    <n v="0"/>
    <s v="0-1 día"/>
    <n v="0"/>
    <n v="0"/>
    <n v="0"/>
    <n v="715.00000000000011"/>
  </r>
  <r>
    <s v="ABR-19"/>
    <n v="1"/>
    <s v="2030019"/>
    <s v="SR MANTENIMIENTO PREVENTIVO"/>
    <s v="5945"/>
    <s v="26/04/2019 09:03"/>
    <s v="0X76372692"/>
    <s v="800187"/>
    <s v="PITSS"/>
    <s v="ASP"/>
    <x v="74"/>
    <s v="AV CENTRAL DR RAFAEL AYALA ECHEVERRIA KM 0.2"/>
    <s v="San Juan Del Rio-QRO"/>
    <n v="0"/>
    <s v="INTERIOR"/>
    <s v="  "/>
    <s v="&gt;60"/>
    <s v="Office Digital"/>
    <s v="A3"/>
    <s v="Ciudad principal"/>
    <s v="2-&gt;60"/>
    <n v="1"/>
    <n v="1365"/>
    <n v="0"/>
    <n v="5"/>
    <n v="5"/>
    <n v="1"/>
    <n v="0"/>
    <n v="0"/>
    <d v="2019-04-26T00:00:00"/>
    <d v="2019-04-26T00:00:00"/>
    <n v="0"/>
    <s v="0-1 día"/>
    <n v="0"/>
    <n v="0"/>
    <n v="0"/>
    <n v="1365"/>
  </r>
  <r>
    <s v="ABR-19"/>
    <n v="1"/>
    <s v="2030021"/>
    <s v="SR MANTENIMIENTO PREVENTIVO"/>
    <s v="4395"/>
    <s v="26/04/2019 09:03"/>
    <s v="0BG2956722"/>
    <s v="800187"/>
    <s v="PITSS"/>
    <s v="ASP"/>
    <x v="74"/>
    <s v="AV CENTRAL DR RAFAEL AYALA ECHEVERRIA KM 0.2"/>
    <s v="San Juan Del Rio-QRO"/>
    <n v="0"/>
    <s v="INTERIOR"/>
    <s v="  "/>
    <s v="&gt;60"/>
    <s v="Light Production Digital Business"/>
    <s v="Entry Production"/>
    <s v="Ciudad principal"/>
    <s v="3-&gt;60"/>
    <n v="1"/>
    <n v="1573.0000000000002"/>
    <n v="0"/>
    <n v="4"/>
    <n v="4"/>
    <n v="1"/>
    <n v="0"/>
    <n v="0"/>
    <d v="2019-04-26T00:00:00"/>
    <d v="2019-04-26T00:00:00"/>
    <n v="0"/>
    <s v="0-1 día"/>
    <n v="0"/>
    <n v="0"/>
    <n v="0"/>
    <n v="1573.0000000000002"/>
  </r>
  <r>
    <s v="ABR-19"/>
    <n v="1"/>
    <s v="2030177"/>
    <s v="SR MANTENIMIENTO CORRECTIVO"/>
    <s v="4395"/>
    <s v="26/04/2019 11:58"/>
    <s v="0BG2946393"/>
    <s v="800146"/>
    <s v="PITSS"/>
    <s v="ASP"/>
    <x v="7"/>
    <s v="CALLE 5 DE MAYO No 208-A"/>
    <s v="Leon-GTO"/>
    <n v="0"/>
    <s v="INTERIOR"/>
    <n v="31"/>
    <s v="Entre 31 y 60"/>
    <s v="Light Production Digital Business"/>
    <s v="Entry Production"/>
    <s v="Ciudad principal"/>
    <s v="3-Entre 31 y 60"/>
    <n v="1.1000000000000001"/>
    <n v="1730.3000000000004"/>
    <n v="1"/>
    <n v="0.7"/>
    <n v="4"/>
    <n v="0.17499999999999999"/>
    <n v="0"/>
    <n v="0"/>
    <d v="2019-04-26T00:00:00"/>
    <d v="2019-04-26T00:00:00"/>
    <n v="0"/>
    <s v="0-1 día"/>
    <n v="0"/>
    <n v="0"/>
    <n v="0"/>
    <n v="1730.3000000000004"/>
  </r>
  <r>
    <s v="ABR-19"/>
    <n v="1"/>
    <s v="2030057"/>
    <s v="SR MANTENIMIENTO PREVENTIVO"/>
    <s v="3616"/>
    <s v="26/04/2019 09:39"/>
    <s v="0A2T382396"/>
    <s v="500159"/>
    <s v="PITSS"/>
    <s v="ASP"/>
    <x v="30"/>
    <s v="CRISTOBAL COLON 11364"/>
    <s v="CHIHUAHUA-CHIH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4-26T00:00:00"/>
    <d v="2019-04-26T00:00:00"/>
    <n v="0"/>
    <s v="0-1 día"/>
    <n v="0"/>
    <n v="0"/>
    <n v="0"/>
    <n v="715.00000000000011"/>
  </r>
  <r>
    <s v="ABR-19"/>
    <n v="1"/>
    <s v="2030175"/>
    <s v="SR MANTENIMIENTO CORRECTIVO"/>
    <s v="5866"/>
    <s v="26/04/2019 11:55"/>
    <s v="0EX9293999"/>
    <s v="800147"/>
    <s v="PITSS"/>
    <s v="ASP"/>
    <x v="7"/>
    <s v="CALLE 5 DE MAYO No 208-A"/>
    <s v="Leon-GTO"/>
    <n v="0"/>
    <s v="INTERIOR"/>
    <n v="30"/>
    <s v="Entre 16 y 30"/>
    <s v="Departmental Digital"/>
    <s v="A3"/>
    <s v="Ciudad principal"/>
    <s v="2-Entre 16 y 30"/>
    <n v="0.8"/>
    <n v="1092"/>
    <n v="1"/>
    <n v="0.66"/>
    <n v="5"/>
    <n v="0.13200000000000001"/>
    <n v="0"/>
    <n v="0"/>
    <d v="2019-04-26T00:00:00"/>
    <d v="2019-04-26T00:00:00"/>
    <n v="0"/>
    <s v="0-1 día"/>
    <n v="0"/>
    <n v="0"/>
    <n v="0"/>
    <n v="1092"/>
  </r>
  <r>
    <s v="ABR-19"/>
    <n v="1"/>
    <s v="2030063"/>
    <s v="SR MANTENIMIENTO PREVENTIVO"/>
    <s v="5552"/>
    <s v="26/04/2019 09:43"/>
    <s v="0KPA018636"/>
    <s v="500159"/>
    <s v="PITSS"/>
    <s v="ASP"/>
    <x v="30"/>
    <s v="CRISTOBAL COLON 11364"/>
    <s v="CHIHUAHUA-CHIH"/>
    <n v="0"/>
    <s v="INTERIOR"/>
    <s v="  "/>
    <s v="&gt;60"/>
    <s v="Entry Mono Printers"/>
    <s v="A4"/>
    <s v="Ciudad principal"/>
    <s v="1-&gt;60"/>
    <n v="1"/>
    <n v="715.00000000000011"/>
    <n v="0"/>
    <n v="5"/>
    <n v="5"/>
    <n v="1"/>
    <n v="0"/>
    <n v="0"/>
    <d v="2019-04-26T00:00:00"/>
    <d v="2019-04-26T00:00:00"/>
    <n v="0"/>
    <s v="0-1 día"/>
    <n v="0"/>
    <n v="0"/>
    <n v="0"/>
    <n v="715.00000000000011"/>
  </r>
  <r>
    <s v="ABR-19"/>
    <n v="1"/>
    <s v="2028899"/>
    <s v="SR MANTENIMIENTO CORRECTIVO"/>
    <s v="0800"/>
    <s v="24/04/2019 10:10"/>
    <s v="0WXP008416"/>
    <s v="500083"/>
    <s v="PITSS"/>
    <s v="ASP"/>
    <x v="1"/>
    <s v="MM DE LLANO 736 OTE"/>
    <s v="MONTERREY-NL"/>
    <n v="0"/>
    <s v="INTERIOR"/>
    <n v="26"/>
    <s v="Entre 16 y 30"/>
    <s v="Xerox Color Press"/>
    <s v="High Production"/>
    <s v="Ciudad principal"/>
    <s v="4-Entre 16 y 30"/>
    <n v="1.1000000000000001"/>
    <n v="2359.5"/>
    <n v="1"/>
    <n v="3.4"/>
    <n v="3"/>
    <n v="1.1333333333333333"/>
    <n v="3.3333333333333326E-2"/>
    <n v="-71.499999999999986"/>
    <d v="2019-04-26T00:00:00"/>
    <d v="2019-04-26T00:00:00"/>
    <n v="0"/>
    <s v="0-1 día"/>
    <n v="0"/>
    <n v="0"/>
    <n v="0"/>
    <n v="2288"/>
  </r>
  <r>
    <s v="ABR-19"/>
    <n v="1"/>
    <s v="2029685"/>
    <s v="SR MANTENIMIENTO CORRECTIVO"/>
    <s v="4624"/>
    <s v="25/04/2019 12:00"/>
    <s v="0D6X452141"/>
    <s v="500158"/>
    <s v="PITSS"/>
    <s v="ASP"/>
    <x v="84"/>
    <s v="AV DE LAS TORRES No 2170"/>
    <s v="Ciudad Juarez-CHIH"/>
    <n v="0"/>
    <s v="INTERIOR"/>
    <n v="2"/>
    <s v="&lt;=3"/>
    <s v="Entry Mono Printers"/>
    <s v="A4"/>
    <s v="Ciudad principal"/>
    <s v="1-&lt;=3"/>
    <n v="0"/>
    <n v="0"/>
    <n v="1"/>
    <n v="0"/>
    <n v="5"/>
    <n v="0"/>
    <n v="0"/>
    <n v="0"/>
    <d v="2019-04-26T00:00:00"/>
    <d v="2019-04-26T00:00:00"/>
    <n v="0"/>
    <s v="0-1 día"/>
    <n v="0"/>
    <n v="0"/>
    <n v="0"/>
    <n v="0"/>
  </r>
  <r>
    <s v="ABR-19"/>
    <n v="1"/>
    <s v="2030133"/>
    <s v="SR MANTENIMIENTO CORRECTIVO"/>
    <s v="0070"/>
    <s v="26/04/2019 11:01"/>
    <s v="0E2B665884"/>
    <s v="800192"/>
    <s v="PITSS"/>
    <s v="ASP"/>
    <x v="14"/>
    <s v="MARIANO OTERO No 1614"/>
    <s v="Zapopan-JAL"/>
    <n v="0"/>
    <s v="INTERIOR"/>
    <n v="44"/>
    <s v="Entre 31 y 60"/>
    <s v="Entry Production Color Low/Mid"/>
    <s v="Entry Production"/>
    <s v="Ciudad principal"/>
    <s v="3-Entre 31 y 60"/>
    <n v="1.1000000000000001"/>
    <n v="1730.3000000000004"/>
    <n v="1"/>
    <n v="2.35"/>
    <n v="4"/>
    <n v="0.58750000000000002"/>
    <n v="0"/>
    <n v="0"/>
    <d v="2019-04-26T00:00:00"/>
    <d v="2019-04-26T00:00:00"/>
    <n v="0"/>
    <s v="0-1 día"/>
    <n v="0"/>
    <n v="0"/>
    <n v="0"/>
    <n v="1730.3000000000004"/>
  </r>
  <r>
    <s v="ABR-19"/>
    <n v="1"/>
    <s v="2030153"/>
    <s v="SR MANTENIMIENTO CORRECTIVO"/>
    <s v="4002"/>
    <s v="26/04/2019 11:34"/>
    <s v="09HB317209"/>
    <s v="500066"/>
    <s v="PITSS"/>
    <s v="ASP"/>
    <x v="10"/>
    <s v="AV NOGALAR SUR Y CRISANTEMO"/>
    <s v="SAN NICOLAS DE LOS G"/>
    <n v="0"/>
    <s v="INTERIOR"/>
    <n v="3"/>
    <s v="&lt;=3"/>
    <s v="A4 Mono MFPs"/>
    <s v="A4"/>
    <s v="Ciudad principal"/>
    <s v="1-&lt;=3"/>
    <n v="0"/>
    <n v="0"/>
    <n v="1"/>
    <n v="0.21"/>
    <n v="5"/>
    <n v="4.1999999999999996E-2"/>
    <n v="0"/>
    <n v="0"/>
    <d v="2019-04-26T00:00:00"/>
    <d v="2019-04-26T00:00:00"/>
    <n v="0"/>
    <s v="0-1 día"/>
    <n v="0"/>
    <n v="0"/>
    <n v="0"/>
    <n v="0"/>
  </r>
  <r>
    <s v="ABR-19"/>
    <n v="1"/>
    <s v="2030151"/>
    <s v="SR MANTENIMIENTO CORRECTIVO"/>
    <s v="4002"/>
    <s v="26/04/2019 11:27"/>
    <s v="09HB330752"/>
    <s v="100038"/>
    <s v="PITSS"/>
    <s v="ASP"/>
    <x v="24"/>
    <s v="AV ALBERT EISTEN No 201"/>
    <s v="Toluca De Lerdo-ESTA"/>
    <n v="0"/>
    <s v="INTERIOR"/>
    <n v="2703"/>
    <s v="&gt;60"/>
    <s v="A4 Mono MFPs"/>
    <s v="A4"/>
    <s v="Ciudad principal"/>
    <s v="1-&gt;60"/>
    <n v="1.05"/>
    <n v="750.75000000000011"/>
    <n v="1"/>
    <n v="2.5499999999999998"/>
    <n v="5"/>
    <n v="0.51"/>
    <n v="0"/>
    <n v="0"/>
    <d v="2019-04-26T00:00:00"/>
    <d v="2019-04-26T00:00:00"/>
    <n v="0"/>
    <s v="0-1 día"/>
    <n v="0"/>
    <n v="0"/>
    <n v="0"/>
    <n v="750.75000000000011"/>
  </r>
  <r>
    <s v="ABR-19"/>
    <n v="1"/>
    <s v="2029117"/>
    <s v="SR MANTENIMIENTO CORRECTIVO"/>
    <s v="4311"/>
    <s v="24/04/2019 15:37"/>
    <s v="0BG1001037"/>
    <s v="500163"/>
    <s v="PITSS"/>
    <s v="ASP"/>
    <x v="32"/>
    <s v="BLVD ADOLFO LOPEZ MATEOS No 805 PONIENTE"/>
    <s v="Ciudad Victoria-TAM"/>
    <n v="0"/>
    <s v="INTERIOR"/>
    <n v="50"/>
    <s v="Entre 31 y 60"/>
    <s v="Light Production Digital Business"/>
    <s v="Entry Production"/>
    <s v="Ciudad principal"/>
    <s v="3-Entre 31 y 60"/>
    <n v="1.1000000000000001"/>
    <n v="1730.3000000000004"/>
    <n v="1"/>
    <n v="2.0499999999999998"/>
    <n v="4"/>
    <n v="0.51249999999999996"/>
    <n v="0"/>
    <n v="0"/>
    <d v="2019-04-26T00:00:00"/>
    <d v="2019-04-26T00:00:00"/>
    <n v="0"/>
    <s v="0-1 día"/>
    <n v="0"/>
    <n v="0"/>
    <n v="0"/>
    <n v="1730.3000000000004"/>
  </r>
  <r>
    <s v="ABR-19"/>
    <n v="1"/>
    <s v="2028857"/>
    <s v="SR MANTENIMIENTO CORRECTIVO"/>
    <s v="4395"/>
    <s v="24/04/2019 09:16"/>
    <s v="0BG2940928"/>
    <s v="800027"/>
    <s v="PITSS"/>
    <s v="ASP"/>
    <x v="7"/>
    <s v="AV CIRCUNVALACION OBLATOS 2700"/>
    <s v="GUADALAJARA-JAL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4.75"/>
    <n v="4"/>
    <n v="1.1875"/>
    <n v="4.6875E-2"/>
    <n v="-73.734375000000014"/>
    <d v="2019-04-26T00:00:00"/>
    <d v="2019-04-27T00:00:00"/>
    <n v="0"/>
    <s v="0-1 día"/>
    <n v="0"/>
    <n v="0"/>
    <n v="0"/>
    <n v="1184.6656250000003"/>
  </r>
  <r>
    <s v="ABR-19"/>
    <n v="1"/>
    <s v="2029617"/>
    <s v="SR MANTENIMIENTO CORRECTIVO"/>
    <s v="3616"/>
    <s v="25/04/2019 10:47"/>
    <s v="0A2T199725"/>
    <s v="800192"/>
    <s v="PITSS"/>
    <s v="ASP"/>
    <x v="24"/>
    <s v="AV LAZARO CARDENAS 2229"/>
    <s v="GUADALAJARA-JAL"/>
    <n v="0"/>
    <s v="INTERIOR"/>
    <n v="330"/>
    <s v="&gt;60"/>
    <s v="A4 Mono MFPs"/>
    <s v="A4"/>
    <s v="Ciudad principal"/>
    <s v="1-&gt;60"/>
    <n v="1.05"/>
    <n v="750.75000000000011"/>
    <n v="1"/>
    <n v="1.32"/>
    <n v="5"/>
    <n v="0.26400000000000001"/>
    <n v="0"/>
    <n v="0"/>
    <d v="2019-04-26T00:00:00"/>
    <d v="2019-04-27T00:00:00"/>
    <n v="0"/>
    <s v="0-1 día"/>
    <n v="0"/>
    <n v="0"/>
    <n v="0"/>
    <n v="750.75000000000011"/>
  </r>
  <r>
    <s v="ABR-19"/>
    <n v="1"/>
    <s v="2029689"/>
    <s v="SR MANTENIMIENTO CORRECTIVO"/>
    <s v="4002"/>
    <s v="25/04/2019 12:03"/>
    <s v="09HB330686"/>
    <s v="500027"/>
    <s v="PITSS"/>
    <s v="ASP"/>
    <x v="39"/>
    <s v="DURANGO No 2751"/>
    <s v="Ciudad Juarez-CHIH"/>
    <n v="1"/>
    <s v="INTERIOR"/>
    <n v="246"/>
    <s v="&gt;60"/>
    <s v="A4 Mono MFPs"/>
    <s v="A4"/>
    <s v="Ciudad principal"/>
    <s v="1-&gt;60"/>
    <n v="1.05"/>
    <n v="0"/>
    <n v="1"/>
    <n v="0"/>
    <n v="5"/>
    <n v="0"/>
    <n v="0"/>
    <n v="0"/>
    <d v="2019-04-26T00:00:00"/>
    <d v="2019-04-27T00:00:00"/>
    <n v="0"/>
    <s v="0-1 día"/>
    <n v="0"/>
    <n v="0"/>
    <n v="0"/>
    <n v="0"/>
  </r>
  <r>
    <s v="ABR-19"/>
    <n v="1"/>
    <s v="2030135"/>
    <s v="SR MANTENIMIENTO CORRECTIVO"/>
    <s v="8075"/>
    <s v="26/04/2019 11:05"/>
    <s v="03AG880297"/>
    <s v="800072"/>
    <s v="PITSS"/>
    <s v="ASP"/>
    <x v="14"/>
    <s v="MARIANO OTERO No 1614"/>
    <s v="Zapopan-JAL"/>
    <n v="0"/>
    <s v="INTERIOR"/>
    <n v="11"/>
    <s v="Entre 7 y 15"/>
    <s v="Departmental Digital"/>
    <s v="A3"/>
    <s v="Ciudad principal"/>
    <s v="2-Entre 7 y 15"/>
    <n v="0.6"/>
    <n v="819"/>
    <n v="1"/>
    <n v="1.89"/>
    <n v="5"/>
    <n v="0.378"/>
    <n v="0"/>
    <n v="0"/>
    <d v="2019-04-26T00:00:00"/>
    <d v="2019-04-27T00:00:00"/>
    <n v="0"/>
    <s v="0-1 día"/>
    <n v="0"/>
    <n v="0"/>
    <n v="0"/>
    <n v="819"/>
  </r>
  <r>
    <s v="ABR-19"/>
    <n v="1"/>
    <s v="2029041"/>
    <s v="SR MANTENIMIENTO CORRECTIVO"/>
    <s v="5945"/>
    <s v="24/04/2019 13:25"/>
    <s v="0X76707825"/>
    <s v="500018"/>
    <s v="PITSS"/>
    <s v="ASP"/>
    <x v="3"/>
    <s v="BOULEVARD FRANCISCO PRIMO DE VERDAD No 3317"/>
    <s v="Durango-DGO"/>
    <n v="0"/>
    <s v="INTERIOR"/>
    <n v="47"/>
    <s v="Entre 31 y 60"/>
    <s v="Office Digital"/>
    <s v="A3"/>
    <s v="Ciudad principal"/>
    <s v="2-Entre 31 y 60"/>
    <n v="1.05"/>
    <n v="1433.25"/>
    <n v="1"/>
    <n v="4.08"/>
    <n v="5"/>
    <n v="0.81600000000000006"/>
    <n v="0"/>
    <n v="0"/>
    <d v="2019-04-26T00:00:00"/>
    <d v="2019-04-29T00:00:00"/>
    <n v="1"/>
    <s v="0-1 día"/>
    <n v="0"/>
    <n v="0"/>
    <n v="0"/>
    <n v="1433.25"/>
  </r>
  <r>
    <s v="ABR-19"/>
    <n v="1"/>
    <s v="2029445"/>
    <s v="SR MANTENIMIENTO CORRECTIVO"/>
    <s v="7142"/>
    <s v="25/04/2019 07:43"/>
    <s v="0PW4792159"/>
    <s v="800192"/>
    <s v="PITSS"/>
    <s v="ASP"/>
    <x v="7"/>
    <s v="AMERICAS 655"/>
    <s v="GUADALAJARA-JAL"/>
    <n v="0"/>
    <s v="INTERIOR"/>
    <n v="31"/>
    <s v="Entre 31 y 60"/>
    <s v="WF Mono Systems and Legacy Color"/>
    <s v="WF"/>
    <s v="Ciudad principal"/>
    <s v="3-Entre 31 y 60"/>
    <n v="1.1000000000000001"/>
    <n v="1730.3000000000004"/>
    <n v="1"/>
    <n v="1"/>
    <n v="4"/>
    <n v="0.25"/>
    <n v="0"/>
    <n v="0"/>
    <d v="2019-04-26T00:00:00"/>
    <d v="2019-04-29T00:00:00"/>
    <n v="1"/>
    <s v="0-1 día"/>
    <n v="0"/>
    <n v="0"/>
    <n v="0"/>
    <n v="1730.3000000000004"/>
  </r>
  <r>
    <s v="ABR-19"/>
    <n v="1"/>
    <s v="2030247"/>
    <s v="SR MANTENIMIENTO CORRECTIVO"/>
    <s v="8075"/>
    <s v="26/04/2019 13:54"/>
    <s v="03AG879576"/>
    <s v="800146"/>
    <s v="PITSS"/>
    <s v="ASP"/>
    <x v="14"/>
    <s v="BLV ADOLFO LOPEZ MATEOS 2009-B"/>
    <s v="LEON-GTO"/>
    <n v="0"/>
    <s v="INTERIOR"/>
    <n v="88"/>
    <s v="&gt;60"/>
    <s v="Departmental Digital"/>
    <s v="A3"/>
    <s v="Ciudad principal"/>
    <s v="2-&gt;60"/>
    <n v="1.1000000000000001"/>
    <n v="1501.5000000000002"/>
    <n v="1"/>
    <n v="1.1000000000000001"/>
    <n v="5"/>
    <n v="0.22000000000000003"/>
    <n v="0"/>
    <n v="0"/>
    <d v="2019-04-26T00:00:00"/>
    <d v="2019-04-29T00:00:00"/>
    <n v="1"/>
    <s v="0-1 día"/>
    <n v="0"/>
    <n v="0"/>
    <n v="0"/>
    <n v="1501.5000000000002"/>
  </r>
  <r>
    <s v="ABR-19"/>
    <n v="1"/>
    <s v="2028275"/>
    <s v="SR MANTENIMIENTO CORRECTIVO"/>
    <s v="5866"/>
    <s v="23/04/2019 09:28"/>
    <s v="0EX9293387"/>
    <s v="800188"/>
    <s v="PITSS"/>
    <s v="ASP"/>
    <x v="14"/>
    <s v="PASEO IRAPUATO 1101"/>
    <s v="IRAPUATO-GTO"/>
    <n v="0"/>
    <s v="INTERIOR"/>
    <n v="9"/>
    <s v="Entre 7 y 15"/>
    <s v="Departmental Digital"/>
    <s v="A3"/>
    <s v="Ciudad principal"/>
    <s v="2-Entre 7 y 15"/>
    <n v="0.6"/>
    <n v="819"/>
    <n v="1"/>
    <n v="1.03"/>
    <n v="5"/>
    <n v="0.20600000000000002"/>
    <n v="0"/>
    <n v="0"/>
    <d v="2019-04-26T00:00:00"/>
    <d v="2019-04-29T00:00:00"/>
    <n v="1"/>
    <s v="0-1 día"/>
    <n v="0"/>
    <n v="0"/>
    <n v="0"/>
    <n v="819"/>
  </r>
  <r>
    <s v="ABR-19"/>
    <n v="1"/>
    <s v="2030313"/>
    <s v="SR MANTENIMIENTO CORRECTIVO"/>
    <s v="7142"/>
    <s v="26/04/2019 16:02"/>
    <s v="0PW4000006"/>
    <s v="500163"/>
    <s v="PITSS"/>
    <s v="ASP"/>
    <x v="7"/>
    <s v="BLV TAMAULIPAS 2388"/>
    <s v="CIUDAD VICTORIA-TAM"/>
    <n v="0"/>
    <s v="INTERIOR"/>
    <n v="98"/>
    <s v="&gt;60"/>
    <s v="WF Mono Systems and Legacy Color"/>
    <s v="WF"/>
    <s v="Ciudad principal"/>
    <s v="3-&gt;60"/>
    <n v="1.1499999999999999"/>
    <n v="1808.95"/>
    <n v="1"/>
    <n v="1.47"/>
    <n v="4"/>
    <n v="0.36749999999999999"/>
    <n v="0"/>
    <n v="0"/>
    <d v="2019-04-27T00:00:00"/>
    <d v="2019-04-29T00:00:00"/>
    <n v="0"/>
    <s v="0-1 día"/>
    <n v="0"/>
    <n v="0"/>
    <n v="0"/>
    <n v="1808.95"/>
  </r>
  <r>
    <s v="ABR-19"/>
    <n v="1"/>
    <s v="2029081"/>
    <s v="SR MANTENIMIENTO CORRECTIVO"/>
    <s v="0251"/>
    <s v="24/04/2019 14:16"/>
    <s v="0VGW686533"/>
    <s v="500161"/>
    <s v="PITSS"/>
    <s v="ASP"/>
    <x v="22"/>
    <s v="AV AMERICAS 15"/>
    <s v="CHIHUAHUA-CHIH"/>
    <n v="0"/>
    <s v="INTERIOR"/>
    <n v="9"/>
    <s v="Entre 7 y 15"/>
    <s v="A3 Professional Color Laser MFPs"/>
    <s v="A3"/>
    <s v="Ciudad principal"/>
    <s v="2-Entre 7 y 15"/>
    <n v="0.6"/>
    <n v="819"/>
    <n v="1"/>
    <n v="0.73"/>
    <n v="5"/>
    <n v="0.14599999999999999"/>
    <n v="0"/>
    <n v="0"/>
    <d v="2019-04-29T00:00:00"/>
    <d v="2019-04-29T00:00:00"/>
    <n v="0"/>
    <s v="0-1 día"/>
    <n v="0"/>
    <n v="0"/>
    <n v="0"/>
    <n v="819"/>
  </r>
  <r>
    <s v="ABR-19"/>
    <n v="1"/>
    <s v="2026063"/>
    <s v="SR SERVICIO ANALISTA"/>
    <s v="7603"/>
    <s v="17/04/2019 09:08"/>
    <s v="0ER2127879"/>
    <s v="800147"/>
    <s v="PITSS"/>
    <s v="ASP"/>
    <x v="7"/>
    <s v="BLV MANUEL J CLOUTHIER SN"/>
    <s v="LEON-GTO"/>
    <n v="0"/>
    <s v="INTERIOR"/>
    <s v="  "/>
    <s v="&gt;60"/>
    <s v="A3 Professional Color Laser MFPs"/>
    <s v="A3"/>
    <s v="Ciudad principal"/>
    <s v="2-&gt;60"/>
    <n v="1"/>
    <n v="1365"/>
    <n v="0"/>
    <n v="5"/>
    <n v="5"/>
    <n v="1"/>
    <n v="0"/>
    <n v="0"/>
    <d v="2019-04-29T00:00:00"/>
    <d v="2019-04-29T00:00:00"/>
    <n v="0"/>
    <s v="0-1 día"/>
    <n v="0"/>
    <n v="0"/>
    <n v="0"/>
    <n v="1365"/>
  </r>
  <r>
    <s v="ABR-19"/>
    <n v="1"/>
    <s v="2030357"/>
    <s v="SR MANTENIMIENTO CORRECTIVO"/>
    <s v="8075"/>
    <s v="26/04/2019 18:22"/>
    <s v="03AG873545"/>
    <s v="800186"/>
    <s v="PITSS"/>
    <s v="ASP"/>
    <x v="14"/>
    <s v="AV CONSTITUYENTES 152 PTE"/>
    <s v="QUERETARO-QRO"/>
    <n v="0"/>
    <s v="INTERIOR"/>
    <n v="3"/>
    <s v="&lt;=3"/>
    <s v="Departmental Digital"/>
    <s v="A3"/>
    <s v="Ciudad principal"/>
    <s v="2-&lt;=3"/>
    <n v="0"/>
    <n v="0"/>
    <n v="1"/>
    <n v="0"/>
    <n v="5"/>
    <n v="0"/>
    <n v="0"/>
    <n v="0"/>
    <d v="2019-04-29T00:00:00"/>
    <d v="2019-04-29T00:00:00"/>
    <n v="0"/>
    <s v="0-1 día"/>
    <n v="0"/>
    <n v="0"/>
    <n v="0"/>
    <n v="0"/>
  </r>
  <r>
    <s v="ABR-19"/>
    <n v="1"/>
    <s v="2030355"/>
    <s v="SR MANTENIMIENTO CORRECTIVO"/>
    <s v="5325"/>
    <s v="26/04/2019 18:17"/>
    <s v="0AE7176589"/>
    <s v="800074"/>
    <s v="PITSS"/>
    <s v="ASP"/>
    <x v="0"/>
    <s v="AV MONTA&amp;A MONARCA No 1340"/>
    <s v="Michoacan-MICH"/>
    <n v="0"/>
    <s v="INTERIOR"/>
    <n v="101"/>
    <s v="&gt;60"/>
    <s v="Office Digital"/>
    <s v="A3"/>
    <s v="Ciudad principal"/>
    <s v="2-&gt;60"/>
    <n v="1.1000000000000001"/>
    <n v="1501.5000000000002"/>
    <n v="1"/>
    <n v="0.5"/>
    <n v="5"/>
    <n v="0.1"/>
    <n v="0"/>
    <n v="0"/>
    <d v="2019-04-29T00:00:00"/>
    <d v="2019-04-29T00:00:00"/>
    <n v="0"/>
    <s v="0-1 día"/>
    <n v="0"/>
    <n v="0"/>
    <n v="0"/>
    <n v="1501.5000000000002"/>
  </r>
  <r>
    <s v="ABR-19"/>
    <n v="1"/>
    <s v="2030293"/>
    <s v="SR MANTENIMIENTO CORRECTIVO"/>
    <s v="0070"/>
    <s v="26/04/2019 15:26"/>
    <s v="0E2B646616"/>
    <s v="800027"/>
    <s v="PITSS"/>
    <s v="ASP"/>
    <x v="7"/>
    <s v="AV ADOLFO LOPEZ MATEOS 1299"/>
    <s v="TLAJOMULCO DE ZU&amp;IGA"/>
    <n v="0"/>
    <s v="INTERIOR"/>
    <n v="24"/>
    <s v="Entre 16 y 30"/>
    <s v="Entry Production Color Low/Mid"/>
    <s v="Entry Production"/>
    <s v="Ciudad principal"/>
    <s v="3-Entre 16 y 30"/>
    <n v="1.05"/>
    <n v="1651.6500000000003"/>
    <n v="1"/>
    <n v="2.0699999999999998"/>
    <n v="4"/>
    <n v="0.51749999999999996"/>
    <n v="0"/>
    <n v="0"/>
    <d v="2019-04-29T00:00:00"/>
    <d v="2019-04-29T00:00:00"/>
    <n v="0"/>
    <s v="0-1 día"/>
    <n v="0"/>
    <n v="0"/>
    <n v="0"/>
    <n v="1651.6500000000003"/>
  </r>
  <r>
    <s v="ABR-19"/>
    <n v="1"/>
    <s v="2030337"/>
    <s v="SR MANTENIMIENTO CORRECTIVO"/>
    <s v="7025"/>
    <s v="26/04/2019 17:10"/>
    <s v="07CX043423"/>
    <s v="500056"/>
    <s v="PITSS"/>
    <s v="ASP"/>
    <x v="31"/>
    <s v="CARR MONTERREY - REYNOSA No 210 B, PLANTA ALTA"/>
    <s v="Reynosa-TAM"/>
    <n v="0"/>
    <s v="INTERIOR"/>
    <n v="4"/>
    <s v="Entre 3 y 6"/>
    <s v="Office Digital"/>
    <s v="A3"/>
    <s v="Ciudad principal"/>
    <s v="2-Entre 3 y 6"/>
    <n v="0"/>
    <n v="0"/>
    <n v="1"/>
    <n v="0.33"/>
    <n v="5"/>
    <n v="6.6000000000000003E-2"/>
    <n v="0"/>
    <n v="0"/>
    <d v="2019-04-29T00:00:00"/>
    <d v="2019-04-29T00:00:00"/>
    <n v="0"/>
    <s v="0-1 día"/>
    <n v="0"/>
    <n v="0"/>
    <n v="0"/>
    <n v="0"/>
  </r>
  <r>
    <s v="ABR-19"/>
    <n v="1"/>
    <s v="2029085"/>
    <s v="SR MANTENIMIENTO CORRECTIVO"/>
    <s v="4395"/>
    <s v="24/04/2019 14:29"/>
    <s v="0BG2951481"/>
    <s v="500163"/>
    <s v="PITSS"/>
    <s v="ASP"/>
    <x v="7"/>
    <s v="BLV TAMAULIPAS 2388"/>
    <s v="Ciudad Victoria-TAM"/>
    <n v="0"/>
    <s v="INTERIOR"/>
    <n v="36"/>
    <s v="Entre 31 y 60"/>
    <s v="Light Production Digital Business"/>
    <s v="Entry Production"/>
    <s v="Ciudad principal"/>
    <s v="3-Entre 31 y 60"/>
    <n v="1.1000000000000001"/>
    <n v="1730.3000000000004"/>
    <n v="1"/>
    <n v="2.02"/>
    <n v="4"/>
    <n v="0.505"/>
    <n v="0"/>
    <n v="0"/>
    <d v="2019-04-26T00:00:00"/>
    <d v="2019-04-29T00:00:00"/>
    <n v="1"/>
    <s v="0-1 día"/>
    <n v="0"/>
    <n v="0"/>
    <n v="0"/>
    <n v="1730.3000000000004"/>
  </r>
  <r>
    <s v="ABR-19"/>
    <n v="1"/>
    <s v="2031199"/>
    <s v="SR MANTENIMIENTO CORRECTIVO"/>
    <s v="3657"/>
    <s v="29/04/2019 10:18"/>
    <s v="0C7X236617"/>
    <s v="500158"/>
    <s v="PITSS"/>
    <s v="ASP"/>
    <x v="3"/>
    <s v="AV TECNOLOGICO Y JUAN KEPLER 6915"/>
    <s v="CIUDAD JUAREZ-CHIH"/>
    <n v="0"/>
    <s v="INTERIOR"/>
    <n v="83"/>
    <s v="&gt;60"/>
    <s v="A4 Mono MFPs"/>
    <s v="A4"/>
    <s v="Ciudad principal"/>
    <s v="1-&gt;60"/>
    <n v="1.05"/>
    <n v="750.75000000000011"/>
    <n v="1"/>
    <n v="0.3"/>
    <n v="5"/>
    <n v="0.06"/>
    <n v="0"/>
    <n v="0"/>
    <d v="2019-04-29T00:00:00"/>
    <d v="2019-04-29T00:00:00"/>
    <n v="0"/>
    <s v="0-1 día"/>
    <n v="0"/>
    <n v="0"/>
    <n v="0"/>
    <n v="750.75000000000011"/>
  </r>
  <r>
    <s v="ABR-19"/>
    <n v="1"/>
    <s v="2031189"/>
    <s v="SR MANTENIMIENTO CORRECTIVO"/>
    <s v="3226"/>
    <s v="29/04/2019 10:11"/>
    <s v="K8B481298"/>
    <s v="500060"/>
    <s v="PITSS"/>
    <s v="ASP"/>
    <x v="32"/>
    <s v="AV MEXICO SN ESQ CALLE ANTONIO"/>
    <s v="Guadalupe-NL"/>
    <n v="0"/>
    <s v="INTERIOR"/>
    <n v="362"/>
    <s v="&gt;60"/>
    <s v="A4 Mono MFPs"/>
    <s v="A4"/>
    <s v="Ciudad principal"/>
    <s v="1-&gt;60"/>
    <n v="1.05"/>
    <n v="750.75000000000011"/>
    <n v="1"/>
    <n v="1.45"/>
    <n v="5"/>
    <n v="0.28999999999999998"/>
    <n v="0"/>
    <n v="0"/>
    <d v="2019-04-29T00:00:00"/>
    <d v="2019-04-29T00:00:00"/>
    <n v="0"/>
    <s v="0-1 día"/>
    <n v="0"/>
    <n v="0"/>
    <n v="0"/>
    <n v="750.75000000000011"/>
  </r>
  <r>
    <s v="ABR-19"/>
    <n v="1"/>
    <s v="2031119"/>
    <s v="SR MANTENIMIENTO CORRECTIVO"/>
    <s v="5866"/>
    <s v="29/04/2019 09:25"/>
    <s v="0EX9293351"/>
    <s v="500028"/>
    <s v="PITSS"/>
    <s v="ASP"/>
    <x v="14"/>
    <s v="AV JOSE ELEUTERIO GONZALEZ 315"/>
    <s v="MONTERREY-NL"/>
    <n v="0"/>
    <s v="INTERIOR"/>
    <n v="6"/>
    <s v="Entre 3 y 6"/>
    <s v="Departmental Digital"/>
    <s v="A3"/>
    <s v="Ciudad principal"/>
    <s v="2-Entre 3 y 6"/>
    <n v="0"/>
    <n v="0"/>
    <n v="1"/>
    <n v="1.58"/>
    <n v="5"/>
    <n v="0.316"/>
    <n v="0"/>
    <n v="0"/>
    <d v="2019-04-29T00:00:00"/>
    <d v="2019-04-29T00:00:00"/>
    <n v="0"/>
    <s v="0-1 día"/>
    <n v="0"/>
    <n v="0"/>
    <n v="0"/>
    <n v="0"/>
  </r>
  <r>
    <s v="ABR-19"/>
    <n v="1"/>
    <s v="2030317"/>
    <s v="SR MANTENIMIENTO CORRECTIVO"/>
    <s v="3611"/>
    <s v="26/04/2019 16:16"/>
    <s v="0A4T557980"/>
    <s v="800192"/>
    <s v="PITSS"/>
    <s v="ASP"/>
    <x v="14"/>
    <s v="MARIANO OTERO 1614"/>
    <s v="ZAPOPAN-JAL"/>
    <n v="0"/>
    <s v="INTERIOR"/>
    <n v="179"/>
    <s v="&gt;60"/>
    <s v="Entry Mono Printers"/>
    <s v="A4"/>
    <s v="Ciudad principal"/>
    <s v="1-&gt;60"/>
    <n v="1.05"/>
    <n v="750.75000000000011"/>
    <n v="1"/>
    <n v="1.23"/>
    <n v="5"/>
    <n v="0.246"/>
    <n v="0"/>
    <n v="0"/>
    <d v="2019-04-29T00:00:00"/>
    <d v="2019-04-29T00:00:00"/>
    <n v="0"/>
    <s v="0-1 día"/>
    <n v="0"/>
    <n v="0"/>
    <n v="0"/>
    <n v="750.75000000000011"/>
  </r>
  <r>
    <s v="ABR-19"/>
    <n v="1"/>
    <s v="2030321"/>
    <s v="SR MANTENIMIENTO CORRECTIVO"/>
    <s v="3611"/>
    <s v="26/04/2019 16:21"/>
    <s v="0A4T558519"/>
    <s v="800192"/>
    <s v="PITSS"/>
    <s v="ASP"/>
    <x v="14"/>
    <s v="MARIANO OTERO 1614"/>
    <s v="ZAPOPAN-JAL"/>
    <n v="0"/>
    <s v="INTERIOR"/>
    <n v="395"/>
    <s v="&gt;60"/>
    <s v="Entry Mono Printers"/>
    <s v="A4"/>
    <s v="Ciudad principal"/>
    <s v="1-&gt;60"/>
    <n v="1.05"/>
    <n v="750.75000000000011"/>
    <n v="1"/>
    <n v="2.3199999999999998"/>
    <n v="5"/>
    <n v="0.46399999999999997"/>
    <n v="0"/>
    <n v="0"/>
    <d v="2019-04-29T00:00:00"/>
    <d v="2019-04-29T00:00:00"/>
    <n v="0"/>
    <s v="0-1 día"/>
    <n v="0"/>
    <n v="0"/>
    <n v="0"/>
    <n v="750.75000000000011"/>
  </r>
  <r>
    <s v="ABR-19"/>
    <n v="1"/>
    <s v="2031135"/>
    <s v="SR MANTENIMIENTO CORRECTIVO"/>
    <s v="4310"/>
    <s v="29/04/2019 09:32"/>
    <s v="0BG0973687"/>
    <s v="500083"/>
    <s v="PITSS"/>
    <s v="ASP"/>
    <x v="14"/>
    <s v="AV JOSE ELEUTERIO GONZALEZ No 315 INT 7C"/>
    <s v="Monterrey-NL"/>
    <n v="0"/>
    <s v="INTERIOR"/>
    <n v="25"/>
    <s v="Entre 16 y 30"/>
    <s v="Light Production Digital Business"/>
    <s v="Entry Production"/>
    <s v="Ciudad principal"/>
    <s v="3-Entre 16 y 30"/>
    <n v="1.05"/>
    <n v="1651.6500000000003"/>
    <n v="1"/>
    <n v="2.64"/>
    <n v="4"/>
    <n v="0.66"/>
    <n v="0"/>
    <n v="0"/>
    <d v="2019-04-29T00:00:00"/>
    <d v="2019-04-29T00:00:00"/>
    <n v="0"/>
    <s v="0-1 día"/>
    <n v="0"/>
    <n v="0"/>
    <n v="0"/>
    <n v="1651.6500000000003"/>
  </r>
  <r>
    <s v="ABR-19"/>
    <n v="1"/>
    <s v="2030277"/>
    <s v="SR MANTENIMIENTO CORRECTIVO"/>
    <s v="0551"/>
    <s v="26/04/2019 14:47"/>
    <s v="0E2B659680"/>
    <s v="800187"/>
    <s v="PITSS"/>
    <s v="ASP"/>
    <x v="91"/>
    <s v="16 DE SEPTIEMBRE No 8 INT 8"/>
    <s v="Quintana Roo-QROO"/>
    <n v="0"/>
    <s v="INTERIOR"/>
    <n v="18"/>
    <s v="Entre 16 y 30"/>
    <s v="Entry Production Color Low/Mid"/>
    <s v="Entry Production"/>
    <s v="Ciudad principal"/>
    <s v="3-Entre 16 y 30"/>
    <n v="1.05"/>
    <n v="1651.6500000000003"/>
    <n v="1"/>
    <n v="2.72"/>
    <n v="4"/>
    <n v="0.68"/>
    <n v="0"/>
    <n v="0"/>
    <d v="2019-04-29T00:00:00"/>
    <d v="2019-04-29T00:00:00"/>
    <n v="0"/>
    <s v="0-1 día"/>
    <n v="0"/>
    <n v="0"/>
    <n v="0"/>
    <n v="1651.6500000000003"/>
  </r>
  <r>
    <s v="ABR-19"/>
    <n v="1"/>
    <s v="2031141"/>
    <s v="SR MANTENIMIENTO CORRECTIVO"/>
    <s v="8045"/>
    <s v="29/04/2019 09:35"/>
    <s v="0Y4X848866"/>
    <s v="000207"/>
    <s v="PITSS"/>
    <s v="ASP"/>
    <x v="11"/>
    <s v="AV PASEO DE LA REFORMA No 180 PISO 23"/>
    <s v="Cuauhtemoc-CIUDAD DE"/>
    <n v="1"/>
    <s v="METRO"/>
    <n v="7"/>
    <s v="Entre 7 y 15"/>
    <s v="Office Digital"/>
    <s v="A3"/>
    <s v="Ciudad principal"/>
    <s v="2-Entre 7 y 15"/>
    <n v="0.6"/>
    <n v="0"/>
    <n v="1"/>
    <n v="3.22"/>
    <n v="5"/>
    <n v="0.64400000000000002"/>
    <n v="0"/>
    <n v="0"/>
    <d v="2019-04-29T00:00:00"/>
    <d v="2019-04-29T00:00:00"/>
    <n v="0"/>
    <s v="0-1 día"/>
    <n v="0"/>
    <n v="0"/>
    <n v="0"/>
    <n v="0"/>
  </r>
  <r>
    <s v="ABR-19"/>
    <n v="1"/>
    <s v="2031315"/>
    <s v="SR MANTENIMIENTO CORRECTIVO"/>
    <s v="4395"/>
    <s v="29/04/2019 12:20"/>
    <s v="0BG2949312"/>
    <s v="100037"/>
    <s v="PITSS"/>
    <s v="ASP"/>
    <x v="7"/>
    <s v="BLV ISIDRO FABELA SUR 600"/>
    <s v="TOLUCA-MEX"/>
    <n v="0"/>
    <s v="INTERIOR"/>
    <n v="23"/>
    <s v="Entre 16 y 30"/>
    <s v="Light Production Digital Business"/>
    <s v="Entry Production"/>
    <s v="Ciudad principal"/>
    <s v="3-Entre 16 y 30"/>
    <n v="1.05"/>
    <n v="1651.6500000000003"/>
    <n v="1"/>
    <n v="0.95"/>
    <n v="4"/>
    <n v="0.23749999999999999"/>
    <n v="0"/>
    <n v="0"/>
    <d v="2019-04-29T00:00:00"/>
    <d v="2019-04-29T00:00:00"/>
    <n v="0"/>
    <s v="0-1 día"/>
    <n v="0"/>
    <n v="0"/>
    <n v="0"/>
    <n v="1651.6500000000003"/>
  </r>
  <r>
    <s v="ABR-19"/>
    <n v="1"/>
    <s v="2031127"/>
    <s v="SR MANTENIMIENTO CORRECTIVO"/>
    <s v="0070"/>
    <s v="29/04/2019 09:29"/>
    <s v="0E2B665657"/>
    <s v="500028"/>
    <s v="PITSS"/>
    <s v="ASP"/>
    <x v="14"/>
    <s v="AV JOSE ELEUTERIO GONZALEZ No 315 INT 7C"/>
    <s v="Monterrey-NL"/>
    <n v="0"/>
    <s v="INTERIOR"/>
    <n v="70"/>
    <s v="&gt;60"/>
    <s v="Entry Production Color Low/Mid"/>
    <s v="Entry Production"/>
    <s v="Ciudad principal"/>
    <s v="3-&gt;60"/>
    <n v="1.1499999999999999"/>
    <n v="1808.95"/>
    <n v="1"/>
    <n v="2.69"/>
    <n v="4"/>
    <n v="0.67249999999999999"/>
    <n v="0"/>
    <n v="0"/>
    <d v="2019-04-29T00:00:00"/>
    <d v="2019-04-29T00:00:00"/>
    <n v="0"/>
    <s v="0-1 día"/>
    <n v="0"/>
    <n v="0"/>
    <n v="0"/>
    <n v="1808.95"/>
  </r>
  <r>
    <s v="ABR-19"/>
    <n v="1"/>
    <s v="2031407"/>
    <s v="SR MANTENIMIENTO CORRECTIVO"/>
    <s v="5867"/>
    <s v="29/04/2019 14:31"/>
    <s v="0EX7384680"/>
    <s v="500089"/>
    <s v="PITSS"/>
    <s v="ASP"/>
    <x v="53"/>
    <s v="AV HERMANOS ESCOBAR No 5756"/>
    <s v="Ciudad Juarez-CHIH"/>
    <n v="1"/>
    <s v="INTERIOR"/>
    <n v="96"/>
    <s v="&gt;60"/>
    <s v="Office Digital"/>
    <s v="A3"/>
    <s v="Ciudad principal"/>
    <s v="2-&gt;60"/>
    <n v="1.1000000000000001"/>
    <n v="0"/>
    <n v="1"/>
    <n v="0"/>
    <n v="5"/>
    <n v="0"/>
    <n v="0"/>
    <n v="0"/>
    <d v="2019-04-29T00:00:00"/>
    <d v="2019-04-29T00:00:00"/>
    <n v="0"/>
    <s v="0-1 día"/>
    <n v="0"/>
    <n v="0"/>
    <n v="0"/>
    <n v="0"/>
  </r>
  <r>
    <s v="ABR-19"/>
    <n v="1"/>
    <s v="2031183"/>
    <s v="SR INSTALACION CAMBIO DE LUGAR"/>
    <s v="4002"/>
    <s v="29/04/2019 10:06"/>
    <s v="09HB331823"/>
    <s v="800196"/>
    <s v="PITSS"/>
    <s v="ASP"/>
    <x v="104"/>
    <s v="PADRE MIER No 374 LOCAL 11 Y 12"/>
    <s v="Monterrey-NL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4-29T00:00:00"/>
    <d v="2019-04-29T00:00:00"/>
    <n v="0"/>
    <s v="0-1 día"/>
    <n v="0"/>
    <n v="0"/>
    <n v="0"/>
    <n v="0"/>
  </r>
  <r>
    <s v="ABR-19"/>
    <n v="1"/>
    <s v="2030311"/>
    <s v="SR MANTENIMIENTO CORRECTIVO"/>
    <s v="5868"/>
    <s v="26/04/2019 16:01"/>
    <s v="0EX9286123"/>
    <s v="500018"/>
    <s v="PITSS"/>
    <s v="ASP"/>
    <x v="40"/>
    <s v="GRAL MARIANO ARISTA 54 B 21"/>
    <s v="MIGUEL HIDALGO-CIUDA"/>
    <n v="0"/>
    <s v="INTERIOR"/>
    <n v="2"/>
    <s v="&lt;=3"/>
    <s v="Departmental Digital"/>
    <s v="A3"/>
    <s v="Ciudad principal"/>
    <s v="2-&lt;=3"/>
    <n v="0"/>
    <n v="0"/>
    <n v="1"/>
    <n v="0.23"/>
    <n v="5"/>
    <n v="4.5999999999999999E-2"/>
    <n v="0"/>
    <n v="0"/>
    <d v="2019-04-29T00:00:00"/>
    <d v="2019-04-29T00:00:00"/>
    <n v="0"/>
    <s v="0-1 día"/>
    <n v="0"/>
    <n v="0"/>
    <n v="0"/>
    <n v="0"/>
  </r>
  <r>
    <s v="ABR-19"/>
    <n v="1"/>
    <s v="2031145"/>
    <s v="SR MANTENIMIENTO PREVENTIVO"/>
    <s v="4603"/>
    <s v="29/04/2019 09:42"/>
    <s v="0XLT280681"/>
    <s v="500159"/>
    <s v="PITSS"/>
    <s v="ASP"/>
    <x v="30"/>
    <s v="CRISTOBAL COLON 11364"/>
    <s v="CHIHUAHUA-CHIH"/>
    <n v="0"/>
    <s v="INTERIOR"/>
    <s v="  "/>
    <s v="&gt;60"/>
    <s v="Entry Mono Printers"/>
    <s v="A4"/>
    <s v="Ciudad principal"/>
    <s v="1-&gt;60"/>
    <n v="1"/>
    <n v="715.00000000000011"/>
    <n v="0"/>
    <n v="5"/>
    <n v="5"/>
    <n v="1"/>
    <n v="0"/>
    <n v="0"/>
    <d v="2019-04-29T00:00:00"/>
    <d v="2019-04-29T00:00:00"/>
    <n v="0"/>
    <s v="0-1 día"/>
    <n v="0"/>
    <n v="0"/>
    <n v="0"/>
    <n v="715.00000000000011"/>
  </r>
  <r>
    <s v="ABR-19"/>
    <n v="1"/>
    <s v="2030199"/>
    <s v="SR INSTALACION DE EQUIPO"/>
    <s v="5337"/>
    <s v="26/04/2019 12:39"/>
    <s v="0AE9563383"/>
    <s v="800197"/>
    <s v="PITSS"/>
    <s v="ASP"/>
    <x v="30"/>
    <s v="CIRCUITO MEXICO No 125"/>
    <s v="San Luis Potosi-SLP"/>
    <n v="0"/>
    <s v="INTERIOR"/>
    <s v="  "/>
    <s v="&gt;60"/>
    <s v="Office Digital"/>
    <s v="A3"/>
    <s v="Ciudad principal"/>
    <s v="2-&gt;60"/>
    <n v="1"/>
    <n v="2047.5"/>
    <n v="0"/>
    <n v="5"/>
    <n v="5"/>
    <n v="1"/>
    <n v="0"/>
    <n v="0"/>
    <d v="2019-04-26T00:00:00"/>
    <d v="2019-04-29T00:00:00"/>
    <n v="1"/>
    <s v="0-1 día"/>
    <n v="0"/>
    <n v="0"/>
    <n v="0"/>
    <n v="2047.5"/>
  </r>
  <r>
    <s v="ABR-19"/>
    <n v="1"/>
    <s v="2031231"/>
    <s v="SR MANTENIMIENTO CORRECTIVO"/>
    <s v="4624"/>
    <s v="29/04/2019 11:01"/>
    <s v="0D6X462987"/>
    <s v="500156"/>
    <s v="PITSS"/>
    <s v="ASP"/>
    <x v="30"/>
    <s v="AV VALLE DEL CEDRO 1681"/>
    <s v="CIUDAD JUAREZ-CHIH"/>
    <n v="0"/>
    <s v="INTERIOR"/>
    <n v="32"/>
    <s v="Entre 31 y 60"/>
    <s v="Entry Mono Printers"/>
    <s v="A4"/>
    <s v="Ciudad principal"/>
    <s v="1-Entre 31 y 60"/>
    <n v="0.8"/>
    <n v="572.00000000000011"/>
    <n v="1"/>
    <n v="0"/>
    <n v="5"/>
    <n v="0"/>
    <n v="0"/>
    <n v="0"/>
    <d v="2019-04-29T00:00:00"/>
    <d v="2019-04-29T00:00:00"/>
    <n v="0"/>
    <s v="0-1 día"/>
    <n v="0"/>
    <n v="0"/>
    <n v="0"/>
    <n v="572.00000000000011"/>
  </r>
  <r>
    <s v="ABR-19"/>
    <n v="1"/>
    <s v="2030031"/>
    <s v="SR MANTENIMIENTO CORRECTIVO"/>
    <s v="4395"/>
    <s v="26/04/2019 09:13"/>
    <s v="0BG2951498"/>
    <s v="500018"/>
    <s v="PITSS"/>
    <s v="ASP"/>
    <x v="7"/>
    <s v="BLV FELIPE PESCADOR 1902 ESQ PEDRO"/>
    <s v="DURANGO-DGO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0.91"/>
    <n v="4"/>
    <n v="0.22750000000000001"/>
    <n v="0"/>
    <n v="0"/>
    <d v="2019-04-26T00:00:00"/>
    <d v="2019-04-29T00:00:00"/>
    <n v="1"/>
    <s v="0-1 día"/>
    <n v="0"/>
    <n v="0"/>
    <n v="0"/>
    <n v="1258.4000000000003"/>
  </r>
  <r>
    <s v="ABR-19"/>
    <n v="1"/>
    <s v="2029971"/>
    <s v="SR MANTENIMIENTO CORRECTIVO"/>
    <s v="3658"/>
    <s v="26/04/2019 07:03"/>
    <s v="0C4X011100"/>
    <s v="800186"/>
    <s v="PITSS"/>
    <s v="ASP"/>
    <x v="2"/>
    <s v="AV REVOLUCION 81"/>
    <s v="QUERETARO-QRO"/>
    <n v="0"/>
    <s v="INTERIOR"/>
    <n v="106"/>
    <s v="&gt;60"/>
    <s v="A4 Mono MFPs"/>
    <s v="A4"/>
    <s v="Ciudad principal"/>
    <s v="1-&gt;60"/>
    <n v="1.05"/>
    <n v="750.75000000000011"/>
    <n v="1"/>
    <n v="3.27"/>
    <n v="5"/>
    <n v="0.65400000000000003"/>
    <n v="0"/>
    <n v="0"/>
    <d v="2019-04-26T00:00:00"/>
    <d v="2019-04-29T00:00:00"/>
    <n v="1"/>
    <s v="0-1 día"/>
    <n v="0"/>
    <n v="0"/>
    <n v="0"/>
    <n v="750.75000000000011"/>
  </r>
  <r>
    <s v="ABR-19"/>
    <n v="1"/>
    <s v="2031149"/>
    <s v="SR MANTENIMIENTO PREVENTIVO"/>
    <s v="5552"/>
    <s v="29/04/2019 09:45"/>
    <s v="0KPA018838"/>
    <s v="500159"/>
    <s v="PITSS"/>
    <s v="ASP"/>
    <x v="30"/>
    <s v="CRISTOBAL COLON 11364"/>
    <s v="CHIHUAHUA-CHIH"/>
    <n v="0"/>
    <s v="INTERIOR"/>
    <s v="  "/>
    <s v="&gt;60"/>
    <s v="Entry Mono Printers"/>
    <s v="A4"/>
    <s v="Ciudad principal"/>
    <s v="1-&gt;60"/>
    <n v="1"/>
    <n v="715.00000000000011"/>
    <n v="0"/>
    <n v="5"/>
    <n v="5"/>
    <n v="1"/>
    <n v="0"/>
    <n v="0"/>
    <d v="2019-04-29T00:00:00"/>
    <d v="2019-04-29T00:00:00"/>
    <n v="0"/>
    <s v="0-1 día"/>
    <n v="0"/>
    <n v="0"/>
    <n v="0"/>
    <n v="715.00000000000011"/>
  </r>
  <r>
    <s v="ABR-19"/>
    <n v="1"/>
    <s v="2031275"/>
    <s v="SR MANTENIMIENTO CORRECTIVO"/>
    <s v="5866"/>
    <s v="29/04/2019 11:59"/>
    <s v="0EX9293331"/>
    <s v="500060"/>
    <s v="PITSS"/>
    <s v="ASP"/>
    <x v="7"/>
    <s v="AV REVOLUCION 2703, LOC SA-01"/>
    <s v="Monterrey-NL"/>
    <n v="0"/>
    <s v="INTERIOR"/>
    <n v="187"/>
    <s v="&gt;60"/>
    <s v="Departmental Digital"/>
    <s v="A3"/>
    <s v="Ciudad principal"/>
    <s v="2-&gt;60"/>
    <n v="1.1000000000000001"/>
    <n v="1501.5000000000002"/>
    <n v="1"/>
    <n v="1.82"/>
    <n v="5"/>
    <n v="0.36399999999999999"/>
    <n v="0"/>
    <n v="0"/>
    <d v="2019-04-29T00:00:00"/>
    <d v="2019-04-29T00:00:00"/>
    <n v="0"/>
    <s v="0-1 día"/>
    <n v="0"/>
    <n v="0"/>
    <n v="0"/>
    <n v="1501.5000000000002"/>
  </r>
  <r>
    <s v="ABR-19"/>
    <n v="1"/>
    <s v="2031339"/>
    <s v="SR MANTENIMIENTO CORRECTIVO"/>
    <s v="4395"/>
    <s v="29/04/2019 12:39"/>
    <s v="0BG2941143"/>
    <s v="500093"/>
    <s v="PITSS"/>
    <s v="ASP"/>
    <x v="7"/>
    <s v="BLV 15 DE SEP 4243"/>
    <s v="NUEVO LAREDO-TAM"/>
    <n v="0"/>
    <s v="INTERIOR"/>
    <n v="14"/>
    <s v="Entre 7 y 15"/>
    <s v="Light Production Digital Business"/>
    <s v="Entry Production"/>
    <s v="Ciudad principal"/>
    <s v="3-Entre 7 y 15"/>
    <n v="0.8"/>
    <n v="1258.4000000000003"/>
    <n v="1"/>
    <n v="2.1800000000000002"/>
    <n v="4"/>
    <n v="0.54500000000000004"/>
    <n v="0"/>
    <n v="0"/>
    <d v="2019-04-29T00:00:00"/>
    <d v="2019-04-29T00:00:00"/>
    <n v="0"/>
    <s v="0-1 día"/>
    <n v="0"/>
    <n v="0"/>
    <n v="0"/>
    <n v="1258.4000000000003"/>
  </r>
  <r>
    <s v="ABR-19"/>
    <n v="1"/>
    <s v="2031125"/>
    <s v="SR MANTENIMIENTO CORRECTIVO"/>
    <s v="8075"/>
    <s v="29/04/2019 09:28"/>
    <s v="03AG880377"/>
    <s v="800146"/>
    <s v="PITSS"/>
    <s v="ASP"/>
    <x v="14"/>
    <s v="BLVD ADOLFO LOPEZ MATEOS 2540"/>
    <s v="LEON-GTO"/>
    <n v="0"/>
    <s v="INTERIOR"/>
    <n v="4"/>
    <s v="Entre 3 y 6"/>
    <s v="Departmental Digital"/>
    <s v="A3"/>
    <s v="Ciudad principal"/>
    <s v="2-Entre 3 y 6"/>
    <n v="0"/>
    <n v="0"/>
    <n v="1"/>
    <n v="4.8600000000000003"/>
    <n v="5"/>
    <n v="0.97200000000000009"/>
    <n v="0"/>
    <n v="0"/>
    <d v="2019-04-29T00:00:00"/>
    <d v="2019-04-29T00:00:00"/>
    <n v="0"/>
    <s v="0-1 día"/>
    <n v="0"/>
    <n v="0"/>
    <n v="0"/>
    <n v="0"/>
  </r>
  <r>
    <s v="ABR-19"/>
    <n v="1"/>
    <s v="2031249"/>
    <s v="SR MANTENIMIENTO CORRECTIVO"/>
    <s v="7855"/>
    <s v="29/04/2019 11:12"/>
    <s v="0MX4465124"/>
    <s v="800072"/>
    <s v="PITSS"/>
    <s v="ASP"/>
    <x v="7"/>
    <s v="AV INDEPENDENCIA 351"/>
    <s v="Guadalajara-JAL"/>
    <n v="0"/>
    <s v="INTERIOR"/>
    <n v="669"/>
    <s v="&gt;60"/>
    <s v="A3 Office Color Laser MFPs"/>
    <s v="A3"/>
    <s v="Ciudad principal"/>
    <s v="2-&gt;60"/>
    <n v="1.1000000000000001"/>
    <n v="1501.5000000000002"/>
    <n v="1"/>
    <n v="2.4700000000000002"/>
    <n v="5"/>
    <n v="0.49400000000000005"/>
    <n v="0"/>
    <n v="0"/>
    <d v="2019-04-29T00:00:00"/>
    <d v="2019-04-29T00:00:00"/>
    <n v="0"/>
    <s v="0-1 día"/>
    <n v="0"/>
    <n v="0"/>
    <n v="0"/>
    <n v="1501.5000000000002"/>
  </r>
  <r>
    <s v="ABR-19"/>
    <n v="1"/>
    <s v="2029879"/>
    <s v="SR MANTENIMIENTO CORRECTIVO"/>
    <s v="0551"/>
    <s v="25/04/2019 16:47"/>
    <s v="0XPN398415"/>
    <s v="800192"/>
    <s v="PITSS"/>
    <s v="ASP"/>
    <x v="14"/>
    <s v="AV VALLARTA 5400"/>
    <s v="ZAPOPAN-JAL"/>
    <n v="0"/>
    <s v="INTERIOR"/>
    <n v="56"/>
    <s v="Entre 31 y 60"/>
    <s v="Entry Production Color Low/Mid"/>
    <s v="Entry Production"/>
    <s v="Ciudad principal"/>
    <s v="3-Entre 31 y 60"/>
    <n v="1.1000000000000001"/>
    <n v="1730.3000000000004"/>
    <n v="1"/>
    <n v="0.72"/>
    <n v="4"/>
    <n v="0.18"/>
    <n v="0"/>
    <n v="0"/>
    <d v="2019-04-30T00:00:00"/>
    <d v="2019-04-30T00:00:00"/>
    <n v="0"/>
    <s v="0-1 día"/>
    <n v="0"/>
    <n v="0"/>
    <n v="0"/>
    <n v="1730.3000000000004"/>
  </r>
  <r>
    <s v="ABR-19"/>
    <n v="1"/>
    <s v="2031535"/>
    <s v="SR MANTENIMIENTO CORRECTIVO"/>
    <s v="4002"/>
    <s v="29/04/2019 17:37"/>
    <s v="09HB333007"/>
    <s v="500083"/>
    <s v="PITSS"/>
    <s v="ASP"/>
    <x v="31"/>
    <s v="AV JUAREZ No 1102 PISO 40"/>
    <s v="Monterrey-NL"/>
    <n v="0"/>
    <s v="INTERIOR"/>
    <n v="24"/>
    <s v="Entre 16 y 30"/>
    <s v="A4 Mono MFPs"/>
    <s v="A4"/>
    <s v="Ciudad principal"/>
    <s v="1-Entre 16 y 30"/>
    <n v="0.6"/>
    <n v="429.00000000000006"/>
    <n v="1"/>
    <n v="0"/>
    <n v="5"/>
    <n v="0"/>
    <n v="0"/>
    <n v="0"/>
    <d v="2019-04-30T00:00:00"/>
    <d v="2019-04-30T00:00:00"/>
    <n v="0"/>
    <s v="0-1 día"/>
    <n v="0"/>
    <n v="0"/>
    <n v="0"/>
    <n v="429.00000000000006"/>
  </r>
  <r>
    <s v="ABR-19"/>
    <n v="1"/>
    <s v="2031385"/>
    <s v="SR MANTENIMIENTO CORRECTIVO"/>
    <s v="3346"/>
    <s v="29/04/2019 14:04"/>
    <s v="03BT802246"/>
    <s v="500066"/>
    <s v="PITSS"/>
    <s v="ASP"/>
    <x v="105"/>
    <s v="CALZADA DEL VALLE No 205"/>
    <s v="San Pedro Garza Garc"/>
    <n v="0"/>
    <s v="INTERIOR"/>
    <n v="326"/>
    <s v="&gt;60"/>
    <s v="A4 Mono MFPs"/>
    <s v="A4"/>
    <s v="Ciudad principal"/>
    <s v="1-&gt;60"/>
    <n v="1.05"/>
    <n v="750.75000000000011"/>
    <n v="1"/>
    <n v="3.6"/>
    <n v="5"/>
    <n v="0.72"/>
    <n v="0"/>
    <n v="0"/>
    <d v="2019-04-30T00:00:00"/>
    <d v="2019-04-30T00:00:00"/>
    <n v="0"/>
    <s v="0-1 día"/>
    <n v="0"/>
    <n v="0"/>
    <n v="0"/>
    <n v="750.75000000000011"/>
  </r>
  <r>
    <s v="ABR-19"/>
    <n v="1"/>
    <s v="2031543"/>
    <s v="SR MANTENIMIENTO CORRECTIVO"/>
    <s v="3658"/>
    <s v="29/04/2019 18:06"/>
    <s v="0C4X003904"/>
    <s v="800147"/>
    <s v="PITSS"/>
    <s v="ASP"/>
    <x v="34"/>
    <s v="AV CERRO GORDO No 130 PISO 1"/>
    <s v="Leon-GTO"/>
    <n v="0"/>
    <s v="INTERIOR"/>
    <n v="103"/>
    <s v="&gt;60"/>
    <s v="A4 Mono MFPs"/>
    <s v="A4"/>
    <s v="Ciudad principal"/>
    <s v="1-&gt;60"/>
    <n v="1.05"/>
    <n v="750.75000000000011"/>
    <n v="1"/>
    <n v="0"/>
    <n v="5"/>
    <n v="0"/>
    <n v="0"/>
    <n v="0"/>
    <d v="2019-04-30T00:00:00"/>
    <d v="2019-04-30T00:00:00"/>
    <n v="0"/>
    <s v="0-1 día"/>
    <n v="0"/>
    <n v="0"/>
    <n v="0"/>
    <n v="750.75000000000011"/>
  </r>
  <r>
    <s v="ABR-19"/>
    <n v="1"/>
    <s v="2031487"/>
    <s v="SR MANTENIMIENTO PREVENTIVO"/>
    <s v="4603"/>
    <s v="29/04/2019 16:13"/>
    <s v="0XLT280680"/>
    <s v="500159"/>
    <s v="PITSS"/>
    <s v="ASP"/>
    <x v="30"/>
    <s v="CRISTOBAL COLON 11364"/>
    <s v="CHIHUAHUA-CHIH"/>
    <n v="0"/>
    <s v="INTERIOR"/>
    <s v="  "/>
    <s v="&gt;60"/>
    <s v="Entry Mono Printers"/>
    <s v="A4"/>
    <s v="Ciudad principal"/>
    <s v="1-&gt;60"/>
    <n v="1"/>
    <n v="715.00000000000011"/>
    <n v="0"/>
    <n v="5"/>
    <n v="5"/>
    <n v="1"/>
    <n v="0"/>
    <n v="0"/>
    <d v="2019-04-29T00:00:00"/>
    <d v="2019-04-30T00:00:00"/>
    <n v="1"/>
    <s v="0-1 día"/>
    <n v="0"/>
    <n v="0"/>
    <n v="0"/>
    <n v="715.00000000000011"/>
  </r>
  <r>
    <s v="ABR-19"/>
    <n v="1"/>
    <s v="2028035"/>
    <s v="SR MANTENIMIENTO CORRECTIVO"/>
    <s v="5945"/>
    <s v="22/04/2019 15:58"/>
    <s v="0X76370965"/>
    <s v="500158"/>
    <s v="PITSS"/>
    <s v="ASP"/>
    <x v="3"/>
    <s v="AV DE LAS INDUSTRIAS S/N"/>
    <s v="Ciudad Juarez-CHIH"/>
    <n v="0"/>
    <s v="INTERIOR"/>
    <n v="10"/>
    <s v="Entre 7 y 15"/>
    <s v="Office Digital"/>
    <s v="A3"/>
    <s v="Ciudad principal"/>
    <s v="2-Entre 7 y 15"/>
    <n v="0.6"/>
    <n v="819"/>
    <n v="1"/>
    <n v="1.53"/>
    <n v="5"/>
    <n v="0.30599999999999999"/>
    <n v="0"/>
    <n v="0"/>
    <d v="2019-04-24T00:00:00"/>
    <d v="2019-04-30T00:00:00"/>
    <n v="4"/>
    <s v="4-5 días"/>
    <n v="0.5"/>
    <n v="-682.5"/>
    <n v="0"/>
    <n v="819"/>
  </r>
  <r>
    <s v="ABR-19"/>
    <n v="1"/>
    <s v="2029895"/>
    <s v="SR MANTENIMIENTO CORRECTIVO"/>
    <s v="3610"/>
    <s v="25/04/2019 17:41"/>
    <s v="0A4T021931"/>
    <s v="500155"/>
    <s v="PITSS"/>
    <s v="ASP"/>
    <x v="30"/>
    <s v="CALLE DE LOS CEDROS 1681"/>
    <s v="CIUDAD JUAREZ-CHIH"/>
    <n v="0"/>
    <s v="INTERIOR"/>
    <n v="84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4-30T00:00:00"/>
    <d v="2019-04-30T00:00:00"/>
    <n v="0"/>
    <s v="0-1 día"/>
    <n v="0"/>
    <n v="0"/>
    <n v="0"/>
    <n v="750.75000000000011"/>
  </r>
  <r>
    <s v="ABR-19"/>
    <n v="1"/>
    <s v="2029799"/>
    <s v="SR MANTENIMIENTO CORRECTIVO"/>
    <s v="8880"/>
    <s v="25/04/2019 14:29"/>
    <s v="0T4B003700"/>
    <s v="800027"/>
    <s v="PITSS"/>
    <s v="ASP"/>
    <x v="76"/>
    <s v="CARRETERA BASE AEREA No 5850 INT 4"/>
    <s v="Zapopan-JAL"/>
    <n v="0"/>
    <s v="INTERIOR"/>
    <n v="2702"/>
    <s v="&gt;60"/>
    <s v="Color Solid Ink Printers"/>
    <s v="A4"/>
    <s v="Ciudad principal"/>
    <s v="1-&gt;60"/>
    <n v="1.05"/>
    <n v="750.75000000000011"/>
    <n v="1"/>
    <n v="1.25"/>
    <n v="5"/>
    <n v="0.25"/>
    <n v="0"/>
    <n v="0"/>
    <d v="2019-04-30T00:00:00"/>
    <d v="2019-04-30T00:00:00"/>
    <n v="0"/>
    <s v="0-1 día"/>
    <n v="0"/>
    <n v="0"/>
    <n v="0"/>
    <n v="750.75000000000011"/>
  </r>
  <r>
    <s v="ABR-19"/>
    <n v="1"/>
    <s v="2031427"/>
    <s v="SR MANTENIMIENTO CORRECTIVO"/>
    <s v="5866"/>
    <s v="29/04/2019 14:53"/>
    <s v="0EX9293483"/>
    <s v="800197"/>
    <s v="PITSS"/>
    <s v="ASP"/>
    <x v="14"/>
    <s v="AV VENUSTIANO CARRANZA 2301"/>
    <s v="SAN LUIS POTOSI-SLP"/>
    <n v="0"/>
    <s v="INTERIOR"/>
    <n v="19"/>
    <s v="Entre 16 y 30"/>
    <s v="Departmental Digital"/>
    <s v="A3"/>
    <s v="Ciudad principal"/>
    <s v="2-Entre 16 y 30"/>
    <n v="0.8"/>
    <n v="1092"/>
    <n v="1"/>
    <n v="3.05"/>
    <n v="5"/>
    <n v="0.61"/>
    <n v="0"/>
    <n v="0"/>
    <d v="2019-04-30T00:00:00"/>
    <d v="2019-04-30T00:00:00"/>
    <n v="0"/>
    <s v="0-1 día"/>
    <n v="0"/>
    <n v="0"/>
    <n v="0"/>
    <n v="1092"/>
  </r>
  <r>
    <s v="ABR-19"/>
    <n v="1"/>
    <s v="2030085"/>
    <s v="SR MANTENIMIENTO CORRECTIVO"/>
    <s v="5866"/>
    <s v="26/04/2019 10:03"/>
    <s v="0EX9293515"/>
    <s v="800113"/>
    <s v="PITSS"/>
    <s v="ASP"/>
    <x v="14"/>
    <s v="AV PATRIA 1612 MZ 1 LT 30 Y 30A"/>
    <s v="ZAPOPAN-JAL"/>
    <n v="0"/>
    <s v="INTERIOR"/>
    <n v="10"/>
    <s v="Entre 7 y 15"/>
    <s v="Departmental Digital"/>
    <s v="A3"/>
    <s v="Ciudad principal"/>
    <s v="2-Entre 7 y 15"/>
    <n v="0.6"/>
    <n v="819"/>
    <n v="1"/>
    <n v="1.5"/>
    <n v="5"/>
    <n v="0.3"/>
    <n v="0"/>
    <n v="0"/>
    <d v="2019-04-30T00:00:00"/>
    <d v="2019-04-30T00:00:00"/>
    <n v="0"/>
    <s v="0-1 día"/>
    <n v="0"/>
    <n v="0"/>
    <n v="0"/>
    <n v="819"/>
  </r>
  <r>
    <s v="ABR-19"/>
    <n v="1"/>
    <s v="2026313"/>
    <s v="SR MANTENIMIENTO CORRECTIVO"/>
    <s v="5955"/>
    <s v="17/04/2019 13:18"/>
    <s v="0X76092639"/>
    <s v="800200"/>
    <s v="PITSS"/>
    <s v="ASP"/>
    <x v="24"/>
    <s v="CARR GUADALAJARA -CHAPALA KM 17.5"/>
    <s v="TLAJOMULCO DE ZU&amp;IGA"/>
    <n v="0"/>
    <s v="INTERIOR"/>
    <n v="491"/>
    <s v="&gt;60"/>
    <s v="Departmental Digital"/>
    <s v="A3"/>
    <s v="Ciudad principal"/>
    <s v="2-&gt;60"/>
    <n v="1.1000000000000001"/>
    <n v="1501.5000000000002"/>
    <n v="1"/>
    <n v="2.1800000000000002"/>
    <n v="5"/>
    <n v="0.43600000000000005"/>
    <n v="0"/>
    <n v="0"/>
    <d v="2019-04-30T00:00:00"/>
    <d v="2019-04-30T00:00:00"/>
    <n v="0"/>
    <s v="0-1 día"/>
    <n v="0"/>
    <n v="0"/>
    <n v="0"/>
    <n v="1501.5000000000002"/>
  </r>
  <r>
    <s v="ABR-19"/>
    <n v="1"/>
    <s v="2031603"/>
    <s v="SR MANTENIMIENTO CORRECTIVO"/>
    <s v="6705"/>
    <s v="30/04/2019 08:17"/>
    <s v="0A1H021381"/>
    <s v="800147"/>
    <s v="PITSS"/>
    <s v="ASP"/>
    <x v="7"/>
    <s v="CALLE 5 DE MAYO No 208-A"/>
    <s v="Leon-GTO"/>
    <n v="0"/>
    <s v="INTERIOR"/>
    <n v="298"/>
    <s v="&gt;60"/>
    <s v="WF Mono Systems and Legacy Color"/>
    <s v="WF"/>
    <s v="Ciudad principal"/>
    <s v="3-&gt;60"/>
    <n v="1.1499999999999999"/>
    <n v="1808.95"/>
    <n v="1"/>
    <n v="2.2000000000000002"/>
    <n v="4"/>
    <n v="0.55000000000000004"/>
    <n v="0"/>
    <n v="0"/>
    <d v="2019-04-30T00:00:00"/>
    <d v="2019-04-30T00:00:00"/>
    <n v="0"/>
    <s v="0-1 día"/>
    <n v="0"/>
    <n v="0"/>
    <n v="0"/>
    <n v="1808.95"/>
  </r>
  <r>
    <s v="ABR-19"/>
    <n v="1"/>
    <s v="2031623"/>
    <s v="SR INSTALACION DE EQUIPO"/>
    <s v="6512"/>
    <s v="30/04/2019 08:54"/>
    <s v="5AV803529"/>
    <s v="500019"/>
    <s v="PITSS"/>
    <s v="ASP"/>
    <x v="45"/>
    <s v="PONIENTE 134 NUM 580 B"/>
    <s v="AZCAPOTZALCO-CIUDAD"/>
    <n v="0"/>
    <s v="INTERIOR"/>
    <s v="  "/>
    <s v="&gt;60"/>
    <s v="A4 Color Laser MFPs"/>
    <s v="A4"/>
    <s v="Ciudad principal"/>
    <s v="1-&gt;60"/>
    <n v="1"/>
    <n v="1072.5000000000002"/>
    <n v="0"/>
    <n v="5"/>
    <n v="5"/>
    <n v="1"/>
    <n v="0"/>
    <n v="0"/>
    <d v="2019-04-30T00:00:00"/>
    <d v="2019-04-30T00:00:00"/>
    <n v="0"/>
    <s v="0-1 día"/>
    <n v="0"/>
    <n v="0"/>
    <n v="0"/>
    <n v="1072.5000000000002"/>
  </r>
  <r>
    <s v="ABR-19"/>
    <n v="1"/>
    <s v="2030181"/>
    <s v="SR MANTENIMIENTO CORRECTIVO"/>
    <s v="4624"/>
    <s v="26/04/2019 12:05"/>
    <s v="0D6X463460"/>
    <s v="500155"/>
    <s v="PITSS"/>
    <s v="ASP"/>
    <x v="30"/>
    <s v="AV VALLE DEL CEDRO 1681"/>
    <s v="CIUDAD JUAREZ-CHIH"/>
    <n v="0"/>
    <s v="INTERIOR"/>
    <n v="255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4-30T00:00:00"/>
    <d v="2019-04-30T00:00:00"/>
    <n v="0"/>
    <s v="0-1 día"/>
    <n v="0"/>
    <n v="0"/>
    <n v="0"/>
    <n v="750.75000000000011"/>
  </r>
  <r>
    <s v="ABR-19"/>
    <n v="1"/>
    <s v="2031611"/>
    <s v="SR MANTENIMIENTO CORRECTIVO"/>
    <s v="8075"/>
    <s v="30/04/2019 08:34"/>
    <s v="03AG873888"/>
    <s v="500028"/>
    <s v="PITSS"/>
    <s v="ASP"/>
    <x v="14"/>
    <s v="AV JOSE ELEUTERIO GONZALEZ No 315 INT 7C"/>
    <s v="Monterrey-NL"/>
    <n v="0"/>
    <s v="INTERIOR"/>
    <n v="89"/>
    <s v="&gt;60"/>
    <s v="Departmental Digital"/>
    <s v="A3"/>
    <s v="Ciudad principal"/>
    <s v="2-&gt;60"/>
    <n v="1.1000000000000001"/>
    <n v="1501.5000000000002"/>
    <n v="1"/>
    <n v="1.43"/>
    <n v="5"/>
    <n v="0.28599999999999998"/>
    <n v="0"/>
    <n v="0"/>
    <d v="2019-04-30T00:00:00"/>
    <d v="2019-04-30T00:00:00"/>
    <n v="0"/>
    <s v="0-1 día"/>
    <n v="0"/>
    <n v="0"/>
    <n v="0"/>
    <n v="1501.5000000000002"/>
  </r>
  <r>
    <s v="ABR-19"/>
    <n v="1"/>
    <s v="2031719"/>
    <s v="SR MANTENIMIENTO CORRECTIVO"/>
    <s v="8075"/>
    <s v="30/04/2019 10:28"/>
    <s v="03AG873545"/>
    <s v="800186"/>
    <s v="PITSS"/>
    <s v="ASP"/>
    <x v="14"/>
    <s v="AV CONSTITUYENTES 152 PTE"/>
    <s v="QUERETARO-QRO"/>
    <n v="0"/>
    <s v="INTERIOR"/>
    <n v="4"/>
    <s v="Entre 3 y 6"/>
    <s v="Departmental Digital"/>
    <s v="A3"/>
    <s v="Ciudad principal"/>
    <s v="2-Entre 3 y 6"/>
    <n v="0"/>
    <n v="0"/>
    <n v="1"/>
    <n v="1.5"/>
    <n v="5"/>
    <n v="0.3"/>
    <n v="0"/>
    <n v="0"/>
    <d v="2019-04-30T00:00:00"/>
    <d v="2019-04-30T00:00:00"/>
    <n v="0"/>
    <s v="0-1 día"/>
    <n v="0"/>
    <n v="0"/>
    <n v="0"/>
    <n v="0"/>
  </r>
  <r>
    <s v="ABR-19"/>
    <n v="1"/>
    <s v="2031613"/>
    <s v="SR MANTENIMIENTO CORRECTIVO"/>
    <s v="5945"/>
    <s v="30/04/2019 08:38"/>
    <s v="0X76705839"/>
    <s v="500156"/>
    <s v="PITSS"/>
    <s v="ASP"/>
    <x v="30"/>
    <s v="AV FUENTES DEL SUR No 7070"/>
    <s v="Ciudad Juarez-CHIH"/>
    <n v="0"/>
    <s v="INTERIOR"/>
    <n v="19"/>
    <s v="Entre 16 y 30"/>
    <s v="Office Digital"/>
    <s v="A3"/>
    <s v="Ciudad principal"/>
    <s v="2-Entre 16 y 30"/>
    <n v="0.8"/>
    <n v="1092"/>
    <n v="1"/>
    <n v="0.87"/>
    <n v="5"/>
    <n v="0.17399999999999999"/>
    <n v="0"/>
    <n v="0"/>
    <d v="2019-04-30T00:00:00"/>
    <d v="2019-04-30T00:00:00"/>
    <n v="0"/>
    <s v="0-1 día"/>
    <n v="0"/>
    <n v="0"/>
    <n v="0"/>
    <n v="1092"/>
  </r>
  <r>
    <s v="ABR-19"/>
    <n v="1"/>
    <s v="2031515"/>
    <s v="SR MANTENIMIENTO CORRECTIVO"/>
    <s v="3636"/>
    <s v="29/04/2019 16:53"/>
    <s v="0BB1564131"/>
    <s v="800146"/>
    <s v="PITSS"/>
    <s v="ASP"/>
    <x v="2"/>
    <s v="BLVD URIANGATO 240"/>
    <s v="URIANGATO-GTO"/>
    <n v="0"/>
    <s v="INTERIOR"/>
    <n v="7"/>
    <s v="Entre 7 y 15"/>
    <s v="A4 Mono MFPs"/>
    <s v="A4"/>
    <s v="Ciudad principal"/>
    <s v="1-Entre 7 y 15"/>
    <n v="0"/>
    <n v="0"/>
    <n v="1"/>
    <n v="2.62"/>
    <n v="5"/>
    <n v="0.52400000000000002"/>
    <n v="0"/>
    <n v="0"/>
    <d v="2019-04-30T00:00:00"/>
    <d v="2019-04-30T00:00:00"/>
    <n v="0"/>
    <s v="0-1 día"/>
    <n v="0"/>
    <n v="0"/>
    <n v="0"/>
    <n v="0"/>
  </r>
  <r>
    <s v="ABR-19"/>
    <n v="1"/>
    <s v="2031545"/>
    <s v="SR MANTENIMIENTO CORRECTIVO"/>
    <s v="3326"/>
    <s v="29/04/2019 18:13"/>
    <s v="0LA6296642"/>
    <s v="500071"/>
    <s v="PITSS"/>
    <s v="ASP"/>
    <x v="10"/>
    <s v="CHIHUAHUA S/N ENTRE TLAXCALA Y DURANGO"/>
    <s v="REYNOSA-TAM"/>
    <n v="0"/>
    <s v="INTERIOR"/>
    <n v="104"/>
    <s v="&gt;60"/>
    <s v="A4 Mono MFPs"/>
    <s v="A4"/>
    <s v="Ciudad principal"/>
    <s v="1-&gt;60"/>
    <n v="1.05"/>
    <n v="750.75000000000011"/>
    <n v="1"/>
    <n v="2.92"/>
    <n v="5"/>
    <n v="0.58399999999999996"/>
    <n v="0"/>
    <n v="0"/>
    <d v="2019-04-30T00:00:00"/>
    <d v="2019-04-30T00:00:00"/>
    <n v="0"/>
    <s v="0-1 día"/>
    <n v="0"/>
    <n v="0"/>
    <n v="0"/>
    <n v="750.75000000000011"/>
  </r>
  <r>
    <s v="ABR-19"/>
    <n v="1"/>
    <s v="2031475"/>
    <s v="SR MANTENIMIENTO CORRECTIVO"/>
    <s v="4002"/>
    <s v="29/04/2019 15:51"/>
    <s v="9HB914354"/>
    <s v="500094"/>
    <s v="PITSS"/>
    <s v="ASP"/>
    <x v="106"/>
    <s v="AV DE LA INDUSTRIA No 14800 - A"/>
    <s v="Tampico-TAM"/>
    <n v="0"/>
    <s v="INTERIOR"/>
    <n v="2706"/>
    <s v="&gt;60"/>
    <s v="A4 Mono MFPs"/>
    <s v="A4"/>
    <s v="Ciudad principal"/>
    <s v="1-&gt;60"/>
    <n v="1.05"/>
    <n v="750.75000000000011"/>
    <n v="1"/>
    <n v="1.65"/>
    <n v="5"/>
    <n v="0.32999999999999996"/>
    <n v="0"/>
    <n v="0"/>
    <d v="2019-04-30T00:00:00"/>
    <d v="2019-04-30T00:00:00"/>
    <n v="0"/>
    <s v="0-1 día"/>
    <n v="0"/>
    <n v="0"/>
    <n v="0"/>
    <n v="750.75000000000011"/>
  </r>
  <r>
    <s v="ABR-19"/>
    <n v="1"/>
    <s v="2031281"/>
    <s v="SR MANTENIMIENTO CORRECTIVO"/>
    <s v="1026"/>
    <s v="29/04/2019 11:58"/>
    <s v="AAQ100563"/>
    <s v="800110"/>
    <s v="PITSS"/>
    <s v="ASP"/>
    <x v="60"/>
    <s v="JAVIER MINA No 14 INT No 4"/>
    <s v="Michoacan-MICH"/>
    <n v="0"/>
    <s v="INTERIOR"/>
    <n v="20"/>
    <s v="Entre 16 y 30"/>
    <s v="Office Digital"/>
    <s v="A3"/>
    <s v="Ciudad principal"/>
    <s v="2-Entre 16 y 30"/>
    <n v="0.8"/>
    <n v="1092"/>
    <n v="1"/>
    <n v="9.16"/>
    <n v="5"/>
    <n v="1.8320000000000001"/>
    <n v="0.20800000000000002"/>
    <n v="-283.92"/>
    <d v="2019-04-30T00:00:00"/>
    <d v="2019-04-30T00:00:00"/>
    <n v="0"/>
    <s v="0-1 día"/>
    <n v="0"/>
    <n v="0"/>
    <n v="0"/>
    <n v="808.07999999999993"/>
  </r>
  <r>
    <s v="ABR-19"/>
    <n v="1"/>
    <s v="2028319"/>
    <s v="SR MANTENIMIENTO CORRECTIVO"/>
    <s v="8045"/>
    <s v="23/04/2019 10:18"/>
    <s v="0Y4X826347"/>
    <s v="500056"/>
    <s v="PITSS"/>
    <s v="ASP"/>
    <x v="25"/>
    <s v="AV FOMENTO INDUSTRIAL DEL PARQUE NUMERO INTERIOR S"/>
    <s v="Reynosa-TAM"/>
    <n v="0"/>
    <s v="INTERIOR"/>
    <n v="69"/>
    <s v="&gt;60"/>
    <s v="Office Digital"/>
    <s v="A3"/>
    <s v="Ciudad principal"/>
    <s v="2-&gt;60"/>
    <n v="1.1000000000000001"/>
    <n v="1501.5000000000002"/>
    <n v="1"/>
    <n v="2.2000000000000002"/>
    <n v="5"/>
    <n v="0.44000000000000006"/>
    <n v="0"/>
    <n v="0"/>
    <d v="2019-04-30T00:00:00"/>
    <d v="2019-04-30T00:00:00"/>
    <n v="0"/>
    <s v="0-1 día"/>
    <n v="0"/>
    <n v="0"/>
    <n v="0"/>
    <n v="1501.5000000000002"/>
  </r>
  <r>
    <s v="ABR-19"/>
    <n v="1"/>
    <s v="2031631"/>
    <s v="SR MANTENIMIENTO CORRECTIVO"/>
    <s v="3636"/>
    <s v="30/04/2019 09:08"/>
    <s v="0LBP345977"/>
    <s v="800192"/>
    <s v="PITSS"/>
    <s v="ASP"/>
    <x v="44"/>
    <s v="CARRETERA A NOGALES No 5297"/>
    <s v="Zapopan-JAL"/>
    <n v="0"/>
    <s v="INTERIOR"/>
    <n v="34"/>
    <s v="Entre 31 y 60"/>
    <s v="A4 Mono MFPs"/>
    <s v="A4"/>
    <s v="Ciudad principal"/>
    <s v="1-Entre 31 y 60"/>
    <n v="0.8"/>
    <n v="572.00000000000011"/>
    <n v="1"/>
    <n v="2.35"/>
    <n v="5"/>
    <n v="0.47000000000000003"/>
    <n v="0"/>
    <n v="0"/>
    <d v="2019-04-30T00:00:00"/>
    <d v="2019-04-30T00:00:00"/>
    <n v="0"/>
    <s v="0-1 día"/>
    <n v="0"/>
    <n v="0"/>
    <n v="0"/>
    <n v="572.00000000000011"/>
  </r>
  <r>
    <s v="ABR-19"/>
    <n v="1"/>
    <s v="2031703"/>
    <s v="SR MANTENIMIENTO CORRECTIVO"/>
    <s v="5326"/>
    <s v="30/04/2019 10:33"/>
    <s v="0AE9573921"/>
    <s v="500158"/>
    <s v="PITSS"/>
    <s v="ASP"/>
    <x v="68"/>
    <s v="AV DEL CHARRO No 1750 NTE"/>
    <s v="Ciudad Juarez-CHIH"/>
    <n v="0"/>
    <s v="INTERIOR"/>
    <n v="974"/>
    <s v="&gt;60"/>
    <s v="Office Digital"/>
    <s v="A3"/>
    <s v="Ciudad principal"/>
    <s v="2-&gt;60"/>
    <n v="1.1000000000000001"/>
    <n v="1501.5000000000002"/>
    <n v="1"/>
    <n v="0.47"/>
    <n v="5"/>
    <n v="9.4E-2"/>
    <n v="0"/>
    <n v="0"/>
    <d v="2019-04-30T00:00:00"/>
    <d v="2019-04-30T00:00:00"/>
    <n v="0"/>
    <s v="0-1 día"/>
    <n v="0"/>
    <n v="0"/>
    <n v="0"/>
    <n v="1501.5000000000002"/>
  </r>
  <r>
    <s v="ABR-19"/>
    <n v="1"/>
    <s v="2031665"/>
    <s v="SR MANTENIMIENTO CORRECTIVO"/>
    <s v="1251"/>
    <s v="30/04/2019 09:40"/>
    <s v="0VGW624391"/>
    <s v="500161"/>
    <s v="PITSS"/>
    <s v="ASP"/>
    <x v="22"/>
    <s v="CALLE 15 NUM 105"/>
    <s v="CHIHUAHUA-CHIH"/>
    <n v="0"/>
    <s v="INTERIOR"/>
    <n v="18"/>
    <s v="Entre 16 y 30"/>
    <s v="Entry Production Color Low/Mid"/>
    <s v="Entry Production"/>
    <s v="Ciudad principal"/>
    <s v="3-Entre 16 y 30"/>
    <n v="1.05"/>
    <n v="1651.6500000000003"/>
    <n v="1"/>
    <n v="1.33"/>
    <n v="4"/>
    <n v="0.33250000000000002"/>
    <n v="0"/>
    <n v="0"/>
    <d v="2019-04-30T00:00:00"/>
    <d v="2019-04-30T00:00:00"/>
    <n v="0"/>
    <s v="0-1 día"/>
    <n v="0"/>
    <n v="0"/>
    <n v="0"/>
    <n v="1651.6500000000003"/>
  </r>
  <r>
    <s v="ABR-19"/>
    <n v="1"/>
    <s v="2030763"/>
    <s v="SR MANTENIMIENTO CORRECTIVO"/>
    <s v="4395"/>
    <s v="28/04/2019 15:10"/>
    <s v="0BG2951501"/>
    <s v="500163"/>
    <s v="PITSS"/>
    <s v="ASP"/>
    <x v="7"/>
    <s v="BLV TAMAULIPAS 2388"/>
    <s v="Ciudad Victoria-TAM"/>
    <n v="0"/>
    <s v="INTERIOR"/>
    <n v="87"/>
    <s v="&gt;60"/>
    <s v="Light Production Digital Business"/>
    <s v="Entry Production"/>
    <s v="Ciudad principal"/>
    <s v="3-&gt;60"/>
    <n v="1.1499999999999999"/>
    <n v="1808.95"/>
    <n v="1"/>
    <n v="1.17"/>
    <n v="4"/>
    <n v="0.29249999999999998"/>
    <n v="0"/>
    <n v="0"/>
    <d v="2019-04-29T00:00:00"/>
    <d v="2019-04-30T00:00:00"/>
    <n v="1"/>
    <s v="0-1 día"/>
    <n v="0"/>
    <n v="0"/>
    <n v="0"/>
    <n v="1808.95"/>
  </r>
  <r>
    <s v="ABR-19"/>
    <n v="1"/>
    <s v="2031777"/>
    <s v="SR MANTENIMIENTO CORRECTIVO"/>
    <s v="0070"/>
    <s v="30/04/2019 12:10"/>
    <s v="0E2B656382"/>
    <s v="500157"/>
    <s v="PITSS"/>
    <s v="ASP"/>
    <x v="7"/>
    <s v="AV ADOLFO LOPEZ MATEOS 2058"/>
    <s v="CIUDAD JUAREZ-CHIH"/>
    <n v="0"/>
    <s v="INTERIOR"/>
    <n v="49"/>
    <s v="Entre 31 y 60"/>
    <s v="Entry Production Color Low/Mid"/>
    <s v="Entry Production"/>
    <s v="Ciudad principal"/>
    <s v="3-Entre 31 y 60"/>
    <n v="1.1000000000000001"/>
    <n v="1730.3000000000004"/>
    <n v="1"/>
    <n v="0"/>
    <n v="4"/>
    <n v="0"/>
    <n v="0"/>
    <n v="0"/>
    <d v="2019-04-30T00:00:00"/>
    <d v="2019-04-30T00:00:00"/>
    <n v="0"/>
    <s v="0-1 día"/>
    <n v="0"/>
    <n v="0"/>
    <n v="0"/>
    <n v="1730.3000000000004"/>
  </r>
  <r>
    <s v="ABR-19"/>
    <n v="1"/>
    <s v="2031387"/>
    <s v="SR MANTENIMIENTO CORRECTIVO"/>
    <s v="0560"/>
    <s v="29/04/2019 14:05"/>
    <s v="0XPN395024"/>
    <s v="800192"/>
    <s v="PITSS"/>
    <s v="ASP"/>
    <x v="7"/>
    <s v="MANUEL J CLOUTHIER 888"/>
    <s v="ZAPOPAN-JAL"/>
    <n v="0"/>
    <s v="INTERIOR"/>
    <n v="10"/>
    <s v="Entre 7 y 15"/>
    <s v="Entry Production Color Low/Mid"/>
    <s v="Entry Production"/>
    <s v="Ciudad principal"/>
    <s v="3-Entre 7 y 15"/>
    <n v="0.8"/>
    <n v="1258.4000000000003"/>
    <n v="1"/>
    <n v="1.45"/>
    <n v="4"/>
    <n v="0.36249999999999999"/>
    <n v="0"/>
    <n v="0"/>
    <d v="2019-04-29T00:00:00"/>
    <d v="2019-04-30T00:00:00"/>
    <n v="1"/>
    <s v="0-1 día"/>
    <n v="0"/>
    <n v="0"/>
    <n v="0"/>
    <n v="1258.4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61432-DDDE-480A-87AC-57C9D7E32994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11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8">
        <item x="93"/>
        <item x="91"/>
        <item x="9"/>
        <item x="100"/>
        <item x="63"/>
        <item x="17"/>
        <item x="10"/>
        <item x="68"/>
        <item x="18"/>
        <item x="66"/>
        <item x="67"/>
        <item x="21"/>
        <item x="79"/>
        <item x="90"/>
        <item x="97"/>
        <item x="23"/>
        <item x="71"/>
        <item x="2"/>
        <item x="60"/>
        <item x="46"/>
        <item x="103"/>
        <item x="6"/>
        <item x="47"/>
        <item x="85"/>
        <item x="16"/>
        <item x="51"/>
        <item x="14"/>
        <item x="101"/>
        <item x="27"/>
        <item x="42"/>
        <item x="7"/>
        <item x="58"/>
        <item x="49"/>
        <item x="80"/>
        <item x="54"/>
        <item x="11"/>
        <item x="83"/>
        <item x="98"/>
        <item x="82"/>
        <item x="28"/>
        <item x="39"/>
        <item x="29"/>
        <item x="65"/>
        <item x="105"/>
        <item x="0"/>
        <item x="59"/>
        <item x="55"/>
        <item x="106"/>
        <item x="35"/>
        <item x="81"/>
        <item x="30"/>
        <item x="20"/>
        <item x="89"/>
        <item x="38"/>
        <item x="50"/>
        <item x="102"/>
        <item x="31"/>
        <item x="94"/>
        <item x="92"/>
        <item x="73"/>
        <item x="48"/>
        <item x="26"/>
        <item x="76"/>
        <item x="37"/>
        <item x="56"/>
        <item x="61"/>
        <item x="41"/>
        <item x="45"/>
        <item x="62"/>
        <item x="96"/>
        <item x="5"/>
        <item x="72"/>
        <item x="78"/>
        <item x="33"/>
        <item x="12"/>
        <item x="88"/>
        <item x="36"/>
        <item x="34"/>
        <item x="24"/>
        <item x="64"/>
        <item x="25"/>
        <item x="3"/>
        <item x="75"/>
        <item x="1"/>
        <item x="22"/>
        <item x="13"/>
        <item x="84"/>
        <item x="19"/>
        <item x="99"/>
        <item x="86"/>
        <item x="77"/>
        <item x="4"/>
        <item x="104"/>
        <item x="74"/>
        <item x="87"/>
        <item x="40"/>
        <item x="15"/>
        <item x="43"/>
        <item x="70"/>
        <item x="44"/>
        <item x="69"/>
        <item x="53"/>
        <item x="57"/>
        <item x="32"/>
        <item x="95"/>
        <item x="8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164" showAll="0"/>
    <pivotField numFmtId="43" showAll="0"/>
    <pivotField numFmtId="165" showAll="0"/>
    <pivotField showAll="0"/>
    <pivotField numFmtId="166" showAll="0"/>
    <pivotField numFmtId="9" showAll="0"/>
    <pivotField numFmtId="6" showAll="0"/>
    <pivotField numFmtId="15" showAll="0"/>
    <pivotField numFmtId="15" showAll="0"/>
    <pivotField showAll="0"/>
    <pivotField showAll="0"/>
    <pivotField numFmtId="9" showAll="0"/>
    <pivotField numFmtId="6" showAll="0"/>
    <pivotField numFmtId="6" showAll="0"/>
    <pivotField dataField="1" numFmtId="8" showAll="0"/>
  </pivotFields>
  <rowFields count="1">
    <field x="10"/>
  </rowFields>
  <rowItems count="1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 t="grand">
      <x/>
    </i>
  </rowItems>
  <colItems count="1">
    <i/>
  </colItems>
  <dataFields count="1">
    <dataField name="Suma de Pago x servicio - penalización TR" fld="36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A2" sqref="A2"/>
    </sheetView>
  </sheetViews>
  <sheetFormatPr baseColWidth="10" defaultColWidth="8.85546875" defaultRowHeight="15" x14ac:dyDescent="0.25"/>
  <cols>
    <col min="1" max="1" width="11.28515625" bestFit="1" customWidth="1"/>
  </cols>
  <sheetData>
    <row r="1" spans="1:9" ht="26.25" thickBot="1" x14ac:dyDescent="0.3">
      <c r="A1" s="1" t="s">
        <v>0</v>
      </c>
      <c r="B1" s="2">
        <v>43497</v>
      </c>
      <c r="C1" s="2">
        <v>43525</v>
      </c>
      <c r="D1" s="2">
        <v>43556</v>
      </c>
      <c r="E1" s="3" t="s">
        <v>1</v>
      </c>
      <c r="F1" s="2">
        <v>43497</v>
      </c>
      <c r="G1" s="2">
        <v>43525</v>
      </c>
      <c r="H1" s="2">
        <v>43556</v>
      </c>
      <c r="I1" s="4" t="s">
        <v>2</v>
      </c>
    </row>
    <row r="2" spans="1:9" x14ac:dyDescent="0.25">
      <c r="A2" s="5" t="s">
        <v>3</v>
      </c>
      <c r="B2" s="6">
        <v>33427</v>
      </c>
      <c r="C2" s="6">
        <v>35187</v>
      </c>
      <c r="D2" s="6">
        <v>36065.573770491799</v>
      </c>
      <c r="E2" s="7">
        <v>34893.1912568306</v>
      </c>
      <c r="F2" s="6">
        <v>38238.462599999999</v>
      </c>
      <c r="G2" s="6">
        <v>44375.005799999999</v>
      </c>
      <c r="H2" s="6">
        <v>43831.830499999996</v>
      </c>
      <c r="I2" s="7">
        <v>42148.432966666667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2D5E-7B13-460A-AF9A-CBFDD8B59E9A}">
  <dimension ref="A3:B113"/>
  <sheetViews>
    <sheetView topLeftCell="A92" workbookViewId="0">
      <selection activeCell="B111" sqref="B111"/>
    </sheetView>
  </sheetViews>
  <sheetFormatPr baseColWidth="10" defaultRowHeight="15" x14ac:dyDescent="0.25"/>
  <cols>
    <col min="1" max="1" width="50.28515625" bestFit="1" customWidth="1"/>
    <col min="2" max="2" width="35" bestFit="1" customWidth="1"/>
  </cols>
  <sheetData>
    <row r="3" spans="1:2" x14ac:dyDescent="0.25">
      <c r="A3" s="38" t="s">
        <v>3195</v>
      </c>
      <c r="B3" t="s">
        <v>3200</v>
      </c>
    </row>
    <row r="4" spans="1:2" x14ac:dyDescent="0.25">
      <c r="A4" s="39" t="s">
        <v>2508</v>
      </c>
      <c r="B4" s="40">
        <v>750.75000000000011</v>
      </c>
    </row>
    <row r="5" spans="1:2" x14ac:dyDescent="0.25">
      <c r="A5" s="39" t="s">
        <v>2461</v>
      </c>
      <c r="B5" s="40">
        <v>3460.6000000000004</v>
      </c>
    </row>
    <row r="6" spans="1:2" x14ac:dyDescent="0.25">
      <c r="A6" s="39" t="s">
        <v>144</v>
      </c>
      <c r="B6" s="40">
        <v>2593.5</v>
      </c>
    </row>
    <row r="7" spans="1:2" x14ac:dyDescent="0.25">
      <c r="A7" s="39" t="s">
        <v>2805</v>
      </c>
      <c r="B7" s="40">
        <v>741.81250000000011</v>
      </c>
    </row>
    <row r="8" spans="1:2" x14ac:dyDescent="0.25">
      <c r="A8" s="39" t="s">
        <v>1167</v>
      </c>
      <c r="B8" s="40">
        <v>1501.5000000000002</v>
      </c>
    </row>
    <row r="9" spans="1:2" x14ac:dyDescent="0.25">
      <c r="A9" s="39" t="s">
        <v>222</v>
      </c>
      <c r="B9" s="40">
        <v>1417.5525000000002</v>
      </c>
    </row>
    <row r="10" spans="1:2" x14ac:dyDescent="0.25">
      <c r="A10" s="39" t="s">
        <v>154</v>
      </c>
      <c r="B10" s="40">
        <v>26434.265000000003</v>
      </c>
    </row>
    <row r="11" spans="1:2" x14ac:dyDescent="0.25">
      <c r="A11" s="39" t="s">
        <v>1432</v>
      </c>
      <c r="B11" s="40">
        <v>13513.500000000002</v>
      </c>
    </row>
    <row r="12" spans="1:2" x14ac:dyDescent="0.25">
      <c r="A12" s="39" t="s">
        <v>237</v>
      </c>
      <c r="B12" s="40">
        <v>7939.75</v>
      </c>
    </row>
    <row r="13" spans="1:2" x14ac:dyDescent="0.25">
      <c r="A13" s="39" t="s">
        <v>1306</v>
      </c>
      <c r="B13" s="40">
        <v>2910.0500000000006</v>
      </c>
    </row>
    <row r="14" spans="1:2" x14ac:dyDescent="0.25">
      <c r="A14" s="39" t="s">
        <v>1324</v>
      </c>
      <c r="B14" s="40">
        <v>1501.5000000000002</v>
      </c>
    </row>
    <row r="15" spans="1:2" x14ac:dyDescent="0.25">
      <c r="A15" s="39" t="s">
        <v>258</v>
      </c>
      <c r="B15" s="40">
        <v>1433.25</v>
      </c>
    </row>
    <row r="16" spans="1:2" x14ac:dyDescent="0.25">
      <c r="A16" s="39" t="s">
        <v>1782</v>
      </c>
      <c r="B16" s="40">
        <v>3003.0000000000005</v>
      </c>
    </row>
    <row r="17" spans="1:2" x14ac:dyDescent="0.25">
      <c r="A17" s="39" t="s">
        <v>2453</v>
      </c>
      <c r="B17" s="40">
        <v>572.00000000000011</v>
      </c>
    </row>
    <row r="18" spans="1:2" x14ac:dyDescent="0.25">
      <c r="A18" s="39" t="s">
        <v>2665</v>
      </c>
      <c r="B18" s="40">
        <v>715.00000000000011</v>
      </c>
    </row>
    <row r="19" spans="1:2" x14ac:dyDescent="0.25">
      <c r="A19" s="39" t="s">
        <v>285</v>
      </c>
      <c r="B19" s="40">
        <v>2798.25</v>
      </c>
    </row>
    <row r="20" spans="1:2" x14ac:dyDescent="0.25">
      <c r="A20" s="39" t="s">
        <v>1562</v>
      </c>
      <c r="B20" s="40">
        <v>750.75000000000011</v>
      </c>
    </row>
    <row r="21" spans="1:2" x14ac:dyDescent="0.25">
      <c r="A21" s="39" t="s">
        <v>74</v>
      </c>
      <c r="B21" s="40">
        <v>19162.000000000004</v>
      </c>
    </row>
    <row r="22" spans="1:2" x14ac:dyDescent="0.25">
      <c r="A22" s="39" t="s">
        <v>1052</v>
      </c>
      <c r="B22" s="40">
        <v>1549.2749999999999</v>
      </c>
    </row>
    <row r="23" spans="1:2" x14ac:dyDescent="0.25">
      <c r="A23" s="39" t="s">
        <v>736</v>
      </c>
      <c r="B23" s="40">
        <v>3381.9500000000007</v>
      </c>
    </row>
    <row r="24" spans="1:2" x14ac:dyDescent="0.25">
      <c r="A24" s="39" t="s">
        <v>2942</v>
      </c>
      <c r="B24" s="40">
        <v>750.75000000000011</v>
      </c>
    </row>
    <row r="25" spans="1:2" x14ac:dyDescent="0.25">
      <c r="A25" s="39" t="s">
        <v>116</v>
      </c>
      <c r="B25" s="40">
        <v>0</v>
      </c>
    </row>
    <row r="26" spans="1:2" x14ac:dyDescent="0.25">
      <c r="A26" s="39" t="s">
        <v>764</v>
      </c>
      <c r="B26" s="40">
        <v>7579.0000000000009</v>
      </c>
    </row>
    <row r="27" spans="1:2" x14ac:dyDescent="0.25">
      <c r="A27" s="39" t="s">
        <v>2123</v>
      </c>
      <c r="B27" s="40">
        <v>2866.5</v>
      </c>
    </row>
    <row r="28" spans="1:2" x14ac:dyDescent="0.25">
      <c r="A28" s="39" t="s">
        <v>214</v>
      </c>
      <c r="B28" s="40">
        <v>2252.2500000000005</v>
      </c>
    </row>
    <row r="29" spans="1:2" x14ac:dyDescent="0.25">
      <c r="A29" s="39" t="s">
        <v>866</v>
      </c>
      <c r="B29" s="40">
        <v>750.75000000000011</v>
      </c>
    </row>
    <row r="30" spans="1:2" x14ac:dyDescent="0.25">
      <c r="A30" s="39" t="s">
        <v>198</v>
      </c>
      <c r="B30" s="40">
        <v>152259.89999999994</v>
      </c>
    </row>
    <row r="31" spans="1:2" x14ac:dyDescent="0.25">
      <c r="A31" s="39" t="s">
        <v>2817</v>
      </c>
      <c r="B31" s="40">
        <v>0</v>
      </c>
    </row>
    <row r="32" spans="1:2" x14ac:dyDescent="0.25">
      <c r="A32" s="39" t="s">
        <v>324</v>
      </c>
      <c r="B32" s="40">
        <v>5648.5000000000009</v>
      </c>
    </row>
    <row r="33" spans="1:2" x14ac:dyDescent="0.25">
      <c r="A33" s="39" t="s">
        <v>605</v>
      </c>
      <c r="B33" s="40">
        <v>-581.02687500000013</v>
      </c>
    </row>
    <row r="34" spans="1:2" x14ac:dyDescent="0.25">
      <c r="A34" s="39" t="s">
        <v>126</v>
      </c>
      <c r="B34" s="40">
        <v>277697.55</v>
      </c>
    </row>
    <row r="35" spans="1:2" x14ac:dyDescent="0.25">
      <c r="A35" s="39" t="s">
        <v>1033</v>
      </c>
      <c r="B35" s="40">
        <v>750.75000000000011</v>
      </c>
    </row>
    <row r="36" spans="1:2" x14ac:dyDescent="0.25">
      <c r="A36" s="39" t="s">
        <v>848</v>
      </c>
      <c r="B36" s="40">
        <v>1501.5000000000002</v>
      </c>
    </row>
    <row r="37" spans="1:2" x14ac:dyDescent="0.25">
      <c r="A37" s="39" t="s">
        <v>1807</v>
      </c>
      <c r="B37" s="40">
        <v>6463.6000000000013</v>
      </c>
    </row>
    <row r="38" spans="1:2" x14ac:dyDescent="0.25">
      <c r="A38" s="39" t="s">
        <v>980</v>
      </c>
      <c r="B38" s="40">
        <v>1072.5000000000002</v>
      </c>
    </row>
    <row r="39" spans="1:2" x14ac:dyDescent="0.25">
      <c r="A39" s="39" t="s">
        <v>161</v>
      </c>
      <c r="B39" s="40">
        <v>0</v>
      </c>
    </row>
    <row r="40" spans="1:2" x14ac:dyDescent="0.25">
      <c r="A40" s="39" t="s">
        <v>2048</v>
      </c>
      <c r="B40" s="40">
        <v>2252.2500000000005</v>
      </c>
    </row>
    <row r="41" spans="1:2" x14ac:dyDescent="0.25">
      <c r="A41" s="39" t="s">
        <v>2751</v>
      </c>
      <c r="B41" s="40">
        <v>1501.5000000000002</v>
      </c>
    </row>
    <row r="42" spans="1:2" x14ac:dyDescent="0.25">
      <c r="A42" s="39" t="s">
        <v>1870</v>
      </c>
      <c r="B42" s="40">
        <v>750.75000000000011</v>
      </c>
    </row>
    <row r="43" spans="1:2" x14ac:dyDescent="0.25">
      <c r="A43" s="39" t="s">
        <v>332</v>
      </c>
      <c r="B43" s="40">
        <v>1436.6625000000004</v>
      </c>
    </row>
    <row r="44" spans="1:2" x14ac:dyDescent="0.25">
      <c r="A44" s="39" t="s">
        <v>541</v>
      </c>
      <c r="B44" s="40">
        <v>0</v>
      </c>
    </row>
    <row r="45" spans="1:2" x14ac:dyDescent="0.25">
      <c r="A45" s="39" t="s">
        <v>347</v>
      </c>
      <c r="B45" s="40">
        <v>4443.7250000000013</v>
      </c>
    </row>
    <row r="46" spans="1:2" x14ac:dyDescent="0.25">
      <c r="A46" s="39" t="s">
        <v>1254</v>
      </c>
      <c r="B46" s="40">
        <v>750.75000000000011</v>
      </c>
    </row>
    <row r="47" spans="1:2" x14ac:dyDescent="0.25">
      <c r="A47" s="39" t="s">
        <v>3105</v>
      </c>
      <c r="B47" s="40">
        <v>750.75000000000011</v>
      </c>
    </row>
    <row r="48" spans="1:2" x14ac:dyDescent="0.25">
      <c r="A48" s="39" t="s">
        <v>47</v>
      </c>
      <c r="B48" s="40">
        <v>18634.2</v>
      </c>
    </row>
    <row r="49" spans="1:2" x14ac:dyDescent="0.25">
      <c r="A49" s="39" t="s">
        <v>1042</v>
      </c>
      <c r="B49" s="40">
        <v>715.00000000000011</v>
      </c>
    </row>
    <row r="50" spans="1:2" x14ac:dyDescent="0.25">
      <c r="A50" s="39" t="s">
        <v>991</v>
      </c>
      <c r="B50" s="40">
        <v>2481.0500000000006</v>
      </c>
    </row>
    <row r="51" spans="1:2" x14ac:dyDescent="0.25">
      <c r="A51" s="39" t="s">
        <v>3158</v>
      </c>
      <c r="B51" s="40">
        <v>750.75000000000011</v>
      </c>
    </row>
    <row r="52" spans="1:2" x14ac:dyDescent="0.25">
      <c r="A52" s="39" t="s">
        <v>452</v>
      </c>
      <c r="B52" s="40">
        <v>-154.35062500000004</v>
      </c>
    </row>
    <row r="53" spans="1:2" x14ac:dyDescent="0.25">
      <c r="A53" s="39" t="s">
        <v>1812</v>
      </c>
      <c r="B53" s="40">
        <v>750.75000000000011</v>
      </c>
    </row>
    <row r="54" spans="1:2" x14ac:dyDescent="0.25">
      <c r="A54" s="39" t="s">
        <v>378</v>
      </c>
      <c r="B54" s="40">
        <v>70892.737500000003</v>
      </c>
    </row>
    <row r="55" spans="1:2" x14ac:dyDescent="0.25">
      <c r="A55" s="39" t="s">
        <v>252</v>
      </c>
      <c r="B55" s="40">
        <v>750.75000000000011</v>
      </c>
    </row>
    <row r="56" spans="1:2" x14ac:dyDescent="0.25">
      <c r="A56" s="39" t="s">
        <v>2443</v>
      </c>
      <c r="B56" s="40">
        <v>2246.8874999999998</v>
      </c>
    </row>
    <row r="57" spans="1:2" x14ac:dyDescent="0.25">
      <c r="A57" s="39" t="s">
        <v>531</v>
      </c>
      <c r="B57" s="40">
        <v>1501.5000000000002</v>
      </c>
    </row>
    <row r="58" spans="1:2" x14ac:dyDescent="0.25">
      <c r="A58" s="39" t="s">
        <v>855</v>
      </c>
      <c r="B58" s="40">
        <v>750.75000000000011</v>
      </c>
    </row>
    <row r="59" spans="1:2" x14ac:dyDescent="0.25">
      <c r="A59" s="39" t="s">
        <v>2912</v>
      </c>
      <c r="B59" s="40">
        <v>750.75000000000011</v>
      </c>
    </row>
    <row r="60" spans="1:2" x14ac:dyDescent="0.25">
      <c r="A60" s="39" t="s">
        <v>398</v>
      </c>
      <c r="B60" s="40">
        <v>11034.684375000001</v>
      </c>
    </row>
    <row r="61" spans="1:2" x14ac:dyDescent="0.25">
      <c r="A61" s="39" t="s">
        <v>2536</v>
      </c>
      <c r="B61" s="40">
        <v>1730.3000000000004</v>
      </c>
    </row>
    <row r="62" spans="1:2" x14ac:dyDescent="0.25">
      <c r="A62" s="39" t="s">
        <v>2488</v>
      </c>
      <c r="B62" s="40">
        <v>750.75000000000011</v>
      </c>
    </row>
    <row r="63" spans="1:2" x14ac:dyDescent="0.25">
      <c r="A63" s="39" t="s">
        <v>1589</v>
      </c>
      <c r="B63" s="40">
        <v>2252.25</v>
      </c>
    </row>
    <row r="64" spans="1:2" x14ac:dyDescent="0.25">
      <c r="A64" s="39" t="s">
        <v>791</v>
      </c>
      <c r="B64" s="40">
        <v>3935.75</v>
      </c>
    </row>
    <row r="65" spans="1:2" x14ac:dyDescent="0.25">
      <c r="A65" s="39" t="s">
        <v>318</v>
      </c>
      <c r="B65" s="40">
        <v>3003.0000000000005</v>
      </c>
    </row>
    <row r="66" spans="1:2" x14ac:dyDescent="0.25">
      <c r="A66" s="39" t="s">
        <v>1709</v>
      </c>
      <c r="B66" s="40">
        <v>1501.5000000000002</v>
      </c>
    </row>
    <row r="67" spans="1:2" x14ac:dyDescent="0.25">
      <c r="A67" s="39" t="s">
        <v>511</v>
      </c>
      <c r="B67" s="40">
        <v>1501.5000000000002</v>
      </c>
    </row>
    <row r="68" spans="1:2" x14ac:dyDescent="0.25">
      <c r="A68" s="39" t="s">
        <v>1017</v>
      </c>
      <c r="B68" s="40">
        <v>2525.25</v>
      </c>
    </row>
    <row r="69" spans="1:2" x14ac:dyDescent="0.25">
      <c r="A69" s="39" t="s">
        <v>1101</v>
      </c>
      <c r="B69" s="40">
        <v>0</v>
      </c>
    </row>
    <row r="70" spans="1:2" x14ac:dyDescent="0.25">
      <c r="A70" s="39" t="s">
        <v>570</v>
      </c>
      <c r="B70" s="40">
        <v>0</v>
      </c>
    </row>
    <row r="71" spans="1:2" x14ac:dyDescent="0.25">
      <c r="A71" s="39" t="s">
        <v>678</v>
      </c>
      <c r="B71" s="40">
        <v>3324.7500000000009</v>
      </c>
    </row>
    <row r="72" spans="1:2" x14ac:dyDescent="0.25">
      <c r="A72" s="39" t="s">
        <v>1106</v>
      </c>
      <c r="B72" s="40">
        <v>1358.8575000000001</v>
      </c>
    </row>
    <row r="73" spans="1:2" x14ac:dyDescent="0.25">
      <c r="A73" s="39" t="s">
        <v>2655</v>
      </c>
      <c r="B73" s="40">
        <v>923.44999999999993</v>
      </c>
    </row>
    <row r="74" spans="1:2" x14ac:dyDescent="0.25">
      <c r="A74" s="39" t="s">
        <v>103</v>
      </c>
      <c r="B74" s="40">
        <v>3656.1525000000006</v>
      </c>
    </row>
    <row r="75" spans="1:2" x14ac:dyDescent="0.25">
      <c r="A75" s="39" t="s">
        <v>1583</v>
      </c>
      <c r="B75" s="40">
        <v>750.75000000000011</v>
      </c>
    </row>
    <row r="76" spans="1:2" x14ac:dyDescent="0.25">
      <c r="A76" s="39" t="s">
        <v>1777</v>
      </c>
      <c r="B76" s="40">
        <v>0</v>
      </c>
    </row>
    <row r="77" spans="1:2" x14ac:dyDescent="0.25">
      <c r="A77" s="39" t="s">
        <v>427</v>
      </c>
      <c r="B77" s="40">
        <v>6006</v>
      </c>
    </row>
    <row r="78" spans="1:2" x14ac:dyDescent="0.25">
      <c r="A78" s="39" t="s">
        <v>169</v>
      </c>
      <c r="B78" s="40">
        <v>819</v>
      </c>
    </row>
    <row r="79" spans="1:2" x14ac:dyDescent="0.25">
      <c r="A79" s="39" t="s">
        <v>2316</v>
      </c>
      <c r="B79" s="40">
        <v>0</v>
      </c>
    </row>
    <row r="80" spans="1:2" x14ac:dyDescent="0.25">
      <c r="A80" s="39" t="s">
        <v>483</v>
      </c>
      <c r="B80" s="40">
        <v>750.75000000000011</v>
      </c>
    </row>
    <row r="81" spans="1:2" x14ac:dyDescent="0.25">
      <c r="A81" s="39" t="s">
        <v>441</v>
      </c>
      <c r="B81" s="40">
        <v>5274.75</v>
      </c>
    </row>
    <row r="82" spans="1:2" x14ac:dyDescent="0.25">
      <c r="A82" s="39" t="s">
        <v>294</v>
      </c>
      <c r="B82" s="40">
        <v>9581.0000000000018</v>
      </c>
    </row>
    <row r="83" spans="1:2" x14ac:dyDescent="0.25">
      <c r="A83" s="39" t="s">
        <v>1186</v>
      </c>
      <c r="B83" s="40">
        <v>750.75000000000011</v>
      </c>
    </row>
    <row r="84" spans="1:2" x14ac:dyDescent="0.25">
      <c r="A84" s="39" t="s">
        <v>308</v>
      </c>
      <c r="B84" s="40">
        <v>4743.7</v>
      </c>
    </row>
    <row r="85" spans="1:2" x14ac:dyDescent="0.25">
      <c r="A85" s="39" t="s">
        <v>83</v>
      </c>
      <c r="B85" s="40">
        <v>29456.115000000002</v>
      </c>
    </row>
    <row r="86" spans="1:2" x14ac:dyDescent="0.25">
      <c r="A86" s="39" t="s">
        <v>1632</v>
      </c>
      <c r="B86" s="40">
        <v>2593.5</v>
      </c>
    </row>
    <row r="87" spans="1:2" x14ac:dyDescent="0.25">
      <c r="A87" s="39" t="s">
        <v>62</v>
      </c>
      <c r="B87" s="40">
        <v>4522.375</v>
      </c>
    </row>
    <row r="88" spans="1:2" x14ac:dyDescent="0.25">
      <c r="A88" s="39" t="s">
        <v>265</v>
      </c>
      <c r="B88" s="40">
        <v>11621.35</v>
      </c>
    </row>
    <row r="89" spans="1:2" x14ac:dyDescent="0.25">
      <c r="A89" s="39" t="s">
        <v>193</v>
      </c>
      <c r="B89" s="40">
        <v>1179.7500000000002</v>
      </c>
    </row>
    <row r="90" spans="1:2" x14ac:dyDescent="0.25">
      <c r="A90" s="39" t="s">
        <v>2101</v>
      </c>
      <c r="B90" s="40">
        <v>5162.3000000000011</v>
      </c>
    </row>
    <row r="91" spans="1:2" x14ac:dyDescent="0.25">
      <c r="A91" s="39" t="s">
        <v>244</v>
      </c>
      <c r="B91" s="40">
        <v>12044.174999999999</v>
      </c>
    </row>
    <row r="92" spans="1:2" x14ac:dyDescent="0.25">
      <c r="A92" s="39" t="s">
        <v>2762</v>
      </c>
      <c r="B92" s="40">
        <v>750.75000000000011</v>
      </c>
    </row>
    <row r="93" spans="1:2" x14ac:dyDescent="0.25">
      <c r="A93" s="39" t="s">
        <v>2167</v>
      </c>
      <c r="B93" s="40">
        <v>821.0474999999999</v>
      </c>
    </row>
    <row r="94" spans="1:2" x14ac:dyDescent="0.25">
      <c r="A94" s="39" t="s">
        <v>1752</v>
      </c>
      <c r="B94" s="40">
        <v>572.00000000000011</v>
      </c>
    </row>
    <row r="95" spans="1:2" x14ac:dyDescent="0.25">
      <c r="A95" s="39" t="s">
        <v>94</v>
      </c>
      <c r="B95" s="40">
        <v>0</v>
      </c>
    </row>
    <row r="96" spans="1:2" x14ac:dyDescent="0.25">
      <c r="A96" s="39" t="s">
        <v>3064</v>
      </c>
      <c r="B96" s="40">
        <v>0</v>
      </c>
    </row>
    <row r="97" spans="1:2" x14ac:dyDescent="0.25">
      <c r="A97" s="39" t="s">
        <v>1608</v>
      </c>
      <c r="B97" s="40">
        <v>8747.0500000000011</v>
      </c>
    </row>
    <row r="98" spans="1:2" x14ac:dyDescent="0.25">
      <c r="A98" s="39" t="s">
        <v>2186</v>
      </c>
      <c r="B98" s="40">
        <v>3003.0000000000005</v>
      </c>
    </row>
    <row r="99" spans="1:2" x14ac:dyDescent="0.25">
      <c r="A99" s="39" t="s">
        <v>564</v>
      </c>
      <c r="B99" s="40">
        <v>5096</v>
      </c>
    </row>
    <row r="100" spans="1:2" x14ac:dyDescent="0.25">
      <c r="A100" s="39" t="s">
        <v>208</v>
      </c>
      <c r="B100" s="40">
        <v>6596.9475000000002</v>
      </c>
    </row>
    <row r="101" spans="1:2" x14ac:dyDescent="0.25">
      <c r="A101" s="39" t="s">
        <v>622</v>
      </c>
      <c r="B101" s="40">
        <v>2860.0000000000005</v>
      </c>
    </row>
    <row r="102" spans="1:2" x14ac:dyDescent="0.25">
      <c r="A102" s="39" t="s">
        <v>1492</v>
      </c>
      <c r="B102" s="40">
        <v>750.75000000000011</v>
      </c>
    </row>
    <row r="103" spans="1:2" x14ac:dyDescent="0.25">
      <c r="A103" s="39" t="s">
        <v>637</v>
      </c>
      <c r="B103" s="40">
        <v>1322.7500000000002</v>
      </c>
    </row>
    <row r="104" spans="1:2" x14ac:dyDescent="0.25">
      <c r="A104" s="39" t="s">
        <v>1462</v>
      </c>
      <c r="B104" s="40">
        <v>2934.75</v>
      </c>
    </row>
    <row r="105" spans="1:2" x14ac:dyDescent="0.25">
      <c r="A105" s="39" t="s">
        <v>936</v>
      </c>
      <c r="B105" s="40">
        <v>1501.5000000000002</v>
      </c>
    </row>
    <row r="106" spans="1:2" x14ac:dyDescent="0.25">
      <c r="A106" s="39" t="s">
        <v>1027</v>
      </c>
      <c r="B106" s="40">
        <v>5118.75</v>
      </c>
    </row>
    <row r="107" spans="1:2" x14ac:dyDescent="0.25">
      <c r="A107" s="39" t="s">
        <v>405</v>
      </c>
      <c r="B107" s="40">
        <v>10269.252500000001</v>
      </c>
    </row>
    <row r="108" spans="1:2" x14ac:dyDescent="0.25">
      <c r="A108" s="39" t="s">
        <v>2575</v>
      </c>
      <c r="B108" s="40">
        <v>1433.25</v>
      </c>
    </row>
    <row r="109" spans="1:2" x14ac:dyDescent="0.25">
      <c r="A109" s="39" t="s">
        <v>136</v>
      </c>
      <c r="B109" s="40">
        <v>0</v>
      </c>
    </row>
    <row r="110" spans="1:2" x14ac:dyDescent="0.25">
      <c r="A110" s="39" t="s">
        <v>895</v>
      </c>
      <c r="B110" s="40">
        <v>1433.25</v>
      </c>
    </row>
    <row r="111" spans="1:2" x14ac:dyDescent="0.25">
      <c r="A111" s="39" t="s">
        <v>3196</v>
      </c>
      <c r="B111" s="40">
        <v>853065.44687499979</v>
      </c>
    </row>
    <row r="113" spans="2:2" x14ac:dyDescent="0.25">
      <c r="B113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R841"/>
  <sheetViews>
    <sheetView tabSelected="1" workbookViewId="0">
      <selection activeCell="A339" sqref="A339"/>
    </sheetView>
  </sheetViews>
  <sheetFormatPr baseColWidth="10" defaultColWidth="8.85546875" defaultRowHeight="15" x14ac:dyDescent="0.25"/>
  <cols>
    <col min="1" max="1" width="10.85546875" bestFit="1" customWidth="1"/>
    <col min="5" max="5" width="26.28515625" bestFit="1" customWidth="1"/>
    <col min="38" max="38" width="11.85546875" bestFit="1" customWidth="1"/>
    <col min="43" max="43" width="12.42578125" customWidth="1"/>
  </cols>
  <sheetData>
    <row r="1" spans="1:44" ht="43.15" customHeight="1" thickBot="1" x14ac:dyDescent="0.3">
      <c r="A1" s="8" t="s">
        <v>10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11</v>
      </c>
      <c r="I1" s="8" t="s">
        <v>12</v>
      </c>
      <c r="J1" s="8" t="s">
        <v>13</v>
      </c>
      <c r="K1" s="9" t="s">
        <v>14</v>
      </c>
      <c r="L1" s="9" t="s">
        <v>15</v>
      </c>
      <c r="M1" s="9" t="s">
        <v>16</v>
      </c>
      <c r="N1" s="8" t="s">
        <v>17</v>
      </c>
      <c r="O1" s="9" t="s">
        <v>18</v>
      </c>
      <c r="P1" s="9" t="s">
        <v>19</v>
      </c>
      <c r="Q1" s="9" t="s">
        <v>20</v>
      </c>
      <c r="R1" s="10" t="s">
        <v>21</v>
      </c>
      <c r="S1" s="11" t="s">
        <v>22</v>
      </c>
      <c r="T1" s="11" t="s">
        <v>23</v>
      </c>
      <c r="U1" s="11" t="s">
        <v>24</v>
      </c>
      <c r="V1" s="12" t="s">
        <v>25</v>
      </c>
      <c r="W1" s="13" t="s">
        <v>26</v>
      </c>
      <c r="X1" s="13" t="s">
        <v>27</v>
      </c>
      <c r="Y1" s="14" t="s">
        <v>28</v>
      </c>
      <c r="Z1" s="11" t="s">
        <v>29</v>
      </c>
      <c r="AA1" s="11" t="s">
        <v>30</v>
      </c>
      <c r="AB1" s="13" t="s">
        <v>31</v>
      </c>
      <c r="AC1" s="13" t="s">
        <v>32</v>
      </c>
      <c r="AD1" s="13" t="s">
        <v>33</v>
      </c>
      <c r="AE1" s="13" t="s">
        <v>34</v>
      </c>
      <c r="AF1" s="13" t="s">
        <v>35</v>
      </c>
      <c r="AG1" s="13" t="s">
        <v>36</v>
      </c>
      <c r="AH1" s="13" t="s">
        <v>37</v>
      </c>
      <c r="AI1" s="13" t="s">
        <v>38</v>
      </c>
      <c r="AJ1" s="13" t="s">
        <v>39</v>
      </c>
      <c r="AK1" s="43" t="s">
        <v>3199</v>
      </c>
      <c r="AL1" s="43" t="s">
        <v>3201</v>
      </c>
      <c r="AM1" s="43" t="s">
        <v>3202</v>
      </c>
      <c r="AN1" s="43" t="s">
        <v>3203</v>
      </c>
      <c r="AO1" s="43" t="s">
        <v>3204</v>
      </c>
      <c r="AP1" s="43" t="s">
        <v>3207</v>
      </c>
      <c r="AQ1" s="43" t="s">
        <v>3208</v>
      </c>
      <c r="AR1" s="43" t="s">
        <v>3206</v>
      </c>
    </row>
    <row r="2" spans="1:44" x14ac:dyDescent="0.25">
      <c r="A2" s="16" t="s">
        <v>2117</v>
      </c>
      <c r="B2" s="15" t="s">
        <v>40</v>
      </c>
      <c r="C2" s="16">
        <v>1</v>
      </c>
      <c r="D2" s="16" t="s">
        <v>2478</v>
      </c>
      <c r="E2" s="17" t="s">
        <v>42</v>
      </c>
      <c r="F2" s="18" t="s">
        <v>2075</v>
      </c>
      <c r="G2" s="18" t="s">
        <v>2479</v>
      </c>
      <c r="H2" s="16" t="s">
        <v>61</v>
      </c>
      <c r="I2" s="19" t="s">
        <v>3</v>
      </c>
      <c r="J2" s="16" t="s">
        <v>12</v>
      </c>
      <c r="K2" s="20" t="s">
        <v>126</v>
      </c>
      <c r="L2" s="20" t="s">
        <v>837</v>
      </c>
      <c r="M2" s="16" t="s">
        <v>526</v>
      </c>
      <c r="N2" s="16">
        <v>0</v>
      </c>
      <c r="O2" s="16" t="s">
        <v>50</v>
      </c>
      <c r="P2" s="20">
        <v>1089</v>
      </c>
      <c r="Q2" s="20" t="s">
        <v>51</v>
      </c>
      <c r="R2" s="21" t="s">
        <v>287</v>
      </c>
      <c r="S2" s="22" t="s">
        <v>288</v>
      </c>
      <c r="T2" s="22" t="s">
        <v>54</v>
      </c>
      <c r="U2" s="23" t="s">
        <v>550</v>
      </c>
      <c r="V2" s="24">
        <v>1.1499999999999999</v>
      </c>
      <c r="W2" s="25">
        <v>1808.95</v>
      </c>
      <c r="X2" s="26">
        <v>1</v>
      </c>
      <c r="Y2" s="27">
        <v>3.45</v>
      </c>
      <c r="Z2" s="23">
        <v>4</v>
      </c>
      <c r="AA2" s="28">
        <v>0.86250000000000004</v>
      </c>
      <c r="AB2" s="24">
        <v>0</v>
      </c>
      <c r="AC2" s="29">
        <v>0</v>
      </c>
      <c r="AD2" s="30">
        <v>43544</v>
      </c>
      <c r="AE2" s="30">
        <v>43578</v>
      </c>
      <c r="AF2" s="23">
        <v>24</v>
      </c>
      <c r="AG2" s="25" t="s">
        <v>1198</v>
      </c>
      <c r="AH2" s="24">
        <v>1</v>
      </c>
      <c r="AI2" s="31">
        <v>-1573.0000000000002</v>
      </c>
      <c r="AJ2" s="31">
        <v>0</v>
      </c>
      <c r="AK2" s="44">
        <f t="shared" ref="AK2:AK65" si="0">+W2+AC2</f>
        <v>1808.95</v>
      </c>
      <c r="AL2" t="e">
        <f>VLOOKUP(A2,'[1]prueba con 16mil datos'!$A$1:$AE$804,31,FALSE)</f>
        <v>#N/A</v>
      </c>
      <c r="AM2" t="e">
        <f t="shared" ref="AM2:AM65" si="1">IF(AK2=AL2,1,0)</f>
        <v>#N/A</v>
      </c>
      <c r="AO2" t="e">
        <f>VLOOKUP(A2,'[1]Prueba con 19mil datos'!$B$1:$AF$1228,31,FALSE)</f>
        <v>#N/A</v>
      </c>
      <c r="AP2" t="e">
        <v>#N/A</v>
      </c>
      <c r="AR2" t="s">
        <v>3214</v>
      </c>
    </row>
    <row r="3" spans="1:44" x14ac:dyDescent="0.25">
      <c r="A3" s="16" t="s">
        <v>1823</v>
      </c>
      <c r="B3" s="15" t="s">
        <v>40</v>
      </c>
      <c r="C3" s="16">
        <v>1</v>
      </c>
      <c r="D3" s="16" t="s">
        <v>1195</v>
      </c>
      <c r="E3" s="17" t="s">
        <v>321</v>
      </c>
      <c r="F3" s="18" t="s">
        <v>1020</v>
      </c>
      <c r="G3" s="18" t="s">
        <v>1196</v>
      </c>
      <c r="H3" s="16" t="s">
        <v>693</v>
      </c>
      <c r="I3" s="19" t="s">
        <v>3</v>
      </c>
      <c r="J3" s="16" t="s">
        <v>12</v>
      </c>
      <c r="K3" s="20" t="s">
        <v>83</v>
      </c>
      <c r="L3" s="20" t="s">
        <v>1023</v>
      </c>
      <c r="M3" s="16" t="s">
        <v>695</v>
      </c>
      <c r="N3" s="16">
        <v>0</v>
      </c>
      <c r="O3" s="16" t="s">
        <v>50</v>
      </c>
      <c r="P3" s="20" t="s">
        <v>326</v>
      </c>
      <c r="Q3" s="20" t="s">
        <v>51</v>
      </c>
      <c r="R3" s="21" t="s">
        <v>87</v>
      </c>
      <c r="S3" s="22" t="s">
        <v>53</v>
      </c>
      <c r="T3" s="22" t="s">
        <v>54</v>
      </c>
      <c r="U3" s="23" t="s">
        <v>55</v>
      </c>
      <c r="V3" s="24">
        <v>1</v>
      </c>
      <c r="W3" s="25">
        <v>1072.5000000000002</v>
      </c>
      <c r="X3" s="26">
        <v>0</v>
      </c>
      <c r="Y3" s="27">
        <v>5</v>
      </c>
      <c r="Z3" s="23">
        <v>5</v>
      </c>
      <c r="AA3" s="28">
        <v>1</v>
      </c>
      <c r="AB3" s="24">
        <v>0</v>
      </c>
      <c r="AC3" s="29">
        <v>0</v>
      </c>
      <c r="AD3" s="30">
        <v>43545</v>
      </c>
      <c r="AE3" s="30">
        <v>43563</v>
      </c>
      <c r="AF3" s="23">
        <v>12</v>
      </c>
      <c r="AG3" s="25" t="s">
        <v>1198</v>
      </c>
      <c r="AH3" s="24">
        <v>0</v>
      </c>
      <c r="AI3" s="31">
        <v>0</v>
      </c>
      <c r="AJ3" s="31">
        <v>0</v>
      </c>
      <c r="AK3" s="44">
        <f t="shared" si="0"/>
        <v>1072.5000000000002</v>
      </c>
      <c r="AL3" t="e">
        <f>VLOOKUP(A3,'[1]prueba con 16mil datos'!$A$1:$AE$804,31,FALSE)</f>
        <v>#N/A</v>
      </c>
      <c r="AM3" t="e">
        <f t="shared" si="1"/>
        <v>#N/A</v>
      </c>
      <c r="AO3" t="e">
        <f>VLOOKUP(A3,'[1]Prueba con 19mil datos'!$B$1:$AF$1228,31,FALSE)</f>
        <v>#N/A</v>
      </c>
      <c r="AP3" t="s">
        <v>3211</v>
      </c>
      <c r="AR3" t="s">
        <v>3209</v>
      </c>
    </row>
    <row r="4" spans="1:44" x14ac:dyDescent="0.25">
      <c r="A4" s="16" t="s">
        <v>1823</v>
      </c>
      <c r="B4" s="15">
        <v>43556</v>
      </c>
      <c r="C4" s="16">
        <v>1</v>
      </c>
      <c r="D4" s="16" t="s">
        <v>491</v>
      </c>
      <c r="E4" s="17" t="s">
        <v>321</v>
      </c>
      <c r="F4" s="18" t="s">
        <v>90</v>
      </c>
      <c r="G4" s="18" t="s">
        <v>492</v>
      </c>
      <c r="H4" s="16" t="s">
        <v>301</v>
      </c>
      <c r="I4" s="19" t="s">
        <v>3</v>
      </c>
      <c r="J4" s="16" t="s">
        <v>12</v>
      </c>
      <c r="K4" s="20" t="s">
        <v>324</v>
      </c>
      <c r="L4" s="20" t="s">
        <v>325</v>
      </c>
      <c r="M4" s="16" t="s">
        <v>49</v>
      </c>
      <c r="N4" s="16">
        <v>0</v>
      </c>
      <c r="O4" s="16" t="s">
        <v>50</v>
      </c>
      <c r="P4" s="20" t="s">
        <v>326</v>
      </c>
      <c r="Q4" s="20" t="s">
        <v>51</v>
      </c>
      <c r="R4" s="21" t="s">
        <v>77</v>
      </c>
      <c r="S4" s="22" t="s">
        <v>53</v>
      </c>
      <c r="T4" s="22" t="s">
        <v>54</v>
      </c>
      <c r="U4" s="23" t="s">
        <v>55</v>
      </c>
      <c r="V4" s="24">
        <v>1</v>
      </c>
      <c r="W4" s="25">
        <v>1072.5000000000002</v>
      </c>
      <c r="X4" s="26">
        <v>0</v>
      </c>
      <c r="Y4" s="27">
        <v>5</v>
      </c>
      <c r="Z4" s="23">
        <v>5</v>
      </c>
      <c r="AA4" s="28">
        <v>1</v>
      </c>
      <c r="AB4" s="24">
        <v>0</v>
      </c>
      <c r="AC4" s="29">
        <v>0</v>
      </c>
      <c r="AD4" s="30">
        <v>43545</v>
      </c>
      <c r="AE4" s="30">
        <v>43557</v>
      </c>
      <c r="AF4" s="23">
        <v>8</v>
      </c>
      <c r="AG4" s="25" t="s">
        <v>493</v>
      </c>
      <c r="AH4" s="24">
        <v>0</v>
      </c>
      <c r="AI4" s="31">
        <v>0</v>
      </c>
      <c r="AJ4" s="31">
        <v>0</v>
      </c>
      <c r="AK4" s="44">
        <f t="shared" si="0"/>
        <v>1072.5000000000002</v>
      </c>
      <c r="AL4" t="e">
        <f>VLOOKUP(A4,'[1]prueba con 16mil datos'!$A$1:$AE$804,31,FALSE)</f>
        <v>#N/A</v>
      </c>
      <c r="AM4" t="e">
        <f t="shared" si="1"/>
        <v>#N/A</v>
      </c>
      <c r="AO4" t="e">
        <f>VLOOKUP(A4,'[1]Prueba con 19mil datos'!$B$1:$AF$1228,31,FALSE)</f>
        <v>#N/A</v>
      </c>
      <c r="AP4" t="s">
        <v>3211</v>
      </c>
      <c r="AR4" t="s">
        <v>3209</v>
      </c>
    </row>
    <row r="5" spans="1:44" x14ac:dyDescent="0.25">
      <c r="A5" s="16" t="s">
        <v>1925</v>
      </c>
      <c r="B5" s="15" t="s">
        <v>40</v>
      </c>
      <c r="C5" s="16">
        <v>1</v>
      </c>
      <c r="D5" s="16" t="s">
        <v>1770</v>
      </c>
      <c r="E5" s="17" t="s">
        <v>321</v>
      </c>
      <c r="F5" s="18" t="s">
        <v>90</v>
      </c>
      <c r="G5" s="18" t="s">
        <v>1771</v>
      </c>
      <c r="H5" s="16" t="s">
        <v>213</v>
      </c>
      <c r="I5" s="19" t="s">
        <v>3</v>
      </c>
      <c r="J5" s="16" t="s">
        <v>12</v>
      </c>
      <c r="K5" s="20" t="s">
        <v>198</v>
      </c>
      <c r="L5" s="20" t="s">
        <v>1641</v>
      </c>
      <c r="M5" s="16" t="s">
        <v>479</v>
      </c>
      <c r="N5" s="16">
        <v>0</v>
      </c>
      <c r="O5" s="16" t="s">
        <v>50</v>
      </c>
      <c r="P5" s="20" t="s">
        <v>326</v>
      </c>
      <c r="Q5" s="20" t="s">
        <v>51</v>
      </c>
      <c r="R5" s="21" t="s">
        <v>77</v>
      </c>
      <c r="S5" s="22" t="s">
        <v>53</v>
      </c>
      <c r="T5" s="22" t="s">
        <v>54</v>
      </c>
      <c r="U5" s="23" t="s">
        <v>55</v>
      </c>
      <c r="V5" s="24">
        <v>1</v>
      </c>
      <c r="W5" s="25">
        <v>1072.5000000000002</v>
      </c>
      <c r="X5" s="26">
        <v>0</v>
      </c>
      <c r="Y5" s="27">
        <v>5</v>
      </c>
      <c r="Z5" s="23">
        <v>5</v>
      </c>
      <c r="AA5" s="28">
        <v>1</v>
      </c>
      <c r="AB5" s="24">
        <v>0</v>
      </c>
      <c r="AC5" s="29">
        <v>0</v>
      </c>
      <c r="AD5" s="30">
        <v>43549</v>
      </c>
      <c r="AE5" s="30">
        <v>43567</v>
      </c>
      <c r="AF5" s="23">
        <v>14</v>
      </c>
      <c r="AG5" s="25" t="s">
        <v>1198</v>
      </c>
      <c r="AH5" s="24">
        <v>0</v>
      </c>
      <c r="AI5" s="31">
        <v>0</v>
      </c>
      <c r="AJ5" s="31">
        <v>0</v>
      </c>
      <c r="AK5" s="44">
        <f t="shared" si="0"/>
        <v>1072.5000000000002</v>
      </c>
      <c r="AL5" t="e">
        <f>VLOOKUP(A5,'[1]prueba con 16mil datos'!$A$1:$AE$804,31,FALSE)</f>
        <v>#N/A</v>
      </c>
      <c r="AM5" t="e">
        <f t="shared" si="1"/>
        <v>#N/A</v>
      </c>
      <c r="AN5">
        <v>1</v>
      </c>
      <c r="AO5" t="e">
        <f>VLOOKUP(A5,'[1]Prueba con 19mil datos'!$B$1:$AF$1228,31,FALSE)</f>
        <v>#N/A</v>
      </c>
      <c r="AP5" t="s">
        <v>3211</v>
      </c>
      <c r="AR5" t="s">
        <v>3209</v>
      </c>
    </row>
    <row r="6" spans="1:44" hidden="1" x14ac:dyDescent="0.25">
      <c r="A6" s="16" t="s">
        <v>1720</v>
      </c>
      <c r="B6" s="15" t="s">
        <v>40</v>
      </c>
      <c r="C6" s="16">
        <v>1</v>
      </c>
      <c r="D6" s="16" t="s">
        <v>1938</v>
      </c>
      <c r="E6" s="17" t="s">
        <v>321</v>
      </c>
      <c r="F6" s="18" t="s">
        <v>90</v>
      </c>
      <c r="G6" s="18" t="s">
        <v>1939</v>
      </c>
      <c r="H6" s="16" t="s">
        <v>213</v>
      </c>
      <c r="I6" s="19" t="s">
        <v>3</v>
      </c>
      <c r="J6" s="16" t="s">
        <v>12</v>
      </c>
      <c r="K6" s="20" t="s">
        <v>198</v>
      </c>
      <c r="L6" s="20" t="s">
        <v>1641</v>
      </c>
      <c r="M6" s="16" t="s">
        <v>479</v>
      </c>
      <c r="N6" s="16">
        <v>0</v>
      </c>
      <c r="O6" s="16" t="s">
        <v>50</v>
      </c>
      <c r="P6" s="20" t="s">
        <v>326</v>
      </c>
      <c r="Q6" s="20" t="s">
        <v>51</v>
      </c>
      <c r="R6" s="21" t="s">
        <v>77</v>
      </c>
      <c r="S6" s="22" t="s">
        <v>53</v>
      </c>
      <c r="T6" s="22" t="s">
        <v>54</v>
      </c>
      <c r="U6" s="23" t="s">
        <v>55</v>
      </c>
      <c r="V6" s="24">
        <v>1</v>
      </c>
      <c r="W6" s="25">
        <v>1072.5000000000002</v>
      </c>
      <c r="X6" s="26">
        <v>0</v>
      </c>
      <c r="Y6" s="27">
        <v>5</v>
      </c>
      <c r="Z6" s="23">
        <v>5</v>
      </c>
      <c r="AA6" s="28">
        <v>1</v>
      </c>
      <c r="AB6" s="24">
        <v>0</v>
      </c>
      <c r="AC6" s="29">
        <v>0</v>
      </c>
      <c r="AD6" s="30">
        <v>43551</v>
      </c>
      <c r="AE6" s="30">
        <v>43570</v>
      </c>
      <c r="AF6" s="23">
        <v>13</v>
      </c>
      <c r="AG6" s="25" t="s">
        <v>1198</v>
      </c>
      <c r="AH6" s="24">
        <v>0</v>
      </c>
      <c r="AI6" s="31">
        <v>0</v>
      </c>
      <c r="AJ6" s="31">
        <v>0</v>
      </c>
      <c r="AK6" s="44">
        <f t="shared" si="0"/>
        <v>1072.5000000000002</v>
      </c>
      <c r="AL6">
        <f>VLOOKUP(A6,'[1]prueba con 16mil datos'!$A$1:$AE$804,31,FALSE)</f>
        <v>1501.5</v>
      </c>
      <c r="AM6">
        <f t="shared" si="1"/>
        <v>0</v>
      </c>
      <c r="AO6">
        <f>VLOOKUP(A6,'[1]Prueba con 19mil datos'!$B$1:$AF$1228,31,FALSE)</f>
        <v>1501.5</v>
      </c>
    </row>
    <row r="7" spans="1:44" hidden="1" x14ac:dyDescent="0.25">
      <c r="A7" s="16" t="s">
        <v>1720</v>
      </c>
      <c r="B7" s="15" t="s">
        <v>40</v>
      </c>
      <c r="C7" s="16">
        <v>1</v>
      </c>
      <c r="D7" s="16" t="s">
        <v>210</v>
      </c>
      <c r="E7" s="17" t="s">
        <v>42</v>
      </c>
      <c r="F7" s="18" t="s">
        <v>99</v>
      </c>
      <c r="G7" s="18" t="s">
        <v>211</v>
      </c>
      <c r="H7" s="16" t="s">
        <v>213</v>
      </c>
      <c r="I7" s="19" t="s">
        <v>3</v>
      </c>
      <c r="J7" s="16" t="s">
        <v>12</v>
      </c>
      <c r="K7" s="20" t="s">
        <v>214</v>
      </c>
      <c r="L7" s="20" t="s">
        <v>215</v>
      </c>
      <c r="M7" s="16" t="s">
        <v>216</v>
      </c>
      <c r="N7" s="16">
        <v>0</v>
      </c>
      <c r="O7" s="16" t="s">
        <v>50</v>
      </c>
      <c r="P7" s="20">
        <v>1171</v>
      </c>
      <c r="Q7" s="20" t="s">
        <v>51</v>
      </c>
      <c r="R7" s="21" t="s">
        <v>77</v>
      </c>
      <c r="S7" s="22" t="s">
        <v>53</v>
      </c>
      <c r="T7" s="22" t="s">
        <v>54</v>
      </c>
      <c r="U7" s="23" t="s">
        <v>55</v>
      </c>
      <c r="V7" s="24">
        <v>1.05</v>
      </c>
      <c r="W7" s="25">
        <v>750.75000000000011</v>
      </c>
      <c r="X7" s="26">
        <v>1</v>
      </c>
      <c r="Y7" s="27">
        <v>1.85</v>
      </c>
      <c r="Z7" s="23">
        <v>5</v>
      </c>
      <c r="AA7" s="28">
        <v>0.37</v>
      </c>
      <c r="AB7" s="24">
        <v>0</v>
      </c>
      <c r="AC7" s="29">
        <v>0</v>
      </c>
      <c r="AD7" s="30">
        <v>43552</v>
      </c>
      <c r="AE7" s="30">
        <v>43556</v>
      </c>
      <c r="AF7" s="23">
        <v>2</v>
      </c>
      <c r="AG7" s="25" t="s">
        <v>202</v>
      </c>
      <c r="AH7" s="24">
        <v>0.25</v>
      </c>
      <c r="AI7" s="31">
        <v>-178.75000000000003</v>
      </c>
      <c r="AJ7" s="31">
        <v>0</v>
      </c>
      <c r="AK7" s="44">
        <f t="shared" si="0"/>
        <v>750.75000000000011</v>
      </c>
      <c r="AL7">
        <f>VLOOKUP(A7,'[1]prueba con 16mil datos'!$A$1:$AE$804,31,FALSE)</f>
        <v>1501.5</v>
      </c>
      <c r="AM7">
        <f t="shared" si="1"/>
        <v>0</v>
      </c>
      <c r="AO7">
        <f>VLOOKUP(A7,'[1]Prueba con 19mil datos'!$B$1:$AF$1228,31,FALSE)</f>
        <v>1501.5</v>
      </c>
    </row>
    <row r="8" spans="1:44" hidden="1" x14ac:dyDescent="0.25">
      <c r="A8" s="16" t="s">
        <v>1720</v>
      </c>
      <c r="B8" s="15" t="s">
        <v>40</v>
      </c>
      <c r="C8" s="16">
        <v>1</v>
      </c>
      <c r="D8" s="16" t="s">
        <v>195</v>
      </c>
      <c r="E8" s="17" t="s">
        <v>42</v>
      </c>
      <c r="F8" s="18" t="s">
        <v>180</v>
      </c>
      <c r="G8" s="18" t="s">
        <v>196</v>
      </c>
      <c r="H8" s="16" t="s">
        <v>109</v>
      </c>
      <c r="I8" s="19" t="s">
        <v>3</v>
      </c>
      <c r="J8" s="16" t="s">
        <v>12</v>
      </c>
      <c r="K8" s="20" t="s">
        <v>198</v>
      </c>
      <c r="L8" s="20" t="s">
        <v>199</v>
      </c>
      <c r="M8" s="16" t="s">
        <v>200</v>
      </c>
      <c r="N8" s="16">
        <v>0</v>
      </c>
      <c r="O8" s="16" t="s">
        <v>50</v>
      </c>
      <c r="P8" s="20">
        <v>7</v>
      </c>
      <c r="Q8" s="20" t="s">
        <v>65</v>
      </c>
      <c r="R8" s="21" t="s">
        <v>186</v>
      </c>
      <c r="S8" s="22" t="s">
        <v>187</v>
      </c>
      <c r="T8" s="22" t="s">
        <v>54</v>
      </c>
      <c r="U8" s="23" t="s">
        <v>201</v>
      </c>
      <c r="V8" s="24">
        <v>0.8</v>
      </c>
      <c r="W8" s="25">
        <v>1258.4000000000003</v>
      </c>
      <c r="X8" s="26">
        <v>1</v>
      </c>
      <c r="Y8" s="27">
        <v>1.31</v>
      </c>
      <c r="Z8" s="23">
        <v>4</v>
      </c>
      <c r="AA8" s="28">
        <v>0.32750000000000001</v>
      </c>
      <c r="AB8" s="24">
        <v>0</v>
      </c>
      <c r="AC8" s="29">
        <v>0</v>
      </c>
      <c r="AD8" s="30">
        <v>43552</v>
      </c>
      <c r="AE8" s="30">
        <v>43556</v>
      </c>
      <c r="AF8" s="23">
        <v>2</v>
      </c>
      <c r="AG8" s="25" t="s">
        <v>202</v>
      </c>
      <c r="AH8" s="24">
        <v>0.25</v>
      </c>
      <c r="AI8" s="31">
        <v>-393.25000000000006</v>
      </c>
      <c r="AJ8" s="31">
        <v>0</v>
      </c>
      <c r="AK8" s="44">
        <f t="shared" si="0"/>
        <v>1258.4000000000003</v>
      </c>
      <c r="AL8">
        <f>VLOOKUP(A8,'[1]prueba con 16mil datos'!$A$1:$AE$804,31,FALSE)</f>
        <v>1501.5</v>
      </c>
      <c r="AM8">
        <f t="shared" si="1"/>
        <v>0</v>
      </c>
      <c r="AO8">
        <f>VLOOKUP(A8,'[1]Prueba con 19mil datos'!$B$1:$AF$1228,31,FALSE)</f>
        <v>1501.5</v>
      </c>
    </row>
    <row r="9" spans="1:44" hidden="1" x14ac:dyDescent="0.25">
      <c r="A9" s="16" t="s">
        <v>1720</v>
      </c>
      <c r="B9" s="15" t="s">
        <v>40</v>
      </c>
      <c r="C9" s="16">
        <v>1</v>
      </c>
      <c r="D9" s="16" t="s">
        <v>150</v>
      </c>
      <c r="E9" s="17" t="s">
        <v>42</v>
      </c>
      <c r="F9" s="18" t="s">
        <v>90</v>
      </c>
      <c r="G9" s="18" t="s">
        <v>151</v>
      </c>
      <c r="H9" s="16" t="s">
        <v>153</v>
      </c>
      <c r="I9" s="19" t="s">
        <v>3</v>
      </c>
      <c r="J9" s="16" t="s">
        <v>12</v>
      </c>
      <c r="K9" s="20" t="s">
        <v>154</v>
      </c>
      <c r="L9" s="20" t="s">
        <v>155</v>
      </c>
      <c r="M9" s="16" t="s">
        <v>156</v>
      </c>
      <c r="N9" s="16">
        <v>0</v>
      </c>
      <c r="O9" s="16" t="s">
        <v>50</v>
      </c>
      <c r="P9" s="20">
        <v>134</v>
      </c>
      <c r="Q9" s="20" t="s">
        <v>51</v>
      </c>
      <c r="R9" s="21" t="s">
        <v>77</v>
      </c>
      <c r="S9" s="22" t="s">
        <v>53</v>
      </c>
      <c r="T9" s="22" t="s">
        <v>157</v>
      </c>
      <c r="U9" s="23" t="s">
        <v>55</v>
      </c>
      <c r="V9" s="24">
        <v>1.05</v>
      </c>
      <c r="W9" s="25">
        <v>750.75000000000011</v>
      </c>
      <c r="X9" s="26">
        <v>1</v>
      </c>
      <c r="Y9" s="27">
        <v>1.26</v>
      </c>
      <c r="Z9" s="23">
        <v>9</v>
      </c>
      <c r="AA9" s="28">
        <v>0.14000000000000001</v>
      </c>
      <c r="AB9" s="24">
        <v>0</v>
      </c>
      <c r="AC9" s="29">
        <v>0</v>
      </c>
      <c r="AD9" s="30">
        <v>43553</v>
      </c>
      <c r="AE9" s="30">
        <v>43556</v>
      </c>
      <c r="AF9" s="23">
        <v>1</v>
      </c>
      <c r="AG9" s="25" t="s">
        <v>56</v>
      </c>
      <c r="AH9" s="24">
        <v>0</v>
      </c>
      <c r="AI9" s="31">
        <v>0</v>
      </c>
      <c r="AJ9" s="31">
        <v>0</v>
      </c>
      <c r="AK9" s="44">
        <f t="shared" si="0"/>
        <v>750.75000000000011</v>
      </c>
      <c r="AL9">
        <f>VLOOKUP(A9,'[1]prueba con 16mil datos'!$A$1:$AE$804,31,FALSE)</f>
        <v>1501.5</v>
      </c>
      <c r="AM9">
        <f t="shared" si="1"/>
        <v>0</v>
      </c>
      <c r="AO9">
        <f>VLOOKUP(A9,'[1]Prueba con 19mil datos'!$B$1:$AF$1228,31,FALSE)</f>
        <v>1501.5</v>
      </c>
    </row>
    <row r="10" spans="1:44" hidden="1" x14ac:dyDescent="0.25">
      <c r="A10" s="16" t="s">
        <v>3144</v>
      </c>
      <c r="B10" s="15" t="s">
        <v>40</v>
      </c>
      <c r="C10" s="16">
        <v>1</v>
      </c>
      <c r="D10" s="16" t="s">
        <v>98</v>
      </c>
      <c r="E10" s="17" t="s">
        <v>42</v>
      </c>
      <c r="F10" s="18" t="s">
        <v>99</v>
      </c>
      <c r="G10" s="18" t="s">
        <v>100</v>
      </c>
      <c r="H10" s="16" t="s">
        <v>102</v>
      </c>
      <c r="I10" s="19" t="s">
        <v>3</v>
      </c>
      <c r="J10" s="16" t="s">
        <v>12</v>
      </c>
      <c r="K10" s="20" t="s">
        <v>103</v>
      </c>
      <c r="L10" s="20" t="s">
        <v>104</v>
      </c>
      <c r="M10" s="16" t="s">
        <v>105</v>
      </c>
      <c r="N10" s="16">
        <v>0</v>
      </c>
      <c r="O10" s="16" t="s">
        <v>50</v>
      </c>
      <c r="P10" s="20">
        <v>728</v>
      </c>
      <c r="Q10" s="20" t="s">
        <v>51</v>
      </c>
      <c r="R10" s="21" t="s">
        <v>77</v>
      </c>
      <c r="S10" s="22" t="s">
        <v>53</v>
      </c>
      <c r="T10" s="22" t="s">
        <v>54</v>
      </c>
      <c r="U10" s="23" t="s">
        <v>55</v>
      </c>
      <c r="V10" s="24">
        <v>1.05</v>
      </c>
      <c r="W10" s="25">
        <v>750.75000000000011</v>
      </c>
      <c r="X10" s="26">
        <v>1</v>
      </c>
      <c r="Y10" s="27">
        <v>1.1000000000000001</v>
      </c>
      <c r="Z10" s="23">
        <v>5</v>
      </c>
      <c r="AA10" s="28">
        <v>0.22000000000000003</v>
      </c>
      <c r="AB10" s="24">
        <v>0</v>
      </c>
      <c r="AC10" s="29">
        <v>0</v>
      </c>
      <c r="AD10" s="30">
        <v>43553</v>
      </c>
      <c r="AE10" s="30">
        <v>43556</v>
      </c>
      <c r="AF10" s="23">
        <v>1</v>
      </c>
      <c r="AG10" s="25" t="s">
        <v>56</v>
      </c>
      <c r="AH10" s="24">
        <v>0</v>
      </c>
      <c r="AI10" s="31">
        <v>0</v>
      </c>
      <c r="AJ10" s="31">
        <v>0</v>
      </c>
      <c r="AK10" s="44">
        <f t="shared" si="0"/>
        <v>750.75000000000011</v>
      </c>
      <c r="AL10">
        <f>VLOOKUP(A10,'[1]prueba con 16mil datos'!$A$1:$AE$804,31,FALSE)</f>
        <v>1501.5</v>
      </c>
      <c r="AM10">
        <f t="shared" si="1"/>
        <v>0</v>
      </c>
      <c r="AO10">
        <f>VLOOKUP(A10,'[1]Prueba con 19mil datos'!$B$1:$AF$1228,31,FALSE)</f>
        <v>1501.5</v>
      </c>
    </row>
    <row r="11" spans="1:44" hidden="1" x14ac:dyDescent="0.25">
      <c r="A11" s="16" t="s">
        <v>2714</v>
      </c>
      <c r="B11" s="15" t="s">
        <v>40</v>
      </c>
      <c r="C11" s="16">
        <v>1</v>
      </c>
      <c r="D11" s="16" t="s">
        <v>227</v>
      </c>
      <c r="E11" s="17" t="s">
        <v>42</v>
      </c>
      <c r="F11" s="18" t="s">
        <v>228</v>
      </c>
      <c r="G11" s="18" t="s">
        <v>229</v>
      </c>
      <c r="H11" s="16" t="s">
        <v>207</v>
      </c>
      <c r="I11" s="19" t="s">
        <v>3</v>
      </c>
      <c r="J11" s="16" t="s">
        <v>12</v>
      </c>
      <c r="K11" s="20" t="s">
        <v>198</v>
      </c>
      <c r="L11" s="20" t="s">
        <v>231</v>
      </c>
      <c r="M11" s="16" t="s">
        <v>200</v>
      </c>
      <c r="N11" s="16">
        <v>0</v>
      </c>
      <c r="O11" s="16" t="s">
        <v>50</v>
      </c>
      <c r="P11" s="20">
        <v>42</v>
      </c>
      <c r="Q11" s="20" t="s">
        <v>86</v>
      </c>
      <c r="R11" s="21" t="s">
        <v>87</v>
      </c>
      <c r="S11" s="22" t="s">
        <v>53</v>
      </c>
      <c r="T11" s="22" t="s">
        <v>54</v>
      </c>
      <c r="U11" s="23" t="s">
        <v>88</v>
      </c>
      <c r="V11" s="24">
        <v>0.8</v>
      </c>
      <c r="W11" s="25">
        <v>572.00000000000011</v>
      </c>
      <c r="X11" s="26">
        <v>1</v>
      </c>
      <c r="Y11" s="27">
        <v>2.76</v>
      </c>
      <c r="Z11" s="23">
        <v>5</v>
      </c>
      <c r="AA11" s="28">
        <v>0.55199999999999994</v>
      </c>
      <c r="AB11" s="24">
        <v>0</v>
      </c>
      <c r="AC11" s="29">
        <v>0</v>
      </c>
      <c r="AD11" s="30">
        <v>43553</v>
      </c>
      <c r="AE11" s="30">
        <v>43556</v>
      </c>
      <c r="AF11" s="23">
        <v>1</v>
      </c>
      <c r="AG11" s="25" t="s">
        <v>56</v>
      </c>
      <c r="AH11" s="24">
        <v>0</v>
      </c>
      <c r="AI11" s="31">
        <v>0</v>
      </c>
      <c r="AJ11" s="31">
        <v>0</v>
      </c>
      <c r="AK11" s="44">
        <f t="shared" si="0"/>
        <v>572.00000000000011</v>
      </c>
      <c r="AL11">
        <f>VLOOKUP(A11,'[1]prueba con 16mil datos'!$A$1:$AE$804,31,FALSE)</f>
        <v>687.75</v>
      </c>
      <c r="AM11">
        <f t="shared" si="1"/>
        <v>0</v>
      </c>
      <c r="AO11">
        <f>VLOOKUP(A11,'[1]Prueba con 19mil datos'!$B$1:$AF$1228,31,FALSE)</f>
        <v>687.75</v>
      </c>
    </row>
    <row r="12" spans="1:44" hidden="1" x14ac:dyDescent="0.25">
      <c r="A12" s="16" t="s">
        <v>1537</v>
      </c>
      <c r="B12" s="15" t="s">
        <v>40</v>
      </c>
      <c r="C12" s="16">
        <v>1</v>
      </c>
      <c r="D12" s="16" t="s">
        <v>359</v>
      </c>
      <c r="E12" s="17" t="s">
        <v>42</v>
      </c>
      <c r="F12" s="18" t="s">
        <v>275</v>
      </c>
      <c r="G12" s="18" t="s">
        <v>360</v>
      </c>
      <c r="H12" s="16" t="s">
        <v>125</v>
      </c>
      <c r="I12" s="19" t="s">
        <v>3</v>
      </c>
      <c r="J12" s="16" t="s">
        <v>12</v>
      </c>
      <c r="K12" s="20" t="s">
        <v>126</v>
      </c>
      <c r="L12" s="20" t="s">
        <v>127</v>
      </c>
      <c r="M12" s="16" t="s">
        <v>128</v>
      </c>
      <c r="N12" s="16">
        <v>0</v>
      </c>
      <c r="O12" s="16" t="s">
        <v>50</v>
      </c>
      <c r="P12" s="20">
        <v>4</v>
      </c>
      <c r="Q12" s="20" t="s">
        <v>311</v>
      </c>
      <c r="R12" s="21" t="s">
        <v>279</v>
      </c>
      <c r="S12" s="22" t="s">
        <v>187</v>
      </c>
      <c r="T12" s="22" t="s">
        <v>54</v>
      </c>
      <c r="U12" s="23" t="s">
        <v>362</v>
      </c>
      <c r="V12" s="24">
        <v>0.6</v>
      </c>
      <c r="W12" s="25">
        <v>943.80000000000007</v>
      </c>
      <c r="X12" s="26">
        <v>1</v>
      </c>
      <c r="Y12" s="27">
        <v>0.91</v>
      </c>
      <c r="Z12" s="23">
        <v>4</v>
      </c>
      <c r="AA12" s="28">
        <v>0.22750000000000001</v>
      </c>
      <c r="AB12" s="24">
        <v>0</v>
      </c>
      <c r="AC12" s="29">
        <v>0</v>
      </c>
      <c r="AD12" s="30">
        <v>43553</v>
      </c>
      <c r="AE12" s="30">
        <v>43556</v>
      </c>
      <c r="AF12" s="23">
        <v>1</v>
      </c>
      <c r="AG12" s="25" t="s">
        <v>56</v>
      </c>
      <c r="AH12" s="24">
        <v>0</v>
      </c>
      <c r="AI12" s="31">
        <v>0</v>
      </c>
      <c r="AJ12" s="31">
        <v>0</v>
      </c>
      <c r="AK12" s="44">
        <f t="shared" si="0"/>
        <v>943.80000000000007</v>
      </c>
      <c r="AL12">
        <f>VLOOKUP(A12,'[1]prueba con 16mil datos'!$A$1:$AE$804,31,FALSE)</f>
        <v>1433.25</v>
      </c>
      <c r="AM12">
        <f t="shared" si="1"/>
        <v>0</v>
      </c>
      <c r="AO12">
        <f>VLOOKUP(A12,'[1]Prueba con 19mil datos'!$B$1:$AF$1228,31,FALSE)</f>
        <v>1433.25</v>
      </c>
    </row>
    <row r="13" spans="1:44" hidden="1" x14ac:dyDescent="0.25">
      <c r="A13" s="16" t="s">
        <v>1201</v>
      </c>
      <c r="B13" s="15" t="s">
        <v>40</v>
      </c>
      <c r="C13" s="16">
        <v>1</v>
      </c>
      <c r="D13" s="16" t="s">
        <v>69</v>
      </c>
      <c r="E13" s="17" t="s">
        <v>42</v>
      </c>
      <c r="F13" s="18" t="s">
        <v>70</v>
      </c>
      <c r="G13" s="18" t="s">
        <v>71</v>
      </c>
      <c r="H13" s="16" t="s">
        <v>73</v>
      </c>
      <c r="I13" s="19" t="s">
        <v>3</v>
      </c>
      <c r="J13" s="16" t="s">
        <v>12</v>
      </c>
      <c r="K13" s="20" t="s">
        <v>74</v>
      </c>
      <c r="L13" s="20" t="s">
        <v>75</v>
      </c>
      <c r="M13" s="16" t="s">
        <v>76</v>
      </c>
      <c r="N13" s="16">
        <v>0</v>
      </c>
      <c r="O13" s="16" t="s">
        <v>50</v>
      </c>
      <c r="P13" s="20">
        <v>540</v>
      </c>
      <c r="Q13" s="20" t="s">
        <v>51</v>
      </c>
      <c r="R13" s="21" t="s">
        <v>77</v>
      </c>
      <c r="S13" s="22" t="s">
        <v>53</v>
      </c>
      <c r="T13" s="22" t="s">
        <v>54</v>
      </c>
      <c r="U13" s="23" t="s">
        <v>55</v>
      </c>
      <c r="V13" s="24">
        <v>1.05</v>
      </c>
      <c r="W13" s="25">
        <v>750.75000000000011</v>
      </c>
      <c r="X13" s="26">
        <v>1</v>
      </c>
      <c r="Y13" s="27">
        <v>0.84</v>
      </c>
      <c r="Z13" s="23">
        <v>5</v>
      </c>
      <c r="AA13" s="28">
        <v>0.16799999999999998</v>
      </c>
      <c r="AB13" s="24">
        <v>0</v>
      </c>
      <c r="AC13" s="29">
        <v>0</v>
      </c>
      <c r="AD13" s="30">
        <v>43553</v>
      </c>
      <c r="AE13" s="30">
        <v>43556</v>
      </c>
      <c r="AF13" s="23">
        <v>1</v>
      </c>
      <c r="AG13" s="25" t="s">
        <v>56</v>
      </c>
      <c r="AH13" s="24">
        <v>0</v>
      </c>
      <c r="AI13" s="31">
        <v>0</v>
      </c>
      <c r="AJ13" s="31">
        <v>0</v>
      </c>
      <c r="AK13" s="44">
        <f t="shared" si="0"/>
        <v>750.75000000000011</v>
      </c>
      <c r="AL13">
        <f>VLOOKUP(A13,'[1]prueba con 16mil datos'!$A$1:$AE$804,31,FALSE)</f>
        <v>1092</v>
      </c>
      <c r="AM13">
        <f t="shared" si="1"/>
        <v>0</v>
      </c>
      <c r="AO13">
        <f>VLOOKUP(A13,'[1]Prueba con 19mil datos'!$B$1:$AF$1228,31,FALSE)</f>
        <v>1092</v>
      </c>
    </row>
    <row r="14" spans="1:44" hidden="1" x14ac:dyDescent="0.25">
      <c r="A14" s="16" t="s">
        <v>2448</v>
      </c>
      <c r="B14" s="15" t="s">
        <v>40</v>
      </c>
      <c r="C14" s="16">
        <v>1</v>
      </c>
      <c r="D14" s="16" t="s">
        <v>106</v>
      </c>
      <c r="E14" s="17" t="s">
        <v>42</v>
      </c>
      <c r="F14" s="18" t="s">
        <v>70</v>
      </c>
      <c r="G14" s="18" t="s">
        <v>107</v>
      </c>
      <c r="H14" s="16" t="s">
        <v>109</v>
      </c>
      <c r="I14" s="19" t="s">
        <v>3</v>
      </c>
      <c r="J14" s="16" t="s">
        <v>12</v>
      </c>
      <c r="K14" s="20" t="s">
        <v>47</v>
      </c>
      <c r="L14" s="20" t="s">
        <v>110</v>
      </c>
      <c r="M14" s="16" t="s">
        <v>111</v>
      </c>
      <c r="N14" s="16">
        <v>0</v>
      </c>
      <c r="O14" s="16" t="s">
        <v>50</v>
      </c>
      <c r="P14" s="20">
        <v>220</v>
      </c>
      <c r="Q14" s="20" t="s">
        <v>51</v>
      </c>
      <c r="R14" s="21" t="s">
        <v>77</v>
      </c>
      <c r="S14" s="22" t="s">
        <v>53</v>
      </c>
      <c r="T14" s="22" t="s">
        <v>54</v>
      </c>
      <c r="U14" s="23" t="s">
        <v>55</v>
      </c>
      <c r="V14" s="24">
        <v>1.05</v>
      </c>
      <c r="W14" s="25">
        <v>750.75000000000011</v>
      </c>
      <c r="X14" s="26">
        <v>1</v>
      </c>
      <c r="Y14" s="27">
        <v>0.92</v>
      </c>
      <c r="Z14" s="23">
        <v>5</v>
      </c>
      <c r="AA14" s="28">
        <v>0.184</v>
      </c>
      <c r="AB14" s="24">
        <v>0</v>
      </c>
      <c r="AC14" s="29">
        <v>0</v>
      </c>
      <c r="AD14" s="30">
        <v>43553</v>
      </c>
      <c r="AE14" s="30">
        <v>43556</v>
      </c>
      <c r="AF14" s="23">
        <v>1</v>
      </c>
      <c r="AG14" s="25" t="s">
        <v>56</v>
      </c>
      <c r="AH14" s="24">
        <v>0</v>
      </c>
      <c r="AI14" s="31">
        <v>0</v>
      </c>
      <c r="AJ14" s="31">
        <v>0</v>
      </c>
      <c r="AK14" s="44">
        <f t="shared" si="0"/>
        <v>750.75000000000011</v>
      </c>
      <c r="AL14">
        <f>VLOOKUP(A14,'[1]prueba con 16mil datos'!$A$1:$AE$804,31,FALSE)</f>
        <v>1501.5</v>
      </c>
      <c r="AM14">
        <f t="shared" si="1"/>
        <v>0</v>
      </c>
      <c r="AN14">
        <v>1</v>
      </c>
      <c r="AO14">
        <f>VLOOKUP(A14,'[1]Prueba con 19mil datos'!$B$1:$AF$1228,31,FALSE)</f>
        <v>1501.5</v>
      </c>
    </row>
    <row r="15" spans="1:44" hidden="1" x14ac:dyDescent="0.25">
      <c r="A15" s="16" t="s">
        <v>2837</v>
      </c>
      <c r="B15" s="15" t="s">
        <v>40</v>
      </c>
      <c r="C15" s="16">
        <v>1</v>
      </c>
      <c r="D15" s="16" t="s">
        <v>41</v>
      </c>
      <c r="E15" s="17" t="s">
        <v>42</v>
      </c>
      <c r="F15" s="18" t="s">
        <v>43</v>
      </c>
      <c r="G15" s="18" t="s">
        <v>44</v>
      </c>
      <c r="H15" s="16" t="s">
        <v>46</v>
      </c>
      <c r="I15" s="19" t="s">
        <v>3</v>
      </c>
      <c r="J15" s="16" t="s">
        <v>12</v>
      </c>
      <c r="K15" s="20" t="s">
        <v>47</v>
      </c>
      <c r="L15" s="20" t="s">
        <v>48</v>
      </c>
      <c r="M15" s="16" t="s">
        <v>49</v>
      </c>
      <c r="N15" s="16">
        <v>0</v>
      </c>
      <c r="O15" s="16" t="s">
        <v>50</v>
      </c>
      <c r="P15" s="20">
        <v>162</v>
      </c>
      <c r="Q15" s="20" t="s">
        <v>51</v>
      </c>
      <c r="R15" s="21" t="s">
        <v>52</v>
      </c>
      <c r="S15" s="22" t="s">
        <v>53</v>
      </c>
      <c r="T15" s="22" t="s">
        <v>54</v>
      </c>
      <c r="U15" s="23" t="s">
        <v>55</v>
      </c>
      <c r="V15" s="24">
        <v>1.05</v>
      </c>
      <c r="W15" s="25">
        <v>750.75000000000011</v>
      </c>
      <c r="X15" s="26">
        <v>1</v>
      </c>
      <c r="Y15" s="27">
        <v>0</v>
      </c>
      <c r="Z15" s="23">
        <v>5</v>
      </c>
      <c r="AA15" s="28">
        <v>0</v>
      </c>
      <c r="AB15" s="24">
        <v>0</v>
      </c>
      <c r="AC15" s="29">
        <v>0</v>
      </c>
      <c r="AD15" s="30">
        <v>43553</v>
      </c>
      <c r="AE15" s="30">
        <v>43556</v>
      </c>
      <c r="AF15" s="23">
        <v>1</v>
      </c>
      <c r="AG15" s="25" t="s">
        <v>56</v>
      </c>
      <c r="AH15" s="24">
        <v>0</v>
      </c>
      <c r="AI15" s="31">
        <v>0</v>
      </c>
      <c r="AJ15" s="31">
        <v>0</v>
      </c>
      <c r="AK15" s="44">
        <f t="shared" si="0"/>
        <v>750.75000000000011</v>
      </c>
      <c r="AL15">
        <f>VLOOKUP(A15,'[1]prueba con 16mil datos'!$A$1:$AE$804,31,FALSE)</f>
        <v>1433.25</v>
      </c>
      <c r="AM15">
        <f t="shared" si="1"/>
        <v>0</v>
      </c>
      <c r="AO15">
        <f>VLOOKUP(A15,'[1]Prueba con 19mil datos'!$B$1:$AF$1228,31,FALSE)</f>
        <v>1433.25</v>
      </c>
    </row>
    <row r="16" spans="1:44" hidden="1" x14ac:dyDescent="0.25">
      <c r="A16" s="16" t="s">
        <v>2110</v>
      </c>
      <c r="B16" s="15" t="s">
        <v>40</v>
      </c>
      <c r="C16" s="16">
        <v>1</v>
      </c>
      <c r="D16" s="16" t="s">
        <v>350</v>
      </c>
      <c r="E16" s="17" t="s">
        <v>42</v>
      </c>
      <c r="F16" s="18" t="s">
        <v>122</v>
      </c>
      <c r="G16" s="18" t="s">
        <v>351</v>
      </c>
      <c r="H16" s="16" t="s">
        <v>221</v>
      </c>
      <c r="I16" s="19" t="s">
        <v>3</v>
      </c>
      <c r="J16" s="16" t="s">
        <v>12</v>
      </c>
      <c r="K16" s="20" t="s">
        <v>198</v>
      </c>
      <c r="L16" s="20" t="s">
        <v>353</v>
      </c>
      <c r="M16" s="16" t="s">
        <v>354</v>
      </c>
      <c r="N16" s="16">
        <v>0</v>
      </c>
      <c r="O16" s="16" t="s">
        <v>50</v>
      </c>
      <c r="P16" s="20">
        <v>17</v>
      </c>
      <c r="Q16" s="20" t="s">
        <v>119</v>
      </c>
      <c r="R16" s="21" t="s">
        <v>129</v>
      </c>
      <c r="S16" s="22" t="s">
        <v>130</v>
      </c>
      <c r="T16" s="22" t="s">
        <v>54</v>
      </c>
      <c r="U16" s="23" t="s">
        <v>164</v>
      </c>
      <c r="V16" s="24">
        <v>0.8</v>
      </c>
      <c r="W16" s="25">
        <v>1092</v>
      </c>
      <c r="X16" s="26">
        <v>1</v>
      </c>
      <c r="Y16" s="27">
        <v>0.98</v>
      </c>
      <c r="Z16" s="23">
        <v>5</v>
      </c>
      <c r="AA16" s="28">
        <v>0.19600000000000001</v>
      </c>
      <c r="AB16" s="24">
        <v>0</v>
      </c>
      <c r="AC16" s="29">
        <v>0</v>
      </c>
      <c r="AD16" s="30">
        <v>43553</v>
      </c>
      <c r="AE16" s="30">
        <v>43556</v>
      </c>
      <c r="AF16" s="23">
        <v>1</v>
      </c>
      <c r="AG16" s="25" t="s">
        <v>56</v>
      </c>
      <c r="AH16" s="24">
        <v>0</v>
      </c>
      <c r="AI16" s="31">
        <v>0</v>
      </c>
      <c r="AJ16" s="31">
        <v>0</v>
      </c>
      <c r="AK16" s="44">
        <f t="shared" si="0"/>
        <v>1092</v>
      </c>
      <c r="AL16">
        <f>VLOOKUP(A16,'[1]prueba con 16mil datos'!$A$1:$AE$804,31,FALSE)</f>
        <v>1092</v>
      </c>
      <c r="AM16">
        <f t="shared" si="1"/>
        <v>1</v>
      </c>
      <c r="AO16">
        <f>VLOOKUP(A16,'[1]Prueba con 19mil datos'!$B$1:$AF$1228,31,FALSE)</f>
        <v>1092</v>
      </c>
    </row>
    <row r="17" spans="1:41" hidden="1" x14ac:dyDescent="0.25">
      <c r="A17" s="16" t="s">
        <v>3002</v>
      </c>
      <c r="B17" s="15" t="s">
        <v>40</v>
      </c>
      <c r="C17" s="16">
        <v>1</v>
      </c>
      <c r="D17" s="16" t="s">
        <v>121</v>
      </c>
      <c r="E17" s="17" t="s">
        <v>42</v>
      </c>
      <c r="F17" s="18" t="s">
        <v>122</v>
      </c>
      <c r="G17" s="18" t="s">
        <v>123</v>
      </c>
      <c r="H17" s="16" t="s">
        <v>125</v>
      </c>
      <c r="I17" s="19" t="s">
        <v>3</v>
      </c>
      <c r="J17" s="16" t="s">
        <v>12</v>
      </c>
      <c r="K17" s="20" t="s">
        <v>126</v>
      </c>
      <c r="L17" s="20" t="s">
        <v>127</v>
      </c>
      <c r="M17" s="16" t="s">
        <v>128</v>
      </c>
      <c r="N17" s="16">
        <v>0</v>
      </c>
      <c r="O17" s="16" t="s">
        <v>50</v>
      </c>
      <c r="P17" s="20">
        <v>9</v>
      </c>
      <c r="Q17" s="20" t="s">
        <v>65</v>
      </c>
      <c r="R17" s="21" t="s">
        <v>129</v>
      </c>
      <c r="S17" s="22" t="s">
        <v>130</v>
      </c>
      <c r="T17" s="22" t="s">
        <v>54</v>
      </c>
      <c r="U17" s="23" t="s">
        <v>131</v>
      </c>
      <c r="V17" s="24">
        <v>0.6</v>
      </c>
      <c r="W17" s="25">
        <v>819</v>
      </c>
      <c r="X17" s="26">
        <v>1</v>
      </c>
      <c r="Y17" s="27">
        <v>1.77</v>
      </c>
      <c r="Z17" s="23">
        <v>5</v>
      </c>
      <c r="AA17" s="28">
        <v>0.35399999999999998</v>
      </c>
      <c r="AB17" s="24">
        <v>0</v>
      </c>
      <c r="AC17" s="29">
        <v>0</v>
      </c>
      <c r="AD17" s="30">
        <v>43553</v>
      </c>
      <c r="AE17" s="30">
        <v>43556</v>
      </c>
      <c r="AF17" s="23">
        <v>1</v>
      </c>
      <c r="AG17" s="25" t="s">
        <v>56</v>
      </c>
      <c r="AH17" s="24">
        <v>0</v>
      </c>
      <c r="AI17" s="31">
        <v>0</v>
      </c>
      <c r="AJ17" s="31">
        <v>0</v>
      </c>
      <c r="AK17" s="44">
        <f t="shared" si="0"/>
        <v>819</v>
      </c>
      <c r="AL17">
        <f>VLOOKUP(A17,'[1]prueba con 16mil datos'!$A$1:$AE$804,31,FALSE)</f>
        <v>1433.25</v>
      </c>
      <c r="AM17">
        <f t="shared" si="1"/>
        <v>0</v>
      </c>
      <c r="AO17">
        <f>VLOOKUP(A17,'[1]Prueba con 19mil datos'!$B$1:$AF$1228,31,FALSE)</f>
        <v>1433.25</v>
      </c>
    </row>
    <row r="18" spans="1:41" hidden="1" x14ac:dyDescent="0.25">
      <c r="A18" s="16" t="s">
        <v>496</v>
      </c>
      <c r="B18" s="15" t="s">
        <v>40</v>
      </c>
      <c r="C18" s="16">
        <v>1</v>
      </c>
      <c r="D18" s="16" t="s">
        <v>342</v>
      </c>
      <c r="E18" s="17" t="s">
        <v>42</v>
      </c>
      <c r="F18" s="18" t="s">
        <v>343</v>
      </c>
      <c r="G18" s="18" t="s">
        <v>344</v>
      </c>
      <c r="H18" s="16" t="s">
        <v>346</v>
      </c>
      <c r="I18" s="19" t="s">
        <v>3</v>
      </c>
      <c r="J18" s="16" t="s">
        <v>12</v>
      </c>
      <c r="K18" s="20" t="s">
        <v>347</v>
      </c>
      <c r="L18" s="20" t="s">
        <v>348</v>
      </c>
      <c r="M18" s="16" t="s">
        <v>349</v>
      </c>
      <c r="N18" s="16">
        <v>0</v>
      </c>
      <c r="O18" s="16" t="s">
        <v>50</v>
      </c>
      <c r="P18" s="20">
        <v>20</v>
      </c>
      <c r="Q18" s="20" t="s">
        <v>119</v>
      </c>
      <c r="R18" s="21" t="s">
        <v>279</v>
      </c>
      <c r="S18" s="22" t="s">
        <v>187</v>
      </c>
      <c r="T18" s="22" t="s">
        <v>54</v>
      </c>
      <c r="U18" s="23" t="s">
        <v>269</v>
      </c>
      <c r="V18" s="24">
        <v>1.05</v>
      </c>
      <c r="W18" s="25">
        <v>1651.6500000000003</v>
      </c>
      <c r="X18" s="26">
        <v>1</v>
      </c>
      <c r="Y18" s="27">
        <v>0.03</v>
      </c>
      <c r="Z18" s="23">
        <v>4</v>
      </c>
      <c r="AA18" s="28">
        <v>7.4999999999999997E-3</v>
      </c>
      <c r="AB18" s="24">
        <v>0</v>
      </c>
      <c r="AC18" s="29">
        <v>0</v>
      </c>
      <c r="AD18" s="30">
        <v>43553</v>
      </c>
      <c r="AE18" s="30">
        <v>43556</v>
      </c>
      <c r="AF18" s="23">
        <v>1</v>
      </c>
      <c r="AG18" s="25" t="s">
        <v>56</v>
      </c>
      <c r="AH18" s="24">
        <v>0</v>
      </c>
      <c r="AI18" s="31">
        <v>0</v>
      </c>
      <c r="AJ18" s="31">
        <v>0</v>
      </c>
      <c r="AK18" s="44">
        <f t="shared" si="0"/>
        <v>1651.6500000000003</v>
      </c>
      <c r="AL18">
        <f>VLOOKUP(A18,'[1]prueba con 16mil datos'!$A$1:$AE$804,31,FALSE)</f>
        <v>1365</v>
      </c>
      <c r="AM18">
        <f t="shared" si="1"/>
        <v>0</v>
      </c>
      <c r="AO18">
        <f>VLOOKUP(A18,'[1]Prueba con 19mil datos'!$B$1:$AF$1228,31,FALSE)</f>
        <v>1365</v>
      </c>
    </row>
    <row r="19" spans="1:41" hidden="1" x14ac:dyDescent="0.25">
      <c r="A19" s="16" t="s">
        <v>1258</v>
      </c>
      <c r="B19" s="15" t="s">
        <v>40</v>
      </c>
      <c r="C19" s="16">
        <v>1</v>
      </c>
      <c r="D19" s="16" t="s">
        <v>78</v>
      </c>
      <c r="E19" s="17" t="s">
        <v>42</v>
      </c>
      <c r="F19" s="18" t="s">
        <v>79</v>
      </c>
      <c r="G19" s="18" t="s">
        <v>80</v>
      </c>
      <c r="H19" s="16" t="s">
        <v>82</v>
      </c>
      <c r="I19" s="19" t="s">
        <v>3</v>
      </c>
      <c r="J19" s="16" t="s">
        <v>12</v>
      </c>
      <c r="K19" s="20" t="s">
        <v>83</v>
      </c>
      <c r="L19" s="20" t="s">
        <v>84</v>
      </c>
      <c r="M19" s="16" t="s">
        <v>85</v>
      </c>
      <c r="N19" s="16">
        <v>0</v>
      </c>
      <c r="O19" s="16" t="s">
        <v>50</v>
      </c>
      <c r="P19" s="20">
        <v>37</v>
      </c>
      <c r="Q19" s="20" t="s">
        <v>86</v>
      </c>
      <c r="R19" s="21" t="s">
        <v>87</v>
      </c>
      <c r="S19" s="22" t="s">
        <v>53</v>
      </c>
      <c r="T19" s="22" t="s">
        <v>54</v>
      </c>
      <c r="U19" s="23" t="s">
        <v>88</v>
      </c>
      <c r="V19" s="24">
        <v>0.8</v>
      </c>
      <c r="W19" s="25">
        <v>572.00000000000011</v>
      </c>
      <c r="X19" s="26">
        <v>1</v>
      </c>
      <c r="Y19" s="27">
        <v>0.55000000000000004</v>
      </c>
      <c r="Z19" s="23">
        <v>5</v>
      </c>
      <c r="AA19" s="28">
        <v>0.11000000000000001</v>
      </c>
      <c r="AB19" s="24">
        <v>0</v>
      </c>
      <c r="AC19" s="29">
        <v>0</v>
      </c>
      <c r="AD19" s="30">
        <v>43553</v>
      </c>
      <c r="AE19" s="30">
        <v>43556</v>
      </c>
      <c r="AF19" s="23">
        <v>1</v>
      </c>
      <c r="AG19" s="25" t="s">
        <v>56</v>
      </c>
      <c r="AH19" s="24">
        <v>0</v>
      </c>
      <c r="AI19" s="31">
        <v>0</v>
      </c>
      <c r="AJ19" s="31">
        <v>0</v>
      </c>
      <c r="AK19" s="44">
        <f t="shared" si="0"/>
        <v>572.00000000000011</v>
      </c>
      <c r="AL19">
        <f>VLOOKUP(A19,'[1]prueba con 16mil datos'!$A$1:$AE$804,31,FALSE)</f>
        <v>819</v>
      </c>
      <c r="AM19">
        <f t="shared" si="1"/>
        <v>0</v>
      </c>
      <c r="AO19">
        <f>VLOOKUP(A19,'[1]Prueba con 19mil datos'!$B$1:$AF$1228,31,FALSE)</f>
        <v>819</v>
      </c>
    </row>
    <row r="20" spans="1:41" hidden="1" x14ac:dyDescent="0.25">
      <c r="A20" s="16" t="s">
        <v>1258</v>
      </c>
      <c r="B20" s="15" t="s">
        <v>40</v>
      </c>
      <c r="C20" s="16">
        <v>1</v>
      </c>
      <c r="D20" s="16" t="s">
        <v>355</v>
      </c>
      <c r="E20" s="17" t="s">
        <v>42</v>
      </c>
      <c r="F20" s="18" t="s">
        <v>356</v>
      </c>
      <c r="G20" s="18" t="s">
        <v>357</v>
      </c>
      <c r="H20" s="16" t="s">
        <v>125</v>
      </c>
      <c r="I20" s="19" t="s">
        <v>3</v>
      </c>
      <c r="J20" s="16" t="s">
        <v>12</v>
      </c>
      <c r="K20" s="20" t="s">
        <v>237</v>
      </c>
      <c r="L20" s="20" t="s">
        <v>238</v>
      </c>
      <c r="M20" s="16" t="s">
        <v>105</v>
      </c>
      <c r="N20" s="16">
        <v>0</v>
      </c>
      <c r="O20" s="16" t="s">
        <v>50</v>
      </c>
      <c r="P20" s="20">
        <v>50</v>
      </c>
      <c r="Q20" s="20" t="s">
        <v>86</v>
      </c>
      <c r="R20" s="21" t="s">
        <v>225</v>
      </c>
      <c r="S20" s="22" t="s">
        <v>130</v>
      </c>
      <c r="T20" s="22" t="s">
        <v>54</v>
      </c>
      <c r="U20" s="23" t="s">
        <v>178</v>
      </c>
      <c r="V20" s="24">
        <v>1.05</v>
      </c>
      <c r="W20" s="25">
        <v>1433.25</v>
      </c>
      <c r="X20" s="26">
        <v>1</v>
      </c>
      <c r="Y20" s="27">
        <v>2.73</v>
      </c>
      <c r="Z20" s="23">
        <v>5</v>
      </c>
      <c r="AA20" s="28">
        <v>0.54600000000000004</v>
      </c>
      <c r="AB20" s="24">
        <v>0</v>
      </c>
      <c r="AC20" s="29">
        <v>0</v>
      </c>
      <c r="AD20" s="30">
        <v>43553</v>
      </c>
      <c r="AE20" s="30">
        <v>43556</v>
      </c>
      <c r="AF20" s="23">
        <v>1</v>
      </c>
      <c r="AG20" s="25" t="s">
        <v>56</v>
      </c>
      <c r="AH20" s="24">
        <v>0</v>
      </c>
      <c r="AI20" s="31">
        <v>0</v>
      </c>
      <c r="AJ20" s="31">
        <v>0</v>
      </c>
      <c r="AK20" s="44">
        <f t="shared" si="0"/>
        <v>1433.25</v>
      </c>
      <c r="AL20">
        <f>VLOOKUP(A20,'[1]prueba con 16mil datos'!$A$1:$AE$804,31,FALSE)</f>
        <v>819</v>
      </c>
      <c r="AM20">
        <f t="shared" si="1"/>
        <v>0</v>
      </c>
      <c r="AO20">
        <f>VLOOKUP(A20,'[1]Prueba con 19mil datos'!$B$1:$AF$1228,31,FALSE)</f>
        <v>819</v>
      </c>
    </row>
    <row r="21" spans="1:41" hidden="1" x14ac:dyDescent="0.25">
      <c r="A21" s="16" t="s">
        <v>467</v>
      </c>
      <c r="B21" s="15" t="s">
        <v>40</v>
      </c>
      <c r="C21" s="16">
        <v>1</v>
      </c>
      <c r="D21" s="16" t="s">
        <v>57</v>
      </c>
      <c r="E21" s="17" t="s">
        <v>42</v>
      </c>
      <c r="F21" s="18" t="s">
        <v>58</v>
      </c>
      <c r="G21" s="18" t="s">
        <v>59</v>
      </c>
      <c r="H21" s="16" t="s">
        <v>61</v>
      </c>
      <c r="I21" s="19" t="s">
        <v>3</v>
      </c>
      <c r="J21" s="16" t="s">
        <v>12</v>
      </c>
      <c r="K21" s="20" t="s">
        <v>62</v>
      </c>
      <c r="L21" s="20" t="s">
        <v>63</v>
      </c>
      <c r="M21" s="16" t="s">
        <v>64</v>
      </c>
      <c r="N21" s="16">
        <v>0</v>
      </c>
      <c r="O21" s="16" t="s">
        <v>50</v>
      </c>
      <c r="P21" s="20">
        <v>7</v>
      </c>
      <c r="Q21" s="20" t="s">
        <v>65</v>
      </c>
      <c r="R21" s="21" t="s">
        <v>66</v>
      </c>
      <c r="S21" s="22" t="s">
        <v>67</v>
      </c>
      <c r="T21" s="22" t="s">
        <v>54</v>
      </c>
      <c r="U21" s="23" t="s">
        <v>68</v>
      </c>
      <c r="V21" s="24">
        <v>1.05</v>
      </c>
      <c r="W21" s="25">
        <v>2252.25</v>
      </c>
      <c r="X21" s="26">
        <v>1</v>
      </c>
      <c r="Y21" s="27">
        <v>3.1</v>
      </c>
      <c r="Z21" s="23">
        <v>3</v>
      </c>
      <c r="AA21" s="28">
        <v>1.0333333333333334</v>
      </c>
      <c r="AB21" s="24">
        <v>8.3333333333333592E-3</v>
      </c>
      <c r="AC21" s="29">
        <v>-17.875000000000057</v>
      </c>
      <c r="AD21" s="30">
        <v>43553</v>
      </c>
      <c r="AE21" s="30">
        <v>43556</v>
      </c>
      <c r="AF21" s="23">
        <v>1</v>
      </c>
      <c r="AG21" s="25" t="s">
        <v>56</v>
      </c>
      <c r="AH21" s="24">
        <v>0</v>
      </c>
      <c r="AI21" s="31">
        <v>0</v>
      </c>
      <c r="AJ21" s="31">
        <v>0</v>
      </c>
      <c r="AK21" s="44">
        <f t="shared" si="0"/>
        <v>2234.375</v>
      </c>
      <c r="AL21">
        <f>VLOOKUP(A21,'[1]prueba con 16mil datos'!$A$1:$AE$804,31,FALSE)</f>
        <v>819</v>
      </c>
      <c r="AM21">
        <f t="shared" si="1"/>
        <v>0</v>
      </c>
      <c r="AO21">
        <f>VLOOKUP(A21,'[1]Prueba con 19mil datos'!$B$1:$AF$1228,31,FALSE)</f>
        <v>819</v>
      </c>
    </row>
    <row r="22" spans="1:41" hidden="1" x14ac:dyDescent="0.25">
      <c r="A22" s="16" t="s">
        <v>2334</v>
      </c>
      <c r="B22" s="15" t="s">
        <v>40</v>
      </c>
      <c r="C22" s="16">
        <v>1</v>
      </c>
      <c r="D22" s="16" t="s">
        <v>139</v>
      </c>
      <c r="E22" s="17" t="s">
        <v>42</v>
      </c>
      <c r="F22" s="18" t="s">
        <v>140</v>
      </c>
      <c r="G22" s="18" t="s">
        <v>141</v>
      </c>
      <c r="H22" s="16" t="s">
        <v>143</v>
      </c>
      <c r="I22" s="19" t="s">
        <v>3</v>
      </c>
      <c r="J22" s="16" t="s">
        <v>12</v>
      </c>
      <c r="K22" s="20" t="s">
        <v>144</v>
      </c>
      <c r="L22" s="20" t="s">
        <v>145</v>
      </c>
      <c r="M22" s="16" t="s">
        <v>146</v>
      </c>
      <c r="N22" s="16">
        <v>0</v>
      </c>
      <c r="O22" s="16" t="s">
        <v>50</v>
      </c>
      <c r="P22" s="20">
        <v>3</v>
      </c>
      <c r="Q22" s="20" t="s">
        <v>147</v>
      </c>
      <c r="R22" s="21" t="s">
        <v>148</v>
      </c>
      <c r="S22" s="22" t="s">
        <v>130</v>
      </c>
      <c r="T22" s="22" t="s">
        <v>54</v>
      </c>
      <c r="U22" s="23" t="s">
        <v>149</v>
      </c>
      <c r="V22" s="24">
        <v>0</v>
      </c>
      <c r="W22" s="25">
        <v>0</v>
      </c>
      <c r="X22" s="26">
        <v>1</v>
      </c>
      <c r="Y22" s="27">
        <v>0.93</v>
      </c>
      <c r="Z22" s="23">
        <v>5</v>
      </c>
      <c r="AA22" s="28">
        <v>0.186</v>
      </c>
      <c r="AB22" s="24">
        <v>0</v>
      </c>
      <c r="AC22" s="29">
        <v>0</v>
      </c>
      <c r="AD22" s="30">
        <v>43553</v>
      </c>
      <c r="AE22" s="30">
        <v>43556</v>
      </c>
      <c r="AF22" s="23">
        <v>1</v>
      </c>
      <c r="AG22" s="25" t="s">
        <v>56</v>
      </c>
      <c r="AH22" s="24">
        <v>0</v>
      </c>
      <c r="AI22" s="31">
        <v>0</v>
      </c>
      <c r="AJ22" s="31">
        <v>0</v>
      </c>
      <c r="AK22" s="44">
        <f t="shared" si="0"/>
        <v>0</v>
      </c>
      <c r="AL22">
        <f>VLOOKUP(A22,'[1]prueba con 16mil datos'!$A$1:$AE$804,31,FALSE)</f>
        <v>1433.25</v>
      </c>
      <c r="AM22">
        <f t="shared" si="1"/>
        <v>0</v>
      </c>
      <c r="AO22">
        <f>VLOOKUP(A22,'[1]Prueba con 19mil datos'!$B$1:$AF$1228,31,FALSE)</f>
        <v>1433.25</v>
      </c>
    </row>
    <row r="23" spans="1:41" hidden="1" x14ac:dyDescent="0.25">
      <c r="A23" s="16" t="s">
        <v>2334</v>
      </c>
      <c r="B23" s="15" t="s">
        <v>40</v>
      </c>
      <c r="C23" s="16">
        <v>1</v>
      </c>
      <c r="D23" s="16" t="s">
        <v>89</v>
      </c>
      <c r="E23" s="17" t="s">
        <v>42</v>
      </c>
      <c r="F23" s="18" t="s">
        <v>90</v>
      </c>
      <c r="G23" s="18" t="s">
        <v>91</v>
      </c>
      <c r="H23" s="16" t="s">
        <v>93</v>
      </c>
      <c r="I23" s="19" t="s">
        <v>3</v>
      </c>
      <c r="J23" s="16" t="s">
        <v>12</v>
      </c>
      <c r="K23" s="20" t="s">
        <v>94</v>
      </c>
      <c r="L23" s="20" t="s">
        <v>95</v>
      </c>
      <c r="M23" s="16" t="s">
        <v>96</v>
      </c>
      <c r="N23" s="16">
        <v>1</v>
      </c>
      <c r="O23" s="16" t="s">
        <v>97</v>
      </c>
      <c r="P23" s="20">
        <v>2675</v>
      </c>
      <c r="Q23" s="20" t="s">
        <v>51</v>
      </c>
      <c r="R23" s="21" t="s">
        <v>77</v>
      </c>
      <c r="S23" s="22" t="s">
        <v>53</v>
      </c>
      <c r="T23" s="22" t="s">
        <v>54</v>
      </c>
      <c r="U23" s="23" t="s">
        <v>55</v>
      </c>
      <c r="V23" s="24">
        <v>1.05</v>
      </c>
      <c r="W23" s="25">
        <v>0</v>
      </c>
      <c r="X23" s="26">
        <v>1</v>
      </c>
      <c r="Y23" s="27">
        <v>3.26</v>
      </c>
      <c r="Z23" s="23">
        <v>5</v>
      </c>
      <c r="AA23" s="28">
        <v>0.65199999999999991</v>
      </c>
      <c r="AB23" s="24">
        <v>0</v>
      </c>
      <c r="AC23" s="29">
        <v>0</v>
      </c>
      <c r="AD23" s="30">
        <v>43553</v>
      </c>
      <c r="AE23" s="30">
        <v>43556</v>
      </c>
      <c r="AF23" s="23">
        <v>1</v>
      </c>
      <c r="AG23" s="25" t="s">
        <v>56</v>
      </c>
      <c r="AH23" s="24">
        <v>0</v>
      </c>
      <c r="AI23" s="31">
        <v>0</v>
      </c>
      <c r="AJ23" s="31">
        <v>0</v>
      </c>
      <c r="AK23" s="44">
        <f t="shared" si="0"/>
        <v>0</v>
      </c>
      <c r="AL23">
        <f>VLOOKUP(A23,'[1]prueba con 16mil datos'!$A$1:$AE$804,31,FALSE)</f>
        <v>1433.25</v>
      </c>
      <c r="AM23">
        <f t="shared" si="1"/>
        <v>0</v>
      </c>
      <c r="AO23">
        <f>VLOOKUP(A23,'[1]Prueba con 19mil datos'!$B$1:$AF$1228,31,FALSE)</f>
        <v>1433.25</v>
      </c>
    </row>
    <row r="24" spans="1:41" hidden="1" x14ac:dyDescent="0.25">
      <c r="A24" s="16" t="s">
        <v>585</v>
      </c>
      <c r="B24" s="15" t="s">
        <v>40</v>
      </c>
      <c r="C24" s="16">
        <v>1</v>
      </c>
      <c r="D24" s="16" t="s">
        <v>112</v>
      </c>
      <c r="E24" s="17" t="s">
        <v>42</v>
      </c>
      <c r="F24" s="18" t="s">
        <v>90</v>
      </c>
      <c r="G24" s="18" t="s">
        <v>113</v>
      </c>
      <c r="H24" s="16" t="s">
        <v>115</v>
      </c>
      <c r="I24" s="19" t="s">
        <v>3</v>
      </c>
      <c r="J24" s="16" t="s">
        <v>12</v>
      </c>
      <c r="K24" s="20" t="s">
        <v>116</v>
      </c>
      <c r="L24" s="20" t="s">
        <v>117</v>
      </c>
      <c r="M24" s="16" t="s">
        <v>118</v>
      </c>
      <c r="N24" s="16">
        <v>1</v>
      </c>
      <c r="O24" s="16" t="s">
        <v>50</v>
      </c>
      <c r="P24" s="20">
        <v>22</v>
      </c>
      <c r="Q24" s="20" t="s">
        <v>119</v>
      </c>
      <c r="R24" s="21" t="s">
        <v>77</v>
      </c>
      <c r="S24" s="22" t="s">
        <v>53</v>
      </c>
      <c r="T24" s="22" t="s">
        <v>54</v>
      </c>
      <c r="U24" s="23" t="s">
        <v>120</v>
      </c>
      <c r="V24" s="24">
        <v>0.6</v>
      </c>
      <c r="W24" s="25">
        <v>0</v>
      </c>
      <c r="X24" s="26">
        <v>1</v>
      </c>
      <c r="Y24" s="27">
        <v>1.55</v>
      </c>
      <c r="Z24" s="23">
        <v>5</v>
      </c>
      <c r="AA24" s="28">
        <v>0.31</v>
      </c>
      <c r="AB24" s="24">
        <v>0</v>
      </c>
      <c r="AC24" s="29">
        <v>0</v>
      </c>
      <c r="AD24" s="30">
        <v>43553</v>
      </c>
      <c r="AE24" s="30">
        <v>43556</v>
      </c>
      <c r="AF24" s="23">
        <v>1</v>
      </c>
      <c r="AG24" s="25" t="s">
        <v>56</v>
      </c>
      <c r="AH24" s="24">
        <v>0</v>
      </c>
      <c r="AI24" s="31">
        <v>0</v>
      </c>
      <c r="AJ24" s="31">
        <v>0</v>
      </c>
      <c r="AK24" s="44">
        <f t="shared" si="0"/>
        <v>0</v>
      </c>
      <c r="AL24">
        <f>VLOOKUP(A24,'[1]prueba con 16mil datos'!$A$1:$AE$804,31,FALSE)</f>
        <v>1092</v>
      </c>
      <c r="AM24">
        <f t="shared" si="1"/>
        <v>0</v>
      </c>
      <c r="AO24">
        <f>VLOOKUP(A24,'[1]Prueba con 19mil datos'!$B$1:$AF$1228,31,FALSE)</f>
        <v>1092</v>
      </c>
    </row>
    <row r="25" spans="1:41" hidden="1" x14ac:dyDescent="0.25">
      <c r="A25" s="16" t="s">
        <v>585</v>
      </c>
      <c r="B25" s="15" t="s">
        <v>40</v>
      </c>
      <c r="C25" s="16">
        <v>1</v>
      </c>
      <c r="D25" s="16" t="s">
        <v>132</v>
      </c>
      <c r="E25" s="17" t="s">
        <v>42</v>
      </c>
      <c r="F25" s="18" t="s">
        <v>90</v>
      </c>
      <c r="G25" s="18" t="s">
        <v>133</v>
      </c>
      <c r="H25" s="16" t="s">
        <v>135</v>
      </c>
      <c r="I25" s="19" t="s">
        <v>3</v>
      </c>
      <c r="J25" s="16" t="s">
        <v>12</v>
      </c>
      <c r="K25" s="20" t="s">
        <v>136</v>
      </c>
      <c r="L25" s="20" t="s">
        <v>137</v>
      </c>
      <c r="M25" s="16" t="s">
        <v>138</v>
      </c>
      <c r="N25" s="16">
        <v>1</v>
      </c>
      <c r="O25" s="16" t="s">
        <v>97</v>
      </c>
      <c r="P25" s="20">
        <v>2674</v>
      </c>
      <c r="Q25" s="20" t="s">
        <v>51</v>
      </c>
      <c r="R25" s="21" t="s">
        <v>77</v>
      </c>
      <c r="S25" s="22" t="s">
        <v>53</v>
      </c>
      <c r="T25" s="22" t="s">
        <v>54</v>
      </c>
      <c r="U25" s="23" t="s">
        <v>55</v>
      </c>
      <c r="V25" s="24">
        <v>1.05</v>
      </c>
      <c r="W25" s="25">
        <v>0</v>
      </c>
      <c r="X25" s="26">
        <v>1</v>
      </c>
      <c r="Y25" s="27">
        <v>6.7</v>
      </c>
      <c r="Z25" s="23">
        <v>5</v>
      </c>
      <c r="AA25" s="28">
        <v>1.34</v>
      </c>
      <c r="AB25" s="24">
        <v>8.500000000000002E-2</v>
      </c>
      <c r="AC25" s="29">
        <v>0</v>
      </c>
      <c r="AD25" s="30">
        <v>43553</v>
      </c>
      <c r="AE25" s="30">
        <v>43556</v>
      </c>
      <c r="AF25" s="23">
        <v>1</v>
      </c>
      <c r="AG25" s="25" t="s">
        <v>56</v>
      </c>
      <c r="AH25" s="24">
        <v>0</v>
      </c>
      <c r="AI25" s="31">
        <v>0</v>
      </c>
      <c r="AJ25" s="31">
        <v>0</v>
      </c>
      <c r="AK25" s="44">
        <f t="shared" si="0"/>
        <v>0</v>
      </c>
      <c r="AL25">
        <f>VLOOKUP(A25,'[1]prueba con 16mil datos'!$A$1:$AE$804,31,FALSE)</f>
        <v>1092</v>
      </c>
      <c r="AM25">
        <f t="shared" si="1"/>
        <v>0</v>
      </c>
      <c r="AO25">
        <f>VLOOKUP(A25,'[1]Prueba con 19mil datos'!$B$1:$AF$1228,31,FALSE)</f>
        <v>1092</v>
      </c>
    </row>
    <row r="26" spans="1:41" hidden="1" x14ac:dyDescent="0.25">
      <c r="A26" s="16" t="s">
        <v>2704</v>
      </c>
      <c r="B26" s="15" t="s">
        <v>40</v>
      </c>
      <c r="C26" s="16">
        <v>1</v>
      </c>
      <c r="D26" s="16" t="s">
        <v>390</v>
      </c>
      <c r="E26" s="17" t="s">
        <v>42</v>
      </c>
      <c r="F26" s="18" t="s">
        <v>391</v>
      </c>
      <c r="G26" s="18" t="s">
        <v>392</v>
      </c>
      <c r="H26" s="16" t="s">
        <v>73</v>
      </c>
      <c r="I26" s="19" t="s">
        <v>3</v>
      </c>
      <c r="J26" s="16" t="s">
        <v>12</v>
      </c>
      <c r="K26" s="20" t="s">
        <v>198</v>
      </c>
      <c r="L26" s="20" t="s">
        <v>394</v>
      </c>
      <c r="M26" s="16" t="s">
        <v>76</v>
      </c>
      <c r="N26" s="16">
        <v>0</v>
      </c>
      <c r="O26" s="16" t="s">
        <v>50</v>
      </c>
      <c r="P26" s="20">
        <v>11</v>
      </c>
      <c r="Q26" s="20" t="s">
        <v>65</v>
      </c>
      <c r="R26" s="21" t="s">
        <v>129</v>
      </c>
      <c r="S26" s="22" t="s">
        <v>130</v>
      </c>
      <c r="T26" s="22" t="s">
        <v>54</v>
      </c>
      <c r="U26" s="23" t="s">
        <v>131</v>
      </c>
      <c r="V26" s="24">
        <v>0.6</v>
      </c>
      <c r="W26" s="25">
        <v>819</v>
      </c>
      <c r="X26" s="26">
        <v>1</v>
      </c>
      <c r="Y26" s="27">
        <v>1.29</v>
      </c>
      <c r="Z26" s="23">
        <v>5</v>
      </c>
      <c r="AA26" s="28">
        <v>0.25800000000000001</v>
      </c>
      <c r="AB26" s="24">
        <v>0</v>
      </c>
      <c r="AC26" s="29">
        <v>0</v>
      </c>
      <c r="AD26" s="30">
        <v>43556</v>
      </c>
      <c r="AE26" s="30">
        <v>43557</v>
      </c>
      <c r="AF26" s="23">
        <v>1</v>
      </c>
      <c r="AG26" s="25" t="s">
        <v>56</v>
      </c>
      <c r="AH26" s="24">
        <v>0</v>
      </c>
      <c r="AI26" s="31">
        <v>0</v>
      </c>
      <c r="AJ26" s="31">
        <v>0</v>
      </c>
      <c r="AK26" s="44">
        <f t="shared" si="0"/>
        <v>819</v>
      </c>
      <c r="AL26">
        <f>VLOOKUP(A26,'[1]prueba con 16mil datos'!$A$1:$AE$804,31,FALSE)</f>
        <v>1433.25</v>
      </c>
      <c r="AM26">
        <f t="shared" si="1"/>
        <v>0</v>
      </c>
      <c r="AO26">
        <f>VLOOKUP(A26,'[1]Prueba con 19mil datos'!$B$1:$AF$1228,31,FALSE)</f>
        <v>1433.25</v>
      </c>
    </row>
    <row r="27" spans="1:41" hidden="1" x14ac:dyDescent="0.25">
      <c r="A27" s="16" t="s">
        <v>859</v>
      </c>
      <c r="B27" s="15" t="s">
        <v>40</v>
      </c>
      <c r="C27" s="16">
        <v>1</v>
      </c>
      <c r="D27" s="16" t="s">
        <v>380</v>
      </c>
      <c r="E27" s="17" t="s">
        <v>42</v>
      </c>
      <c r="F27" s="18" t="s">
        <v>381</v>
      </c>
      <c r="G27" s="18" t="s">
        <v>382</v>
      </c>
      <c r="H27" s="16" t="s">
        <v>46</v>
      </c>
      <c r="I27" s="19" t="s">
        <v>3</v>
      </c>
      <c r="J27" s="16" t="s">
        <v>12</v>
      </c>
      <c r="K27" s="20" t="s">
        <v>154</v>
      </c>
      <c r="L27" s="20" t="s">
        <v>384</v>
      </c>
      <c r="M27" s="16" t="s">
        <v>49</v>
      </c>
      <c r="N27" s="16">
        <v>0</v>
      </c>
      <c r="O27" s="16" t="s">
        <v>50</v>
      </c>
      <c r="P27" s="20">
        <v>210</v>
      </c>
      <c r="Q27" s="20" t="s">
        <v>51</v>
      </c>
      <c r="R27" s="21" t="s">
        <v>77</v>
      </c>
      <c r="S27" s="22" t="s">
        <v>53</v>
      </c>
      <c r="T27" s="22" t="s">
        <v>54</v>
      </c>
      <c r="U27" s="23" t="s">
        <v>55</v>
      </c>
      <c r="V27" s="24">
        <v>1.05</v>
      </c>
      <c r="W27" s="25">
        <v>750.75000000000011</v>
      </c>
      <c r="X27" s="26">
        <v>1</v>
      </c>
      <c r="Y27" s="27">
        <v>0</v>
      </c>
      <c r="Z27" s="23">
        <v>5</v>
      </c>
      <c r="AA27" s="28">
        <v>0</v>
      </c>
      <c r="AB27" s="24">
        <v>0</v>
      </c>
      <c r="AC27" s="29">
        <v>0</v>
      </c>
      <c r="AD27" s="30">
        <v>43556</v>
      </c>
      <c r="AE27" s="30">
        <v>43557</v>
      </c>
      <c r="AF27" s="23">
        <v>1</v>
      </c>
      <c r="AG27" s="25" t="s">
        <v>56</v>
      </c>
      <c r="AH27" s="24">
        <v>0</v>
      </c>
      <c r="AI27" s="31">
        <v>0</v>
      </c>
      <c r="AJ27" s="31">
        <v>0</v>
      </c>
      <c r="AK27" s="44">
        <f t="shared" si="0"/>
        <v>750.75000000000011</v>
      </c>
      <c r="AL27">
        <f>VLOOKUP(A27,'[1]prueba con 16mil datos'!$A$1:$AE$804,31,FALSE)</f>
        <v>0</v>
      </c>
      <c r="AM27">
        <f t="shared" si="1"/>
        <v>0</v>
      </c>
      <c r="AO27">
        <f>VLOOKUP(A27,'[1]Prueba con 19mil datos'!$B$1:$AF$1228,31,FALSE)</f>
        <v>0</v>
      </c>
    </row>
    <row r="28" spans="1:41" hidden="1" x14ac:dyDescent="0.25">
      <c r="A28" s="16" t="s">
        <v>859</v>
      </c>
      <c r="B28" s="15" t="s">
        <v>40</v>
      </c>
      <c r="C28" s="16">
        <v>1</v>
      </c>
      <c r="D28" s="16" t="s">
        <v>395</v>
      </c>
      <c r="E28" s="17" t="s">
        <v>42</v>
      </c>
      <c r="F28" s="18" t="s">
        <v>90</v>
      </c>
      <c r="G28" s="18" t="s">
        <v>396</v>
      </c>
      <c r="H28" s="16" t="s">
        <v>192</v>
      </c>
      <c r="I28" s="19" t="s">
        <v>3</v>
      </c>
      <c r="J28" s="16" t="s">
        <v>12</v>
      </c>
      <c r="K28" s="20" t="s">
        <v>398</v>
      </c>
      <c r="L28" s="20" t="s">
        <v>399</v>
      </c>
      <c r="M28" s="16" t="s">
        <v>118</v>
      </c>
      <c r="N28" s="16">
        <v>0</v>
      </c>
      <c r="O28" s="16" t="s">
        <v>50</v>
      </c>
      <c r="P28" s="20">
        <v>2678</v>
      </c>
      <c r="Q28" s="20" t="s">
        <v>51</v>
      </c>
      <c r="R28" s="21" t="s">
        <v>77</v>
      </c>
      <c r="S28" s="22" t="s">
        <v>53</v>
      </c>
      <c r="T28" s="22" t="s">
        <v>54</v>
      </c>
      <c r="U28" s="23" t="s">
        <v>55</v>
      </c>
      <c r="V28" s="24">
        <v>1.05</v>
      </c>
      <c r="W28" s="25">
        <v>750.75000000000011</v>
      </c>
      <c r="X28" s="26">
        <v>1</v>
      </c>
      <c r="Y28" s="27">
        <v>3.31</v>
      </c>
      <c r="Z28" s="23">
        <v>5</v>
      </c>
      <c r="AA28" s="28">
        <v>0.66200000000000003</v>
      </c>
      <c r="AB28" s="24">
        <v>0</v>
      </c>
      <c r="AC28" s="29">
        <v>0</v>
      </c>
      <c r="AD28" s="30">
        <v>43556</v>
      </c>
      <c r="AE28" s="30">
        <v>43557</v>
      </c>
      <c r="AF28" s="23">
        <v>1</v>
      </c>
      <c r="AG28" s="25" t="s">
        <v>56</v>
      </c>
      <c r="AH28" s="24">
        <v>0</v>
      </c>
      <c r="AI28" s="31">
        <v>0</v>
      </c>
      <c r="AJ28" s="31">
        <v>0</v>
      </c>
      <c r="AK28" s="44">
        <f t="shared" si="0"/>
        <v>750.75000000000011</v>
      </c>
      <c r="AL28">
        <f>VLOOKUP(A28,'[1]prueba con 16mil datos'!$A$1:$AE$804,31,FALSE)</f>
        <v>0</v>
      </c>
      <c r="AM28">
        <f t="shared" si="1"/>
        <v>0</v>
      </c>
      <c r="AO28">
        <f>VLOOKUP(A28,'[1]Prueba con 19mil datos'!$B$1:$AF$1228,31,FALSE)</f>
        <v>0</v>
      </c>
    </row>
    <row r="29" spans="1:41" hidden="1" x14ac:dyDescent="0.25">
      <c r="A29" s="16" t="s">
        <v>859</v>
      </c>
      <c r="B29" s="15" t="s">
        <v>40</v>
      </c>
      <c r="C29" s="16">
        <v>1</v>
      </c>
      <c r="D29" s="16" t="s">
        <v>189</v>
      </c>
      <c r="E29" s="17" t="s">
        <v>42</v>
      </c>
      <c r="F29" s="18" t="s">
        <v>90</v>
      </c>
      <c r="G29" s="18" t="s">
        <v>190</v>
      </c>
      <c r="H29" s="16" t="s">
        <v>192</v>
      </c>
      <c r="I29" s="19" t="s">
        <v>3</v>
      </c>
      <c r="J29" s="16" t="s">
        <v>12</v>
      </c>
      <c r="K29" s="20" t="s">
        <v>193</v>
      </c>
      <c r="L29" s="20" t="s">
        <v>194</v>
      </c>
      <c r="M29" s="16" t="s">
        <v>64</v>
      </c>
      <c r="N29" s="16">
        <v>0</v>
      </c>
      <c r="O29" s="16" t="s">
        <v>50</v>
      </c>
      <c r="P29" s="20">
        <v>17</v>
      </c>
      <c r="Q29" s="20" t="s">
        <v>119</v>
      </c>
      <c r="R29" s="21" t="s">
        <v>77</v>
      </c>
      <c r="S29" s="22" t="s">
        <v>53</v>
      </c>
      <c r="T29" s="22" t="s">
        <v>54</v>
      </c>
      <c r="U29" s="23" t="s">
        <v>120</v>
      </c>
      <c r="V29" s="24">
        <v>0.6</v>
      </c>
      <c r="W29" s="25">
        <v>429.00000000000006</v>
      </c>
      <c r="X29" s="26">
        <v>1</v>
      </c>
      <c r="Y29" s="27">
        <v>1</v>
      </c>
      <c r="Z29" s="23">
        <v>5</v>
      </c>
      <c r="AA29" s="28">
        <v>0.2</v>
      </c>
      <c r="AB29" s="24">
        <v>0</v>
      </c>
      <c r="AC29" s="29">
        <v>0</v>
      </c>
      <c r="AD29" s="30">
        <v>43556</v>
      </c>
      <c r="AE29" s="30">
        <v>43556</v>
      </c>
      <c r="AF29" s="23">
        <v>0</v>
      </c>
      <c r="AG29" s="25" t="s">
        <v>56</v>
      </c>
      <c r="AH29" s="24">
        <v>0</v>
      </c>
      <c r="AI29" s="31">
        <v>0</v>
      </c>
      <c r="AJ29" s="31">
        <v>0</v>
      </c>
      <c r="AK29" s="44">
        <f t="shared" si="0"/>
        <v>429.00000000000006</v>
      </c>
      <c r="AL29">
        <f>VLOOKUP(A29,'[1]prueba con 16mil datos'!$A$1:$AE$804,31,FALSE)</f>
        <v>0</v>
      </c>
      <c r="AM29">
        <f t="shared" si="1"/>
        <v>0</v>
      </c>
      <c r="AO29">
        <f>VLOOKUP(A29,'[1]Prueba con 19mil datos'!$B$1:$AF$1228,31,FALSE)</f>
        <v>0</v>
      </c>
    </row>
    <row r="30" spans="1:41" hidden="1" x14ac:dyDescent="0.25">
      <c r="A30" s="16" t="s">
        <v>859</v>
      </c>
      <c r="B30" s="15" t="s">
        <v>40</v>
      </c>
      <c r="C30" s="16">
        <v>1</v>
      </c>
      <c r="D30" s="16" t="s">
        <v>232</v>
      </c>
      <c r="E30" s="17" t="s">
        <v>42</v>
      </c>
      <c r="F30" s="18" t="s">
        <v>233</v>
      </c>
      <c r="G30" s="18" t="s">
        <v>234</v>
      </c>
      <c r="H30" s="16" t="s">
        <v>236</v>
      </c>
      <c r="I30" s="19" t="s">
        <v>3</v>
      </c>
      <c r="J30" s="16" t="s">
        <v>12</v>
      </c>
      <c r="K30" s="20" t="s">
        <v>237</v>
      </c>
      <c r="L30" s="20" t="s">
        <v>238</v>
      </c>
      <c r="M30" s="16" t="s">
        <v>105</v>
      </c>
      <c r="N30" s="16">
        <v>0</v>
      </c>
      <c r="O30" s="16" t="s">
        <v>50</v>
      </c>
      <c r="P30" s="20">
        <v>32</v>
      </c>
      <c r="Q30" s="20" t="s">
        <v>86</v>
      </c>
      <c r="R30" s="21" t="s">
        <v>77</v>
      </c>
      <c r="S30" s="22" t="s">
        <v>53</v>
      </c>
      <c r="T30" s="22" t="s">
        <v>54</v>
      </c>
      <c r="U30" s="23" t="s">
        <v>88</v>
      </c>
      <c r="V30" s="24">
        <v>0.8</v>
      </c>
      <c r="W30" s="25">
        <v>572.00000000000011</v>
      </c>
      <c r="X30" s="26">
        <v>1</v>
      </c>
      <c r="Y30" s="27">
        <v>0.53</v>
      </c>
      <c r="Z30" s="23">
        <v>5</v>
      </c>
      <c r="AA30" s="28">
        <v>0.10600000000000001</v>
      </c>
      <c r="AB30" s="24">
        <v>0</v>
      </c>
      <c r="AC30" s="29">
        <v>0</v>
      </c>
      <c r="AD30" s="30">
        <v>43556</v>
      </c>
      <c r="AE30" s="30">
        <v>43556</v>
      </c>
      <c r="AF30" s="23">
        <v>0</v>
      </c>
      <c r="AG30" s="25" t="s">
        <v>56</v>
      </c>
      <c r="AH30" s="24">
        <v>0</v>
      </c>
      <c r="AI30" s="31">
        <v>0</v>
      </c>
      <c r="AJ30" s="31">
        <v>0</v>
      </c>
      <c r="AK30" s="44">
        <f t="shared" si="0"/>
        <v>572.00000000000011</v>
      </c>
      <c r="AL30">
        <f>VLOOKUP(A30,'[1]prueba con 16mil datos'!$A$1:$AE$804,31,FALSE)</f>
        <v>0</v>
      </c>
      <c r="AM30">
        <f t="shared" si="1"/>
        <v>0</v>
      </c>
      <c r="AO30">
        <f>VLOOKUP(A30,'[1]Prueba con 19mil datos'!$B$1:$AF$1228,31,FALSE)</f>
        <v>0</v>
      </c>
    </row>
    <row r="31" spans="1:41" hidden="1" x14ac:dyDescent="0.25">
      <c r="A31" s="16" t="s">
        <v>393</v>
      </c>
      <c r="B31" s="15" t="s">
        <v>40</v>
      </c>
      <c r="C31" s="16">
        <v>1</v>
      </c>
      <c r="D31" s="16" t="s">
        <v>385</v>
      </c>
      <c r="E31" s="17" t="s">
        <v>42</v>
      </c>
      <c r="F31" s="18" t="s">
        <v>275</v>
      </c>
      <c r="G31" s="18" t="s">
        <v>386</v>
      </c>
      <c r="H31" s="16" t="s">
        <v>125</v>
      </c>
      <c r="I31" s="19" t="s">
        <v>3</v>
      </c>
      <c r="J31" s="16" t="s">
        <v>12</v>
      </c>
      <c r="K31" s="20" t="s">
        <v>126</v>
      </c>
      <c r="L31" s="20" t="s">
        <v>388</v>
      </c>
      <c r="M31" s="16" t="s">
        <v>105</v>
      </c>
      <c r="N31" s="16">
        <v>0</v>
      </c>
      <c r="O31" s="16" t="s">
        <v>50</v>
      </c>
      <c r="P31" s="20">
        <v>3</v>
      </c>
      <c r="Q31" s="20" t="s">
        <v>147</v>
      </c>
      <c r="R31" s="21" t="s">
        <v>279</v>
      </c>
      <c r="S31" s="22" t="s">
        <v>187</v>
      </c>
      <c r="T31" s="22" t="s">
        <v>54</v>
      </c>
      <c r="U31" s="23" t="s">
        <v>389</v>
      </c>
      <c r="V31" s="24">
        <v>0</v>
      </c>
      <c r="W31" s="25">
        <v>0</v>
      </c>
      <c r="X31" s="26">
        <v>1</v>
      </c>
      <c r="Y31" s="27">
        <v>2.3199999999999998</v>
      </c>
      <c r="Z31" s="23">
        <v>4</v>
      </c>
      <c r="AA31" s="28">
        <v>0.57999999999999996</v>
      </c>
      <c r="AB31" s="24">
        <v>0</v>
      </c>
      <c r="AC31" s="29">
        <v>0</v>
      </c>
      <c r="AD31" s="30">
        <v>43556</v>
      </c>
      <c r="AE31" s="30">
        <v>43557</v>
      </c>
      <c r="AF31" s="23">
        <v>1</v>
      </c>
      <c r="AG31" s="25" t="s">
        <v>56</v>
      </c>
      <c r="AH31" s="24">
        <v>0</v>
      </c>
      <c r="AI31" s="31">
        <v>0</v>
      </c>
      <c r="AJ31" s="31">
        <v>0</v>
      </c>
      <c r="AK31" s="44">
        <f t="shared" si="0"/>
        <v>0</v>
      </c>
      <c r="AL31">
        <f>VLOOKUP(A31,'[1]prueba con 16mil datos'!$A$1:$AE$804,31,FALSE)</f>
        <v>819</v>
      </c>
      <c r="AM31">
        <f t="shared" si="1"/>
        <v>0</v>
      </c>
      <c r="AO31">
        <f>VLOOKUP(A31,'[1]Prueba con 19mil datos'!$B$1:$AF$1228,31,FALSE)</f>
        <v>819</v>
      </c>
    </row>
    <row r="32" spans="1:41" hidden="1" x14ac:dyDescent="0.25">
      <c r="A32" s="16" t="s">
        <v>393</v>
      </c>
      <c r="B32" s="15" t="s">
        <v>40</v>
      </c>
      <c r="C32" s="16">
        <v>1</v>
      </c>
      <c r="D32" s="16" t="s">
        <v>274</v>
      </c>
      <c r="E32" s="17" t="s">
        <v>42</v>
      </c>
      <c r="F32" s="18" t="s">
        <v>275</v>
      </c>
      <c r="G32" s="18" t="s">
        <v>276</v>
      </c>
      <c r="H32" s="16" t="s">
        <v>153</v>
      </c>
      <c r="I32" s="19" t="s">
        <v>3</v>
      </c>
      <c r="J32" s="16" t="s">
        <v>12</v>
      </c>
      <c r="K32" s="20" t="s">
        <v>126</v>
      </c>
      <c r="L32" s="20" t="s">
        <v>278</v>
      </c>
      <c r="M32" s="16" t="s">
        <v>156</v>
      </c>
      <c r="N32" s="16">
        <v>0</v>
      </c>
      <c r="O32" s="16" t="s">
        <v>50</v>
      </c>
      <c r="P32" s="20">
        <v>58</v>
      </c>
      <c r="Q32" s="20" t="s">
        <v>86</v>
      </c>
      <c r="R32" s="21" t="s">
        <v>279</v>
      </c>
      <c r="S32" s="22" t="s">
        <v>187</v>
      </c>
      <c r="T32" s="22" t="s">
        <v>157</v>
      </c>
      <c r="U32" s="23" t="s">
        <v>188</v>
      </c>
      <c r="V32" s="24">
        <v>1.1000000000000001</v>
      </c>
      <c r="W32" s="25">
        <v>1730.3000000000004</v>
      </c>
      <c r="X32" s="26">
        <v>1</v>
      </c>
      <c r="Y32" s="27">
        <v>1.53</v>
      </c>
      <c r="Z32" s="23">
        <v>6</v>
      </c>
      <c r="AA32" s="28">
        <v>0.255</v>
      </c>
      <c r="AB32" s="24">
        <v>0</v>
      </c>
      <c r="AC32" s="29">
        <v>0</v>
      </c>
      <c r="AD32" s="30">
        <v>43556</v>
      </c>
      <c r="AE32" s="30">
        <v>43556</v>
      </c>
      <c r="AF32" s="23">
        <v>0</v>
      </c>
      <c r="AG32" s="25" t="s">
        <v>56</v>
      </c>
      <c r="AH32" s="24">
        <v>0</v>
      </c>
      <c r="AI32" s="31">
        <v>0</v>
      </c>
      <c r="AJ32" s="31">
        <v>0</v>
      </c>
      <c r="AK32" s="44">
        <f t="shared" si="0"/>
        <v>1730.3000000000004</v>
      </c>
      <c r="AL32">
        <f>VLOOKUP(A32,'[1]prueba con 16mil datos'!$A$1:$AE$804,31,FALSE)</f>
        <v>819</v>
      </c>
      <c r="AM32">
        <f t="shared" si="1"/>
        <v>0</v>
      </c>
      <c r="AO32">
        <f>VLOOKUP(A32,'[1]Prueba con 19mil datos'!$B$1:$AF$1228,31,FALSE)</f>
        <v>819</v>
      </c>
    </row>
    <row r="33" spans="1:44" hidden="1" x14ac:dyDescent="0.25">
      <c r="A33" s="16" t="s">
        <v>393</v>
      </c>
      <c r="B33" s="15" t="s">
        <v>40</v>
      </c>
      <c r="C33" s="16">
        <v>1</v>
      </c>
      <c r="D33" s="16" t="s">
        <v>363</v>
      </c>
      <c r="E33" s="17" t="s">
        <v>42</v>
      </c>
      <c r="F33" s="18" t="s">
        <v>275</v>
      </c>
      <c r="G33" s="18" t="s">
        <v>364</v>
      </c>
      <c r="H33" s="16" t="s">
        <v>143</v>
      </c>
      <c r="I33" s="19" t="s">
        <v>3</v>
      </c>
      <c r="J33" s="16" t="s">
        <v>12</v>
      </c>
      <c r="K33" s="20" t="s">
        <v>126</v>
      </c>
      <c r="L33" s="20" t="s">
        <v>366</v>
      </c>
      <c r="M33" s="16" t="s">
        <v>367</v>
      </c>
      <c r="N33" s="16">
        <v>0</v>
      </c>
      <c r="O33" s="16" t="s">
        <v>50</v>
      </c>
      <c r="P33" s="20">
        <v>36</v>
      </c>
      <c r="Q33" s="20" t="s">
        <v>86</v>
      </c>
      <c r="R33" s="21" t="s">
        <v>279</v>
      </c>
      <c r="S33" s="22" t="s">
        <v>187</v>
      </c>
      <c r="T33" s="22" t="s">
        <v>54</v>
      </c>
      <c r="U33" s="23" t="s">
        <v>188</v>
      </c>
      <c r="V33" s="24">
        <v>1.1000000000000001</v>
      </c>
      <c r="W33" s="25">
        <v>1730.3000000000004</v>
      </c>
      <c r="X33" s="26">
        <v>1</v>
      </c>
      <c r="Y33" s="27">
        <v>1.42</v>
      </c>
      <c r="Z33" s="23">
        <v>4</v>
      </c>
      <c r="AA33" s="28">
        <v>0.35499999999999998</v>
      </c>
      <c r="AB33" s="24">
        <v>0</v>
      </c>
      <c r="AC33" s="29">
        <v>0</v>
      </c>
      <c r="AD33" s="30">
        <v>43556</v>
      </c>
      <c r="AE33" s="30">
        <v>43557</v>
      </c>
      <c r="AF33" s="23">
        <v>1</v>
      </c>
      <c r="AG33" s="25" t="s">
        <v>56</v>
      </c>
      <c r="AH33" s="24">
        <v>0</v>
      </c>
      <c r="AI33" s="31">
        <v>0</v>
      </c>
      <c r="AJ33" s="31">
        <v>0</v>
      </c>
      <c r="AK33" s="44">
        <f t="shared" si="0"/>
        <v>1730.3000000000004</v>
      </c>
      <c r="AL33">
        <f>VLOOKUP(A33,'[1]prueba con 16mil datos'!$A$1:$AE$804,31,FALSE)</f>
        <v>819</v>
      </c>
      <c r="AM33">
        <f t="shared" si="1"/>
        <v>0</v>
      </c>
      <c r="AO33">
        <f>VLOOKUP(A33,'[1]Prueba con 19mil datos'!$B$1:$AF$1228,31,FALSE)</f>
        <v>819</v>
      </c>
    </row>
    <row r="34" spans="1:44" hidden="1" x14ac:dyDescent="0.25">
      <c r="A34" s="16" t="s">
        <v>393</v>
      </c>
      <c r="B34" s="15" t="s">
        <v>40</v>
      </c>
      <c r="C34" s="16">
        <v>1</v>
      </c>
      <c r="D34" s="16" t="s">
        <v>239</v>
      </c>
      <c r="E34" s="17" t="s">
        <v>42</v>
      </c>
      <c r="F34" s="18" t="s">
        <v>240</v>
      </c>
      <c r="G34" s="18" t="s">
        <v>241</v>
      </c>
      <c r="H34" s="16" t="s">
        <v>243</v>
      </c>
      <c r="I34" s="19" t="s">
        <v>3</v>
      </c>
      <c r="J34" s="16" t="s">
        <v>12</v>
      </c>
      <c r="K34" s="20" t="s">
        <v>244</v>
      </c>
      <c r="L34" s="20" t="s">
        <v>245</v>
      </c>
      <c r="M34" s="16" t="s">
        <v>246</v>
      </c>
      <c r="N34" s="16">
        <v>0</v>
      </c>
      <c r="O34" s="16" t="s">
        <v>50</v>
      </c>
      <c r="P34" s="20">
        <v>12</v>
      </c>
      <c r="Q34" s="20" t="s">
        <v>65</v>
      </c>
      <c r="R34" s="21" t="s">
        <v>247</v>
      </c>
      <c r="S34" s="22" t="s">
        <v>67</v>
      </c>
      <c r="T34" s="22" t="s">
        <v>54</v>
      </c>
      <c r="U34" s="23" t="s">
        <v>68</v>
      </c>
      <c r="V34" s="24">
        <v>1.05</v>
      </c>
      <c r="W34" s="25">
        <v>2252.25</v>
      </c>
      <c r="X34" s="26">
        <v>1</v>
      </c>
      <c r="Y34" s="27">
        <v>2.8899999999999988</v>
      </c>
      <c r="Z34" s="23">
        <v>3</v>
      </c>
      <c r="AA34" s="28">
        <v>0.96333333333333293</v>
      </c>
      <c r="AB34" s="24">
        <v>0</v>
      </c>
      <c r="AC34" s="29">
        <v>0</v>
      </c>
      <c r="AD34" s="30">
        <v>43556</v>
      </c>
      <c r="AE34" s="30">
        <v>43556</v>
      </c>
      <c r="AF34" s="23">
        <v>0</v>
      </c>
      <c r="AG34" s="25" t="s">
        <v>56</v>
      </c>
      <c r="AH34" s="24">
        <v>0</v>
      </c>
      <c r="AI34" s="31">
        <v>0</v>
      </c>
      <c r="AJ34" s="31">
        <v>0</v>
      </c>
      <c r="AK34" s="44">
        <f t="shared" si="0"/>
        <v>2252.25</v>
      </c>
      <c r="AL34">
        <f>VLOOKUP(A34,'[1]prueba con 16mil datos'!$A$1:$AE$804,31,FALSE)</f>
        <v>819</v>
      </c>
      <c r="AM34">
        <f t="shared" si="1"/>
        <v>0</v>
      </c>
      <c r="AO34">
        <f>VLOOKUP(A34,'[1]Prueba con 19mil datos'!$B$1:$AF$1228,31,FALSE)</f>
        <v>819</v>
      </c>
    </row>
    <row r="35" spans="1:44" hidden="1" x14ac:dyDescent="0.25">
      <c r="A35" s="16" t="s">
        <v>1123</v>
      </c>
      <c r="B35" s="15" t="s">
        <v>40</v>
      </c>
      <c r="C35" s="16">
        <v>1</v>
      </c>
      <c r="D35" s="16" t="s">
        <v>334</v>
      </c>
      <c r="E35" s="17" t="s">
        <v>42</v>
      </c>
      <c r="F35" s="18" t="s">
        <v>335</v>
      </c>
      <c r="G35" s="18" t="s">
        <v>336</v>
      </c>
      <c r="H35" s="16" t="s">
        <v>338</v>
      </c>
      <c r="I35" s="19" t="s">
        <v>3</v>
      </c>
      <c r="J35" s="16" t="s">
        <v>12</v>
      </c>
      <c r="K35" s="20" t="s">
        <v>208</v>
      </c>
      <c r="L35" s="20" t="s">
        <v>339</v>
      </c>
      <c r="M35" s="16" t="s">
        <v>340</v>
      </c>
      <c r="N35" s="16">
        <v>0</v>
      </c>
      <c r="O35" s="16" t="s">
        <v>50</v>
      </c>
      <c r="P35" s="20">
        <v>3</v>
      </c>
      <c r="Q35" s="20" t="s">
        <v>147</v>
      </c>
      <c r="R35" s="21" t="s">
        <v>77</v>
      </c>
      <c r="S35" s="22" t="s">
        <v>53</v>
      </c>
      <c r="T35" s="22" t="s">
        <v>54</v>
      </c>
      <c r="U35" s="23" t="s">
        <v>341</v>
      </c>
      <c r="V35" s="24">
        <v>0</v>
      </c>
      <c r="W35" s="25">
        <v>0</v>
      </c>
      <c r="X35" s="26">
        <v>1</v>
      </c>
      <c r="Y35" s="27">
        <v>1.87</v>
      </c>
      <c r="Z35" s="23">
        <v>5</v>
      </c>
      <c r="AA35" s="28">
        <v>0.374</v>
      </c>
      <c r="AB35" s="24">
        <v>0</v>
      </c>
      <c r="AC35" s="29">
        <v>0</v>
      </c>
      <c r="AD35" s="30">
        <v>43556</v>
      </c>
      <c r="AE35" s="30">
        <v>43556</v>
      </c>
      <c r="AF35" s="23">
        <v>0</v>
      </c>
      <c r="AG35" s="25" t="s">
        <v>56</v>
      </c>
      <c r="AH35" s="24">
        <v>0</v>
      </c>
      <c r="AI35" s="31">
        <v>0</v>
      </c>
      <c r="AJ35" s="31">
        <v>0</v>
      </c>
      <c r="AK35" s="44">
        <f t="shared" si="0"/>
        <v>0</v>
      </c>
      <c r="AL35">
        <f>VLOOKUP(A35,'[1]prueba con 16mil datos'!$A$1:$AE$804,31,FALSE)</f>
        <v>819</v>
      </c>
      <c r="AM35">
        <f t="shared" si="1"/>
        <v>0</v>
      </c>
      <c r="AO35">
        <f>VLOOKUP(A35,'[1]Prueba con 19mil datos'!$B$1:$AF$1228,31,FALSE)</f>
        <v>819</v>
      </c>
    </row>
    <row r="36" spans="1:44" hidden="1" x14ac:dyDescent="0.25">
      <c r="A36" s="16" t="s">
        <v>1697</v>
      </c>
      <c r="B36" s="15" t="s">
        <v>40</v>
      </c>
      <c r="C36" s="16">
        <v>1</v>
      </c>
      <c r="D36" s="16" t="s">
        <v>260</v>
      </c>
      <c r="E36" s="17" t="s">
        <v>42</v>
      </c>
      <c r="F36" s="18" t="s">
        <v>261</v>
      </c>
      <c r="G36" s="18" t="s">
        <v>262</v>
      </c>
      <c r="H36" s="16" t="s">
        <v>264</v>
      </c>
      <c r="I36" s="19" t="s">
        <v>3</v>
      </c>
      <c r="J36" s="16" t="s">
        <v>12</v>
      </c>
      <c r="K36" s="20" t="s">
        <v>265</v>
      </c>
      <c r="L36" s="20" t="s">
        <v>266</v>
      </c>
      <c r="M36" s="16" t="s">
        <v>267</v>
      </c>
      <c r="N36" s="16">
        <v>0</v>
      </c>
      <c r="O36" s="16" t="s">
        <v>50</v>
      </c>
      <c r="P36" s="20">
        <v>28</v>
      </c>
      <c r="Q36" s="20" t="s">
        <v>119</v>
      </c>
      <c r="R36" s="21" t="s">
        <v>268</v>
      </c>
      <c r="S36" s="22" t="s">
        <v>187</v>
      </c>
      <c r="T36" s="22" t="s">
        <v>54</v>
      </c>
      <c r="U36" s="23" t="s">
        <v>269</v>
      </c>
      <c r="V36" s="24">
        <v>1.05</v>
      </c>
      <c r="W36" s="25">
        <v>1651.6500000000003</v>
      </c>
      <c r="X36" s="26">
        <v>1</v>
      </c>
      <c r="Y36" s="27">
        <v>0.47</v>
      </c>
      <c r="Z36" s="23">
        <v>4</v>
      </c>
      <c r="AA36" s="28">
        <v>0.11749999999999999</v>
      </c>
      <c r="AB36" s="24">
        <v>0</v>
      </c>
      <c r="AC36" s="29">
        <v>0</v>
      </c>
      <c r="AD36" s="30">
        <v>43556</v>
      </c>
      <c r="AE36" s="30">
        <v>43556</v>
      </c>
      <c r="AF36" s="23">
        <v>0</v>
      </c>
      <c r="AG36" s="25" t="s">
        <v>56</v>
      </c>
      <c r="AH36" s="24">
        <v>0</v>
      </c>
      <c r="AI36" s="31">
        <v>0</v>
      </c>
      <c r="AJ36" s="31">
        <v>0</v>
      </c>
      <c r="AK36" s="44">
        <f t="shared" si="0"/>
        <v>1651.6500000000003</v>
      </c>
      <c r="AL36" t="e">
        <f>VLOOKUP(A36,'[1]prueba con 16mil datos'!$A$1:$AE$804,31,FALSE)</f>
        <v>#N/A</v>
      </c>
      <c r="AM36" t="e">
        <f t="shared" si="1"/>
        <v>#N/A</v>
      </c>
      <c r="AO36">
        <f>VLOOKUP(A36,'[1]Prueba con 19mil datos'!$B$1:$AF$1228,31,FALSE)</f>
        <v>0</v>
      </c>
    </row>
    <row r="37" spans="1:44" hidden="1" x14ac:dyDescent="0.25">
      <c r="A37" s="16" t="s">
        <v>879</v>
      </c>
      <c r="B37" s="15" t="s">
        <v>40</v>
      </c>
      <c r="C37" s="16">
        <v>1</v>
      </c>
      <c r="D37" s="16" t="s">
        <v>432</v>
      </c>
      <c r="E37" s="17" t="s">
        <v>42</v>
      </c>
      <c r="F37" s="18" t="s">
        <v>180</v>
      </c>
      <c r="G37" s="18" t="s">
        <v>433</v>
      </c>
      <c r="H37" s="16" t="s">
        <v>404</v>
      </c>
      <c r="I37" s="19" t="s">
        <v>3</v>
      </c>
      <c r="J37" s="16" t="s">
        <v>12</v>
      </c>
      <c r="K37" s="20" t="s">
        <v>126</v>
      </c>
      <c r="L37" s="20" t="s">
        <v>435</v>
      </c>
      <c r="M37" s="16" t="s">
        <v>407</v>
      </c>
      <c r="N37" s="16">
        <v>0</v>
      </c>
      <c r="O37" s="16" t="s">
        <v>50</v>
      </c>
      <c r="P37" s="20">
        <v>46</v>
      </c>
      <c r="Q37" s="20" t="s">
        <v>86</v>
      </c>
      <c r="R37" s="21" t="s">
        <v>186</v>
      </c>
      <c r="S37" s="22" t="s">
        <v>187</v>
      </c>
      <c r="T37" s="22" t="s">
        <v>54</v>
      </c>
      <c r="U37" s="23" t="s">
        <v>188</v>
      </c>
      <c r="V37" s="24">
        <v>1.1000000000000001</v>
      </c>
      <c r="W37" s="25">
        <v>1730.3000000000004</v>
      </c>
      <c r="X37" s="26">
        <v>1</v>
      </c>
      <c r="Y37" s="27">
        <v>2.83</v>
      </c>
      <c r="Z37" s="23">
        <v>4</v>
      </c>
      <c r="AA37" s="28">
        <v>0.70750000000000002</v>
      </c>
      <c r="AB37" s="24">
        <v>0</v>
      </c>
      <c r="AC37" s="29">
        <v>0</v>
      </c>
      <c r="AD37" s="30">
        <v>43556</v>
      </c>
      <c r="AE37" s="30">
        <v>43557</v>
      </c>
      <c r="AF37" s="23">
        <v>1</v>
      </c>
      <c r="AG37" s="25" t="s">
        <v>56</v>
      </c>
      <c r="AH37" s="24">
        <v>0</v>
      </c>
      <c r="AI37" s="31">
        <v>0</v>
      </c>
      <c r="AJ37" s="31">
        <v>0</v>
      </c>
      <c r="AK37" s="44">
        <f t="shared" si="0"/>
        <v>1730.3000000000004</v>
      </c>
      <c r="AL37" t="e">
        <f>VLOOKUP(A37,'[1]prueba con 16mil datos'!$A$1:$AE$804,31,FALSE)</f>
        <v>#N/A</v>
      </c>
      <c r="AM37" t="e">
        <f t="shared" si="1"/>
        <v>#N/A</v>
      </c>
      <c r="AO37">
        <f>VLOOKUP(A37,'[1]Prueba con 19mil datos'!$B$1:$AF$1228,31,FALSE)</f>
        <v>0</v>
      </c>
    </row>
    <row r="38" spans="1:44" hidden="1" x14ac:dyDescent="0.25">
      <c r="A38" s="16" t="s">
        <v>990</v>
      </c>
      <c r="B38" s="15" t="s">
        <v>40</v>
      </c>
      <c r="C38" s="16">
        <v>1</v>
      </c>
      <c r="D38" s="16" t="s">
        <v>373</v>
      </c>
      <c r="E38" s="17" t="s">
        <v>42</v>
      </c>
      <c r="F38" s="18" t="s">
        <v>374</v>
      </c>
      <c r="G38" s="18" t="s">
        <v>375</v>
      </c>
      <c r="H38" s="16" t="s">
        <v>377</v>
      </c>
      <c r="I38" s="19" t="s">
        <v>3</v>
      </c>
      <c r="J38" s="16" t="s">
        <v>12</v>
      </c>
      <c r="K38" s="20" t="s">
        <v>378</v>
      </c>
      <c r="L38" s="20" t="s">
        <v>379</v>
      </c>
      <c r="M38" s="16" t="s">
        <v>128</v>
      </c>
      <c r="N38" s="16">
        <v>0</v>
      </c>
      <c r="O38" s="16" t="s">
        <v>50</v>
      </c>
      <c r="P38" s="20">
        <v>10</v>
      </c>
      <c r="Q38" s="20" t="s">
        <v>65</v>
      </c>
      <c r="R38" s="21" t="s">
        <v>129</v>
      </c>
      <c r="S38" s="22" t="s">
        <v>130</v>
      </c>
      <c r="T38" s="22" t="s">
        <v>54</v>
      </c>
      <c r="U38" s="23" t="s">
        <v>131</v>
      </c>
      <c r="V38" s="24">
        <v>0.6</v>
      </c>
      <c r="W38" s="25">
        <v>819</v>
      </c>
      <c r="X38" s="26">
        <v>1</v>
      </c>
      <c r="Y38" s="27">
        <v>2.35</v>
      </c>
      <c r="Z38" s="23">
        <v>5</v>
      </c>
      <c r="AA38" s="28">
        <v>0.47000000000000003</v>
      </c>
      <c r="AB38" s="24">
        <v>0</v>
      </c>
      <c r="AC38" s="29">
        <v>0</v>
      </c>
      <c r="AD38" s="30">
        <v>43556</v>
      </c>
      <c r="AE38" s="30">
        <v>43557</v>
      </c>
      <c r="AF38" s="23">
        <v>1</v>
      </c>
      <c r="AG38" s="25" t="s">
        <v>56</v>
      </c>
      <c r="AH38" s="24">
        <v>0</v>
      </c>
      <c r="AI38" s="31">
        <v>0</v>
      </c>
      <c r="AJ38" s="31">
        <v>0</v>
      </c>
      <c r="AK38" s="44">
        <f t="shared" si="0"/>
        <v>819</v>
      </c>
      <c r="AL38">
        <f>VLOOKUP(A38,'[1]prueba con 16mil datos'!$A$1:$AE$804,31,FALSE)</f>
        <v>750.75</v>
      </c>
      <c r="AM38">
        <f t="shared" si="1"/>
        <v>0</v>
      </c>
      <c r="AO38">
        <f>VLOOKUP(A38,'[1]Prueba con 19mil datos'!$B$1:$AF$1228,31,FALSE)</f>
        <v>750.75</v>
      </c>
    </row>
    <row r="39" spans="1:44" hidden="1" x14ac:dyDescent="0.25">
      <c r="A39" s="16" t="s">
        <v>3104</v>
      </c>
      <c r="B39" s="15" t="s">
        <v>40</v>
      </c>
      <c r="C39" s="16">
        <v>1</v>
      </c>
      <c r="D39" s="16" t="s">
        <v>368</v>
      </c>
      <c r="E39" s="17" t="s">
        <v>42</v>
      </c>
      <c r="F39" s="18" t="s">
        <v>122</v>
      </c>
      <c r="G39" s="18" t="s">
        <v>369</v>
      </c>
      <c r="H39" s="16" t="s">
        <v>293</v>
      </c>
      <c r="I39" s="19" t="s">
        <v>3</v>
      </c>
      <c r="J39" s="16" t="s">
        <v>12</v>
      </c>
      <c r="K39" s="20" t="s">
        <v>198</v>
      </c>
      <c r="L39" s="20" t="s">
        <v>371</v>
      </c>
      <c r="M39" s="16" t="s">
        <v>372</v>
      </c>
      <c r="N39" s="16">
        <v>0</v>
      </c>
      <c r="O39" s="16" t="s">
        <v>50</v>
      </c>
      <c r="P39" s="20">
        <v>8</v>
      </c>
      <c r="Q39" s="20" t="s">
        <v>65</v>
      </c>
      <c r="R39" s="21" t="s">
        <v>129</v>
      </c>
      <c r="S39" s="22" t="s">
        <v>130</v>
      </c>
      <c r="T39" s="22" t="s">
        <v>54</v>
      </c>
      <c r="U39" s="23" t="s">
        <v>131</v>
      </c>
      <c r="V39" s="24">
        <v>0.6</v>
      </c>
      <c r="W39" s="25">
        <v>819</v>
      </c>
      <c r="X39" s="26">
        <v>1</v>
      </c>
      <c r="Y39" s="27">
        <v>0</v>
      </c>
      <c r="Z39" s="23">
        <v>5</v>
      </c>
      <c r="AA39" s="28">
        <v>0</v>
      </c>
      <c r="AB39" s="24">
        <v>0</v>
      </c>
      <c r="AC39" s="29">
        <v>0</v>
      </c>
      <c r="AD39" s="30">
        <v>43556</v>
      </c>
      <c r="AE39" s="30">
        <v>43557</v>
      </c>
      <c r="AF39" s="23">
        <v>1</v>
      </c>
      <c r="AG39" s="25" t="s">
        <v>56</v>
      </c>
      <c r="AH39" s="24">
        <v>0</v>
      </c>
      <c r="AI39" s="31">
        <v>0</v>
      </c>
      <c r="AJ39" s="31">
        <v>0</v>
      </c>
      <c r="AK39" s="44">
        <f t="shared" si="0"/>
        <v>819</v>
      </c>
      <c r="AL39">
        <f>VLOOKUP(A39,'[1]prueba con 16mil datos'!$A$1:$AE$804,31,FALSE)</f>
        <v>750.75</v>
      </c>
      <c r="AM39">
        <f t="shared" si="1"/>
        <v>0</v>
      </c>
      <c r="AO39">
        <f>VLOOKUP(A39,'[1]Prueba con 19mil datos'!$B$1:$AF$1228,31,FALSE)</f>
        <v>750.75</v>
      </c>
    </row>
    <row r="40" spans="1:44" hidden="1" x14ac:dyDescent="0.25">
      <c r="A40" s="16" t="s">
        <v>383</v>
      </c>
      <c r="B40" s="15" t="s">
        <v>40</v>
      </c>
      <c r="C40" s="16">
        <v>1</v>
      </c>
      <c r="D40" s="16" t="s">
        <v>172</v>
      </c>
      <c r="E40" s="17" t="s">
        <v>42</v>
      </c>
      <c r="F40" s="18" t="s">
        <v>122</v>
      </c>
      <c r="G40" s="18" t="s">
        <v>173</v>
      </c>
      <c r="H40" s="16" t="s">
        <v>175</v>
      </c>
      <c r="I40" s="19" t="s">
        <v>3</v>
      </c>
      <c r="J40" s="16" t="s">
        <v>12</v>
      </c>
      <c r="K40" s="20" t="s">
        <v>126</v>
      </c>
      <c r="L40" s="20" t="s">
        <v>176</v>
      </c>
      <c r="M40" s="16" t="s">
        <v>177</v>
      </c>
      <c r="N40" s="16">
        <v>0</v>
      </c>
      <c r="O40" s="16" t="s">
        <v>50</v>
      </c>
      <c r="P40" s="20">
        <v>35</v>
      </c>
      <c r="Q40" s="20" t="s">
        <v>86</v>
      </c>
      <c r="R40" s="21" t="s">
        <v>129</v>
      </c>
      <c r="S40" s="22" t="s">
        <v>130</v>
      </c>
      <c r="T40" s="22" t="s">
        <v>54</v>
      </c>
      <c r="U40" s="23" t="s">
        <v>178</v>
      </c>
      <c r="V40" s="24">
        <v>1.05</v>
      </c>
      <c r="W40" s="25">
        <v>1433.25</v>
      </c>
      <c r="X40" s="26">
        <v>1</v>
      </c>
      <c r="Y40" s="27">
        <v>4.2300000000000004</v>
      </c>
      <c r="Z40" s="23">
        <v>5</v>
      </c>
      <c r="AA40" s="28">
        <v>0.84600000000000009</v>
      </c>
      <c r="AB40" s="24">
        <v>0</v>
      </c>
      <c r="AC40" s="29">
        <v>0</v>
      </c>
      <c r="AD40" s="30">
        <v>43556</v>
      </c>
      <c r="AE40" s="30">
        <v>43556</v>
      </c>
      <c r="AF40" s="23">
        <v>0</v>
      </c>
      <c r="AG40" s="25" t="s">
        <v>56</v>
      </c>
      <c r="AH40" s="24">
        <v>0</v>
      </c>
      <c r="AI40" s="31">
        <v>0</v>
      </c>
      <c r="AJ40" s="31">
        <v>0</v>
      </c>
      <c r="AK40" s="44">
        <f t="shared" si="0"/>
        <v>1433.25</v>
      </c>
      <c r="AL40">
        <f>VLOOKUP(A40,'[1]prueba con 16mil datos'!$A$1:$AE$804,31,FALSE)</f>
        <v>750.75</v>
      </c>
      <c r="AM40">
        <f t="shared" si="1"/>
        <v>0</v>
      </c>
      <c r="AO40">
        <f>VLOOKUP(A40,'[1]Prueba con 19mil datos'!$B$1:$AF$1228,31,FALSE)</f>
        <v>750.75</v>
      </c>
    </row>
    <row r="41" spans="1:44" hidden="1" x14ac:dyDescent="0.25">
      <c r="A41" s="16" t="s">
        <v>1908</v>
      </c>
      <c r="B41" s="15" t="s">
        <v>40</v>
      </c>
      <c r="C41" s="16">
        <v>1</v>
      </c>
      <c r="D41" s="16" t="s">
        <v>443</v>
      </c>
      <c r="E41" s="17" t="s">
        <v>42</v>
      </c>
      <c r="F41" s="18" t="s">
        <v>122</v>
      </c>
      <c r="G41" s="18" t="s">
        <v>444</v>
      </c>
      <c r="H41" s="16" t="s">
        <v>175</v>
      </c>
      <c r="I41" s="19" t="s">
        <v>3</v>
      </c>
      <c r="J41" s="16" t="s">
        <v>12</v>
      </c>
      <c r="K41" s="20" t="s">
        <v>126</v>
      </c>
      <c r="L41" s="20" t="s">
        <v>446</v>
      </c>
      <c r="M41" s="16" t="s">
        <v>447</v>
      </c>
      <c r="N41" s="16">
        <v>0</v>
      </c>
      <c r="O41" s="16" t="s">
        <v>50</v>
      </c>
      <c r="P41" s="20">
        <v>348</v>
      </c>
      <c r="Q41" s="20" t="s">
        <v>51</v>
      </c>
      <c r="R41" s="21" t="s">
        <v>129</v>
      </c>
      <c r="S41" s="22" t="s">
        <v>130</v>
      </c>
      <c r="T41" s="22" t="s">
        <v>54</v>
      </c>
      <c r="U41" s="23" t="s">
        <v>226</v>
      </c>
      <c r="V41" s="24">
        <v>1.1000000000000001</v>
      </c>
      <c r="W41" s="25">
        <v>1501.5000000000002</v>
      </c>
      <c r="X41" s="26">
        <v>1</v>
      </c>
      <c r="Y41" s="27">
        <v>5.17</v>
      </c>
      <c r="Z41" s="23">
        <v>5</v>
      </c>
      <c r="AA41" s="28">
        <v>1.034</v>
      </c>
      <c r="AB41" s="24">
        <v>8.5000000000000075E-3</v>
      </c>
      <c r="AC41" s="29">
        <v>-11.60250000000001</v>
      </c>
      <c r="AD41" s="30">
        <v>43556</v>
      </c>
      <c r="AE41" s="30">
        <v>43557</v>
      </c>
      <c r="AF41" s="23">
        <v>1</v>
      </c>
      <c r="AG41" s="25" t="s">
        <v>56</v>
      </c>
      <c r="AH41" s="24">
        <v>0</v>
      </c>
      <c r="AI41" s="31">
        <v>0</v>
      </c>
      <c r="AJ41" s="31">
        <v>0</v>
      </c>
      <c r="AK41" s="44">
        <f t="shared" si="0"/>
        <v>1489.8975000000003</v>
      </c>
      <c r="AL41">
        <f>VLOOKUP(A41,'[1]prueba con 16mil datos'!$A$1:$AE$804,31,FALSE)</f>
        <v>750.75</v>
      </c>
      <c r="AM41">
        <f t="shared" si="1"/>
        <v>0</v>
      </c>
      <c r="AO41">
        <f>VLOOKUP(A41,'[1]Prueba con 19mil datos'!$B$1:$AF$1228,31,FALSE)</f>
        <v>750.75</v>
      </c>
    </row>
    <row r="42" spans="1:44" hidden="1" x14ac:dyDescent="0.25">
      <c r="A42" s="16" t="s">
        <v>1751</v>
      </c>
      <c r="B42" s="15" t="s">
        <v>40</v>
      </c>
      <c r="C42" s="16">
        <v>1</v>
      </c>
      <c r="D42" s="16" t="s">
        <v>203</v>
      </c>
      <c r="E42" s="17" t="s">
        <v>42</v>
      </c>
      <c r="F42" s="18" t="s">
        <v>204</v>
      </c>
      <c r="G42" s="18" t="s">
        <v>205</v>
      </c>
      <c r="H42" s="16" t="s">
        <v>207</v>
      </c>
      <c r="I42" s="19" t="s">
        <v>3</v>
      </c>
      <c r="J42" s="16" t="s">
        <v>12</v>
      </c>
      <c r="K42" s="20" t="s">
        <v>208</v>
      </c>
      <c r="L42" s="20" t="s">
        <v>209</v>
      </c>
      <c r="M42" s="16" t="s">
        <v>111</v>
      </c>
      <c r="N42" s="16">
        <v>0</v>
      </c>
      <c r="O42" s="16" t="s">
        <v>50</v>
      </c>
      <c r="P42" s="20">
        <v>3</v>
      </c>
      <c r="Q42" s="20" t="s">
        <v>147</v>
      </c>
      <c r="R42" s="21" t="s">
        <v>129</v>
      </c>
      <c r="S42" s="22" t="s">
        <v>130</v>
      </c>
      <c r="T42" s="22" t="s">
        <v>54</v>
      </c>
      <c r="U42" s="23" t="s">
        <v>149</v>
      </c>
      <c r="V42" s="24">
        <v>0</v>
      </c>
      <c r="W42" s="25">
        <v>0</v>
      </c>
      <c r="X42" s="26">
        <v>1</v>
      </c>
      <c r="Y42" s="27">
        <v>0.5</v>
      </c>
      <c r="Z42" s="23">
        <v>5</v>
      </c>
      <c r="AA42" s="28">
        <v>0.1</v>
      </c>
      <c r="AB42" s="24">
        <v>0</v>
      </c>
      <c r="AC42" s="29">
        <v>0</v>
      </c>
      <c r="AD42" s="30">
        <v>43556</v>
      </c>
      <c r="AE42" s="30">
        <v>43556</v>
      </c>
      <c r="AF42" s="23">
        <v>0</v>
      </c>
      <c r="AG42" s="25" t="s">
        <v>56</v>
      </c>
      <c r="AH42" s="24">
        <v>0</v>
      </c>
      <c r="AI42" s="31">
        <v>0</v>
      </c>
      <c r="AJ42" s="31">
        <v>0</v>
      </c>
      <c r="AK42" s="44">
        <f t="shared" si="0"/>
        <v>0</v>
      </c>
      <c r="AL42">
        <f>VLOOKUP(A42,'[1]prueba con 16mil datos'!$A$1:$AE$804,31,FALSE)</f>
        <v>750.75</v>
      </c>
      <c r="AM42">
        <f t="shared" si="1"/>
        <v>0</v>
      </c>
      <c r="AN42">
        <v>1</v>
      </c>
      <c r="AO42">
        <f>VLOOKUP(A42,'[1]Prueba con 19mil datos'!$B$1:$AF$1228,31,FALSE)</f>
        <v>572</v>
      </c>
    </row>
    <row r="43" spans="1:44" x14ac:dyDescent="0.25">
      <c r="A43" s="16" t="s">
        <v>1869</v>
      </c>
      <c r="B43" s="15" t="s">
        <v>40</v>
      </c>
      <c r="C43" s="16">
        <v>1</v>
      </c>
      <c r="D43" s="16" t="s">
        <v>543</v>
      </c>
      <c r="E43" s="17" t="s">
        <v>42</v>
      </c>
      <c r="F43" s="18" t="s">
        <v>122</v>
      </c>
      <c r="G43" s="18" t="s">
        <v>544</v>
      </c>
      <c r="H43" s="16" t="s">
        <v>516</v>
      </c>
      <c r="I43" s="19" t="s">
        <v>3</v>
      </c>
      <c r="J43" s="16" t="s">
        <v>12</v>
      </c>
      <c r="K43" s="20" t="s">
        <v>198</v>
      </c>
      <c r="L43" s="20" t="s">
        <v>546</v>
      </c>
      <c r="M43" s="16" t="s">
        <v>372</v>
      </c>
      <c r="N43" s="16">
        <v>0</v>
      </c>
      <c r="O43" s="16" t="s">
        <v>50</v>
      </c>
      <c r="P43" s="20">
        <v>26</v>
      </c>
      <c r="Q43" s="20" t="s">
        <v>119</v>
      </c>
      <c r="R43" s="21" t="s">
        <v>129</v>
      </c>
      <c r="S43" s="22" t="s">
        <v>130</v>
      </c>
      <c r="T43" s="22" t="s">
        <v>54</v>
      </c>
      <c r="U43" s="23" t="s">
        <v>164</v>
      </c>
      <c r="V43" s="24">
        <v>0.8</v>
      </c>
      <c r="W43" s="25">
        <v>1092</v>
      </c>
      <c r="X43" s="26">
        <v>1</v>
      </c>
      <c r="Y43" s="27">
        <v>0.67</v>
      </c>
      <c r="Z43" s="23">
        <v>5</v>
      </c>
      <c r="AA43" s="28">
        <v>0.13400000000000001</v>
      </c>
      <c r="AB43" s="24">
        <v>0</v>
      </c>
      <c r="AC43" s="29">
        <v>0</v>
      </c>
      <c r="AD43" s="30">
        <v>43556</v>
      </c>
      <c r="AE43" s="30">
        <v>43557</v>
      </c>
      <c r="AF43" s="23">
        <v>1</v>
      </c>
      <c r="AG43" s="25" t="s">
        <v>56</v>
      </c>
      <c r="AH43" s="24">
        <v>0</v>
      </c>
      <c r="AI43" s="31">
        <v>0</v>
      </c>
      <c r="AJ43" s="31">
        <v>0</v>
      </c>
      <c r="AK43" s="44">
        <f t="shared" si="0"/>
        <v>1092</v>
      </c>
      <c r="AL43" t="e">
        <f>VLOOKUP(A43,'[1]prueba con 16mil datos'!$A$1:$AE$804,31,FALSE)</f>
        <v>#N/A</v>
      </c>
      <c r="AM43" t="e">
        <f t="shared" si="1"/>
        <v>#N/A</v>
      </c>
      <c r="AO43" t="e">
        <f>VLOOKUP(A43,'[1]Prueba con 19mil datos'!$B$1:$AF$1228,31,FALSE)</f>
        <v>#N/A</v>
      </c>
      <c r="AP43" t="s">
        <v>3212</v>
      </c>
      <c r="AR43" t="s">
        <v>3213</v>
      </c>
    </row>
    <row r="44" spans="1:44" hidden="1" x14ac:dyDescent="0.25">
      <c r="A44" s="16" t="s">
        <v>2669</v>
      </c>
      <c r="B44" s="15" t="s">
        <v>40</v>
      </c>
      <c r="C44" s="16">
        <v>1</v>
      </c>
      <c r="D44" s="16" t="s">
        <v>313</v>
      </c>
      <c r="E44" s="17" t="s">
        <v>42</v>
      </c>
      <c r="F44" s="18" t="s">
        <v>314</v>
      </c>
      <c r="G44" s="18" t="s">
        <v>315</v>
      </c>
      <c r="H44" s="16" t="s">
        <v>317</v>
      </c>
      <c r="I44" s="19" t="s">
        <v>3</v>
      </c>
      <c r="J44" s="16" t="s">
        <v>12</v>
      </c>
      <c r="K44" s="20" t="s">
        <v>318</v>
      </c>
      <c r="L44" s="20" t="s">
        <v>319</v>
      </c>
      <c r="M44" s="16" t="s">
        <v>105</v>
      </c>
      <c r="N44" s="16">
        <v>0</v>
      </c>
      <c r="O44" s="16" t="s">
        <v>50</v>
      </c>
      <c r="P44" s="20">
        <v>255</v>
      </c>
      <c r="Q44" s="20" t="s">
        <v>51</v>
      </c>
      <c r="R44" s="21" t="s">
        <v>225</v>
      </c>
      <c r="S44" s="22" t="s">
        <v>130</v>
      </c>
      <c r="T44" s="22" t="s">
        <v>54</v>
      </c>
      <c r="U44" s="23" t="s">
        <v>226</v>
      </c>
      <c r="V44" s="24">
        <v>1.1000000000000001</v>
      </c>
      <c r="W44" s="25">
        <v>1501.5000000000002</v>
      </c>
      <c r="X44" s="26">
        <v>1</v>
      </c>
      <c r="Y44" s="27">
        <v>1.86</v>
      </c>
      <c r="Z44" s="23">
        <v>5</v>
      </c>
      <c r="AA44" s="28">
        <v>0.372</v>
      </c>
      <c r="AB44" s="24">
        <v>0</v>
      </c>
      <c r="AC44" s="29">
        <v>0</v>
      </c>
      <c r="AD44" s="30">
        <v>43556</v>
      </c>
      <c r="AE44" s="30">
        <v>43556</v>
      </c>
      <c r="AF44" s="23">
        <v>0</v>
      </c>
      <c r="AG44" s="25" t="s">
        <v>56</v>
      </c>
      <c r="AH44" s="24">
        <v>0</v>
      </c>
      <c r="AI44" s="31">
        <v>0</v>
      </c>
      <c r="AJ44" s="31">
        <v>0</v>
      </c>
      <c r="AK44" s="44">
        <f t="shared" si="0"/>
        <v>1501.5000000000002</v>
      </c>
      <c r="AL44" t="e">
        <f>VLOOKUP(A44,'[1]prueba con 16mil datos'!$A$1:$AE$804,31,FALSE)</f>
        <v>#N/A</v>
      </c>
      <c r="AM44" t="e">
        <f t="shared" si="1"/>
        <v>#N/A</v>
      </c>
      <c r="AO44">
        <f>VLOOKUP(A44,'[1]Prueba con 19mil datos'!$B$1:$AF$1228,31,FALSE)</f>
        <v>0</v>
      </c>
    </row>
    <row r="45" spans="1:44" hidden="1" x14ac:dyDescent="0.25">
      <c r="A45" s="16" t="s">
        <v>2355</v>
      </c>
      <c r="B45" s="15" t="s">
        <v>40</v>
      </c>
      <c r="C45" s="16">
        <v>1</v>
      </c>
      <c r="D45" s="16" t="s">
        <v>297</v>
      </c>
      <c r="E45" s="17" t="s">
        <v>42</v>
      </c>
      <c r="F45" s="18" t="s">
        <v>298</v>
      </c>
      <c r="G45" s="18" t="s">
        <v>299</v>
      </c>
      <c r="H45" s="16" t="s">
        <v>301</v>
      </c>
      <c r="I45" s="19" t="s">
        <v>3</v>
      </c>
      <c r="J45" s="16" t="s">
        <v>12</v>
      </c>
      <c r="K45" s="20" t="s">
        <v>265</v>
      </c>
      <c r="L45" s="20" t="s">
        <v>302</v>
      </c>
      <c r="M45" s="16" t="s">
        <v>267</v>
      </c>
      <c r="N45" s="16">
        <v>0</v>
      </c>
      <c r="O45" s="16" t="s">
        <v>50</v>
      </c>
      <c r="P45" s="20">
        <v>10</v>
      </c>
      <c r="Q45" s="20" t="s">
        <v>65</v>
      </c>
      <c r="R45" s="21" t="s">
        <v>303</v>
      </c>
      <c r="S45" s="22" t="s">
        <v>130</v>
      </c>
      <c r="T45" s="22" t="s">
        <v>54</v>
      </c>
      <c r="U45" s="23" t="s">
        <v>131</v>
      </c>
      <c r="V45" s="24">
        <v>0.6</v>
      </c>
      <c r="W45" s="25">
        <v>819</v>
      </c>
      <c r="X45" s="26">
        <v>1</v>
      </c>
      <c r="Y45" s="27">
        <v>0</v>
      </c>
      <c r="Z45" s="23">
        <v>5</v>
      </c>
      <c r="AA45" s="28">
        <v>0</v>
      </c>
      <c r="AB45" s="24">
        <v>0</v>
      </c>
      <c r="AC45" s="29">
        <v>0</v>
      </c>
      <c r="AD45" s="30">
        <v>43556</v>
      </c>
      <c r="AE45" s="30">
        <v>43556</v>
      </c>
      <c r="AF45" s="23">
        <v>0</v>
      </c>
      <c r="AG45" s="25" t="s">
        <v>56</v>
      </c>
      <c r="AH45" s="24">
        <v>0</v>
      </c>
      <c r="AI45" s="31">
        <v>0</v>
      </c>
      <c r="AJ45" s="31">
        <v>0</v>
      </c>
      <c r="AK45" s="44">
        <f t="shared" si="0"/>
        <v>819</v>
      </c>
      <c r="AL45">
        <f>VLOOKUP(A45,'[1]prueba con 16mil datos'!$A$1:$AE$804,31,FALSE)</f>
        <v>750.75</v>
      </c>
      <c r="AM45">
        <f t="shared" si="1"/>
        <v>0</v>
      </c>
      <c r="AO45">
        <f>VLOOKUP(A45,'[1]Prueba con 19mil datos'!$B$1:$AF$1228,31,FALSE)</f>
        <v>750.75</v>
      </c>
    </row>
    <row r="46" spans="1:44" hidden="1" x14ac:dyDescent="0.25">
      <c r="A46" s="16" t="s">
        <v>2355</v>
      </c>
      <c r="B46" s="15" t="s">
        <v>40</v>
      </c>
      <c r="C46" s="16">
        <v>1</v>
      </c>
      <c r="D46" s="16" t="s">
        <v>289</v>
      </c>
      <c r="E46" s="17" t="s">
        <v>42</v>
      </c>
      <c r="F46" s="18" t="s">
        <v>290</v>
      </c>
      <c r="G46" s="18" t="s">
        <v>291</v>
      </c>
      <c r="H46" s="16" t="s">
        <v>293</v>
      </c>
      <c r="I46" s="19" t="s">
        <v>3</v>
      </c>
      <c r="J46" s="16" t="s">
        <v>12</v>
      </c>
      <c r="K46" s="20" t="s">
        <v>294</v>
      </c>
      <c r="L46" s="20" t="s">
        <v>295</v>
      </c>
      <c r="M46" s="16" t="s">
        <v>296</v>
      </c>
      <c r="N46" s="16">
        <v>0</v>
      </c>
      <c r="O46" s="16" t="s">
        <v>50</v>
      </c>
      <c r="P46" s="20">
        <v>264</v>
      </c>
      <c r="Q46" s="20" t="s">
        <v>51</v>
      </c>
      <c r="R46" s="21" t="s">
        <v>129</v>
      </c>
      <c r="S46" s="22" t="s">
        <v>130</v>
      </c>
      <c r="T46" s="22" t="s">
        <v>54</v>
      </c>
      <c r="U46" s="23" t="s">
        <v>226</v>
      </c>
      <c r="V46" s="24">
        <v>1.1000000000000001</v>
      </c>
      <c r="W46" s="25">
        <v>1501.5000000000002</v>
      </c>
      <c r="X46" s="26">
        <v>1</v>
      </c>
      <c r="Y46" s="27">
        <v>2.0699999999999998</v>
      </c>
      <c r="Z46" s="23">
        <v>5</v>
      </c>
      <c r="AA46" s="28">
        <v>0.41399999999999998</v>
      </c>
      <c r="AB46" s="24">
        <v>0</v>
      </c>
      <c r="AC46" s="29">
        <v>0</v>
      </c>
      <c r="AD46" s="30">
        <v>43556</v>
      </c>
      <c r="AE46" s="30">
        <v>43556</v>
      </c>
      <c r="AF46" s="23">
        <v>0</v>
      </c>
      <c r="AG46" s="25" t="s">
        <v>56</v>
      </c>
      <c r="AH46" s="24">
        <v>0</v>
      </c>
      <c r="AI46" s="31">
        <v>0</v>
      </c>
      <c r="AJ46" s="31">
        <v>0</v>
      </c>
      <c r="AK46" s="44">
        <f t="shared" si="0"/>
        <v>1501.5000000000002</v>
      </c>
      <c r="AL46">
        <f>VLOOKUP(A46,'[1]prueba con 16mil datos'!$A$1:$AE$804,31,FALSE)</f>
        <v>750.75</v>
      </c>
      <c r="AM46">
        <f t="shared" si="1"/>
        <v>0</v>
      </c>
      <c r="AO46">
        <f>VLOOKUP(A46,'[1]Prueba con 19mil datos'!$B$1:$AF$1228,31,FALSE)</f>
        <v>750.75</v>
      </c>
    </row>
    <row r="47" spans="1:44" hidden="1" x14ac:dyDescent="0.25">
      <c r="A47" s="16" t="s">
        <v>774</v>
      </c>
      <c r="B47" s="15" t="s">
        <v>40</v>
      </c>
      <c r="C47" s="16">
        <v>1</v>
      </c>
      <c r="D47" s="16" t="s">
        <v>304</v>
      </c>
      <c r="E47" s="17" t="s">
        <v>42</v>
      </c>
      <c r="F47" s="18" t="s">
        <v>305</v>
      </c>
      <c r="G47" s="18" t="s">
        <v>306</v>
      </c>
      <c r="H47" s="16" t="s">
        <v>153</v>
      </c>
      <c r="I47" s="19" t="s">
        <v>3</v>
      </c>
      <c r="J47" s="16" t="s">
        <v>12</v>
      </c>
      <c r="K47" s="20" t="s">
        <v>308</v>
      </c>
      <c r="L47" s="20" t="s">
        <v>309</v>
      </c>
      <c r="M47" s="16" t="s">
        <v>310</v>
      </c>
      <c r="N47" s="16">
        <v>0</v>
      </c>
      <c r="O47" s="16" t="s">
        <v>50</v>
      </c>
      <c r="P47" s="20">
        <v>6</v>
      </c>
      <c r="Q47" s="20" t="s">
        <v>311</v>
      </c>
      <c r="R47" s="21" t="s">
        <v>148</v>
      </c>
      <c r="S47" s="22" t="s">
        <v>130</v>
      </c>
      <c r="T47" s="22" t="s">
        <v>157</v>
      </c>
      <c r="U47" s="23" t="s">
        <v>312</v>
      </c>
      <c r="V47" s="24">
        <v>0</v>
      </c>
      <c r="W47" s="25">
        <v>0</v>
      </c>
      <c r="X47" s="26">
        <v>1</v>
      </c>
      <c r="Y47" s="27">
        <v>5.35</v>
      </c>
      <c r="Z47" s="23">
        <v>9</v>
      </c>
      <c r="AA47" s="28">
        <v>0.59444444444444444</v>
      </c>
      <c r="AB47" s="24">
        <v>0</v>
      </c>
      <c r="AC47" s="29">
        <v>0</v>
      </c>
      <c r="AD47" s="30">
        <v>43556</v>
      </c>
      <c r="AE47" s="30">
        <v>43556</v>
      </c>
      <c r="AF47" s="23">
        <v>0</v>
      </c>
      <c r="AG47" s="25" t="s">
        <v>56</v>
      </c>
      <c r="AH47" s="24">
        <v>0</v>
      </c>
      <c r="AI47" s="31">
        <v>0</v>
      </c>
      <c r="AJ47" s="31">
        <v>0</v>
      </c>
      <c r="AK47" s="44">
        <f t="shared" si="0"/>
        <v>0</v>
      </c>
      <c r="AL47" t="e">
        <f>VLOOKUP(A47,'[1]prueba con 16mil datos'!$A$1:$AE$804,31,FALSE)</f>
        <v>#N/A</v>
      </c>
      <c r="AM47" t="e">
        <f t="shared" si="1"/>
        <v>#N/A</v>
      </c>
      <c r="AO47">
        <f>VLOOKUP(A47,'[1]Prueba con 19mil datos'!$B$1:$AF$1228,31,FALSE)</f>
        <v>750.75</v>
      </c>
    </row>
    <row r="48" spans="1:44" hidden="1" x14ac:dyDescent="0.25">
      <c r="A48" s="16" t="s">
        <v>2331</v>
      </c>
      <c r="B48" s="15" t="s">
        <v>40</v>
      </c>
      <c r="C48" s="16">
        <v>1</v>
      </c>
      <c r="D48" s="16" t="s">
        <v>254</v>
      </c>
      <c r="E48" s="17" t="s">
        <v>42</v>
      </c>
      <c r="F48" s="18" t="s">
        <v>255</v>
      </c>
      <c r="G48" s="18" t="s">
        <v>256</v>
      </c>
      <c r="H48" s="16" t="s">
        <v>102</v>
      </c>
      <c r="I48" s="19" t="s">
        <v>3</v>
      </c>
      <c r="J48" s="16" t="s">
        <v>12</v>
      </c>
      <c r="K48" s="20" t="s">
        <v>258</v>
      </c>
      <c r="L48" s="20" t="s">
        <v>259</v>
      </c>
      <c r="M48" s="16" t="s">
        <v>128</v>
      </c>
      <c r="N48" s="16">
        <v>0</v>
      </c>
      <c r="O48" s="16" t="s">
        <v>50</v>
      </c>
      <c r="P48" s="20">
        <v>53</v>
      </c>
      <c r="Q48" s="20" t="s">
        <v>86</v>
      </c>
      <c r="R48" s="21" t="s">
        <v>129</v>
      </c>
      <c r="S48" s="22" t="s">
        <v>130</v>
      </c>
      <c r="T48" s="22" t="s">
        <v>54</v>
      </c>
      <c r="U48" s="23" t="s">
        <v>178</v>
      </c>
      <c r="V48" s="24">
        <v>1.05</v>
      </c>
      <c r="W48" s="25">
        <v>1433.25</v>
      </c>
      <c r="X48" s="26">
        <v>1</v>
      </c>
      <c r="Y48" s="27">
        <v>1.32</v>
      </c>
      <c r="Z48" s="23">
        <v>5</v>
      </c>
      <c r="AA48" s="28">
        <v>0.26400000000000001</v>
      </c>
      <c r="AB48" s="24">
        <v>0</v>
      </c>
      <c r="AC48" s="29">
        <v>0</v>
      </c>
      <c r="AD48" s="30">
        <v>43556</v>
      </c>
      <c r="AE48" s="30">
        <v>43556</v>
      </c>
      <c r="AF48" s="23">
        <v>0</v>
      </c>
      <c r="AG48" s="25" t="s">
        <v>56</v>
      </c>
      <c r="AH48" s="24">
        <v>0</v>
      </c>
      <c r="AI48" s="31">
        <v>0</v>
      </c>
      <c r="AJ48" s="31">
        <v>0</v>
      </c>
      <c r="AK48" s="44">
        <f t="shared" si="0"/>
        <v>1433.25</v>
      </c>
      <c r="AL48">
        <f>VLOOKUP(A48,'[1]prueba con 16mil datos'!$A$1:$AE$804,31,FALSE)</f>
        <v>1433.25</v>
      </c>
      <c r="AM48">
        <f t="shared" si="1"/>
        <v>1</v>
      </c>
      <c r="AO48">
        <f>VLOOKUP(A48,'[1]Prueba con 19mil datos'!$B$1:$AF$1228,31,FALSE)</f>
        <v>1433.25</v>
      </c>
    </row>
    <row r="49" spans="1:44" hidden="1" x14ac:dyDescent="0.25">
      <c r="A49" s="16" t="s">
        <v>2073</v>
      </c>
      <c r="B49" s="15" t="s">
        <v>40</v>
      </c>
      <c r="C49" s="16">
        <v>1</v>
      </c>
      <c r="D49" s="16" t="s">
        <v>415</v>
      </c>
      <c r="E49" s="17" t="s">
        <v>42</v>
      </c>
      <c r="F49" s="18" t="s">
        <v>401</v>
      </c>
      <c r="G49" s="18" t="s">
        <v>416</v>
      </c>
      <c r="H49" s="16" t="s">
        <v>404</v>
      </c>
      <c r="I49" s="19" t="s">
        <v>3</v>
      </c>
      <c r="J49" s="16" t="s">
        <v>12</v>
      </c>
      <c r="K49" s="20" t="s">
        <v>405</v>
      </c>
      <c r="L49" s="20" t="s">
        <v>406</v>
      </c>
      <c r="M49" s="16" t="s">
        <v>407</v>
      </c>
      <c r="N49" s="16">
        <v>0</v>
      </c>
      <c r="O49" s="16" t="s">
        <v>50</v>
      </c>
      <c r="P49" s="20">
        <v>69</v>
      </c>
      <c r="Q49" s="20" t="s">
        <v>51</v>
      </c>
      <c r="R49" s="21" t="s">
        <v>408</v>
      </c>
      <c r="S49" s="22" t="s">
        <v>53</v>
      </c>
      <c r="T49" s="22" t="s">
        <v>54</v>
      </c>
      <c r="U49" s="23" t="s">
        <v>55</v>
      </c>
      <c r="V49" s="24">
        <v>1.05</v>
      </c>
      <c r="W49" s="25">
        <v>750.75000000000011</v>
      </c>
      <c r="X49" s="26">
        <v>1</v>
      </c>
      <c r="Y49" s="27">
        <v>7.49</v>
      </c>
      <c r="Z49" s="23">
        <v>5</v>
      </c>
      <c r="AA49" s="28">
        <v>1.498</v>
      </c>
      <c r="AB49" s="24">
        <v>0.1245</v>
      </c>
      <c r="AC49" s="29">
        <v>-89.017500000000013</v>
      </c>
      <c r="AD49" s="30">
        <v>43556</v>
      </c>
      <c r="AE49" s="30">
        <v>43557</v>
      </c>
      <c r="AF49" s="23">
        <v>1</v>
      </c>
      <c r="AG49" s="25" t="s">
        <v>56</v>
      </c>
      <c r="AH49" s="24">
        <v>0</v>
      </c>
      <c r="AI49" s="31">
        <v>0</v>
      </c>
      <c r="AJ49" s="31">
        <v>0</v>
      </c>
      <c r="AK49" s="44">
        <f t="shared" si="0"/>
        <v>661.73250000000007</v>
      </c>
      <c r="AL49">
        <f>VLOOKUP(A49,'[1]prueba con 16mil datos'!$A$1:$AE$804,31,FALSE)</f>
        <v>1501.5</v>
      </c>
      <c r="AM49">
        <f t="shared" si="1"/>
        <v>0</v>
      </c>
      <c r="AO49">
        <f>VLOOKUP(A49,'[1]Prueba con 19mil datos'!$B$1:$AF$1228,31,FALSE)</f>
        <v>1501.5</v>
      </c>
    </row>
    <row r="50" spans="1:44" hidden="1" x14ac:dyDescent="0.25">
      <c r="A50" s="16" t="s">
        <v>2530</v>
      </c>
      <c r="B50" s="15" t="s">
        <v>40</v>
      </c>
      <c r="C50" s="16">
        <v>1</v>
      </c>
      <c r="D50" s="16" t="s">
        <v>400</v>
      </c>
      <c r="E50" s="17" t="s">
        <v>42</v>
      </c>
      <c r="F50" s="18" t="s">
        <v>401</v>
      </c>
      <c r="G50" s="18" t="s">
        <v>402</v>
      </c>
      <c r="H50" s="16" t="s">
        <v>404</v>
      </c>
      <c r="I50" s="19" t="s">
        <v>3</v>
      </c>
      <c r="J50" s="16" t="s">
        <v>12</v>
      </c>
      <c r="K50" s="20" t="s">
        <v>405</v>
      </c>
      <c r="L50" s="20" t="s">
        <v>406</v>
      </c>
      <c r="M50" s="16" t="s">
        <v>407</v>
      </c>
      <c r="N50" s="16">
        <v>0</v>
      </c>
      <c r="O50" s="16" t="s">
        <v>50</v>
      </c>
      <c r="P50" s="20">
        <v>20</v>
      </c>
      <c r="Q50" s="20" t="s">
        <v>119</v>
      </c>
      <c r="R50" s="21" t="s">
        <v>408</v>
      </c>
      <c r="S50" s="22" t="s">
        <v>53</v>
      </c>
      <c r="T50" s="22" t="s">
        <v>54</v>
      </c>
      <c r="U50" s="23" t="s">
        <v>120</v>
      </c>
      <c r="V50" s="24">
        <v>0.6</v>
      </c>
      <c r="W50" s="25">
        <v>429.00000000000006</v>
      </c>
      <c r="X50" s="26">
        <v>1</v>
      </c>
      <c r="Y50" s="27">
        <v>5.08</v>
      </c>
      <c r="Z50" s="23">
        <v>5</v>
      </c>
      <c r="AA50" s="28">
        <v>1.016</v>
      </c>
      <c r="AB50" s="24">
        <v>4.0000000000000036E-3</v>
      </c>
      <c r="AC50" s="29">
        <v>-2.860000000000003</v>
      </c>
      <c r="AD50" s="30">
        <v>43556</v>
      </c>
      <c r="AE50" s="30">
        <v>43557</v>
      </c>
      <c r="AF50" s="23">
        <v>1</v>
      </c>
      <c r="AG50" s="25" t="s">
        <v>56</v>
      </c>
      <c r="AH50" s="24">
        <v>0</v>
      </c>
      <c r="AI50" s="31">
        <v>0</v>
      </c>
      <c r="AJ50" s="31">
        <v>0</v>
      </c>
      <c r="AK50" s="44">
        <f t="shared" si="0"/>
        <v>426.14000000000004</v>
      </c>
      <c r="AL50">
        <f>VLOOKUP(A50,'[1]prueba con 16mil datos'!$A$1:$AE$804,31,FALSE)</f>
        <v>1092</v>
      </c>
      <c r="AM50">
        <f t="shared" si="1"/>
        <v>0</v>
      </c>
      <c r="AO50">
        <f>VLOOKUP(A50,'[1]Prueba con 19mil datos'!$B$1:$AF$1228,31,FALSE)</f>
        <v>1092</v>
      </c>
    </row>
    <row r="51" spans="1:44" hidden="1" x14ac:dyDescent="0.25">
      <c r="A51" s="16" t="s">
        <v>2530</v>
      </c>
      <c r="B51" s="15" t="s">
        <v>40</v>
      </c>
      <c r="C51" s="16">
        <v>1</v>
      </c>
      <c r="D51" s="16" t="s">
        <v>270</v>
      </c>
      <c r="E51" s="17" t="s">
        <v>42</v>
      </c>
      <c r="F51" s="18" t="s">
        <v>271</v>
      </c>
      <c r="G51" s="18" t="s">
        <v>272</v>
      </c>
      <c r="H51" s="16" t="s">
        <v>125</v>
      </c>
      <c r="I51" s="19" t="s">
        <v>3</v>
      </c>
      <c r="J51" s="16" t="s">
        <v>12</v>
      </c>
      <c r="K51" s="20" t="s">
        <v>126</v>
      </c>
      <c r="L51" s="20" t="s">
        <v>127</v>
      </c>
      <c r="M51" s="16" t="s">
        <v>128</v>
      </c>
      <c r="N51" s="16">
        <v>0</v>
      </c>
      <c r="O51" s="16" t="s">
        <v>50</v>
      </c>
      <c r="P51" s="20">
        <v>16</v>
      </c>
      <c r="Q51" s="20" t="s">
        <v>119</v>
      </c>
      <c r="R51" s="21" t="s">
        <v>186</v>
      </c>
      <c r="S51" s="22" t="s">
        <v>187</v>
      </c>
      <c r="T51" s="22" t="s">
        <v>54</v>
      </c>
      <c r="U51" s="23" t="s">
        <v>269</v>
      </c>
      <c r="V51" s="24">
        <v>1.05</v>
      </c>
      <c r="W51" s="25">
        <v>1651.6500000000003</v>
      </c>
      <c r="X51" s="26">
        <v>1</v>
      </c>
      <c r="Y51" s="27">
        <v>1.25</v>
      </c>
      <c r="Z51" s="23">
        <v>4</v>
      </c>
      <c r="AA51" s="28">
        <v>0.3125</v>
      </c>
      <c r="AB51" s="24">
        <v>0</v>
      </c>
      <c r="AC51" s="29">
        <v>0</v>
      </c>
      <c r="AD51" s="30">
        <v>43556</v>
      </c>
      <c r="AE51" s="30">
        <v>43556</v>
      </c>
      <c r="AF51" s="23">
        <v>0</v>
      </c>
      <c r="AG51" s="25" t="s">
        <v>56</v>
      </c>
      <c r="AH51" s="24">
        <v>0</v>
      </c>
      <c r="AI51" s="31">
        <v>0</v>
      </c>
      <c r="AJ51" s="31">
        <v>0</v>
      </c>
      <c r="AK51" s="44">
        <f t="shared" si="0"/>
        <v>1651.6500000000003</v>
      </c>
      <c r="AL51">
        <f>VLOOKUP(A51,'[1]prueba con 16mil datos'!$A$1:$AE$804,31,FALSE)</f>
        <v>1092</v>
      </c>
      <c r="AM51">
        <f t="shared" si="1"/>
        <v>0</v>
      </c>
      <c r="AO51">
        <f>VLOOKUP(A51,'[1]Prueba con 19mil datos'!$B$1:$AF$1228,31,FALSE)</f>
        <v>1092</v>
      </c>
    </row>
    <row r="52" spans="1:44" hidden="1" x14ac:dyDescent="0.25">
      <c r="A52" s="16" t="s">
        <v>831</v>
      </c>
      <c r="B52" s="15" t="s">
        <v>40</v>
      </c>
      <c r="C52" s="16">
        <v>1</v>
      </c>
      <c r="D52" s="16" t="s">
        <v>248</v>
      </c>
      <c r="E52" s="17" t="s">
        <v>42</v>
      </c>
      <c r="F52" s="18" t="s">
        <v>249</v>
      </c>
      <c r="G52" s="18" t="s">
        <v>250</v>
      </c>
      <c r="H52" s="16" t="s">
        <v>207</v>
      </c>
      <c r="I52" s="19" t="s">
        <v>3</v>
      </c>
      <c r="J52" s="16" t="s">
        <v>12</v>
      </c>
      <c r="K52" s="20" t="s">
        <v>252</v>
      </c>
      <c r="L52" s="20" t="s">
        <v>253</v>
      </c>
      <c r="M52" s="16" t="s">
        <v>111</v>
      </c>
      <c r="N52" s="16">
        <v>0</v>
      </c>
      <c r="O52" s="16" t="s">
        <v>50</v>
      </c>
      <c r="P52" s="20">
        <v>2673</v>
      </c>
      <c r="Q52" s="20" t="s">
        <v>51</v>
      </c>
      <c r="R52" s="21" t="s">
        <v>77</v>
      </c>
      <c r="S52" s="22" t="s">
        <v>53</v>
      </c>
      <c r="T52" s="22" t="s">
        <v>54</v>
      </c>
      <c r="U52" s="23" t="s">
        <v>55</v>
      </c>
      <c r="V52" s="24">
        <v>1.05</v>
      </c>
      <c r="W52" s="25">
        <v>750.75000000000011</v>
      </c>
      <c r="X52" s="26">
        <v>1</v>
      </c>
      <c r="Y52" s="27">
        <v>3.46</v>
      </c>
      <c r="Z52" s="23">
        <v>5</v>
      </c>
      <c r="AA52" s="28">
        <v>0.69199999999999995</v>
      </c>
      <c r="AB52" s="24">
        <v>0</v>
      </c>
      <c r="AC52" s="29">
        <v>0</v>
      </c>
      <c r="AD52" s="30">
        <v>43556</v>
      </c>
      <c r="AE52" s="30">
        <v>43556</v>
      </c>
      <c r="AF52" s="23">
        <v>0</v>
      </c>
      <c r="AG52" s="25" t="s">
        <v>56</v>
      </c>
      <c r="AH52" s="24">
        <v>0</v>
      </c>
      <c r="AI52" s="31">
        <v>0</v>
      </c>
      <c r="AJ52" s="31">
        <v>0</v>
      </c>
      <c r="AK52" s="44">
        <f t="shared" si="0"/>
        <v>750.75000000000011</v>
      </c>
      <c r="AL52">
        <f>VLOOKUP(A52,'[1]prueba con 16mil datos'!$A$1:$AE$804,31,FALSE)</f>
        <v>1501.5</v>
      </c>
      <c r="AM52">
        <f t="shared" si="1"/>
        <v>0</v>
      </c>
      <c r="AO52">
        <f>VLOOKUP(A52,'[1]Prueba con 19mil datos'!$B$1:$AF$1228,31,FALSE)</f>
        <v>1501.5</v>
      </c>
    </row>
    <row r="53" spans="1:44" hidden="1" x14ac:dyDescent="0.25">
      <c r="A53" s="16" t="s">
        <v>1883</v>
      </c>
      <c r="B53" s="15" t="s">
        <v>40</v>
      </c>
      <c r="C53" s="16">
        <v>1</v>
      </c>
      <c r="D53" s="16" t="s">
        <v>327</v>
      </c>
      <c r="E53" s="17" t="s">
        <v>42</v>
      </c>
      <c r="F53" s="18" t="s">
        <v>328</v>
      </c>
      <c r="G53" s="18" t="s">
        <v>329</v>
      </c>
      <c r="H53" s="16" t="s">
        <v>331</v>
      </c>
      <c r="I53" s="19" t="s">
        <v>3</v>
      </c>
      <c r="J53" s="16" t="s">
        <v>12</v>
      </c>
      <c r="K53" s="20" t="s">
        <v>332</v>
      </c>
      <c r="L53" s="20" t="s">
        <v>333</v>
      </c>
      <c r="M53" s="16" t="s">
        <v>246</v>
      </c>
      <c r="N53" s="16">
        <v>0</v>
      </c>
      <c r="O53" s="16" t="s">
        <v>50</v>
      </c>
      <c r="P53" s="20">
        <v>2675</v>
      </c>
      <c r="Q53" s="20" t="s">
        <v>51</v>
      </c>
      <c r="R53" s="21" t="s">
        <v>148</v>
      </c>
      <c r="S53" s="22" t="s">
        <v>130</v>
      </c>
      <c r="T53" s="22" t="s">
        <v>54</v>
      </c>
      <c r="U53" s="23" t="s">
        <v>226</v>
      </c>
      <c r="V53" s="24">
        <v>1.1000000000000001</v>
      </c>
      <c r="W53" s="25">
        <v>1501.5000000000002</v>
      </c>
      <c r="X53" s="26">
        <v>1</v>
      </c>
      <c r="Y53" s="27">
        <v>5.95</v>
      </c>
      <c r="Z53" s="23">
        <v>5</v>
      </c>
      <c r="AA53" s="28">
        <v>1.19</v>
      </c>
      <c r="AB53" s="24">
        <v>4.7499999999999987E-2</v>
      </c>
      <c r="AC53" s="29">
        <v>-64.837499999999977</v>
      </c>
      <c r="AD53" s="30">
        <v>43556</v>
      </c>
      <c r="AE53" s="30">
        <v>43556</v>
      </c>
      <c r="AF53" s="23">
        <v>0</v>
      </c>
      <c r="AG53" s="25" t="s">
        <v>56</v>
      </c>
      <c r="AH53" s="24">
        <v>0</v>
      </c>
      <c r="AI53" s="31">
        <v>0</v>
      </c>
      <c r="AJ53" s="31">
        <v>0</v>
      </c>
      <c r="AK53" s="44">
        <f t="shared" si="0"/>
        <v>1436.6625000000004</v>
      </c>
      <c r="AL53">
        <f>VLOOKUP(A53,'[1]prueba con 16mil datos'!$A$1:$AE$804,31,FALSE)</f>
        <v>1501.5</v>
      </c>
      <c r="AM53">
        <f t="shared" si="1"/>
        <v>0</v>
      </c>
      <c r="AO53">
        <f>VLOOKUP(A53,'[1]Prueba con 19mil datos'!$B$1:$AF$1228,31,FALSE)</f>
        <v>1501.5</v>
      </c>
    </row>
    <row r="54" spans="1:44" hidden="1" x14ac:dyDescent="0.25">
      <c r="A54" s="16" t="s">
        <v>2008</v>
      </c>
      <c r="B54" s="15" t="s">
        <v>40</v>
      </c>
      <c r="C54" s="16">
        <v>1</v>
      </c>
      <c r="D54" s="16" t="s">
        <v>217</v>
      </c>
      <c r="E54" s="17" t="s">
        <v>42</v>
      </c>
      <c r="F54" s="18" t="s">
        <v>218</v>
      </c>
      <c r="G54" s="18" t="s">
        <v>219</v>
      </c>
      <c r="H54" s="16" t="s">
        <v>221</v>
      </c>
      <c r="I54" s="19" t="s">
        <v>3</v>
      </c>
      <c r="J54" s="16" t="s">
        <v>12</v>
      </c>
      <c r="K54" s="20" t="s">
        <v>222</v>
      </c>
      <c r="L54" s="20" t="s">
        <v>223</v>
      </c>
      <c r="M54" s="16" t="s">
        <v>224</v>
      </c>
      <c r="N54" s="16">
        <v>0</v>
      </c>
      <c r="O54" s="16" t="s">
        <v>50</v>
      </c>
      <c r="P54" s="20">
        <v>2675</v>
      </c>
      <c r="Q54" s="20" t="s">
        <v>51</v>
      </c>
      <c r="R54" s="21" t="s">
        <v>225</v>
      </c>
      <c r="S54" s="22" t="s">
        <v>130</v>
      </c>
      <c r="T54" s="22" t="s">
        <v>54</v>
      </c>
      <c r="U54" s="23" t="s">
        <v>226</v>
      </c>
      <c r="V54" s="24">
        <v>1.1000000000000001</v>
      </c>
      <c r="W54" s="25">
        <v>1501.5000000000002</v>
      </c>
      <c r="X54" s="26">
        <v>1</v>
      </c>
      <c r="Y54" s="27">
        <v>6.23</v>
      </c>
      <c r="Z54" s="23">
        <v>5</v>
      </c>
      <c r="AA54" s="28">
        <v>1.246</v>
      </c>
      <c r="AB54" s="24">
        <v>6.1499999999999999E-2</v>
      </c>
      <c r="AC54" s="29">
        <v>-83.947500000000005</v>
      </c>
      <c r="AD54" s="30">
        <v>43556</v>
      </c>
      <c r="AE54" s="30">
        <v>43556</v>
      </c>
      <c r="AF54" s="23">
        <v>0</v>
      </c>
      <c r="AG54" s="25" t="s">
        <v>56</v>
      </c>
      <c r="AH54" s="24">
        <v>0</v>
      </c>
      <c r="AI54" s="31">
        <v>0</v>
      </c>
      <c r="AJ54" s="31">
        <v>0</v>
      </c>
      <c r="AK54" s="44">
        <f t="shared" si="0"/>
        <v>1417.5525000000002</v>
      </c>
      <c r="AL54">
        <f>VLOOKUP(A54,'[1]prueba con 16mil datos'!$A$1:$AE$804,31,FALSE)</f>
        <v>1501.5</v>
      </c>
      <c r="AM54">
        <f t="shared" si="1"/>
        <v>0</v>
      </c>
      <c r="AO54">
        <f>VLOOKUP(A54,'[1]Prueba con 19mil datos'!$B$1:$AF$1228,31,FALSE)</f>
        <v>1501.5</v>
      </c>
    </row>
    <row r="55" spans="1:44" hidden="1" x14ac:dyDescent="0.25">
      <c r="A55" s="16" t="s">
        <v>1166</v>
      </c>
      <c r="B55" s="15" t="s">
        <v>40</v>
      </c>
      <c r="C55" s="16">
        <v>1</v>
      </c>
      <c r="D55" s="16" t="s">
        <v>320</v>
      </c>
      <c r="E55" s="17" t="s">
        <v>321</v>
      </c>
      <c r="F55" s="18" t="s">
        <v>90</v>
      </c>
      <c r="G55" s="18" t="s">
        <v>322</v>
      </c>
      <c r="H55" s="16" t="s">
        <v>301</v>
      </c>
      <c r="I55" s="19" t="s">
        <v>3</v>
      </c>
      <c r="J55" s="16" t="s">
        <v>12</v>
      </c>
      <c r="K55" s="20" t="s">
        <v>324</v>
      </c>
      <c r="L55" s="20" t="s">
        <v>325</v>
      </c>
      <c r="M55" s="16" t="s">
        <v>49</v>
      </c>
      <c r="N55" s="16">
        <v>0</v>
      </c>
      <c r="O55" s="16" t="s">
        <v>50</v>
      </c>
      <c r="P55" s="20" t="s">
        <v>326</v>
      </c>
      <c r="Q55" s="20" t="s">
        <v>51</v>
      </c>
      <c r="R55" s="21" t="s">
        <v>77</v>
      </c>
      <c r="S55" s="22" t="s">
        <v>53</v>
      </c>
      <c r="T55" s="22" t="s">
        <v>54</v>
      </c>
      <c r="U55" s="23" t="s">
        <v>55</v>
      </c>
      <c r="V55" s="24">
        <v>1</v>
      </c>
      <c r="W55" s="25">
        <v>1072.5000000000002</v>
      </c>
      <c r="X55" s="26">
        <v>0</v>
      </c>
      <c r="Y55" s="27">
        <v>5</v>
      </c>
      <c r="Z55" s="23">
        <v>5</v>
      </c>
      <c r="AA55" s="28">
        <v>1</v>
      </c>
      <c r="AB55" s="24">
        <v>0</v>
      </c>
      <c r="AC55" s="29">
        <v>0</v>
      </c>
      <c r="AD55" s="30">
        <v>43556</v>
      </c>
      <c r="AE55" s="30">
        <v>43556</v>
      </c>
      <c r="AF55" s="23">
        <v>0</v>
      </c>
      <c r="AG55" s="25" t="s">
        <v>56</v>
      </c>
      <c r="AH55" s="24">
        <v>0</v>
      </c>
      <c r="AI55" s="31">
        <v>0</v>
      </c>
      <c r="AJ55" s="31">
        <v>0</v>
      </c>
      <c r="AK55" s="44">
        <f t="shared" si="0"/>
        <v>1072.5000000000002</v>
      </c>
      <c r="AL55">
        <f>VLOOKUP(A55,'[1]prueba con 16mil datos'!$A$1:$AE$804,31,FALSE)</f>
        <v>1433.25</v>
      </c>
      <c r="AM55">
        <f t="shared" si="1"/>
        <v>0</v>
      </c>
      <c r="AO55">
        <f>VLOOKUP(A55,'[1]Prueba con 19mil datos'!$B$1:$AF$1228,31,FALSE)</f>
        <v>0</v>
      </c>
    </row>
    <row r="56" spans="1:44" x14ac:dyDescent="0.25">
      <c r="A56" s="16" t="s">
        <v>1197</v>
      </c>
      <c r="B56" s="15" t="s">
        <v>40</v>
      </c>
      <c r="C56" s="16">
        <v>1</v>
      </c>
      <c r="D56" s="16" t="s">
        <v>165</v>
      </c>
      <c r="E56" s="17" t="s">
        <v>42</v>
      </c>
      <c r="F56" s="18" t="s">
        <v>140</v>
      </c>
      <c r="G56" s="18" t="s">
        <v>166</v>
      </c>
      <c r="H56" s="16" t="s">
        <v>168</v>
      </c>
      <c r="I56" s="19" t="s">
        <v>3</v>
      </c>
      <c r="J56" s="16" t="s">
        <v>12</v>
      </c>
      <c r="K56" s="20" t="s">
        <v>169</v>
      </c>
      <c r="L56" s="20" t="s">
        <v>170</v>
      </c>
      <c r="M56" s="16" t="s">
        <v>171</v>
      </c>
      <c r="N56" s="16">
        <v>0</v>
      </c>
      <c r="O56" s="16" t="s">
        <v>50</v>
      </c>
      <c r="P56" s="20">
        <v>15</v>
      </c>
      <c r="Q56" s="20" t="s">
        <v>65</v>
      </c>
      <c r="R56" s="21" t="s">
        <v>148</v>
      </c>
      <c r="S56" s="22" t="s">
        <v>130</v>
      </c>
      <c r="T56" s="22" t="s">
        <v>54</v>
      </c>
      <c r="U56" s="23" t="s">
        <v>131</v>
      </c>
      <c r="V56" s="24">
        <v>0.6</v>
      </c>
      <c r="W56" s="25">
        <v>819</v>
      </c>
      <c r="X56" s="26">
        <v>1</v>
      </c>
      <c r="Y56" s="27">
        <v>0</v>
      </c>
      <c r="Z56" s="23">
        <v>5</v>
      </c>
      <c r="AA56" s="28">
        <v>0</v>
      </c>
      <c r="AB56" s="24">
        <v>0</v>
      </c>
      <c r="AC56" s="29">
        <v>0</v>
      </c>
      <c r="AD56" s="30">
        <v>43556</v>
      </c>
      <c r="AE56" s="30">
        <v>43556</v>
      </c>
      <c r="AF56" s="23">
        <v>0</v>
      </c>
      <c r="AG56" s="25" t="s">
        <v>56</v>
      </c>
      <c r="AH56" s="24">
        <v>0</v>
      </c>
      <c r="AI56" s="31">
        <v>0</v>
      </c>
      <c r="AJ56" s="31">
        <v>0</v>
      </c>
      <c r="AK56" s="44">
        <f t="shared" si="0"/>
        <v>819</v>
      </c>
      <c r="AL56" t="e">
        <f>VLOOKUP(A56,'[1]prueba con 16mil datos'!$A$1:$AE$804,31,FALSE)</f>
        <v>#N/A</v>
      </c>
      <c r="AM56" t="e">
        <f t="shared" si="1"/>
        <v>#N/A</v>
      </c>
      <c r="AO56" t="e">
        <f>VLOOKUP(A56,'[1]Prueba con 19mil datos'!$B$1:$AF$1228,31,FALSE)</f>
        <v>#N/A</v>
      </c>
      <c r="AP56" t="s">
        <v>3211</v>
      </c>
      <c r="AQ56" s="48">
        <v>43588.469444444403</v>
      </c>
      <c r="AR56" t="s">
        <v>3209</v>
      </c>
    </row>
    <row r="57" spans="1:44" x14ac:dyDescent="0.25">
      <c r="A57" s="16" t="s">
        <v>1022</v>
      </c>
      <c r="B57" s="15" t="s">
        <v>40</v>
      </c>
      <c r="C57" s="16">
        <v>1</v>
      </c>
      <c r="D57" s="16" t="s">
        <v>158</v>
      </c>
      <c r="E57" s="17" t="s">
        <v>42</v>
      </c>
      <c r="F57" s="18" t="s">
        <v>140</v>
      </c>
      <c r="G57" s="18" t="s">
        <v>159</v>
      </c>
      <c r="H57" s="16" t="s">
        <v>135</v>
      </c>
      <c r="I57" s="19" t="s">
        <v>3</v>
      </c>
      <c r="J57" s="16" t="s">
        <v>12</v>
      </c>
      <c r="K57" s="20" t="s">
        <v>161</v>
      </c>
      <c r="L57" s="20" t="s">
        <v>162</v>
      </c>
      <c r="M57" s="16" t="s">
        <v>163</v>
      </c>
      <c r="N57" s="16">
        <v>1</v>
      </c>
      <c r="O57" s="16" t="s">
        <v>97</v>
      </c>
      <c r="P57" s="20">
        <v>21</v>
      </c>
      <c r="Q57" s="20" t="s">
        <v>119</v>
      </c>
      <c r="R57" s="21" t="s">
        <v>148</v>
      </c>
      <c r="S57" s="22" t="s">
        <v>130</v>
      </c>
      <c r="T57" s="22" t="s">
        <v>54</v>
      </c>
      <c r="U57" s="23" t="s">
        <v>164</v>
      </c>
      <c r="V57" s="24">
        <v>0.8</v>
      </c>
      <c r="W57" s="25">
        <v>0</v>
      </c>
      <c r="X57" s="26">
        <v>1</v>
      </c>
      <c r="Y57" s="27">
        <v>0.72</v>
      </c>
      <c r="Z57" s="23">
        <v>5</v>
      </c>
      <c r="AA57" s="28">
        <v>0.14399999999999999</v>
      </c>
      <c r="AB57" s="24">
        <v>0</v>
      </c>
      <c r="AC57" s="29">
        <v>0</v>
      </c>
      <c r="AD57" s="30">
        <v>43556</v>
      </c>
      <c r="AE57" s="30">
        <v>43556</v>
      </c>
      <c r="AF57" s="23">
        <v>0</v>
      </c>
      <c r="AG57" s="25" t="s">
        <v>56</v>
      </c>
      <c r="AH57" s="24">
        <v>0</v>
      </c>
      <c r="AI57" s="31">
        <v>0</v>
      </c>
      <c r="AJ57" s="31">
        <v>0</v>
      </c>
      <c r="AK57" s="44">
        <f t="shared" si="0"/>
        <v>0</v>
      </c>
      <c r="AL57" t="e">
        <f>VLOOKUP(A57,'[1]prueba con 16mil datos'!$A$1:$AE$804,31,FALSE)</f>
        <v>#N/A</v>
      </c>
      <c r="AM57" t="e">
        <f t="shared" si="1"/>
        <v>#N/A</v>
      </c>
      <c r="AO57" t="e">
        <f>VLOOKUP(A57,'[1]Prueba con 19mil datos'!$B$1:$AF$1228,31,FALSE)</f>
        <v>#N/A</v>
      </c>
      <c r="AP57" t="s">
        <v>3211</v>
      </c>
      <c r="AQ57" s="48">
        <v>43595.519444444399</v>
      </c>
      <c r="AR57" t="s">
        <v>3209</v>
      </c>
    </row>
    <row r="58" spans="1:44" x14ac:dyDescent="0.25">
      <c r="A58" s="16" t="s">
        <v>1022</v>
      </c>
      <c r="B58" s="15" t="s">
        <v>40</v>
      </c>
      <c r="C58" s="16">
        <v>1</v>
      </c>
      <c r="D58" s="16" t="s">
        <v>179</v>
      </c>
      <c r="E58" s="17" t="s">
        <v>42</v>
      </c>
      <c r="F58" s="18" t="s">
        <v>180</v>
      </c>
      <c r="G58" s="18" t="s">
        <v>181</v>
      </c>
      <c r="H58" s="16" t="s">
        <v>183</v>
      </c>
      <c r="I58" s="19" t="s">
        <v>3</v>
      </c>
      <c r="J58" s="16" t="s">
        <v>12</v>
      </c>
      <c r="K58" s="20" t="s">
        <v>126</v>
      </c>
      <c r="L58" s="20" t="s">
        <v>184</v>
      </c>
      <c r="M58" s="16" t="s">
        <v>185</v>
      </c>
      <c r="N58" s="16">
        <v>1</v>
      </c>
      <c r="O58" s="16" t="s">
        <v>50</v>
      </c>
      <c r="P58" s="20">
        <v>39</v>
      </c>
      <c r="Q58" s="20" t="s">
        <v>86</v>
      </c>
      <c r="R58" s="21" t="s">
        <v>186</v>
      </c>
      <c r="S58" s="22" t="s">
        <v>187</v>
      </c>
      <c r="T58" s="22" t="s">
        <v>54</v>
      </c>
      <c r="U58" s="23" t="s">
        <v>188</v>
      </c>
      <c r="V58" s="24">
        <v>1.1000000000000001</v>
      </c>
      <c r="W58" s="25">
        <v>0</v>
      </c>
      <c r="X58" s="26">
        <v>1</v>
      </c>
      <c r="Y58" s="27">
        <v>1.08</v>
      </c>
      <c r="Z58" s="23">
        <v>4</v>
      </c>
      <c r="AA58" s="28">
        <v>0.27</v>
      </c>
      <c r="AB58" s="24">
        <v>0</v>
      </c>
      <c r="AC58" s="29">
        <v>0</v>
      </c>
      <c r="AD58" s="30">
        <v>43556</v>
      </c>
      <c r="AE58" s="30">
        <v>43556</v>
      </c>
      <c r="AF58" s="23">
        <v>0</v>
      </c>
      <c r="AG58" s="25" t="s">
        <v>56</v>
      </c>
      <c r="AH58" s="24">
        <v>0</v>
      </c>
      <c r="AI58" s="31">
        <v>0</v>
      </c>
      <c r="AJ58" s="31">
        <v>0</v>
      </c>
      <c r="AK58" s="44">
        <f t="shared" si="0"/>
        <v>0</v>
      </c>
      <c r="AL58" t="e">
        <f>VLOOKUP(A58,'[1]prueba con 16mil datos'!$A$1:$AE$804,31,FALSE)</f>
        <v>#N/A</v>
      </c>
      <c r="AM58" t="e">
        <f t="shared" si="1"/>
        <v>#N/A</v>
      </c>
      <c r="AO58" t="e">
        <f>VLOOKUP(A58,'[1]Prueba con 19mil datos'!$B$1:$AF$1228,31,FALSE)</f>
        <v>#N/A</v>
      </c>
      <c r="AP58" t="s">
        <v>3211</v>
      </c>
      <c r="AQ58" s="48">
        <v>43595.519444444399</v>
      </c>
      <c r="AR58" t="s">
        <v>3209</v>
      </c>
    </row>
    <row r="59" spans="1:44" hidden="1" x14ac:dyDescent="0.25">
      <c r="A59" s="16" t="s">
        <v>2570</v>
      </c>
      <c r="B59" s="15" t="s">
        <v>40</v>
      </c>
      <c r="C59" s="16">
        <v>1</v>
      </c>
      <c r="D59" s="16" t="s">
        <v>280</v>
      </c>
      <c r="E59" s="17" t="s">
        <v>42</v>
      </c>
      <c r="F59" s="18" t="s">
        <v>281</v>
      </c>
      <c r="G59" s="18" t="s">
        <v>282</v>
      </c>
      <c r="H59" s="16" t="s">
        <v>284</v>
      </c>
      <c r="I59" s="19" t="s">
        <v>3</v>
      </c>
      <c r="J59" s="16" t="s">
        <v>12</v>
      </c>
      <c r="K59" s="20" t="s">
        <v>285</v>
      </c>
      <c r="L59" s="20" t="s">
        <v>286</v>
      </c>
      <c r="M59" s="16" t="s">
        <v>105</v>
      </c>
      <c r="N59" s="16">
        <v>1</v>
      </c>
      <c r="O59" s="16" t="s">
        <v>50</v>
      </c>
      <c r="P59" s="20">
        <v>54</v>
      </c>
      <c r="Q59" s="20" t="s">
        <v>86</v>
      </c>
      <c r="R59" s="21" t="s">
        <v>287</v>
      </c>
      <c r="S59" s="22" t="s">
        <v>288</v>
      </c>
      <c r="T59" s="22" t="s">
        <v>54</v>
      </c>
      <c r="U59" s="23" t="s">
        <v>188</v>
      </c>
      <c r="V59" s="24">
        <v>1.1000000000000001</v>
      </c>
      <c r="W59" s="25">
        <v>0</v>
      </c>
      <c r="X59" s="26">
        <v>1</v>
      </c>
      <c r="Y59" s="27">
        <v>0.53</v>
      </c>
      <c r="Z59" s="23">
        <v>4</v>
      </c>
      <c r="AA59" s="28">
        <v>0.13250000000000001</v>
      </c>
      <c r="AB59" s="24">
        <v>0</v>
      </c>
      <c r="AC59" s="29">
        <v>0</v>
      </c>
      <c r="AD59" s="30">
        <v>43556</v>
      </c>
      <c r="AE59" s="30">
        <v>43556</v>
      </c>
      <c r="AF59" s="23">
        <v>0</v>
      </c>
      <c r="AG59" s="25" t="s">
        <v>56</v>
      </c>
      <c r="AH59" s="24">
        <v>0</v>
      </c>
      <c r="AI59" s="31">
        <v>0</v>
      </c>
      <c r="AJ59" s="31">
        <v>0</v>
      </c>
      <c r="AK59" s="44">
        <f t="shared" si="0"/>
        <v>0</v>
      </c>
      <c r="AL59">
        <f>VLOOKUP(A59,'[1]prueba con 16mil datos'!$A$1:$AE$804,31,FALSE)</f>
        <v>750.75</v>
      </c>
      <c r="AM59">
        <f t="shared" si="1"/>
        <v>0</v>
      </c>
      <c r="AO59">
        <f>VLOOKUP(A59,'[1]Prueba con 19mil datos'!$B$1:$AF$1228,31,FALSE)</f>
        <v>750.75</v>
      </c>
    </row>
    <row r="60" spans="1:44" hidden="1" x14ac:dyDescent="0.25">
      <c r="A60" s="16" t="s">
        <v>2570</v>
      </c>
      <c r="B60" s="15" t="s">
        <v>40</v>
      </c>
      <c r="C60" s="16">
        <v>1</v>
      </c>
      <c r="D60" s="16" t="s">
        <v>409</v>
      </c>
      <c r="E60" s="17" t="s">
        <v>42</v>
      </c>
      <c r="F60" s="18" t="s">
        <v>140</v>
      </c>
      <c r="G60" s="18" t="s">
        <v>410</v>
      </c>
      <c r="H60" s="16" t="s">
        <v>412</v>
      </c>
      <c r="I60" s="19" t="s">
        <v>3</v>
      </c>
      <c r="J60" s="16" t="s">
        <v>12</v>
      </c>
      <c r="K60" s="20" t="s">
        <v>94</v>
      </c>
      <c r="L60" s="20" t="s">
        <v>413</v>
      </c>
      <c r="M60" s="16" t="s">
        <v>414</v>
      </c>
      <c r="N60" s="16">
        <v>1</v>
      </c>
      <c r="O60" s="16" t="s">
        <v>50</v>
      </c>
      <c r="P60" s="20">
        <v>195</v>
      </c>
      <c r="Q60" s="20" t="s">
        <v>51</v>
      </c>
      <c r="R60" s="21" t="s">
        <v>148</v>
      </c>
      <c r="S60" s="22" t="s">
        <v>130</v>
      </c>
      <c r="T60" s="22" t="s">
        <v>54</v>
      </c>
      <c r="U60" s="23" t="s">
        <v>226</v>
      </c>
      <c r="V60" s="24">
        <v>1.1000000000000001</v>
      </c>
      <c r="W60" s="25">
        <v>0</v>
      </c>
      <c r="X60" s="26">
        <v>1</v>
      </c>
      <c r="Y60" s="27">
        <v>1.65</v>
      </c>
      <c r="Z60" s="23">
        <v>5</v>
      </c>
      <c r="AA60" s="28">
        <v>0.32999999999999996</v>
      </c>
      <c r="AB60" s="24">
        <v>0</v>
      </c>
      <c r="AC60" s="29">
        <v>0</v>
      </c>
      <c r="AD60" s="30">
        <v>43556</v>
      </c>
      <c r="AE60" s="30">
        <v>43557</v>
      </c>
      <c r="AF60" s="23">
        <v>1</v>
      </c>
      <c r="AG60" s="25" t="s">
        <v>56</v>
      </c>
      <c r="AH60" s="24">
        <v>0</v>
      </c>
      <c r="AI60" s="31">
        <v>0</v>
      </c>
      <c r="AJ60" s="31">
        <v>0</v>
      </c>
      <c r="AK60" s="44">
        <f t="shared" si="0"/>
        <v>0</v>
      </c>
      <c r="AL60">
        <f>VLOOKUP(A60,'[1]prueba con 16mil datos'!$A$1:$AE$804,31,FALSE)</f>
        <v>750.75</v>
      </c>
      <c r="AM60">
        <f t="shared" si="1"/>
        <v>0</v>
      </c>
      <c r="AO60">
        <f>VLOOKUP(A60,'[1]Prueba con 19mil datos'!$B$1:$AF$1228,31,FALSE)</f>
        <v>750.75</v>
      </c>
    </row>
    <row r="61" spans="1:44" hidden="1" x14ac:dyDescent="0.25">
      <c r="A61" s="16" t="s">
        <v>1700</v>
      </c>
      <c r="B61" s="15" t="s">
        <v>40</v>
      </c>
      <c r="C61" s="16">
        <v>1</v>
      </c>
      <c r="D61" s="16" t="s">
        <v>494</v>
      </c>
      <c r="E61" s="17" t="s">
        <v>42</v>
      </c>
      <c r="F61" s="18" t="s">
        <v>391</v>
      </c>
      <c r="G61" s="18" t="s">
        <v>495</v>
      </c>
      <c r="H61" s="16" t="s">
        <v>243</v>
      </c>
      <c r="I61" s="19" t="s">
        <v>3</v>
      </c>
      <c r="J61" s="16" t="s">
        <v>12</v>
      </c>
      <c r="K61" s="20" t="s">
        <v>198</v>
      </c>
      <c r="L61" s="20" t="s">
        <v>371</v>
      </c>
      <c r="M61" s="16" t="s">
        <v>372</v>
      </c>
      <c r="N61" s="16">
        <v>0</v>
      </c>
      <c r="O61" s="16" t="s">
        <v>50</v>
      </c>
      <c r="P61" s="20">
        <v>77</v>
      </c>
      <c r="Q61" s="20" t="s">
        <v>51</v>
      </c>
      <c r="R61" s="21" t="s">
        <v>129</v>
      </c>
      <c r="S61" s="22" t="s">
        <v>130</v>
      </c>
      <c r="T61" s="22" t="s">
        <v>54</v>
      </c>
      <c r="U61" s="23" t="s">
        <v>226</v>
      </c>
      <c r="V61" s="24">
        <v>1.1000000000000001</v>
      </c>
      <c r="W61" s="25">
        <v>1501.5000000000002</v>
      </c>
      <c r="X61" s="26">
        <v>1</v>
      </c>
      <c r="Y61" s="27">
        <v>1.87</v>
      </c>
      <c r="Z61" s="23">
        <v>5</v>
      </c>
      <c r="AA61" s="28">
        <v>0.374</v>
      </c>
      <c r="AB61" s="24">
        <v>0</v>
      </c>
      <c r="AC61" s="29">
        <v>0</v>
      </c>
      <c r="AD61" s="30">
        <v>43557</v>
      </c>
      <c r="AE61" s="30">
        <v>43557</v>
      </c>
      <c r="AF61" s="23">
        <v>0</v>
      </c>
      <c r="AG61" s="25" t="s">
        <v>56</v>
      </c>
      <c r="AH61" s="24">
        <v>0</v>
      </c>
      <c r="AI61" s="31">
        <v>0</v>
      </c>
      <c r="AJ61" s="31">
        <v>0</v>
      </c>
      <c r="AK61" s="44">
        <f t="shared" si="0"/>
        <v>1501.5000000000002</v>
      </c>
      <c r="AL61">
        <f>VLOOKUP(A61,'[1]prueba con 16mil datos'!$A$1:$AE$804,31,FALSE)</f>
        <v>750.75</v>
      </c>
      <c r="AM61">
        <f t="shared" si="1"/>
        <v>0</v>
      </c>
      <c r="AO61">
        <f>VLOOKUP(A61,'[1]Prueba con 19mil datos'!$B$1:$AF$1228,31,FALSE)</f>
        <v>750.75</v>
      </c>
    </row>
    <row r="62" spans="1:44" hidden="1" x14ac:dyDescent="0.25">
      <c r="A62" s="16" t="s">
        <v>2624</v>
      </c>
      <c r="B62" s="15" t="s">
        <v>40</v>
      </c>
      <c r="C62" s="16">
        <v>1</v>
      </c>
      <c r="D62" s="16" t="s">
        <v>465</v>
      </c>
      <c r="E62" s="17" t="s">
        <v>42</v>
      </c>
      <c r="F62" s="18" t="s">
        <v>391</v>
      </c>
      <c r="G62" s="18" t="s">
        <v>466</v>
      </c>
      <c r="H62" s="16" t="s">
        <v>192</v>
      </c>
      <c r="I62" s="19" t="s">
        <v>3</v>
      </c>
      <c r="J62" s="16" t="s">
        <v>12</v>
      </c>
      <c r="K62" s="20" t="s">
        <v>198</v>
      </c>
      <c r="L62" s="20" t="s">
        <v>468</v>
      </c>
      <c r="M62" s="16" t="s">
        <v>469</v>
      </c>
      <c r="N62" s="16">
        <v>0</v>
      </c>
      <c r="O62" s="16" t="s">
        <v>50</v>
      </c>
      <c r="P62" s="20">
        <v>7</v>
      </c>
      <c r="Q62" s="20" t="s">
        <v>65</v>
      </c>
      <c r="R62" s="21" t="s">
        <v>129</v>
      </c>
      <c r="S62" s="22" t="s">
        <v>130</v>
      </c>
      <c r="T62" s="22" t="s">
        <v>54</v>
      </c>
      <c r="U62" s="23" t="s">
        <v>131</v>
      </c>
      <c r="V62" s="24">
        <v>0.6</v>
      </c>
      <c r="W62" s="25">
        <v>819</v>
      </c>
      <c r="X62" s="26">
        <v>1</v>
      </c>
      <c r="Y62" s="27">
        <v>0.38</v>
      </c>
      <c r="Z62" s="23">
        <v>5</v>
      </c>
      <c r="AA62" s="28">
        <v>7.5999999999999998E-2</v>
      </c>
      <c r="AB62" s="24">
        <v>0</v>
      </c>
      <c r="AC62" s="29">
        <v>0</v>
      </c>
      <c r="AD62" s="30">
        <v>43557</v>
      </c>
      <c r="AE62" s="30">
        <v>43557</v>
      </c>
      <c r="AF62" s="23">
        <v>0</v>
      </c>
      <c r="AG62" s="25" t="s">
        <v>56</v>
      </c>
      <c r="AH62" s="24">
        <v>0</v>
      </c>
      <c r="AI62" s="31">
        <v>0</v>
      </c>
      <c r="AJ62" s="31">
        <v>0</v>
      </c>
      <c r="AK62" s="44">
        <f t="shared" si="0"/>
        <v>819</v>
      </c>
      <c r="AL62" t="e">
        <f>VLOOKUP(A62,'[1]prueba con 16mil datos'!$A$1:$AE$804,31,FALSE)</f>
        <v>#N/A</v>
      </c>
      <c r="AM62" t="e">
        <f t="shared" si="1"/>
        <v>#N/A</v>
      </c>
      <c r="AO62">
        <f>VLOOKUP(A62,'[1]Prueba con 19mil datos'!$B$1:$AF$1228,31,FALSE)</f>
        <v>0</v>
      </c>
    </row>
    <row r="63" spans="1:44" x14ac:dyDescent="0.25">
      <c r="A63" s="16" t="s">
        <v>152</v>
      </c>
      <c r="B63" s="15" t="s">
        <v>40</v>
      </c>
      <c r="C63" s="16">
        <v>1</v>
      </c>
      <c r="D63" s="16" t="s">
        <v>583</v>
      </c>
      <c r="E63" s="17" t="s">
        <v>42</v>
      </c>
      <c r="F63" s="18" t="s">
        <v>391</v>
      </c>
      <c r="G63" s="18" t="s">
        <v>584</v>
      </c>
      <c r="H63" s="16" t="s">
        <v>192</v>
      </c>
      <c r="I63" s="19" t="s">
        <v>3</v>
      </c>
      <c r="J63" s="16" t="s">
        <v>12</v>
      </c>
      <c r="K63" s="20" t="s">
        <v>198</v>
      </c>
      <c r="L63" s="20" t="s">
        <v>586</v>
      </c>
      <c r="M63" s="16" t="s">
        <v>118</v>
      </c>
      <c r="N63" s="16">
        <v>0</v>
      </c>
      <c r="O63" s="16" t="s">
        <v>50</v>
      </c>
      <c r="P63" s="20">
        <v>22</v>
      </c>
      <c r="Q63" s="20" t="s">
        <v>119</v>
      </c>
      <c r="R63" s="21" t="s">
        <v>129</v>
      </c>
      <c r="S63" s="22" t="s">
        <v>130</v>
      </c>
      <c r="T63" s="22" t="s">
        <v>54</v>
      </c>
      <c r="U63" s="23" t="s">
        <v>164</v>
      </c>
      <c r="V63" s="24">
        <v>0.8</v>
      </c>
      <c r="W63" s="25">
        <v>1092</v>
      </c>
      <c r="X63" s="26">
        <v>1</v>
      </c>
      <c r="Y63" s="27">
        <v>0.5</v>
      </c>
      <c r="Z63" s="23">
        <v>5</v>
      </c>
      <c r="AA63" s="28">
        <v>0.1</v>
      </c>
      <c r="AB63" s="24">
        <v>0</v>
      </c>
      <c r="AC63" s="29">
        <v>0</v>
      </c>
      <c r="AD63" s="30">
        <v>43557</v>
      </c>
      <c r="AE63" s="30">
        <v>43557</v>
      </c>
      <c r="AF63" s="23">
        <v>0</v>
      </c>
      <c r="AG63" s="25" t="s">
        <v>56</v>
      </c>
      <c r="AH63" s="24">
        <v>0</v>
      </c>
      <c r="AI63" s="31">
        <v>0</v>
      </c>
      <c r="AJ63" s="31">
        <v>0</v>
      </c>
      <c r="AK63" s="44">
        <f t="shared" si="0"/>
        <v>1092</v>
      </c>
      <c r="AL63" t="e">
        <f>VLOOKUP(A63,'[1]prueba con 16mil datos'!$A$1:$AE$804,31,FALSE)</f>
        <v>#N/A</v>
      </c>
      <c r="AM63" t="e">
        <f t="shared" si="1"/>
        <v>#N/A</v>
      </c>
      <c r="AO63" t="e">
        <f>VLOOKUP(A63,'[1]Prueba con 19mil datos'!$B$1:$AF$1228,31,FALSE)</f>
        <v>#N/A</v>
      </c>
      <c r="AP63" t="s">
        <v>3211</v>
      </c>
      <c r="AQ63" s="48">
        <v>43553.672222222202</v>
      </c>
      <c r="AR63" t="s">
        <v>3209</v>
      </c>
    </row>
    <row r="64" spans="1:44" hidden="1" x14ac:dyDescent="0.25">
      <c r="A64" s="16" t="s">
        <v>1677</v>
      </c>
      <c r="B64" s="15" t="s">
        <v>40</v>
      </c>
      <c r="C64" s="16">
        <v>1</v>
      </c>
      <c r="D64" s="16" t="s">
        <v>618</v>
      </c>
      <c r="E64" s="17" t="s">
        <v>42</v>
      </c>
      <c r="F64" s="18" t="s">
        <v>90</v>
      </c>
      <c r="G64" s="18" t="s">
        <v>619</v>
      </c>
      <c r="H64" s="16" t="s">
        <v>621</v>
      </c>
      <c r="I64" s="19" t="s">
        <v>3</v>
      </c>
      <c r="J64" s="16" t="s">
        <v>12</v>
      </c>
      <c r="K64" s="20" t="s">
        <v>622</v>
      </c>
      <c r="L64" s="20" t="s">
        <v>623</v>
      </c>
      <c r="M64" s="16" t="s">
        <v>447</v>
      </c>
      <c r="N64" s="16">
        <v>0</v>
      </c>
      <c r="O64" s="16" t="s">
        <v>50</v>
      </c>
      <c r="P64" s="20">
        <v>2674</v>
      </c>
      <c r="Q64" s="20" t="s">
        <v>51</v>
      </c>
      <c r="R64" s="21" t="s">
        <v>77</v>
      </c>
      <c r="S64" s="22" t="s">
        <v>53</v>
      </c>
      <c r="T64" s="22" t="s">
        <v>54</v>
      </c>
      <c r="U64" s="23" t="s">
        <v>55</v>
      </c>
      <c r="V64" s="24">
        <v>1.05</v>
      </c>
      <c r="W64" s="25">
        <v>750.75000000000011</v>
      </c>
      <c r="X64" s="26">
        <v>1</v>
      </c>
      <c r="Y64" s="27">
        <v>9</v>
      </c>
      <c r="Z64" s="23">
        <v>5</v>
      </c>
      <c r="AA64" s="28">
        <v>1.8</v>
      </c>
      <c r="AB64" s="24">
        <v>0.2</v>
      </c>
      <c r="AC64" s="29">
        <v>-143.00000000000003</v>
      </c>
      <c r="AD64" s="30">
        <v>43557</v>
      </c>
      <c r="AE64" s="30">
        <v>43558</v>
      </c>
      <c r="AF64" s="23">
        <v>1</v>
      </c>
      <c r="AG64" s="25" t="s">
        <v>56</v>
      </c>
      <c r="AH64" s="24">
        <v>0</v>
      </c>
      <c r="AI64" s="31">
        <v>0</v>
      </c>
      <c r="AJ64" s="31">
        <v>0</v>
      </c>
      <c r="AK64" s="44">
        <f t="shared" si="0"/>
        <v>607.75000000000011</v>
      </c>
      <c r="AL64" t="e">
        <f>VLOOKUP(A64,'[1]prueba con 16mil datos'!$A$1:$AE$804,31,FALSE)</f>
        <v>#N/A</v>
      </c>
      <c r="AM64" t="e">
        <f t="shared" si="1"/>
        <v>#N/A</v>
      </c>
      <c r="AO64">
        <f>VLOOKUP(A64,'[1]Prueba con 19mil datos'!$B$1:$AF$1228,31,FALSE)</f>
        <v>0</v>
      </c>
    </row>
    <row r="65" spans="1:41" hidden="1" x14ac:dyDescent="0.25">
      <c r="A65" s="16" t="s">
        <v>1830</v>
      </c>
      <c r="B65" s="15" t="s">
        <v>40</v>
      </c>
      <c r="C65" s="16">
        <v>1</v>
      </c>
      <c r="D65" s="16" t="s">
        <v>578</v>
      </c>
      <c r="E65" s="17" t="s">
        <v>42</v>
      </c>
      <c r="F65" s="18" t="s">
        <v>579</v>
      </c>
      <c r="G65" s="18" t="s">
        <v>580</v>
      </c>
      <c r="H65" s="16" t="s">
        <v>236</v>
      </c>
      <c r="I65" s="19" t="s">
        <v>3</v>
      </c>
      <c r="J65" s="16" t="s">
        <v>12</v>
      </c>
      <c r="K65" s="20" t="s">
        <v>237</v>
      </c>
      <c r="L65" s="20" t="s">
        <v>582</v>
      </c>
      <c r="M65" s="16" t="s">
        <v>105</v>
      </c>
      <c r="N65" s="16">
        <v>0</v>
      </c>
      <c r="O65" s="16" t="s">
        <v>50</v>
      </c>
      <c r="P65" s="20">
        <v>48</v>
      </c>
      <c r="Q65" s="20" t="s">
        <v>86</v>
      </c>
      <c r="R65" s="21" t="s">
        <v>77</v>
      </c>
      <c r="S65" s="22" t="s">
        <v>53</v>
      </c>
      <c r="T65" s="22" t="s">
        <v>54</v>
      </c>
      <c r="U65" s="23" t="s">
        <v>88</v>
      </c>
      <c r="V65" s="24">
        <v>0.8</v>
      </c>
      <c r="W65" s="25">
        <v>572.00000000000011</v>
      </c>
      <c r="X65" s="26">
        <v>1</v>
      </c>
      <c r="Y65" s="27">
        <v>2.88</v>
      </c>
      <c r="Z65" s="23">
        <v>5</v>
      </c>
      <c r="AA65" s="28">
        <v>0.57599999999999996</v>
      </c>
      <c r="AB65" s="24">
        <v>0</v>
      </c>
      <c r="AC65" s="29">
        <v>0</v>
      </c>
      <c r="AD65" s="30">
        <v>43557</v>
      </c>
      <c r="AE65" s="30">
        <v>43557</v>
      </c>
      <c r="AF65" s="23">
        <v>0</v>
      </c>
      <c r="AG65" s="25" t="s">
        <v>56</v>
      </c>
      <c r="AH65" s="24">
        <v>0</v>
      </c>
      <c r="AI65" s="31">
        <v>0</v>
      </c>
      <c r="AJ65" s="31">
        <v>0</v>
      </c>
      <c r="AK65" s="44">
        <f t="shared" si="0"/>
        <v>572.00000000000011</v>
      </c>
      <c r="AL65" t="e">
        <f>VLOOKUP(A65,'[1]prueba con 16mil datos'!$A$1:$AE$804,31,FALSE)</f>
        <v>#N/A</v>
      </c>
      <c r="AM65" t="e">
        <f t="shared" si="1"/>
        <v>#N/A</v>
      </c>
      <c r="AO65">
        <f>VLOOKUP(A65,'[1]Prueba con 19mil datos'!$B$1:$AF$1228,31,FALSE)</f>
        <v>0</v>
      </c>
    </row>
    <row r="66" spans="1:41" hidden="1" x14ac:dyDescent="0.25">
      <c r="A66" s="16" t="s">
        <v>1519</v>
      </c>
      <c r="B66" s="15" t="s">
        <v>40</v>
      </c>
      <c r="C66" s="16">
        <v>1</v>
      </c>
      <c r="D66" s="16" t="s">
        <v>507</v>
      </c>
      <c r="E66" s="17" t="s">
        <v>42</v>
      </c>
      <c r="F66" s="18" t="s">
        <v>508</v>
      </c>
      <c r="G66" s="18" t="s">
        <v>509</v>
      </c>
      <c r="H66" s="16" t="s">
        <v>125</v>
      </c>
      <c r="I66" s="19" t="s">
        <v>3</v>
      </c>
      <c r="J66" s="16" t="s">
        <v>12</v>
      </c>
      <c r="K66" s="20" t="s">
        <v>511</v>
      </c>
      <c r="L66" s="20" t="s">
        <v>512</v>
      </c>
      <c r="M66" s="16" t="s">
        <v>105</v>
      </c>
      <c r="N66" s="16">
        <v>0</v>
      </c>
      <c r="O66" s="16" t="s">
        <v>50</v>
      </c>
      <c r="P66" s="20">
        <v>253</v>
      </c>
      <c r="Q66" s="20" t="s">
        <v>51</v>
      </c>
      <c r="R66" s="21" t="s">
        <v>148</v>
      </c>
      <c r="S66" s="22" t="s">
        <v>130</v>
      </c>
      <c r="T66" s="22" t="s">
        <v>54</v>
      </c>
      <c r="U66" s="23" t="s">
        <v>226</v>
      </c>
      <c r="V66" s="24">
        <v>1.1000000000000001</v>
      </c>
      <c r="W66" s="25">
        <v>1501.5000000000002</v>
      </c>
      <c r="X66" s="26">
        <v>1</v>
      </c>
      <c r="Y66" s="27">
        <v>2.0499999999999998</v>
      </c>
      <c r="Z66" s="23">
        <v>5</v>
      </c>
      <c r="AA66" s="28">
        <v>0.41</v>
      </c>
      <c r="AB66" s="24">
        <v>0</v>
      </c>
      <c r="AC66" s="29">
        <v>0</v>
      </c>
      <c r="AD66" s="30">
        <v>43557</v>
      </c>
      <c r="AE66" s="30">
        <v>43557</v>
      </c>
      <c r="AF66" s="23">
        <v>0</v>
      </c>
      <c r="AG66" s="25" t="s">
        <v>56</v>
      </c>
      <c r="AH66" s="24">
        <v>0</v>
      </c>
      <c r="AI66" s="31">
        <v>0</v>
      </c>
      <c r="AJ66" s="31">
        <v>0</v>
      </c>
      <c r="AK66" s="44">
        <f t="shared" ref="AK66:AK129" si="2">+W66+AC66</f>
        <v>1501.5000000000002</v>
      </c>
      <c r="AL66">
        <f>VLOOKUP(A66,'[1]prueba con 16mil datos'!$A$1:$AE$804,31,FALSE)</f>
        <v>750.75</v>
      </c>
      <c r="AM66">
        <f t="shared" ref="AM66:AM129" si="3">IF(AK66=AL66,1,0)</f>
        <v>0</v>
      </c>
      <c r="AO66">
        <f>VLOOKUP(A66,'[1]Prueba con 19mil datos'!$B$1:$AF$1228,31,FALSE)</f>
        <v>0</v>
      </c>
    </row>
    <row r="67" spans="1:41" hidden="1" x14ac:dyDescent="0.25">
      <c r="A67" s="16" t="s">
        <v>1904</v>
      </c>
      <c r="B67" s="15" t="s">
        <v>40</v>
      </c>
      <c r="C67" s="16">
        <v>1</v>
      </c>
      <c r="D67" s="16" t="s">
        <v>610</v>
      </c>
      <c r="E67" s="17" t="s">
        <v>42</v>
      </c>
      <c r="F67" s="18" t="s">
        <v>275</v>
      </c>
      <c r="G67" s="18" t="s">
        <v>611</v>
      </c>
      <c r="H67" s="16" t="s">
        <v>73</v>
      </c>
      <c r="I67" s="19" t="s">
        <v>3</v>
      </c>
      <c r="J67" s="16" t="s">
        <v>12</v>
      </c>
      <c r="K67" s="20" t="s">
        <v>126</v>
      </c>
      <c r="L67" s="20" t="s">
        <v>422</v>
      </c>
      <c r="M67" s="16" t="s">
        <v>76</v>
      </c>
      <c r="N67" s="16">
        <v>0</v>
      </c>
      <c r="O67" s="16" t="s">
        <v>50</v>
      </c>
      <c r="P67" s="20">
        <v>21</v>
      </c>
      <c r="Q67" s="20" t="s">
        <v>119</v>
      </c>
      <c r="R67" s="21" t="s">
        <v>279</v>
      </c>
      <c r="S67" s="22" t="s">
        <v>187</v>
      </c>
      <c r="T67" s="22" t="s">
        <v>54</v>
      </c>
      <c r="U67" s="23" t="s">
        <v>269</v>
      </c>
      <c r="V67" s="24">
        <v>1.05</v>
      </c>
      <c r="W67" s="25">
        <v>1651.6500000000003</v>
      </c>
      <c r="X67" s="26">
        <v>1</v>
      </c>
      <c r="Y67" s="27">
        <v>1.1000000000000001</v>
      </c>
      <c r="Z67" s="23">
        <v>4</v>
      </c>
      <c r="AA67" s="28">
        <v>0.27500000000000002</v>
      </c>
      <c r="AB67" s="24">
        <v>0</v>
      </c>
      <c r="AC67" s="29">
        <v>0</v>
      </c>
      <c r="AD67" s="30">
        <v>43557</v>
      </c>
      <c r="AE67" s="30">
        <v>43558</v>
      </c>
      <c r="AF67" s="23">
        <v>1</v>
      </c>
      <c r="AG67" s="25" t="s">
        <v>56</v>
      </c>
      <c r="AH67" s="24">
        <v>0</v>
      </c>
      <c r="AI67" s="31">
        <v>0</v>
      </c>
      <c r="AJ67" s="31">
        <v>0</v>
      </c>
      <c r="AK67" s="44">
        <f t="shared" si="2"/>
        <v>1651.6500000000003</v>
      </c>
      <c r="AL67">
        <f>VLOOKUP(A67,'[1]prueba con 16mil datos'!$A$1:$AE$804,31,FALSE)</f>
        <v>750.75</v>
      </c>
      <c r="AM67">
        <f t="shared" si="3"/>
        <v>0</v>
      </c>
      <c r="AO67">
        <f>VLOOKUP(A67,'[1]Prueba con 19mil datos'!$B$1:$AF$1228,31,FALSE)</f>
        <v>750.75</v>
      </c>
    </row>
    <row r="68" spans="1:41" hidden="1" x14ac:dyDescent="0.25">
      <c r="A68" s="16" t="s">
        <v>1224</v>
      </c>
      <c r="B68" s="15" t="s">
        <v>40</v>
      </c>
      <c r="C68" s="16">
        <v>1</v>
      </c>
      <c r="D68" s="16" t="s">
        <v>460</v>
      </c>
      <c r="E68" s="17" t="s">
        <v>42</v>
      </c>
      <c r="F68" s="18" t="s">
        <v>275</v>
      </c>
      <c r="G68" s="18" t="s">
        <v>461</v>
      </c>
      <c r="H68" s="16" t="s">
        <v>463</v>
      </c>
      <c r="I68" s="19" t="s">
        <v>3</v>
      </c>
      <c r="J68" s="16" t="s">
        <v>12</v>
      </c>
      <c r="K68" s="20" t="s">
        <v>126</v>
      </c>
      <c r="L68" s="20" t="s">
        <v>464</v>
      </c>
      <c r="M68" s="16" t="s">
        <v>76</v>
      </c>
      <c r="N68" s="16">
        <v>0</v>
      </c>
      <c r="O68" s="16" t="s">
        <v>50</v>
      </c>
      <c r="P68" s="20">
        <v>7</v>
      </c>
      <c r="Q68" s="20" t="s">
        <v>65</v>
      </c>
      <c r="R68" s="21" t="s">
        <v>279</v>
      </c>
      <c r="S68" s="22" t="s">
        <v>187</v>
      </c>
      <c r="T68" s="22" t="s">
        <v>54</v>
      </c>
      <c r="U68" s="23" t="s">
        <v>201</v>
      </c>
      <c r="V68" s="24">
        <v>0.8</v>
      </c>
      <c r="W68" s="25">
        <v>1258.4000000000003</v>
      </c>
      <c r="X68" s="26">
        <v>1</v>
      </c>
      <c r="Y68" s="27">
        <v>1.01</v>
      </c>
      <c r="Z68" s="23">
        <v>4</v>
      </c>
      <c r="AA68" s="28">
        <v>0.2525</v>
      </c>
      <c r="AB68" s="24">
        <v>0</v>
      </c>
      <c r="AC68" s="29">
        <v>0</v>
      </c>
      <c r="AD68" s="30">
        <v>43557</v>
      </c>
      <c r="AE68" s="30">
        <v>43557</v>
      </c>
      <c r="AF68" s="23">
        <v>0</v>
      </c>
      <c r="AG68" s="25" t="s">
        <v>56</v>
      </c>
      <c r="AH68" s="24">
        <v>0</v>
      </c>
      <c r="AI68" s="31">
        <v>0</v>
      </c>
      <c r="AJ68" s="31">
        <v>0</v>
      </c>
      <c r="AK68" s="44">
        <f t="shared" si="2"/>
        <v>1258.4000000000003</v>
      </c>
      <c r="AL68">
        <f>VLOOKUP(A68,'[1]prueba con 16mil datos'!$A$1:$AE$804,31,FALSE)</f>
        <v>750.75</v>
      </c>
      <c r="AM68">
        <f t="shared" si="3"/>
        <v>0</v>
      </c>
      <c r="AO68">
        <f>VLOOKUP(A68,'[1]Prueba con 19mil datos'!$B$1:$AF$1228,31,FALSE)</f>
        <v>750.75</v>
      </c>
    </row>
    <row r="69" spans="1:41" hidden="1" x14ac:dyDescent="0.25">
      <c r="A69" s="16" t="s">
        <v>1241</v>
      </c>
      <c r="B69" s="15" t="s">
        <v>40</v>
      </c>
      <c r="C69" s="16">
        <v>1</v>
      </c>
      <c r="D69" s="16" t="s">
        <v>497</v>
      </c>
      <c r="E69" s="17" t="s">
        <v>42</v>
      </c>
      <c r="F69" s="18" t="s">
        <v>275</v>
      </c>
      <c r="G69" s="18" t="s">
        <v>498</v>
      </c>
      <c r="H69" s="16" t="s">
        <v>463</v>
      </c>
      <c r="I69" s="19" t="s">
        <v>3</v>
      </c>
      <c r="J69" s="16" t="s">
        <v>12</v>
      </c>
      <c r="K69" s="20" t="s">
        <v>126</v>
      </c>
      <c r="L69" s="20" t="s">
        <v>422</v>
      </c>
      <c r="M69" s="16" t="s">
        <v>76</v>
      </c>
      <c r="N69" s="16">
        <v>0</v>
      </c>
      <c r="O69" s="16" t="s">
        <v>50</v>
      </c>
      <c r="P69" s="20">
        <v>20</v>
      </c>
      <c r="Q69" s="20" t="s">
        <v>119</v>
      </c>
      <c r="R69" s="21" t="s">
        <v>279</v>
      </c>
      <c r="S69" s="22" t="s">
        <v>187</v>
      </c>
      <c r="T69" s="22" t="s">
        <v>54</v>
      </c>
      <c r="U69" s="23" t="s">
        <v>269</v>
      </c>
      <c r="V69" s="24">
        <v>1.05</v>
      </c>
      <c r="W69" s="25">
        <v>1651.6500000000003</v>
      </c>
      <c r="X69" s="26">
        <v>1</v>
      </c>
      <c r="Y69" s="27">
        <v>1.33</v>
      </c>
      <c r="Z69" s="23">
        <v>4</v>
      </c>
      <c r="AA69" s="28">
        <v>0.33250000000000002</v>
      </c>
      <c r="AB69" s="24">
        <v>0</v>
      </c>
      <c r="AC69" s="29">
        <v>0</v>
      </c>
      <c r="AD69" s="30">
        <v>43557</v>
      </c>
      <c r="AE69" s="30">
        <v>43557</v>
      </c>
      <c r="AF69" s="23">
        <v>0</v>
      </c>
      <c r="AG69" s="25" t="s">
        <v>56</v>
      </c>
      <c r="AH69" s="24">
        <v>0</v>
      </c>
      <c r="AI69" s="31">
        <v>0</v>
      </c>
      <c r="AJ69" s="31">
        <v>0</v>
      </c>
      <c r="AK69" s="44">
        <f t="shared" si="2"/>
        <v>1651.6500000000003</v>
      </c>
      <c r="AL69">
        <f>VLOOKUP(A69,'[1]prueba con 16mil datos'!$A$1:$AE$804,31,FALSE)</f>
        <v>750.75</v>
      </c>
      <c r="AM69">
        <f t="shared" si="3"/>
        <v>0</v>
      </c>
      <c r="AO69">
        <f>VLOOKUP(A69,'[1]Prueba con 19mil datos'!$B$1:$AF$1228,31,FALSE)</f>
        <v>750.75</v>
      </c>
    </row>
    <row r="70" spans="1:41" hidden="1" x14ac:dyDescent="0.25">
      <c r="A70" s="16" t="s">
        <v>905</v>
      </c>
      <c r="B70" s="15" t="s">
        <v>40</v>
      </c>
      <c r="C70" s="16">
        <v>1</v>
      </c>
      <c r="D70" s="16" t="s">
        <v>533</v>
      </c>
      <c r="E70" s="17" t="s">
        <v>42</v>
      </c>
      <c r="F70" s="18" t="s">
        <v>275</v>
      </c>
      <c r="G70" s="18" t="s">
        <v>534</v>
      </c>
      <c r="H70" s="16" t="s">
        <v>143</v>
      </c>
      <c r="I70" s="19" t="s">
        <v>3</v>
      </c>
      <c r="J70" s="16" t="s">
        <v>12</v>
      </c>
      <c r="K70" s="20" t="s">
        <v>126</v>
      </c>
      <c r="L70" s="20" t="s">
        <v>366</v>
      </c>
      <c r="M70" s="16" t="s">
        <v>367</v>
      </c>
      <c r="N70" s="16">
        <v>0</v>
      </c>
      <c r="O70" s="16" t="s">
        <v>50</v>
      </c>
      <c r="P70" s="20">
        <v>14</v>
      </c>
      <c r="Q70" s="20" t="s">
        <v>65</v>
      </c>
      <c r="R70" s="21" t="s">
        <v>279</v>
      </c>
      <c r="S70" s="22" t="s">
        <v>187</v>
      </c>
      <c r="T70" s="22" t="s">
        <v>54</v>
      </c>
      <c r="U70" s="23" t="s">
        <v>201</v>
      </c>
      <c r="V70" s="24">
        <v>0.8</v>
      </c>
      <c r="W70" s="25">
        <v>1258.4000000000003</v>
      </c>
      <c r="X70" s="26">
        <v>1</v>
      </c>
      <c r="Y70" s="27">
        <v>3.32</v>
      </c>
      <c r="Z70" s="23">
        <v>4</v>
      </c>
      <c r="AA70" s="28">
        <v>0.83</v>
      </c>
      <c r="AB70" s="24">
        <v>0</v>
      </c>
      <c r="AC70" s="29">
        <v>0</v>
      </c>
      <c r="AD70" s="30">
        <v>43557</v>
      </c>
      <c r="AE70" s="30">
        <v>43557</v>
      </c>
      <c r="AF70" s="23">
        <v>0</v>
      </c>
      <c r="AG70" s="25" t="s">
        <v>56</v>
      </c>
      <c r="AH70" s="24">
        <v>0</v>
      </c>
      <c r="AI70" s="31">
        <v>0</v>
      </c>
      <c r="AJ70" s="31">
        <v>0</v>
      </c>
      <c r="AK70" s="44">
        <f t="shared" si="2"/>
        <v>1258.4000000000003</v>
      </c>
      <c r="AL70">
        <f>VLOOKUP(A70,'[1]prueba con 16mil datos'!$A$1:$AE$804,31,FALSE)</f>
        <v>750.75</v>
      </c>
      <c r="AM70">
        <f t="shared" si="3"/>
        <v>0</v>
      </c>
      <c r="AO70">
        <f>VLOOKUP(A70,'[1]Prueba con 19mil datos'!$B$1:$AF$1228,31,FALSE)</f>
        <v>750.75</v>
      </c>
    </row>
    <row r="71" spans="1:41" hidden="1" x14ac:dyDescent="0.25">
      <c r="A71" s="16" t="s">
        <v>2893</v>
      </c>
      <c r="B71" s="15" t="s">
        <v>40</v>
      </c>
      <c r="C71" s="16">
        <v>1</v>
      </c>
      <c r="D71" s="16" t="s">
        <v>513</v>
      </c>
      <c r="E71" s="17" t="s">
        <v>42</v>
      </c>
      <c r="F71" s="18" t="s">
        <v>70</v>
      </c>
      <c r="G71" s="18" t="s">
        <v>514</v>
      </c>
      <c r="H71" s="16" t="s">
        <v>516</v>
      </c>
      <c r="I71" s="19" t="s">
        <v>3</v>
      </c>
      <c r="J71" s="16" t="s">
        <v>12</v>
      </c>
      <c r="K71" s="20" t="s">
        <v>74</v>
      </c>
      <c r="L71" s="20" t="s">
        <v>517</v>
      </c>
      <c r="M71" s="16" t="s">
        <v>518</v>
      </c>
      <c r="N71" s="16">
        <v>0</v>
      </c>
      <c r="O71" s="16" t="s">
        <v>50</v>
      </c>
      <c r="P71" s="20">
        <v>754</v>
      </c>
      <c r="Q71" s="20" t="s">
        <v>51</v>
      </c>
      <c r="R71" s="21" t="s">
        <v>77</v>
      </c>
      <c r="S71" s="22" t="s">
        <v>53</v>
      </c>
      <c r="T71" s="22" t="s">
        <v>54</v>
      </c>
      <c r="U71" s="23" t="s">
        <v>55</v>
      </c>
      <c r="V71" s="24">
        <v>1.05</v>
      </c>
      <c r="W71" s="25">
        <v>750.75000000000011</v>
      </c>
      <c r="X71" s="26">
        <v>1</v>
      </c>
      <c r="Y71" s="27">
        <v>0</v>
      </c>
      <c r="Z71" s="23">
        <v>5</v>
      </c>
      <c r="AA71" s="28">
        <v>0</v>
      </c>
      <c r="AB71" s="24">
        <v>0</v>
      </c>
      <c r="AC71" s="29">
        <v>0</v>
      </c>
      <c r="AD71" s="30">
        <v>43557</v>
      </c>
      <c r="AE71" s="30">
        <v>43557</v>
      </c>
      <c r="AF71" s="23">
        <v>0</v>
      </c>
      <c r="AG71" s="25" t="s">
        <v>56</v>
      </c>
      <c r="AH71" s="24">
        <v>0</v>
      </c>
      <c r="AI71" s="31">
        <v>0</v>
      </c>
      <c r="AJ71" s="31">
        <v>0</v>
      </c>
      <c r="AK71" s="44">
        <f t="shared" si="2"/>
        <v>750.75000000000011</v>
      </c>
      <c r="AL71">
        <f>VLOOKUP(A71,'[1]prueba con 16mil datos'!$A$1:$AE$804,31,FALSE)</f>
        <v>750.75</v>
      </c>
      <c r="AM71">
        <f t="shared" si="3"/>
        <v>1</v>
      </c>
      <c r="AO71">
        <f>VLOOKUP(A71,'[1]Prueba con 19mil datos'!$B$1:$AF$1228,31,FALSE)</f>
        <v>750.75</v>
      </c>
    </row>
    <row r="72" spans="1:41" hidden="1" x14ac:dyDescent="0.25">
      <c r="A72" s="16" t="s">
        <v>2905</v>
      </c>
      <c r="B72" s="15" t="s">
        <v>40</v>
      </c>
      <c r="C72" s="16">
        <v>1</v>
      </c>
      <c r="D72" s="16" t="s">
        <v>597</v>
      </c>
      <c r="E72" s="17" t="s">
        <v>42</v>
      </c>
      <c r="F72" s="18" t="s">
        <v>70</v>
      </c>
      <c r="G72" s="18" t="s">
        <v>598</v>
      </c>
      <c r="H72" s="16" t="s">
        <v>293</v>
      </c>
      <c r="I72" s="19" t="s">
        <v>3</v>
      </c>
      <c r="J72" s="16" t="s">
        <v>12</v>
      </c>
      <c r="K72" s="20" t="s">
        <v>74</v>
      </c>
      <c r="L72" s="20" t="s">
        <v>600</v>
      </c>
      <c r="M72" s="16" t="s">
        <v>296</v>
      </c>
      <c r="N72" s="16">
        <v>0</v>
      </c>
      <c r="O72" s="16" t="s">
        <v>50</v>
      </c>
      <c r="P72" s="20">
        <v>278</v>
      </c>
      <c r="Q72" s="20" t="s">
        <v>51</v>
      </c>
      <c r="R72" s="21" t="s">
        <v>77</v>
      </c>
      <c r="S72" s="22" t="s">
        <v>53</v>
      </c>
      <c r="T72" s="22" t="s">
        <v>54</v>
      </c>
      <c r="U72" s="23" t="s">
        <v>55</v>
      </c>
      <c r="V72" s="24">
        <v>1.05</v>
      </c>
      <c r="W72" s="25">
        <v>750.75000000000011</v>
      </c>
      <c r="X72" s="26">
        <v>1</v>
      </c>
      <c r="Y72" s="27">
        <v>1.8</v>
      </c>
      <c r="Z72" s="23">
        <v>5</v>
      </c>
      <c r="AA72" s="28">
        <v>0.36</v>
      </c>
      <c r="AB72" s="24">
        <v>0</v>
      </c>
      <c r="AC72" s="29">
        <v>0</v>
      </c>
      <c r="AD72" s="30">
        <v>43557</v>
      </c>
      <c r="AE72" s="30">
        <v>43558</v>
      </c>
      <c r="AF72" s="23">
        <v>1</v>
      </c>
      <c r="AG72" s="25" t="s">
        <v>56</v>
      </c>
      <c r="AH72" s="24">
        <v>0</v>
      </c>
      <c r="AI72" s="31">
        <v>0</v>
      </c>
      <c r="AJ72" s="31">
        <v>0</v>
      </c>
      <c r="AK72" s="44">
        <f t="shared" si="2"/>
        <v>750.75000000000011</v>
      </c>
      <c r="AL72">
        <f>VLOOKUP(A72,'[1]prueba con 16mil datos'!$A$1:$AE$804,31,FALSE)</f>
        <v>750.75</v>
      </c>
      <c r="AM72">
        <f t="shared" si="3"/>
        <v>1</v>
      </c>
      <c r="AO72">
        <f>VLOOKUP(A72,'[1]Prueba con 19mil datos'!$B$1:$AF$1228,31,FALSE)</f>
        <v>750.75</v>
      </c>
    </row>
    <row r="73" spans="1:41" hidden="1" x14ac:dyDescent="0.25">
      <c r="A73" s="16" t="s">
        <v>2235</v>
      </c>
      <c r="B73" s="15" t="s">
        <v>40</v>
      </c>
      <c r="C73" s="16">
        <v>1</v>
      </c>
      <c r="D73" s="16" t="s">
        <v>486</v>
      </c>
      <c r="E73" s="17" t="s">
        <v>42</v>
      </c>
      <c r="F73" s="18" t="s">
        <v>70</v>
      </c>
      <c r="G73" s="18" t="s">
        <v>487</v>
      </c>
      <c r="H73" s="16" t="s">
        <v>221</v>
      </c>
      <c r="I73" s="19" t="s">
        <v>3</v>
      </c>
      <c r="J73" s="16" t="s">
        <v>12</v>
      </c>
      <c r="K73" s="20" t="s">
        <v>74</v>
      </c>
      <c r="L73" s="20" t="s">
        <v>489</v>
      </c>
      <c r="M73" s="16" t="s">
        <v>490</v>
      </c>
      <c r="N73" s="16">
        <v>0</v>
      </c>
      <c r="O73" s="16" t="s">
        <v>50</v>
      </c>
      <c r="P73" s="20">
        <v>2679</v>
      </c>
      <c r="Q73" s="20" t="s">
        <v>51</v>
      </c>
      <c r="R73" s="21" t="s">
        <v>77</v>
      </c>
      <c r="S73" s="22" t="s">
        <v>53</v>
      </c>
      <c r="T73" s="22" t="s">
        <v>54</v>
      </c>
      <c r="U73" s="23" t="s">
        <v>55</v>
      </c>
      <c r="V73" s="24">
        <v>1.05</v>
      </c>
      <c r="W73" s="25">
        <v>750.75000000000011</v>
      </c>
      <c r="X73" s="26">
        <v>1</v>
      </c>
      <c r="Y73" s="27">
        <v>2.5</v>
      </c>
      <c r="Z73" s="23">
        <v>5</v>
      </c>
      <c r="AA73" s="28">
        <v>0.5</v>
      </c>
      <c r="AB73" s="24">
        <v>0</v>
      </c>
      <c r="AC73" s="29">
        <v>0</v>
      </c>
      <c r="AD73" s="30">
        <v>43557</v>
      </c>
      <c r="AE73" s="30">
        <v>43557</v>
      </c>
      <c r="AF73" s="23">
        <v>0</v>
      </c>
      <c r="AG73" s="25" t="s">
        <v>56</v>
      </c>
      <c r="AH73" s="24">
        <v>0</v>
      </c>
      <c r="AI73" s="31">
        <v>0</v>
      </c>
      <c r="AJ73" s="31">
        <v>0</v>
      </c>
      <c r="AK73" s="44">
        <f t="shared" si="2"/>
        <v>750.75000000000011</v>
      </c>
      <c r="AL73">
        <f>VLOOKUP(A73,'[1]prueba con 16mil datos'!$A$1:$AE$804,31,FALSE)</f>
        <v>750.75</v>
      </c>
      <c r="AM73">
        <f t="shared" si="3"/>
        <v>1</v>
      </c>
      <c r="AO73">
        <f>VLOOKUP(A73,'[1]Prueba con 19mil datos'!$B$1:$AF$1228,31,FALSE)</f>
        <v>750.75</v>
      </c>
    </row>
    <row r="74" spans="1:41" hidden="1" x14ac:dyDescent="0.25">
      <c r="A74" s="16" t="s">
        <v>826</v>
      </c>
      <c r="B74" s="15" t="s">
        <v>40</v>
      </c>
      <c r="C74" s="16">
        <v>1</v>
      </c>
      <c r="D74" s="16" t="s">
        <v>480</v>
      </c>
      <c r="E74" s="17" t="s">
        <v>42</v>
      </c>
      <c r="F74" s="18" t="s">
        <v>70</v>
      </c>
      <c r="G74" s="18" t="s">
        <v>481</v>
      </c>
      <c r="H74" s="16" t="s">
        <v>115</v>
      </c>
      <c r="I74" s="19" t="s">
        <v>3</v>
      </c>
      <c r="J74" s="16" t="s">
        <v>12</v>
      </c>
      <c r="K74" s="20" t="s">
        <v>483</v>
      </c>
      <c r="L74" s="20" t="s">
        <v>484</v>
      </c>
      <c r="M74" s="16" t="s">
        <v>485</v>
      </c>
      <c r="N74" s="16">
        <v>0</v>
      </c>
      <c r="O74" s="16" t="s">
        <v>50</v>
      </c>
      <c r="P74" s="20">
        <v>76</v>
      </c>
      <c r="Q74" s="20" t="s">
        <v>51</v>
      </c>
      <c r="R74" s="21" t="s">
        <v>77</v>
      </c>
      <c r="S74" s="22" t="s">
        <v>53</v>
      </c>
      <c r="T74" s="22" t="s">
        <v>157</v>
      </c>
      <c r="U74" s="23" t="s">
        <v>55</v>
      </c>
      <c r="V74" s="24">
        <v>1.05</v>
      </c>
      <c r="W74" s="25">
        <v>750.75000000000011</v>
      </c>
      <c r="X74" s="26">
        <v>1</v>
      </c>
      <c r="Y74" s="27">
        <v>1.17</v>
      </c>
      <c r="Z74" s="23">
        <v>9</v>
      </c>
      <c r="AA74" s="28">
        <v>0.13</v>
      </c>
      <c r="AB74" s="24">
        <v>0</v>
      </c>
      <c r="AC74" s="29">
        <v>0</v>
      </c>
      <c r="AD74" s="30">
        <v>43557</v>
      </c>
      <c r="AE74" s="30">
        <v>43557</v>
      </c>
      <c r="AF74" s="23">
        <v>0</v>
      </c>
      <c r="AG74" s="25" t="s">
        <v>56</v>
      </c>
      <c r="AH74" s="24">
        <v>0</v>
      </c>
      <c r="AI74" s="31">
        <v>0</v>
      </c>
      <c r="AJ74" s="31">
        <v>0</v>
      </c>
      <c r="AK74" s="44">
        <f t="shared" si="2"/>
        <v>750.75000000000011</v>
      </c>
      <c r="AL74" t="e">
        <f>VLOOKUP(A74,'[1]prueba con 16mil datos'!$A$1:$AE$804,31,FALSE)</f>
        <v>#N/A</v>
      </c>
      <c r="AM74" t="e">
        <f t="shared" si="3"/>
        <v>#N/A</v>
      </c>
      <c r="AO74">
        <f>VLOOKUP(A74,'[1]Prueba con 19mil datos'!$B$1:$AF$1228,31,FALSE)</f>
        <v>750.75</v>
      </c>
    </row>
    <row r="75" spans="1:41" hidden="1" x14ac:dyDescent="0.25">
      <c r="A75" s="16" t="s">
        <v>1291</v>
      </c>
      <c r="B75" s="15" t="s">
        <v>40</v>
      </c>
      <c r="C75" s="16">
        <v>1</v>
      </c>
      <c r="D75" s="16" t="s">
        <v>522</v>
      </c>
      <c r="E75" s="17" t="s">
        <v>42</v>
      </c>
      <c r="F75" s="18" t="s">
        <v>180</v>
      </c>
      <c r="G75" s="18" t="s">
        <v>523</v>
      </c>
      <c r="H75" s="16" t="s">
        <v>115</v>
      </c>
      <c r="I75" s="19" t="s">
        <v>3</v>
      </c>
      <c r="J75" s="16" t="s">
        <v>12</v>
      </c>
      <c r="K75" s="20" t="s">
        <v>126</v>
      </c>
      <c r="L75" s="20" t="s">
        <v>525</v>
      </c>
      <c r="M75" s="16" t="s">
        <v>526</v>
      </c>
      <c r="N75" s="16">
        <v>0</v>
      </c>
      <c r="O75" s="16" t="s">
        <v>50</v>
      </c>
      <c r="P75" s="20">
        <v>14</v>
      </c>
      <c r="Q75" s="20" t="s">
        <v>65</v>
      </c>
      <c r="R75" s="21" t="s">
        <v>186</v>
      </c>
      <c r="S75" s="22" t="s">
        <v>187</v>
      </c>
      <c r="T75" s="22" t="s">
        <v>54</v>
      </c>
      <c r="U75" s="23" t="s">
        <v>201</v>
      </c>
      <c r="V75" s="24">
        <v>0.8</v>
      </c>
      <c r="W75" s="25">
        <v>1258.4000000000003</v>
      </c>
      <c r="X75" s="26">
        <v>1</v>
      </c>
      <c r="Y75" s="27">
        <v>1.38</v>
      </c>
      <c r="Z75" s="23">
        <v>4</v>
      </c>
      <c r="AA75" s="28">
        <v>0.34499999999999997</v>
      </c>
      <c r="AB75" s="24">
        <v>0</v>
      </c>
      <c r="AC75" s="29">
        <v>0</v>
      </c>
      <c r="AD75" s="30">
        <v>43557</v>
      </c>
      <c r="AE75" s="30">
        <v>43557</v>
      </c>
      <c r="AF75" s="23">
        <v>0</v>
      </c>
      <c r="AG75" s="25" t="s">
        <v>56</v>
      </c>
      <c r="AH75" s="24">
        <v>0</v>
      </c>
      <c r="AI75" s="31">
        <v>0</v>
      </c>
      <c r="AJ75" s="31">
        <v>0</v>
      </c>
      <c r="AK75" s="44">
        <f t="shared" si="2"/>
        <v>1258.4000000000003</v>
      </c>
      <c r="AL75">
        <f>VLOOKUP(A75,'[1]prueba con 16mil datos'!$A$1:$AE$804,31,FALSE)</f>
        <v>750.75</v>
      </c>
      <c r="AM75">
        <f t="shared" si="3"/>
        <v>0</v>
      </c>
      <c r="AO75">
        <f>VLOOKUP(A75,'[1]Prueba con 19mil datos'!$B$1:$AF$1228,31,FALSE)</f>
        <v>750.75</v>
      </c>
    </row>
    <row r="76" spans="1:41" hidden="1" x14ac:dyDescent="0.25">
      <c r="A76" s="16" t="s">
        <v>2776</v>
      </c>
      <c r="B76" s="15" t="s">
        <v>40</v>
      </c>
      <c r="C76" s="16">
        <v>1</v>
      </c>
      <c r="D76" s="16" t="s">
        <v>551</v>
      </c>
      <c r="E76" s="17" t="s">
        <v>42</v>
      </c>
      <c r="F76" s="18" t="s">
        <v>180</v>
      </c>
      <c r="G76" s="18" t="s">
        <v>552</v>
      </c>
      <c r="H76" s="16" t="s">
        <v>293</v>
      </c>
      <c r="I76" s="19" t="s">
        <v>3</v>
      </c>
      <c r="J76" s="16" t="s">
        <v>12</v>
      </c>
      <c r="K76" s="20" t="s">
        <v>126</v>
      </c>
      <c r="L76" s="20" t="s">
        <v>554</v>
      </c>
      <c r="M76" s="16" t="s">
        <v>555</v>
      </c>
      <c r="N76" s="16">
        <v>0</v>
      </c>
      <c r="O76" s="16" t="s">
        <v>50</v>
      </c>
      <c r="P76" s="20">
        <v>126</v>
      </c>
      <c r="Q76" s="20" t="s">
        <v>51</v>
      </c>
      <c r="R76" s="21" t="s">
        <v>186</v>
      </c>
      <c r="S76" s="22" t="s">
        <v>187</v>
      </c>
      <c r="T76" s="22" t="s">
        <v>54</v>
      </c>
      <c r="U76" s="23" t="s">
        <v>550</v>
      </c>
      <c r="V76" s="24">
        <v>1.1499999999999999</v>
      </c>
      <c r="W76" s="25">
        <v>1808.95</v>
      </c>
      <c r="X76" s="26">
        <v>1</v>
      </c>
      <c r="Y76" s="27">
        <v>2</v>
      </c>
      <c r="Z76" s="23">
        <v>4</v>
      </c>
      <c r="AA76" s="28">
        <v>0.5</v>
      </c>
      <c r="AB76" s="24">
        <v>0</v>
      </c>
      <c r="AC76" s="29">
        <v>0</v>
      </c>
      <c r="AD76" s="30">
        <v>43557</v>
      </c>
      <c r="AE76" s="30">
        <v>43557</v>
      </c>
      <c r="AF76" s="23">
        <v>0</v>
      </c>
      <c r="AG76" s="25" t="s">
        <v>56</v>
      </c>
      <c r="AH76" s="24">
        <v>0</v>
      </c>
      <c r="AI76" s="31">
        <v>0</v>
      </c>
      <c r="AJ76" s="31">
        <v>0</v>
      </c>
      <c r="AK76" s="44">
        <f t="shared" si="2"/>
        <v>1808.95</v>
      </c>
      <c r="AL76">
        <f>VLOOKUP(A76,'[1]prueba con 16mil datos'!$A$1:$AE$804,31,FALSE)</f>
        <v>750.75</v>
      </c>
      <c r="AM76">
        <f t="shared" si="3"/>
        <v>0</v>
      </c>
      <c r="AO76">
        <f>VLOOKUP(A76,'[1]Prueba con 19mil datos'!$B$1:$AF$1228,31,FALSE)</f>
        <v>750.75</v>
      </c>
    </row>
    <row r="77" spans="1:41" hidden="1" x14ac:dyDescent="0.25">
      <c r="A77" s="16" t="s">
        <v>2293</v>
      </c>
      <c r="B77" s="15" t="s">
        <v>40</v>
      </c>
      <c r="C77" s="16">
        <v>1</v>
      </c>
      <c r="D77" s="16" t="s">
        <v>607</v>
      </c>
      <c r="E77" s="17" t="s">
        <v>42</v>
      </c>
      <c r="F77" s="18" t="s">
        <v>180</v>
      </c>
      <c r="G77" s="18" t="s">
        <v>608</v>
      </c>
      <c r="H77" s="16" t="s">
        <v>192</v>
      </c>
      <c r="I77" s="19" t="s">
        <v>3</v>
      </c>
      <c r="J77" s="16" t="s">
        <v>12</v>
      </c>
      <c r="K77" s="20" t="s">
        <v>198</v>
      </c>
      <c r="L77" s="20" t="s">
        <v>586</v>
      </c>
      <c r="M77" s="16" t="s">
        <v>118</v>
      </c>
      <c r="N77" s="16">
        <v>0</v>
      </c>
      <c r="O77" s="16" t="s">
        <v>50</v>
      </c>
      <c r="P77" s="20">
        <v>8</v>
      </c>
      <c r="Q77" s="20" t="s">
        <v>65</v>
      </c>
      <c r="R77" s="21" t="s">
        <v>186</v>
      </c>
      <c r="S77" s="22" t="s">
        <v>187</v>
      </c>
      <c r="T77" s="22" t="s">
        <v>54</v>
      </c>
      <c r="U77" s="23" t="s">
        <v>201</v>
      </c>
      <c r="V77" s="24">
        <v>0.8</v>
      </c>
      <c r="W77" s="25">
        <v>1258.4000000000003</v>
      </c>
      <c r="X77" s="26">
        <v>1</v>
      </c>
      <c r="Y77" s="27">
        <v>1.47</v>
      </c>
      <c r="Z77" s="23">
        <v>4</v>
      </c>
      <c r="AA77" s="28">
        <v>0.36749999999999999</v>
      </c>
      <c r="AB77" s="24">
        <v>0</v>
      </c>
      <c r="AC77" s="29">
        <v>0</v>
      </c>
      <c r="AD77" s="30">
        <v>43557</v>
      </c>
      <c r="AE77" s="30">
        <v>43558</v>
      </c>
      <c r="AF77" s="23">
        <v>1</v>
      </c>
      <c r="AG77" s="25" t="s">
        <v>56</v>
      </c>
      <c r="AH77" s="24">
        <v>0</v>
      </c>
      <c r="AI77" s="31">
        <v>0</v>
      </c>
      <c r="AJ77" s="31">
        <v>0</v>
      </c>
      <c r="AK77" s="44">
        <f t="shared" si="2"/>
        <v>1258.4000000000003</v>
      </c>
      <c r="AL77">
        <f>VLOOKUP(A77,'[1]prueba con 16mil datos'!$A$1:$AE$804,31,FALSE)</f>
        <v>750.75</v>
      </c>
      <c r="AM77">
        <f t="shared" si="3"/>
        <v>0</v>
      </c>
      <c r="AO77">
        <f>VLOOKUP(A77,'[1]Prueba con 19mil datos'!$B$1:$AF$1228,31,FALSE)</f>
        <v>750.75</v>
      </c>
    </row>
    <row r="78" spans="1:41" hidden="1" x14ac:dyDescent="0.25">
      <c r="A78" s="16" t="s">
        <v>620</v>
      </c>
      <c r="B78" s="15" t="s">
        <v>40</v>
      </c>
      <c r="C78" s="16">
        <v>1</v>
      </c>
      <c r="D78" s="16" t="s">
        <v>573</v>
      </c>
      <c r="E78" s="17" t="s">
        <v>42</v>
      </c>
      <c r="F78" s="18" t="s">
        <v>574</v>
      </c>
      <c r="G78" s="18" t="s">
        <v>575</v>
      </c>
      <c r="H78" s="16" t="s">
        <v>377</v>
      </c>
      <c r="I78" s="19" t="s">
        <v>3</v>
      </c>
      <c r="J78" s="16" t="s">
        <v>12</v>
      </c>
      <c r="K78" s="20" t="s">
        <v>378</v>
      </c>
      <c r="L78" s="20" t="s">
        <v>577</v>
      </c>
      <c r="M78" s="16" t="s">
        <v>128</v>
      </c>
      <c r="N78" s="16">
        <v>0</v>
      </c>
      <c r="O78" s="16" t="s">
        <v>50</v>
      </c>
      <c r="P78" s="20">
        <v>7</v>
      </c>
      <c r="Q78" s="20" t="s">
        <v>65</v>
      </c>
      <c r="R78" s="21" t="s">
        <v>148</v>
      </c>
      <c r="S78" s="22" t="s">
        <v>130</v>
      </c>
      <c r="T78" s="22" t="s">
        <v>54</v>
      </c>
      <c r="U78" s="23" t="s">
        <v>131</v>
      </c>
      <c r="V78" s="24">
        <v>0.6</v>
      </c>
      <c r="W78" s="25">
        <v>819</v>
      </c>
      <c r="X78" s="26">
        <v>1</v>
      </c>
      <c r="Y78" s="27">
        <v>0.8</v>
      </c>
      <c r="Z78" s="23">
        <v>5</v>
      </c>
      <c r="AA78" s="28">
        <v>0.16</v>
      </c>
      <c r="AB78" s="24">
        <v>0</v>
      </c>
      <c r="AC78" s="29">
        <v>0</v>
      </c>
      <c r="AD78" s="30">
        <v>43557</v>
      </c>
      <c r="AE78" s="30">
        <v>43557</v>
      </c>
      <c r="AF78" s="23">
        <v>0</v>
      </c>
      <c r="AG78" s="25" t="s">
        <v>56</v>
      </c>
      <c r="AH78" s="24">
        <v>0</v>
      </c>
      <c r="AI78" s="31">
        <v>0</v>
      </c>
      <c r="AJ78" s="31">
        <v>0</v>
      </c>
      <c r="AK78" s="44">
        <f t="shared" si="2"/>
        <v>819</v>
      </c>
      <c r="AL78" t="e">
        <f>VLOOKUP(A78,'[1]prueba con 16mil datos'!$A$1:$AE$804,31,FALSE)</f>
        <v>#N/A</v>
      </c>
      <c r="AM78" t="e">
        <f t="shared" si="3"/>
        <v>#N/A</v>
      </c>
      <c r="AO78">
        <f>VLOOKUP(A78,'[1]Prueba con 19mil datos'!$B$1:$AF$1228,31,FALSE)</f>
        <v>0</v>
      </c>
    </row>
    <row r="79" spans="1:41" hidden="1" x14ac:dyDescent="0.25">
      <c r="A79" s="16" t="s">
        <v>1077</v>
      </c>
      <c r="B79" s="15" t="s">
        <v>40</v>
      </c>
      <c r="C79" s="16">
        <v>1</v>
      </c>
      <c r="D79" s="16" t="s">
        <v>560</v>
      </c>
      <c r="E79" s="17" t="s">
        <v>42</v>
      </c>
      <c r="F79" s="18" t="s">
        <v>561</v>
      </c>
      <c r="G79" s="18" t="s">
        <v>562</v>
      </c>
      <c r="H79" s="16" t="s">
        <v>82</v>
      </c>
      <c r="I79" s="19" t="s">
        <v>3</v>
      </c>
      <c r="J79" s="16" t="s">
        <v>12</v>
      </c>
      <c r="K79" s="20" t="s">
        <v>564</v>
      </c>
      <c r="L79" s="20" t="s">
        <v>565</v>
      </c>
      <c r="M79" s="16" t="s">
        <v>566</v>
      </c>
      <c r="N79" s="16">
        <v>0</v>
      </c>
      <c r="O79" s="16" t="s">
        <v>50</v>
      </c>
      <c r="P79" s="20">
        <v>12</v>
      </c>
      <c r="Q79" s="20" t="s">
        <v>65</v>
      </c>
      <c r="R79" s="21" t="s">
        <v>129</v>
      </c>
      <c r="S79" s="22" t="s">
        <v>130</v>
      </c>
      <c r="T79" s="22" t="s">
        <v>54</v>
      </c>
      <c r="U79" s="23" t="s">
        <v>131</v>
      </c>
      <c r="V79" s="24">
        <v>0.6</v>
      </c>
      <c r="W79" s="25">
        <v>819</v>
      </c>
      <c r="X79" s="26">
        <v>1</v>
      </c>
      <c r="Y79" s="27">
        <v>0.68</v>
      </c>
      <c r="Z79" s="23">
        <v>5</v>
      </c>
      <c r="AA79" s="28">
        <v>0.13600000000000001</v>
      </c>
      <c r="AB79" s="24">
        <v>0</v>
      </c>
      <c r="AC79" s="29">
        <v>0</v>
      </c>
      <c r="AD79" s="30">
        <v>43557</v>
      </c>
      <c r="AE79" s="30">
        <v>43557</v>
      </c>
      <c r="AF79" s="23">
        <v>0</v>
      </c>
      <c r="AG79" s="25" t="s">
        <v>56</v>
      </c>
      <c r="AH79" s="24">
        <v>0</v>
      </c>
      <c r="AI79" s="31">
        <v>0</v>
      </c>
      <c r="AJ79" s="31">
        <v>0</v>
      </c>
      <c r="AK79" s="44">
        <f t="shared" si="2"/>
        <v>819</v>
      </c>
      <c r="AL79">
        <f>VLOOKUP(A79,'[1]prueba con 16mil datos'!$A$1:$AE$804,31,FALSE)</f>
        <v>750.75</v>
      </c>
      <c r="AM79">
        <f t="shared" si="3"/>
        <v>0</v>
      </c>
      <c r="AO79">
        <f>VLOOKUP(A79,'[1]Prueba con 19mil datos'!$B$1:$AF$1228,31,FALSE)</f>
        <v>750.75</v>
      </c>
    </row>
    <row r="80" spans="1:41" hidden="1" x14ac:dyDescent="0.25">
      <c r="A80" s="16" t="s">
        <v>2047</v>
      </c>
      <c r="B80" s="15" t="s">
        <v>40</v>
      </c>
      <c r="C80" s="16">
        <v>1</v>
      </c>
      <c r="D80" s="16" t="s">
        <v>475</v>
      </c>
      <c r="E80" s="17" t="s">
        <v>42</v>
      </c>
      <c r="F80" s="18" t="s">
        <v>122</v>
      </c>
      <c r="G80" s="18" t="s">
        <v>476</v>
      </c>
      <c r="H80" s="16" t="s">
        <v>213</v>
      </c>
      <c r="I80" s="19" t="s">
        <v>3</v>
      </c>
      <c r="J80" s="16" t="s">
        <v>12</v>
      </c>
      <c r="K80" s="20" t="s">
        <v>198</v>
      </c>
      <c r="L80" s="20" t="s">
        <v>478</v>
      </c>
      <c r="M80" s="16" t="s">
        <v>479</v>
      </c>
      <c r="N80" s="16">
        <v>0</v>
      </c>
      <c r="O80" s="16" t="s">
        <v>50</v>
      </c>
      <c r="P80" s="20">
        <v>29</v>
      </c>
      <c r="Q80" s="20" t="s">
        <v>119</v>
      </c>
      <c r="R80" s="21" t="s">
        <v>129</v>
      </c>
      <c r="S80" s="22" t="s">
        <v>130</v>
      </c>
      <c r="T80" s="22" t="s">
        <v>54</v>
      </c>
      <c r="U80" s="23" t="s">
        <v>164</v>
      </c>
      <c r="V80" s="24">
        <v>0.8</v>
      </c>
      <c r="W80" s="25">
        <v>1092</v>
      </c>
      <c r="X80" s="26">
        <v>1</v>
      </c>
      <c r="Y80" s="27">
        <v>1.52</v>
      </c>
      <c r="Z80" s="23">
        <v>5</v>
      </c>
      <c r="AA80" s="28">
        <v>0.30399999999999999</v>
      </c>
      <c r="AB80" s="24">
        <v>0</v>
      </c>
      <c r="AC80" s="29">
        <v>0</v>
      </c>
      <c r="AD80" s="30">
        <v>43557</v>
      </c>
      <c r="AE80" s="30">
        <v>43557</v>
      </c>
      <c r="AF80" s="23">
        <v>0</v>
      </c>
      <c r="AG80" s="25" t="s">
        <v>56</v>
      </c>
      <c r="AH80" s="24">
        <v>0</v>
      </c>
      <c r="AI80" s="31">
        <v>0</v>
      </c>
      <c r="AJ80" s="31">
        <v>0</v>
      </c>
      <c r="AK80" s="44">
        <f t="shared" si="2"/>
        <v>1092</v>
      </c>
      <c r="AL80">
        <f>VLOOKUP(A80,'[1]prueba con 16mil datos'!$A$1:$AE$804,31,FALSE)</f>
        <v>750.75</v>
      </c>
      <c r="AM80">
        <f t="shared" si="3"/>
        <v>0</v>
      </c>
      <c r="AO80">
        <f>VLOOKUP(A80,'[1]Prueba con 19mil datos'!$B$1:$AF$1228,31,FALSE)</f>
        <v>750.75</v>
      </c>
    </row>
    <row r="81" spans="1:44" hidden="1" x14ac:dyDescent="0.25">
      <c r="A81" s="16" t="s">
        <v>1675</v>
      </c>
      <c r="B81" s="15" t="s">
        <v>40</v>
      </c>
      <c r="C81" s="16">
        <v>1</v>
      </c>
      <c r="D81" s="16" t="s">
        <v>592</v>
      </c>
      <c r="E81" s="17" t="s">
        <v>42</v>
      </c>
      <c r="F81" s="18" t="s">
        <v>122</v>
      </c>
      <c r="G81" s="18" t="s">
        <v>593</v>
      </c>
      <c r="H81" s="16" t="s">
        <v>463</v>
      </c>
      <c r="I81" s="19" t="s">
        <v>3</v>
      </c>
      <c r="J81" s="16" t="s">
        <v>12</v>
      </c>
      <c r="K81" s="20" t="s">
        <v>126</v>
      </c>
      <c r="L81" s="20" t="s">
        <v>595</v>
      </c>
      <c r="M81" s="16" t="s">
        <v>596</v>
      </c>
      <c r="N81" s="16">
        <v>0</v>
      </c>
      <c r="O81" s="16" t="s">
        <v>50</v>
      </c>
      <c r="P81" s="20">
        <v>15</v>
      </c>
      <c r="Q81" s="20" t="s">
        <v>65</v>
      </c>
      <c r="R81" s="21" t="s">
        <v>129</v>
      </c>
      <c r="S81" s="22" t="s">
        <v>130</v>
      </c>
      <c r="T81" s="22" t="s">
        <v>54</v>
      </c>
      <c r="U81" s="23" t="s">
        <v>131</v>
      </c>
      <c r="V81" s="24">
        <v>0.6</v>
      </c>
      <c r="W81" s="25">
        <v>819</v>
      </c>
      <c r="X81" s="26">
        <v>1</v>
      </c>
      <c r="Y81" s="27">
        <v>0.28000000000000003</v>
      </c>
      <c r="Z81" s="23">
        <v>5</v>
      </c>
      <c r="AA81" s="28">
        <v>5.6000000000000008E-2</v>
      </c>
      <c r="AB81" s="24">
        <v>0</v>
      </c>
      <c r="AC81" s="29">
        <v>0</v>
      </c>
      <c r="AD81" s="30">
        <v>43557</v>
      </c>
      <c r="AE81" s="30">
        <v>43558</v>
      </c>
      <c r="AF81" s="23">
        <v>1</v>
      </c>
      <c r="AG81" s="25" t="s">
        <v>56</v>
      </c>
      <c r="AH81" s="24">
        <v>0</v>
      </c>
      <c r="AI81" s="31">
        <v>0</v>
      </c>
      <c r="AJ81" s="31">
        <v>0</v>
      </c>
      <c r="AK81" s="44">
        <f t="shared" si="2"/>
        <v>819</v>
      </c>
      <c r="AL81" t="e">
        <f>VLOOKUP(A81,'[1]prueba con 16mil datos'!$A$1:$AE$804,31,FALSE)</f>
        <v>#N/A</v>
      </c>
      <c r="AM81" t="e">
        <f t="shared" si="3"/>
        <v>#N/A</v>
      </c>
      <c r="AO81">
        <f>VLOOKUP(A81,'[1]Prueba con 19mil datos'!$B$1:$AF$1228,31,FALSE)</f>
        <v>0</v>
      </c>
    </row>
    <row r="82" spans="1:44" x14ac:dyDescent="0.25">
      <c r="A82" s="16" t="s">
        <v>2941</v>
      </c>
      <c r="B82" s="15" t="s">
        <v>40</v>
      </c>
      <c r="C82" s="16">
        <v>1</v>
      </c>
      <c r="D82" s="16" t="s">
        <v>556</v>
      </c>
      <c r="E82" s="17" t="s">
        <v>42</v>
      </c>
      <c r="F82" s="18" t="s">
        <v>122</v>
      </c>
      <c r="G82" s="18" t="s">
        <v>557</v>
      </c>
      <c r="H82" s="16" t="s">
        <v>331</v>
      </c>
      <c r="I82" s="19" t="s">
        <v>3</v>
      </c>
      <c r="J82" s="16" t="s">
        <v>12</v>
      </c>
      <c r="K82" s="20" t="s">
        <v>47</v>
      </c>
      <c r="L82" s="20" t="s">
        <v>559</v>
      </c>
      <c r="M82" s="16" t="s">
        <v>414</v>
      </c>
      <c r="N82" s="16">
        <v>0</v>
      </c>
      <c r="O82" s="16" t="s">
        <v>50</v>
      </c>
      <c r="P82" s="20">
        <v>22</v>
      </c>
      <c r="Q82" s="20" t="s">
        <v>119</v>
      </c>
      <c r="R82" s="21" t="s">
        <v>129</v>
      </c>
      <c r="S82" s="22" t="s">
        <v>130</v>
      </c>
      <c r="T82" s="22" t="s">
        <v>54</v>
      </c>
      <c r="U82" s="23" t="s">
        <v>164</v>
      </c>
      <c r="V82" s="24">
        <v>0.8</v>
      </c>
      <c r="W82" s="25">
        <v>1092</v>
      </c>
      <c r="X82" s="26">
        <v>1</v>
      </c>
      <c r="Y82" s="27">
        <v>3.02</v>
      </c>
      <c r="Z82" s="23">
        <v>5</v>
      </c>
      <c r="AA82" s="28">
        <v>0.60399999999999998</v>
      </c>
      <c r="AB82" s="24">
        <v>0</v>
      </c>
      <c r="AC82" s="29">
        <v>0</v>
      </c>
      <c r="AD82" s="30">
        <v>43557</v>
      </c>
      <c r="AE82" s="30">
        <v>43557</v>
      </c>
      <c r="AF82" s="23">
        <v>0</v>
      </c>
      <c r="AG82" s="25" t="s">
        <v>56</v>
      </c>
      <c r="AH82" s="24">
        <v>0</v>
      </c>
      <c r="AI82" s="31">
        <v>0</v>
      </c>
      <c r="AJ82" s="31">
        <v>0</v>
      </c>
      <c r="AK82" s="44">
        <f t="shared" si="2"/>
        <v>1092</v>
      </c>
      <c r="AL82" t="e">
        <f>VLOOKUP(A82,'[1]prueba con 16mil datos'!$A$1:$AE$804,31,FALSE)</f>
        <v>#N/A</v>
      </c>
      <c r="AM82" t="e">
        <f t="shared" si="3"/>
        <v>#N/A</v>
      </c>
      <c r="AO82" t="e">
        <f>VLOOKUP(A82,'[1]Prueba con 19mil datos'!$B$1:$AF$1228,31,FALSE)</f>
        <v>#N/A</v>
      </c>
      <c r="AP82" t="s">
        <v>3212</v>
      </c>
      <c r="AR82" t="s">
        <v>3213</v>
      </c>
    </row>
    <row r="83" spans="1:44" hidden="1" x14ac:dyDescent="0.25">
      <c r="A83" s="16" t="s">
        <v>2980</v>
      </c>
      <c r="B83" s="15" t="s">
        <v>40</v>
      </c>
      <c r="C83" s="16">
        <v>1</v>
      </c>
      <c r="D83" s="16" t="s">
        <v>455</v>
      </c>
      <c r="E83" s="17" t="s">
        <v>42</v>
      </c>
      <c r="F83" s="18" t="s">
        <v>122</v>
      </c>
      <c r="G83" s="18" t="s">
        <v>456</v>
      </c>
      <c r="H83" s="16" t="s">
        <v>346</v>
      </c>
      <c r="I83" s="19" t="s">
        <v>3</v>
      </c>
      <c r="J83" s="16" t="s">
        <v>12</v>
      </c>
      <c r="K83" s="20" t="s">
        <v>198</v>
      </c>
      <c r="L83" s="20" t="s">
        <v>458</v>
      </c>
      <c r="M83" s="16" t="s">
        <v>459</v>
      </c>
      <c r="N83" s="16">
        <v>0</v>
      </c>
      <c r="O83" s="16" t="s">
        <v>50</v>
      </c>
      <c r="P83" s="20">
        <v>18</v>
      </c>
      <c r="Q83" s="20" t="s">
        <v>119</v>
      </c>
      <c r="R83" s="21" t="s">
        <v>129</v>
      </c>
      <c r="S83" s="22" t="s">
        <v>130</v>
      </c>
      <c r="T83" s="22" t="s">
        <v>54</v>
      </c>
      <c r="U83" s="23" t="s">
        <v>164</v>
      </c>
      <c r="V83" s="24">
        <v>0.8</v>
      </c>
      <c r="W83" s="25">
        <v>1092</v>
      </c>
      <c r="X83" s="26">
        <v>1</v>
      </c>
      <c r="Y83" s="27">
        <v>1.36</v>
      </c>
      <c r="Z83" s="23">
        <v>5</v>
      </c>
      <c r="AA83" s="28">
        <v>0.27200000000000002</v>
      </c>
      <c r="AB83" s="24">
        <v>0</v>
      </c>
      <c r="AC83" s="29">
        <v>0</v>
      </c>
      <c r="AD83" s="30">
        <v>43557</v>
      </c>
      <c r="AE83" s="30">
        <v>43557</v>
      </c>
      <c r="AF83" s="23">
        <v>0</v>
      </c>
      <c r="AG83" s="25" t="s">
        <v>56</v>
      </c>
      <c r="AH83" s="24">
        <v>0</v>
      </c>
      <c r="AI83" s="31">
        <v>0</v>
      </c>
      <c r="AJ83" s="31">
        <v>0</v>
      </c>
      <c r="AK83" s="44">
        <f t="shared" si="2"/>
        <v>1092</v>
      </c>
      <c r="AL83" t="e">
        <f>VLOOKUP(A83,'[1]prueba con 16mil datos'!$A$1:$AE$804,31,FALSE)</f>
        <v>#N/A</v>
      </c>
      <c r="AM83" t="e">
        <f t="shared" si="3"/>
        <v>#N/A</v>
      </c>
      <c r="AO83">
        <f>VLOOKUP(A83,'[1]Prueba con 19mil datos'!$B$1:$AF$1228,31,FALSE)</f>
        <v>0</v>
      </c>
    </row>
    <row r="84" spans="1:44" hidden="1" x14ac:dyDescent="0.25">
      <c r="A84" s="16" t="s">
        <v>397</v>
      </c>
      <c r="B84" s="15" t="s">
        <v>40</v>
      </c>
      <c r="C84" s="16">
        <v>1</v>
      </c>
      <c r="D84" s="16" t="s">
        <v>654</v>
      </c>
      <c r="E84" s="17" t="s">
        <v>42</v>
      </c>
      <c r="F84" s="18" t="s">
        <v>356</v>
      </c>
      <c r="G84" s="18" t="s">
        <v>655</v>
      </c>
      <c r="H84" s="16" t="s">
        <v>656</v>
      </c>
      <c r="I84" s="19" t="s">
        <v>3</v>
      </c>
      <c r="J84" s="16" t="s">
        <v>12</v>
      </c>
      <c r="K84" s="20" t="s">
        <v>237</v>
      </c>
      <c r="L84" s="20" t="s">
        <v>238</v>
      </c>
      <c r="M84" s="16" t="s">
        <v>105</v>
      </c>
      <c r="N84" s="16">
        <v>0</v>
      </c>
      <c r="O84" s="16" t="s">
        <v>50</v>
      </c>
      <c r="P84" s="20">
        <v>4</v>
      </c>
      <c r="Q84" s="20" t="s">
        <v>311</v>
      </c>
      <c r="R84" s="21" t="s">
        <v>225</v>
      </c>
      <c r="S84" s="22" t="s">
        <v>130</v>
      </c>
      <c r="T84" s="22" t="s">
        <v>54</v>
      </c>
      <c r="U84" s="23" t="s">
        <v>312</v>
      </c>
      <c r="V84" s="24">
        <v>0</v>
      </c>
      <c r="W84" s="25">
        <v>0</v>
      </c>
      <c r="X84" s="26">
        <v>1</v>
      </c>
      <c r="Y84" s="27">
        <v>3.33</v>
      </c>
      <c r="Z84" s="23">
        <v>5</v>
      </c>
      <c r="AA84" s="28">
        <v>0.66600000000000004</v>
      </c>
      <c r="AB84" s="24">
        <v>0</v>
      </c>
      <c r="AC84" s="29">
        <v>0</v>
      </c>
      <c r="AD84" s="30">
        <v>43557</v>
      </c>
      <c r="AE84" s="30">
        <v>43558</v>
      </c>
      <c r="AF84" s="23">
        <v>1</v>
      </c>
      <c r="AG84" s="25" t="s">
        <v>56</v>
      </c>
      <c r="AH84" s="24">
        <v>0</v>
      </c>
      <c r="AI84" s="31">
        <v>0</v>
      </c>
      <c r="AJ84" s="31">
        <v>0</v>
      </c>
      <c r="AK84" s="44">
        <f t="shared" si="2"/>
        <v>0</v>
      </c>
      <c r="AL84" t="e">
        <f>VLOOKUP(A84,'[1]prueba con 16mil datos'!$A$1:$AE$804,31,FALSE)</f>
        <v>#N/A</v>
      </c>
      <c r="AM84" t="e">
        <f t="shared" si="3"/>
        <v>#N/A</v>
      </c>
      <c r="AO84">
        <f>VLOOKUP(A84,'[1]Prueba con 19mil datos'!$B$1:$AF$1228,31,FALSE)</f>
        <v>0</v>
      </c>
    </row>
    <row r="85" spans="1:44" hidden="1" x14ac:dyDescent="0.25">
      <c r="A85" s="16" t="s">
        <v>1134</v>
      </c>
      <c r="B85" s="15" t="s">
        <v>40</v>
      </c>
      <c r="C85" s="16">
        <v>1</v>
      </c>
      <c r="D85" s="16" t="s">
        <v>418</v>
      </c>
      <c r="E85" s="17" t="s">
        <v>42</v>
      </c>
      <c r="F85" s="18" t="s">
        <v>419</v>
      </c>
      <c r="G85" s="18" t="s">
        <v>420</v>
      </c>
      <c r="H85" s="16" t="s">
        <v>73</v>
      </c>
      <c r="I85" s="19" t="s">
        <v>3</v>
      </c>
      <c r="J85" s="16" t="s">
        <v>12</v>
      </c>
      <c r="K85" s="20" t="s">
        <v>126</v>
      </c>
      <c r="L85" s="20" t="s">
        <v>422</v>
      </c>
      <c r="M85" s="16" t="s">
        <v>76</v>
      </c>
      <c r="N85" s="16">
        <v>0</v>
      </c>
      <c r="O85" s="16" t="s">
        <v>50</v>
      </c>
      <c r="P85" s="20">
        <v>552</v>
      </c>
      <c r="Q85" s="20" t="s">
        <v>51</v>
      </c>
      <c r="R85" s="21" t="s">
        <v>225</v>
      </c>
      <c r="S85" s="22" t="s">
        <v>130</v>
      </c>
      <c r="T85" s="22" t="s">
        <v>54</v>
      </c>
      <c r="U85" s="23" t="s">
        <v>226</v>
      </c>
      <c r="V85" s="24">
        <v>1.1000000000000001</v>
      </c>
      <c r="W85" s="25">
        <v>1501.5000000000002</v>
      </c>
      <c r="X85" s="26">
        <v>1</v>
      </c>
      <c r="Y85" s="27">
        <v>0.03</v>
      </c>
      <c r="Z85" s="23">
        <v>5</v>
      </c>
      <c r="AA85" s="28">
        <v>6.0000000000000001E-3</v>
      </c>
      <c r="AB85" s="24">
        <v>0</v>
      </c>
      <c r="AC85" s="29">
        <v>0</v>
      </c>
      <c r="AD85" s="30">
        <v>43557</v>
      </c>
      <c r="AE85" s="30">
        <v>43557</v>
      </c>
      <c r="AF85" s="23">
        <v>0</v>
      </c>
      <c r="AG85" s="25" t="s">
        <v>56</v>
      </c>
      <c r="AH85" s="24">
        <v>0</v>
      </c>
      <c r="AI85" s="31">
        <v>0</v>
      </c>
      <c r="AJ85" s="31">
        <v>0</v>
      </c>
      <c r="AK85" s="44">
        <f t="shared" si="2"/>
        <v>1501.5000000000002</v>
      </c>
      <c r="AL85" t="e">
        <f>VLOOKUP(A85,'[1]prueba con 16mil datos'!$A$1:$AE$804,31,FALSE)</f>
        <v>#N/A</v>
      </c>
      <c r="AM85" t="e">
        <f t="shared" si="3"/>
        <v>#N/A</v>
      </c>
      <c r="AO85">
        <f>VLOOKUP(A85,'[1]Prueba con 19mil datos'!$B$1:$AF$1228,31,FALSE)</f>
        <v>0</v>
      </c>
    </row>
    <row r="86" spans="1:44" hidden="1" x14ac:dyDescent="0.25">
      <c r="A86" s="16" t="s">
        <v>1130</v>
      </c>
      <c r="B86" s="15" t="s">
        <v>40</v>
      </c>
      <c r="C86" s="16">
        <v>1</v>
      </c>
      <c r="D86" s="16" t="s">
        <v>423</v>
      </c>
      <c r="E86" s="17" t="s">
        <v>42</v>
      </c>
      <c r="F86" s="18" t="s">
        <v>424</v>
      </c>
      <c r="G86" s="18" t="s">
        <v>425</v>
      </c>
      <c r="H86" s="16" t="s">
        <v>243</v>
      </c>
      <c r="I86" s="19" t="s">
        <v>3</v>
      </c>
      <c r="J86" s="16" t="s">
        <v>12</v>
      </c>
      <c r="K86" s="20" t="s">
        <v>427</v>
      </c>
      <c r="L86" s="20" t="s">
        <v>428</v>
      </c>
      <c r="M86" s="16" t="s">
        <v>429</v>
      </c>
      <c r="N86" s="16">
        <v>0</v>
      </c>
      <c r="O86" s="16" t="s">
        <v>50</v>
      </c>
      <c r="P86" s="20">
        <v>42</v>
      </c>
      <c r="Q86" s="20" t="s">
        <v>86</v>
      </c>
      <c r="R86" s="21" t="s">
        <v>430</v>
      </c>
      <c r="S86" s="22" t="s">
        <v>67</v>
      </c>
      <c r="T86" s="22" t="s">
        <v>54</v>
      </c>
      <c r="U86" s="23" t="s">
        <v>431</v>
      </c>
      <c r="V86" s="24">
        <v>1.1499999999999999</v>
      </c>
      <c r="W86" s="25">
        <v>2466.75</v>
      </c>
      <c r="X86" s="26">
        <v>1</v>
      </c>
      <c r="Y86" s="27">
        <v>0.93</v>
      </c>
      <c r="Z86" s="23">
        <v>3</v>
      </c>
      <c r="AA86" s="28">
        <v>0.31</v>
      </c>
      <c r="AB86" s="24">
        <v>0</v>
      </c>
      <c r="AC86" s="29">
        <v>0</v>
      </c>
      <c r="AD86" s="30">
        <v>43557</v>
      </c>
      <c r="AE86" s="30">
        <v>43557</v>
      </c>
      <c r="AF86" s="23">
        <v>0</v>
      </c>
      <c r="AG86" s="25" t="s">
        <v>56</v>
      </c>
      <c r="AH86" s="24">
        <v>0</v>
      </c>
      <c r="AI86" s="31">
        <v>0</v>
      </c>
      <c r="AJ86" s="31">
        <v>0</v>
      </c>
      <c r="AK86" s="44">
        <f t="shared" si="2"/>
        <v>2466.75</v>
      </c>
      <c r="AL86">
        <f>VLOOKUP(A86,'[1]prueba con 16mil datos'!$A$1:$AE$804,31,FALSE)</f>
        <v>429</v>
      </c>
      <c r="AM86">
        <f t="shared" si="3"/>
        <v>0</v>
      </c>
      <c r="AO86">
        <f>VLOOKUP(A86,'[1]Prueba con 19mil datos'!$B$1:$AF$1228,31,FALSE)</f>
        <v>429</v>
      </c>
    </row>
    <row r="87" spans="1:44" hidden="1" x14ac:dyDescent="0.25">
      <c r="A87" s="16" t="s">
        <v>1130</v>
      </c>
      <c r="B87" s="15" t="s">
        <v>40</v>
      </c>
      <c r="C87" s="16">
        <v>1</v>
      </c>
      <c r="D87" s="16" t="s">
        <v>470</v>
      </c>
      <c r="E87" s="17" t="s">
        <v>42</v>
      </c>
      <c r="F87" s="18" t="s">
        <v>471</v>
      </c>
      <c r="G87" s="18" t="s">
        <v>472</v>
      </c>
      <c r="H87" s="16" t="s">
        <v>301</v>
      </c>
      <c r="I87" s="19" t="s">
        <v>3</v>
      </c>
      <c r="J87" s="16" t="s">
        <v>12</v>
      </c>
      <c r="K87" s="20" t="s">
        <v>265</v>
      </c>
      <c r="L87" s="20" t="s">
        <v>474</v>
      </c>
      <c r="M87" s="16" t="s">
        <v>267</v>
      </c>
      <c r="N87" s="16">
        <v>0</v>
      </c>
      <c r="O87" s="16" t="s">
        <v>50</v>
      </c>
      <c r="P87" s="20">
        <v>15</v>
      </c>
      <c r="Q87" s="20" t="s">
        <v>65</v>
      </c>
      <c r="R87" s="21" t="s">
        <v>186</v>
      </c>
      <c r="S87" s="22" t="s">
        <v>187</v>
      </c>
      <c r="T87" s="22" t="s">
        <v>54</v>
      </c>
      <c r="U87" s="23" t="s">
        <v>201</v>
      </c>
      <c r="V87" s="24">
        <v>0.8</v>
      </c>
      <c r="W87" s="25">
        <v>1258.4000000000003</v>
      </c>
      <c r="X87" s="26">
        <v>1</v>
      </c>
      <c r="Y87" s="27">
        <v>1.75</v>
      </c>
      <c r="Z87" s="23">
        <v>4</v>
      </c>
      <c r="AA87" s="28">
        <v>0.4375</v>
      </c>
      <c r="AB87" s="24">
        <v>0</v>
      </c>
      <c r="AC87" s="29">
        <v>0</v>
      </c>
      <c r="AD87" s="30">
        <v>43557</v>
      </c>
      <c r="AE87" s="30">
        <v>43557</v>
      </c>
      <c r="AF87" s="23">
        <v>0</v>
      </c>
      <c r="AG87" s="25" t="s">
        <v>56</v>
      </c>
      <c r="AH87" s="24">
        <v>0</v>
      </c>
      <c r="AI87" s="31">
        <v>0</v>
      </c>
      <c r="AJ87" s="31">
        <v>0</v>
      </c>
      <c r="AK87" s="44">
        <f t="shared" si="2"/>
        <v>1258.4000000000003</v>
      </c>
      <c r="AL87">
        <f>VLOOKUP(A87,'[1]prueba con 16mil datos'!$A$1:$AE$804,31,FALSE)</f>
        <v>429</v>
      </c>
      <c r="AM87">
        <f t="shared" si="3"/>
        <v>0</v>
      </c>
      <c r="AO87">
        <f>VLOOKUP(A87,'[1]Prueba con 19mil datos'!$B$1:$AF$1228,31,FALSE)</f>
        <v>429</v>
      </c>
    </row>
    <row r="88" spans="1:44" hidden="1" x14ac:dyDescent="0.25">
      <c r="A88" s="16" t="s">
        <v>2308</v>
      </c>
      <c r="B88" s="15" t="s">
        <v>40</v>
      </c>
      <c r="C88" s="16">
        <v>1</v>
      </c>
      <c r="D88" s="16" t="s">
        <v>707</v>
      </c>
      <c r="E88" s="17" t="s">
        <v>42</v>
      </c>
      <c r="F88" s="18" t="s">
        <v>708</v>
      </c>
      <c r="G88" s="18" t="s">
        <v>709</v>
      </c>
      <c r="H88" s="16" t="s">
        <v>264</v>
      </c>
      <c r="I88" s="19" t="s">
        <v>3</v>
      </c>
      <c r="J88" s="16" t="s">
        <v>12</v>
      </c>
      <c r="K88" s="20" t="s">
        <v>378</v>
      </c>
      <c r="L88" s="20" t="s">
        <v>711</v>
      </c>
      <c r="M88" s="16" t="s">
        <v>267</v>
      </c>
      <c r="N88" s="16">
        <v>0</v>
      </c>
      <c r="O88" s="16" t="s">
        <v>50</v>
      </c>
      <c r="P88" s="20">
        <v>7</v>
      </c>
      <c r="Q88" s="20" t="s">
        <v>65</v>
      </c>
      <c r="R88" s="21" t="s">
        <v>148</v>
      </c>
      <c r="S88" s="22" t="s">
        <v>130</v>
      </c>
      <c r="T88" s="22" t="s">
        <v>54</v>
      </c>
      <c r="U88" s="23" t="s">
        <v>131</v>
      </c>
      <c r="V88" s="24">
        <v>0.6</v>
      </c>
      <c r="W88" s="25">
        <v>819</v>
      </c>
      <c r="X88" s="26">
        <v>1</v>
      </c>
      <c r="Y88" s="27">
        <v>0.08</v>
      </c>
      <c r="Z88" s="23">
        <v>5</v>
      </c>
      <c r="AA88" s="28">
        <v>1.6E-2</v>
      </c>
      <c r="AB88" s="24">
        <v>0</v>
      </c>
      <c r="AC88" s="29">
        <v>0</v>
      </c>
      <c r="AD88" s="30">
        <v>43557</v>
      </c>
      <c r="AE88" s="30">
        <v>43558</v>
      </c>
      <c r="AF88" s="23">
        <v>1</v>
      </c>
      <c r="AG88" s="25" t="s">
        <v>56</v>
      </c>
      <c r="AH88" s="24">
        <v>0</v>
      </c>
      <c r="AI88" s="31">
        <v>0</v>
      </c>
      <c r="AJ88" s="31">
        <v>0</v>
      </c>
      <c r="AK88" s="44">
        <f t="shared" si="2"/>
        <v>819</v>
      </c>
      <c r="AL88">
        <f>VLOOKUP(A88,'[1]prueba con 16mil datos'!$A$1:$AE$804,31,FALSE)</f>
        <v>429</v>
      </c>
      <c r="AM88">
        <f t="shared" si="3"/>
        <v>0</v>
      </c>
      <c r="AO88">
        <f>VLOOKUP(A88,'[1]Prueba con 19mil datos'!$B$1:$AF$1228,31,FALSE)</f>
        <v>429</v>
      </c>
    </row>
    <row r="89" spans="1:44" hidden="1" x14ac:dyDescent="0.25">
      <c r="A89" s="16" t="s">
        <v>1636</v>
      </c>
      <c r="B89" s="15" t="s">
        <v>40</v>
      </c>
      <c r="C89" s="16">
        <v>1</v>
      </c>
      <c r="D89" s="16" t="s">
        <v>500</v>
      </c>
      <c r="E89" s="17" t="s">
        <v>42</v>
      </c>
      <c r="F89" s="18" t="s">
        <v>501</v>
      </c>
      <c r="G89" s="18" t="s">
        <v>502</v>
      </c>
      <c r="H89" s="16" t="s">
        <v>504</v>
      </c>
      <c r="I89" s="19" t="s">
        <v>3</v>
      </c>
      <c r="J89" s="16" t="s">
        <v>12</v>
      </c>
      <c r="K89" s="20" t="s">
        <v>126</v>
      </c>
      <c r="L89" s="20" t="s">
        <v>505</v>
      </c>
      <c r="M89" s="16" t="s">
        <v>506</v>
      </c>
      <c r="N89" s="16">
        <v>0</v>
      </c>
      <c r="O89" s="16" t="s">
        <v>50</v>
      </c>
      <c r="P89" s="20">
        <v>20</v>
      </c>
      <c r="Q89" s="20" t="s">
        <v>119</v>
      </c>
      <c r="R89" s="21" t="s">
        <v>129</v>
      </c>
      <c r="S89" s="22" t="s">
        <v>130</v>
      </c>
      <c r="T89" s="22" t="s">
        <v>157</v>
      </c>
      <c r="U89" s="23" t="s">
        <v>164</v>
      </c>
      <c r="V89" s="24">
        <v>0.8</v>
      </c>
      <c r="W89" s="25">
        <v>1092</v>
      </c>
      <c r="X89" s="26">
        <v>1</v>
      </c>
      <c r="Y89" s="27">
        <v>1.83</v>
      </c>
      <c r="Z89" s="23">
        <v>9</v>
      </c>
      <c r="AA89" s="28">
        <v>0.20333333333333334</v>
      </c>
      <c r="AB89" s="24">
        <v>0</v>
      </c>
      <c r="AC89" s="29">
        <v>0</v>
      </c>
      <c r="AD89" s="30">
        <v>43557</v>
      </c>
      <c r="AE89" s="30">
        <v>43557</v>
      </c>
      <c r="AF89" s="23">
        <v>0</v>
      </c>
      <c r="AG89" s="25" t="s">
        <v>56</v>
      </c>
      <c r="AH89" s="24">
        <v>0</v>
      </c>
      <c r="AI89" s="31">
        <v>0</v>
      </c>
      <c r="AJ89" s="31">
        <v>0</v>
      </c>
      <c r="AK89" s="44">
        <f t="shared" si="2"/>
        <v>1092</v>
      </c>
      <c r="AL89" t="e">
        <f>VLOOKUP(A89,'[1]prueba con 16mil datos'!$A$1:$AE$804,31,FALSE)</f>
        <v>#N/A</v>
      </c>
      <c r="AM89" t="e">
        <f t="shared" si="3"/>
        <v>#N/A</v>
      </c>
      <c r="AO89">
        <f>VLOOKUP(A89,'[1]Prueba con 19mil datos'!$B$1:$AF$1228,31,FALSE)</f>
        <v>0</v>
      </c>
    </row>
    <row r="90" spans="1:44" hidden="1" x14ac:dyDescent="0.25">
      <c r="A90" s="16" t="s">
        <v>191</v>
      </c>
      <c r="B90" s="15" t="s">
        <v>40</v>
      </c>
      <c r="C90" s="16">
        <v>1</v>
      </c>
      <c r="D90" s="16" t="s">
        <v>547</v>
      </c>
      <c r="E90" s="17" t="s">
        <v>42</v>
      </c>
      <c r="F90" s="18" t="s">
        <v>271</v>
      </c>
      <c r="G90" s="18" t="s">
        <v>548</v>
      </c>
      <c r="H90" s="16" t="s">
        <v>73</v>
      </c>
      <c r="I90" s="19" t="s">
        <v>3</v>
      </c>
      <c r="J90" s="16" t="s">
        <v>12</v>
      </c>
      <c r="K90" s="20" t="s">
        <v>126</v>
      </c>
      <c r="L90" s="20" t="s">
        <v>422</v>
      </c>
      <c r="M90" s="16" t="s">
        <v>76</v>
      </c>
      <c r="N90" s="16">
        <v>0</v>
      </c>
      <c r="O90" s="16" t="s">
        <v>50</v>
      </c>
      <c r="P90" s="20">
        <v>96</v>
      </c>
      <c r="Q90" s="20" t="s">
        <v>51</v>
      </c>
      <c r="R90" s="21" t="s">
        <v>186</v>
      </c>
      <c r="S90" s="22" t="s">
        <v>187</v>
      </c>
      <c r="T90" s="22" t="s">
        <v>54</v>
      </c>
      <c r="U90" s="23" t="s">
        <v>550</v>
      </c>
      <c r="V90" s="24">
        <v>1.1499999999999999</v>
      </c>
      <c r="W90" s="25">
        <v>1808.95</v>
      </c>
      <c r="X90" s="26">
        <v>1</v>
      </c>
      <c r="Y90" s="27">
        <v>1.25</v>
      </c>
      <c r="Z90" s="23">
        <v>4</v>
      </c>
      <c r="AA90" s="28">
        <v>0.3125</v>
      </c>
      <c r="AB90" s="24">
        <v>0</v>
      </c>
      <c r="AC90" s="29">
        <v>0</v>
      </c>
      <c r="AD90" s="30">
        <v>43557</v>
      </c>
      <c r="AE90" s="30">
        <v>43557</v>
      </c>
      <c r="AF90" s="23">
        <v>0</v>
      </c>
      <c r="AG90" s="25" t="s">
        <v>56</v>
      </c>
      <c r="AH90" s="24">
        <v>0</v>
      </c>
      <c r="AI90" s="31">
        <v>0</v>
      </c>
      <c r="AJ90" s="31">
        <v>0</v>
      </c>
      <c r="AK90" s="44">
        <f t="shared" si="2"/>
        <v>1808.95</v>
      </c>
      <c r="AL90">
        <f>VLOOKUP(A90,'[1]prueba con 16mil datos'!$A$1:$AE$804,31,FALSE)</f>
        <v>429</v>
      </c>
      <c r="AM90">
        <f t="shared" si="3"/>
        <v>0</v>
      </c>
      <c r="AO90">
        <f>VLOOKUP(A90,'[1]Prueba con 19mil datos'!$B$1:$AF$1228,31,FALSE)</f>
        <v>429</v>
      </c>
    </row>
    <row r="91" spans="1:44" hidden="1" x14ac:dyDescent="0.25">
      <c r="A91" s="16" t="s">
        <v>581</v>
      </c>
      <c r="B91" s="15" t="s">
        <v>40</v>
      </c>
      <c r="C91" s="16">
        <v>1</v>
      </c>
      <c r="D91" s="16" t="s">
        <v>696</v>
      </c>
      <c r="E91" s="17" t="s">
        <v>42</v>
      </c>
      <c r="F91" s="18" t="s">
        <v>271</v>
      </c>
      <c r="G91" s="18" t="s">
        <v>697</v>
      </c>
      <c r="H91" s="16" t="s">
        <v>221</v>
      </c>
      <c r="I91" s="19" t="s">
        <v>3</v>
      </c>
      <c r="J91" s="16" t="s">
        <v>12</v>
      </c>
      <c r="K91" s="20" t="s">
        <v>126</v>
      </c>
      <c r="L91" s="20" t="s">
        <v>699</v>
      </c>
      <c r="M91" s="16" t="s">
        <v>490</v>
      </c>
      <c r="N91" s="16">
        <v>0</v>
      </c>
      <c r="O91" s="16" t="s">
        <v>50</v>
      </c>
      <c r="P91" s="20">
        <v>117</v>
      </c>
      <c r="Q91" s="20" t="s">
        <v>51</v>
      </c>
      <c r="R91" s="21" t="s">
        <v>186</v>
      </c>
      <c r="S91" s="22" t="s">
        <v>187</v>
      </c>
      <c r="T91" s="22" t="s">
        <v>54</v>
      </c>
      <c r="U91" s="23" t="s">
        <v>550</v>
      </c>
      <c r="V91" s="24">
        <v>1.1499999999999999</v>
      </c>
      <c r="W91" s="25">
        <v>1808.95</v>
      </c>
      <c r="X91" s="26">
        <v>1</v>
      </c>
      <c r="Y91" s="27">
        <v>1.1200000000000001</v>
      </c>
      <c r="Z91" s="23">
        <v>4</v>
      </c>
      <c r="AA91" s="28">
        <v>0.28000000000000003</v>
      </c>
      <c r="AB91" s="24">
        <v>0</v>
      </c>
      <c r="AC91" s="29">
        <v>0</v>
      </c>
      <c r="AD91" s="30">
        <v>43557</v>
      </c>
      <c r="AE91" s="30">
        <v>43558</v>
      </c>
      <c r="AF91" s="23">
        <v>1</v>
      </c>
      <c r="AG91" s="25" t="s">
        <v>56</v>
      </c>
      <c r="AH91" s="24">
        <v>0</v>
      </c>
      <c r="AI91" s="31">
        <v>0</v>
      </c>
      <c r="AJ91" s="31">
        <v>0</v>
      </c>
      <c r="AK91" s="44">
        <f t="shared" si="2"/>
        <v>1808.95</v>
      </c>
      <c r="AL91">
        <f>VLOOKUP(A91,'[1]prueba con 16mil datos'!$A$1:$AE$804,31,FALSE)</f>
        <v>572</v>
      </c>
      <c r="AM91">
        <f t="shared" si="3"/>
        <v>0</v>
      </c>
      <c r="AO91">
        <f>VLOOKUP(A91,'[1]Prueba con 19mil datos'!$B$1:$AF$1228,31,FALSE)</f>
        <v>572</v>
      </c>
    </row>
    <row r="92" spans="1:44" hidden="1" x14ac:dyDescent="0.25">
      <c r="A92" s="16" t="s">
        <v>2682</v>
      </c>
      <c r="B92" s="15" t="s">
        <v>40</v>
      </c>
      <c r="C92" s="16">
        <v>1</v>
      </c>
      <c r="D92" s="16" t="s">
        <v>519</v>
      </c>
      <c r="E92" s="17" t="s">
        <v>42</v>
      </c>
      <c r="F92" s="18" t="s">
        <v>255</v>
      </c>
      <c r="G92" s="18" t="s">
        <v>520</v>
      </c>
      <c r="H92" s="16" t="s">
        <v>301</v>
      </c>
      <c r="I92" s="19" t="s">
        <v>3</v>
      </c>
      <c r="J92" s="16" t="s">
        <v>12</v>
      </c>
      <c r="K92" s="20" t="s">
        <v>47</v>
      </c>
      <c r="L92" s="20" t="s">
        <v>48</v>
      </c>
      <c r="M92" s="16" t="s">
        <v>49</v>
      </c>
      <c r="N92" s="16">
        <v>0</v>
      </c>
      <c r="O92" s="16" t="s">
        <v>50</v>
      </c>
      <c r="P92" s="20">
        <v>8</v>
      </c>
      <c r="Q92" s="20" t="s">
        <v>65</v>
      </c>
      <c r="R92" s="21" t="s">
        <v>129</v>
      </c>
      <c r="S92" s="22" t="s">
        <v>130</v>
      </c>
      <c r="T92" s="22" t="s">
        <v>54</v>
      </c>
      <c r="U92" s="23" t="s">
        <v>131</v>
      </c>
      <c r="V92" s="24">
        <v>0.6</v>
      </c>
      <c r="W92" s="25">
        <v>819</v>
      </c>
      <c r="X92" s="26">
        <v>1</v>
      </c>
      <c r="Y92" s="27">
        <v>0</v>
      </c>
      <c r="Z92" s="23">
        <v>5</v>
      </c>
      <c r="AA92" s="28">
        <v>0</v>
      </c>
      <c r="AB92" s="24">
        <v>0</v>
      </c>
      <c r="AC92" s="29">
        <v>0</v>
      </c>
      <c r="AD92" s="30">
        <v>43557</v>
      </c>
      <c r="AE92" s="30">
        <v>43557</v>
      </c>
      <c r="AF92" s="23">
        <v>0</v>
      </c>
      <c r="AG92" s="25" t="s">
        <v>56</v>
      </c>
      <c r="AH92" s="24">
        <v>0</v>
      </c>
      <c r="AI92" s="31">
        <v>0</v>
      </c>
      <c r="AJ92" s="31">
        <v>0</v>
      </c>
      <c r="AK92" s="44">
        <f t="shared" si="2"/>
        <v>819</v>
      </c>
      <c r="AL92" t="e">
        <f>VLOOKUP(A92,'[1]prueba con 16mil datos'!$A$1:$AE$804,31,FALSE)</f>
        <v>#N/A</v>
      </c>
      <c r="AM92" t="e">
        <f t="shared" si="3"/>
        <v>#N/A</v>
      </c>
      <c r="AO92">
        <f>VLOOKUP(A92,'[1]Prueba con 19mil datos'!$B$1:$AF$1228,31,FALSE)</f>
        <v>572</v>
      </c>
    </row>
    <row r="93" spans="1:44" hidden="1" x14ac:dyDescent="0.25">
      <c r="A93" s="16" t="s">
        <v>2682</v>
      </c>
      <c r="B93" s="15" t="s">
        <v>40</v>
      </c>
      <c r="C93" s="16">
        <v>1</v>
      </c>
      <c r="D93" s="16" t="s">
        <v>613</v>
      </c>
      <c r="E93" s="17" t="s">
        <v>42</v>
      </c>
      <c r="F93" s="18" t="s">
        <v>537</v>
      </c>
      <c r="G93" s="18" t="s">
        <v>614</v>
      </c>
      <c r="H93" s="16" t="s">
        <v>82</v>
      </c>
      <c r="I93" s="19" t="s">
        <v>3</v>
      </c>
      <c r="J93" s="16" t="s">
        <v>12</v>
      </c>
      <c r="K93" s="20" t="s">
        <v>83</v>
      </c>
      <c r="L93" s="20" t="s">
        <v>616</v>
      </c>
      <c r="M93" s="16" t="s">
        <v>617</v>
      </c>
      <c r="N93" s="16">
        <v>0</v>
      </c>
      <c r="O93" s="16" t="s">
        <v>50</v>
      </c>
      <c r="P93" s="20">
        <v>32</v>
      </c>
      <c r="Q93" s="20" t="s">
        <v>86</v>
      </c>
      <c r="R93" s="21" t="s">
        <v>129</v>
      </c>
      <c r="S93" s="22" t="s">
        <v>130</v>
      </c>
      <c r="T93" s="22" t="s">
        <v>54</v>
      </c>
      <c r="U93" s="23" t="s">
        <v>178</v>
      </c>
      <c r="V93" s="24">
        <v>1.05</v>
      </c>
      <c r="W93" s="25">
        <v>1433.25</v>
      </c>
      <c r="X93" s="26">
        <v>1</v>
      </c>
      <c r="Y93" s="27">
        <v>0.82</v>
      </c>
      <c r="Z93" s="23">
        <v>5</v>
      </c>
      <c r="AA93" s="28">
        <v>0.16399999999999998</v>
      </c>
      <c r="AB93" s="24">
        <v>0</v>
      </c>
      <c r="AC93" s="29">
        <v>0</v>
      </c>
      <c r="AD93" s="30">
        <v>43557</v>
      </c>
      <c r="AE93" s="30">
        <v>43558</v>
      </c>
      <c r="AF93" s="23">
        <v>1</v>
      </c>
      <c r="AG93" s="25" t="s">
        <v>56</v>
      </c>
      <c r="AH93" s="24">
        <v>0</v>
      </c>
      <c r="AI93" s="31">
        <v>0</v>
      </c>
      <c r="AJ93" s="31">
        <v>0</v>
      </c>
      <c r="AK93" s="44">
        <f t="shared" si="2"/>
        <v>1433.25</v>
      </c>
      <c r="AL93" t="e">
        <f>VLOOKUP(A93,'[1]prueba con 16mil datos'!$A$1:$AE$804,31,FALSE)</f>
        <v>#N/A</v>
      </c>
      <c r="AM93" t="e">
        <f t="shared" si="3"/>
        <v>#N/A</v>
      </c>
      <c r="AO93">
        <f>VLOOKUP(A93,'[1]Prueba con 19mil datos'!$B$1:$AF$1228,31,FALSE)</f>
        <v>572</v>
      </c>
    </row>
    <row r="94" spans="1:44" hidden="1" x14ac:dyDescent="0.25">
      <c r="A94" s="16" t="s">
        <v>1772</v>
      </c>
      <c r="B94" s="15" t="s">
        <v>40</v>
      </c>
      <c r="C94" s="16">
        <v>1</v>
      </c>
      <c r="D94" s="16" t="s">
        <v>436</v>
      </c>
      <c r="E94" s="17" t="s">
        <v>42</v>
      </c>
      <c r="F94" s="18" t="s">
        <v>437</v>
      </c>
      <c r="G94" s="18" t="s">
        <v>438</v>
      </c>
      <c r="H94" s="16" t="s">
        <v>440</v>
      </c>
      <c r="I94" s="19" t="s">
        <v>3</v>
      </c>
      <c r="J94" s="16" t="s">
        <v>12</v>
      </c>
      <c r="K94" s="20" t="s">
        <v>441</v>
      </c>
      <c r="L94" s="20" t="s">
        <v>442</v>
      </c>
      <c r="M94" s="16" t="s">
        <v>118</v>
      </c>
      <c r="N94" s="16">
        <v>0</v>
      </c>
      <c r="O94" s="16" t="s">
        <v>50</v>
      </c>
      <c r="P94" s="20">
        <v>2678</v>
      </c>
      <c r="Q94" s="20" t="s">
        <v>51</v>
      </c>
      <c r="R94" s="21" t="s">
        <v>77</v>
      </c>
      <c r="S94" s="22" t="s">
        <v>53</v>
      </c>
      <c r="T94" s="22" t="s">
        <v>54</v>
      </c>
      <c r="U94" s="23" t="s">
        <v>55</v>
      </c>
      <c r="V94" s="24">
        <v>1.05</v>
      </c>
      <c r="W94" s="25">
        <v>750.75000000000011</v>
      </c>
      <c r="X94" s="26">
        <v>1</v>
      </c>
      <c r="Y94" s="27">
        <v>1.6</v>
      </c>
      <c r="Z94" s="23">
        <v>5</v>
      </c>
      <c r="AA94" s="28">
        <v>0.32</v>
      </c>
      <c r="AB94" s="24">
        <v>0</v>
      </c>
      <c r="AC94" s="29">
        <v>0</v>
      </c>
      <c r="AD94" s="30">
        <v>43557</v>
      </c>
      <c r="AE94" s="30">
        <v>43557</v>
      </c>
      <c r="AF94" s="23">
        <v>0</v>
      </c>
      <c r="AG94" s="25" t="s">
        <v>56</v>
      </c>
      <c r="AH94" s="24">
        <v>0</v>
      </c>
      <c r="AI94" s="31">
        <v>0</v>
      </c>
      <c r="AJ94" s="31">
        <v>0</v>
      </c>
      <c r="AK94" s="44">
        <f t="shared" si="2"/>
        <v>750.75000000000011</v>
      </c>
      <c r="AL94" t="e">
        <f>VLOOKUP(A94,'[1]prueba con 16mil datos'!$A$1:$AE$804,31,FALSE)</f>
        <v>#N/A</v>
      </c>
      <c r="AM94" t="e">
        <f t="shared" si="3"/>
        <v>#N/A</v>
      </c>
      <c r="AO94">
        <f>VLOOKUP(A94,'[1]Prueba con 19mil datos'!$B$1:$AF$1228,31,FALSE)</f>
        <v>0</v>
      </c>
    </row>
    <row r="95" spans="1:44" hidden="1" x14ac:dyDescent="0.25">
      <c r="A95" s="16" t="s">
        <v>1772</v>
      </c>
      <c r="B95" s="15" t="s">
        <v>40</v>
      </c>
      <c r="C95" s="16">
        <v>1</v>
      </c>
      <c r="D95" s="16" t="s">
        <v>567</v>
      </c>
      <c r="E95" s="17" t="s">
        <v>42</v>
      </c>
      <c r="F95" s="18" t="s">
        <v>90</v>
      </c>
      <c r="G95" s="18" t="s">
        <v>568</v>
      </c>
      <c r="H95" s="16" t="s">
        <v>346</v>
      </c>
      <c r="I95" s="19" t="s">
        <v>3</v>
      </c>
      <c r="J95" s="16" t="s">
        <v>12</v>
      </c>
      <c r="K95" s="20" t="s">
        <v>570</v>
      </c>
      <c r="L95" s="20" t="s">
        <v>571</v>
      </c>
      <c r="M95" s="16" t="s">
        <v>146</v>
      </c>
      <c r="N95" s="16">
        <v>0</v>
      </c>
      <c r="O95" s="16" t="s">
        <v>50</v>
      </c>
      <c r="P95" s="20">
        <v>4</v>
      </c>
      <c r="Q95" s="20" t="s">
        <v>311</v>
      </c>
      <c r="R95" s="21" t="s">
        <v>77</v>
      </c>
      <c r="S95" s="22" t="s">
        <v>53</v>
      </c>
      <c r="T95" s="22" t="s">
        <v>54</v>
      </c>
      <c r="U95" s="23" t="s">
        <v>572</v>
      </c>
      <c r="V95" s="24">
        <v>0</v>
      </c>
      <c r="W95" s="25">
        <v>0</v>
      </c>
      <c r="X95" s="26">
        <v>1</v>
      </c>
      <c r="Y95" s="27">
        <v>0.63</v>
      </c>
      <c r="Z95" s="23">
        <v>5</v>
      </c>
      <c r="AA95" s="28">
        <v>0.126</v>
      </c>
      <c r="AB95" s="24">
        <v>0</v>
      </c>
      <c r="AC95" s="29">
        <v>0</v>
      </c>
      <c r="AD95" s="30">
        <v>43557</v>
      </c>
      <c r="AE95" s="30">
        <v>43557</v>
      </c>
      <c r="AF95" s="23">
        <v>0</v>
      </c>
      <c r="AG95" s="25" t="s">
        <v>56</v>
      </c>
      <c r="AH95" s="24">
        <v>0</v>
      </c>
      <c r="AI95" s="31">
        <v>0</v>
      </c>
      <c r="AJ95" s="31">
        <v>0</v>
      </c>
      <c r="AK95" s="44">
        <f t="shared" si="2"/>
        <v>0</v>
      </c>
      <c r="AL95" t="e">
        <f>VLOOKUP(A95,'[1]prueba con 16mil datos'!$A$1:$AE$804,31,FALSE)</f>
        <v>#N/A</v>
      </c>
      <c r="AM95" t="e">
        <f t="shared" si="3"/>
        <v>#N/A</v>
      </c>
      <c r="AO95">
        <f>VLOOKUP(A95,'[1]Prueba con 19mil datos'!$B$1:$AF$1228,31,FALSE)</f>
        <v>0</v>
      </c>
    </row>
    <row r="96" spans="1:44" hidden="1" x14ac:dyDescent="0.25">
      <c r="A96" s="16" t="s">
        <v>1772</v>
      </c>
      <c r="B96" s="15" t="s">
        <v>40</v>
      </c>
      <c r="C96" s="16">
        <v>1</v>
      </c>
      <c r="D96" s="16" t="s">
        <v>527</v>
      </c>
      <c r="E96" s="17" t="s">
        <v>42</v>
      </c>
      <c r="F96" s="18" t="s">
        <v>528</v>
      </c>
      <c r="G96" s="18" t="s">
        <v>529</v>
      </c>
      <c r="H96" s="16" t="s">
        <v>115</v>
      </c>
      <c r="I96" s="19" t="s">
        <v>3</v>
      </c>
      <c r="J96" s="16" t="s">
        <v>12</v>
      </c>
      <c r="K96" s="20" t="s">
        <v>531</v>
      </c>
      <c r="L96" s="20" t="s">
        <v>532</v>
      </c>
      <c r="M96" s="16" t="s">
        <v>118</v>
      </c>
      <c r="N96" s="16">
        <v>0</v>
      </c>
      <c r="O96" s="16" t="s">
        <v>50</v>
      </c>
      <c r="P96" s="20">
        <v>2660</v>
      </c>
      <c r="Q96" s="20" t="s">
        <v>51</v>
      </c>
      <c r="R96" s="21" t="s">
        <v>148</v>
      </c>
      <c r="S96" s="22" t="s">
        <v>130</v>
      </c>
      <c r="T96" s="22" t="s">
        <v>54</v>
      </c>
      <c r="U96" s="23" t="s">
        <v>226</v>
      </c>
      <c r="V96" s="24">
        <v>1.1000000000000001</v>
      </c>
      <c r="W96" s="25">
        <v>1501.5000000000002</v>
      </c>
      <c r="X96" s="26">
        <v>1</v>
      </c>
      <c r="Y96" s="27">
        <v>2.42</v>
      </c>
      <c r="Z96" s="23">
        <v>5</v>
      </c>
      <c r="AA96" s="28">
        <v>0.48399999999999999</v>
      </c>
      <c r="AB96" s="24">
        <v>0</v>
      </c>
      <c r="AC96" s="29">
        <v>0</v>
      </c>
      <c r="AD96" s="30">
        <v>43557</v>
      </c>
      <c r="AE96" s="30">
        <v>43557</v>
      </c>
      <c r="AF96" s="23">
        <v>0</v>
      </c>
      <c r="AG96" s="25" t="s">
        <v>56</v>
      </c>
      <c r="AH96" s="24">
        <v>0</v>
      </c>
      <c r="AI96" s="31">
        <v>0</v>
      </c>
      <c r="AJ96" s="31">
        <v>0</v>
      </c>
      <c r="AK96" s="44">
        <f t="shared" si="2"/>
        <v>1501.5000000000002</v>
      </c>
      <c r="AL96" t="e">
        <f>VLOOKUP(A96,'[1]prueba con 16mil datos'!$A$1:$AE$804,31,FALSE)</f>
        <v>#N/A</v>
      </c>
      <c r="AM96" t="e">
        <f t="shared" si="3"/>
        <v>#N/A</v>
      </c>
      <c r="AO96">
        <f>VLOOKUP(A96,'[1]Prueba con 19mil datos'!$B$1:$AF$1228,31,FALSE)</f>
        <v>0</v>
      </c>
    </row>
    <row r="97" spans="1:41" hidden="1" x14ac:dyDescent="0.25">
      <c r="A97" s="16" t="s">
        <v>1772</v>
      </c>
      <c r="B97" s="15" t="s">
        <v>40</v>
      </c>
      <c r="C97" s="16">
        <v>1</v>
      </c>
      <c r="D97" s="16" t="s">
        <v>448</v>
      </c>
      <c r="E97" s="17" t="s">
        <v>42</v>
      </c>
      <c r="F97" s="18" t="s">
        <v>449</v>
      </c>
      <c r="G97" s="18" t="s">
        <v>450</v>
      </c>
      <c r="H97" s="16" t="s">
        <v>183</v>
      </c>
      <c r="I97" s="19" t="s">
        <v>3</v>
      </c>
      <c r="J97" s="16" t="s">
        <v>12</v>
      </c>
      <c r="K97" s="20" t="s">
        <v>452</v>
      </c>
      <c r="L97" s="20" t="s">
        <v>453</v>
      </c>
      <c r="M97" s="16" t="s">
        <v>454</v>
      </c>
      <c r="N97" s="16">
        <v>1</v>
      </c>
      <c r="O97" s="16" t="s">
        <v>50</v>
      </c>
      <c r="P97" s="20">
        <v>21</v>
      </c>
      <c r="Q97" s="20" t="s">
        <v>119</v>
      </c>
      <c r="R97" s="21" t="s">
        <v>186</v>
      </c>
      <c r="S97" s="22" t="s">
        <v>187</v>
      </c>
      <c r="T97" s="22" t="s">
        <v>54</v>
      </c>
      <c r="U97" s="23" t="s">
        <v>269</v>
      </c>
      <c r="V97" s="24">
        <v>1.05</v>
      </c>
      <c r="W97" s="25">
        <v>0</v>
      </c>
      <c r="X97" s="26">
        <v>1</v>
      </c>
      <c r="Y97" s="27">
        <v>0.62</v>
      </c>
      <c r="Z97" s="23">
        <v>4</v>
      </c>
      <c r="AA97" s="28">
        <v>0.155</v>
      </c>
      <c r="AB97" s="24">
        <v>0</v>
      </c>
      <c r="AC97" s="29">
        <v>0</v>
      </c>
      <c r="AD97" s="30">
        <v>43557</v>
      </c>
      <c r="AE97" s="30">
        <v>43557</v>
      </c>
      <c r="AF97" s="23">
        <v>0</v>
      </c>
      <c r="AG97" s="25" t="s">
        <v>56</v>
      </c>
      <c r="AH97" s="24">
        <v>0</v>
      </c>
      <c r="AI97" s="31">
        <v>0</v>
      </c>
      <c r="AJ97" s="31">
        <v>0</v>
      </c>
      <c r="AK97" s="44">
        <f t="shared" si="2"/>
        <v>0</v>
      </c>
      <c r="AL97" t="e">
        <f>VLOOKUP(A97,'[1]prueba con 16mil datos'!$A$1:$AE$804,31,FALSE)</f>
        <v>#N/A</v>
      </c>
      <c r="AM97" t="e">
        <f t="shared" si="3"/>
        <v>#N/A</v>
      </c>
      <c r="AO97">
        <f>VLOOKUP(A97,'[1]Prueba con 19mil datos'!$B$1:$AF$1228,31,FALSE)</f>
        <v>0</v>
      </c>
    </row>
    <row r="98" spans="1:41" hidden="1" x14ac:dyDescent="0.25">
      <c r="A98" s="16" t="s">
        <v>1006</v>
      </c>
      <c r="B98" s="15" t="s">
        <v>40</v>
      </c>
      <c r="C98" s="16">
        <v>1</v>
      </c>
      <c r="D98" s="16" t="s">
        <v>536</v>
      </c>
      <c r="E98" s="17" t="s">
        <v>42</v>
      </c>
      <c r="F98" s="18" t="s">
        <v>537</v>
      </c>
      <c r="G98" s="18" t="s">
        <v>538</v>
      </c>
      <c r="H98" s="16" t="s">
        <v>540</v>
      </c>
      <c r="I98" s="19" t="s">
        <v>3</v>
      </c>
      <c r="J98" s="16" t="s">
        <v>12</v>
      </c>
      <c r="K98" s="20" t="s">
        <v>541</v>
      </c>
      <c r="L98" s="20" t="s">
        <v>542</v>
      </c>
      <c r="M98" s="16" t="s">
        <v>105</v>
      </c>
      <c r="N98" s="16">
        <v>1</v>
      </c>
      <c r="O98" s="16" t="s">
        <v>50</v>
      </c>
      <c r="P98" s="20">
        <v>28</v>
      </c>
      <c r="Q98" s="20" t="s">
        <v>119</v>
      </c>
      <c r="R98" s="21" t="s">
        <v>129</v>
      </c>
      <c r="S98" s="22" t="s">
        <v>130</v>
      </c>
      <c r="T98" s="22" t="s">
        <v>54</v>
      </c>
      <c r="U98" s="23" t="s">
        <v>164</v>
      </c>
      <c r="V98" s="24">
        <v>0.8</v>
      </c>
      <c r="W98" s="25">
        <v>0</v>
      </c>
      <c r="X98" s="26">
        <v>1</v>
      </c>
      <c r="Y98" s="27">
        <v>0.63</v>
      </c>
      <c r="Z98" s="23">
        <v>5</v>
      </c>
      <c r="AA98" s="28">
        <v>0.126</v>
      </c>
      <c r="AB98" s="24">
        <v>0</v>
      </c>
      <c r="AC98" s="29">
        <v>0</v>
      </c>
      <c r="AD98" s="30">
        <v>43557</v>
      </c>
      <c r="AE98" s="30">
        <v>43557</v>
      </c>
      <c r="AF98" s="23">
        <v>0</v>
      </c>
      <c r="AG98" s="25" t="s">
        <v>56</v>
      </c>
      <c r="AH98" s="24">
        <v>0</v>
      </c>
      <c r="AI98" s="31">
        <v>0</v>
      </c>
      <c r="AJ98" s="31">
        <v>0</v>
      </c>
      <c r="AK98" s="44">
        <f t="shared" si="2"/>
        <v>0</v>
      </c>
      <c r="AL98" t="e">
        <f>VLOOKUP(A98,'[1]prueba con 16mil datos'!$A$1:$AE$804,31,FALSE)</f>
        <v>#N/A</v>
      </c>
      <c r="AM98" t="e">
        <f t="shared" si="3"/>
        <v>#N/A</v>
      </c>
      <c r="AO98">
        <f>VLOOKUP(A98,'[1]Prueba con 19mil datos'!$B$1:$AF$1228,31,FALSE)</f>
        <v>0</v>
      </c>
    </row>
    <row r="99" spans="1:41" hidden="1" x14ac:dyDescent="0.25">
      <c r="A99" s="16" t="s">
        <v>1980</v>
      </c>
      <c r="B99" s="15" t="s">
        <v>40</v>
      </c>
      <c r="C99" s="16">
        <v>1</v>
      </c>
      <c r="D99" s="16" t="s">
        <v>587</v>
      </c>
      <c r="E99" s="17" t="s">
        <v>42</v>
      </c>
      <c r="F99" s="18" t="s">
        <v>140</v>
      </c>
      <c r="G99" s="18" t="s">
        <v>588</v>
      </c>
      <c r="H99" s="16" t="s">
        <v>93</v>
      </c>
      <c r="I99" s="19" t="s">
        <v>3</v>
      </c>
      <c r="J99" s="16" t="s">
        <v>12</v>
      </c>
      <c r="K99" s="20" t="s">
        <v>161</v>
      </c>
      <c r="L99" s="20" t="s">
        <v>590</v>
      </c>
      <c r="M99" s="16" t="s">
        <v>591</v>
      </c>
      <c r="N99" s="16">
        <v>1</v>
      </c>
      <c r="O99" s="16" t="s">
        <v>97</v>
      </c>
      <c r="P99" s="20">
        <v>12</v>
      </c>
      <c r="Q99" s="20" t="s">
        <v>65</v>
      </c>
      <c r="R99" s="21" t="s">
        <v>148</v>
      </c>
      <c r="S99" s="22" t="s">
        <v>130</v>
      </c>
      <c r="T99" s="22" t="s">
        <v>54</v>
      </c>
      <c r="U99" s="23" t="s">
        <v>131</v>
      </c>
      <c r="V99" s="24">
        <v>0.6</v>
      </c>
      <c r="W99" s="25">
        <v>0</v>
      </c>
      <c r="X99" s="26">
        <v>1</v>
      </c>
      <c r="Y99" s="27">
        <v>2.81</v>
      </c>
      <c r="Z99" s="23">
        <v>5</v>
      </c>
      <c r="AA99" s="28">
        <v>0.56200000000000006</v>
      </c>
      <c r="AB99" s="24">
        <v>0</v>
      </c>
      <c r="AC99" s="29">
        <v>0</v>
      </c>
      <c r="AD99" s="30">
        <v>43557</v>
      </c>
      <c r="AE99" s="30">
        <v>43557</v>
      </c>
      <c r="AF99" s="23">
        <v>0</v>
      </c>
      <c r="AG99" s="25" t="s">
        <v>56</v>
      </c>
      <c r="AH99" s="24">
        <v>0</v>
      </c>
      <c r="AI99" s="31">
        <v>0</v>
      </c>
      <c r="AJ99" s="31">
        <v>0</v>
      </c>
      <c r="AK99" s="44">
        <f t="shared" si="2"/>
        <v>0</v>
      </c>
      <c r="AL99" t="e">
        <f>VLOOKUP(A99,'[1]prueba con 16mil datos'!$A$1:$AE$804,31,FALSE)</f>
        <v>#N/A</v>
      </c>
      <c r="AM99" t="e">
        <f t="shared" si="3"/>
        <v>#N/A</v>
      </c>
      <c r="AO99">
        <f>VLOOKUP(A99,'[1]Prueba con 19mil datos'!$B$1:$AF$1228,31,FALSE)</f>
        <v>429</v>
      </c>
    </row>
    <row r="100" spans="1:41" hidden="1" x14ac:dyDescent="0.25">
      <c r="A100" s="16" t="s">
        <v>1891</v>
      </c>
      <c r="B100" s="15" t="s">
        <v>40</v>
      </c>
      <c r="C100" s="16">
        <v>1</v>
      </c>
      <c r="D100" s="16" t="s">
        <v>601</v>
      </c>
      <c r="E100" s="17" t="s">
        <v>602</v>
      </c>
      <c r="F100" s="18" t="s">
        <v>449</v>
      </c>
      <c r="G100" s="18" t="s">
        <v>603</v>
      </c>
      <c r="H100" s="16" t="s">
        <v>183</v>
      </c>
      <c r="I100" s="19" t="s">
        <v>3</v>
      </c>
      <c r="J100" s="16" t="s">
        <v>12</v>
      </c>
      <c r="K100" s="20" t="s">
        <v>605</v>
      </c>
      <c r="L100" s="20" t="s">
        <v>606</v>
      </c>
      <c r="M100" s="16" t="s">
        <v>454</v>
      </c>
      <c r="N100" s="16">
        <v>1</v>
      </c>
      <c r="O100" s="16" t="s">
        <v>50</v>
      </c>
      <c r="P100" s="20" t="s">
        <v>326</v>
      </c>
      <c r="Q100" s="20" t="s">
        <v>51</v>
      </c>
      <c r="R100" s="21" t="s">
        <v>186</v>
      </c>
      <c r="S100" s="22" t="s">
        <v>187</v>
      </c>
      <c r="T100" s="22" t="s">
        <v>54</v>
      </c>
      <c r="U100" s="23" t="s">
        <v>550</v>
      </c>
      <c r="V100" s="24">
        <v>1</v>
      </c>
      <c r="W100" s="25">
        <v>0</v>
      </c>
      <c r="X100" s="26">
        <v>1</v>
      </c>
      <c r="Y100" s="27">
        <v>9.91</v>
      </c>
      <c r="Z100" s="23">
        <v>4</v>
      </c>
      <c r="AA100" s="28">
        <v>2.4775</v>
      </c>
      <c r="AB100" s="24">
        <v>0.36937500000000001</v>
      </c>
      <c r="AC100" s="29">
        <v>-581.02687500000013</v>
      </c>
      <c r="AD100" s="30">
        <v>43557</v>
      </c>
      <c r="AE100" s="30">
        <v>43558</v>
      </c>
      <c r="AF100" s="23">
        <v>1</v>
      </c>
      <c r="AG100" s="25" t="s">
        <v>56</v>
      </c>
      <c r="AH100" s="24">
        <v>0</v>
      </c>
      <c r="AI100" s="31">
        <v>0</v>
      </c>
      <c r="AJ100" s="31">
        <v>0</v>
      </c>
      <c r="AK100" s="44">
        <f t="shared" si="2"/>
        <v>-581.02687500000013</v>
      </c>
      <c r="AL100" t="e">
        <f>VLOOKUP(A100,'[1]prueba con 16mil datos'!$A$1:$AE$804,31,FALSE)</f>
        <v>#N/A</v>
      </c>
      <c r="AM100" t="e">
        <f t="shared" si="3"/>
        <v>#N/A</v>
      </c>
      <c r="AO100">
        <f>VLOOKUP(A100,'[1]Prueba con 19mil datos'!$B$1:$AF$1228,31,FALSE)</f>
        <v>0</v>
      </c>
    </row>
    <row r="101" spans="1:41" hidden="1" x14ac:dyDescent="0.25">
      <c r="A101" s="16" t="s">
        <v>2351</v>
      </c>
      <c r="B101" s="15" t="s">
        <v>40</v>
      </c>
      <c r="C101" s="16">
        <v>1</v>
      </c>
      <c r="D101" s="16" t="s">
        <v>857</v>
      </c>
      <c r="E101" s="17" t="s">
        <v>42</v>
      </c>
      <c r="F101" s="18" t="s">
        <v>391</v>
      </c>
      <c r="G101" s="18" t="s">
        <v>858</v>
      </c>
      <c r="H101" s="16" t="s">
        <v>516</v>
      </c>
      <c r="I101" s="19" t="s">
        <v>3</v>
      </c>
      <c r="J101" s="16" t="s">
        <v>12</v>
      </c>
      <c r="K101" s="20" t="s">
        <v>198</v>
      </c>
      <c r="L101" s="20" t="s">
        <v>860</v>
      </c>
      <c r="M101" s="16" t="s">
        <v>429</v>
      </c>
      <c r="N101" s="16">
        <v>0</v>
      </c>
      <c r="O101" s="16" t="s">
        <v>50</v>
      </c>
      <c r="P101" s="20">
        <v>6</v>
      </c>
      <c r="Q101" s="20" t="s">
        <v>311</v>
      </c>
      <c r="R101" s="21" t="s">
        <v>129</v>
      </c>
      <c r="S101" s="22" t="s">
        <v>130</v>
      </c>
      <c r="T101" s="22" t="s">
        <v>54</v>
      </c>
      <c r="U101" s="23" t="s">
        <v>312</v>
      </c>
      <c r="V101" s="24">
        <v>0</v>
      </c>
      <c r="W101" s="25">
        <v>0</v>
      </c>
      <c r="X101" s="26">
        <v>1</v>
      </c>
      <c r="Y101" s="27">
        <v>1.28</v>
      </c>
      <c r="Z101" s="23">
        <v>5</v>
      </c>
      <c r="AA101" s="28">
        <v>0.25600000000000001</v>
      </c>
      <c r="AB101" s="24">
        <v>0</v>
      </c>
      <c r="AC101" s="29">
        <v>0</v>
      </c>
      <c r="AD101" s="30">
        <v>43558</v>
      </c>
      <c r="AE101" s="30">
        <v>43559</v>
      </c>
      <c r="AF101" s="23">
        <v>1</v>
      </c>
      <c r="AG101" s="25" t="s">
        <v>56</v>
      </c>
      <c r="AH101" s="24">
        <v>0</v>
      </c>
      <c r="AI101" s="31">
        <v>0</v>
      </c>
      <c r="AJ101" s="31">
        <v>0</v>
      </c>
      <c r="AK101" s="44">
        <f t="shared" si="2"/>
        <v>0</v>
      </c>
      <c r="AL101">
        <f>VLOOKUP(A101,'[1]prueba con 16mil datos'!$A$1:$AE$804,31,FALSE)</f>
        <v>1808.95</v>
      </c>
      <c r="AM101">
        <f t="shared" si="3"/>
        <v>0</v>
      </c>
      <c r="AO101">
        <f>VLOOKUP(A101,'[1]Prueba con 19mil datos'!$B$1:$AF$1228,31,FALSE)</f>
        <v>1808.95</v>
      </c>
    </row>
    <row r="102" spans="1:41" hidden="1" x14ac:dyDescent="0.25">
      <c r="A102" s="16" t="s">
        <v>2351</v>
      </c>
      <c r="B102" s="15" t="s">
        <v>40</v>
      </c>
      <c r="C102" s="16">
        <v>1</v>
      </c>
      <c r="D102" s="16" t="s">
        <v>771</v>
      </c>
      <c r="E102" s="17" t="s">
        <v>42</v>
      </c>
      <c r="F102" s="18" t="s">
        <v>772</v>
      </c>
      <c r="G102" s="18" t="s">
        <v>773</v>
      </c>
      <c r="H102" s="16" t="s">
        <v>221</v>
      </c>
      <c r="I102" s="19" t="s">
        <v>3</v>
      </c>
      <c r="J102" s="16" t="s">
        <v>12</v>
      </c>
      <c r="K102" s="20" t="s">
        <v>764</v>
      </c>
      <c r="L102" s="20" t="s">
        <v>765</v>
      </c>
      <c r="M102" s="16" t="s">
        <v>224</v>
      </c>
      <c r="N102" s="16">
        <v>0</v>
      </c>
      <c r="O102" s="16" t="s">
        <v>50</v>
      </c>
      <c r="P102" s="20">
        <v>190</v>
      </c>
      <c r="Q102" s="20" t="s">
        <v>51</v>
      </c>
      <c r="R102" s="21" t="s">
        <v>87</v>
      </c>
      <c r="S102" s="22" t="s">
        <v>53</v>
      </c>
      <c r="T102" s="22" t="s">
        <v>54</v>
      </c>
      <c r="U102" s="23" t="s">
        <v>55</v>
      </c>
      <c r="V102" s="24">
        <v>1.05</v>
      </c>
      <c r="W102" s="25">
        <v>750.75000000000011</v>
      </c>
      <c r="X102" s="26">
        <v>1</v>
      </c>
      <c r="Y102" s="27">
        <v>3.97</v>
      </c>
      <c r="Z102" s="23">
        <v>5</v>
      </c>
      <c r="AA102" s="28">
        <v>0.79400000000000004</v>
      </c>
      <c r="AB102" s="24">
        <v>0</v>
      </c>
      <c r="AC102" s="29">
        <v>0</v>
      </c>
      <c r="AD102" s="30">
        <v>43558</v>
      </c>
      <c r="AE102" s="30">
        <v>43559</v>
      </c>
      <c r="AF102" s="23">
        <v>1</v>
      </c>
      <c r="AG102" s="25" t="s">
        <v>56</v>
      </c>
      <c r="AH102" s="24">
        <v>0</v>
      </c>
      <c r="AI102" s="31">
        <v>0</v>
      </c>
      <c r="AJ102" s="31">
        <v>0</v>
      </c>
      <c r="AK102" s="44">
        <f t="shared" si="2"/>
        <v>750.75000000000011</v>
      </c>
      <c r="AL102">
        <f>VLOOKUP(A102,'[1]prueba con 16mil datos'!$A$1:$AE$804,31,FALSE)</f>
        <v>1808.95</v>
      </c>
      <c r="AM102">
        <f t="shared" si="3"/>
        <v>0</v>
      </c>
      <c r="AO102">
        <f>VLOOKUP(A102,'[1]Prueba con 19mil datos'!$B$1:$AF$1228,31,FALSE)</f>
        <v>1808.95</v>
      </c>
    </row>
    <row r="103" spans="1:41" hidden="1" x14ac:dyDescent="0.25">
      <c r="A103" s="16" t="s">
        <v>2182</v>
      </c>
      <c r="B103" s="15" t="s">
        <v>40</v>
      </c>
      <c r="C103" s="16">
        <v>1</v>
      </c>
      <c r="D103" s="16" t="s">
        <v>646</v>
      </c>
      <c r="E103" s="17" t="s">
        <v>42</v>
      </c>
      <c r="F103" s="18" t="s">
        <v>99</v>
      </c>
      <c r="G103" s="18" t="s">
        <v>647</v>
      </c>
      <c r="H103" s="16" t="s">
        <v>621</v>
      </c>
      <c r="I103" s="19" t="s">
        <v>3</v>
      </c>
      <c r="J103" s="16" t="s">
        <v>12</v>
      </c>
      <c r="K103" s="20" t="s">
        <v>103</v>
      </c>
      <c r="L103" s="20" t="s">
        <v>649</v>
      </c>
      <c r="M103" s="16" t="s">
        <v>650</v>
      </c>
      <c r="N103" s="16">
        <v>0</v>
      </c>
      <c r="O103" s="16" t="s">
        <v>50</v>
      </c>
      <c r="P103" s="20">
        <v>66</v>
      </c>
      <c r="Q103" s="20" t="s">
        <v>51</v>
      </c>
      <c r="R103" s="21" t="s">
        <v>77</v>
      </c>
      <c r="S103" s="22" t="s">
        <v>53</v>
      </c>
      <c r="T103" s="22" t="s">
        <v>157</v>
      </c>
      <c r="U103" s="23" t="s">
        <v>55</v>
      </c>
      <c r="V103" s="24">
        <v>1.05</v>
      </c>
      <c r="W103" s="25">
        <v>750.75000000000011</v>
      </c>
      <c r="X103" s="26">
        <v>1</v>
      </c>
      <c r="Y103" s="27">
        <v>4.3</v>
      </c>
      <c r="Z103" s="23">
        <v>9</v>
      </c>
      <c r="AA103" s="28">
        <v>0.47777777777777775</v>
      </c>
      <c r="AB103" s="24">
        <v>0</v>
      </c>
      <c r="AC103" s="29">
        <v>0</v>
      </c>
      <c r="AD103" s="30">
        <v>43558</v>
      </c>
      <c r="AE103" s="30">
        <v>43558</v>
      </c>
      <c r="AF103" s="23">
        <v>0</v>
      </c>
      <c r="AG103" s="25" t="s">
        <v>56</v>
      </c>
      <c r="AH103" s="24">
        <v>0</v>
      </c>
      <c r="AI103" s="31">
        <v>0</v>
      </c>
      <c r="AJ103" s="31">
        <v>0</v>
      </c>
      <c r="AK103" s="44">
        <f t="shared" si="2"/>
        <v>750.75000000000011</v>
      </c>
      <c r="AL103">
        <f>VLOOKUP(A103,'[1]prueba con 16mil datos'!$A$1:$AE$804,31,FALSE)</f>
        <v>1808.95</v>
      </c>
      <c r="AM103">
        <f t="shared" si="3"/>
        <v>0</v>
      </c>
      <c r="AO103">
        <f>VLOOKUP(A103,'[1]Prueba con 19mil datos'!$B$1:$AF$1228,31,FALSE)</f>
        <v>1808.95</v>
      </c>
    </row>
    <row r="104" spans="1:41" hidden="1" x14ac:dyDescent="0.25">
      <c r="A104" s="16" t="s">
        <v>2182</v>
      </c>
      <c r="B104" s="15" t="s">
        <v>40</v>
      </c>
      <c r="C104" s="16">
        <v>1</v>
      </c>
      <c r="D104" s="16" t="s">
        <v>662</v>
      </c>
      <c r="E104" s="17" t="s">
        <v>42</v>
      </c>
      <c r="F104" s="18" t="s">
        <v>663</v>
      </c>
      <c r="G104" s="18" t="s">
        <v>664</v>
      </c>
      <c r="H104" s="16" t="s">
        <v>377</v>
      </c>
      <c r="I104" s="19" t="s">
        <v>3</v>
      </c>
      <c r="J104" s="16" t="s">
        <v>12</v>
      </c>
      <c r="K104" s="20" t="s">
        <v>378</v>
      </c>
      <c r="L104" s="20" t="s">
        <v>666</v>
      </c>
      <c r="M104" s="16" t="s">
        <v>128</v>
      </c>
      <c r="N104" s="16">
        <v>0</v>
      </c>
      <c r="O104" s="16" t="s">
        <v>50</v>
      </c>
      <c r="P104" s="20">
        <v>599</v>
      </c>
      <c r="Q104" s="20" t="s">
        <v>51</v>
      </c>
      <c r="R104" s="21" t="s">
        <v>87</v>
      </c>
      <c r="S104" s="22" t="s">
        <v>53</v>
      </c>
      <c r="T104" s="22" t="s">
        <v>54</v>
      </c>
      <c r="U104" s="23" t="s">
        <v>55</v>
      </c>
      <c r="V104" s="24">
        <v>1.05</v>
      </c>
      <c r="W104" s="25">
        <v>750.75000000000011</v>
      </c>
      <c r="X104" s="26">
        <v>1</v>
      </c>
      <c r="Y104" s="27">
        <v>1.87</v>
      </c>
      <c r="Z104" s="23">
        <v>5</v>
      </c>
      <c r="AA104" s="28">
        <v>0.374</v>
      </c>
      <c r="AB104" s="24">
        <v>0</v>
      </c>
      <c r="AC104" s="29">
        <v>0</v>
      </c>
      <c r="AD104" s="30">
        <v>43558</v>
      </c>
      <c r="AE104" s="30">
        <v>43558</v>
      </c>
      <c r="AF104" s="23">
        <v>0</v>
      </c>
      <c r="AG104" s="25" t="s">
        <v>56</v>
      </c>
      <c r="AH104" s="24">
        <v>0</v>
      </c>
      <c r="AI104" s="31">
        <v>0</v>
      </c>
      <c r="AJ104" s="31">
        <v>0</v>
      </c>
      <c r="AK104" s="44">
        <f t="shared" si="2"/>
        <v>750.75000000000011</v>
      </c>
      <c r="AL104">
        <f>VLOOKUP(A104,'[1]prueba con 16mil datos'!$A$1:$AE$804,31,FALSE)</f>
        <v>1808.95</v>
      </c>
      <c r="AM104">
        <f t="shared" si="3"/>
        <v>0</v>
      </c>
      <c r="AO104">
        <f>VLOOKUP(A104,'[1]Prueba con 19mil datos'!$B$1:$AF$1228,31,FALSE)</f>
        <v>1808.95</v>
      </c>
    </row>
    <row r="105" spans="1:41" hidden="1" x14ac:dyDescent="0.25">
      <c r="A105" s="16" t="s">
        <v>2060</v>
      </c>
      <c r="B105" s="15" t="s">
        <v>40</v>
      </c>
      <c r="C105" s="16">
        <v>1</v>
      </c>
      <c r="D105" s="16" t="s">
        <v>624</v>
      </c>
      <c r="E105" s="17" t="s">
        <v>42</v>
      </c>
      <c r="F105" s="18" t="s">
        <v>228</v>
      </c>
      <c r="G105" s="18" t="s">
        <v>625</v>
      </c>
      <c r="H105" s="16" t="s">
        <v>377</v>
      </c>
      <c r="I105" s="19" t="s">
        <v>3</v>
      </c>
      <c r="J105" s="16" t="s">
        <v>12</v>
      </c>
      <c r="K105" s="20" t="s">
        <v>378</v>
      </c>
      <c r="L105" s="20" t="s">
        <v>577</v>
      </c>
      <c r="M105" s="16" t="s">
        <v>128</v>
      </c>
      <c r="N105" s="16">
        <v>0</v>
      </c>
      <c r="O105" s="16" t="s">
        <v>50</v>
      </c>
      <c r="P105" s="20">
        <v>423</v>
      </c>
      <c r="Q105" s="20" t="s">
        <v>51</v>
      </c>
      <c r="R105" s="21" t="s">
        <v>87</v>
      </c>
      <c r="S105" s="22" t="s">
        <v>53</v>
      </c>
      <c r="T105" s="22" t="s">
        <v>54</v>
      </c>
      <c r="U105" s="23" t="s">
        <v>55</v>
      </c>
      <c r="V105" s="24">
        <v>1.05</v>
      </c>
      <c r="W105" s="25">
        <v>750.75000000000011</v>
      </c>
      <c r="X105" s="26">
        <v>1</v>
      </c>
      <c r="Y105" s="27">
        <v>1</v>
      </c>
      <c r="Z105" s="23">
        <v>5</v>
      </c>
      <c r="AA105" s="28">
        <v>0.2</v>
      </c>
      <c r="AB105" s="24">
        <v>0</v>
      </c>
      <c r="AC105" s="29">
        <v>0</v>
      </c>
      <c r="AD105" s="30">
        <v>43558</v>
      </c>
      <c r="AE105" s="30">
        <v>43558</v>
      </c>
      <c r="AF105" s="23">
        <v>0</v>
      </c>
      <c r="AG105" s="25" t="s">
        <v>56</v>
      </c>
      <c r="AH105" s="24">
        <v>0</v>
      </c>
      <c r="AI105" s="31">
        <v>0</v>
      </c>
      <c r="AJ105" s="31">
        <v>0</v>
      </c>
      <c r="AK105" s="44">
        <f t="shared" si="2"/>
        <v>750.75000000000011</v>
      </c>
      <c r="AL105">
        <f>VLOOKUP(A105,'[1]prueba con 16mil datos'!$A$1:$AE$804,31,FALSE)</f>
        <v>1651.65</v>
      </c>
      <c r="AM105">
        <f t="shared" si="3"/>
        <v>0</v>
      </c>
      <c r="AO105">
        <f>VLOOKUP(A105,'[1]Prueba con 19mil datos'!$B$1:$AF$1228,31,FALSE)</f>
        <v>1258.4000000000001</v>
      </c>
    </row>
    <row r="106" spans="1:41" hidden="1" x14ac:dyDescent="0.25">
      <c r="A106" s="16" t="s">
        <v>1175</v>
      </c>
      <c r="B106" s="15" t="s">
        <v>40</v>
      </c>
      <c r="C106" s="16">
        <v>1</v>
      </c>
      <c r="D106" s="16" t="s">
        <v>667</v>
      </c>
      <c r="E106" s="17" t="s">
        <v>42</v>
      </c>
      <c r="F106" s="18" t="s">
        <v>228</v>
      </c>
      <c r="G106" s="18" t="s">
        <v>668</v>
      </c>
      <c r="H106" s="16" t="s">
        <v>463</v>
      </c>
      <c r="I106" s="19" t="s">
        <v>3</v>
      </c>
      <c r="J106" s="16" t="s">
        <v>12</v>
      </c>
      <c r="K106" s="20" t="s">
        <v>198</v>
      </c>
      <c r="L106" s="20" t="s">
        <v>670</v>
      </c>
      <c r="M106" s="16" t="s">
        <v>76</v>
      </c>
      <c r="N106" s="16">
        <v>0</v>
      </c>
      <c r="O106" s="16" t="s">
        <v>50</v>
      </c>
      <c r="P106" s="20">
        <v>384</v>
      </c>
      <c r="Q106" s="20" t="s">
        <v>51</v>
      </c>
      <c r="R106" s="21" t="s">
        <v>87</v>
      </c>
      <c r="S106" s="22" t="s">
        <v>53</v>
      </c>
      <c r="T106" s="22" t="s">
        <v>54</v>
      </c>
      <c r="U106" s="23" t="s">
        <v>55</v>
      </c>
      <c r="V106" s="24">
        <v>1.05</v>
      </c>
      <c r="W106" s="25">
        <v>750.75000000000011</v>
      </c>
      <c r="X106" s="26">
        <v>1</v>
      </c>
      <c r="Y106" s="27">
        <v>0.25</v>
      </c>
      <c r="Z106" s="23">
        <v>5</v>
      </c>
      <c r="AA106" s="28">
        <v>0.05</v>
      </c>
      <c r="AB106" s="24">
        <v>0</v>
      </c>
      <c r="AC106" s="29">
        <v>0</v>
      </c>
      <c r="AD106" s="30">
        <v>43558</v>
      </c>
      <c r="AE106" s="30">
        <v>43558</v>
      </c>
      <c r="AF106" s="23">
        <v>0</v>
      </c>
      <c r="AG106" s="25" t="s">
        <v>56</v>
      </c>
      <c r="AH106" s="24">
        <v>0</v>
      </c>
      <c r="AI106" s="31">
        <v>0</v>
      </c>
      <c r="AJ106" s="31">
        <v>0</v>
      </c>
      <c r="AK106" s="44">
        <f t="shared" si="2"/>
        <v>750.75000000000011</v>
      </c>
      <c r="AL106">
        <f>VLOOKUP(A106,'[1]prueba con 16mil datos'!$A$1:$AE$804,31,FALSE)</f>
        <v>1651.65</v>
      </c>
      <c r="AM106">
        <f t="shared" si="3"/>
        <v>0</v>
      </c>
      <c r="AO106">
        <f>VLOOKUP(A106,'[1]Prueba con 19mil datos'!$B$1:$AF$1228,31,FALSE)</f>
        <v>1651.65</v>
      </c>
    </row>
    <row r="107" spans="1:41" hidden="1" x14ac:dyDescent="0.25">
      <c r="A107" s="16" t="s">
        <v>1404</v>
      </c>
      <c r="B107" s="15" t="s">
        <v>40</v>
      </c>
      <c r="C107" s="16">
        <v>1</v>
      </c>
      <c r="D107" s="16" t="s">
        <v>631</v>
      </c>
      <c r="E107" s="17" t="s">
        <v>42</v>
      </c>
      <c r="F107" s="18" t="s">
        <v>449</v>
      </c>
      <c r="G107" s="18" t="s">
        <v>632</v>
      </c>
      <c r="H107" s="16" t="s">
        <v>61</v>
      </c>
      <c r="I107" s="19" t="s">
        <v>3</v>
      </c>
      <c r="J107" s="16" t="s">
        <v>12</v>
      </c>
      <c r="K107" s="20" t="s">
        <v>398</v>
      </c>
      <c r="L107" s="20" t="s">
        <v>399</v>
      </c>
      <c r="M107" s="16" t="s">
        <v>118</v>
      </c>
      <c r="N107" s="16">
        <v>0</v>
      </c>
      <c r="O107" s="16" t="s">
        <v>50</v>
      </c>
      <c r="P107" s="20">
        <v>112</v>
      </c>
      <c r="Q107" s="20" t="s">
        <v>51</v>
      </c>
      <c r="R107" s="21" t="s">
        <v>186</v>
      </c>
      <c r="S107" s="22" t="s">
        <v>187</v>
      </c>
      <c r="T107" s="22" t="s">
        <v>54</v>
      </c>
      <c r="U107" s="23" t="s">
        <v>550</v>
      </c>
      <c r="V107" s="24">
        <v>1.1499999999999999</v>
      </c>
      <c r="W107" s="25">
        <v>1808.95</v>
      </c>
      <c r="X107" s="26">
        <v>1</v>
      </c>
      <c r="Y107" s="27">
        <v>1.17</v>
      </c>
      <c r="Z107" s="23">
        <v>4</v>
      </c>
      <c r="AA107" s="28">
        <v>0.29249999999999998</v>
      </c>
      <c r="AB107" s="24">
        <v>0</v>
      </c>
      <c r="AC107" s="29">
        <v>0</v>
      </c>
      <c r="AD107" s="30">
        <v>43558</v>
      </c>
      <c r="AE107" s="30">
        <v>43558</v>
      </c>
      <c r="AF107" s="23">
        <v>0</v>
      </c>
      <c r="AG107" s="25" t="s">
        <v>56</v>
      </c>
      <c r="AH107" s="24">
        <v>0</v>
      </c>
      <c r="AI107" s="31">
        <v>0</v>
      </c>
      <c r="AJ107" s="31">
        <v>0</v>
      </c>
      <c r="AK107" s="44">
        <f t="shared" si="2"/>
        <v>1808.95</v>
      </c>
      <c r="AL107">
        <f>VLOOKUP(A107,'[1]prueba con 16mil datos'!$A$1:$AE$804,31,FALSE)</f>
        <v>1651.65</v>
      </c>
      <c r="AM107">
        <f t="shared" si="3"/>
        <v>0</v>
      </c>
      <c r="AO107">
        <f>VLOOKUP(A107,'[1]Prueba con 19mil datos'!$B$1:$AF$1228,31,FALSE)</f>
        <v>1651.65</v>
      </c>
    </row>
    <row r="108" spans="1:41" hidden="1" x14ac:dyDescent="0.25">
      <c r="A108" s="16" t="s">
        <v>1404</v>
      </c>
      <c r="B108" s="15" t="s">
        <v>40</v>
      </c>
      <c r="C108" s="16">
        <v>1</v>
      </c>
      <c r="D108" s="16" t="s">
        <v>686</v>
      </c>
      <c r="E108" s="17" t="s">
        <v>42</v>
      </c>
      <c r="F108" s="18" t="s">
        <v>233</v>
      </c>
      <c r="G108" s="18" t="s">
        <v>687</v>
      </c>
      <c r="H108" s="16" t="s">
        <v>293</v>
      </c>
      <c r="I108" s="19" t="s">
        <v>3</v>
      </c>
      <c r="J108" s="16" t="s">
        <v>12</v>
      </c>
      <c r="K108" s="20" t="s">
        <v>74</v>
      </c>
      <c r="L108" s="20" t="s">
        <v>689</v>
      </c>
      <c r="M108" s="16" t="s">
        <v>296</v>
      </c>
      <c r="N108" s="16">
        <v>0</v>
      </c>
      <c r="O108" s="16" t="s">
        <v>50</v>
      </c>
      <c r="P108" s="20">
        <v>106</v>
      </c>
      <c r="Q108" s="20" t="s">
        <v>51</v>
      </c>
      <c r="R108" s="21" t="s">
        <v>77</v>
      </c>
      <c r="S108" s="22" t="s">
        <v>53</v>
      </c>
      <c r="T108" s="22" t="s">
        <v>54</v>
      </c>
      <c r="U108" s="23" t="s">
        <v>55</v>
      </c>
      <c r="V108" s="24">
        <v>1.05</v>
      </c>
      <c r="W108" s="25">
        <v>750.75000000000011</v>
      </c>
      <c r="X108" s="26">
        <v>1</v>
      </c>
      <c r="Y108" s="27">
        <v>2.2200000000000002</v>
      </c>
      <c r="Z108" s="23">
        <v>5</v>
      </c>
      <c r="AA108" s="28">
        <v>0.44400000000000006</v>
      </c>
      <c r="AB108" s="24">
        <v>0</v>
      </c>
      <c r="AC108" s="29">
        <v>0</v>
      </c>
      <c r="AD108" s="30">
        <v>43558</v>
      </c>
      <c r="AE108" s="30">
        <v>43558</v>
      </c>
      <c r="AF108" s="23">
        <v>0</v>
      </c>
      <c r="AG108" s="25" t="s">
        <v>56</v>
      </c>
      <c r="AH108" s="24">
        <v>0</v>
      </c>
      <c r="AI108" s="31">
        <v>0</v>
      </c>
      <c r="AJ108" s="31">
        <v>0</v>
      </c>
      <c r="AK108" s="44">
        <f t="shared" si="2"/>
        <v>750.75000000000011</v>
      </c>
      <c r="AL108">
        <f>VLOOKUP(A108,'[1]prueba con 16mil datos'!$A$1:$AE$804,31,FALSE)</f>
        <v>1651.65</v>
      </c>
      <c r="AM108">
        <f t="shared" si="3"/>
        <v>0</v>
      </c>
      <c r="AO108">
        <f>VLOOKUP(A108,'[1]Prueba con 19mil datos'!$B$1:$AF$1228,31,FALSE)</f>
        <v>1651.65</v>
      </c>
    </row>
    <row r="109" spans="1:41" hidden="1" x14ac:dyDescent="0.25">
      <c r="A109" s="16" t="s">
        <v>1404</v>
      </c>
      <c r="B109" s="15" t="s">
        <v>40</v>
      </c>
      <c r="C109" s="16">
        <v>1</v>
      </c>
      <c r="D109" s="16" t="s">
        <v>732</v>
      </c>
      <c r="E109" s="17" t="s">
        <v>42</v>
      </c>
      <c r="F109" s="18" t="s">
        <v>733</v>
      </c>
      <c r="G109" s="18" t="s">
        <v>734</v>
      </c>
      <c r="H109" s="16" t="s">
        <v>61</v>
      </c>
      <c r="I109" s="19" t="s">
        <v>3</v>
      </c>
      <c r="J109" s="16" t="s">
        <v>12</v>
      </c>
      <c r="K109" s="20" t="s">
        <v>736</v>
      </c>
      <c r="L109" s="20" t="s">
        <v>737</v>
      </c>
      <c r="M109" s="16" t="s">
        <v>118</v>
      </c>
      <c r="N109" s="16">
        <v>0</v>
      </c>
      <c r="O109" s="16" t="s">
        <v>50</v>
      </c>
      <c r="P109" s="20">
        <v>49</v>
      </c>
      <c r="Q109" s="20" t="s">
        <v>86</v>
      </c>
      <c r="R109" s="21" t="s">
        <v>279</v>
      </c>
      <c r="S109" s="22" t="s">
        <v>187</v>
      </c>
      <c r="T109" s="22" t="s">
        <v>54</v>
      </c>
      <c r="U109" s="23" t="s">
        <v>188</v>
      </c>
      <c r="V109" s="24">
        <v>1.1000000000000001</v>
      </c>
      <c r="W109" s="25">
        <v>1730.3000000000004</v>
      </c>
      <c r="X109" s="26">
        <v>1</v>
      </c>
      <c r="Y109" s="27">
        <v>1.51</v>
      </c>
      <c r="Z109" s="23">
        <v>4</v>
      </c>
      <c r="AA109" s="28">
        <v>0.3775</v>
      </c>
      <c r="AB109" s="24">
        <v>0</v>
      </c>
      <c r="AC109" s="29">
        <v>0</v>
      </c>
      <c r="AD109" s="30">
        <v>43558</v>
      </c>
      <c r="AE109" s="30">
        <v>43559</v>
      </c>
      <c r="AF109" s="23">
        <v>1</v>
      </c>
      <c r="AG109" s="25" t="s">
        <v>56</v>
      </c>
      <c r="AH109" s="24">
        <v>0</v>
      </c>
      <c r="AI109" s="31">
        <v>0</v>
      </c>
      <c r="AJ109" s="31">
        <v>0</v>
      </c>
      <c r="AK109" s="44">
        <f t="shared" si="2"/>
        <v>1730.3000000000004</v>
      </c>
      <c r="AL109">
        <f>VLOOKUP(A109,'[1]prueba con 16mil datos'!$A$1:$AE$804,31,FALSE)</f>
        <v>1651.65</v>
      </c>
      <c r="AM109">
        <f t="shared" si="3"/>
        <v>0</v>
      </c>
      <c r="AO109">
        <f>VLOOKUP(A109,'[1]Prueba con 19mil datos'!$B$1:$AF$1228,31,FALSE)</f>
        <v>1651.65</v>
      </c>
    </row>
    <row r="110" spans="1:41" hidden="1" x14ac:dyDescent="0.25">
      <c r="A110" s="16" t="s">
        <v>1647</v>
      </c>
      <c r="B110" s="15" t="s">
        <v>40</v>
      </c>
      <c r="C110" s="16">
        <v>1</v>
      </c>
      <c r="D110" s="16" t="s">
        <v>627</v>
      </c>
      <c r="E110" s="17" t="s">
        <v>42</v>
      </c>
      <c r="F110" s="18" t="s">
        <v>275</v>
      </c>
      <c r="G110" s="18" t="s">
        <v>628</v>
      </c>
      <c r="H110" s="16" t="s">
        <v>463</v>
      </c>
      <c r="I110" s="19" t="s">
        <v>3</v>
      </c>
      <c r="J110" s="16" t="s">
        <v>12</v>
      </c>
      <c r="K110" s="20" t="s">
        <v>126</v>
      </c>
      <c r="L110" s="20" t="s">
        <v>630</v>
      </c>
      <c r="M110" s="16" t="s">
        <v>76</v>
      </c>
      <c r="N110" s="16">
        <v>0</v>
      </c>
      <c r="O110" s="16" t="s">
        <v>50</v>
      </c>
      <c r="P110" s="20">
        <v>38</v>
      </c>
      <c r="Q110" s="20" t="s">
        <v>86</v>
      </c>
      <c r="R110" s="21" t="s">
        <v>279</v>
      </c>
      <c r="S110" s="22" t="s">
        <v>187</v>
      </c>
      <c r="T110" s="22" t="s">
        <v>54</v>
      </c>
      <c r="U110" s="23" t="s">
        <v>188</v>
      </c>
      <c r="V110" s="24">
        <v>1.1000000000000001</v>
      </c>
      <c r="W110" s="25">
        <v>1730.3000000000004</v>
      </c>
      <c r="X110" s="26">
        <v>1</v>
      </c>
      <c r="Y110" s="27">
        <v>1.93</v>
      </c>
      <c r="Z110" s="23">
        <v>4</v>
      </c>
      <c r="AA110" s="28">
        <v>0.48249999999999998</v>
      </c>
      <c r="AB110" s="24">
        <v>0</v>
      </c>
      <c r="AC110" s="29">
        <v>0</v>
      </c>
      <c r="AD110" s="30">
        <v>43558</v>
      </c>
      <c r="AE110" s="30">
        <v>43558</v>
      </c>
      <c r="AF110" s="23">
        <v>0</v>
      </c>
      <c r="AG110" s="25" t="s">
        <v>56</v>
      </c>
      <c r="AH110" s="24">
        <v>0</v>
      </c>
      <c r="AI110" s="31">
        <v>0</v>
      </c>
      <c r="AJ110" s="31">
        <v>0</v>
      </c>
      <c r="AK110" s="44">
        <f t="shared" si="2"/>
        <v>1730.3000000000004</v>
      </c>
      <c r="AL110">
        <f>VLOOKUP(A110,'[1]prueba con 16mil datos'!$A$1:$AE$804,31,FALSE)</f>
        <v>1808.95</v>
      </c>
      <c r="AM110">
        <f t="shared" si="3"/>
        <v>0</v>
      </c>
      <c r="AO110">
        <f>VLOOKUP(A110,'[1]Prueba con 19mil datos'!$B$1:$AF$1228,31,FALSE)</f>
        <v>1808.95</v>
      </c>
    </row>
    <row r="111" spans="1:41" hidden="1" x14ac:dyDescent="0.25">
      <c r="A111" s="16" t="s">
        <v>1391</v>
      </c>
      <c r="B111" s="15" t="s">
        <v>40</v>
      </c>
      <c r="C111" s="16">
        <v>1</v>
      </c>
      <c r="D111" s="16" t="s">
        <v>754</v>
      </c>
      <c r="E111" s="17" t="s">
        <v>42</v>
      </c>
      <c r="F111" s="18" t="s">
        <v>275</v>
      </c>
      <c r="G111" s="18" t="s">
        <v>755</v>
      </c>
      <c r="H111" s="16" t="s">
        <v>440</v>
      </c>
      <c r="I111" s="19" t="s">
        <v>3</v>
      </c>
      <c r="J111" s="16" t="s">
        <v>12</v>
      </c>
      <c r="K111" s="20" t="s">
        <v>126</v>
      </c>
      <c r="L111" s="20" t="s">
        <v>757</v>
      </c>
      <c r="M111" s="16" t="s">
        <v>118</v>
      </c>
      <c r="N111" s="16">
        <v>0</v>
      </c>
      <c r="O111" s="16" t="s">
        <v>50</v>
      </c>
      <c r="P111" s="20">
        <v>26</v>
      </c>
      <c r="Q111" s="20" t="s">
        <v>119</v>
      </c>
      <c r="R111" s="21" t="s">
        <v>279</v>
      </c>
      <c r="S111" s="22" t="s">
        <v>187</v>
      </c>
      <c r="T111" s="22" t="s">
        <v>54</v>
      </c>
      <c r="U111" s="23" t="s">
        <v>269</v>
      </c>
      <c r="V111" s="24">
        <v>1.05</v>
      </c>
      <c r="W111" s="25">
        <v>1651.6500000000003</v>
      </c>
      <c r="X111" s="26">
        <v>1</v>
      </c>
      <c r="Y111" s="27">
        <v>1.37</v>
      </c>
      <c r="Z111" s="23">
        <v>4</v>
      </c>
      <c r="AA111" s="28">
        <v>0.34250000000000003</v>
      </c>
      <c r="AB111" s="24">
        <v>0</v>
      </c>
      <c r="AC111" s="29">
        <v>0</v>
      </c>
      <c r="AD111" s="30">
        <v>43558</v>
      </c>
      <c r="AE111" s="30">
        <v>43559</v>
      </c>
      <c r="AF111" s="23">
        <v>1</v>
      </c>
      <c r="AG111" s="25" t="s">
        <v>56</v>
      </c>
      <c r="AH111" s="24">
        <v>0</v>
      </c>
      <c r="AI111" s="31">
        <v>0</v>
      </c>
      <c r="AJ111" s="31">
        <v>0</v>
      </c>
      <c r="AK111" s="44">
        <f t="shared" si="2"/>
        <v>1651.6500000000003</v>
      </c>
      <c r="AL111">
        <f>VLOOKUP(A111,'[1]prueba con 16mil datos'!$A$1:$AE$804,31,FALSE)</f>
        <v>1730.3</v>
      </c>
      <c r="AM111">
        <f t="shared" si="3"/>
        <v>0</v>
      </c>
      <c r="AO111">
        <f>VLOOKUP(A111,'[1]Prueba con 19mil datos'!$B$1:$AF$1228,31,FALSE)</f>
        <v>1730.3</v>
      </c>
    </row>
    <row r="112" spans="1:41" hidden="1" x14ac:dyDescent="0.25">
      <c r="A112" s="16" t="s">
        <v>1933</v>
      </c>
      <c r="B112" s="15" t="s">
        <v>40</v>
      </c>
      <c r="C112" s="16">
        <v>1</v>
      </c>
      <c r="D112" s="16" t="s">
        <v>1143</v>
      </c>
      <c r="E112" s="17" t="s">
        <v>42</v>
      </c>
      <c r="F112" s="18" t="s">
        <v>240</v>
      </c>
      <c r="G112" s="18" t="s">
        <v>1144</v>
      </c>
      <c r="H112" s="16" t="s">
        <v>243</v>
      </c>
      <c r="I112" s="19" t="s">
        <v>3</v>
      </c>
      <c r="J112" s="16" t="s">
        <v>12</v>
      </c>
      <c r="K112" s="20" t="s">
        <v>244</v>
      </c>
      <c r="L112" s="20" t="s">
        <v>245</v>
      </c>
      <c r="M112" s="16" t="s">
        <v>246</v>
      </c>
      <c r="N112" s="16">
        <v>0</v>
      </c>
      <c r="O112" s="16" t="s">
        <v>50</v>
      </c>
      <c r="P112" s="20">
        <v>36</v>
      </c>
      <c r="Q112" s="20" t="s">
        <v>86</v>
      </c>
      <c r="R112" s="21" t="s">
        <v>247</v>
      </c>
      <c r="S112" s="22" t="s">
        <v>67</v>
      </c>
      <c r="T112" s="22" t="s">
        <v>54</v>
      </c>
      <c r="U112" s="23" t="s">
        <v>431</v>
      </c>
      <c r="V112" s="24">
        <v>1.1499999999999999</v>
      </c>
      <c r="W112" s="25">
        <v>2466.75</v>
      </c>
      <c r="X112" s="26">
        <v>1</v>
      </c>
      <c r="Y112" s="27">
        <v>3.98</v>
      </c>
      <c r="Z112" s="23">
        <v>3</v>
      </c>
      <c r="AA112" s="28">
        <v>1.3266666666666667</v>
      </c>
      <c r="AB112" s="24">
        <v>8.1666666666666665E-2</v>
      </c>
      <c r="AC112" s="29">
        <v>-175.17499999999998</v>
      </c>
      <c r="AD112" s="30">
        <v>43558</v>
      </c>
      <c r="AE112" s="30">
        <v>43562</v>
      </c>
      <c r="AF112" s="23">
        <v>2</v>
      </c>
      <c r="AG112" s="25" t="s">
        <v>202</v>
      </c>
      <c r="AH112" s="24">
        <v>0.25</v>
      </c>
      <c r="AI112" s="31">
        <v>-536.25</v>
      </c>
      <c r="AJ112" s="31">
        <v>0</v>
      </c>
      <c r="AK112" s="44">
        <f t="shared" si="2"/>
        <v>2291.5749999999998</v>
      </c>
      <c r="AL112">
        <f>VLOOKUP(A112,'[1]prueba con 16mil datos'!$A$1:$AE$804,31,FALSE)</f>
        <v>1808.95</v>
      </c>
      <c r="AM112">
        <f t="shared" si="3"/>
        <v>0</v>
      </c>
      <c r="AO112">
        <f>VLOOKUP(A112,'[1]Prueba con 19mil datos'!$B$1:$AF$1228,31,FALSE)</f>
        <v>1808.95</v>
      </c>
    </row>
    <row r="113" spans="1:41" hidden="1" x14ac:dyDescent="0.25">
      <c r="A113" s="16" t="s">
        <v>863</v>
      </c>
      <c r="B113" s="15" t="s">
        <v>40</v>
      </c>
      <c r="C113" s="16">
        <v>1</v>
      </c>
      <c r="D113" s="16" t="s">
        <v>657</v>
      </c>
      <c r="E113" s="17" t="s">
        <v>42</v>
      </c>
      <c r="F113" s="18" t="s">
        <v>70</v>
      </c>
      <c r="G113" s="18" t="s">
        <v>658</v>
      </c>
      <c r="H113" s="16" t="s">
        <v>660</v>
      </c>
      <c r="I113" s="19" t="s">
        <v>3</v>
      </c>
      <c r="J113" s="16" t="s">
        <v>12</v>
      </c>
      <c r="K113" s="20" t="s">
        <v>47</v>
      </c>
      <c r="L113" s="20" t="s">
        <v>661</v>
      </c>
      <c r="M113" s="16" t="s">
        <v>429</v>
      </c>
      <c r="N113" s="16">
        <v>0</v>
      </c>
      <c r="O113" s="16" t="s">
        <v>50</v>
      </c>
      <c r="P113" s="20">
        <v>236</v>
      </c>
      <c r="Q113" s="20" t="s">
        <v>51</v>
      </c>
      <c r="R113" s="21" t="s">
        <v>77</v>
      </c>
      <c r="S113" s="22" t="s">
        <v>53</v>
      </c>
      <c r="T113" s="22" t="s">
        <v>54</v>
      </c>
      <c r="U113" s="23" t="s">
        <v>55</v>
      </c>
      <c r="V113" s="24">
        <v>1.05</v>
      </c>
      <c r="W113" s="25">
        <v>750.75000000000011</v>
      </c>
      <c r="X113" s="26">
        <v>1</v>
      </c>
      <c r="Y113" s="27">
        <v>2.8</v>
      </c>
      <c r="Z113" s="23">
        <v>5</v>
      </c>
      <c r="AA113" s="28">
        <v>0.55999999999999994</v>
      </c>
      <c r="AB113" s="24">
        <v>0</v>
      </c>
      <c r="AC113" s="29">
        <v>0</v>
      </c>
      <c r="AD113" s="30">
        <v>43558</v>
      </c>
      <c r="AE113" s="30">
        <v>43558</v>
      </c>
      <c r="AF113" s="23">
        <v>0</v>
      </c>
      <c r="AG113" s="25" t="s">
        <v>56</v>
      </c>
      <c r="AH113" s="24">
        <v>0</v>
      </c>
      <c r="AI113" s="31">
        <v>0</v>
      </c>
      <c r="AJ113" s="31">
        <v>0</v>
      </c>
      <c r="AK113" s="44">
        <f t="shared" si="2"/>
        <v>750.75000000000011</v>
      </c>
      <c r="AL113">
        <f>VLOOKUP(A113,'[1]prueba con 16mil datos'!$A$1:$AE$804,31,FALSE)</f>
        <v>1730.3</v>
      </c>
      <c r="AM113">
        <f t="shared" si="3"/>
        <v>0</v>
      </c>
      <c r="AN113">
        <v>1</v>
      </c>
      <c r="AO113">
        <f>VLOOKUP(A113,'[1]Prueba con 19mil datos'!$B$1:$AF$1228,31,FALSE)</f>
        <v>1730.3</v>
      </c>
    </row>
    <row r="114" spans="1:41" hidden="1" x14ac:dyDescent="0.25">
      <c r="A114" s="16" t="s">
        <v>1862</v>
      </c>
      <c r="B114" s="15" t="s">
        <v>40</v>
      </c>
      <c r="C114" s="16">
        <v>1</v>
      </c>
      <c r="D114" s="16" t="s">
        <v>644</v>
      </c>
      <c r="E114" s="17" t="s">
        <v>42</v>
      </c>
      <c r="F114" s="18" t="s">
        <v>70</v>
      </c>
      <c r="G114" s="18" t="s">
        <v>645</v>
      </c>
      <c r="H114" s="16" t="s">
        <v>192</v>
      </c>
      <c r="I114" s="19" t="s">
        <v>3</v>
      </c>
      <c r="J114" s="16" t="s">
        <v>12</v>
      </c>
      <c r="K114" s="20" t="s">
        <v>483</v>
      </c>
      <c r="L114" s="20" t="s">
        <v>484</v>
      </c>
      <c r="M114" s="16" t="s">
        <v>485</v>
      </c>
      <c r="N114" s="16">
        <v>0</v>
      </c>
      <c r="O114" s="16" t="s">
        <v>50</v>
      </c>
      <c r="P114" s="20">
        <v>1</v>
      </c>
      <c r="Q114" s="20" t="s">
        <v>147</v>
      </c>
      <c r="R114" s="21" t="s">
        <v>77</v>
      </c>
      <c r="S114" s="22" t="s">
        <v>53</v>
      </c>
      <c r="T114" s="22" t="s">
        <v>157</v>
      </c>
      <c r="U114" s="23" t="s">
        <v>341</v>
      </c>
      <c r="V114" s="24">
        <v>0</v>
      </c>
      <c r="W114" s="25">
        <v>0</v>
      </c>
      <c r="X114" s="26">
        <v>1</v>
      </c>
      <c r="Y114" s="27">
        <v>1.98</v>
      </c>
      <c r="Z114" s="23">
        <v>9</v>
      </c>
      <c r="AA114" s="28">
        <v>0.22</v>
      </c>
      <c r="AB114" s="24">
        <v>0</v>
      </c>
      <c r="AC114" s="29">
        <v>0</v>
      </c>
      <c r="AD114" s="30">
        <v>43558</v>
      </c>
      <c r="AE114" s="30">
        <v>43558</v>
      </c>
      <c r="AF114" s="23">
        <v>0</v>
      </c>
      <c r="AG114" s="25" t="s">
        <v>56</v>
      </c>
      <c r="AH114" s="24">
        <v>0</v>
      </c>
      <c r="AI114" s="31">
        <v>0</v>
      </c>
      <c r="AJ114" s="31">
        <v>0</v>
      </c>
      <c r="AK114" s="44">
        <f t="shared" si="2"/>
        <v>0</v>
      </c>
      <c r="AL114" t="e">
        <f>VLOOKUP(A114,'[1]prueba con 16mil datos'!$A$1:$AE$804,31,FALSE)</f>
        <v>#N/A</v>
      </c>
      <c r="AM114" t="e">
        <f t="shared" si="3"/>
        <v>#N/A</v>
      </c>
      <c r="AO114">
        <f>VLOOKUP(A114,'[1]Prueba con 19mil datos'!$B$1:$AF$1228,31,FALSE)</f>
        <v>0</v>
      </c>
    </row>
    <row r="115" spans="1:41" hidden="1" x14ac:dyDescent="0.25">
      <c r="A115" s="16" t="s">
        <v>2738</v>
      </c>
      <c r="B115" s="15" t="s">
        <v>40</v>
      </c>
      <c r="C115" s="16">
        <v>1</v>
      </c>
      <c r="D115" s="16" t="s">
        <v>912</v>
      </c>
      <c r="E115" s="17" t="s">
        <v>42</v>
      </c>
      <c r="F115" s="18" t="s">
        <v>913</v>
      </c>
      <c r="G115" s="18" t="s">
        <v>914</v>
      </c>
      <c r="H115" s="16" t="s">
        <v>82</v>
      </c>
      <c r="I115" s="19" t="s">
        <v>3</v>
      </c>
      <c r="J115" s="16" t="s">
        <v>12</v>
      </c>
      <c r="K115" s="20" t="s">
        <v>83</v>
      </c>
      <c r="L115" s="20" t="s">
        <v>84</v>
      </c>
      <c r="M115" s="16" t="s">
        <v>85</v>
      </c>
      <c r="N115" s="16">
        <v>0</v>
      </c>
      <c r="O115" s="16" t="s">
        <v>50</v>
      </c>
      <c r="P115" s="20">
        <v>21</v>
      </c>
      <c r="Q115" s="20" t="s">
        <v>119</v>
      </c>
      <c r="R115" s="21" t="s">
        <v>87</v>
      </c>
      <c r="S115" s="22" t="s">
        <v>53</v>
      </c>
      <c r="T115" s="22" t="s">
        <v>54</v>
      </c>
      <c r="U115" s="23" t="s">
        <v>120</v>
      </c>
      <c r="V115" s="24">
        <v>0.6</v>
      </c>
      <c r="W115" s="25">
        <v>429.00000000000006</v>
      </c>
      <c r="X115" s="26">
        <v>1</v>
      </c>
      <c r="Y115" s="27">
        <v>0.42</v>
      </c>
      <c r="Z115" s="23">
        <v>5</v>
      </c>
      <c r="AA115" s="28">
        <v>8.3999999999999991E-2</v>
      </c>
      <c r="AB115" s="24">
        <v>0</v>
      </c>
      <c r="AC115" s="29">
        <v>0</v>
      </c>
      <c r="AD115" s="30">
        <v>43558</v>
      </c>
      <c r="AE115" s="30">
        <v>43559</v>
      </c>
      <c r="AF115" s="23">
        <v>1</v>
      </c>
      <c r="AG115" s="25" t="s">
        <v>56</v>
      </c>
      <c r="AH115" s="24">
        <v>0</v>
      </c>
      <c r="AI115" s="31">
        <v>0</v>
      </c>
      <c r="AJ115" s="31">
        <v>0</v>
      </c>
      <c r="AK115" s="44">
        <f t="shared" si="2"/>
        <v>429.00000000000006</v>
      </c>
      <c r="AL115">
        <f>VLOOKUP(A115,'[1]prueba con 16mil datos'!$A$1:$AE$804,31,FALSE)</f>
        <v>1730.3</v>
      </c>
      <c r="AM115">
        <f t="shared" si="3"/>
        <v>0</v>
      </c>
      <c r="AO115">
        <f>VLOOKUP(A115,'[1]Prueba con 19mil datos'!$B$1:$AF$1228,31,FALSE)</f>
        <v>1730.3</v>
      </c>
    </row>
    <row r="116" spans="1:41" hidden="1" x14ac:dyDescent="0.25">
      <c r="A116" s="16" t="s">
        <v>3133</v>
      </c>
      <c r="B116" s="15" t="s">
        <v>40</v>
      </c>
      <c r="C116" s="16">
        <v>1</v>
      </c>
      <c r="D116" s="16" t="s">
        <v>787</v>
      </c>
      <c r="E116" s="17" t="s">
        <v>42</v>
      </c>
      <c r="F116" s="18" t="s">
        <v>788</v>
      </c>
      <c r="G116" s="18" t="s">
        <v>789</v>
      </c>
      <c r="H116" s="16" t="s">
        <v>660</v>
      </c>
      <c r="I116" s="19" t="s">
        <v>3</v>
      </c>
      <c r="J116" s="16" t="s">
        <v>12</v>
      </c>
      <c r="K116" s="20" t="s">
        <v>791</v>
      </c>
      <c r="L116" s="20" t="s">
        <v>792</v>
      </c>
      <c r="M116" s="16" t="s">
        <v>429</v>
      </c>
      <c r="N116" s="16">
        <v>0</v>
      </c>
      <c r="O116" s="16" t="s">
        <v>50</v>
      </c>
      <c r="P116" s="20">
        <v>5</v>
      </c>
      <c r="Q116" s="20" t="s">
        <v>311</v>
      </c>
      <c r="R116" s="21" t="s">
        <v>87</v>
      </c>
      <c r="S116" s="22" t="s">
        <v>53</v>
      </c>
      <c r="T116" s="22" t="s">
        <v>54</v>
      </c>
      <c r="U116" s="23" t="s">
        <v>572</v>
      </c>
      <c r="V116" s="24">
        <v>0</v>
      </c>
      <c r="W116" s="25">
        <v>0</v>
      </c>
      <c r="X116" s="26">
        <v>1</v>
      </c>
      <c r="Y116" s="27">
        <v>2.2200000000000002</v>
      </c>
      <c r="Z116" s="23">
        <v>5</v>
      </c>
      <c r="AA116" s="28">
        <v>0.44400000000000006</v>
      </c>
      <c r="AB116" s="24">
        <v>0</v>
      </c>
      <c r="AC116" s="29">
        <v>0</v>
      </c>
      <c r="AD116" s="30">
        <v>43558</v>
      </c>
      <c r="AE116" s="30">
        <v>43559</v>
      </c>
      <c r="AF116" s="23">
        <v>1</v>
      </c>
      <c r="AG116" s="25" t="s">
        <v>56</v>
      </c>
      <c r="AH116" s="24">
        <v>0</v>
      </c>
      <c r="AI116" s="31">
        <v>0</v>
      </c>
      <c r="AJ116" s="31">
        <v>0</v>
      </c>
      <c r="AK116" s="44">
        <f t="shared" si="2"/>
        <v>0</v>
      </c>
      <c r="AL116">
        <f>VLOOKUP(A116,'[1]prueba con 16mil datos'!$A$1:$AE$804,31,FALSE)</f>
        <v>1808.95</v>
      </c>
      <c r="AM116">
        <f t="shared" si="3"/>
        <v>0</v>
      </c>
      <c r="AO116">
        <f>VLOOKUP(A116,'[1]Prueba con 19mil datos'!$B$1:$AF$1228,31,FALSE)</f>
        <v>1808.95</v>
      </c>
    </row>
    <row r="117" spans="1:41" hidden="1" x14ac:dyDescent="0.25">
      <c r="A117" s="16" t="s">
        <v>2648</v>
      </c>
      <c r="B117" s="15" t="s">
        <v>40</v>
      </c>
      <c r="C117" s="16">
        <v>1</v>
      </c>
      <c r="D117" s="16" t="s">
        <v>728</v>
      </c>
      <c r="E117" s="17" t="s">
        <v>42</v>
      </c>
      <c r="F117" s="18" t="s">
        <v>180</v>
      </c>
      <c r="G117" s="18" t="s">
        <v>729</v>
      </c>
      <c r="H117" s="16" t="s">
        <v>207</v>
      </c>
      <c r="I117" s="19" t="s">
        <v>3</v>
      </c>
      <c r="J117" s="16" t="s">
        <v>12</v>
      </c>
      <c r="K117" s="20" t="s">
        <v>198</v>
      </c>
      <c r="L117" s="20" t="s">
        <v>731</v>
      </c>
      <c r="M117" s="16" t="s">
        <v>200</v>
      </c>
      <c r="N117" s="16">
        <v>0</v>
      </c>
      <c r="O117" s="16" t="s">
        <v>50</v>
      </c>
      <c r="P117" s="20">
        <v>29</v>
      </c>
      <c r="Q117" s="20" t="s">
        <v>119</v>
      </c>
      <c r="R117" s="21" t="s">
        <v>186</v>
      </c>
      <c r="S117" s="22" t="s">
        <v>187</v>
      </c>
      <c r="T117" s="22" t="s">
        <v>54</v>
      </c>
      <c r="U117" s="23" t="s">
        <v>269</v>
      </c>
      <c r="V117" s="24">
        <v>1.05</v>
      </c>
      <c r="W117" s="25">
        <v>1651.6500000000003</v>
      </c>
      <c r="X117" s="26">
        <v>1</v>
      </c>
      <c r="Y117" s="27">
        <v>1.72</v>
      </c>
      <c r="Z117" s="23">
        <v>4</v>
      </c>
      <c r="AA117" s="28">
        <v>0.43</v>
      </c>
      <c r="AB117" s="24">
        <v>0</v>
      </c>
      <c r="AC117" s="29">
        <v>0</v>
      </c>
      <c r="AD117" s="30">
        <v>43558</v>
      </c>
      <c r="AE117" s="30">
        <v>43559</v>
      </c>
      <c r="AF117" s="23">
        <v>1</v>
      </c>
      <c r="AG117" s="25" t="s">
        <v>56</v>
      </c>
      <c r="AH117" s="24">
        <v>0</v>
      </c>
      <c r="AI117" s="31">
        <v>0</v>
      </c>
      <c r="AJ117" s="31">
        <v>0</v>
      </c>
      <c r="AK117" s="44">
        <f t="shared" si="2"/>
        <v>1651.6500000000003</v>
      </c>
      <c r="AL117">
        <f>VLOOKUP(A117,'[1]prueba con 16mil datos'!$A$1:$AE$804,31,FALSE)</f>
        <v>1651.65</v>
      </c>
      <c r="AM117">
        <f t="shared" si="3"/>
        <v>1</v>
      </c>
      <c r="AO117">
        <f>VLOOKUP(A117,'[1]Prueba con 19mil datos'!$B$1:$AF$1228,31,FALSE)</f>
        <v>1651.65</v>
      </c>
    </row>
    <row r="118" spans="1:41" hidden="1" x14ac:dyDescent="0.25">
      <c r="A118" s="16" t="s">
        <v>2581</v>
      </c>
      <c r="B118" s="15" t="s">
        <v>40</v>
      </c>
      <c r="C118" s="16">
        <v>1</v>
      </c>
      <c r="D118" s="16" t="s">
        <v>806</v>
      </c>
      <c r="E118" s="17" t="s">
        <v>807</v>
      </c>
      <c r="F118" s="18" t="s">
        <v>574</v>
      </c>
      <c r="G118" s="18" t="s">
        <v>808</v>
      </c>
      <c r="H118" s="16" t="s">
        <v>284</v>
      </c>
      <c r="I118" s="19" t="s">
        <v>3</v>
      </c>
      <c r="J118" s="16" t="s">
        <v>12</v>
      </c>
      <c r="K118" s="20" t="s">
        <v>285</v>
      </c>
      <c r="L118" s="20" t="s">
        <v>810</v>
      </c>
      <c r="M118" s="16" t="s">
        <v>128</v>
      </c>
      <c r="N118" s="16">
        <v>0</v>
      </c>
      <c r="O118" s="16" t="s">
        <v>50</v>
      </c>
      <c r="P118" s="20" t="s">
        <v>326</v>
      </c>
      <c r="Q118" s="20" t="s">
        <v>51</v>
      </c>
      <c r="R118" s="21" t="s">
        <v>148</v>
      </c>
      <c r="S118" s="22" t="s">
        <v>130</v>
      </c>
      <c r="T118" s="22" t="s">
        <v>54</v>
      </c>
      <c r="U118" s="23" t="s">
        <v>226</v>
      </c>
      <c r="V118" s="24">
        <v>1</v>
      </c>
      <c r="W118" s="25">
        <v>1365</v>
      </c>
      <c r="X118" s="26">
        <v>0</v>
      </c>
      <c r="Y118" s="27">
        <v>5</v>
      </c>
      <c r="Z118" s="23">
        <v>5</v>
      </c>
      <c r="AA118" s="28">
        <v>1</v>
      </c>
      <c r="AB118" s="24">
        <v>0</v>
      </c>
      <c r="AC118" s="29">
        <v>0</v>
      </c>
      <c r="AD118" s="30">
        <v>43558</v>
      </c>
      <c r="AE118" s="30">
        <v>43559</v>
      </c>
      <c r="AF118" s="23">
        <v>1</v>
      </c>
      <c r="AG118" s="25" t="s">
        <v>56</v>
      </c>
      <c r="AH118" s="24">
        <v>0</v>
      </c>
      <c r="AI118" s="31">
        <v>0</v>
      </c>
      <c r="AJ118" s="31">
        <v>0</v>
      </c>
      <c r="AK118" s="44">
        <f t="shared" si="2"/>
        <v>1365</v>
      </c>
      <c r="AL118">
        <f>VLOOKUP(A118,'[1]prueba con 16mil datos'!$A$1:$AE$804,31,FALSE)</f>
        <v>1808.95</v>
      </c>
      <c r="AM118">
        <f t="shared" si="3"/>
        <v>0</v>
      </c>
      <c r="AO118">
        <f>VLOOKUP(A118,'[1]Prueba con 19mil datos'!$B$1:$AF$1228,31,FALSE)</f>
        <v>1808.95</v>
      </c>
    </row>
    <row r="119" spans="1:41" hidden="1" x14ac:dyDescent="0.25">
      <c r="A119" s="16" t="s">
        <v>1151</v>
      </c>
      <c r="B119" s="15" t="s">
        <v>40</v>
      </c>
      <c r="C119" s="16">
        <v>1</v>
      </c>
      <c r="D119" s="16" t="s">
        <v>897</v>
      </c>
      <c r="E119" s="17" t="s">
        <v>42</v>
      </c>
      <c r="F119" s="18" t="s">
        <v>574</v>
      </c>
      <c r="G119" s="18" t="s">
        <v>898</v>
      </c>
      <c r="H119" s="16" t="s">
        <v>317</v>
      </c>
      <c r="I119" s="19" t="s">
        <v>3</v>
      </c>
      <c r="J119" s="16" t="s">
        <v>12</v>
      </c>
      <c r="K119" s="20" t="s">
        <v>285</v>
      </c>
      <c r="L119" s="20" t="s">
        <v>810</v>
      </c>
      <c r="M119" s="16" t="s">
        <v>128</v>
      </c>
      <c r="N119" s="16">
        <v>0</v>
      </c>
      <c r="O119" s="16" t="s">
        <v>50</v>
      </c>
      <c r="P119" s="20">
        <v>33</v>
      </c>
      <c r="Q119" s="20" t="s">
        <v>86</v>
      </c>
      <c r="R119" s="21" t="s">
        <v>148</v>
      </c>
      <c r="S119" s="22" t="s">
        <v>130</v>
      </c>
      <c r="T119" s="22" t="s">
        <v>54</v>
      </c>
      <c r="U119" s="23" t="s">
        <v>178</v>
      </c>
      <c r="V119" s="24">
        <v>1.05</v>
      </c>
      <c r="W119" s="25">
        <v>1433.25</v>
      </c>
      <c r="X119" s="26">
        <v>1</v>
      </c>
      <c r="Y119" s="27">
        <v>1.5</v>
      </c>
      <c r="Z119" s="23">
        <v>5</v>
      </c>
      <c r="AA119" s="28">
        <v>0.3</v>
      </c>
      <c r="AB119" s="24">
        <v>0</v>
      </c>
      <c r="AC119" s="29">
        <v>0</v>
      </c>
      <c r="AD119" s="30">
        <v>43558</v>
      </c>
      <c r="AE119" s="30">
        <v>43559</v>
      </c>
      <c r="AF119" s="23">
        <v>1</v>
      </c>
      <c r="AG119" s="25" t="s">
        <v>56</v>
      </c>
      <c r="AH119" s="24">
        <v>0</v>
      </c>
      <c r="AI119" s="31">
        <v>0</v>
      </c>
      <c r="AJ119" s="31">
        <v>0</v>
      </c>
      <c r="AK119" s="44">
        <f t="shared" si="2"/>
        <v>1433.25</v>
      </c>
      <c r="AL119">
        <f>VLOOKUP(A119,'[1]prueba con 16mil datos'!$A$1:$AE$804,31,FALSE)</f>
        <v>1808.95</v>
      </c>
      <c r="AM119">
        <f t="shared" si="3"/>
        <v>0</v>
      </c>
      <c r="AO119">
        <f>VLOOKUP(A119,'[1]Prueba con 19mil datos'!$B$1:$AF$1228,31,FALSE)</f>
        <v>1573</v>
      </c>
    </row>
    <row r="120" spans="1:41" hidden="1" x14ac:dyDescent="0.25">
      <c r="A120" s="16" t="s">
        <v>2885</v>
      </c>
      <c r="B120" s="15" t="s">
        <v>40</v>
      </c>
      <c r="C120" s="16">
        <v>1</v>
      </c>
      <c r="D120" s="16" t="s">
        <v>690</v>
      </c>
      <c r="E120" s="17" t="s">
        <v>42</v>
      </c>
      <c r="F120" s="18" t="s">
        <v>122</v>
      </c>
      <c r="G120" s="18" t="s">
        <v>691</v>
      </c>
      <c r="H120" s="16" t="s">
        <v>693</v>
      </c>
      <c r="I120" s="19" t="s">
        <v>3</v>
      </c>
      <c r="J120" s="16" t="s">
        <v>12</v>
      </c>
      <c r="K120" s="20" t="s">
        <v>126</v>
      </c>
      <c r="L120" s="20" t="s">
        <v>694</v>
      </c>
      <c r="M120" s="16" t="s">
        <v>695</v>
      </c>
      <c r="N120" s="16">
        <v>0</v>
      </c>
      <c r="O120" s="16" t="s">
        <v>50</v>
      </c>
      <c r="P120" s="20">
        <v>128</v>
      </c>
      <c r="Q120" s="20" t="s">
        <v>51</v>
      </c>
      <c r="R120" s="21" t="s">
        <v>129</v>
      </c>
      <c r="S120" s="22" t="s">
        <v>130</v>
      </c>
      <c r="T120" s="22" t="s">
        <v>54</v>
      </c>
      <c r="U120" s="23" t="s">
        <v>226</v>
      </c>
      <c r="V120" s="24">
        <v>1.1000000000000001</v>
      </c>
      <c r="W120" s="25">
        <v>1501.5000000000002</v>
      </c>
      <c r="X120" s="26">
        <v>1</v>
      </c>
      <c r="Y120" s="27">
        <v>3.16</v>
      </c>
      <c r="Z120" s="23">
        <v>5</v>
      </c>
      <c r="AA120" s="28">
        <v>0.63200000000000001</v>
      </c>
      <c r="AB120" s="24">
        <v>0</v>
      </c>
      <c r="AC120" s="29">
        <v>0</v>
      </c>
      <c r="AD120" s="30">
        <v>43558</v>
      </c>
      <c r="AE120" s="30">
        <v>43558</v>
      </c>
      <c r="AF120" s="23">
        <v>0</v>
      </c>
      <c r="AG120" s="25" t="s">
        <v>56</v>
      </c>
      <c r="AH120" s="24">
        <v>0</v>
      </c>
      <c r="AI120" s="31">
        <v>0</v>
      </c>
      <c r="AJ120" s="31">
        <v>0</v>
      </c>
      <c r="AK120" s="44">
        <f t="shared" si="2"/>
        <v>1501.5000000000002</v>
      </c>
      <c r="AL120">
        <f>VLOOKUP(A120,'[1]prueba con 16mil datos'!$A$1:$AE$804,31,FALSE)</f>
        <v>1808.95</v>
      </c>
      <c r="AM120">
        <f t="shared" si="3"/>
        <v>0</v>
      </c>
      <c r="AN120">
        <v>1</v>
      </c>
      <c r="AO120">
        <f>VLOOKUP(A120,'[1]Prueba con 19mil datos'!$B$1:$AF$1228,31,FALSE)</f>
        <v>1808.95</v>
      </c>
    </row>
    <row r="121" spans="1:41" hidden="1" x14ac:dyDescent="0.25">
      <c r="A121" s="16" t="s">
        <v>1988</v>
      </c>
      <c r="B121" s="15" t="s">
        <v>40</v>
      </c>
      <c r="C121" s="16">
        <v>1</v>
      </c>
      <c r="D121" s="16" t="s">
        <v>712</v>
      </c>
      <c r="E121" s="17" t="s">
        <v>42</v>
      </c>
      <c r="F121" s="18" t="s">
        <v>561</v>
      </c>
      <c r="G121" s="18" t="s">
        <v>713</v>
      </c>
      <c r="H121" s="16" t="s">
        <v>82</v>
      </c>
      <c r="I121" s="19" t="s">
        <v>3</v>
      </c>
      <c r="J121" s="16" t="s">
        <v>12</v>
      </c>
      <c r="K121" s="20" t="s">
        <v>564</v>
      </c>
      <c r="L121" s="20" t="s">
        <v>565</v>
      </c>
      <c r="M121" s="16" t="s">
        <v>566</v>
      </c>
      <c r="N121" s="16">
        <v>0</v>
      </c>
      <c r="O121" s="16" t="s">
        <v>50</v>
      </c>
      <c r="P121" s="20">
        <v>2</v>
      </c>
      <c r="Q121" s="20" t="s">
        <v>147</v>
      </c>
      <c r="R121" s="21" t="s">
        <v>129</v>
      </c>
      <c r="S121" s="22" t="s">
        <v>130</v>
      </c>
      <c r="T121" s="22" t="s">
        <v>54</v>
      </c>
      <c r="U121" s="23" t="s">
        <v>149</v>
      </c>
      <c r="V121" s="24">
        <v>0</v>
      </c>
      <c r="W121" s="25">
        <v>0</v>
      </c>
      <c r="X121" s="26">
        <v>1</v>
      </c>
      <c r="Y121" s="27">
        <v>0.35</v>
      </c>
      <c r="Z121" s="23">
        <v>5</v>
      </c>
      <c r="AA121" s="28">
        <v>6.9999999999999993E-2</v>
      </c>
      <c r="AB121" s="24">
        <v>0</v>
      </c>
      <c r="AC121" s="29">
        <v>0</v>
      </c>
      <c r="AD121" s="30">
        <v>43558</v>
      </c>
      <c r="AE121" s="30">
        <v>43559</v>
      </c>
      <c r="AF121" s="23">
        <v>1</v>
      </c>
      <c r="AG121" s="25" t="s">
        <v>56</v>
      </c>
      <c r="AH121" s="24">
        <v>0</v>
      </c>
      <c r="AI121" s="31">
        <v>0</v>
      </c>
      <c r="AJ121" s="31">
        <v>0</v>
      </c>
      <c r="AK121" s="44">
        <f t="shared" si="2"/>
        <v>0</v>
      </c>
      <c r="AL121">
        <f>VLOOKUP(A121,'[1]prueba con 16mil datos'!$A$1:$AE$804,31,FALSE)</f>
        <v>1808.95</v>
      </c>
      <c r="AM121">
        <f t="shared" si="3"/>
        <v>0</v>
      </c>
      <c r="AO121">
        <f>VLOOKUP(A121,'[1]Prueba con 19mil datos'!$B$1:$AF$1228,31,FALSE)</f>
        <v>1808.95</v>
      </c>
    </row>
    <row r="122" spans="1:41" hidden="1" x14ac:dyDescent="0.25">
      <c r="A122" s="16" t="s">
        <v>2018</v>
      </c>
      <c r="B122" s="15" t="s">
        <v>40</v>
      </c>
      <c r="C122" s="16">
        <v>1</v>
      </c>
      <c r="D122" s="16" t="s">
        <v>700</v>
      </c>
      <c r="E122" s="17" t="s">
        <v>42</v>
      </c>
      <c r="F122" s="18" t="s">
        <v>122</v>
      </c>
      <c r="G122" s="18" t="s">
        <v>701</v>
      </c>
      <c r="H122" s="16" t="s">
        <v>463</v>
      </c>
      <c r="I122" s="19" t="s">
        <v>3</v>
      </c>
      <c r="J122" s="16" t="s">
        <v>12</v>
      </c>
      <c r="K122" s="20" t="s">
        <v>198</v>
      </c>
      <c r="L122" s="20" t="s">
        <v>670</v>
      </c>
      <c r="M122" s="16" t="s">
        <v>76</v>
      </c>
      <c r="N122" s="16">
        <v>0</v>
      </c>
      <c r="O122" s="16" t="s">
        <v>50</v>
      </c>
      <c r="P122" s="20">
        <v>25</v>
      </c>
      <c r="Q122" s="20" t="s">
        <v>119</v>
      </c>
      <c r="R122" s="21" t="s">
        <v>129</v>
      </c>
      <c r="S122" s="22" t="s">
        <v>130</v>
      </c>
      <c r="T122" s="22" t="s">
        <v>54</v>
      </c>
      <c r="U122" s="23" t="s">
        <v>164</v>
      </c>
      <c r="V122" s="24">
        <v>0.8</v>
      </c>
      <c r="W122" s="25">
        <v>1092</v>
      </c>
      <c r="X122" s="26">
        <v>1</v>
      </c>
      <c r="Y122" s="27">
        <v>0.28000000000000003</v>
      </c>
      <c r="Z122" s="23">
        <v>5</v>
      </c>
      <c r="AA122" s="28">
        <v>5.6000000000000008E-2</v>
      </c>
      <c r="AB122" s="24">
        <v>0</v>
      </c>
      <c r="AC122" s="29">
        <v>0</v>
      </c>
      <c r="AD122" s="30">
        <v>43558</v>
      </c>
      <c r="AE122" s="30">
        <v>43558</v>
      </c>
      <c r="AF122" s="23">
        <v>0</v>
      </c>
      <c r="AG122" s="25" t="s">
        <v>56</v>
      </c>
      <c r="AH122" s="24">
        <v>0</v>
      </c>
      <c r="AI122" s="31">
        <v>0</v>
      </c>
      <c r="AJ122" s="31">
        <v>0</v>
      </c>
      <c r="AK122" s="44">
        <f t="shared" si="2"/>
        <v>1092</v>
      </c>
      <c r="AL122">
        <f>VLOOKUP(A122,'[1]prueba con 16mil datos'!$A$1:$AE$804,31,FALSE)</f>
        <v>923.45</v>
      </c>
      <c r="AM122">
        <f t="shared" si="3"/>
        <v>0</v>
      </c>
      <c r="AO122">
        <f>VLOOKUP(A122,'[1]Prueba con 19mil datos'!$B$1:$AF$1228,31,FALSE)</f>
        <v>923.45</v>
      </c>
    </row>
    <row r="123" spans="1:41" hidden="1" x14ac:dyDescent="0.25">
      <c r="A123" s="16" t="s">
        <v>2828</v>
      </c>
      <c r="B123" s="15" t="s">
        <v>40</v>
      </c>
      <c r="C123" s="16">
        <v>1</v>
      </c>
      <c r="D123" s="16" t="s">
        <v>971</v>
      </c>
      <c r="E123" s="17" t="s">
        <v>42</v>
      </c>
      <c r="F123" s="18" t="s">
        <v>122</v>
      </c>
      <c r="G123" s="18" t="s">
        <v>972</v>
      </c>
      <c r="H123" s="16" t="s">
        <v>109</v>
      </c>
      <c r="I123" s="19" t="s">
        <v>3</v>
      </c>
      <c r="J123" s="16" t="s">
        <v>12</v>
      </c>
      <c r="K123" s="20" t="s">
        <v>198</v>
      </c>
      <c r="L123" s="20" t="s">
        <v>974</v>
      </c>
      <c r="M123" s="16" t="s">
        <v>200</v>
      </c>
      <c r="N123" s="16">
        <v>0</v>
      </c>
      <c r="O123" s="16" t="s">
        <v>50</v>
      </c>
      <c r="P123" s="20">
        <v>8</v>
      </c>
      <c r="Q123" s="20" t="s">
        <v>65</v>
      </c>
      <c r="R123" s="21" t="s">
        <v>129</v>
      </c>
      <c r="S123" s="22" t="s">
        <v>130</v>
      </c>
      <c r="T123" s="22" t="s">
        <v>54</v>
      </c>
      <c r="U123" s="23" t="s">
        <v>131</v>
      </c>
      <c r="V123" s="24">
        <v>0.6</v>
      </c>
      <c r="W123" s="25">
        <v>819</v>
      </c>
      <c r="X123" s="26">
        <v>1</v>
      </c>
      <c r="Y123" s="27">
        <v>0.61</v>
      </c>
      <c r="Z123" s="23">
        <v>5</v>
      </c>
      <c r="AA123" s="28">
        <v>0.122</v>
      </c>
      <c r="AB123" s="24">
        <v>0</v>
      </c>
      <c r="AC123" s="29">
        <v>0</v>
      </c>
      <c r="AD123" s="30">
        <v>43558</v>
      </c>
      <c r="AE123" s="30">
        <v>43559</v>
      </c>
      <c r="AF123" s="23">
        <v>1</v>
      </c>
      <c r="AG123" s="25" t="s">
        <v>56</v>
      </c>
      <c r="AH123" s="24">
        <v>0</v>
      </c>
      <c r="AI123" s="31">
        <v>0</v>
      </c>
      <c r="AJ123" s="31">
        <v>0</v>
      </c>
      <c r="AK123" s="44">
        <f t="shared" si="2"/>
        <v>819</v>
      </c>
      <c r="AL123">
        <f>VLOOKUP(A123,'[1]prueba con 16mil datos'!$A$1:$AE$804,31,FALSE)</f>
        <v>1808.95</v>
      </c>
      <c r="AM123">
        <f t="shared" si="3"/>
        <v>0</v>
      </c>
      <c r="AO123">
        <f>VLOOKUP(A123,'[1]Prueba con 19mil datos'!$B$1:$AF$1228,31,FALSE)</f>
        <v>1808.95</v>
      </c>
    </row>
    <row r="124" spans="1:41" hidden="1" x14ac:dyDescent="0.25">
      <c r="A124" s="16" t="s">
        <v>1065</v>
      </c>
      <c r="B124" s="15" t="s">
        <v>40</v>
      </c>
      <c r="C124" s="16">
        <v>1</v>
      </c>
      <c r="D124" s="16" t="s">
        <v>738</v>
      </c>
      <c r="E124" s="17" t="s">
        <v>42</v>
      </c>
      <c r="F124" s="18" t="s">
        <v>122</v>
      </c>
      <c r="G124" s="18" t="s">
        <v>739</v>
      </c>
      <c r="H124" s="16" t="s">
        <v>109</v>
      </c>
      <c r="I124" s="19" t="s">
        <v>3</v>
      </c>
      <c r="J124" s="16" t="s">
        <v>12</v>
      </c>
      <c r="K124" s="20" t="s">
        <v>126</v>
      </c>
      <c r="L124" s="20" t="s">
        <v>741</v>
      </c>
      <c r="M124" s="16" t="s">
        <v>742</v>
      </c>
      <c r="N124" s="16">
        <v>0</v>
      </c>
      <c r="O124" s="16" t="s">
        <v>50</v>
      </c>
      <c r="P124" s="20">
        <v>70</v>
      </c>
      <c r="Q124" s="20" t="s">
        <v>51</v>
      </c>
      <c r="R124" s="21" t="s">
        <v>129</v>
      </c>
      <c r="S124" s="22" t="s">
        <v>130</v>
      </c>
      <c r="T124" s="22" t="s">
        <v>54</v>
      </c>
      <c r="U124" s="23" t="s">
        <v>226</v>
      </c>
      <c r="V124" s="24">
        <v>1.1000000000000001</v>
      </c>
      <c r="W124" s="25">
        <v>1501.5000000000002</v>
      </c>
      <c r="X124" s="26">
        <v>1</v>
      </c>
      <c r="Y124" s="27">
        <v>1.28</v>
      </c>
      <c r="Z124" s="23">
        <v>5</v>
      </c>
      <c r="AA124" s="28">
        <v>0.25600000000000001</v>
      </c>
      <c r="AB124" s="24">
        <v>0</v>
      </c>
      <c r="AC124" s="29">
        <v>0</v>
      </c>
      <c r="AD124" s="30">
        <v>43558</v>
      </c>
      <c r="AE124" s="30">
        <v>43559</v>
      </c>
      <c r="AF124" s="23">
        <v>1</v>
      </c>
      <c r="AG124" s="25" t="s">
        <v>56</v>
      </c>
      <c r="AH124" s="24">
        <v>0</v>
      </c>
      <c r="AI124" s="31">
        <v>0</v>
      </c>
      <c r="AJ124" s="31">
        <v>0</v>
      </c>
      <c r="AK124" s="44">
        <f t="shared" si="2"/>
        <v>1501.5000000000002</v>
      </c>
      <c r="AL124">
        <f>VLOOKUP(A124,'[1]prueba con 16mil datos'!$A$1:$AE$804,31,FALSE)</f>
        <v>235.95</v>
      </c>
      <c r="AM124">
        <f t="shared" si="3"/>
        <v>0</v>
      </c>
      <c r="AO124">
        <f>VLOOKUP(A124,'[1]Prueba con 19mil datos'!$B$1:$AF$1228,31,FALSE)</f>
        <v>0</v>
      </c>
    </row>
    <row r="125" spans="1:41" hidden="1" x14ac:dyDescent="0.25">
      <c r="A125" s="16" t="s">
        <v>1929</v>
      </c>
      <c r="B125" s="15" t="s">
        <v>40</v>
      </c>
      <c r="C125" s="16">
        <v>1</v>
      </c>
      <c r="D125" s="16" t="s">
        <v>684</v>
      </c>
      <c r="E125" s="17" t="s">
        <v>42</v>
      </c>
      <c r="F125" s="18" t="s">
        <v>122</v>
      </c>
      <c r="G125" s="18" t="s">
        <v>685</v>
      </c>
      <c r="H125" s="16" t="s">
        <v>621</v>
      </c>
      <c r="I125" s="19" t="s">
        <v>3</v>
      </c>
      <c r="J125" s="16" t="s">
        <v>12</v>
      </c>
      <c r="K125" s="20" t="s">
        <v>126</v>
      </c>
      <c r="L125" s="20" t="s">
        <v>446</v>
      </c>
      <c r="M125" s="16" t="s">
        <v>447</v>
      </c>
      <c r="N125" s="16">
        <v>0</v>
      </c>
      <c r="O125" s="16" t="s">
        <v>50</v>
      </c>
      <c r="P125" s="20">
        <v>9</v>
      </c>
      <c r="Q125" s="20" t="s">
        <v>65</v>
      </c>
      <c r="R125" s="21" t="s">
        <v>129</v>
      </c>
      <c r="S125" s="22" t="s">
        <v>130</v>
      </c>
      <c r="T125" s="22" t="s">
        <v>54</v>
      </c>
      <c r="U125" s="23" t="s">
        <v>131</v>
      </c>
      <c r="V125" s="24">
        <v>0.6</v>
      </c>
      <c r="W125" s="25">
        <v>819</v>
      </c>
      <c r="X125" s="26">
        <v>1</v>
      </c>
      <c r="Y125" s="27">
        <v>2.39</v>
      </c>
      <c r="Z125" s="23">
        <v>5</v>
      </c>
      <c r="AA125" s="28">
        <v>0.47800000000000004</v>
      </c>
      <c r="AB125" s="24">
        <v>0</v>
      </c>
      <c r="AC125" s="29">
        <v>0</v>
      </c>
      <c r="AD125" s="30">
        <v>43558</v>
      </c>
      <c r="AE125" s="30">
        <v>43558</v>
      </c>
      <c r="AF125" s="23">
        <v>0</v>
      </c>
      <c r="AG125" s="25" t="s">
        <v>56</v>
      </c>
      <c r="AH125" s="24">
        <v>0</v>
      </c>
      <c r="AI125" s="31">
        <v>0</v>
      </c>
      <c r="AJ125" s="31">
        <v>0</v>
      </c>
      <c r="AK125" s="44">
        <f t="shared" si="2"/>
        <v>819</v>
      </c>
      <c r="AL125">
        <f>VLOOKUP(A125,'[1]prueba con 16mil datos'!$A$1:$AE$804,31,FALSE)</f>
        <v>1808.95</v>
      </c>
      <c r="AM125">
        <f t="shared" si="3"/>
        <v>0</v>
      </c>
      <c r="AO125">
        <f>VLOOKUP(A125,'[1]Prueba con 19mil datos'!$B$1:$AF$1228,31,FALSE)</f>
        <v>1808.95</v>
      </c>
    </row>
    <row r="126" spans="1:41" hidden="1" x14ac:dyDescent="0.25">
      <c r="A126" s="16" t="s">
        <v>2068</v>
      </c>
      <c r="B126" s="15" t="s">
        <v>40</v>
      </c>
      <c r="C126" s="16">
        <v>1</v>
      </c>
      <c r="D126" s="16" t="s">
        <v>714</v>
      </c>
      <c r="E126" s="17" t="s">
        <v>42</v>
      </c>
      <c r="F126" s="18" t="s">
        <v>715</v>
      </c>
      <c r="G126" s="18" t="s">
        <v>716</v>
      </c>
      <c r="H126" s="16" t="s">
        <v>346</v>
      </c>
      <c r="I126" s="19" t="s">
        <v>3</v>
      </c>
      <c r="J126" s="16" t="s">
        <v>12</v>
      </c>
      <c r="K126" s="20" t="s">
        <v>154</v>
      </c>
      <c r="L126" s="20" t="s">
        <v>718</v>
      </c>
      <c r="M126" s="16" t="s">
        <v>146</v>
      </c>
      <c r="N126" s="16">
        <v>0</v>
      </c>
      <c r="O126" s="16" t="s">
        <v>50</v>
      </c>
      <c r="P126" s="20">
        <v>587</v>
      </c>
      <c r="Q126" s="20" t="s">
        <v>51</v>
      </c>
      <c r="R126" s="21" t="s">
        <v>77</v>
      </c>
      <c r="S126" s="22" t="s">
        <v>53</v>
      </c>
      <c r="T126" s="22" t="s">
        <v>54</v>
      </c>
      <c r="U126" s="23" t="s">
        <v>55</v>
      </c>
      <c r="V126" s="24">
        <v>1.05</v>
      </c>
      <c r="W126" s="25">
        <v>750.75000000000011</v>
      </c>
      <c r="X126" s="26">
        <v>1</v>
      </c>
      <c r="Y126" s="27">
        <v>1.91</v>
      </c>
      <c r="Z126" s="23">
        <v>5</v>
      </c>
      <c r="AA126" s="28">
        <v>0.38200000000000001</v>
      </c>
      <c r="AB126" s="24">
        <v>0</v>
      </c>
      <c r="AC126" s="29">
        <v>0</v>
      </c>
      <c r="AD126" s="30">
        <v>43558</v>
      </c>
      <c r="AE126" s="30">
        <v>43559</v>
      </c>
      <c r="AF126" s="23">
        <v>1</v>
      </c>
      <c r="AG126" s="25" t="s">
        <v>56</v>
      </c>
      <c r="AH126" s="24">
        <v>0</v>
      </c>
      <c r="AI126" s="31">
        <v>0</v>
      </c>
      <c r="AJ126" s="31">
        <v>0</v>
      </c>
      <c r="AK126" s="44">
        <f t="shared" si="2"/>
        <v>750.75000000000011</v>
      </c>
      <c r="AL126">
        <f>VLOOKUP(A126,'[1]prueba con 16mil datos'!$A$1:$AE$804,31,FALSE)</f>
        <v>1730.3</v>
      </c>
      <c r="AM126">
        <f t="shared" si="3"/>
        <v>0</v>
      </c>
      <c r="AO126">
        <f>VLOOKUP(A126,'[1]Prueba con 19mil datos'!$B$1:$AF$1228,31,FALSE)</f>
        <v>1730.3</v>
      </c>
    </row>
    <row r="127" spans="1:41" hidden="1" x14ac:dyDescent="0.25">
      <c r="A127" s="16" t="s">
        <v>984</v>
      </c>
      <c r="B127" s="15" t="s">
        <v>40</v>
      </c>
      <c r="C127" s="16">
        <v>1</v>
      </c>
      <c r="D127" s="16" t="s">
        <v>634</v>
      </c>
      <c r="E127" s="17" t="s">
        <v>42</v>
      </c>
      <c r="F127" s="18" t="s">
        <v>233</v>
      </c>
      <c r="G127" s="18" t="s">
        <v>635</v>
      </c>
      <c r="H127" s="16" t="s">
        <v>331</v>
      </c>
      <c r="I127" s="19" t="s">
        <v>3</v>
      </c>
      <c r="J127" s="16" t="s">
        <v>12</v>
      </c>
      <c r="K127" s="20" t="s">
        <v>637</v>
      </c>
      <c r="L127" s="20" t="s">
        <v>638</v>
      </c>
      <c r="M127" s="16" t="s">
        <v>429</v>
      </c>
      <c r="N127" s="16">
        <v>0</v>
      </c>
      <c r="O127" s="16" t="s">
        <v>50</v>
      </c>
      <c r="P127" s="20">
        <v>453</v>
      </c>
      <c r="Q127" s="20" t="s">
        <v>51</v>
      </c>
      <c r="R127" s="21" t="s">
        <v>77</v>
      </c>
      <c r="S127" s="22" t="s">
        <v>53</v>
      </c>
      <c r="T127" s="22" t="s">
        <v>54</v>
      </c>
      <c r="U127" s="23" t="s">
        <v>55</v>
      </c>
      <c r="V127" s="24">
        <v>1.05</v>
      </c>
      <c r="W127" s="25">
        <v>750.75000000000011</v>
      </c>
      <c r="X127" s="26">
        <v>1</v>
      </c>
      <c r="Y127" s="27">
        <v>3.98</v>
      </c>
      <c r="Z127" s="23">
        <v>5</v>
      </c>
      <c r="AA127" s="28">
        <v>0.79600000000000004</v>
      </c>
      <c r="AB127" s="24">
        <v>0</v>
      </c>
      <c r="AC127" s="29">
        <v>0</v>
      </c>
      <c r="AD127" s="30">
        <v>43558</v>
      </c>
      <c r="AE127" s="30">
        <v>43558</v>
      </c>
      <c r="AF127" s="23">
        <v>0</v>
      </c>
      <c r="AG127" s="25" t="s">
        <v>56</v>
      </c>
      <c r="AH127" s="24">
        <v>0</v>
      </c>
      <c r="AI127" s="31">
        <v>0</v>
      </c>
      <c r="AJ127" s="31">
        <v>0</v>
      </c>
      <c r="AK127" s="44">
        <f t="shared" si="2"/>
        <v>750.75000000000011</v>
      </c>
      <c r="AL127" t="e">
        <f>VLOOKUP(A127,'[1]prueba con 16mil datos'!$A$1:$AE$804,31,FALSE)</f>
        <v>#N/A</v>
      </c>
      <c r="AM127" t="e">
        <f t="shared" si="3"/>
        <v>#N/A</v>
      </c>
      <c r="AO127">
        <f>VLOOKUP(A127,'[1]Prueba con 19mil datos'!$B$1:$AF$1228,31,FALSE)</f>
        <v>0</v>
      </c>
    </row>
    <row r="128" spans="1:41" hidden="1" x14ac:dyDescent="0.25">
      <c r="A128" s="16" t="s">
        <v>984</v>
      </c>
      <c r="B128" s="15" t="s">
        <v>40</v>
      </c>
      <c r="C128" s="16">
        <v>1</v>
      </c>
      <c r="D128" s="16" t="s">
        <v>671</v>
      </c>
      <c r="E128" s="17" t="s">
        <v>42</v>
      </c>
      <c r="F128" s="18" t="s">
        <v>314</v>
      </c>
      <c r="G128" s="18" t="s">
        <v>672</v>
      </c>
      <c r="H128" s="16" t="s">
        <v>317</v>
      </c>
      <c r="I128" s="19" t="s">
        <v>3</v>
      </c>
      <c r="J128" s="16" t="s">
        <v>12</v>
      </c>
      <c r="K128" s="20" t="s">
        <v>237</v>
      </c>
      <c r="L128" s="20" t="s">
        <v>238</v>
      </c>
      <c r="M128" s="16" t="s">
        <v>105</v>
      </c>
      <c r="N128" s="16">
        <v>0</v>
      </c>
      <c r="O128" s="16" t="s">
        <v>50</v>
      </c>
      <c r="P128" s="20">
        <v>33</v>
      </c>
      <c r="Q128" s="20" t="s">
        <v>86</v>
      </c>
      <c r="R128" s="21" t="s">
        <v>225</v>
      </c>
      <c r="S128" s="22" t="s">
        <v>130</v>
      </c>
      <c r="T128" s="22" t="s">
        <v>54</v>
      </c>
      <c r="U128" s="23" t="s">
        <v>178</v>
      </c>
      <c r="V128" s="24">
        <v>1.05</v>
      </c>
      <c r="W128" s="25">
        <v>1433.25</v>
      </c>
      <c r="X128" s="26">
        <v>1</v>
      </c>
      <c r="Y128" s="27">
        <v>3.15</v>
      </c>
      <c r="Z128" s="23">
        <v>5</v>
      </c>
      <c r="AA128" s="28">
        <v>0.63</v>
      </c>
      <c r="AB128" s="24">
        <v>0</v>
      </c>
      <c r="AC128" s="29">
        <v>0</v>
      </c>
      <c r="AD128" s="30">
        <v>43558</v>
      </c>
      <c r="AE128" s="30">
        <v>43558</v>
      </c>
      <c r="AF128" s="23">
        <v>0</v>
      </c>
      <c r="AG128" s="25" t="s">
        <v>56</v>
      </c>
      <c r="AH128" s="24">
        <v>0</v>
      </c>
      <c r="AI128" s="31">
        <v>0</v>
      </c>
      <c r="AJ128" s="31">
        <v>0</v>
      </c>
      <c r="AK128" s="44">
        <f t="shared" si="2"/>
        <v>1433.25</v>
      </c>
      <c r="AL128" t="e">
        <f>VLOOKUP(A128,'[1]prueba con 16mil datos'!$A$1:$AE$804,31,FALSE)</f>
        <v>#N/A</v>
      </c>
      <c r="AM128" t="e">
        <f t="shared" si="3"/>
        <v>#N/A</v>
      </c>
      <c r="AO128">
        <f>VLOOKUP(A128,'[1]Prueba con 19mil datos'!$B$1:$AF$1228,31,FALSE)</f>
        <v>0</v>
      </c>
    </row>
    <row r="129" spans="1:44" hidden="1" x14ac:dyDescent="0.25">
      <c r="A129" s="16" t="s">
        <v>2761</v>
      </c>
      <c r="B129" s="15" t="s">
        <v>40</v>
      </c>
      <c r="C129" s="16">
        <v>1</v>
      </c>
      <c r="D129" s="16" t="s">
        <v>769</v>
      </c>
      <c r="E129" s="17" t="s">
        <v>42</v>
      </c>
      <c r="F129" s="18" t="s">
        <v>314</v>
      </c>
      <c r="G129" s="18" t="s">
        <v>520</v>
      </c>
      <c r="H129" s="16" t="s">
        <v>317</v>
      </c>
      <c r="I129" s="19" t="s">
        <v>3</v>
      </c>
      <c r="J129" s="16" t="s">
        <v>12</v>
      </c>
      <c r="K129" s="20" t="s">
        <v>237</v>
      </c>
      <c r="L129" s="20" t="s">
        <v>238</v>
      </c>
      <c r="M129" s="16" t="s">
        <v>105</v>
      </c>
      <c r="N129" s="16">
        <v>0</v>
      </c>
      <c r="O129" s="16" t="s">
        <v>50</v>
      </c>
      <c r="P129" s="20">
        <v>75</v>
      </c>
      <c r="Q129" s="20" t="s">
        <v>51</v>
      </c>
      <c r="R129" s="21" t="s">
        <v>225</v>
      </c>
      <c r="S129" s="22" t="s">
        <v>130</v>
      </c>
      <c r="T129" s="22" t="s">
        <v>54</v>
      </c>
      <c r="U129" s="23" t="s">
        <v>226</v>
      </c>
      <c r="V129" s="24">
        <v>1.1000000000000001</v>
      </c>
      <c r="W129" s="25">
        <v>1501.5000000000002</v>
      </c>
      <c r="X129" s="26">
        <v>1</v>
      </c>
      <c r="Y129" s="27">
        <v>4.3</v>
      </c>
      <c r="Z129" s="23">
        <v>5</v>
      </c>
      <c r="AA129" s="28">
        <v>0.86</v>
      </c>
      <c r="AB129" s="24">
        <v>0</v>
      </c>
      <c r="AC129" s="29">
        <v>0</v>
      </c>
      <c r="AD129" s="30">
        <v>43558</v>
      </c>
      <c r="AE129" s="30">
        <v>43559</v>
      </c>
      <c r="AF129" s="23">
        <v>1</v>
      </c>
      <c r="AG129" s="25" t="s">
        <v>56</v>
      </c>
      <c r="AH129" s="24">
        <v>0</v>
      </c>
      <c r="AI129" s="31">
        <v>0</v>
      </c>
      <c r="AJ129" s="31">
        <v>0</v>
      </c>
      <c r="AK129" s="44">
        <f t="shared" si="2"/>
        <v>1501.5000000000002</v>
      </c>
      <c r="AL129" t="e">
        <f>VLOOKUP(A129,'[1]prueba con 16mil datos'!$A$1:$AE$804,31,FALSE)</f>
        <v>#N/A</v>
      </c>
      <c r="AM129" t="e">
        <f t="shared" si="3"/>
        <v>#N/A</v>
      </c>
      <c r="AO129">
        <f>VLOOKUP(A129,'[1]Prueba con 19mil datos'!$B$1:$AF$1228,31,FALSE)</f>
        <v>0</v>
      </c>
    </row>
    <row r="130" spans="1:44" hidden="1" x14ac:dyDescent="0.25">
      <c r="A130" s="16" t="s">
        <v>2560</v>
      </c>
      <c r="B130" s="15" t="s">
        <v>40</v>
      </c>
      <c r="C130" s="16">
        <v>1</v>
      </c>
      <c r="D130" s="16" t="s">
        <v>743</v>
      </c>
      <c r="E130" s="17" t="s">
        <v>744</v>
      </c>
      <c r="F130" s="18" t="s">
        <v>745</v>
      </c>
      <c r="G130" s="18" t="s">
        <v>746</v>
      </c>
      <c r="H130" s="16" t="s">
        <v>175</v>
      </c>
      <c r="I130" s="19" t="s">
        <v>3</v>
      </c>
      <c r="J130" s="16" t="s">
        <v>12</v>
      </c>
      <c r="K130" s="20" t="s">
        <v>126</v>
      </c>
      <c r="L130" s="20" t="s">
        <v>748</v>
      </c>
      <c r="M130" s="16" t="s">
        <v>749</v>
      </c>
      <c r="N130" s="16">
        <v>0</v>
      </c>
      <c r="O130" s="16" t="s">
        <v>50</v>
      </c>
      <c r="P130" s="20" t="s">
        <v>326</v>
      </c>
      <c r="Q130" s="20" t="s">
        <v>51</v>
      </c>
      <c r="R130" s="21" t="s">
        <v>287</v>
      </c>
      <c r="S130" s="22" t="s">
        <v>288</v>
      </c>
      <c r="T130" s="22" t="s">
        <v>54</v>
      </c>
      <c r="U130" s="23" t="s">
        <v>550</v>
      </c>
      <c r="V130" s="24">
        <v>1</v>
      </c>
      <c r="W130" s="25">
        <v>1573.0000000000002</v>
      </c>
      <c r="X130" s="26">
        <v>0</v>
      </c>
      <c r="Y130" s="27">
        <v>4</v>
      </c>
      <c r="Z130" s="23">
        <v>4</v>
      </c>
      <c r="AA130" s="28">
        <v>1</v>
      </c>
      <c r="AB130" s="24">
        <v>0</v>
      </c>
      <c r="AC130" s="29">
        <v>0</v>
      </c>
      <c r="AD130" s="30">
        <v>43558</v>
      </c>
      <c r="AE130" s="30">
        <v>43559</v>
      </c>
      <c r="AF130" s="23">
        <v>1</v>
      </c>
      <c r="AG130" s="25" t="s">
        <v>56</v>
      </c>
      <c r="AH130" s="24">
        <v>0</v>
      </c>
      <c r="AI130" s="31">
        <v>0</v>
      </c>
      <c r="AJ130" s="31">
        <v>0</v>
      </c>
      <c r="AK130" s="44">
        <f t="shared" ref="AK130:AK193" si="4">+W130+AC130</f>
        <v>1573.0000000000002</v>
      </c>
      <c r="AL130" t="e">
        <f>VLOOKUP(A130,'[1]prueba con 16mil datos'!$A$1:$AE$804,31,FALSE)</f>
        <v>#N/A</v>
      </c>
      <c r="AM130" t="e">
        <f t="shared" ref="AM130:AM193" si="5">IF(AK130=AL130,1,0)</f>
        <v>#N/A</v>
      </c>
      <c r="AO130">
        <f>VLOOKUP(A130,'[1]Prueba con 19mil datos'!$B$1:$AF$1228,31,FALSE)</f>
        <v>0</v>
      </c>
    </row>
    <row r="131" spans="1:44" hidden="1" x14ac:dyDescent="0.25">
      <c r="A131" s="16" t="s">
        <v>2989</v>
      </c>
      <c r="B131" s="15" t="s">
        <v>40</v>
      </c>
      <c r="C131" s="16">
        <v>1</v>
      </c>
      <c r="D131" s="16" t="s">
        <v>674</v>
      </c>
      <c r="E131" s="17" t="s">
        <v>42</v>
      </c>
      <c r="F131" s="18" t="s">
        <v>675</v>
      </c>
      <c r="G131" s="18" t="s">
        <v>676</v>
      </c>
      <c r="H131" s="16" t="s">
        <v>301</v>
      </c>
      <c r="I131" s="19" t="s">
        <v>3</v>
      </c>
      <c r="J131" s="16" t="s">
        <v>12</v>
      </c>
      <c r="K131" s="20" t="s">
        <v>678</v>
      </c>
      <c r="L131" s="20" t="s">
        <v>679</v>
      </c>
      <c r="M131" s="16" t="s">
        <v>118</v>
      </c>
      <c r="N131" s="16">
        <v>0</v>
      </c>
      <c r="O131" s="16" t="s">
        <v>50</v>
      </c>
      <c r="P131" s="20">
        <v>71</v>
      </c>
      <c r="Q131" s="20" t="s">
        <v>51</v>
      </c>
      <c r="R131" s="21" t="s">
        <v>52</v>
      </c>
      <c r="S131" s="22" t="s">
        <v>53</v>
      </c>
      <c r="T131" s="22" t="s">
        <v>54</v>
      </c>
      <c r="U131" s="23" t="s">
        <v>55</v>
      </c>
      <c r="V131" s="24">
        <v>1.05</v>
      </c>
      <c r="W131" s="25">
        <v>750.75000000000011</v>
      </c>
      <c r="X131" s="26">
        <v>1</v>
      </c>
      <c r="Y131" s="27">
        <v>1.65</v>
      </c>
      <c r="Z131" s="23">
        <v>5</v>
      </c>
      <c r="AA131" s="28">
        <v>0.32999999999999996</v>
      </c>
      <c r="AB131" s="24">
        <v>0</v>
      </c>
      <c r="AC131" s="29">
        <v>0</v>
      </c>
      <c r="AD131" s="30">
        <v>43558</v>
      </c>
      <c r="AE131" s="30">
        <v>43558</v>
      </c>
      <c r="AF131" s="23">
        <v>0</v>
      </c>
      <c r="AG131" s="25" t="s">
        <v>56</v>
      </c>
      <c r="AH131" s="24">
        <v>0</v>
      </c>
      <c r="AI131" s="31">
        <v>0</v>
      </c>
      <c r="AJ131" s="31">
        <v>0</v>
      </c>
      <c r="AK131" s="44">
        <f t="shared" si="4"/>
        <v>750.75000000000011</v>
      </c>
      <c r="AL131">
        <f>VLOOKUP(A131,'[1]prueba con 16mil datos'!$A$1:$AE$804,31,FALSE)</f>
        <v>750.75</v>
      </c>
      <c r="AM131">
        <f t="shared" si="5"/>
        <v>1</v>
      </c>
      <c r="AO131">
        <f>VLOOKUP(A131,'[1]Prueba con 19mil datos'!$B$1:$AF$1228,31,FALSE)</f>
        <v>750.75</v>
      </c>
    </row>
    <row r="132" spans="1:44" hidden="1" x14ac:dyDescent="0.25">
      <c r="A132" s="16" t="s">
        <v>1747</v>
      </c>
      <c r="B132" s="15" t="s">
        <v>40</v>
      </c>
      <c r="C132" s="16">
        <v>1</v>
      </c>
      <c r="D132" s="16" t="s">
        <v>724</v>
      </c>
      <c r="E132" s="17" t="s">
        <v>42</v>
      </c>
      <c r="F132" s="18" t="s">
        <v>290</v>
      </c>
      <c r="G132" s="18" t="s">
        <v>725</v>
      </c>
      <c r="H132" s="16" t="s">
        <v>236</v>
      </c>
      <c r="I132" s="19" t="s">
        <v>3</v>
      </c>
      <c r="J132" s="16" t="s">
        <v>12</v>
      </c>
      <c r="K132" s="20" t="s">
        <v>83</v>
      </c>
      <c r="L132" s="20" t="s">
        <v>727</v>
      </c>
      <c r="M132" s="16" t="s">
        <v>128</v>
      </c>
      <c r="N132" s="16">
        <v>0</v>
      </c>
      <c r="O132" s="16" t="s">
        <v>50</v>
      </c>
      <c r="P132" s="20">
        <v>117</v>
      </c>
      <c r="Q132" s="20" t="s">
        <v>51</v>
      </c>
      <c r="R132" s="21" t="s">
        <v>129</v>
      </c>
      <c r="S132" s="22" t="s">
        <v>130</v>
      </c>
      <c r="T132" s="22" t="s">
        <v>54</v>
      </c>
      <c r="U132" s="23" t="s">
        <v>226</v>
      </c>
      <c r="V132" s="24">
        <v>1.1000000000000001</v>
      </c>
      <c r="W132" s="25">
        <v>1501.5000000000002</v>
      </c>
      <c r="X132" s="26">
        <v>1</v>
      </c>
      <c r="Y132" s="27">
        <v>0.9</v>
      </c>
      <c r="Z132" s="23">
        <v>5</v>
      </c>
      <c r="AA132" s="28">
        <v>0.18</v>
      </c>
      <c r="AB132" s="24">
        <v>0</v>
      </c>
      <c r="AC132" s="29">
        <v>0</v>
      </c>
      <c r="AD132" s="30">
        <v>43558</v>
      </c>
      <c r="AE132" s="30">
        <v>43559</v>
      </c>
      <c r="AF132" s="23">
        <v>1</v>
      </c>
      <c r="AG132" s="25" t="s">
        <v>56</v>
      </c>
      <c r="AH132" s="24">
        <v>0</v>
      </c>
      <c r="AI132" s="31">
        <v>0</v>
      </c>
      <c r="AJ132" s="31">
        <v>0</v>
      </c>
      <c r="AK132" s="44">
        <f t="shared" si="4"/>
        <v>1501.5000000000002</v>
      </c>
      <c r="AL132">
        <f>VLOOKUP(A132,'[1]prueba con 16mil datos'!$A$1:$AE$804,31,FALSE)</f>
        <v>572</v>
      </c>
      <c r="AM132">
        <f t="shared" si="5"/>
        <v>0</v>
      </c>
      <c r="AO132">
        <f>VLOOKUP(A132,'[1]Prueba con 19mil datos'!$B$1:$AF$1228,31,FALSE)</f>
        <v>572</v>
      </c>
    </row>
    <row r="133" spans="1:44" hidden="1" x14ac:dyDescent="0.25">
      <c r="A133" s="16" t="s">
        <v>2248</v>
      </c>
      <c r="B133" s="15" t="s">
        <v>40</v>
      </c>
      <c r="C133" s="16">
        <v>1</v>
      </c>
      <c r="D133" s="16" t="s">
        <v>651</v>
      </c>
      <c r="E133" s="17" t="s">
        <v>42</v>
      </c>
      <c r="F133" s="18" t="s">
        <v>305</v>
      </c>
      <c r="G133" s="18" t="s">
        <v>652</v>
      </c>
      <c r="H133" s="16" t="s">
        <v>207</v>
      </c>
      <c r="I133" s="19" t="s">
        <v>3</v>
      </c>
      <c r="J133" s="16" t="s">
        <v>12</v>
      </c>
      <c r="K133" s="20" t="s">
        <v>208</v>
      </c>
      <c r="L133" s="20" t="s">
        <v>209</v>
      </c>
      <c r="M133" s="16" t="s">
        <v>111</v>
      </c>
      <c r="N133" s="16">
        <v>0</v>
      </c>
      <c r="O133" s="16" t="s">
        <v>50</v>
      </c>
      <c r="P133" s="20">
        <v>5</v>
      </c>
      <c r="Q133" s="20" t="s">
        <v>311</v>
      </c>
      <c r="R133" s="21" t="s">
        <v>148</v>
      </c>
      <c r="S133" s="22" t="s">
        <v>130</v>
      </c>
      <c r="T133" s="22" t="s">
        <v>54</v>
      </c>
      <c r="U133" s="23" t="s">
        <v>312</v>
      </c>
      <c r="V133" s="24">
        <v>0</v>
      </c>
      <c r="W133" s="25">
        <v>0</v>
      </c>
      <c r="X133" s="26">
        <v>1</v>
      </c>
      <c r="Y133" s="27">
        <v>0</v>
      </c>
      <c r="Z133" s="23">
        <v>5</v>
      </c>
      <c r="AA133" s="28">
        <v>0</v>
      </c>
      <c r="AB133" s="24">
        <v>0</v>
      </c>
      <c r="AC133" s="29">
        <v>0</v>
      </c>
      <c r="AD133" s="30">
        <v>43558</v>
      </c>
      <c r="AE133" s="30">
        <v>43558</v>
      </c>
      <c r="AF133" s="23">
        <v>0</v>
      </c>
      <c r="AG133" s="25" t="s">
        <v>56</v>
      </c>
      <c r="AH133" s="24">
        <v>0</v>
      </c>
      <c r="AI133" s="31">
        <v>0</v>
      </c>
      <c r="AJ133" s="31">
        <v>0</v>
      </c>
      <c r="AK133" s="44">
        <f t="shared" si="4"/>
        <v>0</v>
      </c>
      <c r="AL133">
        <f>VLOOKUP(A133,'[1]prueba con 16mil datos'!$A$1:$AE$804,31,FALSE)</f>
        <v>750.75</v>
      </c>
      <c r="AM133">
        <f t="shared" si="5"/>
        <v>0</v>
      </c>
      <c r="AO133">
        <f>VLOOKUP(A133,'[1]Prueba con 19mil datos'!$B$1:$AF$1228,31,FALSE)</f>
        <v>750.75</v>
      </c>
    </row>
    <row r="134" spans="1:44" hidden="1" x14ac:dyDescent="0.25">
      <c r="A134" s="16" t="s">
        <v>1551</v>
      </c>
      <c r="B134" s="15" t="s">
        <v>40</v>
      </c>
      <c r="C134" s="16">
        <v>1</v>
      </c>
      <c r="D134" s="16" t="s">
        <v>680</v>
      </c>
      <c r="E134" s="17" t="s">
        <v>42</v>
      </c>
      <c r="F134" s="18" t="s">
        <v>501</v>
      </c>
      <c r="G134" s="18" t="s">
        <v>681</v>
      </c>
      <c r="H134" s="16" t="s">
        <v>516</v>
      </c>
      <c r="I134" s="19" t="s">
        <v>3</v>
      </c>
      <c r="J134" s="16" t="s">
        <v>12</v>
      </c>
      <c r="K134" s="20" t="s">
        <v>198</v>
      </c>
      <c r="L134" s="20" t="s">
        <v>683</v>
      </c>
      <c r="M134" s="16" t="s">
        <v>372</v>
      </c>
      <c r="N134" s="16">
        <v>0</v>
      </c>
      <c r="O134" s="16" t="s">
        <v>50</v>
      </c>
      <c r="P134" s="20">
        <v>12</v>
      </c>
      <c r="Q134" s="20" t="s">
        <v>65</v>
      </c>
      <c r="R134" s="21" t="s">
        <v>129</v>
      </c>
      <c r="S134" s="22" t="s">
        <v>130</v>
      </c>
      <c r="T134" s="22" t="s">
        <v>54</v>
      </c>
      <c r="U134" s="23" t="s">
        <v>131</v>
      </c>
      <c r="V134" s="24">
        <v>0.6</v>
      </c>
      <c r="W134" s="25">
        <v>819</v>
      </c>
      <c r="X134" s="26">
        <v>1</v>
      </c>
      <c r="Y134" s="27">
        <v>0.57999999999999996</v>
      </c>
      <c r="Z134" s="23">
        <v>5</v>
      </c>
      <c r="AA134" s="28">
        <v>0.11599999999999999</v>
      </c>
      <c r="AB134" s="24">
        <v>0</v>
      </c>
      <c r="AC134" s="29">
        <v>0</v>
      </c>
      <c r="AD134" s="30">
        <v>43558</v>
      </c>
      <c r="AE134" s="30">
        <v>43558</v>
      </c>
      <c r="AF134" s="23">
        <v>0</v>
      </c>
      <c r="AG134" s="25" t="s">
        <v>56</v>
      </c>
      <c r="AH134" s="24">
        <v>0</v>
      </c>
      <c r="AI134" s="31">
        <v>0</v>
      </c>
      <c r="AJ134" s="31">
        <v>0</v>
      </c>
      <c r="AK134" s="44">
        <f t="shared" si="4"/>
        <v>819</v>
      </c>
      <c r="AL134" t="e">
        <f>VLOOKUP(A134,'[1]prueba con 16mil datos'!$A$1:$AE$804,31,FALSE)</f>
        <v>#N/A</v>
      </c>
      <c r="AM134" t="e">
        <f t="shared" si="5"/>
        <v>#N/A</v>
      </c>
      <c r="AO134">
        <f>VLOOKUP(A134,'[1]Prueba con 19mil datos'!$B$1:$AF$1228,31,FALSE)</f>
        <v>0</v>
      </c>
    </row>
    <row r="135" spans="1:44" hidden="1" x14ac:dyDescent="0.25">
      <c r="A135" s="16" t="s">
        <v>1208</v>
      </c>
      <c r="B135" s="15" t="s">
        <v>40</v>
      </c>
      <c r="C135" s="16">
        <v>1</v>
      </c>
      <c r="D135" s="16" t="s">
        <v>758</v>
      </c>
      <c r="E135" s="17" t="s">
        <v>42</v>
      </c>
      <c r="F135" s="18" t="s">
        <v>759</v>
      </c>
      <c r="G135" s="18" t="s">
        <v>396</v>
      </c>
      <c r="H135" s="16" t="s">
        <v>264</v>
      </c>
      <c r="I135" s="19" t="s">
        <v>3</v>
      </c>
      <c r="J135" s="16" t="s">
        <v>12</v>
      </c>
      <c r="K135" s="20" t="s">
        <v>378</v>
      </c>
      <c r="L135" s="20" t="s">
        <v>711</v>
      </c>
      <c r="M135" s="16" t="s">
        <v>267</v>
      </c>
      <c r="N135" s="16">
        <v>0</v>
      </c>
      <c r="O135" s="16" t="s">
        <v>50</v>
      </c>
      <c r="P135" s="20">
        <v>75</v>
      </c>
      <c r="Q135" s="20" t="s">
        <v>51</v>
      </c>
      <c r="R135" s="21" t="s">
        <v>87</v>
      </c>
      <c r="S135" s="22" t="s">
        <v>53</v>
      </c>
      <c r="T135" s="22" t="s">
        <v>54</v>
      </c>
      <c r="U135" s="23" t="s">
        <v>55</v>
      </c>
      <c r="V135" s="24">
        <v>1.05</v>
      </c>
      <c r="W135" s="25">
        <v>750.75000000000011</v>
      </c>
      <c r="X135" s="26">
        <v>1</v>
      </c>
      <c r="Y135" s="27">
        <v>0</v>
      </c>
      <c r="Z135" s="23">
        <v>5</v>
      </c>
      <c r="AA135" s="28">
        <v>0</v>
      </c>
      <c r="AB135" s="24">
        <v>0</v>
      </c>
      <c r="AC135" s="29">
        <v>0</v>
      </c>
      <c r="AD135" s="30">
        <v>43558</v>
      </c>
      <c r="AE135" s="30">
        <v>43559</v>
      </c>
      <c r="AF135" s="23">
        <v>1</v>
      </c>
      <c r="AG135" s="25" t="s">
        <v>56</v>
      </c>
      <c r="AH135" s="24">
        <v>0</v>
      </c>
      <c r="AI135" s="31">
        <v>0</v>
      </c>
      <c r="AJ135" s="31">
        <v>0</v>
      </c>
      <c r="AK135" s="44">
        <f t="shared" si="4"/>
        <v>750.75000000000011</v>
      </c>
      <c r="AL135">
        <f>VLOOKUP(A135,'[1]prueba con 16mil datos'!$A$1:$AE$804,31,FALSE)</f>
        <v>750.75</v>
      </c>
      <c r="AM135">
        <f t="shared" si="5"/>
        <v>1</v>
      </c>
      <c r="AO135">
        <f>VLOOKUP(A135,'[1]Prueba con 19mil datos'!$B$1:$AF$1228,31,FALSE)</f>
        <v>750.75</v>
      </c>
    </row>
    <row r="136" spans="1:44" hidden="1" x14ac:dyDescent="0.25">
      <c r="A136" s="16" t="s">
        <v>1788</v>
      </c>
      <c r="B136" s="15" t="s">
        <v>40</v>
      </c>
      <c r="C136" s="16">
        <v>1</v>
      </c>
      <c r="D136" s="16" t="s">
        <v>703</v>
      </c>
      <c r="E136" s="17" t="s">
        <v>42</v>
      </c>
      <c r="F136" s="18" t="s">
        <v>271</v>
      </c>
      <c r="G136" s="18" t="s">
        <v>704</v>
      </c>
      <c r="H136" s="16" t="s">
        <v>516</v>
      </c>
      <c r="I136" s="19" t="s">
        <v>3</v>
      </c>
      <c r="J136" s="16" t="s">
        <v>12</v>
      </c>
      <c r="K136" s="20" t="s">
        <v>126</v>
      </c>
      <c r="L136" s="20" t="s">
        <v>706</v>
      </c>
      <c r="M136" s="16" t="s">
        <v>372</v>
      </c>
      <c r="N136" s="16">
        <v>0</v>
      </c>
      <c r="O136" s="16" t="s">
        <v>50</v>
      </c>
      <c r="P136" s="20">
        <v>6</v>
      </c>
      <c r="Q136" s="20" t="s">
        <v>311</v>
      </c>
      <c r="R136" s="21" t="s">
        <v>186</v>
      </c>
      <c r="S136" s="22" t="s">
        <v>187</v>
      </c>
      <c r="T136" s="22" t="s">
        <v>54</v>
      </c>
      <c r="U136" s="23" t="s">
        <v>362</v>
      </c>
      <c r="V136" s="24">
        <v>0.6</v>
      </c>
      <c r="W136" s="25">
        <v>943.80000000000007</v>
      </c>
      <c r="X136" s="26">
        <v>1</v>
      </c>
      <c r="Y136" s="27">
        <v>0.37</v>
      </c>
      <c r="Z136" s="23">
        <v>4</v>
      </c>
      <c r="AA136" s="28">
        <v>9.2499999999999999E-2</v>
      </c>
      <c r="AB136" s="24">
        <v>0</v>
      </c>
      <c r="AC136" s="29">
        <v>0</v>
      </c>
      <c r="AD136" s="30">
        <v>43558</v>
      </c>
      <c r="AE136" s="30">
        <v>43558</v>
      </c>
      <c r="AF136" s="23">
        <v>0</v>
      </c>
      <c r="AG136" s="25" t="s">
        <v>56</v>
      </c>
      <c r="AH136" s="24">
        <v>0</v>
      </c>
      <c r="AI136" s="31">
        <v>0</v>
      </c>
      <c r="AJ136" s="31">
        <v>0</v>
      </c>
      <c r="AK136" s="44">
        <f t="shared" si="4"/>
        <v>943.80000000000007</v>
      </c>
      <c r="AL136">
        <f>VLOOKUP(A136,'[1]prueba con 16mil datos'!$A$1:$AE$804,31,FALSE)</f>
        <v>750.75</v>
      </c>
      <c r="AM136">
        <f t="shared" si="5"/>
        <v>0</v>
      </c>
      <c r="AO136">
        <f>VLOOKUP(A136,'[1]Prueba con 19mil datos'!$B$1:$AF$1228,31,FALSE)</f>
        <v>750.75</v>
      </c>
    </row>
    <row r="137" spans="1:44" hidden="1" x14ac:dyDescent="0.25">
      <c r="A137" s="16" t="s">
        <v>648</v>
      </c>
      <c r="B137" s="15" t="s">
        <v>40</v>
      </c>
      <c r="C137" s="16">
        <v>1</v>
      </c>
      <c r="D137" s="16" t="s">
        <v>750</v>
      </c>
      <c r="E137" s="17" t="s">
        <v>42</v>
      </c>
      <c r="F137" s="18" t="s">
        <v>271</v>
      </c>
      <c r="G137" s="18" t="s">
        <v>751</v>
      </c>
      <c r="H137" s="16" t="s">
        <v>440</v>
      </c>
      <c r="I137" s="19" t="s">
        <v>3</v>
      </c>
      <c r="J137" s="16" t="s">
        <v>12</v>
      </c>
      <c r="K137" s="20" t="s">
        <v>126</v>
      </c>
      <c r="L137" s="20" t="s">
        <v>753</v>
      </c>
      <c r="M137" s="16" t="s">
        <v>64</v>
      </c>
      <c r="N137" s="16">
        <v>0</v>
      </c>
      <c r="O137" s="16" t="s">
        <v>50</v>
      </c>
      <c r="P137" s="20">
        <v>230</v>
      </c>
      <c r="Q137" s="20" t="s">
        <v>51</v>
      </c>
      <c r="R137" s="21" t="s">
        <v>186</v>
      </c>
      <c r="S137" s="22" t="s">
        <v>187</v>
      </c>
      <c r="T137" s="22" t="s">
        <v>54</v>
      </c>
      <c r="U137" s="23" t="s">
        <v>550</v>
      </c>
      <c r="V137" s="24">
        <v>1.1499999999999999</v>
      </c>
      <c r="W137" s="25">
        <v>1808.95</v>
      </c>
      <c r="X137" s="26">
        <v>1</v>
      </c>
      <c r="Y137" s="27">
        <v>2.66</v>
      </c>
      <c r="Z137" s="23">
        <v>4</v>
      </c>
      <c r="AA137" s="28">
        <v>0.66500000000000004</v>
      </c>
      <c r="AB137" s="24">
        <v>0</v>
      </c>
      <c r="AC137" s="29">
        <v>0</v>
      </c>
      <c r="AD137" s="30">
        <v>43558</v>
      </c>
      <c r="AE137" s="30">
        <v>43559</v>
      </c>
      <c r="AF137" s="23">
        <v>1</v>
      </c>
      <c r="AG137" s="25" t="s">
        <v>56</v>
      </c>
      <c r="AH137" s="24">
        <v>0</v>
      </c>
      <c r="AI137" s="31">
        <v>0</v>
      </c>
      <c r="AJ137" s="31">
        <v>0</v>
      </c>
      <c r="AK137" s="44">
        <f t="shared" si="4"/>
        <v>1808.95</v>
      </c>
      <c r="AL137">
        <f>VLOOKUP(A137,'[1]prueba con 16mil datos'!$A$1:$AE$804,31,FALSE)</f>
        <v>750.75</v>
      </c>
      <c r="AM137">
        <f t="shared" si="5"/>
        <v>0</v>
      </c>
      <c r="AO137">
        <f>VLOOKUP(A137,'[1]Prueba con 19mil datos'!$B$1:$AF$1228,31,FALSE)</f>
        <v>750.75</v>
      </c>
    </row>
    <row r="138" spans="1:44" x14ac:dyDescent="0.25">
      <c r="A138" s="16" t="s">
        <v>101</v>
      </c>
      <c r="B138" s="15" t="s">
        <v>40</v>
      </c>
      <c r="C138" s="16">
        <v>1</v>
      </c>
      <c r="D138" s="16" t="s">
        <v>766</v>
      </c>
      <c r="E138" s="17" t="s">
        <v>42</v>
      </c>
      <c r="F138" s="18" t="s">
        <v>140</v>
      </c>
      <c r="G138" s="18" t="s">
        <v>767</v>
      </c>
      <c r="H138" s="16" t="s">
        <v>221</v>
      </c>
      <c r="I138" s="19" t="s">
        <v>3</v>
      </c>
      <c r="J138" s="16" t="s">
        <v>12</v>
      </c>
      <c r="K138" s="20" t="s">
        <v>764</v>
      </c>
      <c r="L138" s="20" t="s">
        <v>765</v>
      </c>
      <c r="M138" s="16" t="s">
        <v>224</v>
      </c>
      <c r="N138" s="16">
        <v>0</v>
      </c>
      <c r="O138" s="16" t="s">
        <v>50</v>
      </c>
      <c r="P138" s="20">
        <v>191</v>
      </c>
      <c r="Q138" s="20" t="s">
        <v>51</v>
      </c>
      <c r="R138" s="21" t="s">
        <v>148</v>
      </c>
      <c r="S138" s="22" t="s">
        <v>130</v>
      </c>
      <c r="T138" s="22" t="s">
        <v>54</v>
      </c>
      <c r="U138" s="23" t="s">
        <v>226</v>
      </c>
      <c r="V138" s="24">
        <v>1.1000000000000001</v>
      </c>
      <c r="W138" s="25">
        <v>1501.5000000000002</v>
      </c>
      <c r="X138" s="26">
        <v>1</v>
      </c>
      <c r="Y138" s="27">
        <v>0.88</v>
      </c>
      <c r="Z138" s="23">
        <v>5</v>
      </c>
      <c r="AA138" s="28">
        <v>0.17599999999999999</v>
      </c>
      <c r="AB138" s="24">
        <v>0</v>
      </c>
      <c r="AC138" s="29">
        <v>0</v>
      </c>
      <c r="AD138" s="30">
        <v>43558</v>
      </c>
      <c r="AE138" s="30">
        <v>43559</v>
      </c>
      <c r="AF138" s="23">
        <v>1</v>
      </c>
      <c r="AG138" s="25" t="s">
        <v>56</v>
      </c>
      <c r="AH138" s="24">
        <v>0</v>
      </c>
      <c r="AI138" s="31">
        <v>0</v>
      </c>
      <c r="AJ138" s="31">
        <v>0</v>
      </c>
      <c r="AK138" s="44">
        <f t="shared" si="4"/>
        <v>1501.5000000000002</v>
      </c>
      <c r="AL138" t="e">
        <f>VLOOKUP(A138,'[1]prueba con 16mil datos'!$A$1:$AE$804,31,FALSE)</f>
        <v>#N/A</v>
      </c>
      <c r="AM138" t="e">
        <f t="shared" si="5"/>
        <v>#N/A</v>
      </c>
      <c r="AO138" t="e">
        <f>VLOOKUP(A138,'[1]Prueba con 19mil datos'!$B$1:$AF$1228,31,FALSE)</f>
        <v>#N/A</v>
      </c>
      <c r="AP138" t="s">
        <v>3211</v>
      </c>
      <c r="AQ138" s="48">
        <v>43553.626388888901</v>
      </c>
      <c r="AR138" t="s">
        <v>3209</v>
      </c>
    </row>
    <row r="139" spans="1:44" hidden="1" x14ac:dyDescent="0.25">
      <c r="A139" s="16" t="s">
        <v>1729</v>
      </c>
      <c r="B139" s="15" t="s">
        <v>40</v>
      </c>
      <c r="C139" s="16">
        <v>1</v>
      </c>
      <c r="D139" s="16" t="s">
        <v>761</v>
      </c>
      <c r="E139" s="17" t="s">
        <v>42</v>
      </c>
      <c r="F139" s="18" t="s">
        <v>140</v>
      </c>
      <c r="G139" s="18" t="s">
        <v>762</v>
      </c>
      <c r="H139" s="16" t="s">
        <v>221</v>
      </c>
      <c r="I139" s="19" t="s">
        <v>3</v>
      </c>
      <c r="J139" s="16" t="s">
        <v>12</v>
      </c>
      <c r="K139" s="20" t="s">
        <v>764</v>
      </c>
      <c r="L139" s="20" t="s">
        <v>765</v>
      </c>
      <c r="M139" s="16" t="s">
        <v>224</v>
      </c>
      <c r="N139" s="16">
        <v>0</v>
      </c>
      <c r="O139" s="16" t="s">
        <v>50</v>
      </c>
      <c r="P139" s="20">
        <v>88</v>
      </c>
      <c r="Q139" s="20" t="s">
        <v>51</v>
      </c>
      <c r="R139" s="21" t="s">
        <v>148</v>
      </c>
      <c r="S139" s="22" t="s">
        <v>130</v>
      </c>
      <c r="T139" s="22" t="s">
        <v>54</v>
      </c>
      <c r="U139" s="23" t="s">
        <v>226</v>
      </c>
      <c r="V139" s="24">
        <v>1.1000000000000001</v>
      </c>
      <c r="W139" s="25">
        <v>1501.5000000000002</v>
      </c>
      <c r="X139" s="26">
        <v>1</v>
      </c>
      <c r="Y139" s="27">
        <v>2.4500000000000002</v>
      </c>
      <c r="Z139" s="23">
        <v>5</v>
      </c>
      <c r="AA139" s="28">
        <v>0.49000000000000005</v>
      </c>
      <c r="AB139" s="24">
        <v>0</v>
      </c>
      <c r="AC139" s="29">
        <v>0</v>
      </c>
      <c r="AD139" s="30">
        <v>43558</v>
      </c>
      <c r="AE139" s="30">
        <v>43559</v>
      </c>
      <c r="AF139" s="23">
        <v>1</v>
      </c>
      <c r="AG139" s="25" t="s">
        <v>56</v>
      </c>
      <c r="AH139" s="24">
        <v>0</v>
      </c>
      <c r="AI139" s="31">
        <v>0</v>
      </c>
      <c r="AJ139" s="31">
        <v>0</v>
      </c>
      <c r="AK139" s="44">
        <f t="shared" si="4"/>
        <v>1501.5000000000002</v>
      </c>
      <c r="AL139">
        <f>VLOOKUP(A139,'[1]prueba con 16mil datos'!$A$1:$AE$804,31,FALSE)</f>
        <v>750.75</v>
      </c>
      <c r="AM139">
        <f t="shared" si="5"/>
        <v>0</v>
      </c>
      <c r="AO139">
        <f>VLOOKUP(A139,'[1]Prueba con 19mil datos'!$B$1:$AF$1228,31,FALSE)</f>
        <v>750.75</v>
      </c>
    </row>
    <row r="140" spans="1:44" hidden="1" x14ac:dyDescent="0.25">
      <c r="A140" s="16" t="s">
        <v>2091</v>
      </c>
      <c r="B140" s="15" t="s">
        <v>40</v>
      </c>
      <c r="C140" s="16">
        <v>1</v>
      </c>
      <c r="D140" s="16" t="s">
        <v>811</v>
      </c>
      <c r="E140" s="17" t="s">
        <v>321</v>
      </c>
      <c r="F140" s="18" t="s">
        <v>140</v>
      </c>
      <c r="G140" s="18" t="s">
        <v>812</v>
      </c>
      <c r="H140" s="16" t="s">
        <v>284</v>
      </c>
      <c r="I140" s="19" t="s">
        <v>3</v>
      </c>
      <c r="J140" s="16" t="s">
        <v>12</v>
      </c>
      <c r="K140" s="20" t="s">
        <v>83</v>
      </c>
      <c r="L140" s="20" t="s">
        <v>810</v>
      </c>
      <c r="M140" s="16" t="s">
        <v>105</v>
      </c>
      <c r="N140" s="16">
        <v>0</v>
      </c>
      <c r="O140" s="16" t="s">
        <v>50</v>
      </c>
      <c r="P140" s="20" t="s">
        <v>326</v>
      </c>
      <c r="Q140" s="20" t="s">
        <v>51</v>
      </c>
      <c r="R140" s="21" t="s">
        <v>148</v>
      </c>
      <c r="S140" s="22" t="s">
        <v>130</v>
      </c>
      <c r="T140" s="22" t="s">
        <v>54</v>
      </c>
      <c r="U140" s="23" t="s">
        <v>226</v>
      </c>
      <c r="V140" s="24">
        <v>1</v>
      </c>
      <c r="W140" s="25">
        <v>2047.5</v>
      </c>
      <c r="X140" s="26">
        <v>0</v>
      </c>
      <c r="Y140" s="27">
        <v>5</v>
      </c>
      <c r="Z140" s="23">
        <v>5</v>
      </c>
      <c r="AA140" s="28">
        <v>1</v>
      </c>
      <c r="AB140" s="24">
        <v>0</v>
      </c>
      <c r="AC140" s="29">
        <v>0</v>
      </c>
      <c r="AD140" s="30">
        <v>43558</v>
      </c>
      <c r="AE140" s="30">
        <v>43559</v>
      </c>
      <c r="AF140" s="23">
        <v>1</v>
      </c>
      <c r="AG140" s="25" t="s">
        <v>56</v>
      </c>
      <c r="AH140" s="24">
        <v>0</v>
      </c>
      <c r="AI140" s="31">
        <v>0</v>
      </c>
      <c r="AJ140" s="31">
        <v>0</v>
      </c>
      <c r="AK140" s="44">
        <f t="shared" si="4"/>
        <v>2047.5</v>
      </c>
      <c r="AL140" t="e">
        <f>VLOOKUP(A140,'[1]prueba con 16mil datos'!$A$1:$AE$804,31,FALSE)</f>
        <v>#N/A</v>
      </c>
      <c r="AM140" t="e">
        <f t="shared" si="5"/>
        <v>#N/A</v>
      </c>
      <c r="AO140">
        <f>VLOOKUP(A140,'[1]Prueba con 19mil datos'!$B$1:$AF$1228,31,FALSE)</f>
        <v>0</v>
      </c>
    </row>
    <row r="141" spans="1:44" hidden="1" x14ac:dyDescent="0.25">
      <c r="A141" s="16" t="s">
        <v>854</v>
      </c>
      <c r="B141" s="15" t="s">
        <v>40</v>
      </c>
      <c r="C141" s="16">
        <v>1</v>
      </c>
      <c r="D141" s="16" t="s">
        <v>814</v>
      </c>
      <c r="E141" s="17" t="s">
        <v>321</v>
      </c>
      <c r="F141" s="18" t="s">
        <v>140</v>
      </c>
      <c r="G141" s="18" t="s">
        <v>815</v>
      </c>
      <c r="H141" s="16" t="s">
        <v>284</v>
      </c>
      <c r="I141" s="19" t="s">
        <v>3</v>
      </c>
      <c r="J141" s="16" t="s">
        <v>12</v>
      </c>
      <c r="K141" s="20" t="s">
        <v>83</v>
      </c>
      <c r="L141" s="20" t="s">
        <v>810</v>
      </c>
      <c r="M141" s="16" t="s">
        <v>105</v>
      </c>
      <c r="N141" s="16">
        <v>0</v>
      </c>
      <c r="O141" s="16" t="s">
        <v>50</v>
      </c>
      <c r="P141" s="20" t="s">
        <v>326</v>
      </c>
      <c r="Q141" s="20" t="s">
        <v>51</v>
      </c>
      <c r="R141" s="21" t="s">
        <v>148</v>
      </c>
      <c r="S141" s="22" t="s">
        <v>130</v>
      </c>
      <c r="T141" s="22" t="s">
        <v>54</v>
      </c>
      <c r="U141" s="23" t="s">
        <v>226</v>
      </c>
      <c r="V141" s="24">
        <v>1</v>
      </c>
      <c r="W141" s="25">
        <v>2047.5</v>
      </c>
      <c r="X141" s="26">
        <v>0</v>
      </c>
      <c r="Y141" s="27">
        <v>5</v>
      </c>
      <c r="Z141" s="23">
        <v>5</v>
      </c>
      <c r="AA141" s="28">
        <v>1</v>
      </c>
      <c r="AB141" s="24">
        <v>0</v>
      </c>
      <c r="AC141" s="29">
        <v>0</v>
      </c>
      <c r="AD141" s="30">
        <v>43558</v>
      </c>
      <c r="AE141" s="30">
        <v>43559</v>
      </c>
      <c r="AF141" s="23">
        <v>1</v>
      </c>
      <c r="AG141" s="25" t="s">
        <v>56</v>
      </c>
      <c r="AH141" s="24">
        <v>0</v>
      </c>
      <c r="AI141" s="31">
        <v>0</v>
      </c>
      <c r="AJ141" s="31">
        <v>0</v>
      </c>
      <c r="AK141" s="44">
        <f t="shared" si="4"/>
        <v>2047.5</v>
      </c>
      <c r="AL141">
        <f>VLOOKUP(A141,'[1]prueba con 16mil datos'!$A$1:$AE$804,31,FALSE)</f>
        <v>750.75</v>
      </c>
      <c r="AM141">
        <f t="shared" si="5"/>
        <v>0</v>
      </c>
      <c r="AO141">
        <f>VLOOKUP(A141,'[1]Prueba con 19mil datos'!$B$1:$AF$1228,31,FALSE)</f>
        <v>750.75</v>
      </c>
    </row>
    <row r="142" spans="1:44" hidden="1" x14ac:dyDescent="0.25">
      <c r="A142" s="16" t="s">
        <v>1713</v>
      </c>
      <c r="B142" s="15" t="s">
        <v>40</v>
      </c>
      <c r="C142" s="16">
        <v>1</v>
      </c>
      <c r="D142" s="16" t="s">
        <v>780</v>
      </c>
      <c r="E142" s="17" t="s">
        <v>42</v>
      </c>
      <c r="F142" s="18" t="s">
        <v>140</v>
      </c>
      <c r="G142" s="18" t="s">
        <v>781</v>
      </c>
      <c r="H142" s="16" t="s">
        <v>143</v>
      </c>
      <c r="I142" s="19" t="s">
        <v>3</v>
      </c>
      <c r="J142" s="16" t="s">
        <v>12</v>
      </c>
      <c r="K142" s="20" t="s">
        <v>144</v>
      </c>
      <c r="L142" s="20" t="s">
        <v>145</v>
      </c>
      <c r="M142" s="16" t="s">
        <v>349</v>
      </c>
      <c r="N142" s="16">
        <v>0</v>
      </c>
      <c r="O142" s="16" t="s">
        <v>50</v>
      </c>
      <c r="P142" s="20">
        <v>160</v>
      </c>
      <c r="Q142" s="20" t="s">
        <v>51</v>
      </c>
      <c r="R142" s="21" t="s">
        <v>148</v>
      </c>
      <c r="S142" s="22" t="s">
        <v>130</v>
      </c>
      <c r="T142" s="22" t="s">
        <v>54</v>
      </c>
      <c r="U142" s="23" t="s">
        <v>226</v>
      </c>
      <c r="V142" s="24">
        <v>1.1000000000000001</v>
      </c>
      <c r="W142" s="25">
        <v>1501.5000000000002</v>
      </c>
      <c r="X142" s="26">
        <v>1</v>
      </c>
      <c r="Y142" s="27">
        <v>1.75</v>
      </c>
      <c r="Z142" s="23">
        <v>5</v>
      </c>
      <c r="AA142" s="28">
        <v>0.35</v>
      </c>
      <c r="AB142" s="24">
        <v>0</v>
      </c>
      <c r="AC142" s="29">
        <v>0</v>
      </c>
      <c r="AD142" s="30">
        <v>43558</v>
      </c>
      <c r="AE142" s="30">
        <v>43559</v>
      </c>
      <c r="AF142" s="23">
        <v>1</v>
      </c>
      <c r="AG142" s="25" t="s">
        <v>56</v>
      </c>
      <c r="AH142" s="24">
        <v>0</v>
      </c>
      <c r="AI142" s="31">
        <v>0</v>
      </c>
      <c r="AJ142" s="31">
        <v>0</v>
      </c>
      <c r="AK142" s="44">
        <f t="shared" si="4"/>
        <v>1501.5000000000002</v>
      </c>
      <c r="AL142">
        <f>VLOOKUP(A142,'[1]prueba con 16mil datos'!$A$1:$AE$804,31,FALSE)</f>
        <v>715</v>
      </c>
      <c r="AM142">
        <f t="shared" si="5"/>
        <v>0</v>
      </c>
      <c r="AO142">
        <f>VLOOKUP(A142,'[1]Prueba con 19mil datos'!$B$1:$AF$1228,31,FALSE)</f>
        <v>715</v>
      </c>
    </row>
    <row r="143" spans="1:44" hidden="1" x14ac:dyDescent="0.25">
      <c r="A143" s="16" t="s">
        <v>1713</v>
      </c>
      <c r="B143" s="15" t="s">
        <v>40</v>
      </c>
      <c r="C143" s="16">
        <v>1</v>
      </c>
      <c r="D143" s="16" t="s">
        <v>639</v>
      </c>
      <c r="E143" s="17" t="s">
        <v>42</v>
      </c>
      <c r="F143" s="18" t="s">
        <v>140</v>
      </c>
      <c r="G143" s="18" t="s">
        <v>640</v>
      </c>
      <c r="H143" s="16" t="s">
        <v>93</v>
      </c>
      <c r="I143" s="19" t="s">
        <v>3</v>
      </c>
      <c r="J143" s="16" t="s">
        <v>12</v>
      </c>
      <c r="K143" s="20" t="s">
        <v>116</v>
      </c>
      <c r="L143" s="20" t="s">
        <v>642</v>
      </c>
      <c r="M143" s="16" t="s">
        <v>643</v>
      </c>
      <c r="N143" s="16">
        <v>1</v>
      </c>
      <c r="O143" s="16" t="s">
        <v>97</v>
      </c>
      <c r="P143" s="20">
        <v>112</v>
      </c>
      <c r="Q143" s="20" t="s">
        <v>51</v>
      </c>
      <c r="R143" s="21" t="s">
        <v>148</v>
      </c>
      <c r="S143" s="22" t="s">
        <v>130</v>
      </c>
      <c r="T143" s="22" t="s">
        <v>54</v>
      </c>
      <c r="U143" s="23" t="s">
        <v>226</v>
      </c>
      <c r="V143" s="24">
        <v>1.1000000000000001</v>
      </c>
      <c r="W143" s="25">
        <v>0</v>
      </c>
      <c r="X143" s="26">
        <v>1</v>
      </c>
      <c r="Y143" s="27">
        <v>2.12</v>
      </c>
      <c r="Z143" s="23">
        <v>5</v>
      </c>
      <c r="AA143" s="28">
        <v>0.42400000000000004</v>
      </c>
      <c r="AB143" s="24">
        <v>0</v>
      </c>
      <c r="AC143" s="29">
        <v>0</v>
      </c>
      <c r="AD143" s="30">
        <v>43558</v>
      </c>
      <c r="AE143" s="30">
        <v>43558</v>
      </c>
      <c r="AF143" s="23">
        <v>0</v>
      </c>
      <c r="AG143" s="25" t="s">
        <v>56</v>
      </c>
      <c r="AH143" s="24">
        <v>0</v>
      </c>
      <c r="AI143" s="31">
        <v>0</v>
      </c>
      <c r="AJ143" s="31">
        <v>0</v>
      </c>
      <c r="AK143" s="44">
        <f t="shared" si="4"/>
        <v>0</v>
      </c>
      <c r="AL143">
        <f>VLOOKUP(A143,'[1]prueba con 16mil datos'!$A$1:$AE$804,31,FALSE)</f>
        <v>715</v>
      </c>
      <c r="AM143">
        <f t="shared" si="5"/>
        <v>0</v>
      </c>
      <c r="AO143">
        <f>VLOOKUP(A143,'[1]Prueba con 19mil datos'!$B$1:$AF$1228,31,FALSE)</f>
        <v>715</v>
      </c>
    </row>
    <row r="144" spans="1:44" hidden="1" x14ac:dyDescent="0.25">
      <c r="A144" s="16" t="s">
        <v>2791</v>
      </c>
      <c r="B144" s="15" t="s">
        <v>40</v>
      </c>
      <c r="C144" s="16">
        <v>1</v>
      </c>
      <c r="D144" s="16" t="s">
        <v>719</v>
      </c>
      <c r="E144" s="17" t="s">
        <v>42</v>
      </c>
      <c r="F144" s="18" t="s">
        <v>90</v>
      </c>
      <c r="G144" s="18" t="s">
        <v>720</v>
      </c>
      <c r="H144" s="16" t="s">
        <v>46</v>
      </c>
      <c r="I144" s="19" t="s">
        <v>3</v>
      </c>
      <c r="J144" s="16" t="s">
        <v>12</v>
      </c>
      <c r="K144" s="20" t="s">
        <v>136</v>
      </c>
      <c r="L144" s="20" t="s">
        <v>722</v>
      </c>
      <c r="M144" s="16" t="s">
        <v>723</v>
      </c>
      <c r="N144" s="16">
        <v>1</v>
      </c>
      <c r="O144" s="16" t="s">
        <v>50</v>
      </c>
      <c r="P144" s="20">
        <v>2680</v>
      </c>
      <c r="Q144" s="20" t="s">
        <v>51</v>
      </c>
      <c r="R144" s="21" t="s">
        <v>77</v>
      </c>
      <c r="S144" s="22" t="s">
        <v>53</v>
      </c>
      <c r="T144" s="22" t="s">
        <v>157</v>
      </c>
      <c r="U144" s="23" t="s">
        <v>55</v>
      </c>
      <c r="V144" s="24">
        <v>1.05</v>
      </c>
      <c r="W144" s="25">
        <v>0</v>
      </c>
      <c r="X144" s="26">
        <v>1</v>
      </c>
      <c r="Y144" s="27">
        <v>1.22</v>
      </c>
      <c r="Z144" s="23">
        <v>9</v>
      </c>
      <c r="AA144" s="28">
        <v>0.13555555555555554</v>
      </c>
      <c r="AB144" s="24">
        <v>0</v>
      </c>
      <c r="AC144" s="29">
        <v>0</v>
      </c>
      <c r="AD144" s="30">
        <v>43558</v>
      </c>
      <c r="AE144" s="30">
        <v>43559</v>
      </c>
      <c r="AF144" s="23">
        <v>1</v>
      </c>
      <c r="AG144" s="25" t="s">
        <v>56</v>
      </c>
      <c r="AH144" s="24">
        <v>0</v>
      </c>
      <c r="AI144" s="31">
        <v>0</v>
      </c>
      <c r="AJ144" s="31">
        <v>0</v>
      </c>
      <c r="AK144" s="44">
        <f t="shared" si="4"/>
        <v>0</v>
      </c>
      <c r="AL144">
        <f>VLOOKUP(A144,'[1]prueba con 16mil datos'!$A$1:$AE$804,31,FALSE)</f>
        <v>715</v>
      </c>
      <c r="AM144">
        <f t="shared" si="5"/>
        <v>0</v>
      </c>
      <c r="AO144">
        <f>VLOOKUP(A144,'[1]Prueba con 19mil datos'!$B$1:$AF$1228,31,FALSE)</f>
        <v>715</v>
      </c>
    </row>
    <row r="145" spans="1:41" hidden="1" x14ac:dyDescent="0.25">
      <c r="A145" s="16" t="s">
        <v>2791</v>
      </c>
      <c r="B145" s="15" t="s">
        <v>40</v>
      </c>
      <c r="C145" s="16">
        <v>1</v>
      </c>
      <c r="D145" s="16" t="s">
        <v>775</v>
      </c>
      <c r="E145" s="17" t="s">
        <v>42</v>
      </c>
      <c r="F145" s="18" t="s">
        <v>140</v>
      </c>
      <c r="G145" s="18" t="s">
        <v>776</v>
      </c>
      <c r="H145" s="16" t="s">
        <v>93</v>
      </c>
      <c r="I145" s="19" t="s">
        <v>3</v>
      </c>
      <c r="J145" s="16" t="s">
        <v>12</v>
      </c>
      <c r="K145" s="20" t="s">
        <v>116</v>
      </c>
      <c r="L145" s="20" t="s">
        <v>778</v>
      </c>
      <c r="M145" s="16" t="s">
        <v>779</v>
      </c>
      <c r="N145" s="16">
        <v>1</v>
      </c>
      <c r="O145" s="16" t="s">
        <v>97</v>
      </c>
      <c r="P145" s="20">
        <v>19</v>
      </c>
      <c r="Q145" s="20" t="s">
        <v>119</v>
      </c>
      <c r="R145" s="21" t="s">
        <v>148</v>
      </c>
      <c r="S145" s="22" t="s">
        <v>130</v>
      </c>
      <c r="T145" s="22" t="s">
        <v>54</v>
      </c>
      <c r="U145" s="23" t="s">
        <v>164</v>
      </c>
      <c r="V145" s="24">
        <v>0.8</v>
      </c>
      <c r="W145" s="25">
        <v>0</v>
      </c>
      <c r="X145" s="26">
        <v>1</v>
      </c>
      <c r="Y145" s="27">
        <v>6.42</v>
      </c>
      <c r="Z145" s="23">
        <v>5</v>
      </c>
      <c r="AA145" s="28">
        <v>1.284</v>
      </c>
      <c r="AB145" s="24">
        <v>7.1000000000000008E-2</v>
      </c>
      <c r="AC145" s="29">
        <v>0</v>
      </c>
      <c r="AD145" s="30">
        <v>43558</v>
      </c>
      <c r="AE145" s="30">
        <v>43559</v>
      </c>
      <c r="AF145" s="23">
        <v>1</v>
      </c>
      <c r="AG145" s="25" t="s">
        <v>56</v>
      </c>
      <c r="AH145" s="24">
        <v>0</v>
      </c>
      <c r="AI145" s="31">
        <v>0</v>
      </c>
      <c r="AJ145" s="31">
        <v>0</v>
      </c>
      <c r="AK145" s="44">
        <f t="shared" si="4"/>
        <v>0</v>
      </c>
      <c r="AL145">
        <f>VLOOKUP(A145,'[1]prueba con 16mil datos'!$A$1:$AE$804,31,FALSE)</f>
        <v>715</v>
      </c>
      <c r="AM145">
        <f t="shared" si="5"/>
        <v>0</v>
      </c>
      <c r="AO145">
        <f>VLOOKUP(A145,'[1]Prueba con 19mil datos'!$B$1:$AF$1228,31,FALSE)</f>
        <v>715</v>
      </c>
    </row>
    <row r="146" spans="1:41" hidden="1" x14ac:dyDescent="0.25">
      <c r="A146" s="16" t="s">
        <v>212</v>
      </c>
      <c r="B146" s="15" t="s">
        <v>40</v>
      </c>
      <c r="C146" s="16">
        <v>1</v>
      </c>
      <c r="D146" s="16" t="s">
        <v>783</v>
      </c>
      <c r="E146" s="17" t="s">
        <v>42</v>
      </c>
      <c r="F146" s="18" t="s">
        <v>305</v>
      </c>
      <c r="G146" s="18" t="s">
        <v>784</v>
      </c>
      <c r="H146" s="16" t="s">
        <v>284</v>
      </c>
      <c r="I146" s="19" t="s">
        <v>3</v>
      </c>
      <c r="J146" s="16" t="s">
        <v>12</v>
      </c>
      <c r="K146" s="20" t="s">
        <v>308</v>
      </c>
      <c r="L146" s="20" t="s">
        <v>786</v>
      </c>
      <c r="M146" s="16" t="s">
        <v>105</v>
      </c>
      <c r="N146" s="16">
        <v>1</v>
      </c>
      <c r="O146" s="16" t="s">
        <v>50</v>
      </c>
      <c r="P146" s="20">
        <v>134</v>
      </c>
      <c r="Q146" s="20" t="s">
        <v>51</v>
      </c>
      <c r="R146" s="21" t="s">
        <v>148</v>
      </c>
      <c r="S146" s="22" t="s">
        <v>130</v>
      </c>
      <c r="T146" s="22" t="s">
        <v>54</v>
      </c>
      <c r="U146" s="23" t="s">
        <v>226</v>
      </c>
      <c r="V146" s="24">
        <v>1.1000000000000001</v>
      </c>
      <c r="W146" s="25">
        <v>0</v>
      </c>
      <c r="X146" s="26">
        <v>1</v>
      </c>
      <c r="Y146" s="27">
        <v>3.23</v>
      </c>
      <c r="Z146" s="23">
        <v>5</v>
      </c>
      <c r="AA146" s="28">
        <v>0.64600000000000002</v>
      </c>
      <c r="AB146" s="24">
        <v>0</v>
      </c>
      <c r="AC146" s="29">
        <v>0</v>
      </c>
      <c r="AD146" s="30">
        <v>43558</v>
      </c>
      <c r="AE146" s="30">
        <v>43559</v>
      </c>
      <c r="AF146" s="23">
        <v>1</v>
      </c>
      <c r="AG146" s="25" t="s">
        <v>56</v>
      </c>
      <c r="AH146" s="24">
        <v>0</v>
      </c>
      <c r="AI146" s="31">
        <v>0</v>
      </c>
      <c r="AJ146" s="31">
        <v>0</v>
      </c>
      <c r="AK146" s="44">
        <f t="shared" si="4"/>
        <v>0</v>
      </c>
      <c r="AL146" t="e">
        <f>VLOOKUP(A146,'[1]prueba con 16mil datos'!$A$1:$AE$804,31,FALSE)</f>
        <v>#N/A</v>
      </c>
      <c r="AM146" t="e">
        <f t="shared" si="5"/>
        <v>#N/A</v>
      </c>
      <c r="AO146">
        <f>VLOOKUP(A146,'[1]Prueba con 19mil datos'!$B$1:$AF$1228,31,FALSE)</f>
        <v>0</v>
      </c>
    </row>
    <row r="147" spans="1:41" hidden="1" x14ac:dyDescent="0.25">
      <c r="A147" s="16" t="s">
        <v>212</v>
      </c>
      <c r="B147" s="15" t="s">
        <v>40</v>
      </c>
      <c r="C147" s="16">
        <v>1</v>
      </c>
      <c r="D147" s="16" t="s">
        <v>908</v>
      </c>
      <c r="E147" s="17" t="s">
        <v>321</v>
      </c>
      <c r="F147" s="18" t="s">
        <v>381</v>
      </c>
      <c r="G147" s="18" t="s">
        <v>909</v>
      </c>
      <c r="H147" s="16" t="s">
        <v>183</v>
      </c>
      <c r="I147" s="19" t="s">
        <v>3</v>
      </c>
      <c r="J147" s="16" t="s">
        <v>12</v>
      </c>
      <c r="K147" s="20" t="s">
        <v>154</v>
      </c>
      <c r="L147" s="20" t="s">
        <v>911</v>
      </c>
      <c r="M147" s="16" t="s">
        <v>454</v>
      </c>
      <c r="N147" s="16">
        <v>1</v>
      </c>
      <c r="O147" s="16" t="s">
        <v>50</v>
      </c>
      <c r="P147" s="20" t="s">
        <v>326</v>
      </c>
      <c r="Q147" s="20" t="s">
        <v>51</v>
      </c>
      <c r="R147" s="21" t="s">
        <v>77</v>
      </c>
      <c r="S147" s="22" t="s">
        <v>53</v>
      </c>
      <c r="T147" s="22" t="s">
        <v>54</v>
      </c>
      <c r="U147" s="23" t="s">
        <v>55</v>
      </c>
      <c r="V147" s="24">
        <v>1</v>
      </c>
      <c r="W147" s="25">
        <v>0</v>
      </c>
      <c r="X147" s="26">
        <v>0</v>
      </c>
      <c r="Y147" s="27">
        <v>5</v>
      </c>
      <c r="Z147" s="23">
        <v>5</v>
      </c>
      <c r="AA147" s="28">
        <v>1</v>
      </c>
      <c r="AB147" s="24">
        <v>0</v>
      </c>
      <c r="AC147" s="29">
        <v>0</v>
      </c>
      <c r="AD147" s="30">
        <v>43558</v>
      </c>
      <c r="AE147" s="30">
        <v>43559</v>
      </c>
      <c r="AF147" s="23">
        <v>1</v>
      </c>
      <c r="AG147" s="25" t="s">
        <v>56</v>
      </c>
      <c r="AH147" s="24">
        <v>0</v>
      </c>
      <c r="AI147" s="31">
        <v>0</v>
      </c>
      <c r="AJ147" s="31">
        <v>0</v>
      </c>
      <c r="AK147" s="44">
        <f t="shared" si="4"/>
        <v>0</v>
      </c>
      <c r="AL147" t="e">
        <f>VLOOKUP(A147,'[1]prueba con 16mil datos'!$A$1:$AE$804,31,FALSE)</f>
        <v>#N/A</v>
      </c>
      <c r="AM147" t="e">
        <f t="shared" si="5"/>
        <v>#N/A</v>
      </c>
      <c r="AO147">
        <f>VLOOKUP(A147,'[1]Prueba con 19mil datos'!$B$1:$AF$1228,31,FALSE)</f>
        <v>0</v>
      </c>
    </row>
    <row r="148" spans="1:41" hidden="1" x14ac:dyDescent="0.25">
      <c r="A148" s="16" t="s">
        <v>2375</v>
      </c>
      <c r="B148" s="15" t="s">
        <v>40</v>
      </c>
      <c r="C148" s="16">
        <v>1</v>
      </c>
      <c r="D148" s="16" t="s">
        <v>816</v>
      </c>
      <c r="E148" s="17" t="s">
        <v>42</v>
      </c>
      <c r="F148" s="18" t="s">
        <v>391</v>
      </c>
      <c r="G148" s="18" t="s">
        <v>817</v>
      </c>
      <c r="H148" s="16" t="s">
        <v>115</v>
      </c>
      <c r="I148" s="19" t="s">
        <v>3</v>
      </c>
      <c r="J148" s="16" t="s">
        <v>12</v>
      </c>
      <c r="K148" s="20" t="s">
        <v>198</v>
      </c>
      <c r="L148" s="20" t="s">
        <v>586</v>
      </c>
      <c r="M148" s="16" t="s">
        <v>118</v>
      </c>
      <c r="N148" s="16">
        <v>0</v>
      </c>
      <c r="O148" s="16" t="s">
        <v>50</v>
      </c>
      <c r="P148" s="20">
        <v>1</v>
      </c>
      <c r="Q148" s="20" t="s">
        <v>147</v>
      </c>
      <c r="R148" s="21" t="s">
        <v>129</v>
      </c>
      <c r="S148" s="22" t="s">
        <v>130</v>
      </c>
      <c r="T148" s="22" t="s">
        <v>54</v>
      </c>
      <c r="U148" s="23" t="s">
        <v>149</v>
      </c>
      <c r="V148" s="24">
        <v>0</v>
      </c>
      <c r="W148" s="25">
        <v>0</v>
      </c>
      <c r="X148" s="26">
        <v>1</v>
      </c>
      <c r="Y148" s="27">
        <v>7.0000000000000007E-2</v>
      </c>
      <c r="Z148" s="23">
        <v>5</v>
      </c>
      <c r="AA148" s="28">
        <v>1.4000000000000002E-2</v>
      </c>
      <c r="AB148" s="24">
        <v>0</v>
      </c>
      <c r="AC148" s="29">
        <v>0</v>
      </c>
      <c r="AD148" s="30">
        <v>43559</v>
      </c>
      <c r="AE148" s="30">
        <v>43559</v>
      </c>
      <c r="AF148" s="23">
        <v>0</v>
      </c>
      <c r="AG148" s="25" t="s">
        <v>56</v>
      </c>
      <c r="AH148" s="24">
        <v>0</v>
      </c>
      <c r="AI148" s="31">
        <v>0</v>
      </c>
      <c r="AJ148" s="31">
        <v>0</v>
      </c>
      <c r="AK148" s="44">
        <f t="shared" si="4"/>
        <v>0</v>
      </c>
      <c r="AL148" t="e">
        <f>VLOOKUP(A148,'[1]prueba con 16mil datos'!$A$1:$AE$804,31,FALSE)</f>
        <v>#N/A</v>
      </c>
      <c r="AM148" t="e">
        <f t="shared" si="5"/>
        <v>#N/A</v>
      </c>
      <c r="AO148">
        <f>VLOOKUP(A148,'[1]Prueba con 19mil datos'!$B$1:$AF$1228,31,FALSE)</f>
        <v>0</v>
      </c>
    </row>
    <row r="149" spans="1:41" hidden="1" x14ac:dyDescent="0.25">
      <c r="A149" s="16" t="s">
        <v>665</v>
      </c>
      <c r="B149" s="15" t="s">
        <v>40</v>
      </c>
      <c r="C149" s="16">
        <v>1</v>
      </c>
      <c r="D149" s="16" t="s">
        <v>875</v>
      </c>
      <c r="E149" s="17" t="s">
        <v>42</v>
      </c>
      <c r="F149" s="18" t="s">
        <v>391</v>
      </c>
      <c r="G149" s="18" t="s">
        <v>876</v>
      </c>
      <c r="H149" s="16" t="s">
        <v>73</v>
      </c>
      <c r="I149" s="19" t="s">
        <v>3</v>
      </c>
      <c r="J149" s="16" t="s">
        <v>12</v>
      </c>
      <c r="K149" s="20" t="s">
        <v>198</v>
      </c>
      <c r="L149" s="20" t="s">
        <v>394</v>
      </c>
      <c r="M149" s="16" t="s">
        <v>76</v>
      </c>
      <c r="N149" s="16">
        <v>0</v>
      </c>
      <c r="O149" s="16" t="s">
        <v>50</v>
      </c>
      <c r="P149" s="20">
        <v>3</v>
      </c>
      <c r="Q149" s="20" t="s">
        <v>147</v>
      </c>
      <c r="R149" s="21" t="s">
        <v>129</v>
      </c>
      <c r="S149" s="22" t="s">
        <v>130</v>
      </c>
      <c r="T149" s="22" t="s">
        <v>54</v>
      </c>
      <c r="U149" s="23" t="s">
        <v>149</v>
      </c>
      <c r="V149" s="24">
        <v>0</v>
      </c>
      <c r="W149" s="25">
        <v>0</v>
      </c>
      <c r="X149" s="26">
        <v>1</v>
      </c>
      <c r="Y149" s="27">
        <v>1.28</v>
      </c>
      <c r="Z149" s="23">
        <v>5</v>
      </c>
      <c r="AA149" s="28">
        <v>0.25600000000000001</v>
      </c>
      <c r="AB149" s="24">
        <v>0</v>
      </c>
      <c r="AC149" s="29">
        <v>0</v>
      </c>
      <c r="AD149" s="30">
        <v>43559</v>
      </c>
      <c r="AE149" s="30">
        <v>43559</v>
      </c>
      <c r="AF149" s="23">
        <v>0</v>
      </c>
      <c r="AG149" s="25" t="s">
        <v>56</v>
      </c>
      <c r="AH149" s="24">
        <v>0</v>
      </c>
      <c r="AI149" s="31">
        <v>0</v>
      </c>
      <c r="AJ149" s="31">
        <v>0</v>
      </c>
      <c r="AK149" s="44">
        <f t="shared" si="4"/>
        <v>0</v>
      </c>
      <c r="AL149">
        <f>VLOOKUP(A149,'[1]prueba con 16mil datos'!$A$1:$AE$804,31,FALSE)</f>
        <v>750.75</v>
      </c>
      <c r="AM149">
        <f t="shared" si="5"/>
        <v>0</v>
      </c>
      <c r="AO149">
        <f>VLOOKUP(A149,'[1]Prueba con 19mil datos'!$B$1:$AF$1228,31,FALSE)</f>
        <v>0</v>
      </c>
    </row>
    <row r="150" spans="1:41" hidden="1" x14ac:dyDescent="0.25">
      <c r="A150" s="16" t="s">
        <v>3118</v>
      </c>
      <c r="B150" s="15" t="s">
        <v>40</v>
      </c>
      <c r="C150" s="16">
        <v>1</v>
      </c>
      <c r="D150" s="16" t="s">
        <v>877</v>
      </c>
      <c r="E150" s="17" t="s">
        <v>321</v>
      </c>
      <c r="F150" s="18" t="s">
        <v>381</v>
      </c>
      <c r="G150" s="18" t="s">
        <v>878</v>
      </c>
      <c r="H150" s="16" t="s">
        <v>207</v>
      </c>
      <c r="I150" s="19" t="s">
        <v>3</v>
      </c>
      <c r="J150" s="16" t="s">
        <v>12</v>
      </c>
      <c r="K150" s="20" t="s">
        <v>154</v>
      </c>
      <c r="L150" s="20" t="s">
        <v>880</v>
      </c>
      <c r="M150" s="16" t="s">
        <v>200</v>
      </c>
      <c r="N150" s="16">
        <v>0</v>
      </c>
      <c r="O150" s="16" t="s">
        <v>50</v>
      </c>
      <c r="P150" s="20" t="s">
        <v>326</v>
      </c>
      <c r="Q150" s="20" t="s">
        <v>51</v>
      </c>
      <c r="R150" s="21" t="s">
        <v>77</v>
      </c>
      <c r="S150" s="22" t="s">
        <v>53</v>
      </c>
      <c r="T150" s="22" t="s">
        <v>54</v>
      </c>
      <c r="U150" s="23" t="s">
        <v>55</v>
      </c>
      <c r="V150" s="24">
        <v>1</v>
      </c>
      <c r="W150" s="25">
        <v>1072.5000000000002</v>
      </c>
      <c r="X150" s="26">
        <v>0</v>
      </c>
      <c r="Y150" s="27">
        <v>5</v>
      </c>
      <c r="Z150" s="23">
        <v>5</v>
      </c>
      <c r="AA150" s="28">
        <v>1</v>
      </c>
      <c r="AB150" s="24">
        <v>0</v>
      </c>
      <c r="AC150" s="29">
        <v>0</v>
      </c>
      <c r="AD150" s="30">
        <v>43559</v>
      </c>
      <c r="AE150" s="30">
        <v>43559</v>
      </c>
      <c r="AF150" s="23">
        <v>0</v>
      </c>
      <c r="AG150" s="25" t="s">
        <v>56</v>
      </c>
      <c r="AH150" s="24">
        <v>0</v>
      </c>
      <c r="AI150" s="31">
        <v>0</v>
      </c>
      <c r="AJ150" s="31">
        <v>0</v>
      </c>
      <c r="AK150" s="44">
        <f t="shared" si="4"/>
        <v>1072.5000000000002</v>
      </c>
      <c r="AL150">
        <f>VLOOKUP(A150,'[1]prueba con 16mil datos'!$A$1:$AE$804,31,FALSE)</f>
        <v>750.75</v>
      </c>
      <c r="AM150">
        <f t="shared" si="5"/>
        <v>0</v>
      </c>
      <c r="AO150">
        <f>VLOOKUP(A150,'[1]Prueba con 19mil datos'!$B$1:$AF$1228,31,FALSE)</f>
        <v>750.75</v>
      </c>
    </row>
    <row r="151" spans="1:41" hidden="1" x14ac:dyDescent="0.25">
      <c r="A151" s="16" t="s">
        <v>626</v>
      </c>
      <c r="B151" s="15" t="s">
        <v>40</v>
      </c>
      <c r="C151" s="16">
        <v>1</v>
      </c>
      <c r="D151" s="16" t="s">
        <v>829</v>
      </c>
      <c r="E151" s="17" t="s">
        <v>42</v>
      </c>
      <c r="F151" s="18" t="s">
        <v>328</v>
      </c>
      <c r="G151" s="18" t="s">
        <v>830</v>
      </c>
      <c r="H151" s="16" t="s">
        <v>516</v>
      </c>
      <c r="I151" s="19" t="s">
        <v>3</v>
      </c>
      <c r="J151" s="16" t="s">
        <v>12</v>
      </c>
      <c r="K151" s="20" t="s">
        <v>398</v>
      </c>
      <c r="L151" s="20" t="s">
        <v>832</v>
      </c>
      <c r="M151" s="16" t="s">
        <v>833</v>
      </c>
      <c r="N151" s="16">
        <v>0</v>
      </c>
      <c r="O151" s="16" t="s">
        <v>50</v>
      </c>
      <c r="P151" s="20">
        <v>103</v>
      </c>
      <c r="Q151" s="20" t="s">
        <v>51</v>
      </c>
      <c r="R151" s="21" t="s">
        <v>148</v>
      </c>
      <c r="S151" s="22" t="s">
        <v>130</v>
      </c>
      <c r="T151" s="22" t="s">
        <v>54</v>
      </c>
      <c r="U151" s="23" t="s">
        <v>226</v>
      </c>
      <c r="V151" s="24">
        <v>1.1000000000000001</v>
      </c>
      <c r="W151" s="25">
        <v>1501.5000000000002</v>
      </c>
      <c r="X151" s="26">
        <v>1</v>
      </c>
      <c r="Y151" s="27">
        <v>1.7199999999999998</v>
      </c>
      <c r="Z151" s="23">
        <v>5</v>
      </c>
      <c r="AA151" s="28">
        <v>0.34399999999999997</v>
      </c>
      <c r="AB151" s="24">
        <v>0</v>
      </c>
      <c r="AC151" s="29">
        <v>0</v>
      </c>
      <c r="AD151" s="30">
        <v>43559</v>
      </c>
      <c r="AE151" s="30">
        <v>43559</v>
      </c>
      <c r="AF151" s="23">
        <v>0</v>
      </c>
      <c r="AG151" s="25" t="s">
        <v>56</v>
      </c>
      <c r="AH151" s="24">
        <v>0</v>
      </c>
      <c r="AI151" s="31">
        <v>0</v>
      </c>
      <c r="AJ151" s="31">
        <v>0</v>
      </c>
      <c r="AK151" s="44">
        <f t="shared" si="4"/>
        <v>1501.5000000000002</v>
      </c>
      <c r="AL151" t="e">
        <f>VLOOKUP(A151,'[1]prueba con 16mil datos'!$A$1:$AE$804,31,FALSE)</f>
        <v>#N/A</v>
      </c>
      <c r="AM151" t="e">
        <f t="shared" si="5"/>
        <v>#N/A</v>
      </c>
      <c r="AO151">
        <f>VLOOKUP(A151,'[1]Prueba con 19mil datos'!$B$1:$AF$1228,31,FALSE)</f>
        <v>750.75</v>
      </c>
    </row>
    <row r="152" spans="1:41" hidden="1" x14ac:dyDescent="0.25">
      <c r="A152" s="16" t="s">
        <v>2270</v>
      </c>
      <c r="B152" s="15" t="s">
        <v>40</v>
      </c>
      <c r="C152" s="16">
        <v>1</v>
      </c>
      <c r="D152" s="16" t="s">
        <v>903</v>
      </c>
      <c r="E152" s="17" t="s">
        <v>42</v>
      </c>
      <c r="F152" s="18" t="s">
        <v>90</v>
      </c>
      <c r="G152" s="18" t="s">
        <v>904</v>
      </c>
      <c r="H152" s="16" t="s">
        <v>236</v>
      </c>
      <c r="I152" s="19" t="s">
        <v>3</v>
      </c>
      <c r="J152" s="16" t="s">
        <v>12</v>
      </c>
      <c r="K152" s="20" t="s">
        <v>154</v>
      </c>
      <c r="L152" s="20" t="s">
        <v>906</v>
      </c>
      <c r="M152" s="16" t="s">
        <v>907</v>
      </c>
      <c r="N152" s="16">
        <v>0</v>
      </c>
      <c r="O152" s="16" t="s">
        <v>50</v>
      </c>
      <c r="P152" s="20">
        <v>317</v>
      </c>
      <c r="Q152" s="20" t="s">
        <v>51</v>
      </c>
      <c r="R152" s="21" t="s">
        <v>77</v>
      </c>
      <c r="S152" s="22" t="s">
        <v>53</v>
      </c>
      <c r="T152" s="22" t="s">
        <v>157</v>
      </c>
      <c r="U152" s="23" t="s">
        <v>55</v>
      </c>
      <c r="V152" s="24">
        <v>1.05</v>
      </c>
      <c r="W152" s="25">
        <v>750.75000000000011</v>
      </c>
      <c r="X152" s="26">
        <v>1</v>
      </c>
      <c r="Y152" s="27">
        <v>8.32</v>
      </c>
      <c r="Z152" s="23">
        <v>9</v>
      </c>
      <c r="AA152" s="28">
        <v>0.92444444444444451</v>
      </c>
      <c r="AB152" s="24">
        <v>0</v>
      </c>
      <c r="AC152" s="29">
        <v>0</v>
      </c>
      <c r="AD152" s="30">
        <v>43559</v>
      </c>
      <c r="AE152" s="30">
        <v>43559</v>
      </c>
      <c r="AF152" s="23">
        <v>0</v>
      </c>
      <c r="AG152" s="25" t="s">
        <v>56</v>
      </c>
      <c r="AH152" s="24">
        <v>0</v>
      </c>
      <c r="AI152" s="31">
        <v>0</v>
      </c>
      <c r="AJ152" s="31">
        <v>0</v>
      </c>
      <c r="AK152" s="44">
        <f t="shared" si="4"/>
        <v>750.75000000000011</v>
      </c>
      <c r="AL152">
        <f>VLOOKUP(A152,'[1]prueba con 16mil datos'!$A$1:$AE$804,31,FALSE)</f>
        <v>750.75</v>
      </c>
      <c r="AM152">
        <f t="shared" si="5"/>
        <v>1</v>
      </c>
      <c r="AO152">
        <f>VLOOKUP(A152,'[1]Prueba con 19mil datos'!$B$1:$AF$1228,31,FALSE)</f>
        <v>0</v>
      </c>
    </row>
    <row r="153" spans="1:41" hidden="1" x14ac:dyDescent="0.25">
      <c r="A153" s="16" t="s">
        <v>2127</v>
      </c>
      <c r="B153" s="15" t="s">
        <v>40</v>
      </c>
      <c r="C153" s="16">
        <v>1</v>
      </c>
      <c r="D153" s="16" t="s">
        <v>824</v>
      </c>
      <c r="E153" s="17" t="s">
        <v>42</v>
      </c>
      <c r="F153" s="18" t="s">
        <v>90</v>
      </c>
      <c r="G153" s="18" t="s">
        <v>825</v>
      </c>
      <c r="H153" s="16" t="s">
        <v>221</v>
      </c>
      <c r="I153" s="19" t="s">
        <v>3</v>
      </c>
      <c r="J153" s="16" t="s">
        <v>12</v>
      </c>
      <c r="K153" s="20" t="s">
        <v>214</v>
      </c>
      <c r="L153" s="20" t="s">
        <v>827</v>
      </c>
      <c r="M153" s="16" t="s">
        <v>828</v>
      </c>
      <c r="N153" s="16">
        <v>0</v>
      </c>
      <c r="O153" s="16" t="s">
        <v>50</v>
      </c>
      <c r="P153" s="20">
        <v>412</v>
      </c>
      <c r="Q153" s="20" t="s">
        <v>51</v>
      </c>
      <c r="R153" s="21" t="s">
        <v>77</v>
      </c>
      <c r="S153" s="22" t="s">
        <v>53</v>
      </c>
      <c r="T153" s="22" t="s">
        <v>54</v>
      </c>
      <c r="U153" s="23" t="s">
        <v>55</v>
      </c>
      <c r="V153" s="24">
        <v>1.05</v>
      </c>
      <c r="W153" s="25">
        <v>750.75000000000011</v>
      </c>
      <c r="X153" s="26">
        <v>1</v>
      </c>
      <c r="Y153" s="27">
        <v>2.7</v>
      </c>
      <c r="Z153" s="23">
        <v>5</v>
      </c>
      <c r="AA153" s="28">
        <v>0.54</v>
      </c>
      <c r="AB153" s="24">
        <v>0</v>
      </c>
      <c r="AC153" s="29">
        <v>0</v>
      </c>
      <c r="AD153" s="30">
        <v>43559</v>
      </c>
      <c r="AE153" s="30">
        <v>43559</v>
      </c>
      <c r="AF153" s="23">
        <v>0</v>
      </c>
      <c r="AG153" s="25" t="s">
        <v>56</v>
      </c>
      <c r="AH153" s="24">
        <v>0</v>
      </c>
      <c r="AI153" s="31">
        <v>0</v>
      </c>
      <c r="AJ153" s="31">
        <v>0</v>
      </c>
      <c r="AK153" s="44">
        <f t="shared" si="4"/>
        <v>750.75000000000011</v>
      </c>
      <c r="AL153">
        <f>VLOOKUP(A153,'[1]prueba con 16mil datos'!$A$1:$AE$804,31,FALSE)</f>
        <v>750.75</v>
      </c>
      <c r="AM153">
        <f t="shared" si="5"/>
        <v>1</v>
      </c>
      <c r="AO153">
        <f>VLOOKUP(A153,'[1]Prueba con 19mil datos'!$B$1:$AF$1228,31,FALSE)</f>
        <v>572</v>
      </c>
    </row>
    <row r="154" spans="1:41" hidden="1" x14ac:dyDescent="0.25">
      <c r="A154" s="16" t="s">
        <v>902</v>
      </c>
      <c r="B154" s="15" t="s">
        <v>40</v>
      </c>
      <c r="C154" s="16">
        <v>1</v>
      </c>
      <c r="D154" s="16" t="s">
        <v>1131</v>
      </c>
      <c r="E154" s="17" t="s">
        <v>1132</v>
      </c>
      <c r="F154" s="18" t="s">
        <v>90</v>
      </c>
      <c r="G154" s="18" t="s">
        <v>1133</v>
      </c>
      <c r="H154" s="16" t="s">
        <v>440</v>
      </c>
      <c r="I154" s="19" t="s">
        <v>3</v>
      </c>
      <c r="J154" s="16" t="s">
        <v>12</v>
      </c>
      <c r="K154" s="20" t="s">
        <v>398</v>
      </c>
      <c r="L154" s="20" t="s">
        <v>399</v>
      </c>
      <c r="M154" s="16" t="s">
        <v>118</v>
      </c>
      <c r="N154" s="16">
        <v>0</v>
      </c>
      <c r="O154" s="16" t="s">
        <v>50</v>
      </c>
      <c r="P154" s="20" t="s">
        <v>326</v>
      </c>
      <c r="Q154" s="20" t="s">
        <v>51</v>
      </c>
      <c r="R154" s="21" t="s">
        <v>77</v>
      </c>
      <c r="S154" s="22" t="s">
        <v>53</v>
      </c>
      <c r="T154" s="22" t="s">
        <v>54</v>
      </c>
      <c r="U154" s="23" t="s">
        <v>55</v>
      </c>
      <c r="V154" s="24">
        <v>1</v>
      </c>
      <c r="W154" s="25">
        <v>715.00000000000011</v>
      </c>
      <c r="X154" s="26">
        <v>0</v>
      </c>
      <c r="Y154" s="27">
        <v>5</v>
      </c>
      <c r="Z154" s="23">
        <v>5</v>
      </c>
      <c r="AA154" s="28">
        <v>1</v>
      </c>
      <c r="AB154" s="24">
        <v>0</v>
      </c>
      <c r="AC154" s="29">
        <v>0</v>
      </c>
      <c r="AD154" s="30">
        <v>43559</v>
      </c>
      <c r="AE154" s="30">
        <v>43562</v>
      </c>
      <c r="AF154" s="23">
        <v>1</v>
      </c>
      <c r="AG154" s="25" t="s">
        <v>56</v>
      </c>
      <c r="AH154" s="24">
        <v>0</v>
      </c>
      <c r="AI154" s="31">
        <v>0</v>
      </c>
      <c r="AJ154" s="31">
        <v>0</v>
      </c>
      <c r="AK154" s="44">
        <f t="shared" si="4"/>
        <v>715.00000000000011</v>
      </c>
      <c r="AL154">
        <f>VLOOKUP(A154,'[1]prueba con 16mil datos'!$A$1:$AE$804,31,FALSE)</f>
        <v>750.75</v>
      </c>
      <c r="AM154">
        <f t="shared" si="5"/>
        <v>0</v>
      </c>
      <c r="AO154">
        <f>VLOOKUP(A154,'[1]Prueba con 19mil datos'!$B$1:$AF$1228,31,FALSE)</f>
        <v>750.75</v>
      </c>
    </row>
    <row r="155" spans="1:41" hidden="1" x14ac:dyDescent="0.25">
      <c r="A155" s="16" t="s">
        <v>1450</v>
      </c>
      <c r="B155" s="15" t="s">
        <v>40</v>
      </c>
      <c r="C155" s="16">
        <v>1</v>
      </c>
      <c r="D155" s="16" t="s">
        <v>861</v>
      </c>
      <c r="E155" s="17" t="s">
        <v>42</v>
      </c>
      <c r="F155" s="18" t="s">
        <v>281</v>
      </c>
      <c r="G155" s="18" t="s">
        <v>862</v>
      </c>
      <c r="H155" s="16" t="s">
        <v>125</v>
      </c>
      <c r="I155" s="19" t="s">
        <v>3</v>
      </c>
      <c r="J155" s="16" t="s">
        <v>12</v>
      </c>
      <c r="K155" s="20" t="s">
        <v>126</v>
      </c>
      <c r="L155" s="20" t="s">
        <v>127</v>
      </c>
      <c r="M155" s="16" t="s">
        <v>128</v>
      </c>
      <c r="N155" s="16">
        <v>0</v>
      </c>
      <c r="O155" s="16" t="s">
        <v>50</v>
      </c>
      <c r="P155" s="20">
        <v>47</v>
      </c>
      <c r="Q155" s="20" t="s">
        <v>86</v>
      </c>
      <c r="R155" s="21" t="s">
        <v>287</v>
      </c>
      <c r="S155" s="22" t="s">
        <v>288</v>
      </c>
      <c r="T155" s="22" t="s">
        <v>54</v>
      </c>
      <c r="U155" s="23" t="s">
        <v>188</v>
      </c>
      <c r="V155" s="24">
        <v>1.1000000000000001</v>
      </c>
      <c r="W155" s="25">
        <v>1730.3000000000004</v>
      </c>
      <c r="X155" s="26">
        <v>1</v>
      </c>
      <c r="Y155" s="27">
        <v>4.45</v>
      </c>
      <c r="Z155" s="23">
        <v>4</v>
      </c>
      <c r="AA155" s="28">
        <v>1.1125</v>
      </c>
      <c r="AB155" s="24">
        <v>2.8125000000000011E-2</v>
      </c>
      <c r="AC155" s="29">
        <v>-44.240625000000023</v>
      </c>
      <c r="AD155" s="30">
        <v>43559</v>
      </c>
      <c r="AE155" s="30">
        <v>43559</v>
      </c>
      <c r="AF155" s="23">
        <v>0</v>
      </c>
      <c r="AG155" s="25" t="s">
        <v>56</v>
      </c>
      <c r="AH155" s="24">
        <v>0</v>
      </c>
      <c r="AI155" s="31">
        <v>0</v>
      </c>
      <c r="AJ155" s="31">
        <v>0</v>
      </c>
      <c r="AK155" s="44">
        <f t="shared" si="4"/>
        <v>1686.0593750000003</v>
      </c>
      <c r="AL155">
        <f>VLOOKUP(A155,'[1]prueba con 16mil datos'!$A$1:$AE$804,31,FALSE)</f>
        <v>572</v>
      </c>
      <c r="AM155">
        <f t="shared" si="5"/>
        <v>0</v>
      </c>
      <c r="AO155">
        <f>VLOOKUP(A155,'[1]Prueba con 19mil datos'!$B$1:$AF$1228,31,FALSE)</f>
        <v>572</v>
      </c>
    </row>
    <row r="156" spans="1:41" hidden="1" x14ac:dyDescent="0.25">
      <c r="A156" s="16" t="s">
        <v>3042</v>
      </c>
      <c r="B156" s="15" t="s">
        <v>40</v>
      </c>
      <c r="C156" s="16">
        <v>1</v>
      </c>
      <c r="D156" s="16" t="s">
        <v>982</v>
      </c>
      <c r="E156" s="17" t="s">
        <v>42</v>
      </c>
      <c r="F156" s="18" t="s">
        <v>99</v>
      </c>
      <c r="G156" s="18" t="s">
        <v>983</v>
      </c>
      <c r="H156" s="16" t="s">
        <v>207</v>
      </c>
      <c r="I156" s="19" t="s">
        <v>3</v>
      </c>
      <c r="J156" s="16" t="s">
        <v>12</v>
      </c>
      <c r="K156" s="20" t="s">
        <v>103</v>
      </c>
      <c r="L156" s="20" t="s">
        <v>110</v>
      </c>
      <c r="M156" s="16" t="s">
        <v>111</v>
      </c>
      <c r="N156" s="16">
        <v>0</v>
      </c>
      <c r="O156" s="16" t="s">
        <v>50</v>
      </c>
      <c r="P156" s="20">
        <v>526</v>
      </c>
      <c r="Q156" s="20" t="s">
        <v>51</v>
      </c>
      <c r="R156" s="21" t="s">
        <v>77</v>
      </c>
      <c r="S156" s="22" t="s">
        <v>53</v>
      </c>
      <c r="T156" s="22" t="s">
        <v>54</v>
      </c>
      <c r="U156" s="23" t="s">
        <v>55</v>
      </c>
      <c r="V156" s="24">
        <v>1.05</v>
      </c>
      <c r="W156" s="25">
        <v>750.75000000000011</v>
      </c>
      <c r="X156" s="26">
        <v>1</v>
      </c>
      <c r="Y156" s="27">
        <v>1.67</v>
      </c>
      <c r="Z156" s="23">
        <v>5</v>
      </c>
      <c r="AA156" s="28">
        <v>0.33399999999999996</v>
      </c>
      <c r="AB156" s="24">
        <v>0</v>
      </c>
      <c r="AC156" s="29">
        <v>0</v>
      </c>
      <c r="AD156" s="30">
        <v>43559</v>
      </c>
      <c r="AE156" s="30">
        <v>43560</v>
      </c>
      <c r="AF156" s="23">
        <v>1</v>
      </c>
      <c r="AG156" s="25" t="s">
        <v>56</v>
      </c>
      <c r="AH156" s="24">
        <v>0</v>
      </c>
      <c r="AI156" s="31">
        <v>0</v>
      </c>
      <c r="AJ156" s="31">
        <v>0</v>
      </c>
      <c r="AK156" s="44">
        <f t="shared" si="4"/>
        <v>750.75000000000011</v>
      </c>
      <c r="AL156">
        <f>VLOOKUP(A156,'[1]prueba con 16mil datos'!$A$1:$AE$804,31,FALSE)</f>
        <v>750.75</v>
      </c>
      <c r="AM156">
        <f t="shared" si="5"/>
        <v>1</v>
      </c>
      <c r="AO156">
        <f>VLOOKUP(A156,'[1]Prueba con 19mil datos'!$B$1:$AF$1228,31,FALSE)</f>
        <v>750.75</v>
      </c>
    </row>
    <row r="157" spans="1:41" hidden="1" x14ac:dyDescent="0.25">
      <c r="A157" s="16" t="s">
        <v>987</v>
      </c>
      <c r="B157" s="15" t="s">
        <v>40</v>
      </c>
      <c r="C157" s="16">
        <v>1</v>
      </c>
      <c r="D157" s="16" t="s">
        <v>852</v>
      </c>
      <c r="E157" s="17" t="s">
        <v>42</v>
      </c>
      <c r="F157" s="18" t="s">
        <v>99</v>
      </c>
      <c r="G157" s="18" t="s">
        <v>853</v>
      </c>
      <c r="H157" s="16" t="s">
        <v>331</v>
      </c>
      <c r="I157" s="19" t="s">
        <v>3</v>
      </c>
      <c r="J157" s="16" t="s">
        <v>12</v>
      </c>
      <c r="K157" s="20" t="s">
        <v>855</v>
      </c>
      <c r="L157" s="20" t="s">
        <v>856</v>
      </c>
      <c r="M157" s="16" t="s">
        <v>833</v>
      </c>
      <c r="N157" s="16">
        <v>0</v>
      </c>
      <c r="O157" s="16" t="s">
        <v>50</v>
      </c>
      <c r="P157" s="20">
        <v>119</v>
      </c>
      <c r="Q157" s="20" t="s">
        <v>51</v>
      </c>
      <c r="R157" s="21" t="s">
        <v>77</v>
      </c>
      <c r="S157" s="22" t="s">
        <v>53</v>
      </c>
      <c r="T157" s="22" t="s">
        <v>54</v>
      </c>
      <c r="U157" s="23" t="s">
        <v>55</v>
      </c>
      <c r="V157" s="24">
        <v>1.05</v>
      </c>
      <c r="W157" s="25">
        <v>750.75000000000011</v>
      </c>
      <c r="X157" s="26">
        <v>1</v>
      </c>
      <c r="Y157" s="27">
        <v>3.8000000000000003</v>
      </c>
      <c r="Z157" s="23">
        <v>5</v>
      </c>
      <c r="AA157" s="28">
        <v>0.76</v>
      </c>
      <c r="AB157" s="24">
        <v>0</v>
      </c>
      <c r="AC157" s="29">
        <v>0</v>
      </c>
      <c r="AD157" s="30">
        <v>43559</v>
      </c>
      <c r="AE157" s="30">
        <v>43559</v>
      </c>
      <c r="AF157" s="23">
        <v>0</v>
      </c>
      <c r="AG157" s="25" t="s">
        <v>56</v>
      </c>
      <c r="AH157" s="24">
        <v>0</v>
      </c>
      <c r="AI157" s="31">
        <v>0</v>
      </c>
      <c r="AJ157" s="31">
        <v>0</v>
      </c>
      <c r="AK157" s="44">
        <f t="shared" si="4"/>
        <v>750.75000000000011</v>
      </c>
      <c r="AL157">
        <f>VLOOKUP(A157,'[1]prueba con 16mil datos'!$A$1:$AE$804,31,FALSE)</f>
        <v>750.75</v>
      </c>
      <c r="AM157">
        <f t="shared" si="5"/>
        <v>1</v>
      </c>
      <c r="AO157">
        <f>VLOOKUP(A157,'[1]Prueba con 19mil datos'!$B$1:$AF$1228,31,FALSE)</f>
        <v>750.75</v>
      </c>
    </row>
    <row r="158" spans="1:41" hidden="1" x14ac:dyDescent="0.25">
      <c r="A158" s="16" t="s">
        <v>669</v>
      </c>
      <c r="B158" s="15" t="s">
        <v>40</v>
      </c>
      <c r="C158" s="16">
        <v>1</v>
      </c>
      <c r="D158" s="16" t="s">
        <v>900</v>
      </c>
      <c r="E158" s="17" t="s">
        <v>42</v>
      </c>
      <c r="F158" s="18" t="s">
        <v>228</v>
      </c>
      <c r="G158" s="18" t="s">
        <v>901</v>
      </c>
      <c r="H158" s="16" t="s">
        <v>377</v>
      </c>
      <c r="I158" s="19" t="s">
        <v>3</v>
      </c>
      <c r="J158" s="16" t="s">
        <v>12</v>
      </c>
      <c r="K158" s="20" t="s">
        <v>378</v>
      </c>
      <c r="L158" s="20" t="s">
        <v>577</v>
      </c>
      <c r="M158" s="16" t="s">
        <v>128</v>
      </c>
      <c r="N158" s="16">
        <v>0</v>
      </c>
      <c r="O158" s="16" t="s">
        <v>50</v>
      </c>
      <c r="P158" s="20">
        <v>146</v>
      </c>
      <c r="Q158" s="20" t="s">
        <v>51</v>
      </c>
      <c r="R158" s="21" t="s">
        <v>87</v>
      </c>
      <c r="S158" s="22" t="s">
        <v>53</v>
      </c>
      <c r="T158" s="22" t="s">
        <v>54</v>
      </c>
      <c r="U158" s="23" t="s">
        <v>55</v>
      </c>
      <c r="V158" s="24">
        <v>1.05</v>
      </c>
      <c r="W158" s="25">
        <v>750.75000000000011</v>
      </c>
      <c r="X158" s="26">
        <v>1</v>
      </c>
      <c r="Y158" s="27">
        <v>1.29</v>
      </c>
      <c r="Z158" s="23">
        <v>5</v>
      </c>
      <c r="AA158" s="28">
        <v>0.25800000000000001</v>
      </c>
      <c r="AB158" s="24">
        <v>0</v>
      </c>
      <c r="AC158" s="29">
        <v>0</v>
      </c>
      <c r="AD158" s="30">
        <v>43559</v>
      </c>
      <c r="AE158" s="30">
        <v>43559</v>
      </c>
      <c r="AF158" s="23">
        <v>0</v>
      </c>
      <c r="AG158" s="25" t="s">
        <v>56</v>
      </c>
      <c r="AH158" s="24">
        <v>0</v>
      </c>
      <c r="AI158" s="31">
        <v>0</v>
      </c>
      <c r="AJ158" s="31">
        <v>0</v>
      </c>
      <c r="AK158" s="44">
        <f t="shared" si="4"/>
        <v>750.75000000000011</v>
      </c>
      <c r="AL158">
        <f>VLOOKUP(A158,'[1]prueba con 16mil datos'!$A$1:$AE$804,31,FALSE)</f>
        <v>750.75</v>
      </c>
      <c r="AM158">
        <f t="shared" si="5"/>
        <v>1</v>
      </c>
      <c r="AO158">
        <f>VLOOKUP(A158,'[1]Prueba con 19mil datos'!$B$1:$AF$1228,31,FALSE)</f>
        <v>750.75</v>
      </c>
    </row>
    <row r="159" spans="1:41" hidden="1" x14ac:dyDescent="0.25">
      <c r="A159" s="16" t="s">
        <v>1616</v>
      </c>
      <c r="B159" s="15" t="s">
        <v>40</v>
      </c>
      <c r="C159" s="16">
        <v>1</v>
      </c>
      <c r="D159" s="16" t="s">
        <v>921</v>
      </c>
      <c r="E159" s="17" t="s">
        <v>42</v>
      </c>
      <c r="F159" s="18" t="s">
        <v>922</v>
      </c>
      <c r="G159" s="18" t="s">
        <v>923</v>
      </c>
      <c r="H159" s="16" t="s">
        <v>404</v>
      </c>
      <c r="I159" s="19" t="s">
        <v>3</v>
      </c>
      <c r="J159" s="16" t="s">
        <v>12</v>
      </c>
      <c r="K159" s="20" t="s">
        <v>405</v>
      </c>
      <c r="L159" s="20" t="s">
        <v>406</v>
      </c>
      <c r="M159" s="16" t="s">
        <v>407</v>
      </c>
      <c r="N159" s="16">
        <v>0</v>
      </c>
      <c r="O159" s="16" t="s">
        <v>50</v>
      </c>
      <c r="P159" s="20">
        <v>313</v>
      </c>
      <c r="Q159" s="20" t="s">
        <v>51</v>
      </c>
      <c r="R159" s="21" t="s">
        <v>148</v>
      </c>
      <c r="S159" s="22" t="s">
        <v>130</v>
      </c>
      <c r="T159" s="22" t="s">
        <v>54</v>
      </c>
      <c r="U159" s="23" t="s">
        <v>226</v>
      </c>
      <c r="V159" s="24">
        <v>1.1000000000000001</v>
      </c>
      <c r="W159" s="25">
        <v>1501.5000000000002</v>
      </c>
      <c r="X159" s="26">
        <v>1</v>
      </c>
      <c r="Y159" s="27">
        <v>6.26</v>
      </c>
      <c r="Z159" s="23">
        <v>5</v>
      </c>
      <c r="AA159" s="28">
        <v>1.252</v>
      </c>
      <c r="AB159" s="24">
        <v>6.3E-2</v>
      </c>
      <c r="AC159" s="29">
        <v>-85.995000000000005</v>
      </c>
      <c r="AD159" s="30">
        <v>43559</v>
      </c>
      <c r="AE159" s="30">
        <v>43559</v>
      </c>
      <c r="AF159" s="23">
        <v>0</v>
      </c>
      <c r="AG159" s="25" t="s">
        <v>56</v>
      </c>
      <c r="AH159" s="24">
        <v>0</v>
      </c>
      <c r="AI159" s="31">
        <v>0</v>
      </c>
      <c r="AJ159" s="31">
        <v>0</v>
      </c>
      <c r="AK159" s="44">
        <f t="shared" si="4"/>
        <v>1415.5050000000001</v>
      </c>
      <c r="AL159">
        <f>VLOOKUP(A159,'[1]prueba con 16mil datos'!$A$1:$AE$804,31,FALSE)</f>
        <v>750.75</v>
      </c>
      <c r="AM159">
        <f t="shared" si="5"/>
        <v>0</v>
      </c>
      <c r="AO159">
        <f>VLOOKUP(A159,'[1]Prueba con 19mil datos'!$B$1:$AF$1228,31,FALSE)</f>
        <v>750.75</v>
      </c>
    </row>
    <row r="160" spans="1:41" hidden="1" x14ac:dyDescent="0.25">
      <c r="A160" s="16" t="s">
        <v>1616</v>
      </c>
      <c r="B160" s="15" t="s">
        <v>40</v>
      </c>
      <c r="C160" s="16">
        <v>1</v>
      </c>
      <c r="D160" s="16" t="s">
        <v>957</v>
      </c>
      <c r="E160" s="17" t="s">
        <v>42</v>
      </c>
      <c r="F160" s="18" t="s">
        <v>733</v>
      </c>
      <c r="G160" s="18" t="s">
        <v>958</v>
      </c>
      <c r="H160" s="16" t="s">
        <v>346</v>
      </c>
      <c r="I160" s="19" t="s">
        <v>3</v>
      </c>
      <c r="J160" s="16" t="s">
        <v>12</v>
      </c>
      <c r="K160" s="20" t="s">
        <v>347</v>
      </c>
      <c r="L160" s="20" t="s">
        <v>348</v>
      </c>
      <c r="M160" s="16" t="s">
        <v>349</v>
      </c>
      <c r="N160" s="16">
        <v>0</v>
      </c>
      <c r="O160" s="16" t="s">
        <v>50</v>
      </c>
      <c r="P160" s="20">
        <v>43</v>
      </c>
      <c r="Q160" s="20" t="s">
        <v>86</v>
      </c>
      <c r="R160" s="21" t="s">
        <v>279</v>
      </c>
      <c r="S160" s="22" t="s">
        <v>187</v>
      </c>
      <c r="T160" s="22" t="s">
        <v>54</v>
      </c>
      <c r="U160" s="23" t="s">
        <v>188</v>
      </c>
      <c r="V160" s="24">
        <v>1.1000000000000001</v>
      </c>
      <c r="W160" s="25">
        <v>1730.3000000000004</v>
      </c>
      <c r="X160" s="26">
        <v>1</v>
      </c>
      <c r="Y160" s="27">
        <v>4.7300000000000004</v>
      </c>
      <c r="Z160" s="23">
        <v>4</v>
      </c>
      <c r="AA160" s="28">
        <v>1.1825000000000001</v>
      </c>
      <c r="AB160" s="24">
        <v>4.5625000000000027E-2</v>
      </c>
      <c r="AC160" s="29">
        <v>-71.768125000000055</v>
      </c>
      <c r="AD160" s="30">
        <v>43559</v>
      </c>
      <c r="AE160" s="30">
        <v>43559</v>
      </c>
      <c r="AF160" s="23">
        <v>0</v>
      </c>
      <c r="AG160" s="25" t="s">
        <v>56</v>
      </c>
      <c r="AH160" s="24">
        <v>0</v>
      </c>
      <c r="AI160" s="31">
        <v>0</v>
      </c>
      <c r="AJ160" s="31">
        <v>0</v>
      </c>
      <c r="AK160" s="44">
        <f t="shared" si="4"/>
        <v>1658.5318750000004</v>
      </c>
      <c r="AL160">
        <f>VLOOKUP(A160,'[1]prueba con 16mil datos'!$A$1:$AE$804,31,FALSE)</f>
        <v>750.75</v>
      </c>
      <c r="AM160">
        <f t="shared" si="5"/>
        <v>0</v>
      </c>
      <c r="AO160">
        <f>VLOOKUP(A160,'[1]Prueba con 19mil datos'!$B$1:$AF$1228,31,FALSE)</f>
        <v>750.75</v>
      </c>
    </row>
    <row r="161" spans="1:44" hidden="1" x14ac:dyDescent="0.25">
      <c r="A161" s="16" t="s">
        <v>1339</v>
      </c>
      <c r="B161" s="15" t="s">
        <v>40</v>
      </c>
      <c r="C161" s="16">
        <v>1</v>
      </c>
      <c r="D161" s="16" t="s">
        <v>929</v>
      </c>
      <c r="E161" s="17" t="s">
        <v>42</v>
      </c>
      <c r="F161" s="18" t="s">
        <v>733</v>
      </c>
      <c r="G161" s="18" t="s">
        <v>930</v>
      </c>
      <c r="H161" s="16" t="s">
        <v>73</v>
      </c>
      <c r="I161" s="19" t="s">
        <v>3</v>
      </c>
      <c r="J161" s="16" t="s">
        <v>12</v>
      </c>
      <c r="K161" s="20" t="s">
        <v>198</v>
      </c>
      <c r="L161" s="20" t="s">
        <v>932</v>
      </c>
      <c r="M161" s="16" t="s">
        <v>596</v>
      </c>
      <c r="N161" s="16">
        <v>0</v>
      </c>
      <c r="O161" s="16" t="s">
        <v>50</v>
      </c>
      <c r="P161" s="20">
        <v>28</v>
      </c>
      <c r="Q161" s="20" t="s">
        <v>119</v>
      </c>
      <c r="R161" s="21" t="s">
        <v>279</v>
      </c>
      <c r="S161" s="22" t="s">
        <v>187</v>
      </c>
      <c r="T161" s="22" t="s">
        <v>54</v>
      </c>
      <c r="U161" s="23" t="s">
        <v>269</v>
      </c>
      <c r="V161" s="24">
        <v>1.05</v>
      </c>
      <c r="W161" s="25">
        <v>1651.6500000000003</v>
      </c>
      <c r="X161" s="26">
        <v>1</v>
      </c>
      <c r="Y161" s="27">
        <v>2.38</v>
      </c>
      <c r="Z161" s="23">
        <v>4</v>
      </c>
      <c r="AA161" s="28">
        <v>0.59499999999999997</v>
      </c>
      <c r="AB161" s="24">
        <v>0</v>
      </c>
      <c r="AC161" s="29">
        <v>0</v>
      </c>
      <c r="AD161" s="30">
        <v>43559</v>
      </c>
      <c r="AE161" s="30">
        <v>43559</v>
      </c>
      <c r="AF161" s="23">
        <v>0</v>
      </c>
      <c r="AG161" s="25" t="s">
        <v>56</v>
      </c>
      <c r="AH161" s="24">
        <v>0</v>
      </c>
      <c r="AI161" s="31">
        <v>0</v>
      </c>
      <c r="AJ161" s="31">
        <v>0</v>
      </c>
      <c r="AK161" s="44">
        <f t="shared" si="4"/>
        <v>1651.6500000000003</v>
      </c>
      <c r="AL161">
        <f>VLOOKUP(A161,'[1]prueba con 16mil datos'!$A$1:$AE$804,31,FALSE)</f>
        <v>572</v>
      </c>
      <c r="AM161">
        <f t="shared" si="5"/>
        <v>0</v>
      </c>
      <c r="AO161">
        <f>VLOOKUP(A161,'[1]Prueba con 19mil datos'!$B$1:$AF$1228,31,FALSE)</f>
        <v>429</v>
      </c>
    </row>
    <row r="162" spans="1:44" hidden="1" x14ac:dyDescent="0.25">
      <c r="A162" s="16" t="s">
        <v>3046</v>
      </c>
      <c r="B162" s="15" t="s">
        <v>40</v>
      </c>
      <c r="C162" s="16">
        <v>1</v>
      </c>
      <c r="D162" s="16" t="s">
        <v>925</v>
      </c>
      <c r="E162" s="17" t="s">
        <v>42</v>
      </c>
      <c r="F162" s="18" t="s">
        <v>275</v>
      </c>
      <c r="G162" s="18" t="s">
        <v>926</v>
      </c>
      <c r="H162" s="16" t="s">
        <v>293</v>
      </c>
      <c r="I162" s="19" t="s">
        <v>3</v>
      </c>
      <c r="J162" s="16" t="s">
        <v>12</v>
      </c>
      <c r="K162" s="20" t="s">
        <v>126</v>
      </c>
      <c r="L162" s="20" t="s">
        <v>928</v>
      </c>
      <c r="M162" s="16" t="s">
        <v>372</v>
      </c>
      <c r="N162" s="16">
        <v>0</v>
      </c>
      <c r="O162" s="16" t="s">
        <v>50</v>
      </c>
      <c r="P162" s="20">
        <v>1</v>
      </c>
      <c r="Q162" s="20" t="s">
        <v>147</v>
      </c>
      <c r="R162" s="21" t="s">
        <v>279</v>
      </c>
      <c r="S162" s="22" t="s">
        <v>187</v>
      </c>
      <c r="T162" s="22" t="s">
        <v>54</v>
      </c>
      <c r="U162" s="23" t="s">
        <v>389</v>
      </c>
      <c r="V162" s="24">
        <v>0</v>
      </c>
      <c r="W162" s="25">
        <v>0</v>
      </c>
      <c r="X162" s="26">
        <v>1</v>
      </c>
      <c r="Y162" s="27">
        <v>2.0299999999999998</v>
      </c>
      <c r="Z162" s="23">
        <v>4</v>
      </c>
      <c r="AA162" s="28">
        <v>0.50749999999999995</v>
      </c>
      <c r="AB162" s="24">
        <v>0</v>
      </c>
      <c r="AC162" s="29">
        <v>0</v>
      </c>
      <c r="AD162" s="30">
        <v>43559</v>
      </c>
      <c r="AE162" s="30">
        <v>43559</v>
      </c>
      <c r="AF162" s="23">
        <v>0</v>
      </c>
      <c r="AG162" s="25" t="s">
        <v>56</v>
      </c>
      <c r="AH162" s="24">
        <v>0</v>
      </c>
      <c r="AI162" s="31">
        <v>0</v>
      </c>
      <c r="AJ162" s="31">
        <v>0</v>
      </c>
      <c r="AK162" s="44">
        <f t="shared" si="4"/>
        <v>0</v>
      </c>
      <c r="AL162">
        <f>VLOOKUP(A162,'[1]prueba con 16mil datos'!$A$1:$AE$804,31,FALSE)</f>
        <v>750.75</v>
      </c>
      <c r="AM162">
        <f t="shared" si="5"/>
        <v>0</v>
      </c>
      <c r="AO162">
        <f>VLOOKUP(A162,'[1]Prueba con 19mil datos'!$B$1:$AF$1228,31,FALSE)</f>
        <v>750.75</v>
      </c>
    </row>
    <row r="163" spans="1:44" x14ac:dyDescent="0.25">
      <c r="A163" s="16" t="s">
        <v>230</v>
      </c>
      <c r="B163" s="15" t="s">
        <v>40</v>
      </c>
      <c r="C163" s="16">
        <v>1</v>
      </c>
      <c r="D163" s="16" t="s">
        <v>800</v>
      </c>
      <c r="E163" s="17" t="s">
        <v>42</v>
      </c>
      <c r="F163" s="18" t="s">
        <v>275</v>
      </c>
      <c r="G163" s="18" t="s">
        <v>801</v>
      </c>
      <c r="H163" s="16" t="s">
        <v>61</v>
      </c>
      <c r="I163" s="19" t="s">
        <v>3</v>
      </c>
      <c r="J163" s="16" t="s">
        <v>12</v>
      </c>
      <c r="K163" s="20" t="s">
        <v>126</v>
      </c>
      <c r="L163" s="20" t="s">
        <v>803</v>
      </c>
      <c r="M163" s="16" t="s">
        <v>118</v>
      </c>
      <c r="N163" s="16">
        <v>0</v>
      </c>
      <c r="O163" s="16" t="s">
        <v>50</v>
      </c>
      <c r="P163" s="20">
        <v>5</v>
      </c>
      <c r="Q163" s="20" t="s">
        <v>311</v>
      </c>
      <c r="R163" s="21" t="s">
        <v>279</v>
      </c>
      <c r="S163" s="22" t="s">
        <v>187</v>
      </c>
      <c r="T163" s="22" t="s">
        <v>54</v>
      </c>
      <c r="U163" s="23" t="s">
        <v>362</v>
      </c>
      <c r="V163" s="24">
        <v>0.6</v>
      </c>
      <c r="W163" s="25">
        <v>943.80000000000007</v>
      </c>
      <c r="X163" s="26">
        <v>1</v>
      </c>
      <c r="Y163" s="27">
        <v>0</v>
      </c>
      <c r="Z163" s="23">
        <v>4</v>
      </c>
      <c r="AA163" s="28">
        <v>0</v>
      </c>
      <c r="AB163" s="24">
        <v>0</v>
      </c>
      <c r="AC163" s="29">
        <v>0</v>
      </c>
      <c r="AD163" s="30">
        <v>43559</v>
      </c>
      <c r="AE163" s="30">
        <v>43559</v>
      </c>
      <c r="AF163" s="23">
        <v>0</v>
      </c>
      <c r="AG163" s="25" t="s">
        <v>56</v>
      </c>
      <c r="AH163" s="24">
        <v>0</v>
      </c>
      <c r="AI163" s="31">
        <v>0</v>
      </c>
      <c r="AJ163" s="31">
        <v>0</v>
      </c>
      <c r="AK163" s="44">
        <f t="shared" si="4"/>
        <v>943.80000000000007</v>
      </c>
      <c r="AL163" t="e">
        <f>VLOOKUP(A163,'[1]prueba con 16mil datos'!$A$1:$AE$804,31,FALSE)</f>
        <v>#N/A</v>
      </c>
      <c r="AM163" t="e">
        <f t="shared" si="5"/>
        <v>#N/A</v>
      </c>
      <c r="AO163" t="e">
        <f>VLOOKUP(A163,'[1]Prueba con 19mil datos'!$B$1:$AF$1228,31,FALSE)</f>
        <v>#N/A</v>
      </c>
      <c r="AP163" t="s">
        <v>3211</v>
      </c>
      <c r="AQ163" s="48">
        <v>43553.811111111099</v>
      </c>
      <c r="AR163" t="s">
        <v>3209</v>
      </c>
    </row>
    <row r="164" spans="1:44" hidden="1" x14ac:dyDescent="0.25">
      <c r="A164" s="16" t="s">
        <v>2439</v>
      </c>
      <c r="B164" s="15" t="s">
        <v>40</v>
      </c>
      <c r="C164" s="16">
        <v>1</v>
      </c>
      <c r="D164" s="16" t="s">
        <v>967</v>
      </c>
      <c r="E164" s="17" t="s">
        <v>42</v>
      </c>
      <c r="F164" s="18" t="s">
        <v>275</v>
      </c>
      <c r="G164" s="18" t="s">
        <v>968</v>
      </c>
      <c r="H164" s="16" t="s">
        <v>61</v>
      </c>
      <c r="I164" s="19" t="s">
        <v>3</v>
      </c>
      <c r="J164" s="16" t="s">
        <v>12</v>
      </c>
      <c r="K164" s="20" t="s">
        <v>126</v>
      </c>
      <c r="L164" s="20" t="s">
        <v>970</v>
      </c>
      <c r="M164" s="16" t="s">
        <v>64</v>
      </c>
      <c r="N164" s="16">
        <v>0</v>
      </c>
      <c r="O164" s="16" t="s">
        <v>50</v>
      </c>
      <c r="P164" s="20">
        <v>12</v>
      </c>
      <c r="Q164" s="20" t="s">
        <v>65</v>
      </c>
      <c r="R164" s="21" t="s">
        <v>279</v>
      </c>
      <c r="S164" s="22" t="s">
        <v>187</v>
      </c>
      <c r="T164" s="22" t="s">
        <v>54</v>
      </c>
      <c r="U164" s="23" t="s">
        <v>201</v>
      </c>
      <c r="V164" s="24">
        <v>0.8</v>
      </c>
      <c r="W164" s="25">
        <v>1258.4000000000003</v>
      </c>
      <c r="X164" s="26">
        <v>1</v>
      </c>
      <c r="Y164" s="27">
        <v>2.27</v>
      </c>
      <c r="Z164" s="23">
        <v>4</v>
      </c>
      <c r="AA164" s="28">
        <v>0.5675</v>
      </c>
      <c r="AB164" s="24">
        <v>0</v>
      </c>
      <c r="AC164" s="29">
        <v>0</v>
      </c>
      <c r="AD164" s="30">
        <v>43559</v>
      </c>
      <c r="AE164" s="30">
        <v>43559</v>
      </c>
      <c r="AF164" s="23">
        <v>0</v>
      </c>
      <c r="AG164" s="25" t="s">
        <v>56</v>
      </c>
      <c r="AH164" s="24">
        <v>0</v>
      </c>
      <c r="AI164" s="31">
        <v>0</v>
      </c>
      <c r="AJ164" s="31">
        <v>0</v>
      </c>
      <c r="AK164" s="44">
        <f t="shared" si="4"/>
        <v>1258.4000000000003</v>
      </c>
      <c r="AL164">
        <f>VLOOKUP(A164,'[1]prueba con 16mil datos'!$A$1:$AE$804,31,FALSE)</f>
        <v>750.75</v>
      </c>
      <c r="AM164">
        <f t="shared" si="5"/>
        <v>0</v>
      </c>
      <c r="AO164">
        <f>VLOOKUP(A164,'[1]Prueba con 19mil datos'!$B$1:$AF$1228,31,FALSE)</f>
        <v>750.75</v>
      </c>
    </row>
    <row r="165" spans="1:44" hidden="1" x14ac:dyDescent="0.25">
      <c r="A165" s="16" t="s">
        <v>1475</v>
      </c>
      <c r="B165" s="15" t="s">
        <v>40</v>
      </c>
      <c r="C165" s="16">
        <v>1</v>
      </c>
      <c r="D165" s="16" t="s">
        <v>868</v>
      </c>
      <c r="E165" s="17" t="s">
        <v>42</v>
      </c>
      <c r="F165" s="18" t="s">
        <v>275</v>
      </c>
      <c r="G165" s="18" t="s">
        <v>869</v>
      </c>
      <c r="H165" s="16" t="s">
        <v>61</v>
      </c>
      <c r="I165" s="19" t="s">
        <v>3</v>
      </c>
      <c r="J165" s="16" t="s">
        <v>12</v>
      </c>
      <c r="K165" s="20" t="s">
        <v>126</v>
      </c>
      <c r="L165" s="20" t="s">
        <v>871</v>
      </c>
      <c r="M165" s="16" t="s">
        <v>118</v>
      </c>
      <c r="N165" s="16">
        <v>0</v>
      </c>
      <c r="O165" s="16" t="s">
        <v>50</v>
      </c>
      <c r="P165" s="20">
        <v>63</v>
      </c>
      <c r="Q165" s="20" t="s">
        <v>51</v>
      </c>
      <c r="R165" s="21" t="s">
        <v>279</v>
      </c>
      <c r="S165" s="22" t="s">
        <v>187</v>
      </c>
      <c r="T165" s="22" t="s">
        <v>54</v>
      </c>
      <c r="U165" s="23" t="s">
        <v>550</v>
      </c>
      <c r="V165" s="24">
        <v>1.1499999999999999</v>
      </c>
      <c r="W165" s="25">
        <v>1808.95</v>
      </c>
      <c r="X165" s="26">
        <v>1</v>
      </c>
      <c r="Y165" s="27">
        <v>3.47</v>
      </c>
      <c r="Z165" s="23">
        <v>4</v>
      </c>
      <c r="AA165" s="28">
        <v>0.86750000000000005</v>
      </c>
      <c r="AB165" s="24">
        <v>0</v>
      </c>
      <c r="AC165" s="29">
        <v>0</v>
      </c>
      <c r="AD165" s="30">
        <v>43559</v>
      </c>
      <c r="AE165" s="30">
        <v>43559</v>
      </c>
      <c r="AF165" s="23">
        <v>0</v>
      </c>
      <c r="AG165" s="25" t="s">
        <v>56</v>
      </c>
      <c r="AH165" s="24">
        <v>0</v>
      </c>
      <c r="AI165" s="31">
        <v>0</v>
      </c>
      <c r="AJ165" s="31">
        <v>0</v>
      </c>
      <c r="AK165" s="44">
        <f t="shared" si="4"/>
        <v>1808.95</v>
      </c>
      <c r="AL165" t="e">
        <f>VLOOKUP(A165,'[1]prueba con 16mil datos'!$A$1:$AE$804,31,FALSE)</f>
        <v>#N/A</v>
      </c>
      <c r="AM165" t="e">
        <f t="shared" si="5"/>
        <v>#N/A</v>
      </c>
      <c r="AO165">
        <f>VLOOKUP(A165,'[1]Prueba con 19mil datos'!$B$1:$AF$1228,31,FALSE)</f>
        <v>0</v>
      </c>
    </row>
    <row r="166" spans="1:44" hidden="1" x14ac:dyDescent="0.25">
      <c r="A166" s="16" t="s">
        <v>1708</v>
      </c>
      <c r="B166" s="15" t="s">
        <v>40</v>
      </c>
      <c r="C166" s="16">
        <v>1</v>
      </c>
      <c r="D166" s="16" t="s">
        <v>943</v>
      </c>
      <c r="E166" s="17" t="s">
        <v>42</v>
      </c>
      <c r="F166" s="18" t="s">
        <v>70</v>
      </c>
      <c r="G166" s="18" t="s">
        <v>944</v>
      </c>
      <c r="H166" s="16" t="s">
        <v>264</v>
      </c>
      <c r="I166" s="19" t="s">
        <v>3</v>
      </c>
      <c r="J166" s="16" t="s">
        <v>12</v>
      </c>
      <c r="K166" s="20" t="s">
        <v>74</v>
      </c>
      <c r="L166" s="20" t="s">
        <v>946</v>
      </c>
      <c r="M166" s="16" t="s">
        <v>267</v>
      </c>
      <c r="N166" s="16">
        <v>0</v>
      </c>
      <c r="O166" s="16" t="s">
        <v>50</v>
      </c>
      <c r="P166" s="20">
        <v>352</v>
      </c>
      <c r="Q166" s="20" t="s">
        <v>51</v>
      </c>
      <c r="R166" s="21" t="s">
        <v>77</v>
      </c>
      <c r="S166" s="22" t="s">
        <v>53</v>
      </c>
      <c r="T166" s="22" t="s">
        <v>54</v>
      </c>
      <c r="U166" s="23" t="s">
        <v>55</v>
      </c>
      <c r="V166" s="24">
        <v>1.05</v>
      </c>
      <c r="W166" s="25">
        <v>750.75000000000011</v>
      </c>
      <c r="X166" s="26">
        <v>1</v>
      </c>
      <c r="Y166" s="27">
        <v>0</v>
      </c>
      <c r="Z166" s="23">
        <v>5</v>
      </c>
      <c r="AA166" s="28">
        <v>0</v>
      </c>
      <c r="AB166" s="24">
        <v>0</v>
      </c>
      <c r="AC166" s="29">
        <v>0</v>
      </c>
      <c r="AD166" s="30">
        <v>43559</v>
      </c>
      <c r="AE166" s="30">
        <v>43559</v>
      </c>
      <c r="AF166" s="23">
        <v>0</v>
      </c>
      <c r="AG166" s="25" t="s">
        <v>56</v>
      </c>
      <c r="AH166" s="24">
        <v>0</v>
      </c>
      <c r="AI166" s="31">
        <v>0</v>
      </c>
      <c r="AJ166" s="31">
        <v>0</v>
      </c>
      <c r="AK166" s="44">
        <f t="shared" si="4"/>
        <v>750.75000000000011</v>
      </c>
      <c r="AL166" t="e">
        <f>VLOOKUP(A166,'[1]prueba con 16mil datos'!$A$1:$AE$804,31,FALSE)</f>
        <v>#N/A</v>
      </c>
      <c r="AM166" t="e">
        <f t="shared" si="5"/>
        <v>#N/A</v>
      </c>
      <c r="AO166">
        <f>VLOOKUP(A166,'[1]Prueba con 19mil datos'!$B$1:$AF$1228,31,FALSE)</f>
        <v>0</v>
      </c>
    </row>
    <row r="167" spans="1:44" hidden="1" x14ac:dyDescent="0.25">
      <c r="A167" s="16" t="s">
        <v>1288</v>
      </c>
      <c r="B167" s="15" t="s">
        <v>40</v>
      </c>
      <c r="C167" s="16">
        <v>1</v>
      </c>
      <c r="D167" s="16" t="s">
        <v>844</v>
      </c>
      <c r="E167" s="17" t="s">
        <v>42</v>
      </c>
      <c r="F167" s="18" t="s">
        <v>845</v>
      </c>
      <c r="G167" s="18" t="s">
        <v>846</v>
      </c>
      <c r="H167" s="16" t="s">
        <v>346</v>
      </c>
      <c r="I167" s="19" t="s">
        <v>3</v>
      </c>
      <c r="J167" s="16" t="s">
        <v>12</v>
      </c>
      <c r="K167" s="20" t="s">
        <v>848</v>
      </c>
      <c r="L167" s="20" t="s">
        <v>849</v>
      </c>
      <c r="M167" s="16" t="s">
        <v>850</v>
      </c>
      <c r="N167" s="16">
        <v>0</v>
      </c>
      <c r="O167" s="16" t="s">
        <v>50</v>
      </c>
      <c r="P167" s="20">
        <v>117</v>
      </c>
      <c r="Q167" s="20" t="s">
        <v>51</v>
      </c>
      <c r="R167" s="21" t="s">
        <v>851</v>
      </c>
      <c r="S167" s="22" t="s">
        <v>53</v>
      </c>
      <c r="T167" s="22" t="s">
        <v>54</v>
      </c>
      <c r="U167" s="23" t="s">
        <v>55</v>
      </c>
      <c r="V167" s="24">
        <v>1.05</v>
      </c>
      <c r="W167" s="25">
        <v>750.75000000000011</v>
      </c>
      <c r="X167" s="26">
        <v>1</v>
      </c>
      <c r="Y167" s="27">
        <v>1.5</v>
      </c>
      <c r="Z167" s="23">
        <v>5</v>
      </c>
      <c r="AA167" s="28">
        <v>0.3</v>
      </c>
      <c r="AB167" s="24">
        <v>0</v>
      </c>
      <c r="AC167" s="29">
        <v>0</v>
      </c>
      <c r="AD167" s="30">
        <v>43559</v>
      </c>
      <c r="AE167" s="30">
        <v>43559</v>
      </c>
      <c r="AF167" s="23">
        <v>0</v>
      </c>
      <c r="AG167" s="25" t="s">
        <v>56</v>
      </c>
      <c r="AH167" s="24">
        <v>0</v>
      </c>
      <c r="AI167" s="31">
        <v>0</v>
      </c>
      <c r="AJ167" s="31">
        <v>0</v>
      </c>
      <c r="AK167" s="44">
        <f t="shared" si="4"/>
        <v>750.75000000000011</v>
      </c>
      <c r="AL167">
        <f>VLOOKUP(A167,'[1]prueba con 16mil datos'!$A$1:$AE$804,31,FALSE)</f>
        <v>750.75</v>
      </c>
      <c r="AM167">
        <f t="shared" si="5"/>
        <v>1</v>
      </c>
      <c r="AO167">
        <f>VLOOKUP(A167,'[1]Prueba con 19mil datos'!$B$1:$AF$1228,31,FALSE)</f>
        <v>750.75</v>
      </c>
    </row>
    <row r="168" spans="1:44" hidden="1" x14ac:dyDescent="0.25">
      <c r="A168" s="16" t="s">
        <v>1288</v>
      </c>
      <c r="B168" s="15" t="s">
        <v>40</v>
      </c>
      <c r="C168" s="16">
        <v>1</v>
      </c>
      <c r="D168" s="16" t="s">
        <v>834</v>
      </c>
      <c r="E168" s="17" t="s">
        <v>42</v>
      </c>
      <c r="F168" s="18" t="s">
        <v>180</v>
      </c>
      <c r="G168" s="18" t="s">
        <v>835</v>
      </c>
      <c r="H168" s="16" t="s">
        <v>192</v>
      </c>
      <c r="I168" s="19" t="s">
        <v>3</v>
      </c>
      <c r="J168" s="16" t="s">
        <v>12</v>
      </c>
      <c r="K168" s="20" t="s">
        <v>126</v>
      </c>
      <c r="L168" s="20" t="s">
        <v>837</v>
      </c>
      <c r="M168" s="16" t="s">
        <v>526</v>
      </c>
      <c r="N168" s="16">
        <v>0</v>
      </c>
      <c r="O168" s="16" t="s">
        <v>50</v>
      </c>
      <c r="P168" s="20">
        <v>22</v>
      </c>
      <c r="Q168" s="20" t="s">
        <v>119</v>
      </c>
      <c r="R168" s="21" t="s">
        <v>186</v>
      </c>
      <c r="S168" s="22" t="s">
        <v>187</v>
      </c>
      <c r="T168" s="22" t="s">
        <v>54</v>
      </c>
      <c r="U168" s="23" t="s">
        <v>269</v>
      </c>
      <c r="V168" s="24">
        <v>1.05</v>
      </c>
      <c r="W168" s="25">
        <v>1651.6500000000003</v>
      </c>
      <c r="X168" s="26">
        <v>1</v>
      </c>
      <c r="Y168" s="27">
        <v>0.56999999999999995</v>
      </c>
      <c r="Z168" s="23">
        <v>4</v>
      </c>
      <c r="AA168" s="28">
        <v>0.14249999999999999</v>
      </c>
      <c r="AB168" s="24">
        <v>0</v>
      </c>
      <c r="AC168" s="29">
        <v>0</v>
      </c>
      <c r="AD168" s="30">
        <v>43559</v>
      </c>
      <c r="AE168" s="30">
        <v>43559</v>
      </c>
      <c r="AF168" s="23">
        <v>0</v>
      </c>
      <c r="AG168" s="25" t="s">
        <v>56</v>
      </c>
      <c r="AH168" s="24">
        <v>0</v>
      </c>
      <c r="AI168" s="31">
        <v>0</v>
      </c>
      <c r="AJ168" s="31">
        <v>0</v>
      </c>
      <c r="AK168" s="44">
        <f t="shared" si="4"/>
        <v>1651.6500000000003</v>
      </c>
      <c r="AL168">
        <f>VLOOKUP(A168,'[1]prueba con 16mil datos'!$A$1:$AE$804,31,FALSE)</f>
        <v>750.75</v>
      </c>
      <c r="AM168">
        <f t="shared" si="5"/>
        <v>0</v>
      </c>
      <c r="AO168">
        <f>VLOOKUP(A168,'[1]Prueba con 19mil datos'!$B$1:$AF$1228,31,FALSE)</f>
        <v>750.75</v>
      </c>
    </row>
    <row r="169" spans="1:44" hidden="1" x14ac:dyDescent="0.25">
      <c r="A169" s="16" t="s">
        <v>2629</v>
      </c>
      <c r="B169" s="15" t="s">
        <v>40</v>
      </c>
      <c r="C169" s="16">
        <v>1</v>
      </c>
      <c r="D169" s="16" t="s">
        <v>1135</v>
      </c>
      <c r="E169" s="17" t="s">
        <v>42</v>
      </c>
      <c r="F169" s="18" t="s">
        <v>180</v>
      </c>
      <c r="G169" s="18" t="s">
        <v>1136</v>
      </c>
      <c r="H169" s="16" t="s">
        <v>331</v>
      </c>
      <c r="I169" s="19" t="s">
        <v>3</v>
      </c>
      <c r="J169" s="16" t="s">
        <v>12</v>
      </c>
      <c r="K169" s="20" t="s">
        <v>198</v>
      </c>
      <c r="L169" s="20" t="s">
        <v>963</v>
      </c>
      <c r="M169" s="16" t="s">
        <v>414</v>
      </c>
      <c r="N169" s="16">
        <v>0</v>
      </c>
      <c r="O169" s="16" t="s">
        <v>50</v>
      </c>
      <c r="P169" s="20">
        <v>210</v>
      </c>
      <c r="Q169" s="20" t="s">
        <v>51</v>
      </c>
      <c r="R169" s="21" t="s">
        <v>186</v>
      </c>
      <c r="S169" s="22" t="s">
        <v>187</v>
      </c>
      <c r="T169" s="22" t="s">
        <v>54</v>
      </c>
      <c r="U169" s="23" t="s">
        <v>550</v>
      </c>
      <c r="V169" s="24">
        <v>1.1499999999999999</v>
      </c>
      <c r="W169" s="25">
        <v>1808.95</v>
      </c>
      <c r="X169" s="26">
        <v>1</v>
      </c>
      <c r="Y169" s="27">
        <v>2.88</v>
      </c>
      <c r="Z169" s="23">
        <v>4</v>
      </c>
      <c r="AA169" s="28">
        <v>0.72</v>
      </c>
      <c r="AB169" s="24">
        <v>0</v>
      </c>
      <c r="AC169" s="29">
        <v>0</v>
      </c>
      <c r="AD169" s="30">
        <v>43559</v>
      </c>
      <c r="AE169" s="30">
        <v>43562</v>
      </c>
      <c r="AF169" s="23">
        <v>1</v>
      </c>
      <c r="AG169" s="25" t="s">
        <v>56</v>
      </c>
      <c r="AH169" s="24">
        <v>0</v>
      </c>
      <c r="AI169" s="31">
        <v>0</v>
      </c>
      <c r="AJ169" s="31">
        <v>0</v>
      </c>
      <c r="AK169" s="44">
        <f t="shared" si="4"/>
        <v>1808.95</v>
      </c>
      <c r="AL169">
        <f>VLOOKUP(A169,'[1]prueba con 16mil datos'!$A$1:$AE$804,31,FALSE)</f>
        <v>750.75</v>
      </c>
      <c r="AM169">
        <f t="shared" si="5"/>
        <v>0</v>
      </c>
      <c r="AO169">
        <f>VLOOKUP(A169,'[1]Prueba con 19mil datos'!$B$1:$AF$1228,31,FALSE)</f>
        <v>750.75</v>
      </c>
    </row>
    <row r="170" spans="1:44" hidden="1" x14ac:dyDescent="0.25">
      <c r="A170" s="16" t="s">
        <v>924</v>
      </c>
      <c r="B170" s="15" t="s">
        <v>40</v>
      </c>
      <c r="C170" s="16">
        <v>1</v>
      </c>
      <c r="D170" s="16" t="s">
        <v>960</v>
      </c>
      <c r="E170" s="17" t="s">
        <v>42</v>
      </c>
      <c r="F170" s="18" t="s">
        <v>180</v>
      </c>
      <c r="G170" s="18" t="s">
        <v>961</v>
      </c>
      <c r="H170" s="16" t="s">
        <v>331</v>
      </c>
      <c r="I170" s="19" t="s">
        <v>3</v>
      </c>
      <c r="J170" s="16" t="s">
        <v>12</v>
      </c>
      <c r="K170" s="20" t="s">
        <v>198</v>
      </c>
      <c r="L170" s="20" t="s">
        <v>963</v>
      </c>
      <c r="M170" s="16" t="s">
        <v>414</v>
      </c>
      <c r="N170" s="16">
        <v>0</v>
      </c>
      <c r="O170" s="16" t="s">
        <v>50</v>
      </c>
      <c r="P170" s="20">
        <v>7</v>
      </c>
      <c r="Q170" s="20" t="s">
        <v>65</v>
      </c>
      <c r="R170" s="21" t="s">
        <v>186</v>
      </c>
      <c r="S170" s="22" t="s">
        <v>187</v>
      </c>
      <c r="T170" s="22" t="s">
        <v>54</v>
      </c>
      <c r="U170" s="23" t="s">
        <v>201</v>
      </c>
      <c r="V170" s="24">
        <v>0.8</v>
      </c>
      <c r="W170" s="25">
        <v>1258.4000000000003</v>
      </c>
      <c r="X170" s="26">
        <v>1</v>
      </c>
      <c r="Y170" s="27">
        <v>2.5</v>
      </c>
      <c r="Z170" s="23">
        <v>4</v>
      </c>
      <c r="AA170" s="28">
        <v>0.625</v>
      </c>
      <c r="AB170" s="24">
        <v>0</v>
      </c>
      <c r="AC170" s="29">
        <v>0</v>
      </c>
      <c r="AD170" s="30">
        <v>43559</v>
      </c>
      <c r="AE170" s="30">
        <v>43559</v>
      </c>
      <c r="AF170" s="23">
        <v>0</v>
      </c>
      <c r="AG170" s="25" t="s">
        <v>56</v>
      </c>
      <c r="AH170" s="24">
        <v>0</v>
      </c>
      <c r="AI170" s="31">
        <v>0</v>
      </c>
      <c r="AJ170" s="31">
        <v>0</v>
      </c>
      <c r="AK170" s="44">
        <f t="shared" si="4"/>
        <v>1258.4000000000003</v>
      </c>
      <c r="AL170">
        <f>VLOOKUP(A170,'[1]prueba con 16mil datos'!$A$1:$AE$804,31,FALSE)</f>
        <v>1501.5</v>
      </c>
      <c r="AM170">
        <f t="shared" si="5"/>
        <v>0</v>
      </c>
      <c r="AO170">
        <f>VLOOKUP(A170,'[1]Prueba con 19mil datos'!$B$1:$AF$1228,31,FALSE)</f>
        <v>1501.5</v>
      </c>
    </row>
    <row r="171" spans="1:44" hidden="1" x14ac:dyDescent="0.25">
      <c r="A171" s="16" t="s">
        <v>3021</v>
      </c>
      <c r="B171" s="15" t="s">
        <v>40</v>
      </c>
      <c r="C171" s="16">
        <v>1</v>
      </c>
      <c r="D171" s="16" t="s">
        <v>804</v>
      </c>
      <c r="E171" s="17" t="s">
        <v>42</v>
      </c>
      <c r="F171" s="18" t="s">
        <v>180</v>
      </c>
      <c r="G171" s="18" t="s">
        <v>805</v>
      </c>
      <c r="H171" s="16" t="s">
        <v>207</v>
      </c>
      <c r="I171" s="19" t="s">
        <v>3</v>
      </c>
      <c r="J171" s="16" t="s">
        <v>12</v>
      </c>
      <c r="K171" s="20" t="s">
        <v>198</v>
      </c>
      <c r="L171" s="20" t="s">
        <v>199</v>
      </c>
      <c r="M171" s="16" t="s">
        <v>200</v>
      </c>
      <c r="N171" s="16">
        <v>0</v>
      </c>
      <c r="O171" s="16" t="s">
        <v>50</v>
      </c>
      <c r="P171" s="20">
        <v>6</v>
      </c>
      <c r="Q171" s="20" t="s">
        <v>311</v>
      </c>
      <c r="R171" s="21" t="s">
        <v>186</v>
      </c>
      <c r="S171" s="22" t="s">
        <v>187</v>
      </c>
      <c r="T171" s="22" t="s">
        <v>54</v>
      </c>
      <c r="U171" s="23" t="s">
        <v>362</v>
      </c>
      <c r="V171" s="24">
        <v>0.6</v>
      </c>
      <c r="W171" s="25">
        <v>943.80000000000007</v>
      </c>
      <c r="X171" s="26">
        <v>1</v>
      </c>
      <c r="Y171" s="27">
        <v>0.57999999999999996</v>
      </c>
      <c r="Z171" s="23">
        <v>4</v>
      </c>
      <c r="AA171" s="28">
        <v>0.14499999999999999</v>
      </c>
      <c r="AB171" s="24">
        <v>0</v>
      </c>
      <c r="AC171" s="29">
        <v>0</v>
      </c>
      <c r="AD171" s="30">
        <v>43559</v>
      </c>
      <c r="AE171" s="30">
        <v>43559</v>
      </c>
      <c r="AF171" s="23">
        <v>0</v>
      </c>
      <c r="AG171" s="25" t="s">
        <v>56</v>
      </c>
      <c r="AH171" s="24">
        <v>0</v>
      </c>
      <c r="AI171" s="31">
        <v>0</v>
      </c>
      <c r="AJ171" s="31">
        <v>0</v>
      </c>
      <c r="AK171" s="44">
        <f t="shared" si="4"/>
        <v>943.80000000000007</v>
      </c>
      <c r="AL171">
        <f>VLOOKUP(A171,'[1]prueba con 16mil datos'!$A$1:$AE$804,31,FALSE)</f>
        <v>1501.5</v>
      </c>
      <c r="AM171">
        <f t="shared" si="5"/>
        <v>0</v>
      </c>
      <c r="AO171">
        <f>VLOOKUP(A171,'[1]Prueba con 19mil datos'!$B$1:$AF$1228,31,FALSE)</f>
        <v>1501.5</v>
      </c>
    </row>
    <row r="172" spans="1:44" hidden="1" x14ac:dyDescent="0.25">
      <c r="A172" s="16" t="s">
        <v>510</v>
      </c>
      <c r="B172" s="15" t="s">
        <v>40</v>
      </c>
      <c r="C172" s="16">
        <v>1</v>
      </c>
      <c r="D172" s="16" t="s">
        <v>881</v>
      </c>
      <c r="E172" s="17" t="s">
        <v>42</v>
      </c>
      <c r="F172" s="18" t="s">
        <v>122</v>
      </c>
      <c r="G172" s="18" t="s">
        <v>882</v>
      </c>
      <c r="H172" s="16" t="s">
        <v>660</v>
      </c>
      <c r="I172" s="19" t="s">
        <v>3</v>
      </c>
      <c r="J172" s="16" t="s">
        <v>12</v>
      </c>
      <c r="K172" s="20" t="s">
        <v>198</v>
      </c>
      <c r="L172" s="20" t="s">
        <v>860</v>
      </c>
      <c r="M172" s="16" t="s">
        <v>429</v>
      </c>
      <c r="N172" s="16">
        <v>0</v>
      </c>
      <c r="O172" s="16" t="s">
        <v>50</v>
      </c>
      <c r="P172" s="20">
        <v>12</v>
      </c>
      <c r="Q172" s="20" t="s">
        <v>65</v>
      </c>
      <c r="R172" s="21" t="s">
        <v>129</v>
      </c>
      <c r="S172" s="22" t="s">
        <v>130</v>
      </c>
      <c r="T172" s="22" t="s">
        <v>54</v>
      </c>
      <c r="U172" s="23" t="s">
        <v>131</v>
      </c>
      <c r="V172" s="24">
        <v>0.6</v>
      </c>
      <c r="W172" s="25">
        <v>819</v>
      </c>
      <c r="X172" s="26">
        <v>1</v>
      </c>
      <c r="Y172" s="27">
        <v>1.4</v>
      </c>
      <c r="Z172" s="23">
        <v>5</v>
      </c>
      <c r="AA172" s="28">
        <v>0.27999999999999997</v>
      </c>
      <c r="AB172" s="24">
        <v>0</v>
      </c>
      <c r="AC172" s="29">
        <v>0</v>
      </c>
      <c r="AD172" s="30">
        <v>43559</v>
      </c>
      <c r="AE172" s="30">
        <v>43559</v>
      </c>
      <c r="AF172" s="23">
        <v>0</v>
      </c>
      <c r="AG172" s="25" t="s">
        <v>56</v>
      </c>
      <c r="AH172" s="24">
        <v>0</v>
      </c>
      <c r="AI172" s="31">
        <v>0</v>
      </c>
      <c r="AJ172" s="31">
        <v>0</v>
      </c>
      <c r="AK172" s="44">
        <f t="shared" si="4"/>
        <v>819</v>
      </c>
      <c r="AL172">
        <f>VLOOKUP(A172,'[1]prueba con 16mil datos'!$A$1:$AE$804,31,FALSE)</f>
        <v>1501.5</v>
      </c>
      <c r="AM172">
        <f t="shared" si="5"/>
        <v>0</v>
      </c>
      <c r="AO172">
        <f>VLOOKUP(A172,'[1]Prueba con 19mil datos'!$B$1:$AF$1228,31,FALSE)</f>
        <v>1501.5</v>
      </c>
    </row>
    <row r="173" spans="1:44" hidden="1" x14ac:dyDescent="0.25">
      <c r="A173" s="16" t="s">
        <v>3073</v>
      </c>
      <c r="B173" s="15" t="s">
        <v>40</v>
      </c>
      <c r="C173" s="16">
        <v>1</v>
      </c>
      <c r="D173" s="16" t="s">
        <v>872</v>
      </c>
      <c r="E173" s="17" t="s">
        <v>42</v>
      </c>
      <c r="F173" s="18" t="s">
        <v>122</v>
      </c>
      <c r="G173" s="18" t="s">
        <v>873</v>
      </c>
      <c r="H173" s="16" t="s">
        <v>73</v>
      </c>
      <c r="I173" s="19" t="s">
        <v>3</v>
      </c>
      <c r="J173" s="16" t="s">
        <v>12</v>
      </c>
      <c r="K173" s="20" t="s">
        <v>198</v>
      </c>
      <c r="L173" s="20" t="s">
        <v>394</v>
      </c>
      <c r="M173" s="16" t="s">
        <v>76</v>
      </c>
      <c r="N173" s="16">
        <v>0</v>
      </c>
      <c r="O173" s="16" t="s">
        <v>50</v>
      </c>
      <c r="P173" s="20">
        <v>28</v>
      </c>
      <c r="Q173" s="20" t="s">
        <v>119</v>
      </c>
      <c r="R173" s="21" t="s">
        <v>129</v>
      </c>
      <c r="S173" s="22" t="s">
        <v>130</v>
      </c>
      <c r="T173" s="22" t="s">
        <v>54</v>
      </c>
      <c r="U173" s="23" t="s">
        <v>164</v>
      </c>
      <c r="V173" s="24">
        <v>0.8</v>
      </c>
      <c r="W173" s="25">
        <v>1092</v>
      </c>
      <c r="X173" s="26">
        <v>1</v>
      </c>
      <c r="Y173" s="27">
        <v>0.62</v>
      </c>
      <c r="Z173" s="23">
        <v>5</v>
      </c>
      <c r="AA173" s="28">
        <v>0.124</v>
      </c>
      <c r="AB173" s="24">
        <v>0</v>
      </c>
      <c r="AC173" s="29">
        <v>0</v>
      </c>
      <c r="AD173" s="30">
        <v>43559</v>
      </c>
      <c r="AE173" s="30">
        <v>43559</v>
      </c>
      <c r="AF173" s="23">
        <v>0</v>
      </c>
      <c r="AG173" s="25" t="s">
        <v>56</v>
      </c>
      <c r="AH173" s="24">
        <v>0</v>
      </c>
      <c r="AI173" s="31">
        <v>0</v>
      </c>
      <c r="AJ173" s="31">
        <v>0</v>
      </c>
      <c r="AK173" s="44">
        <f t="shared" si="4"/>
        <v>1092</v>
      </c>
      <c r="AL173" t="e">
        <f>VLOOKUP(A173,'[1]prueba con 16mil datos'!$A$1:$AE$804,31,FALSE)</f>
        <v>#N/A</v>
      </c>
      <c r="AM173" t="e">
        <f t="shared" si="5"/>
        <v>#N/A</v>
      </c>
      <c r="AO173">
        <f>VLOOKUP(A173,'[1]Prueba con 19mil datos'!$B$1:$AF$1228,31,FALSE)</f>
        <v>0</v>
      </c>
    </row>
    <row r="174" spans="1:44" hidden="1" x14ac:dyDescent="0.25">
      <c r="A174" s="16" t="s">
        <v>2679</v>
      </c>
      <c r="B174" s="15" t="s">
        <v>40</v>
      </c>
      <c r="C174" s="16">
        <v>1</v>
      </c>
      <c r="D174" s="16" t="s">
        <v>892</v>
      </c>
      <c r="E174" s="17" t="s">
        <v>42</v>
      </c>
      <c r="F174" s="18" t="s">
        <v>122</v>
      </c>
      <c r="G174" s="18" t="s">
        <v>893</v>
      </c>
      <c r="H174" s="16" t="s">
        <v>821</v>
      </c>
      <c r="I174" s="19" t="s">
        <v>3</v>
      </c>
      <c r="J174" s="16" t="s">
        <v>12</v>
      </c>
      <c r="K174" s="20" t="s">
        <v>895</v>
      </c>
      <c r="L174" s="20" t="s">
        <v>896</v>
      </c>
      <c r="M174" s="16" t="s">
        <v>823</v>
      </c>
      <c r="N174" s="16">
        <v>0</v>
      </c>
      <c r="O174" s="16" t="s">
        <v>50</v>
      </c>
      <c r="P174" s="20">
        <v>51</v>
      </c>
      <c r="Q174" s="20" t="s">
        <v>86</v>
      </c>
      <c r="R174" s="21" t="s">
        <v>129</v>
      </c>
      <c r="S174" s="22" t="s">
        <v>130</v>
      </c>
      <c r="T174" s="22" t="s">
        <v>54</v>
      </c>
      <c r="U174" s="23" t="s">
        <v>178</v>
      </c>
      <c r="V174" s="24">
        <v>1.05</v>
      </c>
      <c r="W174" s="25">
        <v>1433.25</v>
      </c>
      <c r="X174" s="26">
        <v>1</v>
      </c>
      <c r="Y174" s="27">
        <v>1.96</v>
      </c>
      <c r="Z174" s="23">
        <v>5</v>
      </c>
      <c r="AA174" s="28">
        <v>0.39200000000000002</v>
      </c>
      <c r="AB174" s="24">
        <v>0</v>
      </c>
      <c r="AC174" s="29">
        <v>0</v>
      </c>
      <c r="AD174" s="30">
        <v>43559</v>
      </c>
      <c r="AE174" s="30">
        <v>43559</v>
      </c>
      <c r="AF174" s="23">
        <v>0</v>
      </c>
      <c r="AG174" s="25" t="s">
        <v>56</v>
      </c>
      <c r="AH174" s="24">
        <v>0</v>
      </c>
      <c r="AI174" s="31">
        <v>0</v>
      </c>
      <c r="AJ174" s="31">
        <v>0</v>
      </c>
      <c r="AK174" s="44">
        <f t="shared" si="4"/>
        <v>1433.25</v>
      </c>
      <c r="AL174">
        <f>VLOOKUP(A174,'[1]prueba con 16mil datos'!$A$1:$AE$804,31,FALSE)</f>
        <v>1501.5</v>
      </c>
      <c r="AM174">
        <f t="shared" si="5"/>
        <v>0</v>
      </c>
      <c r="AO174">
        <f>VLOOKUP(A174,'[1]Prueba con 19mil datos'!$B$1:$AF$1228,31,FALSE)</f>
        <v>1501.5</v>
      </c>
    </row>
    <row r="175" spans="1:44" hidden="1" x14ac:dyDescent="0.25">
      <c r="A175" s="16" t="s">
        <v>1705</v>
      </c>
      <c r="B175" s="15" t="s">
        <v>40</v>
      </c>
      <c r="C175" s="16">
        <v>1</v>
      </c>
      <c r="D175" s="16" t="s">
        <v>964</v>
      </c>
      <c r="E175" s="17" t="s">
        <v>42</v>
      </c>
      <c r="F175" s="18" t="s">
        <v>122</v>
      </c>
      <c r="G175" s="18" t="s">
        <v>965</v>
      </c>
      <c r="H175" s="16" t="s">
        <v>331</v>
      </c>
      <c r="I175" s="19" t="s">
        <v>3</v>
      </c>
      <c r="J175" s="16" t="s">
        <v>12</v>
      </c>
      <c r="K175" s="20" t="s">
        <v>198</v>
      </c>
      <c r="L175" s="20" t="s">
        <v>963</v>
      </c>
      <c r="M175" s="16" t="s">
        <v>414</v>
      </c>
      <c r="N175" s="16">
        <v>0</v>
      </c>
      <c r="O175" s="16" t="s">
        <v>50</v>
      </c>
      <c r="P175" s="20">
        <v>75</v>
      </c>
      <c r="Q175" s="20" t="s">
        <v>51</v>
      </c>
      <c r="R175" s="21" t="s">
        <v>129</v>
      </c>
      <c r="S175" s="22" t="s">
        <v>130</v>
      </c>
      <c r="T175" s="22" t="s">
        <v>54</v>
      </c>
      <c r="U175" s="23" t="s">
        <v>226</v>
      </c>
      <c r="V175" s="24">
        <v>1.1000000000000001</v>
      </c>
      <c r="W175" s="25">
        <v>1501.5000000000002</v>
      </c>
      <c r="X175" s="26">
        <v>1</v>
      </c>
      <c r="Y175" s="27">
        <v>1.33</v>
      </c>
      <c r="Z175" s="23">
        <v>5</v>
      </c>
      <c r="AA175" s="28">
        <v>0.26600000000000001</v>
      </c>
      <c r="AB175" s="24">
        <v>0</v>
      </c>
      <c r="AC175" s="29">
        <v>0</v>
      </c>
      <c r="AD175" s="30">
        <v>43559</v>
      </c>
      <c r="AE175" s="30">
        <v>43559</v>
      </c>
      <c r="AF175" s="23">
        <v>0</v>
      </c>
      <c r="AG175" s="25" t="s">
        <v>56</v>
      </c>
      <c r="AH175" s="24">
        <v>0</v>
      </c>
      <c r="AI175" s="31">
        <v>0</v>
      </c>
      <c r="AJ175" s="31">
        <v>0</v>
      </c>
      <c r="AK175" s="44">
        <f t="shared" si="4"/>
        <v>1501.5000000000002</v>
      </c>
      <c r="AL175">
        <f>VLOOKUP(A175,'[1]prueba con 16mil datos'!$A$1:$AE$804,31,FALSE)</f>
        <v>1433.25</v>
      </c>
      <c r="AM175">
        <f t="shared" si="5"/>
        <v>0</v>
      </c>
      <c r="AO175">
        <f>VLOOKUP(A175,'[1]Prueba con 19mil datos'!$B$1:$AF$1228,31,FALSE)</f>
        <v>1433.25</v>
      </c>
    </row>
    <row r="176" spans="1:44" hidden="1" x14ac:dyDescent="0.25">
      <c r="A176" s="16" t="s">
        <v>3170</v>
      </c>
      <c r="B176" s="15" t="s">
        <v>40</v>
      </c>
      <c r="C176" s="16">
        <v>1</v>
      </c>
      <c r="D176" s="16" t="s">
        <v>841</v>
      </c>
      <c r="E176" s="17" t="s">
        <v>42</v>
      </c>
      <c r="F176" s="18" t="s">
        <v>122</v>
      </c>
      <c r="G176" s="18" t="s">
        <v>842</v>
      </c>
      <c r="H176" s="16" t="s">
        <v>82</v>
      </c>
      <c r="I176" s="19" t="s">
        <v>3</v>
      </c>
      <c r="J176" s="16" t="s">
        <v>12</v>
      </c>
      <c r="K176" s="20" t="s">
        <v>83</v>
      </c>
      <c r="L176" s="20" t="s">
        <v>84</v>
      </c>
      <c r="M176" s="16" t="s">
        <v>85</v>
      </c>
      <c r="N176" s="16">
        <v>0</v>
      </c>
      <c r="O176" s="16" t="s">
        <v>50</v>
      </c>
      <c r="P176" s="20">
        <v>9</v>
      </c>
      <c r="Q176" s="20" t="s">
        <v>65</v>
      </c>
      <c r="R176" s="21" t="s">
        <v>129</v>
      </c>
      <c r="S176" s="22" t="s">
        <v>130</v>
      </c>
      <c r="T176" s="22" t="s">
        <v>54</v>
      </c>
      <c r="U176" s="23" t="s">
        <v>131</v>
      </c>
      <c r="V176" s="24">
        <v>0.6</v>
      </c>
      <c r="W176" s="25">
        <v>819</v>
      </c>
      <c r="X176" s="26">
        <v>1</v>
      </c>
      <c r="Y176" s="27">
        <v>0.46</v>
      </c>
      <c r="Z176" s="23">
        <v>5</v>
      </c>
      <c r="AA176" s="28">
        <v>9.1999999999999998E-2</v>
      </c>
      <c r="AB176" s="24">
        <v>0</v>
      </c>
      <c r="AC176" s="29">
        <v>0</v>
      </c>
      <c r="AD176" s="30">
        <v>43559</v>
      </c>
      <c r="AE176" s="30">
        <v>43559</v>
      </c>
      <c r="AF176" s="23">
        <v>0</v>
      </c>
      <c r="AG176" s="25" t="s">
        <v>56</v>
      </c>
      <c r="AH176" s="24">
        <v>0</v>
      </c>
      <c r="AI176" s="31">
        <v>0</v>
      </c>
      <c r="AJ176" s="31">
        <v>0</v>
      </c>
      <c r="AK176" s="44">
        <f t="shared" si="4"/>
        <v>819</v>
      </c>
      <c r="AL176" t="e">
        <f>VLOOKUP(A176,'[1]prueba con 16mil datos'!$A$1:$AE$804,31,FALSE)</f>
        <v>#N/A</v>
      </c>
      <c r="AM176" t="e">
        <f t="shared" si="5"/>
        <v>#N/A</v>
      </c>
      <c r="AO176">
        <f>VLOOKUP(A176,'[1]Prueba con 19mil datos'!$B$1:$AF$1228,31,FALSE)</f>
        <v>0</v>
      </c>
    </row>
    <row r="177" spans="1:41" hidden="1" x14ac:dyDescent="0.25">
      <c r="A177" s="16" t="s">
        <v>2305</v>
      </c>
      <c r="B177" s="15" t="s">
        <v>40</v>
      </c>
      <c r="C177" s="16">
        <v>1</v>
      </c>
      <c r="D177" s="16" t="s">
        <v>818</v>
      </c>
      <c r="E177" s="17" t="s">
        <v>42</v>
      </c>
      <c r="F177" s="18" t="s">
        <v>122</v>
      </c>
      <c r="G177" s="18" t="s">
        <v>819</v>
      </c>
      <c r="H177" s="16" t="s">
        <v>821</v>
      </c>
      <c r="I177" s="19" t="s">
        <v>3</v>
      </c>
      <c r="J177" s="16" t="s">
        <v>12</v>
      </c>
      <c r="K177" s="20" t="s">
        <v>198</v>
      </c>
      <c r="L177" s="20" t="s">
        <v>822</v>
      </c>
      <c r="M177" s="16" t="s">
        <v>823</v>
      </c>
      <c r="N177" s="16">
        <v>0</v>
      </c>
      <c r="O177" s="16" t="s">
        <v>50</v>
      </c>
      <c r="P177" s="20">
        <v>14</v>
      </c>
      <c r="Q177" s="20" t="s">
        <v>65</v>
      </c>
      <c r="R177" s="21" t="s">
        <v>129</v>
      </c>
      <c r="S177" s="22" t="s">
        <v>130</v>
      </c>
      <c r="T177" s="22" t="s">
        <v>54</v>
      </c>
      <c r="U177" s="23" t="s">
        <v>131</v>
      </c>
      <c r="V177" s="24">
        <v>0.6</v>
      </c>
      <c r="W177" s="25">
        <v>819</v>
      </c>
      <c r="X177" s="26">
        <v>1</v>
      </c>
      <c r="Y177" s="27">
        <v>2</v>
      </c>
      <c r="Z177" s="23">
        <v>5</v>
      </c>
      <c r="AA177" s="28">
        <v>0.4</v>
      </c>
      <c r="AB177" s="24">
        <v>0</v>
      </c>
      <c r="AC177" s="29">
        <v>0</v>
      </c>
      <c r="AD177" s="30">
        <v>43559</v>
      </c>
      <c r="AE177" s="30">
        <v>43559</v>
      </c>
      <c r="AF177" s="23">
        <v>0</v>
      </c>
      <c r="AG177" s="25" t="s">
        <v>56</v>
      </c>
      <c r="AH177" s="24">
        <v>0</v>
      </c>
      <c r="AI177" s="31">
        <v>0</v>
      </c>
      <c r="AJ177" s="31">
        <v>0</v>
      </c>
      <c r="AK177" s="44">
        <f t="shared" si="4"/>
        <v>819</v>
      </c>
      <c r="AL177" t="e">
        <f>VLOOKUP(A177,'[1]prueba con 16mil datos'!$A$1:$AE$804,31,FALSE)</f>
        <v>#N/A</v>
      </c>
      <c r="AM177" t="e">
        <f t="shared" si="5"/>
        <v>#N/A</v>
      </c>
      <c r="AO177">
        <f>VLOOKUP(A177,'[1]Prueba con 19mil datos'!$B$1:$AF$1228,31,FALSE)</f>
        <v>0</v>
      </c>
    </row>
    <row r="178" spans="1:41" hidden="1" x14ac:dyDescent="0.25">
      <c r="A178" s="16" t="s">
        <v>2228</v>
      </c>
      <c r="B178" s="15" t="s">
        <v>40</v>
      </c>
      <c r="C178" s="16">
        <v>1</v>
      </c>
      <c r="D178" s="16" t="s">
        <v>937</v>
      </c>
      <c r="E178" s="17" t="s">
        <v>42</v>
      </c>
      <c r="F178" s="18" t="s">
        <v>938</v>
      </c>
      <c r="G178" s="18" t="s">
        <v>939</v>
      </c>
      <c r="H178" s="16" t="s">
        <v>61</v>
      </c>
      <c r="I178" s="19" t="s">
        <v>3</v>
      </c>
      <c r="J178" s="16" t="s">
        <v>12</v>
      </c>
      <c r="K178" s="20" t="s">
        <v>126</v>
      </c>
      <c r="L178" s="20" t="s">
        <v>941</v>
      </c>
      <c r="M178" s="16" t="s">
        <v>942</v>
      </c>
      <c r="N178" s="16">
        <v>0</v>
      </c>
      <c r="O178" s="16" t="s">
        <v>50</v>
      </c>
      <c r="P178" s="20">
        <v>7</v>
      </c>
      <c r="Q178" s="20" t="s">
        <v>65</v>
      </c>
      <c r="R178" s="21" t="s">
        <v>279</v>
      </c>
      <c r="S178" s="22" t="s">
        <v>187</v>
      </c>
      <c r="T178" s="22" t="s">
        <v>157</v>
      </c>
      <c r="U178" s="23" t="s">
        <v>201</v>
      </c>
      <c r="V178" s="24">
        <v>0.8</v>
      </c>
      <c r="W178" s="25">
        <v>1258.4000000000003</v>
      </c>
      <c r="X178" s="26">
        <v>1</v>
      </c>
      <c r="Y178" s="27">
        <v>1.69</v>
      </c>
      <c r="Z178" s="23">
        <v>6</v>
      </c>
      <c r="AA178" s="28">
        <v>0.28166666666666668</v>
      </c>
      <c r="AB178" s="24">
        <v>0</v>
      </c>
      <c r="AC178" s="29">
        <v>0</v>
      </c>
      <c r="AD178" s="30">
        <v>43559</v>
      </c>
      <c r="AE178" s="30">
        <v>43559</v>
      </c>
      <c r="AF178" s="23">
        <v>0</v>
      </c>
      <c r="AG178" s="25" t="s">
        <v>56</v>
      </c>
      <c r="AH178" s="24">
        <v>0</v>
      </c>
      <c r="AI178" s="31">
        <v>0</v>
      </c>
      <c r="AJ178" s="31">
        <v>0</v>
      </c>
      <c r="AK178" s="44">
        <f t="shared" si="4"/>
        <v>1258.4000000000003</v>
      </c>
      <c r="AL178">
        <f>VLOOKUP(A178,'[1]prueba con 16mil datos'!$A$1:$AE$804,31,FALSE)</f>
        <v>1808.95</v>
      </c>
      <c r="AM178">
        <f t="shared" si="5"/>
        <v>0</v>
      </c>
      <c r="AO178">
        <f>VLOOKUP(A178,'[1]Prueba con 19mil datos'!$B$1:$AF$1228,31,FALSE)</f>
        <v>1808.95</v>
      </c>
    </row>
    <row r="179" spans="1:41" hidden="1" x14ac:dyDescent="0.25">
      <c r="A179" s="16" t="s">
        <v>2654</v>
      </c>
      <c r="B179" s="15" t="s">
        <v>40</v>
      </c>
      <c r="C179" s="16">
        <v>1</v>
      </c>
      <c r="D179" s="16" t="s">
        <v>975</v>
      </c>
      <c r="E179" s="17" t="s">
        <v>42</v>
      </c>
      <c r="F179" s="18" t="s">
        <v>343</v>
      </c>
      <c r="G179" s="18" t="s">
        <v>976</v>
      </c>
      <c r="H179" s="16" t="s">
        <v>346</v>
      </c>
      <c r="I179" s="19" t="s">
        <v>3</v>
      </c>
      <c r="J179" s="16" t="s">
        <v>12</v>
      </c>
      <c r="K179" s="20" t="s">
        <v>347</v>
      </c>
      <c r="L179" s="20" t="s">
        <v>348</v>
      </c>
      <c r="M179" s="16" t="s">
        <v>349</v>
      </c>
      <c r="N179" s="16">
        <v>0</v>
      </c>
      <c r="O179" s="16" t="s">
        <v>50</v>
      </c>
      <c r="P179" s="20">
        <v>7</v>
      </c>
      <c r="Q179" s="20" t="s">
        <v>65</v>
      </c>
      <c r="R179" s="21" t="s">
        <v>279</v>
      </c>
      <c r="S179" s="22" t="s">
        <v>187</v>
      </c>
      <c r="T179" s="22" t="s">
        <v>54</v>
      </c>
      <c r="U179" s="23" t="s">
        <v>201</v>
      </c>
      <c r="V179" s="24">
        <v>0.8</v>
      </c>
      <c r="W179" s="25">
        <v>1258.4000000000003</v>
      </c>
      <c r="X179" s="26">
        <v>1</v>
      </c>
      <c r="Y179" s="27">
        <v>5.27</v>
      </c>
      <c r="Z179" s="23">
        <v>4</v>
      </c>
      <c r="AA179" s="28">
        <v>1.3174999999999999</v>
      </c>
      <c r="AB179" s="24">
        <v>7.9374999999999973E-2</v>
      </c>
      <c r="AC179" s="29">
        <v>-124.85687499999997</v>
      </c>
      <c r="AD179" s="30">
        <v>43559</v>
      </c>
      <c r="AE179" s="30">
        <v>43560</v>
      </c>
      <c r="AF179" s="23">
        <v>1</v>
      </c>
      <c r="AG179" s="25" t="s">
        <v>56</v>
      </c>
      <c r="AH179" s="24">
        <v>0</v>
      </c>
      <c r="AI179" s="31">
        <v>0</v>
      </c>
      <c r="AJ179" s="31">
        <v>0</v>
      </c>
      <c r="AK179" s="44">
        <f t="shared" si="4"/>
        <v>1133.5431250000004</v>
      </c>
      <c r="AL179">
        <f>VLOOKUP(A179,'[1]prueba con 16mil datos'!$A$1:$AE$804,31,FALSE)</f>
        <v>235.95</v>
      </c>
      <c r="AM179">
        <f t="shared" si="5"/>
        <v>0</v>
      </c>
      <c r="AO179">
        <f>VLOOKUP(A179,'[1]Prueba con 19mil datos'!$B$1:$AF$1228,31,FALSE)</f>
        <v>0</v>
      </c>
    </row>
    <row r="180" spans="1:41" hidden="1" x14ac:dyDescent="0.25">
      <c r="A180" s="16" t="s">
        <v>2077</v>
      </c>
      <c r="B180" s="15" t="s">
        <v>40</v>
      </c>
      <c r="C180" s="16">
        <v>1</v>
      </c>
      <c r="D180" s="16" t="s">
        <v>796</v>
      </c>
      <c r="E180" s="17" t="s">
        <v>42</v>
      </c>
      <c r="F180" s="18" t="s">
        <v>797</v>
      </c>
      <c r="G180" s="18" t="s">
        <v>798</v>
      </c>
      <c r="H180" s="16" t="s">
        <v>125</v>
      </c>
      <c r="I180" s="19" t="s">
        <v>3</v>
      </c>
      <c r="J180" s="16" t="s">
        <v>12</v>
      </c>
      <c r="K180" s="20" t="s">
        <v>237</v>
      </c>
      <c r="L180" s="20" t="s">
        <v>512</v>
      </c>
      <c r="M180" s="16" t="s">
        <v>105</v>
      </c>
      <c r="N180" s="16">
        <v>0</v>
      </c>
      <c r="O180" s="16" t="s">
        <v>50</v>
      </c>
      <c r="P180" s="20">
        <v>88</v>
      </c>
      <c r="Q180" s="20" t="s">
        <v>51</v>
      </c>
      <c r="R180" s="21" t="s">
        <v>77</v>
      </c>
      <c r="S180" s="22" t="s">
        <v>53</v>
      </c>
      <c r="T180" s="22" t="s">
        <v>54</v>
      </c>
      <c r="U180" s="23" t="s">
        <v>55</v>
      </c>
      <c r="V180" s="24">
        <v>1.05</v>
      </c>
      <c r="W180" s="25">
        <v>750.75000000000011</v>
      </c>
      <c r="X180" s="26">
        <v>1</v>
      </c>
      <c r="Y180" s="27">
        <v>1.58</v>
      </c>
      <c r="Z180" s="23">
        <v>5</v>
      </c>
      <c r="AA180" s="28">
        <v>0.316</v>
      </c>
      <c r="AB180" s="24">
        <v>0</v>
      </c>
      <c r="AC180" s="29">
        <v>0</v>
      </c>
      <c r="AD180" s="30">
        <v>43559</v>
      </c>
      <c r="AE180" s="30">
        <v>43559</v>
      </c>
      <c r="AF180" s="23">
        <v>0</v>
      </c>
      <c r="AG180" s="25" t="s">
        <v>56</v>
      </c>
      <c r="AH180" s="24">
        <v>0</v>
      </c>
      <c r="AI180" s="31">
        <v>0</v>
      </c>
      <c r="AJ180" s="31">
        <v>0</v>
      </c>
      <c r="AK180" s="44">
        <f t="shared" si="4"/>
        <v>750.75000000000011</v>
      </c>
      <c r="AL180">
        <f>VLOOKUP(A180,'[1]prueba con 16mil datos'!$A$1:$AE$804,31,FALSE)</f>
        <v>1730.3</v>
      </c>
      <c r="AM180">
        <f t="shared" si="5"/>
        <v>0</v>
      </c>
      <c r="AO180">
        <f>VLOOKUP(A180,'[1]Prueba con 19mil datos'!$B$1:$AF$1228,31,FALSE)</f>
        <v>1730.3</v>
      </c>
    </row>
    <row r="181" spans="1:41" hidden="1" x14ac:dyDescent="0.25">
      <c r="A181" s="16" t="s">
        <v>2480</v>
      </c>
      <c r="B181" s="15" t="s">
        <v>40</v>
      </c>
      <c r="C181" s="16">
        <v>1</v>
      </c>
      <c r="D181" s="16" t="s">
        <v>1014</v>
      </c>
      <c r="E181" s="17" t="s">
        <v>42</v>
      </c>
      <c r="F181" s="18" t="s">
        <v>356</v>
      </c>
      <c r="G181" s="18" t="s">
        <v>1015</v>
      </c>
      <c r="H181" s="16" t="s">
        <v>125</v>
      </c>
      <c r="I181" s="19" t="s">
        <v>3</v>
      </c>
      <c r="J181" s="16" t="s">
        <v>12</v>
      </c>
      <c r="K181" s="20" t="s">
        <v>1017</v>
      </c>
      <c r="L181" s="20" t="s">
        <v>1018</v>
      </c>
      <c r="M181" s="16" t="s">
        <v>128</v>
      </c>
      <c r="N181" s="16">
        <v>0</v>
      </c>
      <c r="O181" s="16" t="s">
        <v>50</v>
      </c>
      <c r="P181" s="20">
        <v>17</v>
      </c>
      <c r="Q181" s="20" t="s">
        <v>119</v>
      </c>
      <c r="R181" s="21" t="s">
        <v>225</v>
      </c>
      <c r="S181" s="22" t="s">
        <v>130</v>
      </c>
      <c r="T181" s="22" t="s">
        <v>54</v>
      </c>
      <c r="U181" s="23" t="s">
        <v>164</v>
      </c>
      <c r="V181" s="24">
        <v>0.8</v>
      </c>
      <c r="W181" s="25">
        <v>1092</v>
      </c>
      <c r="X181" s="26">
        <v>1</v>
      </c>
      <c r="Y181" s="27">
        <v>0.98</v>
      </c>
      <c r="Z181" s="23">
        <v>5</v>
      </c>
      <c r="AA181" s="28">
        <v>0.19600000000000001</v>
      </c>
      <c r="AB181" s="24">
        <v>0</v>
      </c>
      <c r="AC181" s="29">
        <v>0</v>
      </c>
      <c r="AD181" s="30">
        <v>43559</v>
      </c>
      <c r="AE181" s="30">
        <v>43560</v>
      </c>
      <c r="AF181" s="23">
        <v>1</v>
      </c>
      <c r="AG181" s="25" t="s">
        <v>56</v>
      </c>
      <c r="AH181" s="24">
        <v>0</v>
      </c>
      <c r="AI181" s="31">
        <v>0</v>
      </c>
      <c r="AJ181" s="31">
        <v>0</v>
      </c>
      <c r="AK181" s="44">
        <f t="shared" si="4"/>
        <v>1092</v>
      </c>
      <c r="AL181">
        <f>VLOOKUP(A181,'[1]prueba con 16mil datos'!$A$1:$AE$804,31,FALSE)</f>
        <v>0</v>
      </c>
      <c r="AM181">
        <f t="shared" si="5"/>
        <v>0</v>
      </c>
      <c r="AO181">
        <f>VLOOKUP(A181,'[1]Prueba con 19mil datos'!$B$1:$AF$1228,31,FALSE)</f>
        <v>0</v>
      </c>
    </row>
    <row r="182" spans="1:41" hidden="1" x14ac:dyDescent="0.25">
      <c r="A182" s="16" t="s">
        <v>2404</v>
      </c>
      <c r="B182" s="15" t="s">
        <v>40</v>
      </c>
      <c r="C182" s="16">
        <v>1</v>
      </c>
      <c r="D182" s="16" t="s">
        <v>793</v>
      </c>
      <c r="E182" s="17" t="s">
        <v>42</v>
      </c>
      <c r="F182" s="18" t="s">
        <v>419</v>
      </c>
      <c r="G182" s="18" t="s">
        <v>794</v>
      </c>
      <c r="H182" s="16" t="s">
        <v>693</v>
      </c>
      <c r="I182" s="19" t="s">
        <v>3</v>
      </c>
      <c r="J182" s="16" t="s">
        <v>12</v>
      </c>
      <c r="K182" s="20" t="s">
        <v>126</v>
      </c>
      <c r="L182" s="20" t="s">
        <v>694</v>
      </c>
      <c r="M182" s="16" t="s">
        <v>695</v>
      </c>
      <c r="N182" s="16">
        <v>0</v>
      </c>
      <c r="O182" s="16" t="s">
        <v>50</v>
      </c>
      <c r="P182" s="20">
        <v>84</v>
      </c>
      <c r="Q182" s="20" t="s">
        <v>51</v>
      </c>
      <c r="R182" s="21" t="s">
        <v>225</v>
      </c>
      <c r="S182" s="22" t="s">
        <v>130</v>
      </c>
      <c r="T182" s="22" t="s">
        <v>54</v>
      </c>
      <c r="U182" s="23" t="s">
        <v>226</v>
      </c>
      <c r="V182" s="24">
        <v>1.1000000000000001</v>
      </c>
      <c r="W182" s="25">
        <v>1501.5000000000002</v>
      </c>
      <c r="X182" s="26">
        <v>1</v>
      </c>
      <c r="Y182" s="27">
        <v>0.55000000000000004</v>
      </c>
      <c r="Z182" s="23">
        <v>5</v>
      </c>
      <c r="AA182" s="28">
        <v>0.11000000000000001</v>
      </c>
      <c r="AB182" s="24">
        <v>0</v>
      </c>
      <c r="AC182" s="29">
        <v>0</v>
      </c>
      <c r="AD182" s="30">
        <v>43559</v>
      </c>
      <c r="AE182" s="30">
        <v>43559</v>
      </c>
      <c r="AF182" s="23">
        <v>0</v>
      </c>
      <c r="AG182" s="25" t="s">
        <v>56</v>
      </c>
      <c r="AH182" s="24">
        <v>0</v>
      </c>
      <c r="AI182" s="31">
        <v>0</v>
      </c>
      <c r="AJ182" s="31">
        <v>0</v>
      </c>
      <c r="AK182" s="44">
        <f t="shared" si="4"/>
        <v>1501.5000000000002</v>
      </c>
      <c r="AL182">
        <f>VLOOKUP(A182,'[1]prueba con 16mil datos'!$A$1:$AE$804,31,FALSE)</f>
        <v>1730.3</v>
      </c>
      <c r="AM182">
        <f t="shared" si="5"/>
        <v>0</v>
      </c>
      <c r="AO182">
        <f>VLOOKUP(A182,'[1]Prueba con 19mil datos'!$B$1:$AF$1228,31,FALSE)</f>
        <v>1730.3</v>
      </c>
    </row>
    <row r="183" spans="1:41" hidden="1" x14ac:dyDescent="0.25">
      <c r="A183" s="16" t="s">
        <v>2741</v>
      </c>
      <c r="B183" s="15" t="s">
        <v>40</v>
      </c>
      <c r="C183" s="16">
        <v>1</v>
      </c>
      <c r="D183" s="16" t="s">
        <v>884</v>
      </c>
      <c r="E183" s="17" t="s">
        <v>602</v>
      </c>
      <c r="F183" s="18" t="s">
        <v>745</v>
      </c>
      <c r="G183" s="18" t="s">
        <v>885</v>
      </c>
      <c r="H183" s="16" t="s">
        <v>221</v>
      </c>
      <c r="I183" s="19" t="s">
        <v>3</v>
      </c>
      <c r="J183" s="16" t="s">
        <v>12</v>
      </c>
      <c r="K183" s="20" t="s">
        <v>764</v>
      </c>
      <c r="L183" s="20" t="s">
        <v>887</v>
      </c>
      <c r="M183" s="16" t="s">
        <v>224</v>
      </c>
      <c r="N183" s="16">
        <v>0</v>
      </c>
      <c r="O183" s="16" t="s">
        <v>50</v>
      </c>
      <c r="P183" s="20" t="s">
        <v>326</v>
      </c>
      <c r="Q183" s="20" t="s">
        <v>51</v>
      </c>
      <c r="R183" s="21" t="s">
        <v>287</v>
      </c>
      <c r="S183" s="22" t="s">
        <v>288</v>
      </c>
      <c r="T183" s="22" t="s">
        <v>54</v>
      </c>
      <c r="U183" s="23" t="s">
        <v>550</v>
      </c>
      <c r="V183" s="24">
        <v>1</v>
      </c>
      <c r="W183" s="25">
        <v>1573.0000000000002</v>
      </c>
      <c r="X183" s="26">
        <v>1</v>
      </c>
      <c r="Y183" s="27">
        <v>0.42</v>
      </c>
      <c r="Z183" s="23">
        <v>4</v>
      </c>
      <c r="AA183" s="28">
        <v>0.105</v>
      </c>
      <c r="AB183" s="24">
        <v>0</v>
      </c>
      <c r="AC183" s="29">
        <v>0</v>
      </c>
      <c r="AD183" s="30">
        <v>43559</v>
      </c>
      <c r="AE183" s="30">
        <v>43559</v>
      </c>
      <c r="AF183" s="23">
        <v>0</v>
      </c>
      <c r="AG183" s="25" t="s">
        <v>56</v>
      </c>
      <c r="AH183" s="24">
        <v>0</v>
      </c>
      <c r="AI183" s="31">
        <v>0</v>
      </c>
      <c r="AJ183" s="31">
        <v>0</v>
      </c>
      <c r="AK183" s="44">
        <f t="shared" si="4"/>
        <v>1573.0000000000002</v>
      </c>
      <c r="AL183">
        <f>VLOOKUP(A183,'[1]prueba con 16mil datos'!$A$1:$AE$804,31,FALSE)</f>
        <v>1730.3</v>
      </c>
      <c r="AM183">
        <f t="shared" si="5"/>
        <v>0</v>
      </c>
      <c r="AO183">
        <f>VLOOKUP(A183,'[1]Prueba con 19mil datos'!$B$1:$AF$1228,31,FALSE)</f>
        <v>1730.3</v>
      </c>
    </row>
    <row r="184" spans="1:41" hidden="1" x14ac:dyDescent="0.25">
      <c r="A184" s="16" t="s">
        <v>2535</v>
      </c>
      <c r="B184" s="15" t="s">
        <v>40</v>
      </c>
      <c r="C184" s="16">
        <v>1</v>
      </c>
      <c r="D184" s="16" t="s">
        <v>916</v>
      </c>
      <c r="E184" s="17" t="s">
        <v>42</v>
      </c>
      <c r="F184" s="18" t="s">
        <v>917</v>
      </c>
      <c r="G184" s="18" t="s">
        <v>918</v>
      </c>
      <c r="H184" s="16" t="s">
        <v>317</v>
      </c>
      <c r="I184" s="19" t="s">
        <v>3</v>
      </c>
      <c r="J184" s="16" t="s">
        <v>12</v>
      </c>
      <c r="K184" s="20" t="s">
        <v>564</v>
      </c>
      <c r="L184" s="20" t="s">
        <v>565</v>
      </c>
      <c r="M184" s="16" t="s">
        <v>566</v>
      </c>
      <c r="N184" s="16">
        <v>0</v>
      </c>
      <c r="O184" s="16" t="s">
        <v>50</v>
      </c>
      <c r="P184" s="20">
        <v>37</v>
      </c>
      <c r="Q184" s="20" t="s">
        <v>86</v>
      </c>
      <c r="R184" s="21" t="s">
        <v>920</v>
      </c>
      <c r="S184" s="22" t="s">
        <v>130</v>
      </c>
      <c r="T184" s="22" t="s">
        <v>54</v>
      </c>
      <c r="U184" s="23" t="s">
        <v>178</v>
      </c>
      <c r="V184" s="24">
        <v>1.05</v>
      </c>
      <c r="W184" s="25">
        <v>1433.25</v>
      </c>
      <c r="X184" s="26">
        <v>1</v>
      </c>
      <c r="Y184" s="27">
        <v>1.5</v>
      </c>
      <c r="Z184" s="23">
        <v>5</v>
      </c>
      <c r="AA184" s="28">
        <v>0.3</v>
      </c>
      <c r="AB184" s="24">
        <v>0</v>
      </c>
      <c r="AC184" s="29">
        <v>0</v>
      </c>
      <c r="AD184" s="30">
        <v>43559</v>
      </c>
      <c r="AE184" s="30">
        <v>43559</v>
      </c>
      <c r="AF184" s="23">
        <v>0</v>
      </c>
      <c r="AG184" s="25" t="s">
        <v>56</v>
      </c>
      <c r="AH184" s="24">
        <v>0</v>
      </c>
      <c r="AI184" s="31">
        <v>0</v>
      </c>
      <c r="AJ184" s="31">
        <v>0</v>
      </c>
      <c r="AK184" s="44">
        <f t="shared" si="4"/>
        <v>1433.25</v>
      </c>
      <c r="AL184">
        <f>VLOOKUP(A184,'[1]prueba con 16mil datos'!$A$1:$AE$804,31,FALSE)</f>
        <v>1730.3</v>
      </c>
      <c r="AM184">
        <f t="shared" si="5"/>
        <v>0</v>
      </c>
      <c r="AO184">
        <f>VLOOKUP(A184,'[1]Prueba con 19mil datos'!$B$1:$AF$1228,31,FALSE)</f>
        <v>1651.65</v>
      </c>
    </row>
    <row r="185" spans="1:41" hidden="1" x14ac:dyDescent="0.25">
      <c r="A185" s="16" t="s">
        <v>1305</v>
      </c>
      <c r="B185" s="15" t="s">
        <v>40</v>
      </c>
      <c r="C185" s="16">
        <v>1</v>
      </c>
      <c r="D185" s="16" t="s">
        <v>952</v>
      </c>
      <c r="E185" s="17" t="s">
        <v>42</v>
      </c>
      <c r="F185" s="18" t="s">
        <v>953</v>
      </c>
      <c r="G185" s="18" t="s">
        <v>954</v>
      </c>
      <c r="H185" s="16" t="s">
        <v>243</v>
      </c>
      <c r="I185" s="19" t="s">
        <v>3</v>
      </c>
      <c r="J185" s="16" t="s">
        <v>12</v>
      </c>
      <c r="K185" s="20" t="s">
        <v>126</v>
      </c>
      <c r="L185" s="20" t="s">
        <v>956</v>
      </c>
      <c r="M185" s="16" t="s">
        <v>296</v>
      </c>
      <c r="N185" s="16">
        <v>0</v>
      </c>
      <c r="O185" s="16" t="s">
        <v>50</v>
      </c>
      <c r="P185" s="20">
        <v>98</v>
      </c>
      <c r="Q185" s="20" t="s">
        <v>51</v>
      </c>
      <c r="R185" s="21" t="s">
        <v>186</v>
      </c>
      <c r="S185" s="22" t="s">
        <v>187</v>
      </c>
      <c r="T185" s="22" t="s">
        <v>54</v>
      </c>
      <c r="U185" s="23" t="s">
        <v>550</v>
      </c>
      <c r="V185" s="24">
        <v>1.1499999999999999</v>
      </c>
      <c r="W185" s="25">
        <v>1808.95</v>
      </c>
      <c r="X185" s="26">
        <v>1</v>
      </c>
      <c r="Y185" s="27">
        <v>1.1000000000000001</v>
      </c>
      <c r="Z185" s="23">
        <v>4</v>
      </c>
      <c r="AA185" s="28">
        <v>0.27500000000000002</v>
      </c>
      <c r="AB185" s="24">
        <v>0</v>
      </c>
      <c r="AC185" s="29">
        <v>0</v>
      </c>
      <c r="AD185" s="30">
        <v>43559</v>
      </c>
      <c r="AE185" s="30">
        <v>43559</v>
      </c>
      <c r="AF185" s="23">
        <v>0</v>
      </c>
      <c r="AG185" s="25" t="s">
        <v>56</v>
      </c>
      <c r="AH185" s="24">
        <v>0</v>
      </c>
      <c r="AI185" s="31">
        <v>0</v>
      </c>
      <c r="AJ185" s="31">
        <v>0</v>
      </c>
      <c r="AK185" s="44">
        <f t="shared" si="4"/>
        <v>1808.95</v>
      </c>
      <c r="AL185">
        <f>VLOOKUP(A185,'[1]prueba con 16mil datos'!$A$1:$AE$804,31,FALSE)</f>
        <v>1651.65</v>
      </c>
      <c r="AM185">
        <f t="shared" si="5"/>
        <v>0</v>
      </c>
      <c r="AO185">
        <f>VLOOKUP(A185,'[1]Prueba con 19mil datos'!$B$1:$AF$1228,31,FALSE)</f>
        <v>1651.65</v>
      </c>
    </row>
    <row r="186" spans="1:41" hidden="1" x14ac:dyDescent="0.25">
      <c r="A186" s="16" t="s">
        <v>1305</v>
      </c>
      <c r="B186" s="15" t="s">
        <v>40</v>
      </c>
      <c r="C186" s="16">
        <v>1</v>
      </c>
      <c r="D186" s="16" t="s">
        <v>947</v>
      </c>
      <c r="E186" s="17" t="s">
        <v>42</v>
      </c>
      <c r="F186" s="18" t="s">
        <v>948</v>
      </c>
      <c r="G186" s="18" t="s">
        <v>949</v>
      </c>
      <c r="H186" s="16" t="s">
        <v>192</v>
      </c>
      <c r="I186" s="19" t="s">
        <v>3</v>
      </c>
      <c r="J186" s="16" t="s">
        <v>12</v>
      </c>
      <c r="K186" s="20" t="s">
        <v>441</v>
      </c>
      <c r="L186" s="20" t="s">
        <v>951</v>
      </c>
      <c r="M186" s="16" t="s">
        <v>118</v>
      </c>
      <c r="N186" s="16">
        <v>0</v>
      </c>
      <c r="O186" s="16" t="s">
        <v>50</v>
      </c>
      <c r="P186" s="20">
        <v>16</v>
      </c>
      <c r="Q186" s="20" t="s">
        <v>119</v>
      </c>
      <c r="R186" s="21" t="s">
        <v>129</v>
      </c>
      <c r="S186" s="22" t="s">
        <v>130</v>
      </c>
      <c r="T186" s="22" t="s">
        <v>54</v>
      </c>
      <c r="U186" s="23" t="s">
        <v>164</v>
      </c>
      <c r="V186" s="24">
        <v>0.8</v>
      </c>
      <c r="W186" s="25">
        <v>1092</v>
      </c>
      <c r="X186" s="26">
        <v>1</v>
      </c>
      <c r="Y186" s="27">
        <v>1.72</v>
      </c>
      <c r="Z186" s="23">
        <v>5</v>
      </c>
      <c r="AA186" s="28">
        <v>0.34399999999999997</v>
      </c>
      <c r="AB186" s="24">
        <v>0</v>
      </c>
      <c r="AC186" s="29">
        <v>0</v>
      </c>
      <c r="AD186" s="30">
        <v>43559</v>
      </c>
      <c r="AE186" s="30">
        <v>43559</v>
      </c>
      <c r="AF186" s="23">
        <v>0</v>
      </c>
      <c r="AG186" s="25" t="s">
        <v>56</v>
      </c>
      <c r="AH186" s="24">
        <v>0</v>
      </c>
      <c r="AI186" s="31">
        <v>0</v>
      </c>
      <c r="AJ186" s="31">
        <v>0</v>
      </c>
      <c r="AK186" s="44">
        <f t="shared" si="4"/>
        <v>1092</v>
      </c>
      <c r="AL186">
        <f>VLOOKUP(A186,'[1]prueba con 16mil datos'!$A$1:$AE$804,31,FALSE)</f>
        <v>1651.65</v>
      </c>
      <c r="AM186">
        <f t="shared" si="5"/>
        <v>0</v>
      </c>
      <c r="AO186">
        <f>VLOOKUP(A186,'[1]Prueba con 19mil datos'!$B$1:$AF$1228,31,FALSE)</f>
        <v>1651.65</v>
      </c>
    </row>
    <row r="187" spans="1:41" hidden="1" x14ac:dyDescent="0.25">
      <c r="A187" s="16" t="s">
        <v>633</v>
      </c>
      <c r="B187" s="15" t="s">
        <v>40</v>
      </c>
      <c r="C187" s="16">
        <v>1</v>
      </c>
      <c r="D187" s="16" t="s">
        <v>864</v>
      </c>
      <c r="E187" s="17" t="s">
        <v>42</v>
      </c>
      <c r="F187" s="18" t="s">
        <v>90</v>
      </c>
      <c r="G187" s="18" t="s">
        <v>562</v>
      </c>
      <c r="H187" s="16" t="s">
        <v>109</v>
      </c>
      <c r="I187" s="19" t="s">
        <v>3</v>
      </c>
      <c r="J187" s="16" t="s">
        <v>12</v>
      </c>
      <c r="K187" s="20" t="s">
        <v>866</v>
      </c>
      <c r="L187" s="20" t="s">
        <v>867</v>
      </c>
      <c r="M187" s="16" t="s">
        <v>200</v>
      </c>
      <c r="N187" s="16">
        <v>0</v>
      </c>
      <c r="O187" s="16" t="s">
        <v>50</v>
      </c>
      <c r="P187" s="20">
        <v>2678</v>
      </c>
      <c r="Q187" s="20" t="s">
        <v>51</v>
      </c>
      <c r="R187" s="21" t="s">
        <v>77</v>
      </c>
      <c r="S187" s="22" t="s">
        <v>53</v>
      </c>
      <c r="T187" s="22" t="s">
        <v>54</v>
      </c>
      <c r="U187" s="23" t="s">
        <v>55</v>
      </c>
      <c r="V187" s="24">
        <v>1.05</v>
      </c>
      <c r="W187" s="25">
        <v>750.75000000000011</v>
      </c>
      <c r="X187" s="26">
        <v>1</v>
      </c>
      <c r="Y187" s="27">
        <v>3.35</v>
      </c>
      <c r="Z187" s="23">
        <v>5</v>
      </c>
      <c r="AA187" s="28">
        <v>0.67</v>
      </c>
      <c r="AB187" s="24">
        <v>0</v>
      </c>
      <c r="AC187" s="29">
        <v>0</v>
      </c>
      <c r="AD187" s="30">
        <v>43559</v>
      </c>
      <c r="AE187" s="30">
        <v>43559</v>
      </c>
      <c r="AF187" s="23">
        <v>0</v>
      </c>
      <c r="AG187" s="25" t="s">
        <v>56</v>
      </c>
      <c r="AH187" s="24">
        <v>0</v>
      </c>
      <c r="AI187" s="31">
        <v>0</v>
      </c>
      <c r="AJ187" s="31">
        <v>0</v>
      </c>
      <c r="AK187" s="44">
        <f t="shared" si="4"/>
        <v>750.75000000000011</v>
      </c>
      <c r="AL187">
        <f>VLOOKUP(A187,'[1]prueba con 16mil datos'!$A$1:$AE$804,31,FALSE)</f>
        <v>1808.95</v>
      </c>
      <c r="AM187">
        <f t="shared" si="5"/>
        <v>0</v>
      </c>
      <c r="AO187">
        <f>VLOOKUP(A187,'[1]Prueba con 19mil datos'!$B$1:$AF$1228,31,FALSE)</f>
        <v>1808.95</v>
      </c>
    </row>
    <row r="188" spans="1:41" hidden="1" x14ac:dyDescent="0.25">
      <c r="A188" s="16" t="s">
        <v>633</v>
      </c>
      <c r="B188" s="15" t="s">
        <v>40</v>
      </c>
      <c r="C188" s="16">
        <v>1</v>
      </c>
      <c r="D188" s="16" t="s">
        <v>977</v>
      </c>
      <c r="E188" s="17" t="s">
        <v>321</v>
      </c>
      <c r="F188" s="18" t="s">
        <v>90</v>
      </c>
      <c r="G188" s="18" t="s">
        <v>978</v>
      </c>
      <c r="H188" s="16" t="s">
        <v>143</v>
      </c>
      <c r="I188" s="19" t="s">
        <v>3</v>
      </c>
      <c r="J188" s="16" t="s">
        <v>12</v>
      </c>
      <c r="K188" s="20" t="s">
        <v>980</v>
      </c>
      <c r="L188" s="20" t="s">
        <v>981</v>
      </c>
      <c r="M188" s="16" t="s">
        <v>146</v>
      </c>
      <c r="N188" s="16">
        <v>0</v>
      </c>
      <c r="O188" s="16" t="s">
        <v>50</v>
      </c>
      <c r="P188" s="20" t="s">
        <v>326</v>
      </c>
      <c r="Q188" s="20" t="s">
        <v>51</v>
      </c>
      <c r="R188" s="21" t="s">
        <v>77</v>
      </c>
      <c r="S188" s="22" t="s">
        <v>53</v>
      </c>
      <c r="T188" s="22" t="s">
        <v>54</v>
      </c>
      <c r="U188" s="23" t="s">
        <v>55</v>
      </c>
      <c r="V188" s="24">
        <v>1</v>
      </c>
      <c r="W188" s="25">
        <v>1072.5000000000002</v>
      </c>
      <c r="X188" s="26">
        <v>0</v>
      </c>
      <c r="Y188" s="27">
        <v>5</v>
      </c>
      <c r="Z188" s="23">
        <v>5</v>
      </c>
      <c r="AA188" s="28">
        <v>1</v>
      </c>
      <c r="AB188" s="24">
        <v>0</v>
      </c>
      <c r="AC188" s="29">
        <v>0</v>
      </c>
      <c r="AD188" s="30">
        <v>43559</v>
      </c>
      <c r="AE188" s="30">
        <v>43560</v>
      </c>
      <c r="AF188" s="23">
        <v>1</v>
      </c>
      <c r="AG188" s="25" t="s">
        <v>56</v>
      </c>
      <c r="AH188" s="24">
        <v>0</v>
      </c>
      <c r="AI188" s="31">
        <v>0</v>
      </c>
      <c r="AJ188" s="31">
        <v>0</v>
      </c>
      <c r="AK188" s="44">
        <f t="shared" si="4"/>
        <v>1072.5000000000002</v>
      </c>
      <c r="AL188">
        <f>VLOOKUP(A188,'[1]prueba con 16mil datos'!$A$1:$AE$804,31,FALSE)</f>
        <v>1808.95</v>
      </c>
      <c r="AM188">
        <f t="shared" si="5"/>
        <v>0</v>
      </c>
      <c r="AO188">
        <f>VLOOKUP(A188,'[1]Prueba con 19mil datos'!$B$1:$AF$1228,31,FALSE)</f>
        <v>1808.95</v>
      </c>
    </row>
    <row r="189" spans="1:41" hidden="1" x14ac:dyDescent="0.25">
      <c r="A189" s="16" t="s">
        <v>1382</v>
      </c>
      <c r="B189" s="15" t="s">
        <v>40</v>
      </c>
      <c r="C189" s="16">
        <v>1</v>
      </c>
      <c r="D189" s="16" t="s">
        <v>838</v>
      </c>
      <c r="E189" s="17" t="s">
        <v>42</v>
      </c>
      <c r="F189" s="18" t="s">
        <v>90</v>
      </c>
      <c r="G189" s="18" t="s">
        <v>839</v>
      </c>
      <c r="H189" s="16" t="s">
        <v>93</v>
      </c>
      <c r="I189" s="19" t="s">
        <v>3</v>
      </c>
      <c r="J189" s="16" t="s">
        <v>12</v>
      </c>
      <c r="K189" s="20" t="s">
        <v>116</v>
      </c>
      <c r="L189" s="20" t="s">
        <v>642</v>
      </c>
      <c r="M189" s="16" t="s">
        <v>643</v>
      </c>
      <c r="N189" s="16">
        <v>1</v>
      </c>
      <c r="O189" s="16" t="s">
        <v>97</v>
      </c>
      <c r="P189" s="20">
        <v>195</v>
      </c>
      <c r="Q189" s="20" t="s">
        <v>51</v>
      </c>
      <c r="R189" s="21" t="s">
        <v>77</v>
      </c>
      <c r="S189" s="22" t="s">
        <v>53</v>
      </c>
      <c r="T189" s="22" t="s">
        <v>54</v>
      </c>
      <c r="U189" s="23" t="s">
        <v>55</v>
      </c>
      <c r="V189" s="24">
        <v>1.05</v>
      </c>
      <c r="W189" s="25">
        <v>0</v>
      </c>
      <c r="X189" s="26">
        <v>1</v>
      </c>
      <c r="Y189" s="27">
        <v>2.5299999999999998</v>
      </c>
      <c r="Z189" s="23">
        <v>5</v>
      </c>
      <c r="AA189" s="28">
        <v>0.50600000000000001</v>
      </c>
      <c r="AB189" s="24">
        <v>0</v>
      </c>
      <c r="AC189" s="29">
        <v>0</v>
      </c>
      <c r="AD189" s="30">
        <v>43559</v>
      </c>
      <c r="AE189" s="30">
        <v>43559</v>
      </c>
      <c r="AF189" s="23">
        <v>0</v>
      </c>
      <c r="AG189" s="25" t="s">
        <v>56</v>
      </c>
      <c r="AH189" s="24">
        <v>0</v>
      </c>
      <c r="AI189" s="31">
        <v>0</v>
      </c>
      <c r="AJ189" s="31">
        <v>0</v>
      </c>
      <c r="AK189" s="44">
        <f t="shared" si="4"/>
        <v>0</v>
      </c>
      <c r="AL189">
        <f>VLOOKUP(A189,'[1]prueba con 16mil datos'!$A$1:$AE$804,31,FALSE)</f>
        <v>750.75</v>
      </c>
      <c r="AM189">
        <f t="shared" si="5"/>
        <v>0</v>
      </c>
      <c r="AO189">
        <f>VLOOKUP(A189,'[1]Prueba con 19mil datos'!$B$1:$AF$1228,31,FALSE)</f>
        <v>750.75</v>
      </c>
    </row>
    <row r="190" spans="1:41" hidden="1" x14ac:dyDescent="0.25">
      <c r="A190" s="16" t="s">
        <v>1723</v>
      </c>
      <c r="B190" s="15" t="s">
        <v>40</v>
      </c>
      <c r="C190" s="16">
        <v>1</v>
      </c>
      <c r="D190" s="16" t="s">
        <v>888</v>
      </c>
      <c r="E190" s="17" t="s">
        <v>42</v>
      </c>
      <c r="F190" s="18" t="s">
        <v>889</v>
      </c>
      <c r="G190" s="18" t="s">
        <v>890</v>
      </c>
      <c r="H190" s="16" t="s">
        <v>540</v>
      </c>
      <c r="I190" s="19" t="s">
        <v>3</v>
      </c>
      <c r="J190" s="16" t="s">
        <v>12</v>
      </c>
      <c r="K190" s="20" t="s">
        <v>541</v>
      </c>
      <c r="L190" s="20" t="s">
        <v>542</v>
      </c>
      <c r="M190" s="16" t="s">
        <v>105</v>
      </c>
      <c r="N190" s="16">
        <v>1</v>
      </c>
      <c r="O190" s="16" t="s">
        <v>50</v>
      </c>
      <c r="P190" s="20">
        <v>2681</v>
      </c>
      <c r="Q190" s="20" t="s">
        <v>51</v>
      </c>
      <c r="R190" s="21" t="s">
        <v>87</v>
      </c>
      <c r="S190" s="22" t="s">
        <v>53</v>
      </c>
      <c r="T190" s="22" t="s">
        <v>54</v>
      </c>
      <c r="U190" s="23" t="s">
        <v>55</v>
      </c>
      <c r="V190" s="24">
        <v>1.05</v>
      </c>
      <c r="W190" s="25">
        <v>0</v>
      </c>
      <c r="X190" s="26">
        <v>1</v>
      </c>
      <c r="Y190" s="27">
        <v>0.55000000000000004</v>
      </c>
      <c r="Z190" s="23">
        <v>5</v>
      </c>
      <c r="AA190" s="28">
        <v>0.11000000000000001</v>
      </c>
      <c r="AB190" s="24">
        <v>0</v>
      </c>
      <c r="AC190" s="29">
        <v>0</v>
      </c>
      <c r="AD190" s="30">
        <v>43559</v>
      </c>
      <c r="AE190" s="30">
        <v>43559</v>
      </c>
      <c r="AF190" s="23">
        <v>0</v>
      </c>
      <c r="AG190" s="25" t="s">
        <v>56</v>
      </c>
      <c r="AH190" s="24">
        <v>0</v>
      </c>
      <c r="AI190" s="31">
        <v>0</v>
      </c>
      <c r="AJ190" s="31">
        <v>0</v>
      </c>
      <c r="AK190" s="44">
        <f t="shared" si="4"/>
        <v>0</v>
      </c>
      <c r="AL190">
        <f>VLOOKUP(A190,'[1]prueba con 16mil datos'!$A$1:$AE$804,31,FALSE)</f>
        <v>429</v>
      </c>
      <c r="AM190">
        <f t="shared" si="5"/>
        <v>0</v>
      </c>
      <c r="AO190">
        <f>VLOOKUP(A190,'[1]Prueba con 19mil datos'!$B$1:$AF$1228,31,FALSE)</f>
        <v>429</v>
      </c>
    </row>
    <row r="191" spans="1:41" hidden="1" x14ac:dyDescent="0.25">
      <c r="A191" s="16" t="s">
        <v>235</v>
      </c>
      <c r="B191" s="15" t="s">
        <v>40</v>
      </c>
      <c r="C191" s="16">
        <v>1</v>
      </c>
      <c r="D191" s="16" t="s">
        <v>933</v>
      </c>
      <c r="E191" s="17" t="s">
        <v>42</v>
      </c>
      <c r="F191" s="18" t="s">
        <v>140</v>
      </c>
      <c r="G191" s="18" t="s">
        <v>934</v>
      </c>
      <c r="H191" s="16" t="s">
        <v>284</v>
      </c>
      <c r="I191" s="19" t="s">
        <v>3</v>
      </c>
      <c r="J191" s="16" t="s">
        <v>12</v>
      </c>
      <c r="K191" s="20" t="s">
        <v>936</v>
      </c>
      <c r="L191" s="20" t="s">
        <v>786</v>
      </c>
      <c r="M191" s="16" t="s">
        <v>105</v>
      </c>
      <c r="N191" s="16">
        <v>1</v>
      </c>
      <c r="O191" s="16" t="s">
        <v>50</v>
      </c>
      <c r="P191" s="20">
        <v>210</v>
      </c>
      <c r="Q191" s="20" t="s">
        <v>51</v>
      </c>
      <c r="R191" s="21" t="s">
        <v>148</v>
      </c>
      <c r="S191" s="22" t="s">
        <v>130</v>
      </c>
      <c r="T191" s="22" t="s">
        <v>54</v>
      </c>
      <c r="U191" s="23" t="s">
        <v>226</v>
      </c>
      <c r="V191" s="24">
        <v>1.1000000000000001</v>
      </c>
      <c r="W191" s="25">
        <v>0</v>
      </c>
      <c r="X191" s="26">
        <v>1</v>
      </c>
      <c r="Y191" s="27">
        <v>0.53</v>
      </c>
      <c r="Z191" s="23">
        <v>5</v>
      </c>
      <c r="AA191" s="28">
        <v>0.10600000000000001</v>
      </c>
      <c r="AB191" s="24">
        <v>0</v>
      </c>
      <c r="AC191" s="29">
        <v>0</v>
      </c>
      <c r="AD191" s="30">
        <v>43559</v>
      </c>
      <c r="AE191" s="30">
        <v>43559</v>
      </c>
      <c r="AF191" s="23">
        <v>0</v>
      </c>
      <c r="AG191" s="25" t="s">
        <v>56</v>
      </c>
      <c r="AH191" s="24">
        <v>0</v>
      </c>
      <c r="AI191" s="31">
        <v>0</v>
      </c>
      <c r="AJ191" s="31">
        <v>0</v>
      </c>
      <c r="AK191" s="44">
        <f t="shared" si="4"/>
        <v>0</v>
      </c>
      <c r="AL191">
        <f>VLOOKUP(A191,'[1]prueba con 16mil datos'!$A$1:$AE$804,31,FALSE)</f>
        <v>572</v>
      </c>
      <c r="AM191">
        <f t="shared" si="5"/>
        <v>0</v>
      </c>
      <c r="AO191">
        <f>VLOOKUP(A191,'[1]Prueba con 19mil datos'!$B$1:$AF$1228,31,FALSE)</f>
        <v>572</v>
      </c>
    </row>
    <row r="192" spans="1:41" hidden="1" x14ac:dyDescent="0.25">
      <c r="A192" s="16" t="s">
        <v>1827</v>
      </c>
      <c r="B192" s="15" t="s">
        <v>40</v>
      </c>
      <c r="C192" s="16">
        <v>1</v>
      </c>
      <c r="D192" s="16" t="s">
        <v>1121</v>
      </c>
      <c r="E192" s="17" t="s">
        <v>42</v>
      </c>
      <c r="F192" s="18" t="s">
        <v>391</v>
      </c>
      <c r="G192" s="18" t="s">
        <v>1122</v>
      </c>
      <c r="H192" s="16" t="s">
        <v>293</v>
      </c>
      <c r="I192" s="19" t="s">
        <v>3</v>
      </c>
      <c r="J192" s="16" t="s">
        <v>12</v>
      </c>
      <c r="K192" s="20" t="s">
        <v>198</v>
      </c>
      <c r="L192" s="20" t="s">
        <v>963</v>
      </c>
      <c r="M192" s="16" t="s">
        <v>414</v>
      </c>
      <c r="N192" s="16">
        <v>0</v>
      </c>
      <c r="O192" s="16" t="s">
        <v>50</v>
      </c>
      <c r="P192" s="20">
        <v>8</v>
      </c>
      <c r="Q192" s="20" t="s">
        <v>65</v>
      </c>
      <c r="R192" s="21" t="s">
        <v>129</v>
      </c>
      <c r="S192" s="22" t="s">
        <v>130</v>
      </c>
      <c r="T192" s="22" t="s">
        <v>54</v>
      </c>
      <c r="U192" s="23" t="s">
        <v>131</v>
      </c>
      <c r="V192" s="24">
        <v>0.6</v>
      </c>
      <c r="W192" s="25">
        <v>819</v>
      </c>
      <c r="X192" s="26">
        <v>1</v>
      </c>
      <c r="Y192" s="27">
        <v>1.08</v>
      </c>
      <c r="Z192" s="23">
        <v>5</v>
      </c>
      <c r="AA192" s="28">
        <v>0.21600000000000003</v>
      </c>
      <c r="AB192" s="24">
        <v>0</v>
      </c>
      <c r="AC192" s="29">
        <v>0</v>
      </c>
      <c r="AD192" s="30">
        <v>43560</v>
      </c>
      <c r="AE192" s="30">
        <v>43560</v>
      </c>
      <c r="AF192" s="23">
        <v>0</v>
      </c>
      <c r="AG192" s="25" t="s">
        <v>56</v>
      </c>
      <c r="AH192" s="24">
        <v>0</v>
      </c>
      <c r="AI192" s="31">
        <v>0</v>
      </c>
      <c r="AJ192" s="31">
        <v>0</v>
      </c>
      <c r="AK192" s="44">
        <f t="shared" si="4"/>
        <v>819</v>
      </c>
      <c r="AL192">
        <f>VLOOKUP(A192,'[1]prueba con 16mil datos'!$A$1:$AE$804,31,FALSE)</f>
        <v>429</v>
      </c>
      <c r="AM192">
        <f t="shared" si="5"/>
        <v>0</v>
      </c>
      <c r="AO192">
        <f>VLOOKUP(A192,'[1]Prueba con 19mil datos'!$B$1:$AF$1228,31,FALSE)</f>
        <v>429</v>
      </c>
    </row>
    <row r="193" spans="1:41" hidden="1" x14ac:dyDescent="0.25">
      <c r="A193" s="16" t="s">
        <v>2257</v>
      </c>
      <c r="B193" s="15" t="s">
        <v>40</v>
      </c>
      <c r="C193" s="16">
        <v>1</v>
      </c>
      <c r="D193" s="16" t="s">
        <v>988</v>
      </c>
      <c r="E193" s="17" t="s">
        <v>42</v>
      </c>
      <c r="F193" s="18" t="s">
        <v>381</v>
      </c>
      <c r="G193" s="18" t="s">
        <v>989</v>
      </c>
      <c r="H193" s="16" t="s">
        <v>821</v>
      </c>
      <c r="I193" s="19" t="s">
        <v>3</v>
      </c>
      <c r="J193" s="16" t="s">
        <v>12</v>
      </c>
      <c r="K193" s="20" t="s">
        <v>991</v>
      </c>
      <c r="L193" s="20" t="s">
        <v>992</v>
      </c>
      <c r="M193" s="16" t="s">
        <v>993</v>
      </c>
      <c r="N193" s="16">
        <v>0</v>
      </c>
      <c r="O193" s="16" t="s">
        <v>50</v>
      </c>
      <c r="P193" s="20">
        <v>155</v>
      </c>
      <c r="Q193" s="20" t="s">
        <v>51</v>
      </c>
      <c r="R193" s="21" t="s">
        <v>77</v>
      </c>
      <c r="S193" s="22" t="s">
        <v>53</v>
      </c>
      <c r="T193" s="22" t="s">
        <v>54</v>
      </c>
      <c r="U193" s="23" t="s">
        <v>55</v>
      </c>
      <c r="V193" s="24">
        <v>1.05</v>
      </c>
      <c r="W193" s="25">
        <v>750.75000000000011</v>
      </c>
      <c r="X193" s="26">
        <v>1</v>
      </c>
      <c r="Y193" s="27">
        <v>1.0200000000000005</v>
      </c>
      <c r="Z193" s="23">
        <v>5</v>
      </c>
      <c r="AA193" s="28">
        <v>0.2040000000000001</v>
      </c>
      <c r="AB193" s="24">
        <v>0</v>
      </c>
      <c r="AC193" s="29">
        <v>0</v>
      </c>
      <c r="AD193" s="30">
        <v>43560</v>
      </c>
      <c r="AE193" s="30">
        <v>43560</v>
      </c>
      <c r="AF193" s="23">
        <v>0</v>
      </c>
      <c r="AG193" s="25" t="s">
        <v>56</v>
      </c>
      <c r="AH193" s="24">
        <v>0</v>
      </c>
      <c r="AI193" s="31">
        <v>0</v>
      </c>
      <c r="AJ193" s="31">
        <v>0</v>
      </c>
      <c r="AK193" s="44">
        <f t="shared" si="4"/>
        <v>750.75000000000011</v>
      </c>
      <c r="AL193">
        <f>VLOOKUP(A193,'[1]prueba con 16mil datos'!$A$1:$AE$804,31,FALSE)</f>
        <v>572</v>
      </c>
      <c r="AM193">
        <f t="shared" si="5"/>
        <v>0</v>
      </c>
      <c r="AO193">
        <f>VLOOKUP(A193,'[1]Prueba con 19mil datos'!$B$1:$AF$1228,31,FALSE)</f>
        <v>572</v>
      </c>
    </row>
    <row r="194" spans="1:41" hidden="1" x14ac:dyDescent="0.25">
      <c r="A194" s="16" t="s">
        <v>2514</v>
      </c>
      <c r="B194" s="15" t="s">
        <v>40</v>
      </c>
      <c r="C194" s="16">
        <v>1</v>
      </c>
      <c r="D194" s="16" t="s">
        <v>1164</v>
      </c>
      <c r="E194" s="17" t="s">
        <v>42</v>
      </c>
      <c r="F194" s="18" t="s">
        <v>218</v>
      </c>
      <c r="G194" s="18" t="s">
        <v>1165</v>
      </c>
      <c r="H194" s="16" t="s">
        <v>192</v>
      </c>
      <c r="I194" s="19" t="s">
        <v>3</v>
      </c>
      <c r="J194" s="16" t="s">
        <v>12</v>
      </c>
      <c r="K194" s="20" t="s">
        <v>1167</v>
      </c>
      <c r="L194" s="20" t="s">
        <v>1168</v>
      </c>
      <c r="M194" s="16" t="s">
        <v>64</v>
      </c>
      <c r="N194" s="16">
        <v>0</v>
      </c>
      <c r="O194" s="16" t="s">
        <v>50</v>
      </c>
      <c r="P194" s="20">
        <v>2680</v>
      </c>
      <c r="Q194" s="20" t="s">
        <v>51</v>
      </c>
      <c r="R194" s="21" t="s">
        <v>225</v>
      </c>
      <c r="S194" s="22" t="s">
        <v>130</v>
      </c>
      <c r="T194" s="22" t="s">
        <v>54</v>
      </c>
      <c r="U194" s="23" t="s">
        <v>226</v>
      </c>
      <c r="V194" s="24">
        <v>1.1000000000000001</v>
      </c>
      <c r="W194" s="25">
        <v>1501.5000000000002</v>
      </c>
      <c r="X194" s="26">
        <v>1</v>
      </c>
      <c r="Y194" s="27">
        <v>1.18</v>
      </c>
      <c r="Z194" s="23">
        <v>5</v>
      </c>
      <c r="AA194" s="28">
        <v>0.23599999999999999</v>
      </c>
      <c r="AB194" s="24">
        <v>0</v>
      </c>
      <c r="AC194" s="29">
        <v>0</v>
      </c>
      <c r="AD194" s="30">
        <v>43560</v>
      </c>
      <c r="AE194" s="30">
        <v>43563</v>
      </c>
      <c r="AF194" s="23">
        <v>1</v>
      </c>
      <c r="AG194" s="25" t="s">
        <v>56</v>
      </c>
      <c r="AH194" s="24">
        <v>0</v>
      </c>
      <c r="AI194" s="31">
        <v>0</v>
      </c>
      <c r="AJ194" s="31">
        <v>0</v>
      </c>
      <c r="AK194" s="44">
        <f t="shared" ref="AK194:AK257" si="6">+W194+AC194</f>
        <v>1501.5000000000002</v>
      </c>
      <c r="AL194">
        <f>VLOOKUP(A194,'[1]prueba con 16mil datos'!$A$1:$AE$804,31,FALSE)</f>
        <v>715</v>
      </c>
      <c r="AM194">
        <f t="shared" ref="AM194:AM257" si="7">IF(AK194=AL194,1,0)</f>
        <v>0</v>
      </c>
      <c r="AO194">
        <f>VLOOKUP(A194,'[1]Prueba con 19mil datos'!$B$1:$AF$1228,31,FALSE)</f>
        <v>715</v>
      </c>
    </row>
    <row r="195" spans="1:41" hidden="1" x14ac:dyDescent="0.25">
      <c r="A195" s="16" t="s">
        <v>2929</v>
      </c>
      <c r="B195" s="15" t="s">
        <v>40</v>
      </c>
      <c r="C195" s="16">
        <v>1</v>
      </c>
      <c r="D195" s="46" t="s">
        <v>1247</v>
      </c>
      <c r="E195" s="47" t="s">
        <v>1248</v>
      </c>
      <c r="F195" s="18" t="s">
        <v>1020</v>
      </c>
      <c r="G195" s="18" t="s">
        <v>1249</v>
      </c>
      <c r="H195" s="16" t="s">
        <v>693</v>
      </c>
      <c r="I195" s="19" t="s">
        <v>3</v>
      </c>
      <c r="J195" s="16" t="s">
        <v>12</v>
      </c>
      <c r="K195" s="20" t="s">
        <v>83</v>
      </c>
      <c r="L195" s="20" t="s">
        <v>1023</v>
      </c>
      <c r="M195" s="16" t="s">
        <v>695</v>
      </c>
      <c r="N195" s="16">
        <v>0</v>
      </c>
      <c r="O195" s="16" t="s">
        <v>50</v>
      </c>
      <c r="P195" s="20" t="s">
        <v>326</v>
      </c>
      <c r="Q195" s="20" t="s">
        <v>51</v>
      </c>
      <c r="R195" s="21" t="s">
        <v>87</v>
      </c>
      <c r="S195" s="22" t="s">
        <v>53</v>
      </c>
      <c r="T195" s="22" t="s">
        <v>54</v>
      </c>
      <c r="U195" s="23" t="s">
        <v>55</v>
      </c>
      <c r="V195" s="24">
        <v>1</v>
      </c>
      <c r="W195" s="25">
        <v>715.00000000000011</v>
      </c>
      <c r="X195" s="26">
        <v>0</v>
      </c>
      <c r="Y195" s="27">
        <v>5</v>
      </c>
      <c r="Z195" s="23">
        <v>5</v>
      </c>
      <c r="AA195" s="28">
        <v>1</v>
      </c>
      <c r="AB195" s="24">
        <v>0</v>
      </c>
      <c r="AC195" s="29">
        <v>0</v>
      </c>
      <c r="AD195" s="30">
        <v>43560</v>
      </c>
      <c r="AE195" s="30">
        <v>43563</v>
      </c>
      <c r="AF195" s="23">
        <v>1</v>
      </c>
      <c r="AG195" s="25" t="s">
        <v>56</v>
      </c>
      <c r="AH195" s="24">
        <v>0</v>
      </c>
      <c r="AI195" s="31">
        <v>0</v>
      </c>
      <c r="AJ195" s="31">
        <v>0</v>
      </c>
      <c r="AK195" s="44">
        <f t="shared" si="6"/>
        <v>715.00000000000011</v>
      </c>
      <c r="AL195">
        <f>VLOOKUP(A195,'[1]prueba con 16mil datos'!$A$1:$AE$804,31,FALSE)</f>
        <v>750.75</v>
      </c>
      <c r="AM195">
        <f t="shared" si="7"/>
        <v>0</v>
      </c>
      <c r="AO195">
        <f>VLOOKUP(A195,'[1]Prueba con 19mil datos'!$B$1:$AF$1228,31,FALSE)</f>
        <v>750.75</v>
      </c>
    </row>
    <row r="196" spans="1:41" hidden="1" x14ac:dyDescent="0.25">
      <c r="A196" s="16" t="s">
        <v>2929</v>
      </c>
      <c r="B196" s="15" t="s">
        <v>40</v>
      </c>
      <c r="C196" s="16">
        <v>1</v>
      </c>
      <c r="D196" s="16" t="s">
        <v>1019</v>
      </c>
      <c r="E196" s="17" t="s">
        <v>321</v>
      </c>
      <c r="F196" s="18" t="s">
        <v>1020</v>
      </c>
      <c r="G196" s="18" t="s">
        <v>1021</v>
      </c>
      <c r="H196" s="16" t="s">
        <v>693</v>
      </c>
      <c r="I196" s="19" t="s">
        <v>3</v>
      </c>
      <c r="J196" s="16" t="s">
        <v>12</v>
      </c>
      <c r="K196" s="20" t="s">
        <v>83</v>
      </c>
      <c r="L196" s="20" t="s">
        <v>1023</v>
      </c>
      <c r="M196" s="16" t="s">
        <v>695</v>
      </c>
      <c r="N196" s="16">
        <v>0</v>
      </c>
      <c r="O196" s="16" t="s">
        <v>50</v>
      </c>
      <c r="P196" s="20" t="s">
        <v>326</v>
      </c>
      <c r="Q196" s="20" t="s">
        <v>51</v>
      </c>
      <c r="R196" s="21" t="s">
        <v>87</v>
      </c>
      <c r="S196" s="22" t="s">
        <v>53</v>
      </c>
      <c r="T196" s="22" t="s">
        <v>54</v>
      </c>
      <c r="U196" s="23" t="s">
        <v>55</v>
      </c>
      <c r="V196" s="24">
        <v>1</v>
      </c>
      <c r="W196" s="25">
        <v>1072.5000000000002</v>
      </c>
      <c r="X196" s="26">
        <v>0</v>
      </c>
      <c r="Y196" s="27">
        <v>5</v>
      </c>
      <c r="Z196" s="23">
        <v>5</v>
      </c>
      <c r="AA196" s="28">
        <v>1</v>
      </c>
      <c r="AB196" s="24">
        <v>0</v>
      </c>
      <c r="AC196" s="29">
        <v>0</v>
      </c>
      <c r="AD196" s="30">
        <v>43560</v>
      </c>
      <c r="AE196" s="30">
        <v>43560</v>
      </c>
      <c r="AF196" s="23">
        <v>0</v>
      </c>
      <c r="AG196" s="25" t="s">
        <v>56</v>
      </c>
      <c r="AH196" s="24">
        <v>0</v>
      </c>
      <c r="AI196" s="31">
        <v>0</v>
      </c>
      <c r="AJ196" s="31">
        <v>0</v>
      </c>
      <c r="AK196" s="44">
        <f t="shared" si="6"/>
        <v>1072.5000000000002</v>
      </c>
      <c r="AL196">
        <f>VLOOKUP(A196,'[1]prueba con 16mil datos'!$A$1:$AE$804,31,FALSE)</f>
        <v>750.75</v>
      </c>
      <c r="AM196">
        <f t="shared" si="7"/>
        <v>0</v>
      </c>
      <c r="AO196">
        <f>VLOOKUP(A196,'[1]Prueba con 19mil datos'!$B$1:$AF$1228,31,FALSE)</f>
        <v>750.75</v>
      </c>
    </row>
    <row r="197" spans="1:41" hidden="1" x14ac:dyDescent="0.25">
      <c r="A197" s="16" t="s">
        <v>688</v>
      </c>
      <c r="B197" s="15" t="s">
        <v>40</v>
      </c>
      <c r="C197" s="16">
        <v>1</v>
      </c>
      <c r="D197" s="16" t="s">
        <v>1075</v>
      </c>
      <c r="E197" s="17" t="s">
        <v>42</v>
      </c>
      <c r="F197" s="18" t="s">
        <v>90</v>
      </c>
      <c r="G197" s="18" t="s">
        <v>1076</v>
      </c>
      <c r="H197" s="16" t="s">
        <v>207</v>
      </c>
      <c r="I197" s="19" t="s">
        <v>3</v>
      </c>
      <c r="J197" s="16" t="s">
        <v>12</v>
      </c>
      <c r="K197" s="20" t="s">
        <v>47</v>
      </c>
      <c r="L197" s="20" t="s">
        <v>110</v>
      </c>
      <c r="M197" s="16" t="s">
        <v>111</v>
      </c>
      <c r="N197" s="16">
        <v>0</v>
      </c>
      <c r="O197" s="16" t="s">
        <v>50</v>
      </c>
      <c r="P197" s="20">
        <v>318</v>
      </c>
      <c r="Q197" s="20" t="s">
        <v>51</v>
      </c>
      <c r="R197" s="21" t="s">
        <v>77</v>
      </c>
      <c r="S197" s="22" t="s">
        <v>53</v>
      </c>
      <c r="T197" s="22" t="s">
        <v>54</v>
      </c>
      <c r="U197" s="23" t="s">
        <v>55</v>
      </c>
      <c r="V197" s="24">
        <v>1.05</v>
      </c>
      <c r="W197" s="25">
        <v>750.75000000000011</v>
      </c>
      <c r="X197" s="26">
        <v>1</v>
      </c>
      <c r="Y197" s="27">
        <v>1.75</v>
      </c>
      <c r="Z197" s="23">
        <v>5</v>
      </c>
      <c r="AA197" s="28">
        <v>0.35</v>
      </c>
      <c r="AB197" s="24">
        <v>0</v>
      </c>
      <c r="AC197" s="29">
        <v>0</v>
      </c>
      <c r="AD197" s="30">
        <v>43560</v>
      </c>
      <c r="AE197" s="30">
        <v>43560</v>
      </c>
      <c r="AF197" s="23">
        <v>0</v>
      </c>
      <c r="AG197" s="25" t="s">
        <v>56</v>
      </c>
      <c r="AH197" s="24">
        <v>0</v>
      </c>
      <c r="AI197" s="31">
        <v>0</v>
      </c>
      <c r="AJ197" s="31">
        <v>0</v>
      </c>
      <c r="AK197" s="44">
        <f t="shared" si="6"/>
        <v>750.75000000000011</v>
      </c>
      <c r="AL197">
        <f>VLOOKUP(A197,'[1]prueba con 16mil datos'!$A$1:$AE$804,31,FALSE)</f>
        <v>750.75</v>
      </c>
      <c r="AM197">
        <f t="shared" si="7"/>
        <v>1</v>
      </c>
      <c r="AO197">
        <f>VLOOKUP(A197,'[1]Prueba con 19mil datos'!$B$1:$AF$1228,31,FALSE)</f>
        <v>750.75</v>
      </c>
    </row>
    <row r="198" spans="1:41" hidden="1" x14ac:dyDescent="0.25">
      <c r="A198" s="16" t="s">
        <v>995</v>
      </c>
      <c r="B198" s="15" t="s">
        <v>40</v>
      </c>
      <c r="C198" s="16">
        <v>1</v>
      </c>
      <c r="D198" s="16" t="s">
        <v>1128</v>
      </c>
      <c r="E198" s="17" t="s">
        <v>42</v>
      </c>
      <c r="F198" s="18" t="s">
        <v>90</v>
      </c>
      <c r="G198" s="18" t="s">
        <v>1129</v>
      </c>
      <c r="H198" s="16" t="s">
        <v>440</v>
      </c>
      <c r="I198" s="19" t="s">
        <v>3</v>
      </c>
      <c r="J198" s="16" t="s">
        <v>12</v>
      </c>
      <c r="K198" s="20" t="s">
        <v>398</v>
      </c>
      <c r="L198" s="20" t="s">
        <v>399</v>
      </c>
      <c r="M198" s="16" t="s">
        <v>118</v>
      </c>
      <c r="N198" s="16">
        <v>0</v>
      </c>
      <c r="O198" s="16" t="s">
        <v>50</v>
      </c>
      <c r="P198" s="20">
        <v>22</v>
      </c>
      <c r="Q198" s="20" t="s">
        <v>119</v>
      </c>
      <c r="R198" s="21" t="s">
        <v>77</v>
      </c>
      <c r="S198" s="22" t="s">
        <v>53</v>
      </c>
      <c r="T198" s="22" t="s">
        <v>54</v>
      </c>
      <c r="U198" s="23" t="s">
        <v>120</v>
      </c>
      <c r="V198" s="24">
        <v>0.6</v>
      </c>
      <c r="W198" s="25">
        <v>429.00000000000006</v>
      </c>
      <c r="X198" s="26">
        <v>1</v>
      </c>
      <c r="Y198" s="27">
        <v>3.03</v>
      </c>
      <c r="Z198" s="23">
        <v>5</v>
      </c>
      <c r="AA198" s="28">
        <v>0.60599999999999998</v>
      </c>
      <c r="AB198" s="24">
        <v>0</v>
      </c>
      <c r="AC198" s="29">
        <v>0</v>
      </c>
      <c r="AD198" s="30">
        <v>43560</v>
      </c>
      <c r="AE198" s="30">
        <v>43560</v>
      </c>
      <c r="AF198" s="23">
        <v>0</v>
      </c>
      <c r="AG198" s="25" t="s">
        <v>56</v>
      </c>
      <c r="AH198" s="24">
        <v>0</v>
      </c>
      <c r="AI198" s="31">
        <v>0</v>
      </c>
      <c r="AJ198" s="31">
        <v>0</v>
      </c>
      <c r="AK198" s="44">
        <f t="shared" si="6"/>
        <v>429.00000000000006</v>
      </c>
      <c r="AL198">
        <f>VLOOKUP(A198,'[1]prueba con 16mil datos'!$A$1:$AE$804,31,FALSE)</f>
        <v>1258.4000000000001</v>
      </c>
      <c r="AM198">
        <f t="shared" si="7"/>
        <v>0</v>
      </c>
      <c r="AO198">
        <f>VLOOKUP(A198,'[1]Prueba con 19mil datos'!$B$1:$AF$1228,31,FALSE)</f>
        <v>1258.4000000000001</v>
      </c>
    </row>
    <row r="199" spans="1:41" hidden="1" x14ac:dyDescent="0.25">
      <c r="A199" s="16" t="s">
        <v>1126</v>
      </c>
      <c r="B199" s="15" t="s">
        <v>40</v>
      </c>
      <c r="C199" s="16">
        <v>1</v>
      </c>
      <c r="D199" s="16" t="s">
        <v>1004</v>
      </c>
      <c r="E199" s="17" t="s">
        <v>42</v>
      </c>
      <c r="F199" s="18" t="s">
        <v>90</v>
      </c>
      <c r="G199" s="18" t="s">
        <v>1005</v>
      </c>
      <c r="H199" s="16" t="s">
        <v>346</v>
      </c>
      <c r="I199" s="19" t="s">
        <v>3</v>
      </c>
      <c r="J199" s="16" t="s">
        <v>12</v>
      </c>
      <c r="K199" s="20" t="s">
        <v>324</v>
      </c>
      <c r="L199" s="20" t="s">
        <v>1007</v>
      </c>
      <c r="M199" s="16" t="s">
        <v>850</v>
      </c>
      <c r="N199" s="16">
        <v>0</v>
      </c>
      <c r="O199" s="16" t="s">
        <v>50</v>
      </c>
      <c r="P199" s="20">
        <v>12</v>
      </c>
      <c r="Q199" s="20" t="s">
        <v>65</v>
      </c>
      <c r="R199" s="21" t="s">
        <v>77</v>
      </c>
      <c r="S199" s="22" t="s">
        <v>53</v>
      </c>
      <c r="T199" s="22" t="s">
        <v>54</v>
      </c>
      <c r="U199" s="23" t="s">
        <v>1008</v>
      </c>
      <c r="V199" s="24">
        <v>0</v>
      </c>
      <c r="W199" s="25">
        <v>0</v>
      </c>
      <c r="X199" s="26">
        <v>1</v>
      </c>
      <c r="Y199" s="27">
        <v>0.42</v>
      </c>
      <c r="Z199" s="23">
        <v>5</v>
      </c>
      <c r="AA199" s="28">
        <v>8.3999999999999991E-2</v>
      </c>
      <c r="AB199" s="24">
        <v>0</v>
      </c>
      <c r="AC199" s="29">
        <v>0</v>
      </c>
      <c r="AD199" s="30">
        <v>43560</v>
      </c>
      <c r="AE199" s="30">
        <v>43560</v>
      </c>
      <c r="AF199" s="23">
        <v>0</v>
      </c>
      <c r="AG199" s="25" t="s">
        <v>56</v>
      </c>
      <c r="AH199" s="24">
        <v>0</v>
      </c>
      <c r="AI199" s="31">
        <v>0</v>
      </c>
      <c r="AJ199" s="31">
        <v>0</v>
      </c>
      <c r="AK199" s="44">
        <f t="shared" si="6"/>
        <v>0</v>
      </c>
      <c r="AL199">
        <f>VLOOKUP(A199,'[1]prueba con 16mil datos'!$A$1:$AE$804,31,FALSE)</f>
        <v>1651.65</v>
      </c>
      <c r="AM199">
        <f t="shared" si="7"/>
        <v>0</v>
      </c>
      <c r="AO199">
        <f>VLOOKUP(A199,'[1]Prueba con 19mil datos'!$B$1:$AF$1228,31,FALSE)</f>
        <v>1651.65</v>
      </c>
    </row>
    <row r="200" spans="1:41" hidden="1" x14ac:dyDescent="0.25">
      <c r="A200" s="16" t="s">
        <v>1472</v>
      </c>
      <c r="B200" s="15" t="s">
        <v>40</v>
      </c>
      <c r="C200" s="16">
        <v>1</v>
      </c>
      <c r="D200" s="16" t="s">
        <v>1149</v>
      </c>
      <c r="E200" s="17" t="s">
        <v>42</v>
      </c>
      <c r="F200" s="18" t="s">
        <v>281</v>
      </c>
      <c r="G200" s="18" t="s">
        <v>1150</v>
      </c>
      <c r="H200" s="16" t="s">
        <v>115</v>
      </c>
      <c r="I200" s="19" t="s">
        <v>3</v>
      </c>
      <c r="J200" s="16" t="s">
        <v>12</v>
      </c>
      <c r="K200" s="20" t="s">
        <v>126</v>
      </c>
      <c r="L200" s="20" t="s">
        <v>1152</v>
      </c>
      <c r="M200" s="16" t="s">
        <v>118</v>
      </c>
      <c r="N200" s="16">
        <v>0</v>
      </c>
      <c r="O200" s="16" t="s">
        <v>50</v>
      </c>
      <c r="P200" s="20">
        <v>121</v>
      </c>
      <c r="Q200" s="20" t="s">
        <v>51</v>
      </c>
      <c r="R200" s="21" t="s">
        <v>287</v>
      </c>
      <c r="S200" s="22" t="s">
        <v>288</v>
      </c>
      <c r="T200" s="22" t="s">
        <v>54</v>
      </c>
      <c r="U200" s="23" t="s">
        <v>550</v>
      </c>
      <c r="V200" s="24">
        <v>1.1499999999999999</v>
      </c>
      <c r="W200" s="25">
        <v>1808.95</v>
      </c>
      <c r="X200" s="26">
        <v>1</v>
      </c>
      <c r="Y200" s="27">
        <v>3.18</v>
      </c>
      <c r="Z200" s="23">
        <v>4</v>
      </c>
      <c r="AA200" s="28">
        <v>0.79500000000000004</v>
      </c>
      <c r="AB200" s="24">
        <v>0</v>
      </c>
      <c r="AC200" s="29">
        <v>0</v>
      </c>
      <c r="AD200" s="30">
        <v>43560</v>
      </c>
      <c r="AE200" s="30">
        <v>43563</v>
      </c>
      <c r="AF200" s="23">
        <v>1</v>
      </c>
      <c r="AG200" s="25" t="s">
        <v>56</v>
      </c>
      <c r="AH200" s="24">
        <v>0</v>
      </c>
      <c r="AI200" s="31">
        <v>0</v>
      </c>
      <c r="AJ200" s="31">
        <v>0</v>
      </c>
      <c r="AK200" s="44">
        <f t="shared" si="6"/>
        <v>1808.95</v>
      </c>
      <c r="AL200">
        <f>VLOOKUP(A200,'[1]prueba con 16mil datos'!$A$1:$AE$804,31,FALSE)</f>
        <v>943.8</v>
      </c>
      <c r="AM200">
        <f t="shared" si="7"/>
        <v>0</v>
      </c>
      <c r="AO200">
        <f>VLOOKUP(A200,'[1]Prueba con 19mil datos'!$B$1:$AF$1228,31,FALSE)</f>
        <v>943.8</v>
      </c>
    </row>
    <row r="201" spans="1:41" hidden="1" x14ac:dyDescent="0.25">
      <c r="A201" s="16" t="s">
        <v>1472</v>
      </c>
      <c r="B201" s="15" t="s">
        <v>40</v>
      </c>
      <c r="C201" s="16">
        <v>1</v>
      </c>
      <c r="D201" s="16" t="s">
        <v>1063</v>
      </c>
      <c r="E201" s="17" t="s">
        <v>42</v>
      </c>
      <c r="F201" s="18" t="s">
        <v>281</v>
      </c>
      <c r="G201" s="18" t="s">
        <v>1064</v>
      </c>
      <c r="H201" s="16" t="s">
        <v>73</v>
      </c>
      <c r="I201" s="19" t="s">
        <v>3</v>
      </c>
      <c r="J201" s="16" t="s">
        <v>12</v>
      </c>
      <c r="K201" s="20" t="s">
        <v>198</v>
      </c>
      <c r="L201" s="20" t="s">
        <v>1066</v>
      </c>
      <c r="M201" s="16" t="s">
        <v>216</v>
      </c>
      <c r="N201" s="16">
        <v>0</v>
      </c>
      <c r="O201" s="16" t="s">
        <v>50</v>
      </c>
      <c r="P201" s="20">
        <v>35</v>
      </c>
      <c r="Q201" s="20" t="s">
        <v>86</v>
      </c>
      <c r="R201" s="21" t="s">
        <v>287</v>
      </c>
      <c r="S201" s="22" t="s">
        <v>288</v>
      </c>
      <c r="T201" s="22" t="s">
        <v>54</v>
      </c>
      <c r="U201" s="23" t="s">
        <v>188</v>
      </c>
      <c r="V201" s="24">
        <v>1.1000000000000001</v>
      </c>
      <c r="W201" s="25">
        <v>1730.3000000000004</v>
      </c>
      <c r="X201" s="26">
        <v>1</v>
      </c>
      <c r="Y201" s="27">
        <v>2</v>
      </c>
      <c r="Z201" s="23">
        <v>4</v>
      </c>
      <c r="AA201" s="28">
        <v>0.5</v>
      </c>
      <c r="AB201" s="24">
        <v>0</v>
      </c>
      <c r="AC201" s="29">
        <v>0</v>
      </c>
      <c r="AD201" s="30">
        <v>43560</v>
      </c>
      <c r="AE201" s="30">
        <v>43560</v>
      </c>
      <c r="AF201" s="23">
        <v>0</v>
      </c>
      <c r="AG201" s="25" t="s">
        <v>56</v>
      </c>
      <c r="AH201" s="24">
        <v>0</v>
      </c>
      <c r="AI201" s="31">
        <v>0</v>
      </c>
      <c r="AJ201" s="31">
        <v>0</v>
      </c>
      <c r="AK201" s="44">
        <f t="shared" si="6"/>
        <v>1730.3000000000004</v>
      </c>
      <c r="AL201">
        <f>VLOOKUP(A201,'[1]prueba con 16mil datos'!$A$1:$AE$804,31,FALSE)</f>
        <v>943.8</v>
      </c>
      <c r="AM201">
        <f t="shared" si="7"/>
        <v>0</v>
      </c>
      <c r="AO201">
        <f>VLOOKUP(A201,'[1]Prueba con 19mil datos'!$B$1:$AF$1228,31,FALSE)</f>
        <v>943.8</v>
      </c>
    </row>
    <row r="202" spans="1:41" hidden="1" x14ac:dyDescent="0.25">
      <c r="A202" s="16" t="s">
        <v>1741</v>
      </c>
      <c r="B202" s="15" t="s">
        <v>40</v>
      </c>
      <c r="C202" s="16">
        <v>1</v>
      </c>
      <c r="D202" s="16" t="s">
        <v>985</v>
      </c>
      <c r="E202" s="17" t="s">
        <v>42</v>
      </c>
      <c r="F202" s="18" t="s">
        <v>228</v>
      </c>
      <c r="G202" s="18" t="s">
        <v>986</v>
      </c>
      <c r="H202" s="16" t="s">
        <v>463</v>
      </c>
      <c r="I202" s="19" t="s">
        <v>3</v>
      </c>
      <c r="J202" s="16" t="s">
        <v>12</v>
      </c>
      <c r="K202" s="20" t="s">
        <v>198</v>
      </c>
      <c r="L202" s="20" t="s">
        <v>670</v>
      </c>
      <c r="M202" s="16" t="s">
        <v>76</v>
      </c>
      <c r="N202" s="16">
        <v>0</v>
      </c>
      <c r="O202" s="16" t="s">
        <v>50</v>
      </c>
      <c r="P202" s="20">
        <v>363</v>
      </c>
      <c r="Q202" s="20" t="s">
        <v>51</v>
      </c>
      <c r="R202" s="21" t="s">
        <v>87</v>
      </c>
      <c r="S202" s="22" t="s">
        <v>53</v>
      </c>
      <c r="T202" s="22" t="s">
        <v>54</v>
      </c>
      <c r="U202" s="23" t="s">
        <v>55</v>
      </c>
      <c r="V202" s="24">
        <v>1.05</v>
      </c>
      <c r="W202" s="25">
        <v>750.75000000000011</v>
      </c>
      <c r="X202" s="26">
        <v>1</v>
      </c>
      <c r="Y202" s="27">
        <v>0.65</v>
      </c>
      <c r="Z202" s="23">
        <v>5</v>
      </c>
      <c r="AA202" s="28">
        <v>0.13</v>
      </c>
      <c r="AB202" s="24">
        <v>0</v>
      </c>
      <c r="AC202" s="29">
        <v>0</v>
      </c>
      <c r="AD202" s="30">
        <v>43560</v>
      </c>
      <c r="AE202" s="30">
        <v>43560</v>
      </c>
      <c r="AF202" s="23">
        <v>0</v>
      </c>
      <c r="AG202" s="25" t="s">
        <v>56</v>
      </c>
      <c r="AH202" s="24">
        <v>0</v>
      </c>
      <c r="AI202" s="31">
        <v>0</v>
      </c>
      <c r="AJ202" s="31">
        <v>0</v>
      </c>
      <c r="AK202" s="44">
        <f t="shared" si="6"/>
        <v>750.75000000000011</v>
      </c>
      <c r="AL202">
        <f>VLOOKUP(A202,'[1]prueba con 16mil datos'!$A$1:$AE$804,31,FALSE)</f>
        <v>1651.65</v>
      </c>
      <c r="AM202">
        <f t="shared" si="7"/>
        <v>0</v>
      </c>
      <c r="AO202">
        <f>VLOOKUP(A202,'[1]Prueba con 19mil datos'!$B$1:$AF$1228,31,FALSE)</f>
        <v>1651.65</v>
      </c>
    </row>
    <row r="203" spans="1:41" hidden="1" x14ac:dyDescent="0.25">
      <c r="A203" s="16" t="s">
        <v>2435</v>
      </c>
      <c r="B203" s="15" t="s">
        <v>40</v>
      </c>
      <c r="C203" s="16">
        <v>1</v>
      </c>
      <c r="D203" s="16" t="s">
        <v>994</v>
      </c>
      <c r="E203" s="17" t="s">
        <v>42</v>
      </c>
      <c r="F203" s="18" t="s">
        <v>733</v>
      </c>
      <c r="G203" s="18" t="s">
        <v>773</v>
      </c>
      <c r="H203" s="16" t="s">
        <v>192</v>
      </c>
      <c r="I203" s="19" t="s">
        <v>3</v>
      </c>
      <c r="J203" s="16" t="s">
        <v>12</v>
      </c>
      <c r="K203" s="20" t="s">
        <v>198</v>
      </c>
      <c r="L203" s="20" t="s">
        <v>586</v>
      </c>
      <c r="M203" s="16" t="s">
        <v>64</v>
      </c>
      <c r="N203" s="16">
        <v>0</v>
      </c>
      <c r="O203" s="16" t="s">
        <v>50</v>
      </c>
      <c r="P203" s="20">
        <v>12</v>
      </c>
      <c r="Q203" s="20" t="s">
        <v>65</v>
      </c>
      <c r="R203" s="21" t="s">
        <v>279</v>
      </c>
      <c r="S203" s="22" t="s">
        <v>187</v>
      </c>
      <c r="T203" s="22" t="s">
        <v>54</v>
      </c>
      <c r="U203" s="23" t="s">
        <v>201</v>
      </c>
      <c r="V203" s="24">
        <v>0.8</v>
      </c>
      <c r="W203" s="25">
        <v>1258.4000000000003</v>
      </c>
      <c r="X203" s="26">
        <v>1</v>
      </c>
      <c r="Y203" s="27">
        <v>1.97</v>
      </c>
      <c r="Z203" s="23">
        <v>4</v>
      </c>
      <c r="AA203" s="28">
        <v>0.49249999999999999</v>
      </c>
      <c r="AB203" s="24">
        <v>0</v>
      </c>
      <c r="AC203" s="29">
        <v>0</v>
      </c>
      <c r="AD203" s="30">
        <v>43560</v>
      </c>
      <c r="AE203" s="30">
        <v>43560</v>
      </c>
      <c r="AF203" s="23">
        <v>0</v>
      </c>
      <c r="AG203" s="25" t="s">
        <v>56</v>
      </c>
      <c r="AH203" s="24">
        <v>0</v>
      </c>
      <c r="AI203" s="31">
        <v>0</v>
      </c>
      <c r="AJ203" s="31">
        <v>0</v>
      </c>
      <c r="AK203" s="44">
        <f t="shared" si="6"/>
        <v>1258.4000000000003</v>
      </c>
      <c r="AL203">
        <f>VLOOKUP(A203,'[1]prueba con 16mil datos'!$A$1:$AE$804,31,FALSE)</f>
        <v>1651.65</v>
      </c>
      <c r="AM203">
        <f t="shared" si="7"/>
        <v>0</v>
      </c>
      <c r="AO203">
        <f>VLOOKUP(A203,'[1]Prueba con 19mil datos'!$B$1:$AF$1228,31,FALSE)</f>
        <v>1651.65</v>
      </c>
    </row>
    <row r="204" spans="1:41" hidden="1" x14ac:dyDescent="0.25">
      <c r="A204" s="16" t="s">
        <v>1262</v>
      </c>
      <c r="B204" s="15" t="s">
        <v>40</v>
      </c>
      <c r="C204" s="16">
        <v>1</v>
      </c>
      <c r="D204" s="16" t="s">
        <v>1124</v>
      </c>
      <c r="E204" s="17" t="s">
        <v>42</v>
      </c>
      <c r="F204" s="18" t="s">
        <v>733</v>
      </c>
      <c r="G204" s="18" t="s">
        <v>1125</v>
      </c>
      <c r="H204" s="16" t="s">
        <v>346</v>
      </c>
      <c r="I204" s="19" t="s">
        <v>3</v>
      </c>
      <c r="J204" s="16" t="s">
        <v>12</v>
      </c>
      <c r="K204" s="20" t="s">
        <v>198</v>
      </c>
      <c r="L204" s="20" t="s">
        <v>1127</v>
      </c>
      <c r="M204" s="16" t="s">
        <v>850</v>
      </c>
      <c r="N204" s="16">
        <v>0</v>
      </c>
      <c r="O204" s="16" t="s">
        <v>50</v>
      </c>
      <c r="P204" s="20">
        <v>26</v>
      </c>
      <c r="Q204" s="20" t="s">
        <v>119</v>
      </c>
      <c r="R204" s="21" t="s">
        <v>279</v>
      </c>
      <c r="S204" s="22" t="s">
        <v>187</v>
      </c>
      <c r="T204" s="22" t="s">
        <v>54</v>
      </c>
      <c r="U204" s="23" t="s">
        <v>269</v>
      </c>
      <c r="V204" s="24">
        <v>1.05</v>
      </c>
      <c r="W204" s="25">
        <v>1651.6500000000003</v>
      </c>
      <c r="X204" s="26">
        <v>1</v>
      </c>
      <c r="Y204" s="27">
        <v>1.07</v>
      </c>
      <c r="Z204" s="23">
        <v>4</v>
      </c>
      <c r="AA204" s="28">
        <v>0.26750000000000002</v>
      </c>
      <c r="AB204" s="24">
        <v>0</v>
      </c>
      <c r="AC204" s="29">
        <v>0</v>
      </c>
      <c r="AD204" s="30">
        <v>43560</v>
      </c>
      <c r="AE204" s="30">
        <v>43560</v>
      </c>
      <c r="AF204" s="23">
        <v>0</v>
      </c>
      <c r="AG204" s="25" t="s">
        <v>56</v>
      </c>
      <c r="AH204" s="24">
        <v>0</v>
      </c>
      <c r="AI204" s="31">
        <v>0</v>
      </c>
      <c r="AJ204" s="31">
        <v>0</v>
      </c>
      <c r="AK204" s="44">
        <f t="shared" si="6"/>
        <v>1651.6500000000003</v>
      </c>
      <c r="AL204">
        <f>VLOOKUP(A204,'[1]prueba con 16mil datos'!$A$1:$AE$804,31,FALSE)</f>
        <v>1651.65</v>
      </c>
      <c r="AM204">
        <f t="shared" si="7"/>
        <v>1</v>
      </c>
      <c r="AO204">
        <f>VLOOKUP(A204,'[1]Prueba con 19mil datos'!$B$1:$AF$1228,31,FALSE)</f>
        <v>1651.65</v>
      </c>
    </row>
    <row r="205" spans="1:41" hidden="1" x14ac:dyDescent="0.25">
      <c r="A205" s="16" t="s">
        <v>1262</v>
      </c>
      <c r="B205" s="15" t="s">
        <v>40</v>
      </c>
      <c r="C205" s="16">
        <v>1</v>
      </c>
      <c r="D205" s="16" t="s">
        <v>1055</v>
      </c>
      <c r="E205" s="17" t="s">
        <v>42</v>
      </c>
      <c r="F205" s="18" t="s">
        <v>1056</v>
      </c>
      <c r="G205" s="18" t="s">
        <v>1057</v>
      </c>
      <c r="H205" s="16" t="s">
        <v>440</v>
      </c>
      <c r="I205" s="19" t="s">
        <v>3</v>
      </c>
      <c r="J205" s="16" t="s">
        <v>12</v>
      </c>
      <c r="K205" s="20" t="s">
        <v>47</v>
      </c>
      <c r="L205" s="20" t="s">
        <v>1059</v>
      </c>
      <c r="M205" s="16" t="s">
        <v>118</v>
      </c>
      <c r="N205" s="16">
        <v>0</v>
      </c>
      <c r="O205" s="16" t="s">
        <v>50</v>
      </c>
      <c r="P205" s="20">
        <v>22</v>
      </c>
      <c r="Q205" s="20" t="s">
        <v>119</v>
      </c>
      <c r="R205" s="21" t="s">
        <v>279</v>
      </c>
      <c r="S205" s="22" t="s">
        <v>187</v>
      </c>
      <c r="T205" s="22" t="s">
        <v>54</v>
      </c>
      <c r="U205" s="23" t="s">
        <v>269</v>
      </c>
      <c r="V205" s="24">
        <v>1.05</v>
      </c>
      <c r="W205" s="25">
        <v>1651.6500000000003</v>
      </c>
      <c r="X205" s="26">
        <v>1</v>
      </c>
      <c r="Y205" s="27">
        <v>1.37</v>
      </c>
      <c r="Z205" s="23">
        <v>4</v>
      </c>
      <c r="AA205" s="28">
        <v>0.34250000000000003</v>
      </c>
      <c r="AB205" s="24">
        <v>0</v>
      </c>
      <c r="AC205" s="29">
        <v>0</v>
      </c>
      <c r="AD205" s="30">
        <v>43560</v>
      </c>
      <c r="AE205" s="30">
        <v>43560</v>
      </c>
      <c r="AF205" s="23">
        <v>0</v>
      </c>
      <c r="AG205" s="25" t="s">
        <v>56</v>
      </c>
      <c r="AH205" s="24">
        <v>0</v>
      </c>
      <c r="AI205" s="31">
        <v>0</v>
      </c>
      <c r="AJ205" s="31">
        <v>0</v>
      </c>
      <c r="AK205" s="44">
        <f t="shared" si="6"/>
        <v>1651.6500000000003</v>
      </c>
      <c r="AL205">
        <f>VLOOKUP(A205,'[1]prueba con 16mil datos'!$A$1:$AE$804,31,FALSE)</f>
        <v>1651.65</v>
      </c>
      <c r="AM205">
        <f t="shared" si="7"/>
        <v>1</v>
      </c>
      <c r="AO205">
        <f>VLOOKUP(A205,'[1]Prueba con 19mil datos'!$B$1:$AF$1228,31,FALSE)</f>
        <v>1651.65</v>
      </c>
    </row>
    <row r="206" spans="1:41" hidden="1" x14ac:dyDescent="0.25">
      <c r="A206" s="16" t="s">
        <v>2279</v>
      </c>
      <c r="B206" s="15" t="s">
        <v>40</v>
      </c>
      <c r="C206" s="16">
        <v>1</v>
      </c>
      <c r="D206" s="16" t="s">
        <v>1109</v>
      </c>
      <c r="E206" s="17" t="s">
        <v>42</v>
      </c>
      <c r="F206" s="18" t="s">
        <v>275</v>
      </c>
      <c r="G206" s="18" t="s">
        <v>1110</v>
      </c>
      <c r="H206" s="16" t="s">
        <v>153</v>
      </c>
      <c r="I206" s="19" t="s">
        <v>3</v>
      </c>
      <c r="J206" s="16" t="s">
        <v>12</v>
      </c>
      <c r="K206" s="20" t="s">
        <v>126</v>
      </c>
      <c r="L206" s="20" t="s">
        <v>1112</v>
      </c>
      <c r="M206" s="16" t="s">
        <v>1113</v>
      </c>
      <c r="N206" s="16">
        <v>0</v>
      </c>
      <c r="O206" s="16" t="s">
        <v>50</v>
      </c>
      <c r="P206" s="20">
        <v>101</v>
      </c>
      <c r="Q206" s="20" t="s">
        <v>51</v>
      </c>
      <c r="R206" s="21" t="s">
        <v>279</v>
      </c>
      <c r="S206" s="22" t="s">
        <v>187</v>
      </c>
      <c r="T206" s="22" t="s">
        <v>157</v>
      </c>
      <c r="U206" s="23" t="s">
        <v>550</v>
      </c>
      <c r="V206" s="24">
        <v>1.1499999999999999</v>
      </c>
      <c r="W206" s="25">
        <v>1808.95</v>
      </c>
      <c r="X206" s="26">
        <v>1</v>
      </c>
      <c r="Y206" s="27">
        <v>1.03</v>
      </c>
      <c r="Z206" s="23">
        <v>6</v>
      </c>
      <c r="AA206" s="28">
        <v>0.17166666666666666</v>
      </c>
      <c r="AB206" s="24">
        <v>0</v>
      </c>
      <c r="AC206" s="29">
        <v>0</v>
      </c>
      <c r="AD206" s="30">
        <v>43560</v>
      </c>
      <c r="AE206" s="30">
        <v>43560</v>
      </c>
      <c r="AF206" s="23">
        <v>0</v>
      </c>
      <c r="AG206" s="25" t="s">
        <v>56</v>
      </c>
      <c r="AH206" s="24">
        <v>0</v>
      </c>
      <c r="AI206" s="31">
        <v>0</v>
      </c>
      <c r="AJ206" s="31">
        <v>0</v>
      </c>
      <c r="AK206" s="44">
        <f t="shared" si="6"/>
        <v>1808.95</v>
      </c>
      <c r="AL206">
        <f>VLOOKUP(A206,'[1]prueba con 16mil datos'!$A$1:$AE$804,31,FALSE)</f>
        <v>1651.65</v>
      </c>
      <c r="AM206">
        <f t="shared" si="7"/>
        <v>0</v>
      </c>
      <c r="AO206">
        <f>VLOOKUP(A206,'[1]Prueba con 19mil datos'!$B$1:$AF$1228,31,FALSE)</f>
        <v>1651.65</v>
      </c>
    </row>
    <row r="207" spans="1:41" hidden="1" x14ac:dyDescent="0.25">
      <c r="A207" s="16" t="s">
        <v>959</v>
      </c>
      <c r="B207" s="15" t="s">
        <v>40</v>
      </c>
      <c r="C207" s="16">
        <v>1</v>
      </c>
      <c r="D207" s="16" t="s">
        <v>999</v>
      </c>
      <c r="E207" s="17" t="s">
        <v>42</v>
      </c>
      <c r="F207" s="18" t="s">
        <v>275</v>
      </c>
      <c r="G207" s="18" t="s">
        <v>1000</v>
      </c>
      <c r="H207" s="16" t="s">
        <v>61</v>
      </c>
      <c r="I207" s="19" t="s">
        <v>3</v>
      </c>
      <c r="J207" s="16" t="s">
        <v>12</v>
      </c>
      <c r="K207" s="20" t="s">
        <v>126</v>
      </c>
      <c r="L207" s="20" t="s">
        <v>1002</v>
      </c>
      <c r="M207" s="16" t="s">
        <v>1003</v>
      </c>
      <c r="N207" s="16">
        <v>0</v>
      </c>
      <c r="O207" s="16" t="s">
        <v>50</v>
      </c>
      <c r="P207" s="20">
        <v>60</v>
      </c>
      <c r="Q207" s="20" t="s">
        <v>86</v>
      </c>
      <c r="R207" s="21" t="s">
        <v>279</v>
      </c>
      <c r="S207" s="22" t="s">
        <v>187</v>
      </c>
      <c r="T207" s="22" t="s">
        <v>54</v>
      </c>
      <c r="U207" s="23" t="s">
        <v>188</v>
      </c>
      <c r="V207" s="24">
        <v>1.1000000000000001</v>
      </c>
      <c r="W207" s="25">
        <v>1730.3000000000004</v>
      </c>
      <c r="X207" s="26">
        <v>1</v>
      </c>
      <c r="Y207" s="27">
        <v>3.02</v>
      </c>
      <c r="Z207" s="23">
        <v>4</v>
      </c>
      <c r="AA207" s="28">
        <v>0.755</v>
      </c>
      <c r="AB207" s="24">
        <v>0</v>
      </c>
      <c r="AC207" s="29">
        <v>0</v>
      </c>
      <c r="AD207" s="30">
        <v>43560</v>
      </c>
      <c r="AE207" s="30">
        <v>43560</v>
      </c>
      <c r="AF207" s="23">
        <v>0</v>
      </c>
      <c r="AG207" s="25" t="s">
        <v>56</v>
      </c>
      <c r="AH207" s="24">
        <v>0</v>
      </c>
      <c r="AI207" s="31">
        <v>0</v>
      </c>
      <c r="AJ207" s="31">
        <v>0</v>
      </c>
      <c r="AK207" s="44">
        <f t="shared" si="6"/>
        <v>1730.3000000000004</v>
      </c>
      <c r="AL207">
        <f>VLOOKUP(A207,'[1]prueba con 16mil datos'!$A$1:$AE$804,31,FALSE)</f>
        <v>1730.3</v>
      </c>
      <c r="AM207">
        <f t="shared" si="7"/>
        <v>1</v>
      </c>
      <c r="AO207">
        <f>VLOOKUP(A207,'[1]Prueba con 19mil datos'!$B$1:$AF$1228,31,FALSE)</f>
        <v>1730.3</v>
      </c>
    </row>
    <row r="208" spans="1:41" hidden="1" x14ac:dyDescent="0.25">
      <c r="A208" s="16" t="s">
        <v>735</v>
      </c>
      <c r="B208" s="15" t="s">
        <v>40</v>
      </c>
      <c r="C208" s="16">
        <v>1</v>
      </c>
      <c r="D208" s="16" t="s">
        <v>1153</v>
      </c>
      <c r="E208" s="17" t="s">
        <v>42</v>
      </c>
      <c r="F208" s="18" t="s">
        <v>275</v>
      </c>
      <c r="G208" s="18" t="s">
        <v>1154</v>
      </c>
      <c r="H208" s="16" t="s">
        <v>61</v>
      </c>
      <c r="I208" s="19" t="s">
        <v>3</v>
      </c>
      <c r="J208" s="16" t="s">
        <v>12</v>
      </c>
      <c r="K208" s="20" t="s">
        <v>126</v>
      </c>
      <c r="L208" s="20" t="s">
        <v>1156</v>
      </c>
      <c r="M208" s="16" t="s">
        <v>64</v>
      </c>
      <c r="N208" s="16">
        <v>0</v>
      </c>
      <c r="O208" s="16" t="s">
        <v>50</v>
      </c>
      <c r="P208" s="20">
        <v>37</v>
      </c>
      <c r="Q208" s="20" t="s">
        <v>86</v>
      </c>
      <c r="R208" s="21" t="s">
        <v>279</v>
      </c>
      <c r="S208" s="22" t="s">
        <v>187</v>
      </c>
      <c r="T208" s="22" t="s">
        <v>54</v>
      </c>
      <c r="U208" s="23" t="s">
        <v>188</v>
      </c>
      <c r="V208" s="24">
        <v>1.1000000000000001</v>
      </c>
      <c r="W208" s="25">
        <v>1730.3000000000004</v>
      </c>
      <c r="X208" s="26">
        <v>1</v>
      </c>
      <c r="Y208" s="27">
        <v>2.37</v>
      </c>
      <c r="Z208" s="23">
        <v>4</v>
      </c>
      <c r="AA208" s="28">
        <v>0.59250000000000003</v>
      </c>
      <c r="AB208" s="24">
        <v>0</v>
      </c>
      <c r="AC208" s="29">
        <v>0</v>
      </c>
      <c r="AD208" s="30">
        <v>43560</v>
      </c>
      <c r="AE208" s="30">
        <v>43563</v>
      </c>
      <c r="AF208" s="23">
        <v>1</v>
      </c>
      <c r="AG208" s="25" t="s">
        <v>56</v>
      </c>
      <c r="AH208" s="24">
        <v>0</v>
      </c>
      <c r="AI208" s="31">
        <v>0</v>
      </c>
      <c r="AJ208" s="31">
        <v>0</v>
      </c>
      <c r="AK208" s="44">
        <f t="shared" si="6"/>
        <v>1730.3000000000004</v>
      </c>
      <c r="AL208">
        <f>VLOOKUP(A208,'[1]prueba con 16mil datos'!$A$1:$AE$804,31,FALSE)</f>
        <v>1730.3</v>
      </c>
      <c r="AM208">
        <f t="shared" si="7"/>
        <v>1</v>
      </c>
      <c r="AO208">
        <f>VLOOKUP(A208,'[1]Prueba con 19mil datos'!$B$1:$AF$1228,31,FALSE)</f>
        <v>1730.3</v>
      </c>
    </row>
    <row r="209" spans="1:41" hidden="1" x14ac:dyDescent="0.25">
      <c r="A209" s="16" t="s">
        <v>735</v>
      </c>
      <c r="B209" s="15" t="s">
        <v>40</v>
      </c>
      <c r="C209" s="16">
        <v>1</v>
      </c>
      <c r="D209" s="16" t="s">
        <v>1035</v>
      </c>
      <c r="E209" s="17" t="s">
        <v>42</v>
      </c>
      <c r="F209" s="18" t="s">
        <v>70</v>
      </c>
      <c r="G209" s="18" t="s">
        <v>1036</v>
      </c>
      <c r="H209" s="16" t="s">
        <v>125</v>
      </c>
      <c r="I209" s="19" t="s">
        <v>3</v>
      </c>
      <c r="J209" s="16" t="s">
        <v>12</v>
      </c>
      <c r="K209" s="20" t="s">
        <v>74</v>
      </c>
      <c r="L209" s="20" t="s">
        <v>1038</v>
      </c>
      <c r="M209" s="16" t="s">
        <v>128</v>
      </c>
      <c r="N209" s="16">
        <v>0</v>
      </c>
      <c r="O209" s="16" t="s">
        <v>50</v>
      </c>
      <c r="P209" s="20">
        <v>579</v>
      </c>
      <c r="Q209" s="20" t="s">
        <v>51</v>
      </c>
      <c r="R209" s="21" t="s">
        <v>77</v>
      </c>
      <c r="S209" s="22" t="s">
        <v>53</v>
      </c>
      <c r="T209" s="22" t="s">
        <v>54</v>
      </c>
      <c r="U209" s="23" t="s">
        <v>55</v>
      </c>
      <c r="V209" s="24">
        <v>1.05</v>
      </c>
      <c r="W209" s="25">
        <v>750.75000000000011</v>
      </c>
      <c r="X209" s="26">
        <v>1</v>
      </c>
      <c r="Y209" s="27">
        <v>2.92</v>
      </c>
      <c r="Z209" s="23">
        <v>5</v>
      </c>
      <c r="AA209" s="28">
        <v>0.58399999999999996</v>
      </c>
      <c r="AB209" s="24">
        <v>0</v>
      </c>
      <c r="AC209" s="29">
        <v>0</v>
      </c>
      <c r="AD209" s="30">
        <v>43560</v>
      </c>
      <c r="AE209" s="30">
        <v>43560</v>
      </c>
      <c r="AF209" s="23">
        <v>0</v>
      </c>
      <c r="AG209" s="25" t="s">
        <v>56</v>
      </c>
      <c r="AH209" s="24">
        <v>0</v>
      </c>
      <c r="AI209" s="31">
        <v>0</v>
      </c>
      <c r="AJ209" s="31">
        <v>0</v>
      </c>
      <c r="AK209" s="44">
        <f t="shared" si="6"/>
        <v>750.75000000000011</v>
      </c>
      <c r="AL209">
        <f>VLOOKUP(A209,'[1]prueba con 16mil datos'!$A$1:$AE$804,31,FALSE)</f>
        <v>1730.3</v>
      </c>
      <c r="AM209">
        <f t="shared" si="7"/>
        <v>0</v>
      </c>
      <c r="AO209">
        <f>VLOOKUP(A209,'[1]Prueba con 19mil datos'!$B$1:$AF$1228,31,FALSE)</f>
        <v>1730.3</v>
      </c>
    </row>
    <row r="210" spans="1:41" hidden="1" x14ac:dyDescent="0.25">
      <c r="A210" s="16" t="s">
        <v>931</v>
      </c>
      <c r="B210" s="15" t="s">
        <v>40</v>
      </c>
      <c r="C210" s="16">
        <v>1</v>
      </c>
      <c r="D210" s="16" t="s">
        <v>1045</v>
      </c>
      <c r="E210" s="17" t="s">
        <v>42</v>
      </c>
      <c r="F210" s="18" t="s">
        <v>335</v>
      </c>
      <c r="G210" s="18" t="s">
        <v>1046</v>
      </c>
      <c r="H210" s="16" t="s">
        <v>46</v>
      </c>
      <c r="I210" s="19" t="s">
        <v>3</v>
      </c>
      <c r="J210" s="16" t="s">
        <v>12</v>
      </c>
      <c r="K210" s="20" t="s">
        <v>208</v>
      </c>
      <c r="L210" s="20" t="s">
        <v>1048</v>
      </c>
      <c r="M210" s="16" t="s">
        <v>49</v>
      </c>
      <c r="N210" s="16">
        <v>0</v>
      </c>
      <c r="O210" s="16" t="s">
        <v>50</v>
      </c>
      <c r="P210" s="20">
        <v>634</v>
      </c>
      <c r="Q210" s="20" t="s">
        <v>51</v>
      </c>
      <c r="R210" s="21" t="s">
        <v>77</v>
      </c>
      <c r="S210" s="22" t="s">
        <v>53</v>
      </c>
      <c r="T210" s="22" t="s">
        <v>54</v>
      </c>
      <c r="U210" s="23" t="s">
        <v>55</v>
      </c>
      <c r="V210" s="24">
        <v>1.05</v>
      </c>
      <c r="W210" s="25">
        <v>750.75000000000011</v>
      </c>
      <c r="X210" s="26">
        <v>1</v>
      </c>
      <c r="Y210" s="27">
        <v>1.82</v>
      </c>
      <c r="Z210" s="23">
        <v>5</v>
      </c>
      <c r="AA210" s="28">
        <v>0.36399999999999999</v>
      </c>
      <c r="AB210" s="24">
        <v>0</v>
      </c>
      <c r="AC210" s="29">
        <v>0</v>
      </c>
      <c r="AD210" s="30">
        <v>43560</v>
      </c>
      <c r="AE210" s="30">
        <v>43560</v>
      </c>
      <c r="AF210" s="23">
        <v>0</v>
      </c>
      <c r="AG210" s="25" t="s">
        <v>56</v>
      </c>
      <c r="AH210" s="24">
        <v>0</v>
      </c>
      <c r="AI210" s="31">
        <v>0</v>
      </c>
      <c r="AJ210" s="31">
        <v>0</v>
      </c>
      <c r="AK210" s="44">
        <f t="shared" si="6"/>
        <v>750.75000000000011</v>
      </c>
      <c r="AL210">
        <f>VLOOKUP(A210,'[1]prueba con 16mil datos'!$A$1:$AE$804,31,FALSE)</f>
        <v>1808.95</v>
      </c>
      <c r="AM210">
        <f t="shared" si="7"/>
        <v>0</v>
      </c>
      <c r="AO210">
        <f>VLOOKUP(A210,'[1]Prueba con 19mil datos'!$B$1:$AF$1228,31,FALSE)</f>
        <v>1808.95</v>
      </c>
    </row>
    <row r="211" spans="1:41" hidden="1" x14ac:dyDescent="0.25">
      <c r="A211" s="16" t="s">
        <v>1944</v>
      </c>
      <c r="B211" s="15" t="s">
        <v>40</v>
      </c>
      <c r="C211" s="16">
        <v>1</v>
      </c>
      <c r="D211" s="16" t="s">
        <v>1114</v>
      </c>
      <c r="E211" s="17" t="s">
        <v>42</v>
      </c>
      <c r="F211" s="18" t="s">
        <v>1115</v>
      </c>
      <c r="G211" s="18" t="s">
        <v>1116</v>
      </c>
      <c r="H211" s="16" t="s">
        <v>243</v>
      </c>
      <c r="I211" s="19" t="s">
        <v>3</v>
      </c>
      <c r="J211" s="16" t="s">
        <v>12</v>
      </c>
      <c r="K211" s="20" t="s">
        <v>244</v>
      </c>
      <c r="L211" s="20" t="s">
        <v>245</v>
      </c>
      <c r="M211" s="16" t="s">
        <v>246</v>
      </c>
      <c r="N211" s="16">
        <v>0</v>
      </c>
      <c r="O211" s="16" t="s">
        <v>50</v>
      </c>
      <c r="P211" s="20">
        <v>64</v>
      </c>
      <c r="Q211" s="20" t="s">
        <v>51</v>
      </c>
      <c r="R211" s="21" t="s">
        <v>186</v>
      </c>
      <c r="S211" s="22" t="s">
        <v>187</v>
      </c>
      <c r="T211" s="22" t="s">
        <v>54</v>
      </c>
      <c r="U211" s="23" t="s">
        <v>550</v>
      </c>
      <c r="V211" s="24">
        <v>1.1499999999999999</v>
      </c>
      <c r="W211" s="25">
        <v>1808.95</v>
      </c>
      <c r="X211" s="26">
        <v>1</v>
      </c>
      <c r="Y211" s="27">
        <v>2.02</v>
      </c>
      <c r="Z211" s="23">
        <v>4</v>
      </c>
      <c r="AA211" s="28">
        <v>0.505</v>
      </c>
      <c r="AB211" s="24">
        <v>0</v>
      </c>
      <c r="AC211" s="29">
        <v>0</v>
      </c>
      <c r="AD211" s="30">
        <v>43560</v>
      </c>
      <c r="AE211" s="30">
        <v>43560</v>
      </c>
      <c r="AF211" s="23">
        <v>0</v>
      </c>
      <c r="AG211" s="25" t="s">
        <v>56</v>
      </c>
      <c r="AH211" s="24">
        <v>0</v>
      </c>
      <c r="AI211" s="31">
        <v>0</v>
      </c>
      <c r="AJ211" s="31">
        <v>0</v>
      </c>
      <c r="AK211" s="44">
        <f t="shared" si="6"/>
        <v>1808.95</v>
      </c>
      <c r="AL211">
        <f>VLOOKUP(A211,'[1]prueba con 16mil datos'!$A$1:$AE$804,31,FALSE)</f>
        <v>1258.4000000000001</v>
      </c>
      <c r="AM211">
        <f t="shared" si="7"/>
        <v>0</v>
      </c>
      <c r="AO211">
        <f>VLOOKUP(A211,'[1]Prueba con 19mil datos'!$B$1:$AF$1228,31,FALSE)</f>
        <v>1258.4000000000001</v>
      </c>
    </row>
    <row r="212" spans="1:41" hidden="1" x14ac:dyDescent="0.25">
      <c r="A212" s="16" t="s">
        <v>1944</v>
      </c>
      <c r="B212" s="15" t="s">
        <v>40</v>
      </c>
      <c r="C212" s="16">
        <v>1</v>
      </c>
      <c r="D212" s="16" t="s">
        <v>1157</v>
      </c>
      <c r="E212" s="17" t="s">
        <v>42</v>
      </c>
      <c r="F212" s="18" t="s">
        <v>180</v>
      </c>
      <c r="G212" s="18" t="s">
        <v>1158</v>
      </c>
      <c r="H212" s="16" t="s">
        <v>115</v>
      </c>
      <c r="I212" s="19" t="s">
        <v>3</v>
      </c>
      <c r="J212" s="16" t="s">
        <v>12</v>
      </c>
      <c r="K212" s="20" t="s">
        <v>126</v>
      </c>
      <c r="L212" s="20" t="s">
        <v>1152</v>
      </c>
      <c r="M212" s="16" t="s">
        <v>118</v>
      </c>
      <c r="N212" s="16">
        <v>0</v>
      </c>
      <c r="O212" s="16" t="s">
        <v>50</v>
      </c>
      <c r="P212" s="20">
        <v>32</v>
      </c>
      <c r="Q212" s="20" t="s">
        <v>86</v>
      </c>
      <c r="R212" s="21" t="s">
        <v>186</v>
      </c>
      <c r="S212" s="22" t="s">
        <v>187</v>
      </c>
      <c r="T212" s="22" t="s">
        <v>54</v>
      </c>
      <c r="U212" s="23" t="s">
        <v>188</v>
      </c>
      <c r="V212" s="24">
        <v>1.1000000000000001</v>
      </c>
      <c r="W212" s="25">
        <v>1730.3000000000004</v>
      </c>
      <c r="X212" s="26">
        <v>1</v>
      </c>
      <c r="Y212" s="27">
        <v>2.82</v>
      </c>
      <c r="Z212" s="23">
        <v>4</v>
      </c>
      <c r="AA212" s="28">
        <v>0.70499999999999996</v>
      </c>
      <c r="AB212" s="24">
        <v>0</v>
      </c>
      <c r="AC212" s="29">
        <v>0</v>
      </c>
      <c r="AD212" s="30">
        <v>43560</v>
      </c>
      <c r="AE212" s="30">
        <v>43563</v>
      </c>
      <c r="AF212" s="23">
        <v>1</v>
      </c>
      <c r="AG212" s="25" t="s">
        <v>56</v>
      </c>
      <c r="AH212" s="24">
        <v>0</v>
      </c>
      <c r="AI212" s="31">
        <v>0</v>
      </c>
      <c r="AJ212" s="31">
        <v>0</v>
      </c>
      <c r="AK212" s="44">
        <f t="shared" si="6"/>
        <v>1730.3000000000004</v>
      </c>
      <c r="AL212">
        <f>VLOOKUP(A212,'[1]prueba con 16mil datos'!$A$1:$AE$804,31,FALSE)</f>
        <v>1258.4000000000001</v>
      </c>
      <c r="AM212">
        <f t="shared" si="7"/>
        <v>0</v>
      </c>
      <c r="AO212">
        <f>VLOOKUP(A212,'[1]Prueba con 19mil datos'!$B$1:$AF$1228,31,FALSE)</f>
        <v>1258.4000000000001</v>
      </c>
    </row>
    <row r="213" spans="1:41" hidden="1" x14ac:dyDescent="0.25">
      <c r="A213" s="16" t="s">
        <v>2527</v>
      </c>
      <c r="B213" s="15" t="s">
        <v>40</v>
      </c>
      <c r="C213" s="16">
        <v>1</v>
      </c>
      <c r="D213" s="16" t="s">
        <v>1160</v>
      </c>
      <c r="E213" s="17" t="s">
        <v>42</v>
      </c>
      <c r="F213" s="18" t="s">
        <v>180</v>
      </c>
      <c r="G213" s="18" t="s">
        <v>1161</v>
      </c>
      <c r="H213" s="16" t="s">
        <v>293</v>
      </c>
      <c r="I213" s="19" t="s">
        <v>3</v>
      </c>
      <c r="J213" s="16" t="s">
        <v>12</v>
      </c>
      <c r="K213" s="20" t="s">
        <v>198</v>
      </c>
      <c r="L213" s="20" t="s">
        <v>963</v>
      </c>
      <c r="M213" s="16" t="s">
        <v>414</v>
      </c>
      <c r="N213" s="16">
        <v>0</v>
      </c>
      <c r="O213" s="16" t="s">
        <v>50</v>
      </c>
      <c r="P213" s="20">
        <v>1</v>
      </c>
      <c r="Q213" s="20" t="s">
        <v>147</v>
      </c>
      <c r="R213" s="21" t="s">
        <v>186</v>
      </c>
      <c r="S213" s="22" t="s">
        <v>187</v>
      </c>
      <c r="T213" s="22" t="s">
        <v>54</v>
      </c>
      <c r="U213" s="23" t="s">
        <v>389</v>
      </c>
      <c r="V213" s="24">
        <v>0</v>
      </c>
      <c r="W213" s="25">
        <v>0</v>
      </c>
      <c r="X213" s="26">
        <v>1</v>
      </c>
      <c r="Y213" s="27">
        <v>3.13</v>
      </c>
      <c r="Z213" s="23">
        <v>4</v>
      </c>
      <c r="AA213" s="28">
        <v>0.78249999999999997</v>
      </c>
      <c r="AB213" s="24">
        <v>0</v>
      </c>
      <c r="AC213" s="29">
        <v>0</v>
      </c>
      <c r="AD213" s="30">
        <v>43560</v>
      </c>
      <c r="AE213" s="30">
        <v>43563</v>
      </c>
      <c r="AF213" s="23">
        <v>1</v>
      </c>
      <c r="AG213" s="25" t="s">
        <v>56</v>
      </c>
      <c r="AH213" s="24">
        <v>0</v>
      </c>
      <c r="AI213" s="31">
        <v>0</v>
      </c>
      <c r="AJ213" s="31">
        <v>0</v>
      </c>
      <c r="AK213" s="44">
        <f t="shared" si="6"/>
        <v>0</v>
      </c>
      <c r="AL213">
        <f>VLOOKUP(A213,'[1]prueba con 16mil datos'!$A$1:$AE$804,31,FALSE)</f>
        <v>1573</v>
      </c>
      <c r="AM213">
        <f t="shared" si="7"/>
        <v>0</v>
      </c>
      <c r="AO213">
        <f>VLOOKUP(A213,'[1]Prueba con 19mil datos'!$B$1:$AF$1228,31,FALSE)</f>
        <v>1573</v>
      </c>
    </row>
    <row r="214" spans="1:41" hidden="1" x14ac:dyDescent="0.25">
      <c r="A214" s="16" t="s">
        <v>2013</v>
      </c>
      <c r="B214" s="15" t="s">
        <v>40</v>
      </c>
      <c r="C214" s="16">
        <v>1</v>
      </c>
      <c r="D214" s="16" t="s">
        <v>1138</v>
      </c>
      <c r="E214" s="17" t="s">
        <v>42</v>
      </c>
      <c r="F214" s="18" t="s">
        <v>1139</v>
      </c>
      <c r="G214" s="18" t="s">
        <v>1140</v>
      </c>
      <c r="H214" s="16" t="s">
        <v>331</v>
      </c>
      <c r="I214" s="19" t="s">
        <v>3</v>
      </c>
      <c r="J214" s="16" t="s">
        <v>12</v>
      </c>
      <c r="K214" s="20" t="s">
        <v>126</v>
      </c>
      <c r="L214" s="20" t="s">
        <v>1142</v>
      </c>
      <c r="M214" s="16" t="s">
        <v>429</v>
      </c>
      <c r="N214" s="16">
        <v>0</v>
      </c>
      <c r="O214" s="16" t="s">
        <v>50</v>
      </c>
      <c r="P214" s="20">
        <v>557</v>
      </c>
      <c r="Q214" s="20" t="s">
        <v>51</v>
      </c>
      <c r="R214" s="21" t="s">
        <v>186</v>
      </c>
      <c r="S214" s="22" t="s">
        <v>187</v>
      </c>
      <c r="T214" s="22" t="s">
        <v>54</v>
      </c>
      <c r="U214" s="23" t="s">
        <v>550</v>
      </c>
      <c r="V214" s="24">
        <v>1.1499999999999999</v>
      </c>
      <c r="W214" s="25">
        <v>1808.95</v>
      </c>
      <c r="X214" s="26">
        <v>1</v>
      </c>
      <c r="Y214" s="27">
        <v>3</v>
      </c>
      <c r="Z214" s="23">
        <v>4</v>
      </c>
      <c r="AA214" s="28">
        <v>0.75</v>
      </c>
      <c r="AB214" s="24">
        <v>0</v>
      </c>
      <c r="AC214" s="29">
        <v>0</v>
      </c>
      <c r="AD214" s="30">
        <v>43560</v>
      </c>
      <c r="AE214" s="30">
        <v>43562</v>
      </c>
      <c r="AF214" s="23">
        <v>0</v>
      </c>
      <c r="AG214" s="25" t="s">
        <v>56</v>
      </c>
      <c r="AH214" s="24">
        <v>0</v>
      </c>
      <c r="AI214" s="31">
        <v>0</v>
      </c>
      <c r="AJ214" s="31">
        <v>0</v>
      </c>
      <c r="AK214" s="44">
        <f t="shared" si="6"/>
        <v>1808.95</v>
      </c>
      <c r="AL214">
        <f>VLOOKUP(A214,'[1]prueba con 16mil datos'!$A$1:$AE$804,31,FALSE)</f>
        <v>1651.65</v>
      </c>
      <c r="AM214">
        <f t="shared" si="7"/>
        <v>0</v>
      </c>
      <c r="AO214">
        <f>VLOOKUP(A214,'[1]Prueba con 19mil datos'!$B$1:$AF$1228,31,FALSE)</f>
        <v>1651.65</v>
      </c>
    </row>
    <row r="215" spans="1:41" hidden="1" x14ac:dyDescent="0.25">
      <c r="A215" s="16" t="s">
        <v>1352</v>
      </c>
      <c r="B215" s="15" t="s">
        <v>40</v>
      </c>
      <c r="C215" s="16">
        <v>1</v>
      </c>
      <c r="D215" s="16" t="s">
        <v>996</v>
      </c>
      <c r="E215" s="17" t="s">
        <v>42</v>
      </c>
      <c r="F215" s="18" t="s">
        <v>574</v>
      </c>
      <c r="G215" s="18" t="s">
        <v>997</v>
      </c>
      <c r="H215" s="16" t="s">
        <v>377</v>
      </c>
      <c r="I215" s="19" t="s">
        <v>3</v>
      </c>
      <c r="J215" s="16" t="s">
        <v>12</v>
      </c>
      <c r="K215" s="20" t="s">
        <v>378</v>
      </c>
      <c r="L215" s="20" t="s">
        <v>577</v>
      </c>
      <c r="M215" s="16" t="s">
        <v>128</v>
      </c>
      <c r="N215" s="16">
        <v>0</v>
      </c>
      <c r="O215" s="16" t="s">
        <v>50</v>
      </c>
      <c r="P215" s="20">
        <v>111</v>
      </c>
      <c r="Q215" s="20" t="s">
        <v>51</v>
      </c>
      <c r="R215" s="21" t="s">
        <v>148</v>
      </c>
      <c r="S215" s="22" t="s">
        <v>130</v>
      </c>
      <c r="T215" s="22" t="s">
        <v>54</v>
      </c>
      <c r="U215" s="23" t="s">
        <v>226</v>
      </c>
      <c r="V215" s="24">
        <v>1.1000000000000001</v>
      </c>
      <c r="W215" s="25">
        <v>1501.5000000000002</v>
      </c>
      <c r="X215" s="26">
        <v>1</v>
      </c>
      <c r="Y215" s="27">
        <v>0.55000000000000004</v>
      </c>
      <c r="Z215" s="23">
        <v>5</v>
      </c>
      <c r="AA215" s="28">
        <v>0.11000000000000001</v>
      </c>
      <c r="AB215" s="24">
        <v>0</v>
      </c>
      <c r="AC215" s="29">
        <v>0</v>
      </c>
      <c r="AD215" s="30">
        <v>43560</v>
      </c>
      <c r="AE215" s="30">
        <v>43560</v>
      </c>
      <c r="AF215" s="23">
        <v>0</v>
      </c>
      <c r="AG215" s="25" t="s">
        <v>56</v>
      </c>
      <c r="AH215" s="24">
        <v>0</v>
      </c>
      <c r="AI215" s="31">
        <v>0</v>
      </c>
      <c r="AJ215" s="31">
        <v>0</v>
      </c>
      <c r="AK215" s="44">
        <f t="shared" si="6"/>
        <v>1501.5000000000002</v>
      </c>
      <c r="AL215">
        <f>VLOOKUP(A215,'[1]prueba con 16mil datos'!$A$1:$AE$804,31,FALSE)</f>
        <v>1730.3</v>
      </c>
      <c r="AM215">
        <f t="shared" si="7"/>
        <v>0</v>
      </c>
      <c r="AO215">
        <f>VLOOKUP(A215,'[1]Prueba con 19mil datos'!$B$1:$AF$1228,31,FALSE)</f>
        <v>1730.3</v>
      </c>
    </row>
    <row r="216" spans="1:41" hidden="1" x14ac:dyDescent="0.25">
      <c r="A216" s="16" t="s">
        <v>1352</v>
      </c>
      <c r="B216" s="15" t="s">
        <v>40</v>
      </c>
      <c r="C216" s="16">
        <v>1</v>
      </c>
      <c r="D216" s="16" t="s">
        <v>1024</v>
      </c>
      <c r="E216" s="17" t="s">
        <v>42</v>
      </c>
      <c r="F216" s="18" t="s">
        <v>122</v>
      </c>
      <c r="G216" s="18" t="s">
        <v>1025</v>
      </c>
      <c r="H216" s="16" t="s">
        <v>168</v>
      </c>
      <c r="I216" s="19" t="s">
        <v>3</v>
      </c>
      <c r="J216" s="16" t="s">
        <v>12</v>
      </c>
      <c r="K216" s="20" t="s">
        <v>1027</v>
      </c>
      <c r="L216" s="20" t="s">
        <v>1028</v>
      </c>
      <c r="M216" s="16" t="s">
        <v>171</v>
      </c>
      <c r="N216" s="16">
        <v>0</v>
      </c>
      <c r="O216" s="16" t="s">
        <v>50</v>
      </c>
      <c r="P216" s="20">
        <v>48</v>
      </c>
      <c r="Q216" s="20" t="s">
        <v>86</v>
      </c>
      <c r="R216" s="21" t="s">
        <v>129</v>
      </c>
      <c r="S216" s="22" t="s">
        <v>130</v>
      </c>
      <c r="T216" s="22" t="s">
        <v>54</v>
      </c>
      <c r="U216" s="23" t="s">
        <v>178</v>
      </c>
      <c r="V216" s="24">
        <v>1.05</v>
      </c>
      <c r="W216" s="25">
        <v>1433.25</v>
      </c>
      <c r="X216" s="26">
        <v>1</v>
      </c>
      <c r="Y216" s="27">
        <v>1.93</v>
      </c>
      <c r="Z216" s="23">
        <v>5</v>
      </c>
      <c r="AA216" s="28">
        <v>0.38600000000000001</v>
      </c>
      <c r="AB216" s="24">
        <v>0</v>
      </c>
      <c r="AC216" s="29">
        <v>0</v>
      </c>
      <c r="AD216" s="30">
        <v>43560</v>
      </c>
      <c r="AE216" s="30">
        <v>43560</v>
      </c>
      <c r="AF216" s="23">
        <v>0</v>
      </c>
      <c r="AG216" s="25" t="s">
        <v>56</v>
      </c>
      <c r="AH216" s="24">
        <v>0</v>
      </c>
      <c r="AI216" s="31">
        <v>0</v>
      </c>
      <c r="AJ216" s="31">
        <v>0</v>
      </c>
      <c r="AK216" s="44">
        <f t="shared" si="6"/>
        <v>1433.25</v>
      </c>
      <c r="AL216">
        <f>VLOOKUP(A216,'[1]prueba con 16mil datos'!$A$1:$AE$804,31,FALSE)</f>
        <v>1730.3</v>
      </c>
      <c r="AM216">
        <f t="shared" si="7"/>
        <v>0</v>
      </c>
      <c r="AO216">
        <f>VLOOKUP(A216,'[1]Prueba con 19mil datos'!$B$1:$AF$1228,31,FALSE)</f>
        <v>1730.3</v>
      </c>
    </row>
    <row r="217" spans="1:41" hidden="1" x14ac:dyDescent="0.25">
      <c r="A217" s="16" t="s">
        <v>2755</v>
      </c>
      <c r="B217" s="15" t="s">
        <v>40</v>
      </c>
      <c r="C217" s="16">
        <v>1</v>
      </c>
      <c r="D217" s="16" t="s">
        <v>1082</v>
      </c>
      <c r="E217" s="17" t="s">
        <v>42</v>
      </c>
      <c r="F217" s="18" t="s">
        <v>715</v>
      </c>
      <c r="G217" s="18" t="s">
        <v>1083</v>
      </c>
      <c r="H217" s="16" t="s">
        <v>192</v>
      </c>
      <c r="I217" s="19" t="s">
        <v>3</v>
      </c>
      <c r="J217" s="16" t="s">
        <v>12</v>
      </c>
      <c r="K217" s="20" t="s">
        <v>154</v>
      </c>
      <c r="L217" s="20" t="s">
        <v>1085</v>
      </c>
      <c r="M217" s="16" t="s">
        <v>1086</v>
      </c>
      <c r="N217" s="16">
        <v>0</v>
      </c>
      <c r="O217" s="16" t="s">
        <v>50</v>
      </c>
      <c r="P217" s="20">
        <v>72</v>
      </c>
      <c r="Q217" s="20" t="s">
        <v>51</v>
      </c>
      <c r="R217" s="21" t="s">
        <v>77</v>
      </c>
      <c r="S217" s="22" t="s">
        <v>53</v>
      </c>
      <c r="T217" s="22" t="s">
        <v>54</v>
      </c>
      <c r="U217" s="23" t="s">
        <v>55</v>
      </c>
      <c r="V217" s="24">
        <v>1.05</v>
      </c>
      <c r="W217" s="25">
        <v>750.75000000000011</v>
      </c>
      <c r="X217" s="26">
        <v>1</v>
      </c>
      <c r="Y217" s="27">
        <v>2.12</v>
      </c>
      <c r="Z217" s="23">
        <v>5</v>
      </c>
      <c r="AA217" s="28">
        <v>0.42400000000000004</v>
      </c>
      <c r="AB217" s="24">
        <v>0</v>
      </c>
      <c r="AC217" s="29">
        <v>0</v>
      </c>
      <c r="AD217" s="30">
        <v>43560</v>
      </c>
      <c r="AE217" s="30">
        <v>43560</v>
      </c>
      <c r="AF217" s="23">
        <v>0</v>
      </c>
      <c r="AG217" s="25" t="s">
        <v>56</v>
      </c>
      <c r="AH217" s="24">
        <v>0</v>
      </c>
      <c r="AI217" s="31">
        <v>0</v>
      </c>
      <c r="AJ217" s="31">
        <v>0</v>
      </c>
      <c r="AK217" s="44">
        <f t="shared" si="6"/>
        <v>750.75000000000011</v>
      </c>
      <c r="AL217">
        <f>VLOOKUP(A217,'[1]prueba con 16mil datos'!$A$1:$AE$804,31,FALSE)</f>
        <v>1730.3</v>
      </c>
      <c r="AM217">
        <f t="shared" si="7"/>
        <v>0</v>
      </c>
      <c r="AO217">
        <f>VLOOKUP(A217,'[1]Prueba con 19mil datos'!$B$1:$AF$1228,31,FALSE)</f>
        <v>1730.3</v>
      </c>
    </row>
    <row r="218" spans="1:41" hidden="1" x14ac:dyDescent="0.25">
      <c r="A218" s="16" t="s">
        <v>1058</v>
      </c>
      <c r="B218" s="15" t="s">
        <v>40</v>
      </c>
      <c r="C218" s="16">
        <v>1</v>
      </c>
      <c r="D218" s="16" t="s">
        <v>1091</v>
      </c>
      <c r="E218" s="17" t="s">
        <v>42</v>
      </c>
      <c r="F218" s="18" t="s">
        <v>1092</v>
      </c>
      <c r="G218" s="18" t="s">
        <v>1093</v>
      </c>
      <c r="H218" s="16" t="s">
        <v>621</v>
      </c>
      <c r="I218" s="19" t="s">
        <v>3</v>
      </c>
      <c r="J218" s="16" t="s">
        <v>12</v>
      </c>
      <c r="K218" s="20" t="s">
        <v>47</v>
      </c>
      <c r="L218" s="20" t="s">
        <v>1095</v>
      </c>
      <c r="M218" s="16" t="s">
        <v>650</v>
      </c>
      <c r="N218" s="16">
        <v>0</v>
      </c>
      <c r="O218" s="16" t="s">
        <v>50</v>
      </c>
      <c r="P218" s="20">
        <v>39</v>
      </c>
      <c r="Q218" s="20" t="s">
        <v>86</v>
      </c>
      <c r="R218" s="21" t="s">
        <v>225</v>
      </c>
      <c r="S218" s="22" t="s">
        <v>130</v>
      </c>
      <c r="T218" s="22" t="s">
        <v>157</v>
      </c>
      <c r="U218" s="23" t="s">
        <v>178</v>
      </c>
      <c r="V218" s="24">
        <v>1.05</v>
      </c>
      <c r="W218" s="25">
        <v>1433.25</v>
      </c>
      <c r="X218" s="26">
        <v>1</v>
      </c>
      <c r="Y218" s="27">
        <v>1.92</v>
      </c>
      <c r="Z218" s="23">
        <v>9</v>
      </c>
      <c r="AA218" s="28">
        <v>0.21333333333333332</v>
      </c>
      <c r="AB218" s="24">
        <v>0</v>
      </c>
      <c r="AC218" s="29">
        <v>0</v>
      </c>
      <c r="AD218" s="30">
        <v>43560</v>
      </c>
      <c r="AE218" s="30">
        <v>43560</v>
      </c>
      <c r="AF218" s="23">
        <v>0</v>
      </c>
      <c r="AG218" s="25" t="s">
        <v>56</v>
      </c>
      <c r="AH218" s="24">
        <v>0</v>
      </c>
      <c r="AI218" s="31">
        <v>0</v>
      </c>
      <c r="AJ218" s="31">
        <v>0</v>
      </c>
      <c r="AK218" s="44">
        <f t="shared" si="6"/>
        <v>1433.25</v>
      </c>
      <c r="AL218">
        <f>VLOOKUP(A218,'[1]prueba con 16mil datos'!$A$1:$AE$804,31,FALSE)</f>
        <v>1651.65</v>
      </c>
      <c r="AM218">
        <f t="shared" si="7"/>
        <v>0</v>
      </c>
      <c r="AO218">
        <f>VLOOKUP(A218,'[1]Prueba con 19mil datos'!$B$1:$AF$1228,31,FALSE)</f>
        <v>1651.65</v>
      </c>
    </row>
    <row r="219" spans="1:41" hidden="1" x14ac:dyDescent="0.25">
      <c r="A219" s="16" t="s">
        <v>1058</v>
      </c>
      <c r="B219" s="15" t="s">
        <v>40</v>
      </c>
      <c r="C219" s="16">
        <v>1</v>
      </c>
      <c r="D219" s="16" t="s">
        <v>1060</v>
      </c>
      <c r="E219" s="17" t="s">
        <v>42</v>
      </c>
      <c r="F219" s="18" t="s">
        <v>745</v>
      </c>
      <c r="G219" s="18" t="s">
        <v>1061</v>
      </c>
      <c r="H219" s="16" t="s">
        <v>516</v>
      </c>
      <c r="I219" s="19" t="s">
        <v>3</v>
      </c>
      <c r="J219" s="16" t="s">
        <v>12</v>
      </c>
      <c r="K219" s="20" t="s">
        <v>126</v>
      </c>
      <c r="L219" s="20" t="s">
        <v>928</v>
      </c>
      <c r="M219" s="16" t="s">
        <v>372</v>
      </c>
      <c r="N219" s="16">
        <v>0</v>
      </c>
      <c r="O219" s="16" t="s">
        <v>50</v>
      </c>
      <c r="P219" s="20">
        <v>7</v>
      </c>
      <c r="Q219" s="20" t="s">
        <v>65</v>
      </c>
      <c r="R219" s="21" t="s">
        <v>287</v>
      </c>
      <c r="S219" s="22" t="s">
        <v>288</v>
      </c>
      <c r="T219" s="22" t="s">
        <v>54</v>
      </c>
      <c r="U219" s="23" t="s">
        <v>201</v>
      </c>
      <c r="V219" s="24">
        <v>0.8</v>
      </c>
      <c r="W219" s="25">
        <v>1258.4000000000003</v>
      </c>
      <c r="X219" s="26">
        <v>1</v>
      </c>
      <c r="Y219" s="27">
        <v>1.17</v>
      </c>
      <c r="Z219" s="23">
        <v>4</v>
      </c>
      <c r="AA219" s="28">
        <v>0.29249999999999998</v>
      </c>
      <c r="AB219" s="24">
        <v>0</v>
      </c>
      <c r="AC219" s="29">
        <v>0</v>
      </c>
      <c r="AD219" s="30">
        <v>43560</v>
      </c>
      <c r="AE219" s="30">
        <v>43560</v>
      </c>
      <c r="AF219" s="23">
        <v>0</v>
      </c>
      <c r="AG219" s="25" t="s">
        <v>56</v>
      </c>
      <c r="AH219" s="24">
        <v>0</v>
      </c>
      <c r="AI219" s="31">
        <v>0</v>
      </c>
      <c r="AJ219" s="31">
        <v>0</v>
      </c>
      <c r="AK219" s="44">
        <f t="shared" si="6"/>
        <v>1258.4000000000003</v>
      </c>
      <c r="AL219">
        <f>VLOOKUP(A219,'[1]prueba con 16mil datos'!$A$1:$AE$804,31,FALSE)</f>
        <v>1651.65</v>
      </c>
      <c r="AM219">
        <f t="shared" si="7"/>
        <v>0</v>
      </c>
      <c r="AO219">
        <f>VLOOKUP(A219,'[1]Prueba con 19mil datos'!$B$1:$AF$1228,31,FALSE)</f>
        <v>1651.65</v>
      </c>
    </row>
    <row r="220" spans="1:41" hidden="1" x14ac:dyDescent="0.25">
      <c r="A220" s="16" t="s">
        <v>2984</v>
      </c>
      <c r="B220" s="15" t="s">
        <v>40</v>
      </c>
      <c r="C220" s="16">
        <v>1</v>
      </c>
      <c r="D220" s="16" t="s">
        <v>1069</v>
      </c>
      <c r="E220" s="17" t="s">
        <v>42</v>
      </c>
      <c r="F220" s="18" t="s">
        <v>298</v>
      </c>
      <c r="G220" s="18" t="s">
        <v>1070</v>
      </c>
      <c r="H220" s="16" t="s">
        <v>301</v>
      </c>
      <c r="I220" s="19" t="s">
        <v>3</v>
      </c>
      <c r="J220" s="16" t="s">
        <v>12</v>
      </c>
      <c r="K220" s="20" t="s">
        <v>265</v>
      </c>
      <c r="L220" s="20" t="s">
        <v>302</v>
      </c>
      <c r="M220" s="16" t="s">
        <v>267</v>
      </c>
      <c r="N220" s="16">
        <v>0</v>
      </c>
      <c r="O220" s="16" t="s">
        <v>50</v>
      </c>
      <c r="P220" s="20">
        <v>1</v>
      </c>
      <c r="Q220" s="20" t="s">
        <v>147</v>
      </c>
      <c r="R220" s="21" t="s">
        <v>303</v>
      </c>
      <c r="S220" s="22" t="s">
        <v>130</v>
      </c>
      <c r="T220" s="22" t="s">
        <v>54</v>
      </c>
      <c r="U220" s="23" t="s">
        <v>149</v>
      </c>
      <c r="V220" s="24">
        <v>0</v>
      </c>
      <c r="W220" s="25">
        <v>0</v>
      </c>
      <c r="X220" s="26">
        <v>1</v>
      </c>
      <c r="Y220" s="27">
        <v>0</v>
      </c>
      <c r="Z220" s="23">
        <v>5</v>
      </c>
      <c r="AA220" s="28">
        <v>0</v>
      </c>
      <c r="AB220" s="24">
        <v>0</v>
      </c>
      <c r="AC220" s="29">
        <v>0</v>
      </c>
      <c r="AD220" s="30">
        <v>43560</v>
      </c>
      <c r="AE220" s="30">
        <v>43560</v>
      </c>
      <c r="AF220" s="23">
        <v>0</v>
      </c>
      <c r="AG220" s="25" t="s">
        <v>56</v>
      </c>
      <c r="AH220" s="24">
        <v>0</v>
      </c>
      <c r="AI220" s="31">
        <v>0</v>
      </c>
      <c r="AJ220" s="31">
        <v>0</v>
      </c>
      <c r="AK220" s="44">
        <f t="shared" si="6"/>
        <v>0</v>
      </c>
      <c r="AL220">
        <f>VLOOKUP(A220,'[1]prueba con 16mil datos'!$A$1:$AE$804,31,FALSE)</f>
        <v>1730.3</v>
      </c>
      <c r="AM220">
        <f t="shared" si="7"/>
        <v>0</v>
      </c>
      <c r="AO220">
        <f>VLOOKUP(A220,'[1]Prueba con 19mil datos'!$B$1:$AF$1228,31,FALSE)</f>
        <v>1730.3</v>
      </c>
    </row>
    <row r="221" spans="1:41" hidden="1" x14ac:dyDescent="0.25">
      <c r="A221" s="16" t="s">
        <v>2731</v>
      </c>
      <c r="B221" s="15" t="s">
        <v>40</v>
      </c>
      <c r="C221" s="16">
        <v>1</v>
      </c>
      <c r="D221" s="16" t="s">
        <v>1071</v>
      </c>
      <c r="E221" s="17" t="s">
        <v>42</v>
      </c>
      <c r="F221" s="18" t="s">
        <v>290</v>
      </c>
      <c r="G221" s="18" t="s">
        <v>1072</v>
      </c>
      <c r="H221" s="16" t="s">
        <v>168</v>
      </c>
      <c r="I221" s="19" t="s">
        <v>3</v>
      </c>
      <c r="J221" s="16" t="s">
        <v>12</v>
      </c>
      <c r="K221" s="20" t="s">
        <v>1027</v>
      </c>
      <c r="L221" s="20" t="s">
        <v>1074</v>
      </c>
      <c r="M221" s="16" t="s">
        <v>171</v>
      </c>
      <c r="N221" s="16">
        <v>0</v>
      </c>
      <c r="O221" s="16" t="s">
        <v>50</v>
      </c>
      <c r="P221" s="20">
        <v>668</v>
      </c>
      <c r="Q221" s="20" t="s">
        <v>51</v>
      </c>
      <c r="R221" s="21" t="s">
        <v>129</v>
      </c>
      <c r="S221" s="22" t="s">
        <v>130</v>
      </c>
      <c r="T221" s="22" t="s">
        <v>54</v>
      </c>
      <c r="U221" s="23" t="s">
        <v>226</v>
      </c>
      <c r="V221" s="24">
        <v>1.1000000000000001</v>
      </c>
      <c r="W221" s="25">
        <v>1501.5000000000002</v>
      </c>
      <c r="X221" s="26">
        <v>1</v>
      </c>
      <c r="Y221" s="27">
        <v>2.37</v>
      </c>
      <c r="Z221" s="23">
        <v>5</v>
      </c>
      <c r="AA221" s="28">
        <v>0.47400000000000003</v>
      </c>
      <c r="AB221" s="24">
        <v>0</v>
      </c>
      <c r="AC221" s="29">
        <v>0</v>
      </c>
      <c r="AD221" s="30">
        <v>43560</v>
      </c>
      <c r="AE221" s="30">
        <v>43560</v>
      </c>
      <c r="AF221" s="23">
        <v>0</v>
      </c>
      <c r="AG221" s="25" t="s">
        <v>56</v>
      </c>
      <c r="AH221" s="24">
        <v>0</v>
      </c>
      <c r="AI221" s="31">
        <v>0</v>
      </c>
      <c r="AJ221" s="31">
        <v>0</v>
      </c>
      <c r="AK221" s="44">
        <f t="shared" si="6"/>
        <v>1501.5000000000002</v>
      </c>
      <c r="AL221">
        <f>VLOOKUP(A221,'[1]prueba con 16mil datos'!$A$1:$AE$804,31,FALSE)</f>
        <v>1730.3</v>
      </c>
      <c r="AM221">
        <f t="shared" si="7"/>
        <v>0</v>
      </c>
      <c r="AO221">
        <f>VLOOKUP(A221,'[1]Prueba con 19mil datos'!$B$1:$AF$1228,31,FALSE)</f>
        <v>1730.3</v>
      </c>
    </row>
    <row r="222" spans="1:41" hidden="1" x14ac:dyDescent="0.25">
      <c r="A222" s="16" t="s">
        <v>1613</v>
      </c>
      <c r="B222" s="15" t="s">
        <v>40</v>
      </c>
      <c r="C222" s="16">
        <v>1</v>
      </c>
      <c r="D222" s="16" t="s">
        <v>1146</v>
      </c>
      <c r="E222" s="17" t="s">
        <v>42</v>
      </c>
      <c r="F222" s="18" t="s">
        <v>290</v>
      </c>
      <c r="G222" s="18" t="s">
        <v>1147</v>
      </c>
      <c r="H222" s="16" t="s">
        <v>317</v>
      </c>
      <c r="I222" s="19" t="s">
        <v>3</v>
      </c>
      <c r="J222" s="16" t="s">
        <v>12</v>
      </c>
      <c r="K222" s="20" t="s">
        <v>83</v>
      </c>
      <c r="L222" s="20" t="s">
        <v>727</v>
      </c>
      <c r="M222" s="16" t="s">
        <v>128</v>
      </c>
      <c r="N222" s="16">
        <v>0</v>
      </c>
      <c r="O222" s="16" t="s">
        <v>50</v>
      </c>
      <c r="P222" s="20">
        <v>28</v>
      </c>
      <c r="Q222" s="20" t="s">
        <v>119</v>
      </c>
      <c r="R222" s="21" t="s">
        <v>129</v>
      </c>
      <c r="S222" s="22" t="s">
        <v>130</v>
      </c>
      <c r="T222" s="22" t="s">
        <v>54</v>
      </c>
      <c r="U222" s="23" t="s">
        <v>164</v>
      </c>
      <c r="V222" s="24">
        <v>0.8</v>
      </c>
      <c r="W222" s="25">
        <v>1092</v>
      </c>
      <c r="X222" s="26">
        <v>1</v>
      </c>
      <c r="Y222" s="27">
        <v>1.45</v>
      </c>
      <c r="Z222" s="23">
        <v>5</v>
      </c>
      <c r="AA222" s="28">
        <v>0.28999999999999998</v>
      </c>
      <c r="AB222" s="24">
        <v>0</v>
      </c>
      <c r="AC222" s="29">
        <v>0</v>
      </c>
      <c r="AD222" s="30">
        <v>43560</v>
      </c>
      <c r="AE222" s="30">
        <v>43563</v>
      </c>
      <c r="AF222" s="23">
        <v>1</v>
      </c>
      <c r="AG222" s="25" t="s">
        <v>56</v>
      </c>
      <c r="AH222" s="24">
        <v>0</v>
      </c>
      <c r="AI222" s="31">
        <v>0</v>
      </c>
      <c r="AJ222" s="31">
        <v>0</v>
      </c>
      <c r="AK222" s="44">
        <f t="shared" si="6"/>
        <v>1092</v>
      </c>
      <c r="AL222">
        <f>VLOOKUP(A222,'[1]prueba con 16mil datos'!$A$1:$AE$804,31,FALSE)</f>
        <v>1651.65</v>
      </c>
      <c r="AM222">
        <f t="shared" si="7"/>
        <v>0</v>
      </c>
      <c r="AO222">
        <f>VLOOKUP(A222,'[1]Prueba con 19mil datos'!$B$1:$AF$1228,31,FALSE)</f>
        <v>1651.65</v>
      </c>
    </row>
    <row r="223" spans="1:41" hidden="1" x14ac:dyDescent="0.25">
      <c r="A223" s="16" t="s">
        <v>2797</v>
      </c>
      <c r="B223" s="15" t="s">
        <v>40</v>
      </c>
      <c r="C223" s="16">
        <v>1</v>
      </c>
      <c r="D223" s="16" t="s">
        <v>1029</v>
      </c>
      <c r="E223" s="17" t="s">
        <v>42</v>
      </c>
      <c r="F223" s="18" t="s">
        <v>1030</v>
      </c>
      <c r="G223" s="18" t="s">
        <v>1031</v>
      </c>
      <c r="H223" s="16" t="s">
        <v>317</v>
      </c>
      <c r="I223" s="19" t="s">
        <v>3</v>
      </c>
      <c r="J223" s="16" t="s">
        <v>12</v>
      </c>
      <c r="K223" s="20" t="s">
        <v>1033</v>
      </c>
      <c r="L223" s="20" t="s">
        <v>1034</v>
      </c>
      <c r="M223" s="16" t="s">
        <v>105</v>
      </c>
      <c r="N223" s="16">
        <v>0</v>
      </c>
      <c r="O223" s="16" t="s">
        <v>50</v>
      </c>
      <c r="P223" s="20">
        <v>316</v>
      </c>
      <c r="Q223" s="20" t="s">
        <v>51</v>
      </c>
      <c r="R223" s="21" t="s">
        <v>87</v>
      </c>
      <c r="S223" s="22" t="s">
        <v>53</v>
      </c>
      <c r="T223" s="22" t="s">
        <v>54</v>
      </c>
      <c r="U223" s="23" t="s">
        <v>55</v>
      </c>
      <c r="V223" s="24">
        <v>1.05</v>
      </c>
      <c r="W223" s="25">
        <v>750.75000000000011</v>
      </c>
      <c r="X223" s="26">
        <v>1</v>
      </c>
      <c r="Y223" s="27">
        <v>1.53</v>
      </c>
      <c r="Z223" s="23">
        <v>5</v>
      </c>
      <c r="AA223" s="28">
        <v>0.30599999999999999</v>
      </c>
      <c r="AB223" s="24">
        <v>0</v>
      </c>
      <c r="AC223" s="29">
        <v>0</v>
      </c>
      <c r="AD223" s="30">
        <v>43560</v>
      </c>
      <c r="AE223" s="30">
        <v>43560</v>
      </c>
      <c r="AF223" s="23">
        <v>0</v>
      </c>
      <c r="AG223" s="25" t="s">
        <v>56</v>
      </c>
      <c r="AH223" s="24">
        <v>0</v>
      </c>
      <c r="AI223" s="31">
        <v>0</v>
      </c>
      <c r="AJ223" s="31">
        <v>0</v>
      </c>
      <c r="AK223" s="44">
        <f t="shared" si="6"/>
        <v>750.75000000000011</v>
      </c>
      <c r="AL223">
        <f>VLOOKUP(A223,'[1]prueba con 16mil datos'!$A$1:$AE$804,31,FALSE)</f>
        <v>1622.15625</v>
      </c>
      <c r="AM223">
        <f t="shared" si="7"/>
        <v>0</v>
      </c>
      <c r="AO223">
        <f>VLOOKUP(A223,'[1]Prueba con 19mil datos'!$B$1:$AF$1228,31,FALSE)</f>
        <v>1622.15625</v>
      </c>
    </row>
    <row r="224" spans="1:41" hidden="1" x14ac:dyDescent="0.25">
      <c r="A224" s="16" t="s">
        <v>927</v>
      </c>
      <c r="B224" s="15" t="s">
        <v>40</v>
      </c>
      <c r="C224" s="16">
        <v>1</v>
      </c>
      <c r="D224" s="16" t="s">
        <v>1118</v>
      </c>
      <c r="E224" s="17" t="s">
        <v>42</v>
      </c>
      <c r="F224" s="18" t="s">
        <v>759</v>
      </c>
      <c r="G224" s="18" t="s">
        <v>1119</v>
      </c>
      <c r="H224" s="16" t="s">
        <v>377</v>
      </c>
      <c r="I224" s="19" t="s">
        <v>3</v>
      </c>
      <c r="J224" s="16" t="s">
        <v>12</v>
      </c>
      <c r="K224" s="20" t="s">
        <v>378</v>
      </c>
      <c r="L224" s="20" t="s">
        <v>666</v>
      </c>
      <c r="M224" s="16" t="s">
        <v>128</v>
      </c>
      <c r="N224" s="16">
        <v>0</v>
      </c>
      <c r="O224" s="16" t="s">
        <v>50</v>
      </c>
      <c r="P224" s="20">
        <v>854</v>
      </c>
      <c r="Q224" s="20" t="s">
        <v>51</v>
      </c>
      <c r="R224" s="21" t="s">
        <v>87</v>
      </c>
      <c r="S224" s="22" t="s">
        <v>53</v>
      </c>
      <c r="T224" s="22" t="s">
        <v>54</v>
      </c>
      <c r="U224" s="23" t="s">
        <v>55</v>
      </c>
      <c r="V224" s="24">
        <v>1.05</v>
      </c>
      <c r="W224" s="25">
        <v>750.75000000000011</v>
      </c>
      <c r="X224" s="26">
        <v>1</v>
      </c>
      <c r="Y224" s="27">
        <v>1.56</v>
      </c>
      <c r="Z224" s="23">
        <v>5</v>
      </c>
      <c r="AA224" s="28">
        <v>0.312</v>
      </c>
      <c r="AB224" s="24">
        <v>0</v>
      </c>
      <c r="AC224" s="29">
        <v>0</v>
      </c>
      <c r="AD224" s="30">
        <v>43560</v>
      </c>
      <c r="AE224" s="30">
        <v>43560</v>
      </c>
      <c r="AF224" s="23">
        <v>0</v>
      </c>
      <c r="AG224" s="25" t="s">
        <v>56</v>
      </c>
      <c r="AH224" s="24">
        <v>0</v>
      </c>
      <c r="AI224" s="31">
        <v>0</v>
      </c>
      <c r="AJ224" s="31">
        <v>0</v>
      </c>
      <c r="AK224" s="44">
        <f t="shared" si="6"/>
        <v>750.75000000000011</v>
      </c>
      <c r="AL224">
        <f>VLOOKUP(A224,'[1]prueba con 16mil datos'!$A$1:$AE$804,31,FALSE)</f>
        <v>314.60000000000002</v>
      </c>
      <c r="AM224">
        <f t="shared" si="7"/>
        <v>0</v>
      </c>
      <c r="AO224">
        <f>VLOOKUP(A224,'[1]Prueba con 19mil datos'!$B$1:$AF$1228,31,FALSE)</f>
        <v>314.60000000000002</v>
      </c>
    </row>
    <row r="225" spans="1:41" hidden="1" x14ac:dyDescent="0.25">
      <c r="A225" s="16" t="s">
        <v>927</v>
      </c>
      <c r="B225" s="15" t="s">
        <v>40</v>
      </c>
      <c r="C225" s="16">
        <v>1</v>
      </c>
      <c r="D225" s="16" t="s">
        <v>1087</v>
      </c>
      <c r="E225" s="17" t="s">
        <v>42</v>
      </c>
      <c r="F225" s="18" t="s">
        <v>1088</v>
      </c>
      <c r="G225" s="18" t="s">
        <v>1089</v>
      </c>
      <c r="H225" s="16" t="s">
        <v>109</v>
      </c>
      <c r="I225" s="19" t="s">
        <v>3</v>
      </c>
      <c r="J225" s="16" t="s">
        <v>12</v>
      </c>
      <c r="K225" s="20" t="s">
        <v>198</v>
      </c>
      <c r="L225" s="20" t="s">
        <v>731</v>
      </c>
      <c r="M225" s="16" t="s">
        <v>200</v>
      </c>
      <c r="N225" s="16">
        <v>0</v>
      </c>
      <c r="O225" s="16" t="s">
        <v>50</v>
      </c>
      <c r="P225" s="20">
        <v>14</v>
      </c>
      <c r="Q225" s="20" t="s">
        <v>65</v>
      </c>
      <c r="R225" s="21" t="s">
        <v>186</v>
      </c>
      <c r="S225" s="22" t="s">
        <v>187</v>
      </c>
      <c r="T225" s="22" t="s">
        <v>54</v>
      </c>
      <c r="U225" s="23" t="s">
        <v>201</v>
      </c>
      <c r="V225" s="24">
        <v>0.8</v>
      </c>
      <c r="W225" s="25">
        <v>1258.4000000000003</v>
      </c>
      <c r="X225" s="26">
        <v>1</v>
      </c>
      <c r="Y225" s="27">
        <v>1.25</v>
      </c>
      <c r="Z225" s="23">
        <v>4</v>
      </c>
      <c r="AA225" s="28">
        <v>0.3125</v>
      </c>
      <c r="AB225" s="24">
        <v>0</v>
      </c>
      <c r="AC225" s="29">
        <v>0</v>
      </c>
      <c r="AD225" s="30">
        <v>43560</v>
      </c>
      <c r="AE225" s="30">
        <v>43560</v>
      </c>
      <c r="AF225" s="23">
        <v>0</v>
      </c>
      <c r="AG225" s="25" t="s">
        <v>56</v>
      </c>
      <c r="AH225" s="24">
        <v>0</v>
      </c>
      <c r="AI225" s="31">
        <v>0</v>
      </c>
      <c r="AJ225" s="31">
        <v>0</v>
      </c>
      <c r="AK225" s="44">
        <f t="shared" si="6"/>
        <v>1258.4000000000003</v>
      </c>
      <c r="AL225">
        <f>VLOOKUP(A225,'[1]prueba con 16mil datos'!$A$1:$AE$804,31,FALSE)</f>
        <v>314.60000000000002</v>
      </c>
      <c r="AM225">
        <f t="shared" si="7"/>
        <v>0</v>
      </c>
      <c r="AO225">
        <f>VLOOKUP(A225,'[1]Prueba con 19mil datos'!$B$1:$AF$1228,31,FALSE)</f>
        <v>314.60000000000002</v>
      </c>
    </row>
    <row r="226" spans="1:41" hidden="1" x14ac:dyDescent="0.25">
      <c r="A226" s="16" t="s">
        <v>2734</v>
      </c>
      <c r="B226" s="15" t="s">
        <v>40</v>
      </c>
      <c r="C226" s="16">
        <v>1</v>
      </c>
      <c r="D226" s="16" t="s">
        <v>1009</v>
      </c>
      <c r="E226" s="17" t="s">
        <v>42</v>
      </c>
      <c r="F226" s="18" t="s">
        <v>1010</v>
      </c>
      <c r="G226" s="18" t="s">
        <v>1011</v>
      </c>
      <c r="H226" s="16" t="s">
        <v>404</v>
      </c>
      <c r="I226" s="19" t="s">
        <v>3</v>
      </c>
      <c r="J226" s="16" t="s">
        <v>12</v>
      </c>
      <c r="K226" s="20" t="s">
        <v>83</v>
      </c>
      <c r="L226" s="20" t="s">
        <v>1013</v>
      </c>
      <c r="M226" s="16" t="s">
        <v>407</v>
      </c>
      <c r="N226" s="16">
        <v>0</v>
      </c>
      <c r="O226" s="16" t="s">
        <v>50</v>
      </c>
      <c r="P226" s="20">
        <v>44</v>
      </c>
      <c r="Q226" s="20" t="s">
        <v>86</v>
      </c>
      <c r="R226" s="21" t="s">
        <v>851</v>
      </c>
      <c r="S226" s="22" t="s">
        <v>53</v>
      </c>
      <c r="T226" s="22" t="s">
        <v>54</v>
      </c>
      <c r="U226" s="23" t="s">
        <v>88</v>
      </c>
      <c r="V226" s="24">
        <v>0.8</v>
      </c>
      <c r="W226" s="25">
        <v>572.00000000000011</v>
      </c>
      <c r="X226" s="26">
        <v>1</v>
      </c>
      <c r="Y226" s="27">
        <v>5.18</v>
      </c>
      <c r="Z226" s="23">
        <v>5</v>
      </c>
      <c r="AA226" s="28">
        <v>1.036</v>
      </c>
      <c r="AB226" s="24">
        <v>9.000000000000008E-3</v>
      </c>
      <c r="AC226" s="29">
        <v>-6.4350000000000067</v>
      </c>
      <c r="AD226" s="30">
        <v>43560</v>
      </c>
      <c r="AE226" s="30">
        <v>43560</v>
      </c>
      <c r="AF226" s="23">
        <v>0</v>
      </c>
      <c r="AG226" s="25" t="s">
        <v>56</v>
      </c>
      <c r="AH226" s="24">
        <v>0</v>
      </c>
      <c r="AI226" s="31">
        <v>0</v>
      </c>
      <c r="AJ226" s="31">
        <v>0</v>
      </c>
      <c r="AK226" s="44">
        <f t="shared" si="6"/>
        <v>565.56500000000005</v>
      </c>
      <c r="AL226">
        <f>VLOOKUP(A226,'[1]prueba con 16mil datos'!$A$1:$AE$804,31,FALSE)</f>
        <v>1258.4000000000001</v>
      </c>
      <c r="AM226">
        <f t="shared" si="7"/>
        <v>0</v>
      </c>
      <c r="AO226">
        <f>VLOOKUP(A226,'[1]Prueba con 19mil datos'!$B$1:$AF$1228,31,FALSE)</f>
        <v>943.8</v>
      </c>
    </row>
    <row r="227" spans="1:41" hidden="1" x14ac:dyDescent="0.25">
      <c r="A227" s="16" t="s">
        <v>1345</v>
      </c>
      <c r="B227" s="15" t="s">
        <v>40</v>
      </c>
      <c r="C227" s="16">
        <v>1</v>
      </c>
      <c r="D227" s="16" t="s">
        <v>1039</v>
      </c>
      <c r="E227" s="17" t="s">
        <v>602</v>
      </c>
      <c r="F227" s="18" t="s">
        <v>90</v>
      </c>
      <c r="G227" s="18" t="s">
        <v>1040</v>
      </c>
      <c r="H227" s="16" t="s">
        <v>331</v>
      </c>
      <c r="I227" s="19" t="s">
        <v>3</v>
      </c>
      <c r="J227" s="16" t="s">
        <v>12</v>
      </c>
      <c r="K227" s="20" t="s">
        <v>1042</v>
      </c>
      <c r="L227" s="20" t="s">
        <v>1043</v>
      </c>
      <c r="M227" s="16" t="s">
        <v>1044</v>
      </c>
      <c r="N227" s="16">
        <v>0</v>
      </c>
      <c r="O227" s="16" t="s">
        <v>50</v>
      </c>
      <c r="P227" s="20" t="s">
        <v>326</v>
      </c>
      <c r="Q227" s="20" t="s">
        <v>51</v>
      </c>
      <c r="R227" s="21" t="s">
        <v>77</v>
      </c>
      <c r="S227" s="22" t="s">
        <v>53</v>
      </c>
      <c r="T227" s="22" t="s">
        <v>157</v>
      </c>
      <c r="U227" s="23" t="s">
        <v>55</v>
      </c>
      <c r="V227" s="24">
        <v>1</v>
      </c>
      <c r="W227" s="25">
        <v>715.00000000000011</v>
      </c>
      <c r="X227" s="26">
        <v>1</v>
      </c>
      <c r="Y227" s="27">
        <v>0.17</v>
      </c>
      <c r="Z227" s="23">
        <v>9</v>
      </c>
      <c r="AA227" s="28">
        <v>1.8888888888888889E-2</v>
      </c>
      <c r="AB227" s="24">
        <v>0</v>
      </c>
      <c r="AC227" s="29">
        <v>0</v>
      </c>
      <c r="AD227" s="30">
        <v>43560</v>
      </c>
      <c r="AE227" s="30">
        <v>43560</v>
      </c>
      <c r="AF227" s="23">
        <v>0</v>
      </c>
      <c r="AG227" s="25" t="s">
        <v>56</v>
      </c>
      <c r="AH227" s="24">
        <v>0</v>
      </c>
      <c r="AI227" s="31">
        <v>0</v>
      </c>
      <c r="AJ227" s="31">
        <v>0</v>
      </c>
      <c r="AK227" s="44">
        <f t="shared" si="6"/>
        <v>715.00000000000011</v>
      </c>
      <c r="AL227">
        <f>VLOOKUP(A227,'[1]prueba con 16mil datos'!$A$1:$AE$804,31,FALSE)</f>
        <v>1258.4000000000001</v>
      </c>
      <c r="AM227">
        <f t="shared" si="7"/>
        <v>0</v>
      </c>
      <c r="AO227">
        <f>VLOOKUP(A227,'[1]Prueba con 19mil datos'!$B$1:$AF$1228,31,FALSE)</f>
        <v>1258.4000000000001</v>
      </c>
    </row>
    <row r="228" spans="1:41" hidden="1" x14ac:dyDescent="0.25">
      <c r="A228" s="16" t="s">
        <v>1345</v>
      </c>
      <c r="B228" s="15" t="s">
        <v>40</v>
      </c>
      <c r="C228" s="16">
        <v>1</v>
      </c>
      <c r="D228" s="16" t="s">
        <v>1049</v>
      </c>
      <c r="E228" s="17" t="s">
        <v>42</v>
      </c>
      <c r="F228" s="18" t="s">
        <v>528</v>
      </c>
      <c r="G228" s="18" t="s">
        <v>1050</v>
      </c>
      <c r="H228" s="16" t="s">
        <v>504</v>
      </c>
      <c r="I228" s="19" t="s">
        <v>3</v>
      </c>
      <c r="J228" s="16" t="s">
        <v>12</v>
      </c>
      <c r="K228" s="20" t="s">
        <v>1052</v>
      </c>
      <c r="L228" s="20" t="s">
        <v>1053</v>
      </c>
      <c r="M228" s="16" t="s">
        <v>1054</v>
      </c>
      <c r="N228" s="16">
        <v>0</v>
      </c>
      <c r="O228" s="16" t="s">
        <v>50</v>
      </c>
      <c r="P228" s="20">
        <v>29</v>
      </c>
      <c r="Q228" s="20" t="s">
        <v>119</v>
      </c>
      <c r="R228" s="21" t="s">
        <v>148</v>
      </c>
      <c r="S228" s="22" t="s">
        <v>130</v>
      </c>
      <c r="T228" s="22" t="s">
        <v>54</v>
      </c>
      <c r="U228" s="23" t="s">
        <v>164</v>
      </c>
      <c r="V228" s="24">
        <v>0.8</v>
      </c>
      <c r="W228" s="25">
        <v>1092</v>
      </c>
      <c r="X228" s="26">
        <v>1</v>
      </c>
      <c r="Y228" s="27">
        <v>7.57</v>
      </c>
      <c r="Z228" s="23">
        <v>5</v>
      </c>
      <c r="AA228" s="28">
        <v>1.514</v>
      </c>
      <c r="AB228" s="24">
        <v>0.1285</v>
      </c>
      <c r="AC228" s="29">
        <v>-175.4025</v>
      </c>
      <c r="AD228" s="30">
        <v>43560</v>
      </c>
      <c r="AE228" s="30">
        <v>43560</v>
      </c>
      <c r="AF228" s="23">
        <v>0</v>
      </c>
      <c r="AG228" s="25" t="s">
        <v>56</v>
      </c>
      <c r="AH228" s="24">
        <v>0</v>
      </c>
      <c r="AI228" s="31">
        <v>0</v>
      </c>
      <c r="AJ228" s="31">
        <v>0</v>
      </c>
      <c r="AK228" s="44">
        <f t="shared" si="6"/>
        <v>916.59749999999997</v>
      </c>
      <c r="AL228">
        <f>VLOOKUP(A228,'[1]prueba con 16mil datos'!$A$1:$AE$804,31,FALSE)</f>
        <v>1258.4000000000001</v>
      </c>
      <c r="AM228">
        <f t="shared" si="7"/>
        <v>0</v>
      </c>
      <c r="AO228">
        <f>VLOOKUP(A228,'[1]Prueba con 19mil datos'!$B$1:$AF$1228,31,FALSE)</f>
        <v>1258.4000000000001</v>
      </c>
    </row>
    <row r="229" spans="1:41" hidden="1" x14ac:dyDescent="0.25">
      <c r="A229" s="16" t="s">
        <v>2366</v>
      </c>
      <c r="B229" s="15" t="s">
        <v>40</v>
      </c>
      <c r="C229" s="16">
        <v>1</v>
      </c>
      <c r="D229" s="16" t="s">
        <v>1103</v>
      </c>
      <c r="E229" s="17" t="s">
        <v>42</v>
      </c>
      <c r="F229" s="18" t="s">
        <v>528</v>
      </c>
      <c r="G229" s="18" t="s">
        <v>1104</v>
      </c>
      <c r="H229" s="16" t="s">
        <v>504</v>
      </c>
      <c r="I229" s="19" t="s">
        <v>3</v>
      </c>
      <c r="J229" s="16" t="s">
        <v>12</v>
      </c>
      <c r="K229" s="20" t="s">
        <v>1106</v>
      </c>
      <c r="L229" s="20" t="s">
        <v>1107</v>
      </c>
      <c r="M229" s="16" t="s">
        <v>1108</v>
      </c>
      <c r="N229" s="16">
        <v>0</v>
      </c>
      <c r="O229" s="16" t="s">
        <v>50</v>
      </c>
      <c r="P229" s="20">
        <v>2681</v>
      </c>
      <c r="Q229" s="20" t="s">
        <v>51</v>
      </c>
      <c r="R229" s="21" t="s">
        <v>148</v>
      </c>
      <c r="S229" s="22" t="s">
        <v>130</v>
      </c>
      <c r="T229" s="22" t="s">
        <v>54</v>
      </c>
      <c r="U229" s="23" t="s">
        <v>226</v>
      </c>
      <c r="V229" s="24">
        <v>1.1000000000000001</v>
      </c>
      <c r="W229" s="25">
        <v>1501.5000000000002</v>
      </c>
      <c r="X229" s="26">
        <v>1</v>
      </c>
      <c r="Y229" s="27">
        <v>6.14</v>
      </c>
      <c r="Z229" s="23">
        <v>5</v>
      </c>
      <c r="AA229" s="28">
        <v>1.228</v>
      </c>
      <c r="AB229" s="24">
        <v>5.6999999999999995E-2</v>
      </c>
      <c r="AC229" s="29">
        <v>-77.804999999999993</v>
      </c>
      <c r="AD229" s="30">
        <v>43560</v>
      </c>
      <c r="AE229" s="30">
        <v>43560</v>
      </c>
      <c r="AF229" s="23">
        <v>0</v>
      </c>
      <c r="AG229" s="25" t="s">
        <v>56</v>
      </c>
      <c r="AH229" s="24">
        <v>0</v>
      </c>
      <c r="AI229" s="31">
        <v>0</v>
      </c>
      <c r="AJ229" s="31">
        <v>0</v>
      </c>
      <c r="AK229" s="44">
        <f t="shared" si="6"/>
        <v>1423.6950000000002</v>
      </c>
      <c r="AL229">
        <f>VLOOKUP(A229,'[1]prueba con 16mil datos'!$A$1:$AE$804,31,FALSE)</f>
        <v>78.650000000000105</v>
      </c>
      <c r="AM229">
        <f t="shared" si="7"/>
        <v>0</v>
      </c>
      <c r="AO229">
        <f>VLOOKUP(A229,'[1]Prueba con 19mil datos'!$B$1:$AF$1228,31,FALSE)</f>
        <v>78.650000000000105</v>
      </c>
    </row>
    <row r="230" spans="1:41" hidden="1" x14ac:dyDescent="0.25">
      <c r="A230" s="16" t="s">
        <v>2366</v>
      </c>
      <c r="B230" s="15" t="s">
        <v>40</v>
      </c>
      <c r="C230" s="16">
        <v>1</v>
      </c>
      <c r="D230" s="16" t="s">
        <v>1067</v>
      </c>
      <c r="E230" s="17" t="s">
        <v>42</v>
      </c>
      <c r="F230" s="18" t="s">
        <v>140</v>
      </c>
      <c r="G230" s="18" t="s">
        <v>1068</v>
      </c>
      <c r="H230" s="16" t="s">
        <v>93</v>
      </c>
      <c r="I230" s="19" t="s">
        <v>3</v>
      </c>
      <c r="J230" s="16" t="s">
        <v>12</v>
      </c>
      <c r="K230" s="20" t="s">
        <v>161</v>
      </c>
      <c r="L230" s="20" t="s">
        <v>590</v>
      </c>
      <c r="M230" s="16" t="s">
        <v>591</v>
      </c>
      <c r="N230" s="16">
        <v>1</v>
      </c>
      <c r="O230" s="16" t="s">
        <v>97</v>
      </c>
      <c r="P230" s="20">
        <v>3</v>
      </c>
      <c r="Q230" s="20" t="s">
        <v>147</v>
      </c>
      <c r="R230" s="21" t="s">
        <v>148</v>
      </c>
      <c r="S230" s="22" t="s">
        <v>130</v>
      </c>
      <c r="T230" s="22" t="s">
        <v>54</v>
      </c>
      <c r="U230" s="23" t="s">
        <v>149</v>
      </c>
      <c r="V230" s="24">
        <v>0</v>
      </c>
      <c r="W230" s="25">
        <v>0</v>
      </c>
      <c r="X230" s="26">
        <v>1</v>
      </c>
      <c r="Y230" s="27">
        <v>3.07</v>
      </c>
      <c r="Z230" s="23">
        <v>5</v>
      </c>
      <c r="AA230" s="28">
        <v>0.61399999999999999</v>
      </c>
      <c r="AB230" s="24">
        <v>0</v>
      </c>
      <c r="AC230" s="29">
        <v>0</v>
      </c>
      <c r="AD230" s="30">
        <v>43560</v>
      </c>
      <c r="AE230" s="30">
        <v>43560</v>
      </c>
      <c r="AF230" s="23">
        <v>0</v>
      </c>
      <c r="AG230" s="25" t="s">
        <v>56</v>
      </c>
      <c r="AH230" s="24">
        <v>0</v>
      </c>
      <c r="AI230" s="31">
        <v>0</v>
      </c>
      <c r="AJ230" s="31">
        <v>0</v>
      </c>
      <c r="AK230" s="44">
        <f t="shared" si="6"/>
        <v>0</v>
      </c>
      <c r="AL230">
        <f>VLOOKUP(A230,'[1]prueba con 16mil datos'!$A$1:$AE$804,31,FALSE)</f>
        <v>78.650000000000105</v>
      </c>
      <c r="AM230">
        <f t="shared" si="7"/>
        <v>0</v>
      </c>
      <c r="AO230">
        <f>VLOOKUP(A230,'[1]Prueba con 19mil datos'!$B$1:$AF$1228,31,FALSE)</f>
        <v>78.650000000000105</v>
      </c>
    </row>
    <row r="231" spans="1:41" hidden="1" x14ac:dyDescent="0.25">
      <c r="A231" s="16" t="s">
        <v>2632</v>
      </c>
      <c r="B231" s="15" t="s">
        <v>40</v>
      </c>
      <c r="C231" s="16">
        <v>1</v>
      </c>
      <c r="D231" s="16" t="s">
        <v>1078</v>
      </c>
      <c r="E231" s="17" t="s">
        <v>42</v>
      </c>
      <c r="F231" s="18" t="s">
        <v>1079</v>
      </c>
      <c r="G231" s="18" t="s">
        <v>1080</v>
      </c>
      <c r="H231" s="16" t="s">
        <v>183</v>
      </c>
      <c r="I231" s="19" t="s">
        <v>3</v>
      </c>
      <c r="J231" s="16" t="s">
        <v>12</v>
      </c>
      <c r="K231" s="20" t="s">
        <v>452</v>
      </c>
      <c r="L231" s="20" t="s">
        <v>453</v>
      </c>
      <c r="M231" s="16" t="s">
        <v>454</v>
      </c>
      <c r="N231" s="16">
        <v>1</v>
      </c>
      <c r="O231" s="16" t="s">
        <v>50</v>
      </c>
      <c r="P231" s="20">
        <v>11</v>
      </c>
      <c r="Q231" s="20" t="s">
        <v>65</v>
      </c>
      <c r="R231" s="21" t="s">
        <v>186</v>
      </c>
      <c r="S231" s="22" t="s">
        <v>187</v>
      </c>
      <c r="T231" s="22" t="s">
        <v>54</v>
      </c>
      <c r="U231" s="23" t="s">
        <v>201</v>
      </c>
      <c r="V231" s="24">
        <v>0.8</v>
      </c>
      <c r="W231" s="25">
        <v>0</v>
      </c>
      <c r="X231" s="26">
        <v>1</v>
      </c>
      <c r="Y231" s="27">
        <v>1.32</v>
      </c>
      <c r="Z231" s="23">
        <v>4</v>
      </c>
      <c r="AA231" s="28">
        <v>0.33</v>
      </c>
      <c r="AB231" s="24">
        <v>0</v>
      </c>
      <c r="AC231" s="29">
        <v>0</v>
      </c>
      <c r="AD231" s="30">
        <v>43560</v>
      </c>
      <c r="AE231" s="30">
        <v>43560</v>
      </c>
      <c r="AF231" s="23">
        <v>0</v>
      </c>
      <c r="AG231" s="25" t="s">
        <v>56</v>
      </c>
      <c r="AH231" s="24">
        <v>0</v>
      </c>
      <c r="AI231" s="31">
        <v>0</v>
      </c>
      <c r="AJ231" s="31">
        <v>0</v>
      </c>
      <c r="AK231" s="44">
        <f t="shared" si="6"/>
        <v>0</v>
      </c>
      <c r="AL231">
        <f>VLOOKUP(A231,'[1]prueba con 16mil datos'!$A$1:$AE$804,31,FALSE)</f>
        <v>1808.95</v>
      </c>
      <c r="AM231">
        <f t="shared" si="7"/>
        <v>0</v>
      </c>
      <c r="AO231">
        <f>VLOOKUP(A231,'[1]Prueba con 19mil datos'!$B$1:$AF$1228,31,FALSE)</f>
        <v>1808.95</v>
      </c>
    </row>
    <row r="232" spans="1:41" hidden="1" x14ac:dyDescent="0.25">
      <c r="A232" s="16" t="s">
        <v>612</v>
      </c>
      <c r="B232" s="15" t="s">
        <v>40</v>
      </c>
      <c r="C232" s="16">
        <v>1</v>
      </c>
      <c r="D232" s="16" t="s">
        <v>1096</v>
      </c>
      <c r="E232" s="17" t="s">
        <v>42</v>
      </c>
      <c r="F232" s="18" t="s">
        <v>1097</v>
      </c>
      <c r="G232" s="18" t="s">
        <v>1098</v>
      </c>
      <c r="H232" s="16" t="s">
        <v>1100</v>
      </c>
      <c r="I232" s="19" t="s">
        <v>3</v>
      </c>
      <c r="J232" s="16" t="s">
        <v>12</v>
      </c>
      <c r="K232" s="20" t="s">
        <v>1101</v>
      </c>
      <c r="L232" s="20" t="s">
        <v>1102</v>
      </c>
      <c r="M232" s="16" t="s">
        <v>367</v>
      </c>
      <c r="N232" s="16">
        <v>1</v>
      </c>
      <c r="O232" s="16" t="s">
        <v>50</v>
      </c>
      <c r="P232" s="20">
        <v>279</v>
      </c>
      <c r="Q232" s="20" t="s">
        <v>51</v>
      </c>
      <c r="R232" s="21" t="s">
        <v>77</v>
      </c>
      <c r="S232" s="22" t="s">
        <v>53</v>
      </c>
      <c r="T232" s="22" t="s">
        <v>54</v>
      </c>
      <c r="U232" s="23" t="s">
        <v>55</v>
      </c>
      <c r="V232" s="24">
        <v>1.05</v>
      </c>
      <c r="W232" s="25">
        <v>0</v>
      </c>
      <c r="X232" s="26">
        <v>1</v>
      </c>
      <c r="Y232" s="27">
        <v>0.57999999999999996</v>
      </c>
      <c r="Z232" s="23">
        <v>5</v>
      </c>
      <c r="AA232" s="28">
        <v>0.11599999999999999</v>
      </c>
      <c r="AB232" s="24">
        <v>0</v>
      </c>
      <c r="AC232" s="29">
        <v>0</v>
      </c>
      <c r="AD232" s="30">
        <v>43560</v>
      </c>
      <c r="AE232" s="30">
        <v>43560</v>
      </c>
      <c r="AF232" s="23">
        <v>0</v>
      </c>
      <c r="AG232" s="25" t="s">
        <v>56</v>
      </c>
      <c r="AH232" s="24">
        <v>0</v>
      </c>
      <c r="AI232" s="31">
        <v>0</v>
      </c>
      <c r="AJ232" s="31">
        <v>0</v>
      </c>
      <c r="AK232" s="44">
        <f t="shared" si="6"/>
        <v>0</v>
      </c>
      <c r="AL232">
        <f>VLOOKUP(A232,'[1]prueba con 16mil datos'!$A$1:$AE$804,31,FALSE)</f>
        <v>1651.65</v>
      </c>
      <c r="AM232">
        <f t="shared" si="7"/>
        <v>0</v>
      </c>
      <c r="AO232">
        <f>VLOOKUP(A232,'[1]Prueba con 19mil datos'!$B$1:$AF$1228,31,FALSE)</f>
        <v>1651.65</v>
      </c>
    </row>
    <row r="233" spans="1:41" hidden="1" x14ac:dyDescent="0.25">
      <c r="A233" s="16" t="s">
        <v>1505</v>
      </c>
      <c r="B233" s="15" t="s">
        <v>40</v>
      </c>
      <c r="C233" s="16">
        <v>1</v>
      </c>
      <c r="D233" s="16" t="s">
        <v>1162</v>
      </c>
      <c r="E233" s="17" t="s">
        <v>42</v>
      </c>
      <c r="F233" s="18" t="s">
        <v>90</v>
      </c>
      <c r="G233" s="18" t="s">
        <v>1163</v>
      </c>
      <c r="H233" s="16" t="s">
        <v>93</v>
      </c>
      <c r="I233" s="19" t="s">
        <v>3</v>
      </c>
      <c r="J233" s="16" t="s">
        <v>12</v>
      </c>
      <c r="K233" s="20" t="s">
        <v>116</v>
      </c>
      <c r="L233" s="20" t="s">
        <v>642</v>
      </c>
      <c r="M233" s="16" t="s">
        <v>643</v>
      </c>
      <c r="N233" s="16">
        <v>1</v>
      </c>
      <c r="O233" s="16" t="s">
        <v>97</v>
      </c>
      <c r="P233" s="20">
        <v>2</v>
      </c>
      <c r="Q233" s="20" t="s">
        <v>147</v>
      </c>
      <c r="R233" s="21" t="s">
        <v>77</v>
      </c>
      <c r="S233" s="22" t="s">
        <v>53</v>
      </c>
      <c r="T233" s="22" t="s">
        <v>54</v>
      </c>
      <c r="U233" s="23" t="s">
        <v>341</v>
      </c>
      <c r="V233" s="24">
        <v>0</v>
      </c>
      <c r="W233" s="25">
        <v>0</v>
      </c>
      <c r="X233" s="26">
        <v>1</v>
      </c>
      <c r="Y233" s="27">
        <v>2.23</v>
      </c>
      <c r="Z233" s="23">
        <v>5</v>
      </c>
      <c r="AA233" s="28">
        <v>0.44600000000000001</v>
      </c>
      <c r="AB233" s="24">
        <v>0</v>
      </c>
      <c r="AC233" s="29">
        <v>0</v>
      </c>
      <c r="AD233" s="30">
        <v>43560</v>
      </c>
      <c r="AE233" s="30">
        <v>43563</v>
      </c>
      <c r="AF233" s="23">
        <v>1</v>
      </c>
      <c r="AG233" s="25" t="s">
        <v>56</v>
      </c>
      <c r="AH233" s="24">
        <v>0</v>
      </c>
      <c r="AI233" s="31">
        <v>0</v>
      </c>
      <c r="AJ233" s="31">
        <v>0</v>
      </c>
      <c r="AK233" s="44">
        <f t="shared" si="6"/>
        <v>0</v>
      </c>
      <c r="AL233">
        <f>VLOOKUP(A233,'[1]prueba con 16mil datos'!$A$1:$AE$804,31,FALSE)</f>
        <v>1651.65</v>
      </c>
      <c r="AM233">
        <f t="shared" si="7"/>
        <v>0</v>
      </c>
      <c r="AO233">
        <f>VLOOKUP(A233,'[1]Prueba con 19mil datos'!$B$1:$AF$1228,31,FALSE)</f>
        <v>1651.65</v>
      </c>
    </row>
    <row r="234" spans="1:41" hidden="1" x14ac:dyDescent="0.25">
      <c r="A234" s="16" t="s">
        <v>1505</v>
      </c>
      <c r="B234" s="15" t="s">
        <v>40</v>
      </c>
      <c r="C234" s="16">
        <v>1</v>
      </c>
      <c r="D234" s="16" t="s">
        <v>1997</v>
      </c>
      <c r="E234" s="17" t="s">
        <v>321</v>
      </c>
      <c r="F234" s="18" t="s">
        <v>1821</v>
      </c>
      <c r="G234" s="18" t="s">
        <v>1998</v>
      </c>
      <c r="H234" s="16">
        <v>800074</v>
      </c>
      <c r="I234" s="19" t="s">
        <v>3</v>
      </c>
      <c r="J234" s="16" t="s">
        <v>12</v>
      </c>
      <c r="K234" s="20" t="s">
        <v>154</v>
      </c>
      <c r="L234" s="20" t="s">
        <v>1824</v>
      </c>
      <c r="M234" s="16" t="s">
        <v>823</v>
      </c>
      <c r="N234" s="16">
        <v>0</v>
      </c>
      <c r="O234" s="16" t="s">
        <v>50</v>
      </c>
      <c r="P234" s="20" t="s">
        <v>326</v>
      </c>
      <c r="Q234" s="20" t="s">
        <v>51</v>
      </c>
      <c r="R234" s="21" t="s">
        <v>287</v>
      </c>
      <c r="S234" s="22" t="s">
        <v>288</v>
      </c>
      <c r="T234" s="22" t="s">
        <v>54</v>
      </c>
      <c r="U234" s="23" t="s">
        <v>550</v>
      </c>
      <c r="V234" s="24">
        <v>1</v>
      </c>
      <c r="W234" s="25">
        <v>2359.5000000000005</v>
      </c>
      <c r="X234" s="26">
        <v>0</v>
      </c>
      <c r="Y234" s="27">
        <v>4</v>
      </c>
      <c r="Z234" s="23">
        <v>4</v>
      </c>
      <c r="AA234" s="28">
        <v>1</v>
      </c>
      <c r="AB234" s="24">
        <v>0</v>
      </c>
      <c r="AC234" s="29">
        <v>0</v>
      </c>
      <c r="AD234" s="30">
        <v>43563</v>
      </c>
      <c r="AE234" s="30">
        <v>43570</v>
      </c>
      <c r="AF234" s="23">
        <v>5</v>
      </c>
      <c r="AG234" s="25" t="s">
        <v>1999</v>
      </c>
      <c r="AH234" s="24">
        <v>0</v>
      </c>
      <c r="AI234" s="31">
        <v>0</v>
      </c>
      <c r="AJ234" s="31">
        <v>0</v>
      </c>
      <c r="AK234" s="44">
        <f t="shared" si="6"/>
        <v>2359.5000000000005</v>
      </c>
      <c r="AL234">
        <f>VLOOKUP(A234,'[1]prueba con 16mil datos'!$A$1:$AE$804,31,FALSE)</f>
        <v>1651.65</v>
      </c>
      <c r="AM234">
        <f t="shared" si="7"/>
        <v>0</v>
      </c>
      <c r="AO234">
        <f>VLOOKUP(A234,'[1]Prueba con 19mil datos'!$B$1:$AF$1228,31,FALSE)</f>
        <v>1651.65</v>
      </c>
    </row>
    <row r="235" spans="1:41" hidden="1" x14ac:dyDescent="0.25">
      <c r="A235" s="16" t="s">
        <v>1505</v>
      </c>
      <c r="B235" s="15" t="s">
        <v>40</v>
      </c>
      <c r="C235" s="16">
        <v>1</v>
      </c>
      <c r="D235" s="16" t="s">
        <v>1199</v>
      </c>
      <c r="E235" s="17" t="s">
        <v>42</v>
      </c>
      <c r="F235" s="18" t="s">
        <v>391</v>
      </c>
      <c r="G235" s="18" t="s">
        <v>1200</v>
      </c>
      <c r="H235" s="16" t="s">
        <v>192</v>
      </c>
      <c r="I235" s="19" t="s">
        <v>3</v>
      </c>
      <c r="J235" s="16" t="s">
        <v>12</v>
      </c>
      <c r="K235" s="20" t="s">
        <v>198</v>
      </c>
      <c r="L235" s="20" t="s">
        <v>468</v>
      </c>
      <c r="M235" s="16" t="s">
        <v>469</v>
      </c>
      <c r="N235" s="16">
        <v>0</v>
      </c>
      <c r="O235" s="16" t="s">
        <v>50</v>
      </c>
      <c r="P235" s="20">
        <v>40</v>
      </c>
      <c r="Q235" s="20" t="s">
        <v>86</v>
      </c>
      <c r="R235" s="21" t="s">
        <v>129</v>
      </c>
      <c r="S235" s="22" t="s">
        <v>130</v>
      </c>
      <c r="T235" s="22" t="s">
        <v>54</v>
      </c>
      <c r="U235" s="23" t="s">
        <v>178</v>
      </c>
      <c r="V235" s="24">
        <v>1.05</v>
      </c>
      <c r="W235" s="25">
        <v>1433.25</v>
      </c>
      <c r="X235" s="26">
        <v>1</v>
      </c>
      <c r="Y235" s="27">
        <v>1.5</v>
      </c>
      <c r="Z235" s="23">
        <v>5</v>
      </c>
      <c r="AA235" s="28">
        <v>0.3</v>
      </c>
      <c r="AB235" s="24">
        <v>0</v>
      </c>
      <c r="AC235" s="29">
        <v>0</v>
      </c>
      <c r="AD235" s="30">
        <v>43563</v>
      </c>
      <c r="AE235" s="30">
        <v>43563</v>
      </c>
      <c r="AF235" s="23">
        <v>0</v>
      </c>
      <c r="AG235" s="25" t="s">
        <v>56</v>
      </c>
      <c r="AH235" s="24">
        <v>0</v>
      </c>
      <c r="AI235" s="31">
        <v>0</v>
      </c>
      <c r="AJ235" s="31">
        <v>0</v>
      </c>
      <c r="AK235" s="44">
        <f t="shared" si="6"/>
        <v>1433.25</v>
      </c>
      <c r="AL235">
        <f>VLOOKUP(A235,'[1]prueba con 16mil datos'!$A$1:$AE$804,31,FALSE)</f>
        <v>1651.65</v>
      </c>
      <c r="AM235">
        <f t="shared" si="7"/>
        <v>0</v>
      </c>
      <c r="AO235">
        <f>VLOOKUP(A235,'[1]Prueba con 19mil datos'!$B$1:$AF$1228,31,FALSE)</f>
        <v>1651.65</v>
      </c>
    </row>
    <row r="236" spans="1:41" hidden="1" x14ac:dyDescent="0.25">
      <c r="A236" s="16" t="s">
        <v>1229</v>
      </c>
      <c r="B236" s="15" t="s">
        <v>40</v>
      </c>
      <c r="C236" s="16">
        <v>1</v>
      </c>
      <c r="D236" s="16" t="s">
        <v>1256</v>
      </c>
      <c r="E236" s="17" t="s">
        <v>42</v>
      </c>
      <c r="F236" s="18" t="s">
        <v>391</v>
      </c>
      <c r="G236" s="18" t="s">
        <v>1257</v>
      </c>
      <c r="H236" s="16" t="s">
        <v>264</v>
      </c>
      <c r="I236" s="19" t="s">
        <v>3</v>
      </c>
      <c r="J236" s="16" t="s">
        <v>12</v>
      </c>
      <c r="K236" s="20" t="s">
        <v>198</v>
      </c>
      <c r="L236" s="20" t="s">
        <v>1259</v>
      </c>
      <c r="M236" s="16" t="s">
        <v>49</v>
      </c>
      <c r="N236" s="16">
        <v>0</v>
      </c>
      <c r="O236" s="16" t="s">
        <v>50</v>
      </c>
      <c r="P236" s="20">
        <v>14</v>
      </c>
      <c r="Q236" s="20" t="s">
        <v>65</v>
      </c>
      <c r="R236" s="21" t="s">
        <v>129</v>
      </c>
      <c r="S236" s="22" t="s">
        <v>130</v>
      </c>
      <c r="T236" s="22" t="s">
        <v>54</v>
      </c>
      <c r="U236" s="23" t="s">
        <v>131</v>
      </c>
      <c r="V236" s="24">
        <v>0.6</v>
      </c>
      <c r="W236" s="25">
        <v>819</v>
      </c>
      <c r="X236" s="26">
        <v>1</v>
      </c>
      <c r="Y236" s="27">
        <v>0</v>
      </c>
      <c r="Z236" s="23">
        <v>5</v>
      </c>
      <c r="AA236" s="28">
        <v>0</v>
      </c>
      <c r="AB236" s="24">
        <v>0</v>
      </c>
      <c r="AC236" s="29">
        <v>0</v>
      </c>
      <c r="AD236" s="30">
        <v>43563</v>
      </c>
      <c r="AE236" s="30">
        <v>43563</v>
      </c>
      <c r="AF236" s="23">
        <v>0</v>
      </c>
      <c r="AG236" s="25" t="s">
        <v>56</v>
      </c>
      <c r="AH236" s="24">
        <v>0</v>
      </c>
      <c r="AI236" s="31">
        <v>0</v>
      </c>
      <c r="AJ236" s="31">
        <v>0</v>
      </c>
      <c r="AK236" s="44">
        <f t="shared" si="6"/>
        <v>819</v>
      </c>
      <c r="AL236">
        <f>VLOOKUP(A236,'[1]prueba con 16mil datos'!$A$1:$AE$804,31,FALSE)</f>
        <v>1730.3</v>
      </c>
      <c r="AM236">
        <f t="shared" si="7"/>
        <v>0</v>
      </c>
      <c r="AO236">
        <f>VLOOKUP(A236,'[1]Prueba con 19mil datos'!$B$1:$AF$1228,31,FALSE)</f>
        <v>1730.3</v>
      </c>
    </row>
    <row r="237" spans="1:41" hidden="1" x14ac:dyDescent="0.25">
      <c r="A237" s="16" t="s">
        <v>1229</v>
      </c>
      <c r="B237" s="15" t="s">
        <v>40</v>
      </c>
      <c r="C237" s="16">
        <v>1</v>
      </c>
      <c r="D237" s="16" t="s">
        <v>1210</v>
      </c>
      <c r="E237" s="17" t="s">
        <v>42</v>
      </c>
      <c r="F237" s="18" t="s">
        <v>391</v>
      </c>
      <c r="G237" s="18" t="s">
        <v>1211</v>
      </c>
      <c r="H237" s="16" t="s">
        <v>331</v>
      </c>
      <c r="I237" s="19" t="s">
        <v>3</v>
      </c>
      <c r="J237" s="16" t="s">
        <v>12</v>
      </c>
      <c r="K237" s="20" t="s">
        <v>198</v>
      </c>
      <c r="L237" s="20" t="s">
        <v>860</v>
      </c>
      <c r="M237" s="16" t="s">
        <v>429</v>
      </c>
      <c r="N237" s="16">
        <v>0</v>
      </c>
      <c r="O237" s="16" t="s">
        <v>50</v>
      </c>
      <c r="P237" s="20">
        <v>4</v>
      </c>
      <c r="Q237" s="20" t="s">
        <v>311</v>
      </c>
      <c r="R237" s="21" t="s">
        <v>129</v>
      </c>
      <c r="S237" s="22" t="s">
        <v>130</v>
      </c>
      <c r="T237" s="22" t="s">
        <v>54</v>
      </c>
      <c r="U237" s="23" t="s">
        <v>312</v>
      </c>
      <c r="V237" s="24">
        <v>0</v>
      </c>
      <c r="W237" s="25">
        <v>0</v>
      </c>
      <c r="X237" s="26">
        <v>1</v>
      </c>
      <c r="Y237" s="27">
        <v>2.0299999999999998</v>
      </c>
      <c r="Z237" s="23">
        <v>5</v>
      </c>
      <c r="AA237" s="28">
        <v>0.40599999999999997</v>
      </c>
      <c r="AB237" s="24">
        <v>0</v>
      </c>
      <c r="AC237" s="29">
        <v>0</v>
      </c>
      <c r="AD237" s="30">
        <v>43563</v>
      </c>
      <c r="AE237" s="30">
        <v>43563</v>
      </c>
      <c r="AF237" s="23">
        <v>0</v>
      </c>
      <c r="AG237" s="25" t="s">
        <v>56</v>
      </c>
      <c r="AH237" s="24">
        <v>0</v>
      </c>
      <c r="AI237" s="31">
        <v>0</v>
      </c>
      <c r="AJ237" s="31">
        <v>0</v>
      </c>
      <c r="AK237" s="44">
        <f t="shared" si="6"/>
        <v>0</v>
      </c>
      <c r="AL237">
        <f>VLOOKUP(A237,'[1]prueba con 16mil datos'!$A$1:$AE$804,31,FALSE)</f>
        <v>1730.3</v>
      </c>
      <c r="AM237">
        <f t="shared" si="7"/>
        <v>0</v>
      </c>
      <c r="AO237">
        <f>VLOOKUP(A237,'[1]Prueba con 19mil datos'!$B$1:$AF$1228,31,FALSE)</f>
        <v>1730.3</v>
      </c>
    </row>
    <row r="238" spans="1:41" hidden="1" x14ac:dyDescent="0.25">
      <c r="A238" s="16" t="s">
        <v>802</v>
      </c>
      <c r="B238" s="15" t="s">
        <v>40</v>
      </c>
      <c r="C238" s="16">
        <v>1</v>
      </c>
      <c r="D238" s="16" t="s">
        <v>1222</v>
      </c>
      <c r="E238" s="17" t="s">
        <v>42</v>
      </c>
      <c r="F238" s="18" t="s">
        <v>90</v>
      </c>
      <c r="G238" s="18" t="s">
        <v>1223</v>
      </c>
      <c r="H238" s="16" t="s">
        <v>346</v>
      </c>
      <c r="I238" s="19" t="s">
        <v>3</v>
      </c>
      <c r="J238" s="16" t="s">
        <v>12</v>
      </c>
      <c r="K238" s="20" t="s">
        <v>154</v>
      </c>
      <c r="L238" s="20" t="s">
        <v>1225</v>
      </c>
      <c r="M238" s="16" t="s">
        <v>1226</v>
      </c>
      <c r="N238" s="16">
        <v>0</v>
      </c>
      <c r="O238" s="16" t="s">
        <v>50</v>
      </c>
      <c r="P238" s="20">
        <v>257</v>
      </c>
      <c r="Q238" s="20" t="s">
        <v>51</v>
      </c>
      <c r="R238" s="21" t="s">
        <v>77</v>
      </c>
      <c r="S238" s="22" t="s">
        <v>53</v>
      </c>
      <c r="T238" s="22" t="s">
        <v>54</v>
      </c>
      <c r="U238" s="23" t="s">
        <v>55</v>
      </c>
      <c r="V238" s="24">
        <v>1.05</v>
      </c>
      <c r="W238" s="25">
        <v>750.75000000000011</v>
      </c>
      <c r="X238" s="26">
        <v>1</v>
      </c>
      <c r="Y238" s="27">
        <v>2.3199999999999998</v>
      </c>
      <c r="Z238" s="23">
        <v>5</v>
      </c>
      <c r="AA238" s="28">
        <v>0.46399999999999997</v>
      </c>
      <c r="AB238" s="24">
        <v>0</v>
      </c>
      <c r="AC238" s="29">
        <v>0</v>
      </c>
      <c r="AD238" s="30">
        <v>43563</v>
      </c>
      <c r="AE238" s="30">
        <v>43563</v>
      </c>
      <c r="AF238" s="23">
        <v>0</v>
      </c>
      <c r="AG238" s="25" t="s">
        <v>56</v>
      </c>
      <c r="AH238" s="24">
        <v>0</v>
      </c>
      <c r="AI238" s="31">
        <v>0</v>
      </c>
      <c r="AJ238" s="31">
        <v>0</v>
      </c>
      <c r="AK238" s="44">
        <f t="shared" si="6"/>
        <v>750.75000000000011</v>
      </c>
      <c r="AL238">
        <f>VLOOKUP(A238,'[1]prueba con 16mil datos'!$A$1:$AE$804,31,FALSE)</f>
        <v>943.8</v>
      </c>
      <c r="AM238">
        <f t="shared" si="7"/>
        <v>0</v>
      </c>
      <c r="AO238">
        <f>VLOOKUP(A238,'[1]Prueba con 19mil datos'!$B$1:$AF$1228,31,FALSE)</f>
        <v>943.8</v>
      </c>
    </row>
    <row r="239" spans="1:41" hidden="1" x14ac:dyDescent="0.25">
      <c r="A239" s="16" t="s">
        <v>2340</v>
      </c>
      <c r="B239" s="15" t="s">
        <v>40</v>
      </c>
      <c r="C239" s="16">
        <v>1</v>
      </c>
      <c r="D239" s="16" t="s">
        <v>1239</v>
      </c>
      <c r="E239" s="17" t="s">
        <v>42</v>
      </c>
      <c r="F239" s="18" t="s">
        <v>90</v>
      </c>
      <c r="G239" s="18" t="s">
        <v>1240</v>
      </c>
      <c r="H239" s="16" t="s">
        <v>153</v>
      </c>
      <c r="I239" s="19" t="s">
        <v>3</v>
      </c>
      <c r="J239" s="16" t="s">
        <v>12</v>
      </c>
      <c r="K239" s="20" t="s">
        <v>154</v>
      </c>
      <c r="L239" s="20" t="s">
        <v>1242</v>
      </c>
      <c r="M239" s="16" t="s">
        <v>156</v>
      </c>
      <c r="N239" s="16">
        <v>0</v>
      </c>
      <c r="O239" s="16" t="s">
        <v>50</v>
      </c>
      <c r="P239" s="20">
        <v>81</v>
      </c>
      <c r="Q239" s="20" t="s">
        <v>51</v>
      </c>
      <c r="R239" s="21" t="s">
        <v>77</v>
      </c>
      <c r="S239" s="22" t="s">
        <v>53</v>
      </c>
      <c r="T239" s="22" t="s">
        <v>157</v>
      </c>
      <c r="U239" s="23" t="s">
        <v>55</v>
      </c>
      <c r="V239" s="24">
        <v>1.05</v>
      </c>
      <c r="W239" s="25">
        <v>750.75000000000011</v>
      </c>
      <c r="X239" s="26">
        <v>1</v>
      </c>
      <c r="Y239" s="27">
        <v>0.54</v>
      </c>
      <c r="Z239" s="23">
        <v>9</v>
      </c>
      <c r="AA239" s="28">
        <v>6.0000000000000005E-2</v>
      </c>
      <c r="AB239" s="24">
        <v>0</v>
      </c>
      <c r="AC239" s="29">
        <v>0</v>
      </c>
      <c r="AD239" s="30">
        <v>43563</v>
      </c>
      <c r="AE239" s="30">
        <v>43563</v>
      </c>
      <c r="AF239" s="23">
        <v>0</v>
      </c>
      <c r="AG239" s="25" t="s">
        <v>56</v>
      </c>
      <c r="AH239" s="24">
        <v>0</v>
      </c>
      <c r="AI239" s="31">
        <v>0</v>
      </c>
      <c r="AJ239" s="31">
        <v>0</v>
      </c>
      <c r="AK239" s="44">
        <f t="shared" si="6"/>
        <v>750.75000000000011</v>
      </c>
      <c r="AL239">
        <f>VLOOKUP(A239,'[1]prueba con 16mil datos'!$A$1:$AE$804,31,FALSE)</f>
        <v>1730.3</v>
      </c>
      <c r="AM239">
        <f t="shared" si="7"/>
        <v>0</v>
      </c>
      <c r="AO239">
        <f>VLOOKUP(A239,'[1]Prueba con 19mil datos'!$B$1:$AF$1228,31,FALSE)</f>
        <v>1730.3</v>
      </c>
    </row>
    <row r="240" spans="1:41" hidden="1" x14ac:dyDescent="0.25">
      <c r="A240" s="16" t="s">
        <v>2340</v>
      </c>
      <c r="B240" s="15" t="s">
        <v>40</v>
      </c>
      <c r="C240" s="16">
        <v>1</v>
      </c>
      <c r="D240" s="16" t="s">
        <v>1289</v>
      </c>
      <c r="E240" s="17" t="s">
        <v>42</v>
      </c>
      <c r="F240" s="18" t="s">
        <v>90</v>
      </c>
      <c r="G240" s="18" t="s">
        <v>1290</v>
      </c>
      <c r="H240" s="16" t="s">
        <v>440</v>
      </c>
      <c r="I240" s="19" t="s">
        <v>3</v>
      </c>
      <c r="J240" s="16" t="s">
        <v>12</v>
      </c>
      <c r="K240" s="20" t="s">
        <v>154</v>
      </c>
      <c r="L240" s="20" t="s">
        <v>1292</v>
      </c>
      <c r="M240" s="16" t="s">
        <v>118</v>
      </c>
      <c r="N240" s="16">
        <v>0</v>
      </c>
      <c r="O240" s="16" t="s">
        <v>50</v>
      </c>
      <c r="P240" s="20">
        <v>341</v>
      </c>
      <c r="Q240" s="20" t="s">
        <v>51</v>
      </c>
      <c r="R240" s="21" t="s">
        <v>77</v>
      </c>
      <c r="S240" s="22" t="s">
        <v>53</v>
      </c>
      <c r="T240" s="22" t="s">
        <v>54</v>
      </c>
      <c r="U240" s="23" t="s">
        <v>55</v>
      </c>
      <c r="V240" s="24">
        <v>1.05</v>
      </c>
      <c r="W240" s="25">
        <v>750.75000000000011</v>
      </c>
      <c r="X240" s="26">
        <v>1</v>
      </c>
      <c r="Y240" s="27">
        <v>1.45</v>
      </c>
      <c r="Z240" s="23">
        <v>5</v>
      </c>
      <c r="AA240" s="28">
        <v>0.28999999999999998</v>
      </c>
      <c r="AB240" s="24">
        <v>0</v>
      </c>
      <c r="AC240" s="29">
        <v>0</v>
      </c>
      <c r="AD240" s="30">
        <v>43563</v>
      </c>
      <c r="AE240" s="30">
        <v>43564</v>
      </c>
      <c r="AF240" s="23">
        <v>1</v>
      </c>
      <c r="AG240" s="25" t="s">
        <v>56</v>
      </c>
      <c r="AH240" s="24">
        <v>0</v>
      </c>
      <c r="AI240" s="31">
        <v>0</v>
      </c>
      <c r="AJ240" s="31">
        <v>0</v>
      </c>
      <c r="AK240" s="44">
        <f t="shared" si="6"/>
        <v>750.75000000000011</v>
      </c>
      <c r="AL240">
        <f>VLOOKUP(A240,'[1]prueba con 16mil datos'!$A$1:$AE$804,31,FALSE)</f>
        <v>1730.3</v>
      </c>
      <c r="AM240">
        <f t="shared" si="7"/>
        <v>0</v>
      </c>
      <c r="AO240">
        <f>VLOOKUP(A240,'[1]Prueba con 19mil datos'!$B$1:$AF$1228,31,FALSE)</f>
        <v>1730.3</v>
      </c>
    </row>
    <row r="241" spans="1:41" hidden="1" x14ac:dyDescent="0.25">
      <c r="A241" s="16" t="s">
        <v>2961</v>
      </c>
      <c r="B241" s="15" t="s">
        <v>40</v>
      </c>
      <c r="C241" s="16">
        <v>1</v>
      </c>
      <c r="D241" s="16" t="s">
        <v>1173</v>
      </c>
      <c r="E241" s="17" t="s">
        <v>42</v>
      </c>
      <c r="F241" s="18" t="s">
        <v>281</v>
      </c>
      <c r="G241" s="18" t="s">
        <v>1174</v>
      </c>
      <c r="H241" s="16" t="s">
        <v>293</v>
      </c>
      <c r="I241" s="19" t="s">
        <v>3</v>
      </c>
      <c r="J241" s="16" t="s">
        <v>12</v>
      </c>
      <c r="K241" s="20" t="s">
        <v>126</v>
      </c>
      <c r="L241" s="20" t="s">
        <v>554</v>
      </c>
      <c r="M241" s="16" t="s">
        <v>555</v>
      </c>
      <c r="N241" s="16">
        <v>0</v>
      </c>
      <c r="O241" s="16" t="s">
        <v>50</v>
      </c>
      <c r="P241" s="20">
        <v>50</v>
      </c>
      <c r="Q241" s="20" t="s">
        <v>86</v>
      </c>
      <c r="R241" s="21" t="s">
        <v>287</v>
      </c>
      <c r="S241" s="22" t="s">
        <v>288</v>
      </c>
      <c r="T241" s="22" t="s">
        <v>54</v>
      </c>
      <c r="U241" s="23" t="s">
        <v>188</v>
      </c>
      <c r="V241" s="24">
        <v>1.1000000000000001</v>
      </c>
      <c r="W241" s="25">
        <v>1730.3000000000004</v>
      </c>
      <c r="X241" s="26">
        <v>1</v>
      </c>
      <c r="Y241" s="27">
        <v>4</v>
      </c>
      <c r="Z241" s="23">
        <v>4</v>
      </c>
      <c r="AA241" s="28">
        <v>1</v>
      </c>
      <c r="AB241" s="24">
        <v>0</v>
      </c>
      <c r="AC241" s="29">
        <v>0</v>
      </c>
      <c r="AD241" s="30">
        <v>43563</v>
      </c>
      <c r="AE241" s="30">
        <v>43563</v>
      </c>
      <c r="AF241" s="23">
        <v>0</v>
      </c>
      <c r="AG241" s="25" t="s">
        <v>56</v>
      </c>
      <c r="AH241" s="24">
        <v>0</v>
      </c>
      <c r="AI241" s="31">
        <v>0</v>
      </c>
      <c r="AJ241" s="31">
        <v>0</v>
      </c>
      <c r="AK241" s="44">
        <f t="shared" si="6"/>
        <v>1730.3000000000004</v>
      </c>
      <c r="AL241">
        <f>VLOOKUP(A241,'[1]prueba con 16mil datos'!$A$1:$AE$804,31,FALSE)</f>
        <v>1730.3</v>
      </c>
      <c r="AM241">
        <f t="shared" si="7"/>
        <v>1</v>
      </c>
      <c r="AO241">
        <f>VLOOKUP(A241,'[1]Prueba con 19mil datos'!$B$1:$AF$1228,31,FALSE)</f>
        <v>1730.3</v>
      </c>
    </row>
    <row r="242" spans="1:41" hidden="1" x14ac:dyDescent="0.25">
      <c r="A242" s="16" t="s">
        <v>387</v>
      </c>
      <c r="B242" s="15" t="s">
        <v>40</v>
      </c>
      <c r="C242" s="16">
        <v>1</v>
      </c>
      <c r="D242" s="16" t="s">
        <v>1193</v>
      </c>
      <c r="E242" s="17" t="s">
        <v>42</v>
      </c>
      <c r="F242" s="18" t="s">
        <v>99</v>
      </c>
      <c r="G242" s="18" t="s">
        <v>1194</v>
      </c>
      <c r="H242" s="16" t="s">
        <v>207</v>
      </c>
      <c r="I242" s="19" t="s">
        <v>3</v>
      </c>
      <c r="J242" s="16" t="s">
        <v>12</v>
      </c>
      <c r="K242" s="20" t="s">
        <v>103</v>
      </c>
      <c r="L242" s="20" t="s">
        <v>110</v>
      </c>
      <c r="M242" s="16" t="s">
        <v>111</v>
      </c>
      <c r="N242" s="16">
        <v>0</v>
      </c>
      <c r="O242" s="16" t="s">
        <v>50</v>
      </c>
      <c r="P242" s="20">
        <v>1</v>
      </c>
      <c r="Q242" s="20" t="s">
        <v>147</v>
      </c>
      <c r="R242" s="21" t="s">
        <v>77</v>
      </c>
      <c r="S242" s="22" t="s">
        <v>53</v>
      </c>
      <c r="T242" s="22" t="s">
        <v>54</v>
      </c>
      <c r="U242" s="23" t="s">
        <v>341</v>
      </c>
      <c r="V242" s="24">
        <v>0</v>
      </c>
      <c r="W242" s="25">
        <v>0</v>
      </c>
      <c r="X242" s="26">
        <v>1</v>
      </c>
      <c r="Y242" s="27">
        <v>7.73</v>
      </c>
      <c r="Z242" s="23">
        <v>5</v>
      </c>
      <c r="AA242" s="28">
        <v>1.546</v>
      </c>
      <c r="AB242" s="24">
        <v>0.13650000000000001</v>
      </c>
      <c r="AC242" s="29">
        <v>-97.597500000000025</v>
      </c>
      <c r="AD242" s="30">
        <v>43563</v>
      </c>
      <c r="AE242" s="30">
        <v>43563</v>
      </c>
      <c r="AF242" s="23">
        <v>0</v>
      </c>
      <c r="AG242" s="25" t="s">
        <v>56</v>
      </c>
      <c r="AH242" s="24">
        <v>0</v>
      </c>
      <c r="AI242" s="31">
        <v>0</v>
      </c>
      <c r="AJ242" s="31">
        <v>0</v>
      </c>
      <c r="AK242" s="44">
        <f t="shared" si="6"/>
        <v>-97.597500000000025</v>
      </c>
      <c r="AL242">
        <f>VLOOKUP(A242,'[1]prueba con 16mil datos'!$A$1:$AE$804,31,FALSE)</f>
        <v>943.8</v>
      </c>
      <c r="AM242">
        <f t="shared" si="7"/>
        <v>0</v>
      </c>
      <c r="AO242">
        <f>VLOOKUP(A242,'[1]Prueba con 19mil datos'!$B$1:$AF$1228,31,FALSE)</f>
        <v>943.8</v>
      </c>
    </row>
    <row r="243" spans="1:41" hidden="1" x14ac:dyDescent="0.25">
      <c r="A243" s="16" t="s">
        <v>1656</v>
      </c>
      <c r="B243" s="15" t="s">
        <v>40</v>
      </c>
      <c r="C243" s="16">
        <v>1</v>
      </c>
      <c r="D243" s="16" t="s">
        <v>1206</v>
      </c>
      <c r="E243" s="17" t="s">
        <v>42</v>
      </c>
      <c r="F243" s="18" t="s">
        <v>99</v>
      </c>
      <c r="G243" s="18" t="s">
        <v>1207</v>
      </c>
      <c r="H243" s="16" t="s">
        <v>115</v>
      </c>
      <c r="I243" s="19" t="s">
        <v>3</v>
      </c>
      <c r="J243" s="16" t="s">
        <v>12</v>
      </c>
      <c r="K243" s="20" t="s">
        <v>294</v>
      </c>
      <c r="L243" s="20" t="s">
        <v>1209</v>
      </c>
      <c r="M243" s="16" t="s">
        <v>1044</v>
      </c>
      <c r="N243" s="16">
        <v>0</v>
      </c>
      <c r="O243" s="16" t="s">
        <v>50</v>
      </c>
      <c r="P243" s="20">
        <v>119</v>
      </c>
      <c r="Q243" s="20" t="s">
        <v>51</v>
      </c>
      <c r="R243" s="21" t="s">
        <v>77</v>
      </c>
      <c r="S243" s="22" t="s">
        <v>53</v>
      </c>
      <c r="T243" s="22" t="s">
        <v>157</v>
      </c>
      <c r="U243" s="23" t="s">
        <v>55</v>
      </c>
      <c r="V243" s="24">
        <v>1.05</v>
      </c>
      <c r="W243" s="25">
        <v>750.75000000000011</v>
      </c>
      <c r="X243" s="26">
        <v>1</v>
      </c>
      <c r="Y243" s="27">
        <v>2.48</v>
      </c>
      <c r="Z243" s="23">
        <v>9</v>
      </c>
      <c r="AA243" s="28">
        <v>0.27555555555555555</v>
      </c>
      <c r="AB243" s="24">
        <v>0</v>
      </c>
      <c r="AC243" s="29">
        <v>0</v>
      </c>
      <c r="AD243" s="30">
        <v>43563</v>
      </c>
      <c r="AE243" s="30">
        <v>43563</v>
      </c>
      <c r="AF243" s="23">
        <v>0</v>
      </c>
      <c r="AG243" s="25" t="s">
        <v>56</v>
      </c>
      <c r="AH243" s="24">
        <v>0</v>
      </c>
      <c r="AI243" s="31">
        <v>0</v>
      </c>
      <c r="AJ243" s="31">
        <v>0</v>
      </c>
      <c r="AK243" s="44">
        <f t="shared" si="6"/>
        <v>750.75000000000011</v>
      </c>
      <c r="AL243">
        <f>VLOOKUP(A243,'[1]prueba con 16mil datos'!$A$1:$AE$804,31,FALSE)</f>
        <v>1573</v>
      </c>
      <c r="AM243">
        <f t="shared" si="7"/>
        <v>0</v>
      </c>
      <c r="AO243">
        <f>VLOOKUP(A243,'[1]Prueba con 19mil datos'!$B$1:$AF$1228,31,FALSE)</f>
        <v>1573</v>
      </c>
    </row>
    <row r="244" spans="1:41" hidden="1" x14ac:dyDescent="0.25">
      <c r="A244" s="16" t="s">
        <v>462</v>
      </c>
      <c r="B244" s="15" t="s">
        <v>40</v>
      </c>
      <c r="C244" s="16">
        <v>1</v>
      </c>
      <c r="D244" s="16" t="s">
        <v>1285</v>
      </c>
      <c r="E244" s="17" t="s">
        <v>42</v>
      </c>
      <c r="F244" s="18" t="s">
        <v>1286</v>
      </c>
      <c r="G244" s="18" t="s">
        <v>1287</v>
      </c>
      <c r="H244" s="16" t="s">
        <v>207</v>
      </c>
      <c r="I244" s="19" t="s">
        <v>3</v>
      </c>
      <c r="J244" s="16" t="s">
        <v>12</v>
      </c>
      <c r="K244" s="20" t="s">
        <v>564</v>
      </c>
      <c r="L244" s="20" t="s">
        <v>565</v>
      </c>
      <c r="M244" s="16" t="s">
        <v>566</v>
      </c>
      <c r="N244" s="16">
        <v>0</v>
      </c>
      <c r="O244" s="16" t="s">
        <v>50</v>
      </c>
      <c r="P244" s="20">
        <v>194</v>
      </c>
      <c r="Q244" s="20" t="s">
        <v>51</v>
      </c>
      <c r="R244" s="21" t="s">
        <v>52</v>
      </c>
      <c r="S244" s="22" t="s">
        <v>53</v>
      </c>
      <c r="T244" s="22" t="s">
        <v>54</v>
      </c>
      <c r="U244" s="23" t="s">
        <v>55</v>
      </c>
      <c r="V244" s="24">
        <v>1.05</v>
      </c>
      <c r="W244" s="25">
        <v>750.75000000000011</v>
      </c>
      <c r="X244" s="26">
        <v>1</v>
      </c>
      <c r="Y244" s="27">
        <v>0</v>
      </c>
      <c r="Z244" s="23">
        <v>5</v>
      </c>
      <c r="AA244" s="28">
        <v>0</v>
      </c>
      <c r="AB244" s="24">
        <v>0</v>
      </c>
      <c r="AC244" s="29">
        <v>0</v>
      </c>
      <c r="AD244" s="30">
        <v>43563</v>
      </c>
      <c r="AE244" s="30">
        <v>43564</v>
      </c>
      <c r="AF244" s="23">
        <v>1</v>
      </c>
      <c r="AG244" s="25" t="s">
        <v>56</v>
      </c>
      <c r="AH244" s="24">
        <v>0</v>
      </c>
      <c r="AI244" s="31">
        <v>0</v>
      </c>
      <c r="AJ244" s="31">
        <v>0</v>
      </c>
      <c r="AK244" s="44">
        <f t="shared" si="6"/>
        <v>750.75000000000011</v>
      </c>
      <c r="AL244">
        <f>VLOOKUP(A244,'[1]prueba con 16mil datos'!$A$1:$AE$804,31,FALSE)</f>
        <v>1258.4000000000001</v>
      </c>
      <c r="AM244">
        <f t="shared" si="7"/>
        <v>0</v>
      </c>
      <c r="AO244">
        <f>VLOOKUP(A244,'[1]Prueba con 19mil datos'!$B$1:$AF$1228,31,FALSE)</f>
        <v>1258.4000000000001</v>
      </c>
    </row>
    <row r="245" spans="1:41" hidden="1" x14ac:dyDescent="0.25">
      <c r="A245" s="16" t="s">
        <v>462</v>
      </c>
      <c r="B245" s="15" t="s">
        <v>40</v>
      </c>
      <c r="C245" s="16">
        <v>1</v>
      </c>
      <c r="D245" s="16" t="s">
        <v>1303</v>
      </c>
      <c r="E245" s="17" t="s">
        <v>42</v>
      </c>
      <c r="F245" s="18" t="s">
        <v>449</v>
      </c>
      <c r="G245" s="18" t="s">
        <v>1304</v>
      </c>
      <c r="H245" s="16" t="s">
        <v>115</v>
      </c>
      <c r="I245" s="19" t="s">
        <v>3</v>
      </c>
      <c r="J245" s="16" t="s">
        <v>12</v>
      </c>
      <c r="K245" s="20" t="s">
        <v>1306</v>
      </c>
      <c r="L245" s="20" t="s">
        <v>1307</v>
      </c>
      <c r="M245" s="16" t="s">
        <v>118</v>
      </c>
      <c r="N245" s="16">
        <v>0</v>
      </c>
      <c r="O245" s="16" t="s">
        <v>50</v>
      </c>
      <c r="P245" s="20">
        <v>27</v>
      </c>
      <c r="Q245" s="20" t="s">
        <v>119</v>
      </c>
      <c r="R245" s="21" t="s">
        <v>186</v>
      </c>
      <c r="S245" s="22" t="s">
        <v>187</v>
      </c>
      <c r="T245" s="22" t="s">
        <v>54</v>
      </c>
      <c r="U245" s="23" t="s">
        <v>269</v>
      </c>
      <c r="V245" s="24">
        <v>1.05</v>
      </c>
      <c r="W245" s="25">
        <v>1651.6500000000003</v>
      </c>
      <c r="X245" s="26">
        <v>1</v>
      </c>
      <c r="Y245" s="27">
        <v>3.99</v>
      </c>
      <c r="Z245" s="23">
        <v>4</v>
      </c>
      <c r="AA245" s="28">
        <v>0.99750000000000005</v>
      </c>
      <c r="AB245" s="24">
        <v>0</v>
      </c>
      <c r="AC245" s="29">
        <v>0</v>
      </c>
      <c r="AD245" s="30">
        <v>43563</v>
      </c>
      <c r="AE245" s="30">
        <v>43564</v>
      </c>
      <c r="AF245" s="23">
        <v>1</v>
      </c>
      <c r="AG245" s="25" t="s">
        <v>56</v>
      </c>
      <c r="AH245" s="24">
        <v>0</v>
      </c>
      <c r="AI245" s="31">
        <v>0</v>
      </c>
      <c r="AJ245" s="31">
        <v>0</v>
      </c>
      <c r="AK245" s="44">
        <f t="shared" si="6"/>
        <v>1651.6500000000003</v>
      </c>
      <c r="AL245">
        <f>VLOOKUP(A245,'[1]prueba con 16mil datos'!$A$1:$AE$804,31,FALSE)</f>
        <v>1258.4000000000001</v>
      </c>
      <c r="AM245">
        <f t="shared" si="7"/>
        <v>0</v>
      </c>
      <c r="AO245">
        <f>VLOOKUP(A245,'[1]Prueba con 19mil datos'!$B$1:$AF$1228,31,FALSE)</f>
        <v>1258.4000000000001</v>
      </c>
    </row>
    <row r="246" spans="1:41" hidden="1" x14ac:dyDescent="0.25">
      <c r="A246" s="16" t="s">
        <v>462</v>
      </c>
      <c r="B246" s="15" t="s">
        <v>40</v>
      </c>
      <c r="C246" s="16">
        <v>1</v>
      </c>
      <c r="D246" s="16" t="s">
        <v>1260</v>
      </c>
      <c r="E246" s="17" t="s">
        <v>42</v>
      </c>
      <c r="F246" s="18" t="s">
        <v>733</v>
      </c>
      <c r="G246" s="18" t="s">
        <v>1261</v>
      </c>
      <c r="H246" s="16" t="s">
        <v>821</v>
      </c>
      <c r="I246" s="19" t="s">
        <v>3</v>
      </c>
      <c r="J246" s="16" t="s">
        <v>12</v>
      </c>
      <c r="K246" s="20" t="s">
        <v>126</v>
      </c>
      <c r="L246" s="20" t="s">
        <v>1263</v>
      </c>
      <c r="M246" s="16" t="s">
        <v>823</v>
      </c>
      <c r="N246" s="16">
        <v>0</v>
      </c>
      <c r="O246" s="16" t="s">
        <v>50</v>
      </c>
      <c r="P246" s="20">
        <v>20</v>
      </c>
      <c r="Q246" s="20" t="s">
        <v>119</v>
      </c>
      <c r="R246" s="21" t="s">
        <v>279</v>
      </c>
      <c r="S246" s="22" t="s">
        <v>187</v>
      </c>
      <c r="T246" s="22" t="s">
        <v>54</v>
      </c>
      <c r="U246" s="23" t="s">
        <v>269</v>
      </c>
      <c r="V246" s="24">
        <v>1.05</v>
      </c>
      <c r="W246" s="25">
        <v>1651.6500000000003</v>
      </c>
      <c r="X246" s="26">
        <v>1</v>
      </c>
      <c r="Y246" s="27">
        <v>1.84</v>
      </c>
      <c r="Z246" s="23">
        <v>4</v>
      </c>
      <c r="AA246" s="28">
        <v>0.46</v>
      </c>
      <c r="AB246" s="24">
        <v>0</v>
      </c>
      <c r="AC246" s="29">
        <v>0</v>
      </c>
      <c r="AD246" s="30">
        <v>43563</v>
      </c>
      <c r="AE246" s="30">
        <v>43563</v>
      </c>
      <c r="AF246" s="23">
        <v>0</v>
      </c>
      <c r="AG246" s="25" t="s">
        <v>56</v>
      </c>
      <c r="AH246" s="24">
        <v>0</v>
      </c>
      <c r="AI246" s="31">
        <v>0</v>
      </c>
      <c r="AJ246" s="31">
        <v>0</v>
      </c>
      <c r="AK246" s="44">
        <f t="shared" si="6"/>
        <v>1651.6500000000003</v>
      </c>
      <c r="AL246">
        <f>VLOOKUP(A246,'[1]prueba con 16mil datos'!$A$1:$AE$804,31,FALSE)</f>
        <v>1258.4000000000001</v>
      </c>
      <c r="AM246">
        <f t="shared" si="7"/>
        <v>0</v>
      </c>
      <c r="AO246">
        <f>VLOOKUP(A246,'[1]Prueba con 19mil datos'!$B$1:$AF$1228,31,FALSE)</f>
        <v>1258.4000000000001</v>
      </c>
    </row>
    <row r="247" spans="1:41" hidden="1" x14ac:dyDescent="0.25">
      <c r="A247" s="16" t="s">
        <v>462</v>
      </c>
      <c r="B247" s="15" t="s">
        <v>40</v>
      </c>
      <c r="C247" s="16">
        <v>1</v>
      </c>
      <c r="D247" s="16" t="s">
        <v>1308</v>
      </c>
      <c r="E247" s="17" t="s">
        <v>42</v>
      </c>
      <c r="F247" s="18" t="s">
        <v>733</v>
      </c>
      <c r="G247" s="18" t="s">
        <v>1309</v>
      </c>
      <c r="H247" s="16" t="s">
        <v>61</v>
      </c>
      <c r="I247" s="19" t="s">
        <v>3</v>
      </c>
      <c r="J247" s="16" t="s">
        <v>12</v>
      </c>
      <c r="K247" s="20" t="s">
        <v>736</v>
      </c>
      <c r="L247" s="20" t="s">
        <v>737</v>
      </c>
      <c r="M247" s="16" t="s">
        <v>118</v>
      </c>
      <c r="N247" s="16">
        <v>0</v>
      </c>
      <c r="O247" s="16" t="s">
        <v>50</v>
      </c>
      <c r="P247" s="20">
        <v>19</v>
      </c>
      <c r="Q247" s="20" t="s">
        <v>119</v>
      </c>
      <c r="R247" s="21" t="s">
        <v>279</v>
      </c>
      <c r="S247" s="22" t="s">
        <v>187</v>
      </c>
      <c r="T247" s="22" t="s">
        <v>54</v>
      </c>
      <c r="U247" s="23" t="s">
        <v>269</v>
      </c>
      <c r="V247" s="24">
        <v>1.05</v>
      </c>
      <c r="W247" s="25">
        <v>1651.6500000000003</v>
      </c>
      <c r="X247" s="26">
        <v>1</v>
      </c>
      <c r="Y247" s="27">
        <v>2.15</v>
      </c>
      <c r="Z247" s="23">
        <v>4</v>
      </c>
      <c r="AA247" s="28">
        <v>0.53749999999999998</v>
      </c>
      <c r="AB247" s="24">
        <v>0</v>
      </c>
      <c r="AC247" s="29">
        <v>0</v>
      </c>
      <c r="AD247" s="30">
        <v>43563</v>
      </c>
      <c r="AE247" s="30">
        <v>43564</v>
      </c>
      <c r="AF247" s="23">
        <v>1</v>
      </c>
      <c r="AG247" s="25" t="s">
        <v>56</v>
      </c>
      <c r="AH247" s="24">
        <v>0</v>
      </c>
      <c r="AI247" s="31">
        <v>0</v>
      </c>
      <c r="AJ247" s="31">
        <v>0</v>
      </c>
      <c r="AK247" s="44">
        <f t="shared" si="6"/>
        <v>1651.6500000000003</v>
      </c>
      <c r="AL247">
        <f>VLOOKUP(A247,'[1]prueba con 16mil datos'!$A$1:$AE$804,31,FALSE)</f>
        <v>1258.4000000000001</v>
      </c>
      <c r="AM247">
        <f t="shared" si="7"/>
        <v>0</v>
      </c>
      <c r="AO247">
        <f>VLOOKUP(A247,'[1]Prueba con 19mil datos'!$B$1:$AF$1228,31,FALSE)</f>
        <v>1258.4000000000001</v>
      </c>
    </row>
    <row r="248" spans="1:41" hidden="1" x14ac:dyDescent="0.25">
      <c r="A248" s="16" t="s">
        <v>1111</v>
      </c>
      <c r="B248" s="15" t="s">
        <v>40</v>
      </c>
      <c r="C248" s="16">
        <v>1</v>
      </c>
      <c r="D248" s="16" t="s">
        <v>1227</v>
      </c>
      <c r="E248" s="17" t="s">
        <v>42</v>
      </c>
      <c r="F248" s="18" t="s">
        <v>275</v>
      </c>
      <c r="G248" s="18" t="s">
        <v>1228</v>
      </c>
      <c r="H248" s="16" t="s">
        <v>143</v>
      </c>
      <c r="I248" s="19" t="s">
        <v>3</v>
      </c>
      <c r="J248" s="16" t="s">
        <v>12</v>
      </c>
      <c r="K248" s="20" t="s">
        <v>126</v>
      </c>
      <c r="L248" s="20" t="s">
        <v>366</v>
      </c>
      <c r="M248" s="16" t="s">
        <v>367</v>
      </c>
      <c r="N248" s="16">
        <v>0</v>
      </c>
      <c r="O248" s="16" t="s">
        <v>50</v>
      </c>
      <c r="P248" s="20">
        <v>44</v>
      </c>
      <c r="Q248" s="20" t="s">
        <v>86</v>
      </c>
      <c r="R248" s="21" t="s">
        <v>279</v>
      </c>
      <c r="S248" s="22" t="s">
        <v>187</v>
      </c>
      <c r="T248" s="22" t="s">
        <v>54</v>
      </c>
      <c r="U248" s="23" t="s">
        <v>188</v>
      </c>
      <c r="V248" s="24">
        <v>1.1000000000000001</v>
      </c>
      <c r="W248" s="25">
        <v>1730.3000000000004</v>
      </c>
      <c r="X248" s="26">
        <v>1</v>
      </c>
      <c r="Y248" s="27">
        <v>0.5</v>
      </c>
      <c r="Z248" s="23">
        <v>4</v>
      </c>
      <c r="AA248" s="28">
        <v>0.125</v>
      </c>
      <c r="AB248" s="24">
        <v>0</v>
      </c>
      <c r="AC248" s="29">
        <v>0</v>
      </c>
      <c r="AD248" s="30">
        <v>43563</v>
      </c>
      <c r="AE248" s="30">
        <v>43563</v>
      </c>
      <c r="AF248" s="23">
        <v>0</v>
      </c>
      <c r="AG248" s="25" t="s">
        <v>56</v>
      </c>
      <c r="AH248" s="24">
        <v>0</v>
      </c>
      <c r="AI248" s="31">
        <v>0</v>
      </c>
      <c r="AJ248" s="31">
        <v>0</v>
      </c>
      <c r="AK248" s="44">
        <f t="shared" si="6"/>
        <v>1730.3000000000004</v>
      </c>
      <c r="AL248">
        <f>VLOOKUP(A248,'[1]prueba con 16mil datos'!$A$1:$AE$804,31,FALSE)</f>
        <v>1808.95</v>
      </c>
      <c r="AM248">
        <f t="shared" si="7"/>
        <v>0</v>
      </c>
      <c r="AO248">
        <f>VLOOKUP(A248,'[1]Prueba con 19mil datos'!$B$1:$AF$1228,31,FALSE)</f>
        <v>1808.95</v>
      </c>
    </row>
    <row r="249" spans="1:41" hidden="1" x14ac:dyDescent="0.25">
      <c r="A249" s="16" t="s">
        <v>1298</v>
      </c>
      <c r="B249" s="15" t="s">
        <v>40</v>
      </c>
      <c r="C249" s="16">
        <v>1</v>
      </c>
      <c r="D249" s="16" t="s">
        <v>1296</v>
      </c>
      <c r="E249" s="17" t="s">
        <v>42</v>
      </c>
      <c r="F249" s="18" t="s">
        <v>275</v>
      </c>
      <c r="G249" s="18" t="s">
        <v>1297</v>
      </c>
      <c r="H249" s="16" t="s">
        <v>213</v>
      </c>
      <c r="I249" s="19" t="s">
        <v>3</v>
      </c>
      <c r="J249" s="16" t="s">
        <v>12</v>
      </c>
      <c r="K249" s="20" t="s">
        <v>126</v>
      </c>
      <c r="L249" s="20" t="s">
        <v>1299</v>
      </c>
      <c r="M249" s="16" t="s">
        <v>479</v>
      </c>
      <c r="N249" s="16">
        <v>0</v>
      </c>
      <c r="O249" s="16" t="s">
        <v>50</v>
      </c>
      <c r="P249" s="20">
        <v>31</v>
      </c>
      <c r="Q249" s="20" t="s">
        <v>86</v>
      </c>
      <c r="R249" s="21" t="s">
        <v>279</v>
      </c>
      <c r="S249" s="22" t="s">
        <v>187</v>
      </c>
      <c r="T249" s="22" t="s">
        <v>54</v>
      </c>
      <c r="U249" s="23" t="s">
        <v>188</v>
      </c>
      <c r="V249" s="24">
        <v>1.1000000000000001</v>
      </c>
      <c r="W249" s="25">
        <v>1730.3000000000004</v>
      </c>
      <c r="X249" s="26">
        <v>1</v>
      </c>
      <c r="Y249" s="27">
        <v>4.4666666666666677</v>
      </c>
      <c r="Z249" s="23">
        <v>4</v>
      </c>
      <c r="AA249" s="28">
        <v>1.1166666666666669</v>
      </c>
      <c r="AB249" s="24">
        <v>2.916666666666673E-2</v>
      </c>
      <c r="AC249" s="29">
        <v>-45.879166666666769</v>
      </c>
      <c r="AD249" s="30">
        <v>43563</v>
      </c>
      <c r="AE249" s="30">
        <v>43564</v>
      </c>
      <c r="AF249" s="23">
        <v>1</v>
      </c>
      <c r="AG249" s="25" t="s">
        <v>56</v>
      </c>
      <c r="AH249" s="24">
        <v>0</v>
      </c>
      <c r="AI249" s="31">
        <v>0</v>
      </c>
      <c r="AJ249" s="31">
        <v>0</v>
      </c>
      <c r="AK249" s="44">
        <f t="shared" si="6"/>
        <v>1684.4208333333336</v>
      </c>
      <c r="AL249">
        <f>VLOOKUP(A249,'[1]prueba con 16mil datos'!$A$1:$AE$804,31,FALSE)</f>
        <v>1730.3</v>
      </c>
      <c r="AM249">
        <f t="shared" si="7"/>
        <v>0</v>
      </c>
      <c r="AO249">
        <f>VLOOKUP(A249,'[1]Prueba con 19mil datos'!$B$1:$AF$1228,31,FALSE)</f>
        <v>1730.3</v>
      </c>
    </row>
    <row r="250" spans="1:41" hidden="1" x14ac:dyDescent="0.25">
      <c r="A250" s="16" t="s">
        <v>1961</v>
      </c>
      <c r="B250" s="15" t="s">
        <v>40</v>
      </c>
      <c r="C250" s="16">
        <v>1</v>
      </c>
      <c r="D250" s="16" t="s">
        <v>1278</v>
      </c>
      <c r="E250" s="17" t="s">
        <v>42</v>
      </c>
      <c r="F250" s="18" t="s">
        <v>275</v>
      </c>
      <c r="G250" s="18" t="s">
        <v>1279</v>
      </c>
      <c r="H250" s="16" t="s">
        <v>175</v>
      </c>
      <c r="I250" s="19" t="s">
        <v>3</v>
      </c>
      <c r="J250" s="16" t="s">
        <v>12</v>
      </c>
      <c r="K250" s="20" t="s">
        <v>126</v>
      </c>
      <c r="L250" s="20" t="s">
        <v>748</v>
      </c>
      <c r="M250" s="16" t="s">
        <v>749</v>
      </c>
      <c r="N250" s="16">
        <v>0</v>
      </c>
      <c r="O250" s="16" t="s">
        <v>50</v>
      </c>
      <c r="P250" s="20">
        <v>29</v>
      </c>
      <c r="Q250" s="20" t="s">
        <v>119</v>
      </c>
      <c r="R250" s="21" t="s">
        <v>279</v>
      </c>
      <c r="S250" s="22" t="s">
        <v>187</v>
      </c>
      <c r="T250" s="22" t="s">
        <v>54</v>
      </c>
      <c r="U250" s="23" t="s">
        <v>269</v>
      </c>
      <c r="V250" s="24">
        <v>1.05</v>
      </c>
      <c r="W250" s="25">
        <v>1651.6500000000003</v>
      </c>
      <c r="X250" s="26">
        <v>1</v>
      </c>
      <c r="Y250" s="27">
        <v>6.5</v>
      </c>
      <c r="Z250" s="23">
        <v>4</v>
      </c>
      <c r="AA250" s="28">
        <v>1.625</v>
      </c>
      <c r="AB250" s="24">
        <v>0.15625</v>
      </c>
      <c r="AC250" s="29">
        <v>-245.78125000000003</v>
      </c>
      <c r="AD250" s="30">
        <v>43563</v>
      </c>
      <c r="AE250" s="30">
        <v>43563</v>
      </c>
      <c r="AF250" s="23">
        <v>0</v>
      </c>
      <c r="AG250" s="25" t="s">
        <v>56</v>
      </c>
      <c r="AH250" s="24">
        <v>0</v>
      </c>
      <c r="AI250" s="31">
        <v>0</v>
      </c>
      <c r="AJ250" s="31">
        <v>0</v>
      </c>
      <c r="AK250" s="44">
        <f t="shared" si="6"/>
        <v>1405.8687500000003</v>
      </c>
      <c r="AL250">
        <f>VLOOKUP(A250,'[1]prueba con 16mil datos'!$A$1:$AE$804,31,FALSE)</f>
        <v>1808.95</v>
      </c>
      <c r="AM250">
        <f t="shared" si="7"/>
        <v>0</v>
      </c>
      <c r="AO250">
        <f>VLOOKUP(A250,'[1]Prueba con 19mil datos'!$B$1:$AF$1228,31,FALSE)</f>
        <v>1808.95</v>
      </c>
    </row>
    <row r="251" spans="1:41" hidden="1" x14ac:dyDescent="0.25">
      <c r="A251" s="16" t="s">
        <v>1576</v>
      </c>
      <c r="B251" s="15" t="s">
        <v>40</v>
      </c>
      <c r="C251" s="16">
        <v>1</v>
      </c>
      <c r="D251" s="16" t="s">
        <v>1202</v>
      </c>
      <c r="E251" s="17" t="s">
        <v>42</v>
      </c>
      <c r="F251" s="18" t="s">
        <v>70</v>
      </c>
      <c r="G251" s="18" t="s">
        <v>1203</v>
      </c>
      <c r="H251" s="16" t="s">
        <v>660</v>
      </c>
      <c r="I251" s="19" t="s">
        <v>3</v>
      </c>
      <c r="J251" s="16" t="s">
        <v>12</v>
      </c>
      <c r="K251" s="20" t="s">
        <v>74</v>
      </c>
      <c r="L251" s="20" t="s">
        <v>1205</v>
      </c>
      <c r="M251" s="16" t="s">
        <v>372</v>
      </c>
      <c r="N251" s="16">
        <v>0</v>
      </c>
      <c r="O251" s="16" t="s">
        <v>50</v>
      </c>
      <c r="P251" s="20">
        <v>959</v>
      </c>
      <c r="Q251" s="20" t="s">
        <v>51</v>
      </c>
      <c r="R251" s="21" t="s">
        <v>77</v>
      </c>
      <c r="S251" s="22" t="s">
        <v>53</v>
      </c>
      <c r="T251" s="22" t="s">
        <v>54</v>
      </c>
      <c r="U251" s="23" t="s">
        <v>55</v>
      </c>
      <c r="V251" s="24">
        <v>1.05</v>
      </c>
      <c r="W251" s="25">
        <v>750.75000000000011</v>
      </c>
      <c r="X251" s="26">
        <v>1</v>
      </c>
      <c r="Y251" s="27">
        <v>0.96</v>
      </c>
      <c r="Z251" s="23">
        <v>5</v>
      </c>
      <c r="AA251" s="28">
        <v>0.192</v>
      </c>
      <c r="AB251" s="24">
        <v>0</v>
      </c>
      <c r="AC251" s="29">
        <v>0</v>
      </c>
      <c r="AD251" s="30">
        <v>43563</v>
      </c>
      <c r="AE251" s="30">
        <v>43563</v>
      </c>
      <c r="AF251" s="23">
        <v>0</v>
      </c>
      <c r="AG251" s="25" t="s">
        <v>56</v>
      </c>
      <c r="AH251" s="24">
        <v>0</v>
      </c>
      <c r="AI251" s="31">
        <v>0</v>
      </c>
      <c r="AJ251" s="31">
        <v>0</v>
      </c>
      <c r="AK251" s="44">
        <f t="shared" si="6"/>
        <v>750.75000000000011</v>
      </c>
      <c r="AL251">
        <f>VLOOKUP(A251,'[1]prueba con 16mil datos'!$A$1:$AE$804,31,FALSE)</f>
        <v>1651.65</v>
      </c>
      <c r="AM251">
        <f t="shared" si="7"/>
        <v>0</v>
      </c>
      <c r="AO251">
        <f>VLOOKUP(A251,'[1]Prueba con 19mil datos'!$B$1:$AF$1228,31,FALSE)</f>
        <v>1258.4000000000001</v>
      </c>
    </row>
    <row r="252" spans="1:41" hidden="1" x14ac:dyDescent="0.25">
      <c r="A252" s="16" t="s">
        <v>1576</v>
      </c>
      <c r="B252" s="15" t="s">
        <v>40</v>
      </c>
      <c r="C252" s="16">
        <v>1</v>
      </c>
      <c r="D252" s="16" t="s">
        <v>1273</v>
      </c>
      <c r="E252" s="17" t="s">
        <v>42</v>
      </c>
      <c r="F252" s="18" t="s">
        <v>70</v>
      </c>
      <c r="G252" s="18" t="s">
        <v>1274</v>
      </c>
      <c r="H252" s="16" t="s">
        <v>293</v>
      </c>
      <c r="I252" s="19" t="s">
        <v>3</v>
      </c>
      <c r="J252" s="16" t="s">
        <v>12</v>
      </c>
      <c r="K252" s="20" t="s">
        <v>74</v>
      </c>
      <c r="L252" s="20" t="s">
        <v>1276</v>
      </c>
      <c r="M252" s="16" t="s">
        <v>1277</v>
      </c>
      <c r="N252" s="16">
        <v>0</v>
      </c>
      <c r="O252" s="16" t="s">
        <v>50</v>
      </c>
      <c r="P252" s="20">
        <v>298</v>
      </c>
      <c r="Q252" s="20" t="s">
        <v>51</v>
      </c>
      <c r="R252" s="21" t="s">
        <v>77</v>
      </c>
      <c r="S252" s="22" t="s">
        <v>53</v>
      </c>
      <c r="T252" s="22" t="s">
        <v>54</v>
      </c>
      <c r="U252" s="23" t="s">
        <v>55</v>
      </c>
      <c r="V252" s="24">
        <v>1.05</v>
      </c>
      <c r="W252" s="25">
        <v>750.75000000000011</v>
      </c>
      <c r="X252" s="26">
        <v>1</v>
      </c>
      <c r="Y252" s="27">
        <v>1.67</v>
      </c>
      <c r="Z252" s="23">
        <v>5</v>
      </c>
      <c r="AA252" s="28">
        <v>0.33399999999999996</v>
      </c>
      <c r="AB252" s="24">
        <v>0</v>
      </c>
      <c r="AC252" s="29">
        <v>0</v>
      </c>
      <c r="AD252" s="30">
        <v>43563</v>
      </c>
      <c r="AE252" s="30">
        <v>43563</v>
      </c>
      <c r="AF252" s="23">
        <v>0</v>
      </c>
      <c r="AG252" s="25" t="s">
        <v>56</v>
      </c>
      <c r="AH252" s="24">
        <v>0</v>
      </c>
      <c r="AI252" s="31">
        <v>0</v>
      </c>
      <c r="AJ252" s="31">
        <v>0</v>
      </c>
      <c r="AK252" s="44">
        <f t="shared" si="6"/>
        <v>750.75000000000011</v>
      </c>
      <c r="AL252">
        <f>VLOOKUP(A252,'[1]prueba con 16mil datos'!$A$1:$AE$804,31,FALSE)</f>
        <v>1651.65</v>
      </c>
      <c r="AM252">
        <f t="shared" si="7"/>
        <v>0</v>
      </c>
      <c r="AO252">
        <f>VLOOKUP(A252,'[1]Prueba con 19mil datos'!$B$1:$AF$1228,31,FALSE)</f>
        <v>1258.4000000000001</v>
      </c>
    </row>
    <row r="253" spans="1:41" hidden="1" x14ac:dyDescent="0.25">
      <c r="A253" s="16" t="s">
        <v>1576</v>
      </c>
      <c r="B253" s="15" t="s">
        <v>40</v>
      </c>
      <c r="C253" s="16">
        <v>1</v>
      </c>
      <c r="D253" s="16" t="s">
        <v>1264</v>
      </c>
      <c r="E253" s="17" t="s">
        <v>42</v>
      </c>
      <c r="F253" s="18" t="s">
        <v>43</v>
      </c>
      <c r="G253" s="18" t="s">
        <v>1265</v>
      </c>
      <c r="H253" s="16" t="s">
        <v>660</v>
      </c>
      <c r="I253" s="19" t="s">
        <v>3</v>
      </c>
      <c r="J253" s="16" t="s">
        <v>12</v>
      </c>
      <c r="K253" s="20" t="s">
        <v>47</v>
      </c>
      <c r="L253" s="20" t="s">
        <v>661</v>
      </c>
      <c r="M253" s="16" t="s">
        <v>429</v>
      </c>
      <c r="N253" s="16">
        <v>0</v>
      </c>
      <c r="O253" s="16" t="s">
        <v>50</v>
      </c>
      <c r="P253" s="20">
        <v>301</v>
      </c>
      <c r="Q253" s="20" t="s">
        <v>51</v>
      </c>
      <c r="R253" s="21" t="s">
        <v>52</v>
      </c>
      <c r="S253" s="22" t="s">
        <v>53</v>
      </c>
      <c r="T253" s="22" t="s">
        <v>54</v>
      </c>
      <c r="U253" s="23" t="s">
        <v>55</v>
      </c>
      <c r="V253" s="24">
        <v>1.05</v>
      </c>
      <c r="W253" s="25">
        <v>750.75000000000011</v>
      </c>
      <c r="X253" s="26">
        <v>1</v>
      </c>
      <c r="Y253" s="27">
        <v>2.15</v>
      </c>
      <c r="Z253" s="23">
        <v>5</v>
      </c>
      <c r="AA253" s="28">
        <v>0.43</v>
      </c>
      <c r="AB253" s="24">
        <v>0</v>
      </c>
      <c r="AC253" s="29">
        <v>0</v>
      </c>
      <c r="AD253" s="30">
        <v>43563</v>
      </c>
      <c r="AE253" s="30">
        <v>43563</v>
      </c>
      <c r="AF253" s="23">
        <v>0</v>
      </c>
      <c r="AG253" s="25" t="s">
        <v>56</v>
      </c>
      <c r="AH253" s="24">
        <v>0</v>
      </c>
      <c r="AI253" s="31">
        <v>0</v>
      </c>
      <c r="AJ253" s="31">
        <v>0</v>
      </c>
      <c r="AK253" s="44">
        <f t="shared" si="6"/>
        <v>750.75000000000011</v>
      </c>
      <c r="AL253">
        <f>VLOOKUP(A253,'[1]prueba con 16mil datos'!$A$1:$AE$804,31,FALSE)</f>
        <v>1651.65</v>
      </c>
      <c r="AM253">
        <f t="shared" si="7"/>
        <v>0</v>
      </c>
      <c r="AO253">
        <f>VLOOKUP(A253,'[1]Prueba con 19mil datos'!$B$1:$AF$1228,31,FALSE)</f>
        <v>1258.4000000000001</v>
      </c>
    </row>
    <row r="254" spans="1:41" hidden="1" x14ac:dyDescent="0.25">
      <c r="A254" s="16" t="s">
        <v>361</v>
      </c>
      <c r="B254" s="15" t="s">
        <v>40</v>
      </c>
      <c r="C254" s="16">
        <v>1</v>
      </c>
      <c r="D254" s="16" t="s">
        <v>1214</v>
      </c>
      <c r="E254" s="17" t="s">
        <v>42</v>
      </c>
      <c r="F254" s="18" t="s">
        <v>180</v>
      </c>
      <c r="G254" s="18" t="s">
        <v>1215</v>
      </c>
      <c r="H254" s="16" t="s">
        <v>175</v>
      </c>
      <c r="I254" s="19" t="s">
        <v>3</v>
      </c>
      <c r="J254" s="16" t="s">
        <v>12</v>
      </c>
      <c r="K254" s="20" t="s">
        <v>198</v>
      </c>
      <c r="L254" s="20" t="s">
        <v>468</v>
      </c>
      <c r="M254" s="16" t="s">
        <v>469</v>
      </c>
      <c r="N254" s="16">
        <v>0</v>
      </c>
      <c r="O254" s="16" t="s">
        <v>50</v>
      </c>
      <c r="P254" s="20">
        <v>28</v>
      </c>
      <c r="Q254" s="20" t="s">
        <v>119</v>
      </c>
      <c r="R254" s="21" t="s">
        <v>186</v>
      </c>
      <c r="S254" s="22" t="s">
        <v>187</v>
      </c>
      <c r="T254" s="22" t="s">
        <v>54</v>
      </c>
      <c r="U254" s="23" t="s">
        <v>269</v>
      </c>
      <c r="V254" s="24">
        <v>1.05</v>
      </c>
      <c r="W254" s="25">
        <v>1651.6500000000003</v>
      </c>
      <c r="X254" s="26">
        <v>1</v>
      </c>
      <c r="Y254" s="27">
        <v>1.63</v>
      </c>
      <c r="Z254" s="23">
        <v>4</v>
      </c>
      <c r="AA254" s="28">
        <v>0.40749999999999997</v>
      </c>
      <c r="AB254" s="24">
        <v>0</v>
      </c>
      <c r="AC254" s="29">
        <v>0</v>
      </c>
      <c r="AD254" s="30">
        <v>43563</v>
      </c>
      <c r="AE254" s="30">
        <v>43563</v>
      </c>
      <c r="AF254" s="23">
        <v>0</v>
      </c>
      <c r="AG254" s="25" t="s">
        <v>56</v>
      </c>
      <c r="AH254" s="24">
        <v>0</v>
      </c>
      <c r="AI254" s="31">
        <v>0</v>
      </c>
      <c r="AJ254" s="31">
        <v>0</v>
      </c>
      <c r="AK254" s="44">
        <f t="shared" si="6"/>
        <v>1651.6500000000003</v>
      </c>
      <c r="AL254">
        <f>VLOOKUP(A254,'[1]prueba con 16mil datos'!$A$1:$AE$804,31,FALSE)</f>
        <v>1573</v>
      </c>
      <c r="AM254">
        <f t="shared" si="7"/>
        <v>0</v>
      </c>
      <c r="AO254">
        <f>VLOOKUP(A254,'[1]Prueba con 19mil datos'!$B$1:$AF$1228,31,FALSE)</f>
        <v>1573</v>
      </c>
    </row>
    <row r="255" spans="1:41" hidden="1" x14ac:dyDescent="0.25">
      <c r="A255" s="16" t="s">
        <v>969</v>
      </c>
      <c r="B255" s="15" t="s">
        <v>40</v>
      </c>
      <c r="C255" s="16">
        <v>1</v>
      </c>
      <c r="D255" s="16" t="s">
        <v>1176</v>
      </c>
      <c r="E255" s="17" t="s">
        <v>42</v>
      </c>
      <c r="F255" s="18" t="s">
        <v>180</v>
      </c>
      <c r="G255" s="18" t="s">
        <v>1177</v>
      </c>
      <c r="H255" s="16" t="s">
        <v>192</v>
      </c>
      <c r="I255" s="19" t="s">
        <v>3</v>
      </c>
      <c r="J255" s="16" t="s">
        <v>12</v>
      </c>
      <c r="K255" s="20" t="s">
        <v>126</v>
      </c>
      <c r="L255" s="20" t="s">
        <v>1179</v>
      </c>
      <c r="M255" s="16" t="s">
        <v>64</v>
      </c>
      <c r="N255" s="16">
        <v>0</v>
      </c>
      <c r="O255" s="16" t="s">
        <v>50</v>
      </c>
      <c r="P255" s="20">
        <v>12</v>
      </c>
      <c r="Q255" s="20" t="s">
        <v>65</v>
      </c>
      <c r="R255" s="21" t="s">
        <v>186</v>
      </c>
      <c r="S255" s="22" t="s">
        <v>187</v>
      </c>
      <c r="T255" s="22" t="s">
        <v>54</v>
      </c>
      <c r="U255" s="23" t="s">
        <v>201</v>
      </c>
      <c r="V255" s="24">
        <v>0.8</v>
      </c>
      <c r="W255" s="25">
        <v>1258.4000000000003</v>
      </c>
      <c r="X255" s="26">
        <v>1</v>
      </c>
      <c r="Y255" s="27">
        <v>1.42</v>
      </c>
      <c r="Z255" s="23">
        <v>4</v>
      </c>
      <c r="AA255" s="28">
        <v>0.35499999999999998</v>
      </c>
      <c r="AB255" s="24">
        <v>0</v>
      </c>
      <c r="AC255" s="29">
        <v>0</v>
      </c>
      <c r="AD255" s="30">
        <v>43563</v>
      </c>
      <c r="AE255" s="30">
        <v>43563</v>
      </c>
      <c r="AF255" s="23">
        <v>0</v>
      </c>
      <c r="AG255" s="25" t="s">
        <v>56</v>
      </c>
      <c r="AH255" s="24">
        <v>0</v>
      </c>
      <c r="AI255" s="31">
        <v>0</v>
      </c>
      <c r="AJ255" s="31">
        <v>0</v>
      </c>
      <c r="AK255" s="44">
        <f t="shared" si="6"/>
        <v>1258.4000000000003</v>
      </c>
      <c r="AL255">
        <f>VLOOKUP(A255,'[1]prueba con 16mil datos'!$A$1:$AE$804,31,FALSE)</f>
        <v>1258.4000000000001</v>
      </c>
      <c r="AM255">
        <f t="shared" si="7"/>
        <v>1</v>
      </c>
      <c r="AO255">
        <f>VLOOKUP(A255,'[1]Prueba con 19mil datos'!$B$1:$AF$1228,31,FALSE)</f>
        <v>943.8</v>
      </c>
    </row>
    <row r="256" spans="1:41" hidden="1" x14ac:dyDescent="0.25">
      <c r="A256" s="16" t="s">
        <v>2870</v>
      </c>
      <c r="B256" s="15" t="s">
        <v>40</v>
      </c>
      <c r="C256" s="16">
        <v>1</v>
      </c>
      <c r="D256" s="16" t="s">
        <v>1169</v>
      </c>
      <c r="E256" s="17" t="s">
        <v>42</v>
      </c>
      <c r="F256" s="18" t="s">
        <v>180</v>
      </c>
      <c r="G256" s="18" t="s">
        <v>1170</v>
      </c>
      <c r="H256" s="16" t="s">
        <v>346</v>
      </c>
      <c r="I256" s="19" t="s">
        <v>3</v>
      </c>
      <c r="J256" s="16" t="s">
        <v>12</v>
      </c>
      <c r="K256" s="20" t="s">
        <v>126</v>
      </c>
      <c r="L256" s="20" t="s">
        <v>366</v>
      </c>
      <c r="M256" s="16" t="s">
        <v>1172</v>
      </c>
      <c r="N256" s="16">
        <v>0</v>
      </c>
      <c r="O256" s="16" t="s">
        <v>50</v>
      </c>
      <c r="P256" s="20">
        <v>60</v>
      </c>
      <c r="Q256" s="20" t="s">
        <v>86</v>
      </c>
      <c r="R256" s="21" t="s">
        <v>186</v>
      </c>
      <c r="S256" s="22" t="s">
        <v>187</v>
      </c>
      <c r="T256" s="22" t="s">
        <v>54</v>
      </c>
      <c r="U256" s="23" t="s">
        <v>188</v>
      </c>
      <c r="V256" s="24">
        <v>1.1000000000000001</v>
      </c>
      <c r="W256" s="25">
        <v>1730.3000000000004</v>
      </c>
      <c r="X256" s="26">
        <v>1</v>
      </c>
      <c r="Y256" s="27">
        <v>0</v>
      </c>
      <c r="Z256" s="23">
        <v>4</v>
      </c>
      <c r="AA256" s="28">
        <v>0</v>
      </c>
      <c r="AB256" s="24">
        <v>0</v>
      </c>
      <c r="AC256" s="29">
        <v>0</v>
      </c>
      <c r="AD256" s="30">
        <v>43563</v>
      </c>
      <c r="AE256" s="30">
        <v>43563</v>
      </c>
      <c r="AF256" s="23">
        <v>0</v>
      </c>
      <c r="AG256" s="25" t="s">
        <v>56</v>
      </c>
      <c r="AH256" s="24">
        <v>0</v>
      </c>
      <c r="AI256" s="31">
        <v>0</v>
      </c>
      <c r="AJ256" s="31">
        <v>0</v>
      </c>
      <c r="AK256" s="44">
        <f t="shared" si="6"/>
        <v>1730.3000000000004</v>
      </c>
      <c r="AL256">
        <f>VLOOKUP(A256,'[1]prueba con 16mil datos'!$A$1:$AE$804,31,FALSE)</f>
        <v>1573</v>
      </c>
      <c r="AM256">
        <f t="shared" si="7"/>
        <v>0</v>
      </c>
      <c r="AO256">
        <f>VLOOKUP(A256,'[1]Prueba con 19mil datos'!$B$1:$AF$1228,31,FALSE)</f>
        <v>1573</v>
      </c>
    </row>
    <row r="257" spans="1:41" hidden="1" x14ac:dyDescent="0.25">
      <c r="A257" s="16" t="s">
        <v>2659</v>
      </c>
      <c r="B257" s="15" t="s">
        <v>40</v>
      </c>
      <c r="C257" s="16">
        <v>1</v>
      </c>
      <c r="D257" s="16" t="s">
        <v>1212</v>
      </c>
      <c r="E257" s="17" t="s">
        <v>42</v>
      </c>
      <c r="F257" s="18" t="s">
        <v>180</v>
      </c>
      <c r="G257" s="18" t="s">
        <v>1213</v>
      </c>
      <c r="H257" s="16" t="s">
        <v>109</v>
      </c>
      <c r="I257" s="19" t="s">
        <v>3</v>
      </c>
      <c r="J257" s="16" t="s">
        <v>12</v>
      </c>
      <c r="K257" s="20" t="s">
        <v>198</v>
      </c>
      <c r="L257" s="20" t="s">
        <v>731</v>
      </c>
      <c r="M257" s="16" t="s">
        <v>200</v>
      </c>
      <c r="N257" s="16">
        <v>0</v>
      </c>
      <c r="O257" s="16" t="s">
        <v>50</v>
      </c>
      <c r="P257" s="20">
        <v>2</v>
      </c>
      <c r="Q257" s="20" t="s">
        <v>147</v>
      </c>
      <c r="R257" s="21" t="s">
        <v>186</v>
      </c>
      <c r="S257" s="22" t="s">
        <v>187</v>
      </c>
      <c r="T257" s="22" t="s">
        <v>54</v>
      </c>
      <c r="U257" s="23" t="s">
        <v>389</v>
      </c>
      <c r="V257" s="24">
        <v>0</v>
      </c>
      <c r="W257" s="25">
        <v>0</v>
      </c>
      <c r="X257" s="26">
        <v>1</v>
      </c>
      <c r="Y257" s="27">
        <v>1.1000000000000001</v>
      </c>
      <c r="Z257" s="23">
        <v>4</v>
      </c>
      <c r="AA257" s="28">
        <v>0.27500000000000002</v>
      </c>
      <c r="AB257" s="24">
        <v>0</v>
      </c>
      <c r="AC257" s="29">
        <v>0</v>
      </c>
      <c r="AD257" s="30">
        <v>43563</v>
      </c>
      <c r="AE257" s="30">
        <v>43563</v>
      </c>
      <c r="AF257" s="23">
        <v>0</v>
      </c>
      <c r="AG257" s="25" t="s">
        <v>56</v>
      </c>
      <c r="AH257" s="24">
        <v>0</v>
      </c>
      <c r="AI257" s="31">
        <v>0</v>
      </c>
      <c r="AJ257" s="31">
        <v>0</v>
      </c>
      <c r="AK257" s="44">
        <f t="shared" si="6"/>
        <v>0</v>
      </c>
      <c r="AL257">
        <f>VLOOKUP(A257,'[1]prueba con 16mil datos'!$A$1:$AE$804,31,FALSE)</f>
        <v>1808.95</v>
      </c>
      <c r="AM257">
        <f t="shared" si="7"/>
        <v>0</v>
      </c>
      <c r="AO257">
        <f>VLOOKUP(A257,'[1]Prueba con 19mil datos'!$B$1:$AF$1228,31,FALSE)</f>
        <v>1808.95</v>
      </c>
    </row>
    <row r="258" spans="1:41" hidden="1" x14ac:dyDescent="0.25">
      <c r="A258" s="16" t="s">
        <v>277</v>
      </c>
      <c r="B258" s="15" t="s">
        <v>40</v>
      </c>
      <c r="C258" s="16">
        <v>1</v>
      </c>
      <c r="D258" s="16" t="s">
        <v>1293</v>
      </c>
      <c r="E258" s="17" t="s">
        <v>42</v>
      </c>
      <c r="F258" s="18" t="s">
        <v>180</v>
      </c>
      <c r="G258" s="18" t="s">
        <v>1294</v>
      </c>
      <c r="H258" s="16" t="s">
        <v>243</v>
      </c>
      <c r="I258" s="19" t="s">
        <v>3</v>
      </c>
      <c r="J258" s="16" t="s">
        <v>12</v>
      </c>
      <c r="K258" s="20" t="s">
        <v>198</v>
      </c>
      <c r="L258" s="20" t="s">
        <v>860</v>
      </c>
      <c r="M258" s="16" t="s">
        <v>429</v>
      </c>
      <c r="N258" s="16">
        <v>0</v>
      </c>
      <c r="O258" s="16" t="s">
        <v>50</v>
      </c>
      <c r="P258" s="20">
        <v>116</v>
      </c>
      <c r="Q258" s="20" t="s">
        <v>51</v>
      </c>
      <c r="R258" s="21" t="s">
        <v>186</v>
      </c>
      <c r="S258" s="22" t="s">
        <v>187</v>
      </c>
      <c r="T258" s="22" t="s">
        <v>54</v>
      </c>
      <c r="U258" s="23" t="s">
        <v>550</v>
      </c>
      <c r="V258" s="24">
        <v>1.1499999999999999</v>
      </c>
      <c r="W258" s="25">
        <v>1808.95</v>
      </c>
      <c r="X258" s="26">
        <v>1</v>
      </c>
      <c r="Y258" s="27">
        <v>2.21</v>
      </c>
      <c r="Z258" s="23">
        <v>4</v>
      </c>
      <c r="AA258" s="28">
        <v>0.55249999999999999</v>
      </c>
      <c r="AB258" s="24">
        <v>0</v>
      </c>
      <c r="AC258" s="29">
        <v>0</v>
      </c>
      <c r="AD258" s="30">
        <v>43563</v>
      </c>
      <c r="AE258" s="30">
        <v>43564</v>
      </c>
      <c r="AF258" s="23">
        <v>1</v>
      </c>
      <c r="AG258" s="25" t="s">
        <v>56</v>
      </c>
      <c r="AH258" s="24">
        <v>0</v>
      </c>
      <c r="AI258" s="31">
        <v>0</v>
      </c>
      <c r="AJ258" s="31">
        <v>0</v>
      </c>
      <c r="AK258" s="44">
        <f t="shared" ref="AK258:AK321" si="8">+W258+AC258</f>
        <v>1808.95</v>
      </c>
      <c r="AL258">
        <f>VLOOKUP(A258,'[1]prueba con 16mil datos'!$A$1:$AE$804,31,FALSE)</f>
        <v>1730.3</v>
      </c>
      <c r="AM258">
        <f t="shared" ref="AM258:AM321" si="9">IF(AK258=AL258,1,0)</f>
        <v>0</v>
      </c>
      <c r="AO258">
        <f>VLOOKUP(A258,'[1]Prueba con 19mil datos'!$B$1:$AF$1228,31,FALSE)</f>
        <v>1730.3</v>
      </c>
    </row>
    <row r="259" spans="1:41" hidden="1" x14ac:dyDescent="0.25">
      <c r="A259" s="16" t="s">
        <v>2890</v>
      </c>
      <c r="B259" s="15" t="s">
        <v>40</v>
      </c>
      <c r="C259" s="16">
        <v>1</v>
      </c>
      <c r="D259" s="16" t="s">
        <v>1310</v>
      </c>
      <c r="E259" s="17" t="s">
        <v>602</v>
      </c>
      <c r="F259" s="18" t="s">
        <v>180</v>
      </c>
      <c r="G259" s="18" t="s">
        <v>1311</v>
      </c>
      <c r="H259" s="16" t="s">
        <v>660</v>
      </c>
      <c r="I259" s="19" t="s">
        <v>3</v>
      </c>
      <c r="J259" s="16" t="s">
        <v>12</v>
      </c>
      <c r="K259" s="20" t="s">
        <v>198</v>
      </c>
      <c r="L259" s="20" t="s">
        <v>546</v>
      </c>
      <c r="M259" s="16" t="s">
        <v>372</v>
      </c>
      <c r="N259" s="16">
        <v>0</v>
      </c>
      <c r="O259" s="16" t="s">
        <v>50</v>
      </c>
      <c r="P259" s="20" t="s">
        <v>326</v>
      </c>
      <c r="Q259" s="20" t="s">
        <v>51</v>
      </c>
      <c r="R259" s="21" t="s">
        <v>186</v>
      </c>
      <c r="S259" s="22" t="s">
        <v>187</v>
      </c>
      <c r="T259" s="22" t="s">
        <v>54</v>
      </c>
      <c r="U259" s="23" t="s">
        <v>550</v>
      </c>
      <c r="V259" s="24">
        <v>1</v>
      </c>
      <c r="W259" s="25">
        <v>1573.0000000000002</v>
      </c>
      <c r="X259" s="26">
        <v>1</v>
      </c>
      <c r="Y259" s="27">
        <v>2.9</v>
      </c>
      <c r="Z259" s="23">
        <v>4</v>
      </c>
      <c r="AA259" s="28">
        <v>0.72499999999999998</v>
      </c>
      <c r="AB259" s="24">
        <v>0</v>
      </c>
      <c r="AC259" s="29">
        <v>0</v>
      </c>
      <c r="AD259" s="30">
        <v>43563</v>
      </c>
      <c r="AE259" s="30">
        <v>43564</v>
      </c>
      <c r="AF259" s="23">
        <v>1</v>
      </c>
      <c r="AG259" s="25" t="s">
        <v>56</v>
      </c>
      <c r="AH259" s="24">
        <v>0</v>
      </c>
      <c r="AI259" s="31">
        <v>0</v>
      </c>
      <c r="AJ259" s="31">
        <v>0</v>
      </c>
      <c r="AK259" s="44">
        <f t="shared" si="8"/>
        <v>1573.0000000000002</v>
      </c>
      <c r="AL259">
        <f>VLOOKUP(A259,'[1]prueba con 16mil datos'!$A$1:$AE$804,31,FALSE)</f>
        <v>1808.95</v>
      </c>
      <c r="AM259">
        <f t="shared" si="9"/>
        <v>0</v>
      </c>
      <c r="AO259">
        <f>VLOOKUP(A259,'[1]Prueba con 19mil datos'!$B$1:$AF$1228,31,FALSE)</f>
        <v>1730.3</v>
      </c>
    </row>
    <row r="260" spans="1:41" hidden="1" x14ac:dyDescent="0.25">
      <c r="A260" s="16" t="s">
        <v>1964</v>
      </c>
      <c r="B260" s="15" t="s">
        <v>40</v>
      </c>
      <c r="C260" s="16">
        <v>1</v>
      </c>
      <c r="D260" s="16" t="s">
        <v>1180</v>
      </c>
      <c r="E260" s="17" t="s">
        <v>42</v>
      </c>
      <c r="F260" s="18" t="s">
        <v>574</v>
      </c>
      <c r="G260" s="18" t="s">
        <v>1181</v>
      </c>
      <c r="H260" s="16" t="s">
        <v>377</v>
      </c>
      <c r="I260" s="19" t="s">
        <v>3</v>
      </c>
      <c r="J260" s="16" t="s">
        <v>12</v>
      </c>
      <c r="K260" s="20" t="s">
        <v>378</v>
      </c>
      <c r="L260" s="20" t="s">
        <v>577</v>
      </c>
      <c r="M260" s="16" t="s">
        <v>128</v>
      </c>
      <c r="N260" s="16">
        <v>0</v>
      </c>
      <c r="O260" s="16" t="s">
        <v>50</v>
      </c>
      <c r="P260" s="20">
        <v>3</v>
      </c>
      <c r="Q260" s="20" t="s">
        <v>147</v>
      </c>
      <c r="R260" s="21" t="s">
        <v>148</v>
      </c>
      <c r="S260" s="22" t="s">
        <v>130</v>
      </c>
      <c r="T260" s="22" t="s">
        <v>54</v>
      </c>
      <c r="U260" s="23" t="s">
        <v>149</v>
      </c>
      <c r="V260" s="24">
        <v>0</v>
      </c>
      <c r="W260" s="25">
        <v>0</v>
      </c>
      <c r="X260" s="26">
        <v>1</v>
      </c>
      <c r="Y260" s="27">
        <v>1.6</v>
      </c>
      <c r="Z260" s="23">
        <v>5</v>
      </c>
      <c r="AA260" s="28">
        <v>0.32</v>
      </c>
      <c r="AB260" s="24">
        <v>0</v>
      </c>
      <c r="AC260" s="29">
        <v>0</v>
      </c>
      <c r="AD260" s="30">
        <v>43563</v>
      </c>
      <c r="AE260" s="30">
        <v>43563</v>
      </c>
      <c r="AF260" s="23">
        <v>0</v>
      </c>
      <c r="AG260" s="25" t="s">
        <v>56</v>
      </c>
      <c r="AH260" s="24">
        <v>0</v>
      </c>
      <c r="AI260" s="31">
        <v>0</v>
      </c>
      <c r="AJ260" s="31">
        <v>0</v>
      </c>
      <c r="AK260" s="44">
        <f t="shared" si="8"/>
        <v>0</v>
      </c>
      <c r="AL260">
        <f>VLOOKUP(A260,'[1]prueba con 16mil datos'!$A$1:$AE$804,31,FALSE)</f>
        <v>1730.3</v>
      </c>
      <c r="AM260">
        <f t="shared" si="9"/>
        <v>0</v>
      </c>
      <c r="AO260">
        <f>VLOOKUP(A260,'[1]Prueba con 19mil datos'!$B$1:$AF$1228,31,FALSE)</f>
        <v>1730.3</v>
      </c>
    </row>
    <row r="261" spans="1:41" hidden="1" x14ac:dyDescent="0.25">
      <c r="A261" s="16" t="s">
        <v>1280</v>
      </c>
      <c r="B261" s="15" t="s">
        <v>40</v>
      </c>
      <c r="C261" s="16">
        <v>1</v>
      </c>
      <c r="D261" s="16" t="s">
        <v>1236</v>
      </c>
      <c r="E261" s="17" t="s">
        <v>42</v>
      </c>
      <c r="F261" s="18" t="s">
        <v>122</v>
      </c>
      <c r="G261" s="18" t="s">
        <v>1237</v>
      </c>
      <c r="H261" s="16" t="s">
        <v>175</v>
      </c>
      <c r="I261" s="19" t="s">
        <v>3</v>
      </c>
      <c r="J261" s="16" t="s">
        <v>12</v>
      </c>
      <c r="K261" s="20" t="s">
        <v>126</v>
      </c>
      <c r="L261" s="20" t="s">
        <v>748</v>
      </c>
      <c r="M261" s="16" t="s">
        <v>749</v>
      </c>
      <c r="N261" s="16">
        <v>0</v>
      </c>
      <c r="O261" s="16" t="s">
        <v>50</v>
      </c>
      <c r="P261" s="20">
        <v>35</v>
      </c>
      <c r="Q261" s="20" t="s">
        <v>86</v>
      </c>
      <c r="R261" s="21" t="s">
        <v>129</v>
      </c>
      <c r="S261" s="22" t="s">
        <v>130</v>
      </c>
      <c r="T261" s="22" t="s">
        <v>54</v>
      </c>
      <c r="U261" s="23" t="s">
        <v>178</v>
      </c>
      <c r="V261" s="24">
        <v>1.05</v>
      </c>
      <c r="W261" s="25">
        <v>1433.25</v>
      </c>
      <c r="X261" s="26">
        <v>1</v>
      </c>
      <c r="Y261" s="27">
        <v>1.6</v>
      </c>
      <c r="Z261" s="23">
        <v>5</v>
      </c>
      <c r="AA261" s="28">
        <v>0.32</v>
      </c>
      <c r="AB261" s="24">
        <v>0</v>
      </c>
      <c r="AC261" s="29">
        <v>0</v>
      </c>
      <c r="AD261" s="30">
        <v>43563</v>
      </c>
      <c r="AE261" s="30">
        <v>43563</v>
      </c>
      <c r="AF261" s="23">
        <v>0</v>
      </c>
      <c r="AG261" s="25" t="s">
        <v>56</v>
      </c>
      <c r="AH261" s="24">
        <v>0</v>
      </c>
      <c r="AI261" s="31">
        <v>0</v>
      </c>
      <c r="AJ261" s="31">
        <v>0</v>
      </c>
      <c r="AK261" s="44">
        <f t="shared" si="8"/>
        <v>1433.25</v>
      </c>
      <c r="AL261">
        <f>VLOOKUP(A261,'[1]prueba con 16mil datos'!$A$1:$AE$804,31,FALSE)</f>
        <v>1323.9416994374999</v>
      </c>
      <c r="AM261">
        <f t="shared" si="9"/>
        <v>0</v>
      </c>
      <c r="AO261">
        <f>VLOOKUP(A261,'[1]Prueba con 19mil datos'!$B$1:$AF$1228,31,FALSE)</f>
        <v>1323.9416994374999</v>
      </c>
    </row>
    <row r="262" spans="1:41" hidden="1" x14ac:dyDescent="0.25">
      <c r="A262" s="16" t="s">
        <v>2386</v>
      </c>
      <c r="B262" s="15" t="s">
        <v>40</v>
      </c>
      <c r="C262" s="16">
        <v>1</v>
      </c>
      <c r="D262" s="16" t="s">
        <v>1182</v>
      </c>
      <c r="E262" s="17" t="s">
        <v>42</v>
      </c>
      <c r="F262" s="18" t="s">
        <v>1183</v>
      </c>
      <c r="G262" s="18" t="s">
        <v>1184</v>
      </c>
      <c r="H262" s="16" t="s">
        <v>301</v>
      </c>
      <c r="I262" s="19" t="s">
        <v>3</v>
      </c>
      <c r="J262" s="16" t="s">
        <v>12</v>
      </c>
      <c r="K262" s="20" t="s">
        <v>1186</v>
      </c>
      <c r="L262" s="20" t="s">
        <v>1187</v>
      </c>
      <c r="M262" s="16" t="s">
        <v>267</v>
      </c>
      <c r="N262" s="16">
        <v>0</v>
      </c>
      <c r="O262" s="16" t="s">
        <v>50</v>
      </c>
      <c r="P262" s="20">
        <v>325</v>
      </c>
      <c r="Q262" s="20" t="s">
        <v>51</v>
      </c>
      <c r="R262" s="21" t="s">
        <v>52</v>
      </c>
      <c r="S262" s="22" t="s">
        <v>53</v>
      </c>
      <c r="T262" s="22" t="s">
        <v>54</v>
      </c>
      <c r="U262" s="23" t="s">
        <v>55</v>
      </c>
      <c r="V262" s="24">
        <v>1.05</v>
      </c>
      <c r="W262" s="25">
        <v>750.75000000000011</v>
      </c>
      <c r="X262" s="26">
        <v>1</v>
      </c>
      <c r="Y262" s="27">
        <v>0.37</v>
      </c>
      <c r="Z262" s="23">
        <v>5</v>
      </c>
      <c r="AA262" s="28">
        <v>7.3999999999999996E-2</v>
      </c>
      <c r="AB262" s="24">
        <v>0</v>
      </c>
      <c r="AC262" s="29">
        <v>0</v>
      </c>
      <c r="AD262" s="30">
        <v>43563</v>
      </c>
      <c r="AE262" s="30">
        <v>43563</v>
      </c>
      <c r="AF262" s="23">
        <v>0</v>
      </c>
      <c r="AG262" s="25" t="s">
        <v>56</v>
      </c>
      <c r="AH262" s="24">
        <v>0</v>
      </c>
      <c r="AI262" s="31">
        <v>0</v>
      </c>
      <c r="AJ262" s="31">
        <v>0</v>
      </c>
      <c r="AK262" s="44">
        <f t="shared" si="8"/>
        <v>750.75000000000011</v>
      </c>
      <c r="AL262">
        <f>VLOOKUP(A262,'[1]prueba con 16mil datos'!$A$1:$AE$804,31,FALSE)</f>
        <v>1651.65</v>
      </c>
      <c r="AM262">
        <f t="shared" si="9"/>
        <v>0</v>
      </c>
      <c r="AO262">
        <f>VLOOKUP(A262,'[1]Prueba con 19mil datos'!$B$1:$AF$1228,31,FALSE)</f>
        <v>1651.65</v>
      </c>
    </row>
    <row r="263" spans="1:41" hidden="1" x14ac:dyDescent="0.25">
      <c r="A263" s="16" t="s">
        <v>629</v>
      </c>
      <c r="B263" s="15" t="s">
        <v>40</v>
      </c>
      <c r="C263" s="16">
        <v>1</v>
      </c>
      <c r="D263" s="16" t="s">
        <v>1267</v>
      </c>
      <c r="E263" s="17" t="s">
        <v>42</v>
      </c>
      <c r="F263" s="18" t="s">
        <v>424</v>
      </c>
      <c r="G263" s="18" t="s">
        <v>1268</v>
      </c>
      <c r="H263" s="16" t="s">
        <v>243</v>
      </c>
      <c r="I263" s="19" t="s">
        <v>3</v>
      </c>
      <c r="J263" s="16" t="s">
        <v>12</v>
      </c>
      <c r="K263" s="20" t="s">
        <v>427</v>
      </c>
      <c r="L263" s="20" t="s">
        <v>428</v>
      </c>
      <c r="M263" s="16" t="s">
        <v>429</v>
      </c>
      <c r="N263" s="16">
        <v>0</v>
      </c>
      <c r="O263" s="16" t="s">
        <v>50</v>
      </c>
      <c r="P263" s="20">
        <v>3</v>
      </c>
      <c r="Q263" s="20" t="s">
        <v>147</v>
      </c>
      <c r="R263" s="21" t="s">
        <v>430</v>
      </c>
      <c r="S263" s="22" t="s">
        <v>67</v>
      </c>
      <c r="T263" s="22" t="s">
        <v>54</v>
      </c>
      <c r="U263" s="23" t="s">
        <v>1269</v>
      </c>
      <c r="V263" s="24">
        <v>0.6</v>
      </c>
      <c r="W263" s="25">
        <v>1287</v>
      </c>
      <c r="X263" s="26">
        <v>1</v>
      </c>
      <c r="Y263" s="27">
        <v>2.82</v>
      </c>
      <c r="Z263" s="23">
        <v>3</v>
      </c>
      <c r="AA263" s="28">
        <v>0.94</v>
      </c>
      <c r="AB263" s="24">
        <v>0</v>
      </c>
      <c r="AC263" s="29">
        <v>0</v>
      </c>
      <c r="AD263" s="30">
        <v>43563</v>
      </c>
      <c r="AE263" s="30">
        <v>43563</v>
      </c>
      <c r="AF263" s="23">
        <v>0</v>
      </c>
      <c r="AG263" s="25" t="s">
        <v>56</v>
      </c>
      <c r="AH263" s="24">
        <v>0</v>
      </c>
      <c r="AI263" s="31">
        <v>0</v>
      </c>
      <c r="AJ263" s="31">
        <v>0</v>
      </c>
      <c r="AK263" s="44">
        <f t="shared" si="8"/>
        <v>1287</v>
      </c>
      <c r="AL263">
        <f>VLOOKUP(A263,'[1]prueba con 16mil datos'!$A$1:$AE$804,31,FALSE)</f>
        <v>1730.3</v>
      </c>
      <c r="AM263">
        <f t="shared" si="9"/>
        <v>0</v>
      </c>
      <c r="AO263">
        <f>VLOOKUP(A263,'[1]Prueba con 19mil datos'!$B$1:$AF$1228,31,FALSE)</f>
        <v>1730.3</v>
      </c>
    </row>
    <row r="264" spans="1:41" hidden="1" x14ac:dyDescent="0.25">
      <c r="A264" s="16" t="s">
        <v>2359</v>
      </c>
      <c r="B264" s="15" t="s">
        <v>40</v>
      </c>
      <c r="C264" s="16">
        <v>1</v>
      </c>
      <c r="D264" s="16" t="s">
        <v>1243</v>
      </c>
      <c r="E264" s="17" t="s">
        <v>42</v>
      </c>
      <c r="F264" s="18" t="s">
        <v>305</v>
      </c>
      <c r="G264" s="18" t="s">
        <v>1244</v>
      </c>
      <c r="H264" s="16" t="s">
        <v>377</v>
      </c>
      <c r="I264" s="19" t="s">
        <v>3</v>
      </c>
      <c r="J264" s="16" t="s">
        <v>12</v>
      </c>
      <c r="K264" s="20" t="s">
        <v>378</v>
      </c>
      <c r="L264" s="20" t="s">
        <v>1246</v>
      </c>
      <c r="M264" s="16" t="s">
        <v>105</v>
      </c>
      <c r="N264" s="16">
        <v>0</v>
      </c>
      <c r="O264" s="16" t="s">
        <v>50</v>
      </c>
      <c r="P264" s="20">
        <v>249</v>
      </c>
      <c r="Q264" s="20" t="s">
        <v>51</v>
      </c>
      <c r="R264" s="21" t="s">
        <v>148</v>
      </c>
      <c r="S264" s="22" t="s">
        <v>130</v>
      </c>
      <c r="T264" s="22" t="s">
        <v>54</v>
      </c>
      <c r="U264" s="23" t="s">
        <v>226</v>
      </c>
      <c r="V264" s="24">
        <v>1.1000000000000001</v>
      </c>
      <c r="W264" s="25">
        <v>1501.5000000000002</v>
      </c>
      <c r="X264" s="26">
        <v>1</v>
      </c>
      <c r="Y264" s="27">
        <v>1.5</v>
      </c>
      <c r="Z264" s="23">
        <v>5</v>
      </c>
      <c r="AA264" s="28">
        <v>0.3</v>
      </c>
      <c r="AB264" s="24">
        <v>0</v>
      </c>
      <c r="AC264" s="29">
        <v>0</v>
      </c>
      <c r="AD264" s="30">
        <v>43563</v>
      </c>
      <c r="AE264" s="30">
        <v>43563</v>
      </c>
      <c r="AF264" s="23">
        <v>0</v>
      </c>
      <c r="AG264" s="25" t="s">
        <v>56</v>
      </c>
      <c r="AH264" s="24">
        <v>0</v>
      </c>
      <c r="AI264" s="31">
        <v>0</v>
      </c>
      <c r="AJ264" s="31">
        <v>0</v>
      </c>
      <c r="AK264" s="44">
        <f t="shared" si="8"/>
        <v>1501.5000000000002</v>
      </c>
      <c r="AL264">
        <f>VLOOKUP(A264,'[1]prueba con 16mil datos'!$A$1:$AE$804,31,FALSE)</f>
        <v>1573</v>
      </c>
      <c r="AM264">
        <f t="shared" si="9"/>
        <v>0</v>
      </c>
      <c r="AO264">
        <f>VLOOKUP(A264,'[1]Prueba con 19mil datos'!$B$1:$AF$1228,31,FALSE)</f>
        <v>1573</v>
      </c>
    </row>
    <row r="265" spans="1:41" hidden="1" x14ac:dyDescent="0.25">
      <c r="A265" s="16" t="s">
        <v>1991</v>
      </c>
      <c r="B265" s="15" t="s">
        <v>40</v>
      </c>
      <c r="C265" s="16">
        <v>1</v>
      </c>
      <c r="D265" s="16" t="s">
        <v>1217</v>
      </c>
      <c r="E265" s="17" t="s">
        <v>42</v>
      </c>
      <c r="F265" s="18" t="s">
        <v>953</v>
      </c>
      <c r="G265" s="18" t="s">
        <v>1218</v>
      </c>
      <c r="H265" s="16" t="s">
        <v>440</v>
      </c>
      <c r="I265" s="19" t="s">
        <v>3</v>
      </c>
      <c r="J265" s="16" t="s">
        <v>12</v>
      </c>
      <c r="K265" s="20" t="s">
        <v>126</v>
      </c>
      <c r="L265" s="20" t="s">
        <v>1220</v>
      </c>
      <c r="M265" s="16" t="s">
        <v>1221</v>
      </c>
      <c r="N265" s="16">
        <v>0</v>
      </c>
      <c r="O265" s="16" t="s">
        <v>50</v>
      </c>
      <c r="P265" s="20">
        <v>56</v>
      </c>
      <c r="Q265" s="20" t="s">
        <v>86</v>
      </c>
      <c r="R265" s="21" t="s">
        <v>186</v>
      </c>
      <c r="S265" s="22" t="s">
        <v>187</v>
      </c>
      <c r="T265" s="22" t="s">
        <v>54</v>
      </c>
      <c r="U265" s="23" t="s">
        <v>188</v>
      </c>
      <c r="V265" s="24">
        <v>1.1000000000000001</v>
      </c>
      <c r="W265" s="25">
        <v>1730.3000000000004</v>
      </c>
      <c r="X265" s="26">
        <v>1</v>
      </c>
      <c r="Y265" s="27">
        <v>0.62</v>
      </c>
      <c r="Z265" s="23">
        <v>4</v>
      </c>
      <c r="AA265" s="28">
        <v>0.155</v>
      </c>
      <c r="AB265" s="24">
        <v>0</v>
      </c>
      <c r="AC265" s="29">
        <v>0</v>
      </c>
      <c r="AD265" s="30">
        <v>43563</v>
      </c>
      <c r="AE265" s="30">
        <v>43563</v>
      </c>
      <c r="AF265" s="23">
        <v>0</v>
      </c>
      <c r="AG265" s="25" t="s">
        <v>56</v>
      </c>
      <c r="AH265" s="24">
        <v>0</v>
      </c>
      <c r="AI265" s="31">
        <v>0</v>
      </c>
      <c r="AJ265" s="31">
        <v>0</v>
      </c>
      <c r="AK265" s="44">
        <f t="shared" si="8"/>
        <v>1730.3000000000004</v>
      </c>
      <c r="AL265">
        <f>VLOOKUP(A265,'[1]prueba con 16mil datos'!$A$1:$AE$804,31,FALSE)</f>
        <v>1730.3</v>
      </c>
      <c r="AM265">
        <f t="shared" si="9"/>
        <v>1</v>
      </c>
      <c r="AO265">
        <f>VLOOKUP(A265,'[1]Prueba con 19mil datos'!$B$1:$AF$1228,31,FALSE)</f>
        <v>1730.3</v>
      </c>
    </row>
    <row r="266" spans="1:41" hidden="1" x14ac:dyDescent="0.25">
      <c r="A266" s="16" t="s">
        <v>2253</v>
      </c>
      <c r="B266" s="15" t="s">
        <v>40</v>
      </c>
      <c r="C266" s="16">
        <v>1</v>
      </c>
      <c r="D266" s="16" t="s">
        <v>1230</v>
      </c>
      <c r="E266" s="17" t="s">
        <v>42</v>
      </c>
      <c r="F266" s="18" t="s">
        <v>271</v>
      </c>
      <c r="G266" s="18" t="s">
        <v>1231</v>
      </c>
      <c r="H266" s="16" t="s">
        <v>243</v>
      </c>
      <c r="I266" s="19" t="s">
        <v>3</v>
      </c>
      <c r="J266" s="16" t="s">
        <v>12</v>
      </c>
      <c r="K266" s="20" t="s">
        <v>126</v>
      </c>
      <c r="L266" s="20" t="s">
        <v>706</v>
      </c>
      <c r="M266" s="16" t="s">
        <v>372</v>
      </c>
      <c r="N266" s="16">
        <v>0</v>
      </c>
      <c r="O266" s="16" t="s">
        <v>50</v>
      </c>
      <c r="P266" s="20">
        <v>5</v>
      </c>
      <c r="Q266" s="20" t="s">
        <v>311</v>
      </c>
      <c r="R266" s="21" t="s">
        <v>186</v>
      </c>
      <c r="S266" s="22" t="s">
        <v>187</v>
      </c>
      <c r="T266" s="22" t="s">
        <v>54</v>
      </c>
      <c r="U266" s="23" t="s">
        <v>362</v>
      </c>
      <c r="V266" s="24">
        <v>0.6</v>
      </c>
      <c r="W266" s="25">
        <v>943.80000000000007</v>
      </c>
      <c r="X266" s="26">
        <v>1</v>
      </c>
      <c r="Y266" s="27">
        <v>0</v>
      </c>
      <c r="Z266" s="23">
        <v>4</v>
      </c>
      <c r="AA266" s="28">
        <v>0</v>
      </c>
      <c r="AB266" s="24">
        <v>0</v>
      </c>
      <c r="AC266" s="29">
        <v>0</v>
      </c>
      <c r="AD266" s="30">
        <v>43563</v>
      </c>
      <c r="AE266" s="30">
        <v>43563</v>
      </c>
      <c r="AF266" s="23">
        <v>0</v>
      </c>
      <c r="AG266" s="25" t="s">
        <v>56</v>
      </c>
      <c r="AH266" s="24">
        <v>0</v>
      </c>
      <c r="AI266" s="31">
        <v>0</v>
      </c>
      <c r="AJ266" s="31">
        <v>0</v>
      </c>
      <c r="AK266" s="44">
        <f t="shared" si="8"/>
        <v>943.80000000000007</v>
      </c>
      <c r="AL266">
        <f>VLOOKUP(A266,'[1]prueba con 16mil datos'!$A$1:$AE$804,31,FALSE)</f>
        <v>1730.3</v>
      </c>
      <c r="AM266">
        <f t="shared" si="9"/>
        <v>0</v>
      </c>
      <c r="AO266">
        <f>VLOOKUP(A266,'[1]Prueba con 19mil datos'!$B$1:$AF$1228,31,FALSE)</f>
        <v>1651.65</v>
      </c>
    </row>
    <row r="267" spans="1:41" hidden="1" x14ac:dyDescent="0.25">
      <c r="A267" s="16" t="s">
        <v>2253</v>
      </c>
      <c r="B267" s="15" t="s">
        <v>40</v>
      </c>
      <c r="C267" s="16">
        <v>1</v>
      </c>
      <c r="D267" s="16" t="s">
        <v>1270</v>
      </c>
      <c r="E267" s="17" t="s">
        <v>42</v>
      </c>
      <c r="F267" s="18" t="s">
        <v>271</v>
      </c>
      <c r="G267" s="18" t="s">
        <v>1271</v>
      </c>
      <c r="H267" s="16" t="s">
        <v>175</v>
      </c>
      <c r="I267" s="19" t="s">
        <v>3</v>
      </c>
      <c r="J267" s="16" t="s">
        <v>12</v>
      </c>
      <c r="K267" s="20" t="s">
        <v>126</v>
      </c>
      <c r="L267" s="20" t="s">
        <v>748</v>
      </c>
      <c r="M267" s="16" t="s">
        <v>749</v>
      </c>
      <c r="N267" s="16">
        <v>0</v>
      </c>
      <c r="O267" s="16" t="s">
        <v>50</v>
      </c>
      <c r="P267" s="20">
        <v>20</v>
      </c>
      <c r="Q267" s="20" t="s">
        <v>119</v>
      </c>
      <c r="R267" s="21" t="s">
        <v>186</v>
      </c>
      <c r="S267" s="22" t="s">
        <v>187</v>
      </c>
      <c r="T267" s="22" t="s">
        <v>54</v>
      </c>
      <c r="U267" s="23" t="s">
        <v>269</v>
      </c>
      <c r="V267" s="24">
        <v>1.05</v>
      </c>
      <c r="W267" s="25">
        <v>1651.6500000000003</v>
      </c>
      <c r="X267" s="26">
        <v>1</v>
      </c>
      <c r="Y267" s="27">
        <v>3.42</v>
      </c>
      <c r="Z267" s="23">
        <v>4</v>
      </c>
      <c r="AA267" s="28">
        <v>0.85499999999999998</v>
      </c>
      <c r="AB267" s="24">
        <v>0</v>
      </c>
      <c r="AC267" s="29">
        <v>0</v>
      </c>
      <c r="AD267" s="30">
        <v>43563</v>
      </c>
      <c r="AE267" s="30">
        <v>43563</v>
      </c>
      <c r="AF267" s="23">
        <v>0</v>
      </c>
      <c r="AG267" s="25" t="s">
        <v>56</v>
      </c>
      <c r="AH267" s="24">
        <v>0</v>
      </c>
      <c r="AI267" s="31">
        <v>0</v>
      </c>
      <c r="AJ267" s="31">
        <v>0</v>
      </c>
      <c r="AK267" s="44">
        <f t="shared" si="8"/>
        <v>1651.6500000000003</v>
      </c>
      <c r="AL267">
        <f>VLOOKUP(A267,'[1]prueba con 16mil datos'!$A$1:$AE$804,31,FALSE)</f>
        <v>1730.3</v>
      </c>
      <c r="AM267">
        <f t="shared" si="9"/>
        <v>0</v>
      </c>
      <c r="AO267">
        <f>VLOOKUP(A267,'[1]Prueba con 19mil datos'!$B$1:$AF$1228,31,FALSE)</f>
        <v>1651.65</v>
      </c>
    </row>
    <row r="268" spans="1:41" hidden="1" x14ac:dyDescent="0.25">
      <c r="A268" s="16" t="s">
        <v>2253</v>
      </c>
      <c r="B268" s="15" t="s">
        <v>40</v>
      </c>
      <c r="C268" s="16">
        <v>1</v>
      </c>
      <c r="D268" s="16" t="s">
        <v>1300</v>
      </c>
      <c r="E268" s="17" t="s">
        <v>42</v>
      </c>
      <c r="F268" s="18" t="s">
        <v>255</v>
      </c>
      <c r="G268" s="18" t="s">
        <v>1301</v>
      </c>
      <c r="H268" s="16" t="s">
        <v>46</v>
      </c>
      <c r="I268" s="19" t="s">
        <v>3</v>
      </c>
      <c r="J268" s="16" t="s">
        <v>12</v>
      </c>
      <c r="K268" s="20" t="s">
        <v>47</v>
      </c>
      <c r="L268" s="20" t="s">
        <v>48</v>
      </c>
      <c r="M268" s="16" t="s">
        <v>49</v>
      </c>
      <c r="N268" s="16">
        <v>0</v>
      </c>
      <c r="O268" s="16" t="s">
        <v>50</v>
      </c>
      <c r="P268" s="20">
        <v>46</v>
      </c>
      <c r="Q268" s="20" t="s">
        <v>86</v>
      </c>
      <c r="R268" s="21" t="s">
        <v>129</v>
      </c>
      <c r="S268" s="22" t="s">
        <v>130</v>
      </c>
      <c r="T268" s="22" t="s">
        <v>54</v>
      </c>
      <c r="U268" s="23" t="s">
        <v>178</v>
      </c>
      <c r="V268" s="24">
        <v>1.05</v>
      </c>
      <c r="W268" s="25">
        <v>1433.25</v>
      </c>
      <c r="X268" s="26">
        <v>1</v>
      </c>
      <c r="Y268" s="27">
        <v>0</v>
      </c>
      <c r="Z268" s="23">
        <v>5</v>
      </c>
      <c r="AA268" s="28">
        <v>0</v>
      </c>
      <c r="AB268" s="24">
        <v>0</v>
      </c>
      <c r="AC268" s="29">
        <v>0</v>
      </c>
      <c r="AD268" s="30">
        <v>43563</v>
      </c>
      <c r="AE268" s="30">
        <v>43564</v>
      </c>
      <c r="AF268" s="23">
        <v>1</v>
      </c>
      <c r="AG268" s="25" t="s">
        <v>56</v>
      </c>
      <c r="AH268" s="24">
        <v>0</v>
      </c>
      <c r="AI268" s="31">
        <v>0</v>
      </c>
      <c r="AJ268" s="31">
        <v>0</v>
      </c>
      <c r="AK268" s="44">
        <f t="shared" si="8"/>
        <v>1433.25</v>
      </c>
      <c r="AL268">
        <f>VLOOKUP(A268,'[1]prueba con 16mil datos'!$A$1:$AE$804,31,FALSE)</f>
        <v>1730.3</v>
      </c>
      <c r="AM268">
        <f t="shared" si="9"/>
        <v>0</v>
      </c>
      <c r="AO268">
        <f>VLOOKUP(A268,'[1]Prueba con 19mil datos'!$B$1:$AF$1228,31,FALSE)</f>
        <v>1651.65</v>
      </c>
    </row>
    <row r="269" spans="1:41" hidden="1" x14ac:dyDescent="0.25">
      <c r="A269" s="16" t="s">
        <v>2084</v>
      </c>
      <c r="B269" s="15" t="s">
        <v>40</v>
      </c>
      <c r="C269" s="16">
        <v>1</v>
      </c>
      <c r="D269" s="16" t="s">
        <v>1250</v>
      </c>
      <c r="E269" s="17" t="s">
        <v>42</v>
      </c>
      <c r="F269" s="18" t="s">
        <v>1251</v>
      </c>
      <c r="G269" s="18" t="s">
        <v>1252</v>
      </c>
      <c r="H269" s="16" t="s">
        <v>115</v>
      </c>
      <c r="I269" s="19" t="s">
        <v>3</v>
      </c>
      <c r="J269" s="16" t="s">
        <v>12</v>
      </c>
      <c r="K269" s="20" t="s">
        <v>1254</v>
      </c>
      <c r="L269" s="20" t="s">
        <v>1255</v>
      </c>
      <c r="M269" s="16" t="s">
        <v>118</v>
      </c>
      <c r="N269" s="16">
        <v>0</v>
      </c>
      <c r="O269" s="16" t="s">
        <v>50</v>
      </c>
      <c r="P269" s="20">
        <v>2685</v>
      </c>
      <c r="Q269" s="20" t="s">
        <v>51</v>
      </c>
      <c r="R269" s="21" t="s">
        <v>851</v>
      </c>
      <c r="S269" s="22" t="s">
        <v>53</v>
      </c>
      <c r="T269" s="22" t="s">
        <v>54</v>
      </c>
      <c r="U269" s="23" t="s">
        <v>55</v>
      </c>
      <c r="V269" s="24">
        <v>1.05</v>
      </c>
      <c r="W269" s="25">
        <v>750.75000000000011</v>
      </c>
      <c r="X269" s="26">
        <v>1</v>
      </c>
      <c r="Y269" s="27">
        <v>1.65</v>
      </c>
      <c r="Z269" s="23">
        <v>5</v>
      </c>
      <c r="AA269" s="28">
        <v>0.32999999999999996</v>
      </c>
      <c r="AB269" s="24">
        <v>0</v>
      </c>
      <c r="AC269" s="29">
        <v>0</v>
      </c>
      <c r="AD269" s="30">
        <v>43563</v>
      </c>
      <c r="AE269" s="30">
        <v>43563</v>
      </c>
      <c r="AF269" s="23">
        <v>0</v>
      </c>
      <c r="AG269" s="25" t="s">
        <v>56</v>
      </c>
      <c r="AH269" s="24">
        <v>0</v>
      </c>
      <c r="AI269" s="31">
        <v>0</v>
      </c>
      <c r="AJ269" s="31">
        <v>0</v>
      </c>
      <c r="AK269" s="44">
        <f t="shared" si="8"/>
        <v>750.75000000000011</v>
      </c>
      <c r="AL269">
        <f>VLOOKUP(A269,'[1]prueba con 16mil datos'!$A$1:$AE$804,31,FALSE)</f>
        <v>1730.3</v>
      </c>
      <c r="AM269">
        <f t="shared" si="9"/>
        <v>0</v>
      </c>
      <c r="AO269">
        <f>VLOOKUP(A269,'[1]Prueba con 19mil datos'!$B$1:$AF$1228,31,FALSE)</f>
        <v>1730.3</v>
      </c>
    </row>
    <row r="270" spans="1:41" hidden="1" x14ac:dyDescent="0.25">
      <c r="A270" s="16" t="s">
        <v>2084</v>
      </c>
      <c r="B270" s="15" t="s">
        <v>40</v>
      </c>
      <c r="C270" s="16">
        <v>1</v>
      </c>
      <c r="D270" s="16" t="s">
        <v>1188</v>
      </c>
      <c r="E270" s="17" t="s">
        <v>42</v>
      </c>
      <c r="F270" s="18" t="s">
        <v>90</v>
      </c>
      <c r="G270" s="18" t="s">
        <v>1189</v>
      </c>
      <c r="H270" s="16" t="s">
        <v>412</v>
      </c>
      <c r="I270" s="19" t="s">
        <v>3</v>
      </c>
      <c r="J270" s="16" t="s">
        <v>12</v>
      </c>
      <c r="K270" s="20" t="s">
        <v>116</v>
      </c>
      <c r="L270" s="20" t="s">
        <v>1191</v>
      </c>
      <c r="M270" s="16" t="s">
        <v>1192</v>
      </c>
      <c r="N270" s="16">
        <v>1</v>
      </c>
      <c r="O270" s="16" t="s">
        <v>50</v>
      </c>
      <c r="P270" s="20">
        <v>2685</v>
      </c>
      <c r="Q270" s="20" t="s">
        <v>51</v>
      </c>
      <c r="R270" s="21" t="s">
        <v>77</v>
      </c>
      <c r="S270" s="22" t="s">
        <v>53</v>
      </c>
      <c r="T270" s="22" t="s">
        <v>54</v>
      </c>
      <c r="U270" s="23" t="s">
        <v>55</v>
      </c>
      <c r="V270" s="24">
        <v>1.05</v>
      </c>
      <c r="W270" s="25">
        <v>0</v>
      </c>
      <c r="X270" s="26">
        <v>1</v>
      </c>
      <c r="Y270" s="27">
        <v>0.52</v>
      </c>
      <c r="Z270" s="23">
        <v>5</v>
      </c>
      <c r="AA270" s="28">
        <v>0.10400000000000001</v>
      </c>
      <c r="AB270" s="24">
        <v>0</v>
      </c>
      <c r="AC270" s="29">
        <v>0</v>
      </c>
      <c r="AD270" s="30">
        <v>43563</v>
      </c>
      <c r="AE270" s="30">
        <v>43563</v>
      </c>
      <c r="AF270" s="23">
        <v>0</v>
      </c>
      <c r="AG270" s="25" t="s">
        <v>56</v>
      </c>
      <c r="AH270" s="24">
        <v>0</v>
      </c>
      <c r="AI270" s="31">
        <v>0</v>
      </c>
      <c r="AJ270" s="31">
        <v>0</v>
      </c>
      <c r="AK270" s="44">
        <f t="shared" si="8"/>
        <v>0</v>
      </c>
      <c r="AL270">
        <f>VLOOKUP(A270,'[1]prueba con 16mil datos'!$A$1:$AE$804,31,FALSE)</f>
        <v>1730.3</v>
      </c>
      <c r="AM270">
        <f t="shared" si="9"/>
        <v>0</v>
      </c>
      <c r="AO270">
        <f>VLOOKUP(A270,'[1]Prueba con 19mil datos'!$B$1:$AF$1228,31,FALSE)</f>
        <v>1730.3</v>
      </c>
    </row>
    <row r="271" spans="1:41" hidden="1" x14ac:dyDescent="0.25">
      <c r="A271" s="16" t="s">
        <v>1837</v>
      </c>
      <c r="B271" s="15" t="s">
        <v>40</v>
      </c>
      <c r="C271" s="16">
        <v>1</v>
      </c>
      <c r="D271" s="16" t="s">
        <v>1232</v>
      </c>
      <c r="E271" s="17" t="s">
        <v>42</v>
      </c>
      <c r="F271" s="18" t="s">
        <v>140</v>
      </c>
      <c r="G271" s="18" t="s">
        <v>1233</v>
      </c>
      <c r="H271" s="16" t="s">
        <v>540</v>
      </c>
      <c r="I271" s="19" t="s">
        <v>3</v>
      </c>
      <c r="J271" s="16" t="s">
        <v>12</v>
      </c>
      <c r="K271" s="20" t="s">
        <v>541</v>
      </c>
      <c r="L271" s="20" t="s">
        <v>1235</v>
      </c>
      <c r="M271" s="16" t="s">
        <v>105</v>
      </c>
      <c r="N271" s="16">
        <v>1</v>
      </c>
      <c r="O271" s="16" t="s">
        <v>50</v>
      </c>
      <c r="P271" s="20">
        <v>229</v>
      </c>
      <c r="Q271" s="20" t="s">
        <v>51</v>
      </c>
      <c r="R271" s="21" t="s">
        <v>148</v>
      </c>
      <c r="S271" s="22" t="s">
        <v>130</v>
      </c>
      <c r="T271" s="22" t="s">
        <v>54</v>
      </c>
      <c r="U271" s="23" t="s">
        <v>226</v>
      </c>
      <c r="V271" s="24">
        <v>1.1000000000000001</v>
      </c>
      <c r="W271" s="25">
        <v>0</v>
      </c>
      <c r="X271" s="26">
        <v>1</v>
      </c>
      <c r="Y271" s="27">
        <v>0</v>
      </c>
      <c r="Z271" s="23">
        <v>5</v>
      </c>
      <c r="AA271" s="28">
        <v>0</v>
      </c>
      <c r="AB271" s="24">
        <v>0</v>
      </c>
      <c r="AC271" s="29">
        <v>0</v>
      </c>
      <c r="AD271" s="30">
        <v>43563</v>
      </c>
      <c r="AE271" s="30">
        <v>43563</v>
      </c>
      <c r="AF271" s="23">
        <v>0</v>
      </c>
      <c r="AG271" s="25" t="s">
        <v>56</v>
      </c>
      <c r="AH271" s="24">
        <v>0</v>
      </c>
      <c r="AI271" s="31">
        <v>0</v>
      </c>
      <c r="AJ271" s="31">
        <v>0</v>
      </c>
      <c r="AK271" s="44">
        <f t="shared" si="8"/>
        <v>0</v>
      </c>
      <c r="AL271">
        <f>VLOOKUP(A271,'[1]prueba con 16mil datos'!$A$1:$AE$804,31,FALSE)</f>
        <v>1808.95</v>
      </c>
      <c r="AM271">
        <f t="shared" si="9"/>
        <v>0</v>
      </c>
      <c r="AO271">
        <f>VLOOKUP(A271,'[1]Prueba con 19mil datos'!$B$1:$AF$1228,31,FALSE)</f>
        <v>1808.95</v>
      </c>
    </row>
    <row r="272" spans="1:41" hidden="1" x14ac:dyDescent="0.25">
      <c r="A272" s="16" t="s">
        <v>870</v>
      </c>
      <c r="B272" s="15" t="s">
        <v>40</v>
      </c>
      <c r="C272" s="16">
        <v>1</v>
      </c>
      <c r="D272" s="16" t="s">
        <v>1281</v>
      </c>
      <c r="E272" s="17" t="s">
        <v>42</v>
      </c>
      <c r="F272" s="18" t="s">
        <v>1282</v>
      </c>
      <c r="G272" s="18" t="s">
        <v>1283</v>
      </c>
      <c r="H272" s="16" t="s">
        <v>284</v>
      </c>
      <c r="I272" s="19" t="s">
        <v>3</v>
      </c>
      <c r="J272" s="16" t="s">
        <v>12</v>
      </c>
      <c r="K272" s="20" t="s">
        <v>936</v>
      </c>
      <c r="L272" s="20" t="s">
        <v>786</v>
      </c>
      <c r="M272" s="16" t="s">
        <v>105</v>
      </c>
      <c r="N272" s="16">
        <v>1</v>
      </c>
      <c r="O272" s="16" t="s">
        <v>50</v>
      </c>
      <c r="P272" s="20">
        <v>10</v>
      </c>
      <c r="Q272" s="20" t="s">
        <v>65</v>
      </c>
      <c r="R272" s="21" t="s">
        <v>851</v>
      </c>
      <c r="S272" s="22" t="s">
        <v>53</v>
      </c>
      <c r="T272" s="22" t="s">
        <v>54</v>
      </c>
      <c r="U272" s="23" t="s">
        <v>1008</v>
      </c>
      <c r="V272" s="24">
        <v>0</v>
      </c>
      <c r="W272" s="25">
        <v>0</v>
      </c>
      <c r="X272" s="26">
        <v>1</v>
      </c>
      <c r="Y272" s="27">
        <v>1.08</v>
      </c>
      <c r="Z272" s="23">
        <v>5</v>
      </c>
      <c r="AA272" s="28">
        <v>0.21600000000000003</v>
      </c>
      <c r="AB272" s="24">
        <v>0</v>
      </c>
      <c r="AC272" s="29">
        <v>0</v>
      </c>
      <c r="AD272" s="30">
        <v>43563</v>
      </c>
      <c r="AE272" s="30">
        <v>43563</v>
      </c>
      <c r="AF272" s="23">
        <v>0</v>
      </c>
      <c r="AG272" s="25" t="s">
        <v>56</v>
      </c>
      <c r="AH272" s="24">
        <v>0</v>
      </c>
      <c r="AI272" s="31">
        <v>0</v>
      </c>
      <c r="AJ272" s="31">
        <v>0</v>
      </c>
      <c r="AK272" s="44">
        <f t="shared" si="8"/>
        <v>0</v>
      </c>
      <c r="AL272">
        <f>VLOOKUP(A272,'[1]prueba con 16mil datos'!$A$1:$AE$804,31,FALSE)</f>
        <v>1258.4000000000001</v>
      </c>
      <c r="AM272">
        <f t="shared" si="9"/>
        <v>0</v>
      </c>
      <c r="AO272">
        <f>VLOOKUP(A272,'[1]Prueba con 19mil datos'!$B$1:$AF$1228,31,FALSE)</f>
        <v>1258.4000000000001</v>
      </c>
    </row>
    <row r="273" spans="1:41" hidden="1" x14ac:dyDescent="0.25">
      <c r="A273" s="16" t="s">
        <v>499</v>
      </c>
      <c r="B273" s="15" t="s">
        <v>40</v>
      </c>
      <c r="C273" s="16">
        <v>1</v>
      </c>
      <c r="D273" s="16" t="s">
        <v>1316</v>
      </c>
      <c r="E273" s="17" t="s">
        <v>42</v>
      </c>
      <c r="F273" s="18" t="s">
        <v>1317</v>
      </c>
      <c r="G273" s="18" t="s">
        <v>1318</v>
      </c>
      <c r="H273" s="16" t="s">
        <v>284</v>
      </c>
      <c r="I273" s="19" t="s">
        <v>3</v>
      </c>
      <c r="J273" s="16" t="s">
        <v>12</v>
      </c>
      <c r="K273" s="20" t="s">
        <v>936</v>
      </c>
      <c r="L273" s="20" t="s">
        <v>786</v>
      </c>
      <c r="M273" s="16" t="s">
        <v>105</v>
      </c>
      <c r="N273" s="16">
        <v>1</v>
      </c>
      <c r="O273" s="16" t="s">
        <v>50</v>
      </c>
      <c r="P273" s="20">
        <v>13</v>
      </c>
      <c r="Q273" s="20" t="s">
        <v>65</v>
      </c>
      <c r="R273" s="21" t="s">
        <v>52</v>
      </c>
      <c r="S273" s="22" t="s">
        <v>53</v>
      </c>
      <c r="T273" s="22" t="s">
        <v>54</v>
      </c>
      <c r="U273" s="23" t="s">
        <v>1008</v>
      </c>
      <c r="V273" s="24">
        <v>0</v>
      </c>
      <c r="W273" s="25">
        <v>0</v>
      </c>
      <c r="X273" s="26">
        <v>1</v>
      </c>
      <c r="Y273" s="27">
        <v>0</v>
      </c>
      <c r="Z273" s="23">
        <v>5</v>
      </c>
      <c r="AA273" s="28">
        <v>0</v>
      </c>
      <c r="AB273" s="24">
        <v>0</v>
      </c>
      <c r="AC273" s="29">
        <v>0</v>
      </c>
      <c r="AD273" s="30">
        <v>43563</v>
      </c>
      <c r="AE273" s="30">
        <v>43564</v>
      </c>
      <c r="AF273" s="23">
        <v>1</v>
      </c>
      <c r="AG273" s="25" t="s">
        <v>56</v>
      </c>
      <c r="AH273" s="24">
        <v>0</v>
      </c>
      <c r="AI273" s="31">
        <v>0</v>
      </c>
      <c r="AJ273" s="31">
        <v>0</v>
      </c>
      <c r="AK273" s="44">
        <f t="shared" si="8"/>
        <v>0</v>
      </c>
      <c r="AL273">
        <f>VLOOKUP(A273,'[1]prueba con 16mil datos'!$A$1:$AE$804,31,FALSE)</f>
        <v>1651.65</v>
      </c>
      <c r="AM273">
        <f t="shared" si="9"/>
        <v>0</v>
      </c>
      <c r="AO273">
        <f>VLOOKUP(A273,'[1]Prueba con 19mil datos'!$B$1:$AF$1228,31,FALSE)</f>
        <v>1651.65</v>
      </c>
    </row>
    <row r="274" spans="1:41" hidden="1" x14ac:dyDescent="0.25">
      <c r="A274" s="16" t="s">
        <v>1377</v>
      </c>
      <c r="B274" s="15" t="s">
        <v>40</v>
      </c>
      <c r="C274" s="16">
        <v>1</v>
      </c>
      <c r="D274" s="16" t="s">
        <v>1402</v>
      </c>
      <c r="E274" s="17" t="s">
        <v>42</v>
      </c>
      <c r="F274" s="18" t="s">
        <v>281</v>
      </c>
      <c r="G274" s="18" t="s">
        <v>1403</v>
      </c>
      <c r="H274" s="16" t="s">
        <v>621</v>
      </c>
      <c r="I274" s="19" t="s">
        <v>3</v>
      </c>
      <c r="J274" s="16" t="s">
        <v>12</v>
      </c>
      <c r="K274" s="20" t="s">
        <v>126</v>
      </c>
      <c r="L274" s="20" t="s">
        <v>1378</v>
      </c>
      <c r="M274" s="16" t="s">
        <v>1379</v>
      </c>
      <c r="N274" s="16">
        <v>0</v>
      </c>
      <c r="O274" s="16" t="s">
        <v>50</v>
      </c>
      <c r="P274" s="20">
        <v>29</v>
      </c>
      <c r="Q274" s="20" t="s">
        <v>119</v>
      </c>
      <c r="R274" s="21" t="s">
        <v>287</v>
      </c>
      <c r="S274" s="22" t="s">
        <v>288</v>
      </c>
      <c r="T274" s="22" t="s">
        <v>54</v>
      </c>
      <c r="U274" s="23" t="s">
        <v>269</v>
      </c>
      <c r="V274" s="24">
        <v>1.05</v>
      </c>
      <c r="W274" s="25">
        <v>1651.6500000000003</v>
      </c>
      <c r="X274" s="26">
        <v>1</v>
      </c>
      <c r="Y274" s="27">
        <v>1.1499999999999999</v>
      </c>
      <c r="Z274" s="23">
        <v>4</v>
      </c>
      <c r="AA274" s="28">
        <v>0.28749999999999998</v>
      </c>
      <c r="AB274" s="24">
        <v>0</v>
      </c>
      <c r="AC274" s="29">
        <v>0</v>
      </c>
      <c r="AD274" s="30">
        <v>43564</v>
      </c>
      <c r="AE274" s="30">
        <v>43564</v>
      </c>
      <c r="AF274" s="23">
        <v>0</v>
      </c>
      <c r="AG274" s="25" t="s">
        <v>56</v>
      </c>
      <c r="AH274" s="24">
        <v>0</v>
      </c>
      <c r="AI274" s="31">
        <v>0</v>
      </c>
      <c r="AJ274" s="31">
        <v>0</v>
      </c>
      <c r="AK274" s="44">
        <f t="shared" si="8"/>
        <v>1651.6500000000003</v>
      </c>
      <c r="AL274">
        <f>VLOOKUP(A274,'[1]prueba con 16mil datos'!$A$1:$AE$804,31,FALSE)</f>
        <v>1258.4000000000001</v>
      </c>
      <c r="AM274">
        <f t="shared" si="9"/>
        <v>0</v>
      </c>
      <c r="AO274">
        <f>VLOOKUP(A274,'[1]Prueba con 19mil datos'!$B$1:$AF$1228,31,FALSE)</f>
        <v>1258.4000000000001</v>
      </c>
    </row>
    <row r="275" spans="1:41" hidden="1" x14ac:dyDescent="0.25">
      <c r="A275" s="16" t="s">
        <v>1377</v>
      </c>
      <c r="B275" s="15" t="s">
        <v>40</v>
      </c>
      <c r="C275" s="16">
        <v>1</v>
      </c>
      <c r="D275" s="16" t="s">
        <v>1389</v>
      </c>
      <c r="E275" s="17" t="s">
        <v>42</v>
      </c>
      <c r="F275" s="18" t="s">
        <v>281</v>
      </c>
      <c r="G275" s="18" t="s">
        <v>1390</v>
      </c>
      <c r="H275" s="16" t="s">
        <v>221</v>
      </c>
      <c r="I275" s="19" t="s">
        <v>3</v>
      </c>
      <c r="J275" s="16" t="s">
        <v>12</v>
      </c>
      <c r="K275" s="20" t="s">
        <v>126</v>
      </c>
      <c r="L275" s="20" t="s">
        <v>1392</v>
      </c>
      <c r="M275" s="16" t="s">
        <v>490</v>
      </c>
      <c r="N275" s="16">
        <v>0</v>
      </c>
      <c r="O275" s="16" t="s">
        <v>50</v>
      </c>
      <c r="P275" s="20">
        <v>42</v>
      </c>
      <c r="Q275" s="20" t="s">
        <v>86</v>
      </c>
      <c r="R275" s="21" t="s">
        <v>287</v>
      </c>
      <c r="S275" s="22" t="s">
        <v>288</v>
      </c>
      <c r="T275" s="22" t="s">
        <v>54</v>
      </c>
      <c r="U275" s="23" t="s">
        <v>188</v>
      </c>
      <c r="V275" s="24">
        <v>1.1000000000000001</v>
      </c>
      <c r="W275" s="25">
        <v>1730.3000000000004</v>
      </c>
      <c r="X275" s="26">
        <v>1</v>
      </c>
      <c r="Y275" s="27">
        <v>3.43</v>
      </c>
      <c r="Z275" s="23">
        <v>4</v>
      </c>
      <c r="AA275" s="28">
        <v>0.85750000000000004</v>
      </c>
      <c r="AB275" s="24">
        <v>0</v>
      </c>
      <c r="AC275" s="29">
        <v>0</v>
      </c>
      <c r="AD275" s="30">
        <v>43564</v>
      </c>
      <c r="AE275" s="30">
        <v>43564</v>
      </c>
      <c r="AF275" s="23">
        <v>0</v>
      </c>
      <c r="AG275" s="25" t="s">
        <v>56</v>
      </c>
      <c r="AH275" s="24">
        <v>0</v>
      </c>
      <c r="AI275" s="31">
        <v>0</v>
      </c>
      <c r="AJ275" s="31">
        <v>0</v>
      </c>
      <c r="AK275" s="44">
        <f t="shared" si="8"/>
        <v>1730.3000000000004</v>
      </c>
      <c r="AL275">
        <f>VLOOKUP(A275,'[1]prueba con 16mil datos'!$A$1:$AE$804,31,FALSE)</f>
        <v>1258.4000000000001</v>
      </c>
      <c r="AM275">
        <f t="shared" si="9"/>
        <v>0</v>
      </c>
      <c r="AO275">
        <f>VLOOKUP(A275,'[1]Prueba con 19mil datos'!$B$1:$AF$1228,31,FALSE)</f>
        <v>1258.4000000000001</v>
      </c>
    </row>
    <row r="276" spans="1:41" hidden="1" x14ac:dyDescent="0.25">
      <c r="A276" s="16" t="s">
        <v>1377</v>
      </c>
      <c r="B276" s="15" t="s">
        <v>40</v>
      </c>
      <c r="C276" s="16">
        <v>1</v>
      </c>
      <c r="D276" s="16" t="s">
        <v>1448</v>
      </c>
      <c r="E276" s="17" t="s">
        <v>42</v>
      </c>
      <c r="F276" s="18" t="s">
        <v>228</v>
      </c>
      <c r="G276" s="18" t="s">
        <v>1449</v>
      </c>
      <c r="H276" s="16" t="s">
        <v>516</v>
      </c>
      <c r="I276" s="19" t="s">
        <v>3</v>
      </c>
      <c r="J276" s="16" t="s">
        <v>12</v>
      </c>
      <c r="K276" s="20" t="s">
        <v>791</v>
      </c>
      <c r="L276" s="20" t="s">
        <v>792</v>
      </c>
      <c r="M276" s="16" t="s">
        <v>429</v>
      </c>
      <c r="N276" s="16">
        <v>0</v>
      </c>
      <c r="O276" s="16" t="s">
        <v>50</v>
      </c>
      <c r="P276" s="20">
        <v>41</v>
      </c>
      <c r="Q276" s="20" t="s">
        <v>86</v>
      </c>
      <c r="R276" s="21" t="s">
        <v>87</v>
      </c>
      <c r="S276" s="22" t="s">
        <v>53</v>
      </c>
      <c r="T276" s="22" t="s">
        <v>54</v>
      </c>
      <c r="U276" s="23" t="s">
        <v>88</v>
      </c>
      <c r="V276" s="24">
        <v>0.8</v>
      </c>
      <c r="W276" s="25">
        <v>572.00000000000011</v>
      </c>
      <c r="X276" s="26">
        <v>1</v>
      </c>
      <c r="Y276" s="27">
        <v>1.33</v>
      </c>
      <c r="Z276" s="23">
        <v>5</v>
      </c>
      <c r="AA276" s="28">
        <v>0.26600000000000001</v>
      </c>
      <c r="AB276" s="24">
        <v>0</v>
      </c>
      <c r="AC276" s="29">
        <v>0</v>
      </c>
      <c r="AD276" s="30">
        <v>43564</v>
      </c>
      <c r="AE276" s="30">
        <v>43564</v>
      </c>
      <c r="AF276" s="23">
        <v>0</v>
      </c>
      <c r="AG276" s="25" t="s">
        <v>56</v>
      </c>
      <c r="AH276" s="24">
        <v>0</v>
      </c>
      <c r="AI276" s="31">
        <v>0</v>
      </c>
      <c r="AJ276" s="31">
        <v>0</v>
      </c>
      <c r="AK276" s="44">
        <f t="shared" si="8"/>
        <v>572.00000000000011</v>
      </c>
      <c r="AL276">
        <f>VLOOKUP(A276,'[1]prueba con 16mil datos'!$A$1:$AE$804,31,FALSE)</f>
        <v>1258.4000000000001</v>
      </c>
      <c r="AM276">
        <f t="shared" si="9"/>
        <v>0</v>
      </c>
      <c r="AO276">
        <f>VLOOKUP(A276,'[1]Prueba con 19mil datos'!$B$1:$AF$1228,31,FALSE)</f>
        <v>1258.4000000000001</v>
      </c>
    </row>
    <row r="277" spans="1:41" hidden="1" x14ac:dyDescent="0.25">
      <c r="A277" s="16" t="s">
        <v>2476</v>
      </c>
      <c r="B277" s="15" t="s">
        <v>40</v>
      </c>
      <c r="C277" s="16">
        <v>1</v>
      </c>
      <c r="D277" s="16" t="s">
        <v>1337</v>
      </c>
      <c r="E277" s="17" t="s">
        <v>42</v>
      </c>
      <c r="F277" s="18" t="s">
        <v>228</v>
      </c>
      <c r="G277" s="18" t="s">
        <v>1338</v>
      </c>
      <c r="H277" s="16" t="s">
        <v>243</v>
      </c>
      <c r="I277" s="19" t="s">
        <v>3</v>
      </c>
      <c r="J277" s="16" t="s">
        <v>12</v>
      </c>
      <c r="K277" s="20" t="s">
        <v>198</v>
      </c>
      <c r="L277" s="20" t="s">
        <v>546</v>
      </c>
      <c r="M277" s="16" t="s">
        <v>372</v>
      </c>
      <c r="N277" s="16">
        <v>0</v>
      </c>
      <c r="O277" s="16" t="s">
        <v>50</v>
      </c>
      <c r="P277" s="20">
        <v>33</v>
      </c>
      <c r="Q277" s="20" t="s">
        <v>86</v>
      </c>
      <c r="R277" s="21" t="s">
        <v>87</v>
      </c>
      <c r="S277" s="22" t="s">
        <v>53</v>
      </c>
      <c r="T277" s="22" t="s">
        <v>54</v>
      </c>
      <c r="U277" s="23" t="s">
        <v>88</v>
      </c>
      <c r="V277" s="24">
        <v>0.8</v>
      </c>
      <c r="W277" s="25">
        <v>572.00000000000011</v>
      </c>
      <c r="X277" s="26">
        <v>1</v>
      </c>
      <c r="Y277" s="27">
        <v>0.82</v>
      </c>
      <c r="Z277" s="23">
        <v>5</v>
      </c>
      <c r="AA277" s="28">
        <v>0.16399999999999998</v>
      </c>
      <c r="AB277" s="24">
        <v>0</v>
      </c>
      <c r="AC277" s="29">
        <v>0</v>
      </c>
      <c r="AD277" s="30">
        <v>43564</v>
      </c>
      <c r="AE277" s="30">
        <v>43564</v>
      </c>
      <c r="AF277" s="23">
        <v>0</v>
      </c>
      <c r="AG277" s="25" t="s">
        <v>56</v>
      </c>
      <c r="AH277" s="24">
        <v>0</v>
      </c>
      <c r="AI277" s="31">
        <v>0</v>
      </c>
      <c r="AJ277" s="31">
        <v>0</v>
      </c>
      <c r="AK277" s="44">
        <f t="shared" si="8"/>
        <v>572.00000000000011</v>
      </c>
      <c r="AL277">
        <f>VLOOKUP(A277,'[1]prueba con 16mil datos'!$A$1:$AE$804,31,FALSE)</f>
        <v>1730.3</v>
      </c>
      <c r="AM277">
        <f t="shared" si="9"/>
        <v>0</v>
      </c>
      <c r="AO277">
        <f>VLOOKUP(A277,'[1]Prueba con 19mil datos'!$B$1:$AF$1228,31,FALSE)</f>
        <v>1730.3</v>
      </c>
    </row>
    <row r="278" spans="1:41" hidden="1" x14ac:dyDescent="0.25">
      <c r="A278" s="16" t="s">
        <v>1483</v>
      </c>
      <c r="B278" s="15" t="s">
        <v>40</v>
      </c>
      <c r="C278" s="16">
        <v>1</v>
      </c>
      <c r="D278" s="16" t="s">
        <v>1380</v>
      </c>
      <c r="E278" s="17" t="s">
        <v>42</v>
      </c>
      <c r="F278" s="18" t="s">
        <v>233</v>
      </c>
      <c r="G278" s="18" t="s">
        <v>1381</v>
      </c>
      <c r="H278" s="16" t="s">
        <v>504</v>
      </c>
      <c r="I278" s="19" t="s">
        <v>3</v>
      </c>
      <c r="J278" s="16" t="s">
        <v>12</v>
      </c>
      <c r="K278" s="20" t="s">
        <v>74</v>
      </c>
      <c r="L278" s="20" t="s">
        <v>1383</v>
      </c>
      <c r="M278" s="16" t="s">
        <v>506</v>
      </c>
      <c r="N278" s="16">
        <v>0</v>
      </c>
      <c r="O278" s="16" t="s">
        <v>50</v>
      </c>
      <c r="P278" s="20">
        <v>370</v>
      </c>
      <c r="Q278" s="20" t="s">
        <v>51</v>
      </c>
      <c r="R278" s="21" t="s">
        <v>77</v>
      </c>
      <c r="S278" s="22" t="s">
        <v>53</v>
      </c>
      <c r="T278" s="22" t="s">
        <v>157</v>
      </c>
      <c r="U278" s="23" t="s">
        <v>55</v>
      </c>
      <c r="V278" s="24">
        <v>1.05</v>
      </c>
      <c r="W278" s="25">
        <v>750.75000000000011</v>
      </c>
      <c r="X278" s="26">
        <v>1</v>
      </c>
      <c r="Y278" s="27">
        <v>0.57999999999999996</v>
      </c>
      <c r="Z278" s="23">
        <v>9</v>
      </c>
      <c r="AA278" s="28">
        <v>6.4444444444444443E-2</v>
      </c>
      <c r="AB278" s="24">
        <v>0</v>
      </c>
      <c r="AC278" s="29">
        <v>0</v>
      </c>
      <c r="AD278" s="30">
        <v>43564</v>
      </c>
      <c r="AE278" s="30">
        <v>43564</v>
      </c>
      <c r="AF278" s="23">
        <v>0</v>
      </c>
      <c r="AG278" s="25" t="s">
        <v>56</v>
      </c>
      <c r="AH278" s="24">
        <v>0</v>
      </c>
      <c r="AI278" s="31">
        <v>0</v>
      </c>
      <c r="AJ278" s="31">
        <v>0</v>
      </c>
      <c r="AK278" s="44">
        <f t="shared" si="8"/>
        <v>750.75000000000011</v>
      </c>
      <c r="AL278">
        <f>VLOOKUP(A278,'[1]prueba con 16mil datos'!$A$1:$AE$804,31,FALSE)</f>
        <v>1651.65</v>
      </c>
      <c r="AM278">
        <f t="shared" si="9"/>
        <v>0</v>
      </c>
      <c r="AO278">
        <f>VLOOKUP(A278,'[1]Prueba con 19mil datos'!$B$1:$AF$1228,31,FALSE)</f>
        <v>1651.65</v>
      </c>
    </row>
    <row r="279" spans="1:41" hidden="1" x14ac:dyDescent="0.25">
      <c r="A279" s="16" t="s">
        <v>2057</v>
      </c>
      <c r="B279" s="15" t="s">
        <v>40</v>
      </c>
      <c r="C279" s="16">
        <v>1</v>
      </c>
      <c r="D279" s="16" t="s">
        <v>1470</v>
      </c>
      <c r="E279" s="17" t="s">
        <v>42</v>
      </c>
      <c r="F279" s="18" t="s">
        <v>733</v>
      </c>
      <c r="G279" s="18" t="s">
        <v>1471</v>
      </c>
      <c r="H279" s="16" t="s">
        <v>221</v>
      </c>
      <c r="I279" s="19" t="s">
        <v>3</v>
      </c>
      <c r="J279" s="16" t="s">
        <v>12</v>
      </c>
      <c r="K279" s="20" t="s">
        <v>126</v>
      </c>
      <c r="L279" s="20" t="s">
        <v>741</v>
      </c>
      <c r="M279" s="16" t="s">
        <v>742</v>
      </c>
      <c r="N279" s="16">
        <v>0</v>
      </c>
      <c r="O279" s="16" t="s">
        <v>50</v>
      </c>
      <c r="P279" s="20">
        <v>4</v>
      </c>
      <c r="Q279" s="20" t="s">
        <v>311</v>
      </c>
      <c r="R279" s="21" t="s">
        <v>279</v>
      </c>
      <c r="S279" s="22" t="s">
        <v>187</v>
      </c>
      <c r="T279" s="22" t="s">
        <v>54</v>
      </c>
      <c r="U279" s="23" t="s">
        <v>362</v>
      </c>
      <c r="V279" s="24">
        <v>0.6</v>
      </c>
      <c r="W279" s="25">
        <v>943.80000000000007</v>
      </c>
      <c r="X279" s="26">
        <v>1</v>
      </c>
      <c r="Y279" s="27">
        <v>1.92</v>
      </c>
      <c r="Z279" s="23">
        <v>4</v>
      </c>
      <c r="AA279" s="28">
        <v>0.48</v>
      </c>
      <c r="AB279" s="24">
        <v>0</v>
      </c>
      <c r="AC279" s="29">
        <v>0</v>
      </c>
      <c r="AD279" s="30">
        <v>43564</v>
      </c>
      <c r="AE279" s="30">
        <v>43565</v>
      </c>
      <c r="AF279" s="23">
        <v>1</v>
      </c>
      <c r="AG279" s="25" t="s">
        <v>56</v>
      </c>
      <c r="AH279" s="24">
        <v>0</v>
      </c>
      <c r="AI279" s="31">
        <v>0</v>
      </c>
      <c r="AJ279" s="31">
        <v>0</v>
      </c>
      <c r="AK279" s="44">
        <f t="shared" si="8"/>
        <v>943.80000000000007</v>
      </c>
      <c r="AL279">
        <f>VLOOKUP(A279,'[1]prueba con 16mil datos'!$A$1:$AE$804,31,FALSE)</f>
        <v>1808.95</v>
      </c>
      <c r="AM279">
        <f t="shared" si="9"/>
        <v>0</v>
      </c>
      <c r="AO279">
        <f>VLOOKUP(A279,'[1]Prueba con 19mil datos'!$B$1:$AF$1228,31,FALSE)</f>
        <v>1808.95</v>
      </c>
    </row>
    <row r="280" spans="1:41" hidden="1" x14ac:dyDescent="0.25">
      <c r="A280" s="16" t="s">
        <v>1407</v>
      </c>
      <c r="B280" s="15" t="s">
        <v>40</v>
      </c>
      <c r="C280" s="16">
        <v>1</v>
      </c>
      <c r="D280" s="16" t="s">
        <v>1350</v>
      </c>
      <c r="E280" s="17" t="s">
        <v>42</v>
      </c>
      <c r="F280" s="18" t="s">
        <v>733</v>
      </c>
      <c r="G280" s="18" t="s">
        <v>1351</v>
      </c>
      <c r="H280" s="16" t="s">
        <v>61</v>
      </c>
      <c r="I280" s="19" t="s">
        <v>3</v>
      </c>
      <c r="J280" s="16" t="s">
        <v>12</v>
      </c>
      <c r="K280" s="20" t="s">
        <v>198</v>
      </c>
      <c r="L280" s="20" t="s">
        <v>1353</v>
      </c>
      <c r="M280" s="16" t="s">
        <v>118</v>
      </c>
      <c r="N280" s="16">
        <v>0</v>
      </c>
      <c r="O280" s="16" t="s">
        <v>50</v>
      </c>
      <c r="P280" s="20">
        <v>51</v>
      </c>
      <c r="Q280" s="20" t="s">
        <v>86</v>
      </c>
      <c r="R280" s="21" t="s">
        <v>279</v>
      </c>
      <c r="S280" s="22" t="s">
        <v>187</v>
      </c>
      <c r="T280" s="22" t="s">
        <v>54</v>
      </c>
      <c r="U280" s="23" t="s">
        <v>188</v>
      </c>
      <c r="V280" s="24">
        <v>1.1000000000000001</v>
      </c>
      <c r="W280" s="25">
        <v>1730.3000000000004</v>
      </c>
      <c r="X280" s="26">
        <v>1</v>
      </c>
      <c r="Y280" s="27">
        <v>2.0699999999999998</v>
      </c>
      <c r="Z280" s="23">
        <v>4</v>
      </c>
      <c r="AA280" s="28">
        <v>0.51749999999999996</v>
      </c>
      <c r="AB280" s="24">
        <v>0</v>
      </c>
      <c r="AC280" s="29">
        <v>0</v>
      </c>
      <c r="AD280" s="30">
        <v>43564</v>
      </c>
      <c r="AE280" s="30">
        <v>43564</v>
      </c>
      <c r="AF280" s="23">
        <v>0</v>
      </c>
      <c r="AG280" s="25" t="s">
        <v>56</v>
      </c>
      <c r="AH280" s="24">
        <v>0</v>
      </c>
      <c r="AI280" s="31">
        <v>0</v>
      </c>
      <c r="AJ280" s="31">
        <v>0</v>
      </c>
      <c r="AK280" s="44">
        <f t="shared" si="8"/>
        <v>1730.3000000000004</v>
      </c>
      <c r="AL280">
        <f>VLOOKUP(A280,'[1]prueba con 16mil datos'!$A$1:$AE$804,31,FALSE)</f>
        <v>1651.65</v>
      </c>
      <c r="AM280">
        <f t="shared" si="9"/>
        <v>0</v>
      </c>
      <c r="AO280">
        <f>VLOOKUP(A280,'[1]Prueba con 19mil datos'!$B$1:$AF$1228,31,FALSE)</f>
        <v>1258.4000000000001</v>
      </c>
    </row>
    <row r="281" spans="1:41" hidden="1" x14ac:dyDescent="0.25">
      <c r="A281" s="16" t="s">
        <v>1407</v>
      </c>
      <c r="B281" s="15" t="s">
        <v>40</v>
      </c>
      <c r="C281" s="16">
        <v>1</v>
      </c>
      <c r="D281" s="16" t="s">
        <v>1343</v>
      </c>
      <c r="E281" s="17" t="s">
        <v>42</v>
      </c>
      <c r="F281" s="18" t="s">
        <v>275</v>
      </c>
      <c r="G281" s="18" t="s">
        <v>1344</v>
      </c>
      <c r="H281" s="16" t="s">
        <v>293</v>
      </c>
      <c r="I281" s="19" t="s">
        <v>3</v>
      </c>
      <c r="J281" s="16" t="s">
        <v>12</v>
      </c>
      <c r="K281" s="20" t="s">
        <v>126</v>
      </c>
      <c r="L281" s="20" t="s">
        <v>956</v>
      </c>
      <c r="M281" s="16" t="s">
        <v>296</v>
      </c>
      <c r="N281" s="16">
        <v>0</v>
      </c>
      <c r="O281" s="16" t="s">
        <v>50</v>
      </c>
      <c r="P281" s="20">
        <v>11</v>
      </c>
      <c r="Q281" s="20" t="s">
        <v>65</v>
      </c>
      <c r="R281" s="21" t="s">
        <v>279</v>
      </c>
      <c r="S281" s="22" t="s">
        <v>187</v>
      </c>
      <c r="T281" s="22" t="s">
        <v>54</v>
      </c>
      <c r="U281" s="23" t="s">
        <v>201</v>
      </c>
      <c r="V281" s="24">
        <v>0.8</v>
      </c>
      <c r="W281" s="25">
        <v>1258.4000000000003</v>
      </c>
      <c r="X281" s="26">
        <v>1</v>
      </c>
      <c r="Y281" s="27">
        <v>1.17</v>
      </c>
      <c r="Z281" s="23">
        <v>4</v>
      </c>
      <c r="AA281" s="28">
        <v>0.29249999999999998</v>
      </c>
      <c r="AB281" s="24">
        <v>0</v>
      </c>
      <c r="AC281" s="29">
        <v>0</v>
      </c>
      <c r="AD281" s="30">
        <v>43564</v>
      </c>
      <c r="AE281" s="30">
        <v>43564</v>
      </c>
      <c r="AF281" s="23">
        <v>0</v>
      </c>
      <c r="AG281" s="25" t="s">
        <v>56</v>
      </c>
      <c r="AH281" s="24">
        <v>0</v>
      </c>
      <c r="AI281" s="31">
        <v>0</v>
      </c>
      <c r="AJ281" s="31">
        <v>0</v>
      </c>
      <c r="AK281" s="44">
        <f t="shared" si="8"/>
        <v>1258.4000000000003</v>
      </c>
      <c r="AL281">
        <f>VLOOKUP(A281,'[1]prueba con 16mil datos'!$A$1:$AE$804,31,FALSE)</f>
        <v>1651.65</v>
      </c>
      <c r="AM281">
        <f t="shared" si="9"/>
        <v>0</v>
      </c>
      <c r="AO281">
        <f>VLOOKUP(A281,'[1]Prueba con 19mil datos'!$B$1:$AF$1228,31,FALSE)</f>
        <v>1258.4000000000001</v>
      </c>
    </row>
    <row r="282" spans="1:41" hidden="1" x14ac:dyDescent="0.25">
      <c r="A282" s="16" t="s">
        <v>535</v>
      </c>
      <c r="B282" s="15" t="s">
        <v>40</v>
      </c>
      <c r="C282" s="16">
        <v>1</v>
      </c>
      <c r="D282" s="16" t="s">
        <v>1375</v>
      </c>
      <c r="E282" s="17" t="s">
        <v>42</v>
      </c>
      <c r="F282" s="18" t="s">
        <v>275</v>
      </c>
      <c r="G282" s="18" t="s">
        <v>1376</v>
      </c>
      <c r="H282" s="16" t="s">
        <v>621</v>
      </c>
      <c r="I282" s="19" t="s">
        <v>3</v>
      </c>
      <c r="J282" s="16" t="s">
        <v>12</v>
      </c>
      <c r="K282" s="20" t="s">
        <v>126</v>
      </c>
      <c r="L282" s="20" t="s">
        <v>1378</v>
      </c>
      <c r="M282" s="16" t="s">
        <v>1379</v>
      </c>
      <c r="N282" s="16">
        <v>0</v>
      </c>
      <c r="O282" s="16" t="s">
        <v>50</v>
      </c>
      <c r="P282" s="20">
        <v>14</v>
      </c>
      <c r="Q282" s="20" t="s">
        <v>65</v>
      </c>
      <c r="R282" s="21" t="s">
        <v>279</v>
      </c>
      <c r="S282" s="22" t="s">
        <v>187</v>
      </c>
      <c r="T282" s="22" t="s">
        <v>54</v>
      </c>
      <c r="U282" s="23" t="s">
        <v>201</v>
      </c>
      <c r="V282" s="24">
        <v>0.8</v>
      </c>
      <c r="W282" s="25">
        <v>1258.4000000000003</v>
      </c>
      <c r="X282" s="26">
        <v>1</v>
      </c>
      <c r="Y282" s="27">
        <v>0.75</v>
      </c>
      <c r="Z282" s="23">
        <v>4</v>
      </c>
      <c r="AA282" s="28">
        <v>0.1875</v>
      </c>
      <c r="AB282" s="24">
        <v>0</v>
      </c>
      <c r="AC282" s="29">
        <v>0</v>
      </c>
      <c r="AD282" s="30">
        <v>43564</v>
      </c>
      <c r="AE282" s="30">
        <v>43564</v>
      </c>
      <c r="AF282" s="23">
        <v>0</v>
      </c>
      <c r="AG282" s="25" t="s">
        <v>56</v>
      </c>
      <c r="AH282" s="24">
        <v>0</v>
      </c>
      <c r="AI282" s="31">
        <v>0</v>
      </c>
      <c r="AJ282" s="31">
        <v>0</v>
      </c>
      <c r="AK282" s="44">
        <f t="shared" si="8"/>
        <v>1258.4000000000003</v>
      </c>
      <c r="AL282">
        <f>VLOOKUP(A282,'[1]prueba con 16mil datos'!$A$1:$AE$804,31,FALSE)</f>
        <v>1258.4000000000001</v>
      </c>
      <c r="AM282">
        <f t="shared" si="9"/>
        <v>1</v>
      </c>
      <c r="AO282">
        <f>VLOOKUP(A282,'[1]Prueba con 19mil datos'!$B$1:$AF$1228,31,FALSE)</f>
        <v>1258.4000000000001</v>
      </c>
    </row>
    <row r="283" spans="1:41" hidden="1" x14ac:dyDescent="0.25">
      <c r="A283" s="16" t="s">
        <v>365</v>
      </c>
      <c r="B283" s="15" t="s">
        <v>40</v>
      </c>
      <c r="C283" s="16">
        <v>1</v>
      </c>
      <c r="D283" s="16" t="s">
        <v>1405</v>
      </c>
      <c r="E283" s="17" t="s">
        <v>42</v>
      </c>
      <c r="F283" s="18" t="s">
        <v>275</v>
      </c>
      <c r="G283" s="18" t="s">
        <v>1406</v>
      </c>
      <c r="H283" s="16" t="s">
        <v>221</v>
      </c>
      <c r="I283" s="19" t="s">
        <v>3</v>
      </c>
      <c r="J283" s="16" t="s">
        <v>12</v>
      </c>
      <c r="K283" s="20" t="s">
        <v>126</v>
      </c>
      <c r="L283" s="20" t="s">
        <v>1392</v>
      </c>
      <c r="M283" s="16" t="s">
        <v>490</v>
      </c>
      <c r="N283" s="16">
        <v>0</v>
      </c>
      <c r="O283" s="16" t="s">
        <v>50</v>
      </c>
      <c r="P283" s="20">
        <v>27</v>
      </c>
      <c r="Q283" s="20" t="s">
        <v>119</v>
      </c>
      <c r="R283" s="21" t="s">
        <v>279</v>
      </c>
      <c r="S283" s="22" t="s">
        <v>187</v>
      </c>
      <c r="T283" s="22" t="s">
        <v>54</v>
      </c>
      <c r="U283" s="23" t="s">
        <v>269</v>
      </c>
      <c r="V283" s="24">
        <v>1.05</v>
      </c>
      <c r="W283" s="25">
        <v>1651.6500000000003</v>
      </c>
      <c r="X283" s="26">
        <v>1</v>
      </c>
      <c r="Y283" s="27">
        <v>3.57</v>
      </c>
      <c r="Z283" s="23">
        <v>4</v>
      </c>
      <c r="AA283" s="28">
        <v>0.89249999999999996</v>
      </c>
      <c r="AB283" s="24">
        <v>0</v>
      </c>
      <c r="AC283" s="29">
        <v>0</v>
      </c>
      <c r="AD283" s="30">
        <v>43564</v>
      </c>
      <c r="AE283" s="30">
        <v>43564</v>
      </c>
      <c r="AF283" s="23">
        <v>0</v>
      </c>
      <c r="AG283" s="25" t="s">
        <v>56</v>
      </c>
      <c r="AH283" s="24">
        <v>0</v>
      </c>
      <c r="AI283" s="31">
        <v>0</v>
      </c>
      <c r="AJ283" s="31">
        <v>0</v>
      </c>
      <c r="AK283" s="44">
        <f t="shared" si="8"/>
        <v>1651.6500000000003</v>
      </c>
      <c r="AL283">
        <f>VLOOKUP(A283,'[1]prueba con 16mil datos'!$A$1:$AE$804,31,FALSE)</f>
        <v>1730.3</v>
      </c>
      <c r="AM283">
        <f t="shared" si="9"/>
        <v>0</v>
      </c>
      <c r="AO283">
        <f>VLOOKUP(A283,'[1]Prueba con 19mil datos'!$B$1:$AF$1228,31,FALSE)</f>
        <v>1730.3</v>
      </c>
    </row>
    <row r="284" spans="1:41" hidden="1" x14ac:dyDescent="0.25">
      <c r="A284" s="16" t="s">
        <v>365</v>
      </c>
      <c r="B284" s="15" t="s">
        <v>40</v>
      </c>
      <c r="C284" s="16">
        <v>1</v>
      </c>
      <c r="D284" s="16" t="s">
        <v>1334</v>
      </c>
      <c r="E284" s="17" t="s">
        <v>42</v>
      </c>
      <c r="F284" s="18" t="s">
        <v>275</v>
      </c>
      <c r="G284" s="18" t="s">
        <v>1335</v>
      </c>
      <c r="H284" s="16" t="s">
        <v>293</v>
      </c>
      <c r="I284" s="19" t="s">
        <v>3</v>
      </c>
      <c r="J284" s="16" t="s">
        <v>12</v>
      </c>
      <c r="K284" s="20" t="s">
        <v>126</v>
      </c>
      <c r="L284" s="20" t="s">
        <v>956</v>
      </c>
      <c r="M284" s="16" t="s">
        <v>296</v>
      </c>
      <c r="N284" s="16">
        <v>0</v>
      </c>
      <c r="O284" s="16" t="s">
        <v>50</v>
      </c>
      <c r="P284" s="20">
        <v>11</v>
      </c>
      <c r="Q284" s="20" t="s">
        <v>65</v>
      </c>
      <c r="R284" s="21" t="s">
        <v>279</v>
      </c>
      <c r="S284" s="22" t="s">
        <v>187</v>
      </c>
      <c r="T284" s="22" t="s">
        <v>54</v>
      </c>
      <c r="U284" s="23" t="s">
        <v>201</v>
      </c>
      <c r="V284" s="24">
        <v>0.8</v>
      </c>
      <c r="W284" s="25">
        <v>1258.4000000000003</v>
      </c>
      <c r="X284" s="26">
        <v>1</v>
      </c>
      <c r="Y284" s="27">
        <v>0</v>
      </c>
      <c r="Z284" s="23">
        <v>4</v>
      </c>
      <c r="AA284" s="28">
        <v>0</v>
      </c>
      <c r="AB284" s="24">
        <v>0</v>
      </c>
      <c r="AC284" s="29">
        <v>0</v>
      </c>
      <c r="AD284" s="30">
        <v>43564</v>
      </c>
      <c r="AE284" s="30">
        <v>43564</v>
      </c>
      <c r="AF284" s="23">
        <v>0</v>
      </c>
      <c r="AG284" s="25" t="s">
        <v>56</v>
      </c>
      <c r="AH284" s="24">
        <v>0</v>
      </c>
      <c r="AI284" s="31">
        <v>0</v>
      </c>
      <c r="AJ284" s="31">
        <v>0</v>
      </c>
      <c r="AK284" s="44">
        <f t="shared" si="8"/>
        <v>1258.4000000000003</v>
      </c>
      <c r="AL284">
        <f>VLOOKUP(A284,'[1]prueba con 16mil datos'!$A$1:$AE$804,31,FALSE)</f>
        <v>1730.3</v>
      </c>
      <c r="AM284">
        <f t="shared" si="9"/>
        <v>0</v>
      </c>
      <c r="AO284">
        <f>VLOOKUP(A284,'[1]Prueba con 19mil datos'!$B$1:$AF$1228,31,FALSE)</f>
        <v>1730.3</v>
      </c>
    </row>
    <row r="285" spans="1:41" hidden="1" x14ac:dyDescent="0.25">
      <c r="A285" s="16" t="s">
        <v>365</v>
      </c>
      <c r="B285" s="15" t="s">
        <v>40</v>
      </c>
      <c r="C285" s="16">
        <v>1</v>
      </c>
      <c r="D285" s="16" t="s">
        <v>1421</v>
      </c>
      <c r="E285" s="17" t="s">
        <v>42</v>
      </c>
      <c r="F285" s="18" t="s">
        <v>240</v>
      </c>
      <c r="G285" s="18" t="s">
        <v>1422</v>
      </c>
      <c r="H285" s="16" t="s">
        <v>243</v>
      </c>
      <c r="I285" s="19" t="s">
        <v>3</v>
      </c>
      <c r="J285" s="16" t="s">
        <v>12</v>
      </c>
      <c r="K285" s="20" t="s">
        <v>244</v>
      </c>
      <c r="L285" s="20" t="s">
        <v>245</v>
      </c>
      <c r="M285" s="16" t="s">
        <v>246</v>
      </c>
      <c r="N285" s="16">
        <v>0</v>
      </c>
      <c r="O285" s="16" t="s">
        <v>50</v>
      </c>
      <c r="P285" s="20">
        <v>28</v>
      </c>
      <c r="Q285" s="20" t="s">
        <v>119</v>
      </c>
      <c r="R285" s="21" t="s">
        <v>247</v>
      </c>
      <c r="S285" s="22" t="s">
        <v>67</v>
      </c>
      <c r="T285" s="22" t="s">
        <v>54</v>
      </c>
      <c r="U285" s="23" t="s">
        <v>1423</v>
      </c>
      <c r="V285" s="24">
        <v>1.1000000000000001</v>
      </c>
      <c r="W285" s="25">
        <v>2359.5</v>
      </c>
      <c r="X285" s="26">
        <v>1</v>
      </c>
      <c r="Y285" s="27">
        <v>2.12</v>
      </c>
      <c r="Z285" s="23">
        <v>3</v>
      </c>
      <c r="AA285" s="28">
        <v>0.70666666666666667</v>
      </c>
      <c r="AB285" s="24">
        <v>0</v>
      </c>
      <c r="AC285" s="29">
        <v>0</v>
      </c>
      <c r="AD285" s="30">
        <v>43564</v>
      </c>
      <c r="AE285" s="30">
        <v>43564</v>
      </c>
      <c r="AF285" s="23">
        <v>0</v>
      </c>
      <c r="AG285" s="25" t="s">
        <v>56</v>
      </c>
      <c r="AH285" s="24">
        <v>0</v>
      </c>
      <c r="AI285" s="31">
        <v>0</v>
      </c>
      <c r="AJ285" s="31">
        <v>0</v>
      </c>
      <c r="AK285" s="44">
        <f t="shared" si="8"/>
        <v>2359.5</v>
      </c>
      <c r="AL285">
        <f>VLOOKUP(A285,'[1]prueba con 16mil datos'!$A$1:$AE$804,31,FALSE)</f>
        <v>1730.3</v>
      </c>
      <c r="AM285">
        <f t="shared" si="9"/>
        <v>0</v>
      </c>
      <c r="AO285">
        <f>VLOOKUP(A285,'[1]Prueba con 19mil datos'!$B$1:$AF$1228,31,FALSE)</f>
        <v>1730.3</v>
      </c>
    </row>
    <row r="286" spans="1:41" hidden="1" x14ac:dyDescent="0.25">
      <c r="A286" s="16" t="s">
        <v>2517</v>
      </c>
      <c r="B286" s="15" t="s">
        <v>40</v>
      </c>
      <c r="C286" s="16">
        <v>1</v>
      </c>
      <c r="D286" s="16" t="s">
        <v>1346</v>
      </c>
      <c r="E286" s="17" t="s">
        <v>42</v>
      </c>
      <c r="F286" s="18" t="s">
        <v>70</v>
      </c>
      <c r="G286" s="18" t="s">
        <v>1347</v>
      </c>
      <c r="H286" s="16" t="s">
        <v>264</v>
      </c>
      <c r="I286" s="19" t="s">
        <v>3</v>
      </c>
      <c r="J286" s="16" t="s">
        <v>12</v>
      </c>
      <c r="K286" s="20" t="s">
        <v>74</v>
      </c>
      <c r="L286" s="20" t="s">
        <v>1349</v>
      </c>
      <c r="M286" s="16" t="s">
        <v>105</v>
      </c>
      <c r="N286" s="16">
        <v>0</v>
      </c>
      <c r="O286" s="16" t="s">
        <v>50</v>
      </c>
      <c r="P286" s="20">
        <v>105</v>
      </c>
      <c r="Q286" s="20" t="s">
        <v>51</v>
      </c>
      <c r="R286" s="21" t="s">
        <v>77</v>
      </c>
      <c r="S286" s="22" t="s">
        <v>53</v>
      </c>
      <c r="T286" s="22" t="s">
        <v>54</v>
      </c>
      <c r="U286" s="23" t="s">
        <v>55</v>
      </c>
      <c r="V286" s="24">
        <v>1.05</v>
      </c>
      <c r="W286" s="25">
        <v>750.75000000000011</v>
      </c>
      <c r="X286" s="26">
        <v>1</v>
      </c>
      <c r="Y286" s="27">
        <v>1.65</v>
      </c>
      <c r="Z286" s="23">
        <v>5</v>
      </c>
      <c r="AA286" s="28">
        <v>0.32999999999999996</v>
      </c>
      <c r="AB286" s="24">
        <v>0</v>
      </c>
      <c r="AC286" s="29">
        <v>0</v>
      </c>
      <c r="AD286" s="30">
        <v>43564</v>
      </c>
      <c r="AE286" s="30">
        <v>43564</v>
      </c>
      <c r="AF286" s="23">
        <v>0</v>
      </c>
      <c r="AG286" s="25" t="s">
        <v>56</v>
      </c>
      <c r="AH286" s="24">
        <v>0</v>
      </c>
      <c r="AI286" s="31">
        <v>0</v>
      </c>
      <c r="AJ286" s="31">
        <v>0</v>
      </c>
      <c r="AK286" s="44">
        <f t="shared" si="8"/>
        <v>750.75000000000011</v>
      </c>
      <c r="AL286">
        <f>VLOOKUP(A286,'[1]prueba con 16mil datos'!$A$1:$AE$804,31,FALSE)</f>
        <v>1573</v>
      </c>
      <c r="AM286">
        <f t="shared" si="9"/>
        <v>0</v>
      </c>
      <c r="AO286">
        <f>VLOOKUP(A286,'[1]Prueba con 19mil datos'!$B$1:$AF$1228,31,FALSE)</f>
        <v>1573</v>
      </c>
    </row>
    <row r="287" spans="1:41" hidden="1" x14ac:dyDescent="0.25">
      <c r="A287" s="16" t="s">
        <v>1951</v>
      </c>
      <c r="B287" s="15" t="s">
        <v>40</v>
      </c>
      <c r="C287" s="16">
        <v>1</v>
      </c>
      <c r="D287" s="16" t="s">
        <v>1384</v>
      </c>
      <c r="E287" s="17" t="s">
        <v>42</v>
      </c>
      <c r="F287" s="18" t="s">
        <v>70</v>
      </c>
      <c r="G287" s="18" t="s">
        <v>1385</v>
      </c>
      <c r="H287" s="16" t="s">
        <v>504</v>
      </c>
      <c r="I287" s="19" t="s">
        <v>3</v>
      </c>
      <c r="J287" s="16" t="s">
        <v>12</v>
      </c>
      <c r="K287" s="20" t="s">
        <v>74</v>
      </c>
      <c r="L287" s="20" t="s">
        <v>1383</v>
      </c>
      <c r="M287" s="16" t="s">
        <v>506</v>
      </c>
      <c r="N287" s="16">
        <v>0</v>
      </c>
      <c r="O287" s="16" t="s">
        <v>50</v>
      </c>
      <c r="P287" s="20">
        <v>640</v>
      </c>
      <c r="Q287" s="20" t="s">
        <v>51</v>
      </c>
      <c r="R287" s="21" t="s">
        <v>77</v>
      </c>
      <c r="S287" s="22" t="s">
        <v>53</v>
      </c>
      <c r="T287" s="22" t="s">
        <v>157</v>
      </c>
      <c r="U287" s="23" t="s">
        <v>55</v>
      </c>
      <c r="V287" s="24">
        <v>1.05</v>
      </c>
      <c r="W287" s="25">
        <v>750.75000000000011</v>
      </c>
      <c r="X287" s="26">
        <v>1</v>
      </c>
      <c r="Y287" s="27">
        <v>4.62</v>
      </c>
      <c r="Z287" s="23">
        <v>9</v>
      </c>
      <c r="AA287" s="28">
        <v>0.51333333333333331</v>
      </c>
      <c r="AB287" s="24">
        <v>0</v>
      </c>
      <c r="AC287" s="29">
        <v>0</v>
      </c>
      <c r="AD287" s="30">
        <v>43564</v>
      </c>
      <c r="AE287" s="30">
        <v>43564</v>
      </c>
      <c r="AF287" s="23">
        <v>0</v>
      </c>
      <c r="AG287" s="25" t="s">
        <v>56</v>
      </c>
      <c r="AH287" s="24">
        <v>0</v>
      </c>
      <c r="AI287" s="31">
        <v>0</v>
      </c>
      <c r="AJ287" s="31">
        <v>0</v>
      </c>
      <c r="AK287" s="44">
        <f t="shared" si="8"/>
        <v>750.75000000000011</v>
      </c>
      <c r="AL287">
        <f>VLOOKUP(A287,'[1]prueba con 16mil datos'!$A$1:$AE$804,31,FALSE)</f>
        <v>1730.3</v>
      </c>
      <c r="AM287">
        <f t="shared" si="9"/>
        <v>0</v>
      </c>
      <c r="AO287">
        <f>VLOOKUP(A287,'[1]Prueba con 19mil datos'!$B$1:$AF$1228,31,FALSE)</f>
        <v>1730.3</v>
      </c>
    </row>
    <row r="288" spans="1:41" hidden="1" x14ac:dyDescent="0.25">
      <c r="A288" s="16" t="s">
        <v>1336</v>
      </c>
      <c r="B288" s="15" t="s">
        <v>40</v>
      </c>
      <c r="C288" s="16">
        <v>1</v>
      </c>
      <c r="D288" s="16" t="s">
        <v>1451</v>
      </c>
      <c r="E288" s="17" t="s">
        <v>42</v>
      </c>
      <c r="F288" s="18" t="s">
        <v>70</v>
      </c>
      <c r="G288" s="18" t="s">
        <v>1452</v>
      </c>
      <c r="H288" s="16" t="s">
        <v>213</v>
      </c>
      <c r="I288" s="19" t="s">
        <v>3</v>
      </c>
      <c r="J288" s="16" t="s">
        <v>12</v>
      </c>
      <c r="K288" s="20" t="s">
        <v>74</v>
      </c>
      <c r="L288" s="20" t="s">
        <v>1454</v>
      </c>
      <c r="M288" s="16" t="s">
        <v>479</v>
      </c>
      <c r="N288" s="16">
        <v>0</v>
      </c>
      <c r="O288" s="16" t="s">
        <v>50</v>
      </c>
      <c r="P288" s="20">
        <v>156</v>
      </c>
      <c r="Q288" s="20" t="s">
        <v>51</v>
      </c>
      <c r="R288" s="21" t="s">
        <v>77</v>
      </c>
      <c r="S288" s="22" t="s">
        <v>53</v>
      </c>
      <c r="T288" s="22" t="s">
        <v>54</v>
      </c>
      <c r="U288" s="23" t="s">
        <v>55</v>
      </c>
      <c r="V288" s="24">
        <v>1.05</v>
      </c>
      <c r="W288" s="25">
        <v>750.75000000000011</v>
      </c>
      <c r="X288" s="26">
        <v>1</v>
      </c>
      <c r="Y288" s="27">
        <v>2.23</v>
      </c>
      <c r="Z288" s="23">
        <v>5</v>
      </c>
      <c r="AA288" s="28">
        <v>0.44600000000000001</v>
      </c>
      <c r="AB288" s="24">
        <v>0</v>
      </c>
      <c r="AC288" s="29">
        <v>0</v>
      </c>
      <c r="AD288" s="30">
        <v>43564</v>
      </c>
      <c r="AE288" s="30">
        <v>43564</v>
      </c>
      <c r="AF288" s="23">
        <v>0</v>
      </c>
      <c r="AG288" s="25" t="s">
        <v>56</v>
      </c>
      <c r="AH288" s="24">
        <v>0</v>
      </c>
      <c r="AI288" s="31">
        <v>0</v>
      </c>
      <c r="AJ288" s="31">
        <v>0</v>
      </c>
      <c r="AK288" s="44">
        <f t="shared" si="8"/>
        <v>750.75000000000011</v>
      </c>
      <c r="AL288">
        <f>VLOOKUP(A288,'[1]prueba con 16mil datos'!$A$1:$AE$804,31,FALSE)</f>
        <v>1258.4000000000001</v>
      </c>
      <c r="AM288">
        <f t="shared" si="9"/>
        <v>0</v>
      </c>
      <c r="AO288">
        <f>VLOOKUP(A288,'[1]Prueba con 19mil datos'!$B$1:$AF$1228,31,FALSE)</f>
        <v>1258.4000000000001</v>
      </c>
    </row>
    <row r="289" spans="1:41" hidden="1" x14ac:dyDescent="0.25">
      <c r="A289" s="16" t="s">
        <v>1336</v>
      </c>
      <c r="B289" s="15" t="s">
        <v>40</v>
      </c>
      <c r="C289" s="16">
        <v>1</v>
      </c>
      <c r="D289" s="16" t="s">
        <v>1331</v>
      </c>
      <c r="E289" s="17" t="s">
        <v>42</v>
      </c>
      <c r="F289" s="18" t="s">
        <v>913</v>
      </c>
      <c r="G289" s="18" t="s">
        <v>1332</v>
      </c>
      <c r="H289" s="16" t="s">
        <v>264</v>
      </c>
      <c r="I289" s="19" t="s">
        <v>3</v>
      </c>
      <c r="J289" s="16" t="s">
        <v>12</v>
      </c>
      <c r="K289" s="20" t="s">
        <v>378</v>
      </c>
      <c r="L289" s="20" t="s">
        <v>711</v>
      </c>
      <c r="M289" s="16" t="s">
        <v>267</v>
      </c>
      <c r="N289" s="16">
        <v>0</v>
      </c>
      <c r="O289" s="16" t="s">
        <v>50</v>
      </c>
      <c r="P289" s="20">
        <v>306</v>
      </c>
      <c r="Q289" s="20" t="s">
        <v>51</v>
      </c>
      <c r="R289" s="21" t="s">
        <v>87</v>
      </c>
      <c r="S289" s="22" t="s">
        <v>53</v>
      </c>
      <c r="T289" s="22" t="s">
        <v>54</v>
      </c>
      <c r="U289" s="23" t="s">
        <v>55</v>
      </c>
      <c r="V289" s="24">
        <v>1.05</v>
      </c>
      <c r="W289" s="25">
        <v>750.75000000000011</v>
      </c>
      <c r="X289" s="26">
        <v>1</v>
      </c>
      <c r="Y289" s="27">
        <v>1.37</v>
      </c>
      <c r="Z289" s="23">
        <v>5</v>
      </c>
      <c r="AA289" s="28">
        <v>0.27400000000000002</v>
      </c>
      <c r="AB289" s="24">
        <v>0</v>
      </c>
      <c r="AC289" s="29">
        <v>0</v>
      </c>
      <c r="AD289" s="30">
        <v>43564</v>
      </c>
      <c r="AE289" s="30">
        <v>43564</v>
      </c>
      <c r="AF289" s="23">
        <v>0</v>
      </c>
      <c r="AG289" s="25" t="s">
        <v>56</v>
      </c>
      <c r="AH289" s="24">
        <v>0</v>
      </c>
      <c r="AI289" s="31">
        <v>0</v>
      </c>
      <c r="AJ289" s="31">
        <v>0</v>
      </c>
      <c r="AK289" s="44">
        <f t="shared" si="8"/>
        <v>750.75000000000011</v>
      </c>
      <c r="AL289">
        <f>VLOOKUP(A289,'[1]prueba con 16mil datos'!$A$1:$AE$804,31,FALSE)</f>
        <v>1258.4000000000001</v>
      </c>
      <c r="AM289">
        <f t="shared" si="9"/>
        <v>0</v>
      </c>
      <c r="AO289">
        <f>VLOOKUP(A289,'[1]Prueba con 19mil datos'!$B$1:$AF$1228,31,FALSE)</f>
        <v>1258.4000000000001</v>
      </c>
    </row>
    <row r="290" spans="1:41" hidden="1" x14ac:dyDescent="0.25">
      <c r="A290" s="16" t="s">
        <v>1001</v>
      </c>
      <c r="B290" s="15" t="s">
        <v>40</v>
      </c>
      <c r="C290" s="16">
        <v>1</v>
      </c>
      <c r="D290" s="16" t="s">
        <v>1411</v>
      </c>
      <c r="E290" s="17" t="s">
        <v>42</v>
      </c>
      <c r="F290" s="18" t="s">
        <v>913</v>
      </c>
      <c r="G290" s="18" t="s">
        <v>1412</v>
      </c>
      <c r="H290" s="16" t="s">
        <v>377</v>
      </c>
      <c r="I290" s="19" t="s">
        <v>3</v>
      </c>
      <c r="J290" s="16" t="s">
        <v>12</v>
      </c>
      <c r="K290" s="20" t="s">
        <v>378</v>
      </c>
      <c r="L290" s="20" t="s">
        <v>666</v>
      </c>
      <c r="M290" s="16" t="s">
        <v>128</v>
      </c>
      <c r="N290" s="16">
        <v>0</v>
      </c>
      <c r="O290" s="16" t="s">
        <v>50</v>
      </c>
      <c r="P290" s="20">
        <v>357</v>
      </c>
      <c r="Q290" s="20" t="s">
        <v>51</v>
      </c>
      <c r="R290" s="21" t="s">
        <v>87</v>
      </c>
      <c r="S290" s="22" t="s">
        <v>53</v>
      </c>
      <c r="T290" s="22" t="s">
        <v>54</v>
      </c>
      <c r="U290" s="23" t="s">
        <v>55</v>
      </c>
      <c r="V290" s="24">
        <v>1.05</v>
      </c>
      <c r="W290" s="25">
        <v>750.75000000000011</v>
      </c>
      <c r="X290" s="26">
        <v>1</v>
      </c>
      <c r="Y290" s="27">
        <v>0.93</v>
      </c>
      <c r="Z290" s="23">
        <v>5</v>
      </c>
      <c r="AA290" s="28">
        <v>0.186</v>
      </c>
      <c r="AB290" s="24">
        <v>0</v>
      </c>
      <c r="AC290" s="29">
        <v>0</v>
      </c>
      <c r="AD290" s="30">
        <v>43564</v>
      </c>
      <c r="AE290" s="30">
        <v>43564</v>
      </c>
      <c r="AF290" s="23">
        <v>0</v>
      </c>
      <c r="AG290" s="25" t="s">
        <v>56</v>
      </c>
      <c r="AH290" s="24">
        <v>0</v>
      </c>
      <c r="AI290" s="31">
        <v>0</v>
      </c>
      <c r="AJ290" s="31">
        <v>0</v>
      </c>
      <c r="AK290" s="44">
        <f t="shared" si="8"/>
        <v>750.75000000000011</v>
      </c>
      <c r="AL290">
        <f>VLOOKUP(A290,'[1]prueba con 16mil datos'!$A$1:$AE$804,31,FALSE)</f>
        <v>1730.3</v>
      </c>
      <c r="AM290">
        <f t="shared" si="9"/>
        <v>0</v>
      </c>
      <c r="AO290">
        <f>VLOOKUP(A290,'[1]Prueba con 19mil datos'!$B$1:$AF$1228,31,FALSE)</f>
        <v>1651.65</v>
      </c>
    </row>
    <row r="291" spans="1:41" hidden="1" x14ac:dyDescent="0.25">
      <c r="A291" s="16" t="s">
        <v>1596</v>
      </c>
      <c r="B291" s="15" t="s">
        <v>40</v>
      </c>
      <c r="C291" s="16">
        <v>1</v>
      </c>
      <c r="D291" s="16" t="s">
        <v>1327</v>
      </c>
      <c r="E291" s="17" t="s">
        <v>42</v>
      </c>
      <c r="F291" s="18" t="s">
        <v>913</v>
      </c>
      <c r="G291" s="18" t="s">
        <v>1328</v>
      </c>
      <c r="H291" s="16" t="s">
        <v>115</v>
      </c>
      <c r="I291" s="19" t="s">
        <v>3</v>
      </c>
      <c r="J291" s="16" t="s">
        <v>12</v>
      </c>
      <c r="K291" s="20" t="s">
        <v>378</v>
      </c>
      <c r="L291" s="20" t="s">
        <v>1330</v>
      </c>
      <c r="M291" s="16" t="s">
        <v>485</v>
      </c>
      <c r="N291" s="16">
        <v>0</v>
      </c>
      <c r="O291" s="16" t="s">
        <v>50</v>
      </c>
      <c r="P291" s="20">
        <v>966</v>
      </c>
      <c r="Q291" s="20" t="s">
        <v>51</v>
      </c>
      <c r="R291" s="21" t="s">
        <v>87</v>
      </c>
      <c r="S291" s="22" t="s">
        <v>53</v>
      </c>
      <c r="T291" s="22" t="s">
        <v>157</v>
      </c>
      <c r="U291" s="23" t="s">
        <v>55</v>
      </c>
      <c r="V291" s="24">
        <v>1.05</v>
      </c>
      <c r="W291" s="25">
        <v>750.75000000000011</v>
      </c>
      <c r="X291" s="26">
        <v>1</v>
      </c>
      <c r="Y291" s="27">
        <v>2.0699999999999998</v>
      </c>
      <c r="Z291" s="23">
        <v>9</v>
      </c>
      <c r="AA291" s="28">
        <v>0.22999999999999998</v>
      </c>
      <c r="AB291" s="24">
        <v>0</v>
      </c>
      <c r="AC291" s="29">
        <v>0</v>
      </c>
      <c r="AD291" s="30">
        <v>43564</v>
      </c>
      <c r="AE291" s="30">
        <v>43564</v>
      </c>
      <c r="AF291" s="23">
        <v>0</v>
      </c>
      <c r="AG291" s="25" t="s">
        <v>56</v>
      </c>
      <c r="AH291" s="24">
        <v>0</v>
      </c>
      <c r="AI291" s="31">
        <v>0</v>
      </c>
      <c r="AJ291" s="31">
        <v>0</v>
      </c>
      <c r="AK291" s="44">
        <f t="shared" si="8"/>
        <v>750.75000000000011</v>
      </c>
      <c r="AL291">
        <f>VLOOKUP(A291,'[1]prueba con 16mil datos'!$A$1:$AE$804,31,FALSE)</f>
        <v>1730.3</v>
      </c>
      <c r="AM291">
        <f t="shared" si="9"/>
        <v>0</v>
      </c>
      <c r="AO291">
        <f>VLOOKUP(A291,'[1]Prueba con 19mil datos'!$B$1:$AF$1228,31,FALSE)</f>
        <v>1730.3</v>
      </c>
    </row>
    <row r="292" spans="1:41" hidden="1" x14ac:dyDescent="0.25">
      <c r="A292" s="16" t="s">
        <v>1596</v>
      </c>
      <c r="B292" s="15" t="s">
        <v>40</v>
      </c>
      <c r="C292" s="16">
        <v>1</v>
      </c>
      <c r="D292" s="16" t="s">
        <v>1434</v>
      </c>
      <c r="E292" s="17" t="s">
        <v>42</v>
      </c>
      <c r="F292" s="18" t="s">
        <v>1115</v>
      </c>
      <c r="G292" s="18" t="s">
        <v>1435</v>
      </c>
      <c r="H292" s="16" t="s">
        <v>243</v>
      </c>
      <c r="I292" s="19" t="s">
        <v>3</v>
      </c>
      <c r="J292" s="16" t="s">
        <v>12</v>
      </c>
      <c r="K292" s="20" t="s">
        <v>244</v>
      </c>
      <c r="L292" s="20" t="s">
        <v>245</v>
      </c>
      <c r="M292" s="16" t="s">
        <v>246</v>
      </c>
      <c r="N292" s="16">
        <v>0</v>
      </c>
      <c r="O292" s="16" t="s">
        <v>50</v>
      </c>
      <c r="P292" s="20">
        <v>14</v>
      </c>
      <c r="Q292" s="20" t="s">
        <v>65</v>
      </c>
      <c r="R292" s="21" t="s">
        <v>186</v>
      </c>
      <c r="S292" s="22" t="s">
        <v>187</v>
      </c>
      <c r="T292" s="22" t="s">
        <v>54</v>
      </c>
      <c r="U292" s="23" t="s">
        <v>201</v>
      </c>
      <c r="V292" s="24">
        <v>0.8</v>
      </c>
      <c r="W292" s="25">
        <v>1258.4000000000003</v>
      </c>
      <c r="X292" s="26">
        <v>1</v>
      </c>
      <c r="Y292" s="27">
        <v>0.57999999999999996</v>
      </c>
      <c r="Z292" s="23">
        <v>4</v>
      </c>
      <c r="AA292" s="28">
        <v>0.14499999999999999</v>
      </c>
      <c r="AB292" s="24">
        <v>0</v>
      </c>
      <c r="AC292" s="29">
        <v>0</v>
      </c>
      <c r="AD292" s="30">
        <v>43564</v>
      </c>
      <c r="AE292" s="30">
        <v>43564</v>
      </c>
      <c r="AF292" s="23">
        <v>0</v>
      </c>
      <c r="AG292" s="25" t="s">
        <v>56</v>
      </c>
      <c r="AH292" s="24">
        <v>0</v>
      </c>
      <c r="AI292" s="31">
        <v>0</v>
      </c>
      <c r="AJ292" s="31">
        <v>0</v>
      </c>
      <c r="AK292" s="44">
        <f t="shared" si="8"/>
        <v>1258.4000000000003</v>
      </c>
      <c r="AL292">
        <f>VLOOKUP(A292,'[1]prueba con 16mil datos'!$A$1:$AE$804,31,FALSE)</f>
        <v>1730.3</v>
      </c>
      <c r="AM292">
        <f t="shared" si="9"/>
        <v>0</v>
      </c>
      <c r="AO292">
        <f>VLOOKUP(A292,'[1]Prueba con 19mil datos'!$B$1:$AF$1228,31,FALSE)</f>
        <v>1730.3</v>
      </c>
    </row>
    <row r="293" spans="1:41" hidden="1" x14ac:dyDescent="0.25">
      <c r="A293" s="16" t="s">
        <v>3029</v>
      </c>
      <c r="B293" s="15" t="s">
        <v>40</v>
      </c>
      <c r="C293" s="16">
        <v>1</v>
      </c>
      <c r="D293" s="16" t="s">
        <v>1340</v>
      </c>
      <c r="E293" s="17" t="s">
        <v>42</v>
      </c>
      <c r="F293" s="18" t="s">
        <v>43</v>
      </c>
      <c r="G293" s="18" t="s">
        <v>1341</v>
      </c>
      <c r="H293" s="16" t="s">
        <v>346</v>
      </c>
      <c r="I293" s="19" t="s">
        <v>3</v>
      </c>
      <c r="J293" s="16" t="s">
        <v>12</v>
      </c>
      <c r="K293" s="20" t="s">
        <v>848</v>
      </c>
      <c r="L293" s="20" t="s">
        <v>849</v>
      </c>
      <c r="M293" s="16" t="s">
        <v>850</v>
      </c>
      <c r="N293" s="16">
        <v>0</v>
      </c>
      <c r="O293" s="16" t="s">
        <v>50</v>
      </c>
      <c r="P293" s="20">
        <v>283</v>
      </c>
      <c r="Q293" s="20" t="s">
        <v>51</v>
      </c>
      <c r="R293" s="21" t="s">
        <v>52</v>
      </c>
      <c r="S293" s="22" t="s">
        <v>53</v>
      </c>
      <c r="T293" s="22" t="s">
        <v>54</v>
      </c>
      <c r="U293" s="23" t="s">
        <v>55</v>
      </c>
      <c r="V293" s="24">
        <v>1.05</v>
      </c>
      <c r="W293" s="25">
        <v>750.75000000000011</v>
      </c>
      <c r="X293" s="26">
        <v>1</v>
      </c>
      <c r="Y293" s="27">
        <v>1.65</v>
      </c>
      <c r="Z293" s="23">
        <v>5</v>
      </c>
      <c r="AA293" s="28">
        <v>0.32999999999999996</v>
      </c>
      <c r="AB293" s="24">
        <v>0</v>
      </c>
      <c r="AC293" s="29">
        <v>0</v>
      </c>
      <c r="AD293" s="30">
        <v>43564</v>
      </c>
      <c r="AE293" s="30">
        <v>43564</v>
      </c>
      <c r="AF293" s="23">
        <v>0</v>
      </c>
      <c r="AG293" s="25" t="s">
        <v>56</v>
      </c>
      <c r="AH293" s="24">
        <v>0</v>
      </c>
      <c r="AI293" s="31">
        <v>0</v>
      </c>
      <c r="AJ293" s="31">
        <v>0</v>
      </c>
      <c r="AK293" s="44">
        <f t="shared" si="8"/>
        <v>750.75000000000011</v>
      </c>
      <c r="AL293">
        <f>VLOOKUP(A293,'[1]prueba con 16mil datos'!$A$1:$AE$804,31,FALSE)</f>
        <v>1730.3</v>
      </c>
      <c r="AM293">
        <f t="shared" si="9"/>
        <v>0</v>
      </c>
      <c r="AO293">
        <f>VLOOKUP(A293,'[1]Prueba con 19mil datos'!$B$1:$AF$1228,31,FALSE)</f>
        <v>1730.3</v>
      </c>
    </row>
    <row r="294" spans="1:41" hidden="1" x14ac:dyDescent="0.25">
      <c r="A294" s="16" t="s">
        <v>2545</v>
      </c>
      <c r="B294" s="15" t="s">
        <v>40</v>
      </c>
      <c r="C294" s="16">
        <v>1</v>
      </c>
      <c r="D294" s="16" t="s">
        <v>1398</v>
      </c>
      <c r="E294" s="17" t="s">
        <v>42</v>
      </c>
      <c r="F294" s="18" t="s">
        <v>180</v>
      </c>
      <c r="G294" s="18" t="s">
        <v>1399</v>
      </c>
      <c r="H294" s="16" t="s">
        <v>213</v>
      </c>
      <c r="I294" s="19" t="s">
        <v>3</v>
      </c>
      <c r="J294" s="16" t="s">
        <v>12</v>
      </c>
      <c r="K294" s="20" t="s">
        <v>126</v>
      </c>
      <c r="L294" s="20" t="s">
        <v>1401</v>
      </c>
      <c r="M294" s="16" t="s">
        <v>479</v>
      </c>
      <c r="N294" s="16">
        <v>0</v>
      </c>
      <c r="O294" s="16" t="s">
        <v>50</v>
      </c>
      <c r="P294" s="20">
        <v>14</v>
      </c>
      <c r="Q294" s="20" t="s">
        <v>65</v>
      </c>
      <c r="R294" s="21" t="s">
        <v>186</v>
      </c>
      <c r="S294" s="22" t="s">
        <v>187</v>
      </c>
      <c r="T294" s="22" t="s">
        <v>54</v>
      </c>
      <c r="U294" s="23" t="s">
        <v>201</v>
      </c>
      <c r="V294" s="24">
        <v>0.8</v>
      </c>
      <c r="W294" s="25">
        <v>1258.4000000000003</v>
      </c>
      <c r="X294" s="26">
        <v>1</v>
      </c>
      <c r="Y294" s="27">
        <v>4</v>
      </c>
      <c r="Z294" s="23">
        <v>4</v>
      </c>
      <c r="AA294" s="28">
        <v>1</v>
      </c>
      <c r="AB294" s="24">
        <v>0</v>
      </c>
      <c r="AC294" s="29">
        <v>0</v>
      </c>
      <c r="AD294" s="30">
        <v>43564</v>
      </c>
      <c r="AE294" s="30">
        <v>43564</v>
      </c>
      <c r="AF294" s="23">
        <v>0</v>
      </c>
      <c r="AG294" s="25" t="s">
        <v>56</v>
      </c>
      <c r="AH294" s="24">
        <v>0</v>
      </c>
      <c r="AI294" s="31">
        <v>0</v>
      </c>
      <c r="AJ294" s="31">
        <v>0</v>
      </c>
      <c r="AK294" s="44">
        <f t="shared" si="8"/>
        <v>1258.4000000000003</v>
      </c>
      <c r="AL294">
        <f>VLOOKUP(A294,'[1]prueba con 16mil datos'!$A$1:$AE$804,31,FALSE)</f>
        <v>1808.95</v>
      </c>
      <c r="AM294">
        <f t="shared" si="9"/>
        <v>0</v>
      </c>
      <c r="AO294">
        <f>VLOOKUP(A294,'[1]Prueba con 19mil datos'!$B$1:$AF$1228,31,FALSE)</f>
        <v>1808.95</v>
      </c>
    </row>
    <row r="295" spans="1:41" hidden="1" x14ac:dyDescent="0.25">
      <c r="A295" s="16" t="s">
        <v>2545</v>
      </c>
      <c r="B295" s="15" t="s">
        <v>40</v>
      </c>
      <c r="C295" s="16">
        <v>1</v>
      </c>
      <c r="D295" s="16" t="s">
        <v>1359</v>
      </c>
      <c r="E295" s="17" t="s">
        <v>42</v>
      </c>
      <c r="F295" s="18" t="s">
        <v>180</v>
      </c>
      <c r="G295" s="18" t="s">
        <v>1360</v>
      </c>
      <c r="H295" s="16" t="s">
        <v>73</v>
      </c>
      <c r="I295" s="19" t="s">
        <v>3</v>
      </c>
      <c r="J295" s="16" t="s">
        <v>12</v>
      </c>
      <c r="K295" s="20" t="s">
        <v>198</v>
      </c>
      <c r="L295" s="20" t="s">
        <v>394</v>
      </c>
      <c r="M295" s="16" t="s">
        <v>76</v>
      </c>
      <c r="N295" s="16">
        <v>0</v>
      </c>
      <c r="O295" s="16" t="s">
        <v>50</v>
      </c>
      <c r="P295" s="20">
        <v>28</v>
      </c>
      <c r="Q295" s="20" t="s">
        <v>119</v>
      </c>
      <c r="R295" s="21" t="s">
        <v>186</v>
      </c>
      <c r="S295" s="22" t="s">
        <v>187</v>
      </c>
      <c r="T295" s="22" t="s">
        <v>54</v>
      </c>
      <c r="U295" s="23" t="s">
        <v>269</v>
      </c>
      <c r="V295" s="24">
        <v>1.05</v>
      </c>
      <c r="W295" s="25">
        <v>1651.6500000000003</v>
      </c>
      <c r="X295" s="26">
        <v>1</v>
      </c>
      <c r="Y295" s="27">
        <v>3.95</v>
      </c>
      <c r="Z295" s="23">
        <v>4</v>
      </c>
      <c r="AA295" s="28">
        <v>0.98750000000000004</v>
      </c>
      <c r="AB295" s="24">
        <v>0</v>
      </c>
      <c r="AC295" s="29">
        <v>0</v>
      </c>
      <c r="AD295" s="30">
        <v>43564</v>
      </c>
      <c r="AE295" s="30">
        <v>43564</v>
      </c>
      <c r="AF295" s="23">
        <v>0</v>
      </c>
      <c r="AG295" s="25" t="s">
        <v>56</v>
      </c>
      <c r="AH295" s="24">
        <v>0</v>
      </c>
      <c r="AI295" s="31">
        <v>0</v>
      </c>
      <c r="AJ295" s="31">
        <v>0</v>
      </c>
      <c r="AK295" s="44">
        <f t="shared" si="8"/>
        <v>1651.6500000000003</v>
      </c>
      <c r="AL295">
        <f>VLOOKUP(A295,'[1]prueba con 16mil datos'!$A$1:$AE$804,31,FALSE)</f>
        <v>1808.95</v>
      </c>
      <c r="AM295">
        <f t="shared" si="9"/>
        <v>0</v>
      </c>
      <c r="AO295">
        <f>VLOOKUP(A295,'[1]Prueba con 19mil datos'!$B$1:$AF$1228,31,FALSE)</f>
        <v>1808.95</v>
      </c>
    </row>
    <row r="296" spans="1:41" hidden="1" x14ac:dyDescent="0.25">
      <c r="A296" s="16" t="s">
        <v>3175</v>
      </c>
      <c r="B296" s="15" t="s">
        <v>40</v>
      </c>
      <c r="C296" s="16">
        <v>1</v>
      </c>
      <c r="D296" s="16" t="s">
        <v>1418</v>
      </c>
      <c r="E296" s="17" t="s">
        <v>42</v>
      </c>
      <c r="F296" s="18" t="s">
        <v>574</v>
      </c>
      <c r="G296" s="18" t="s">
        <v>1419</v>
      </c>
      <c r="H296" s="16" t="s">
        <v>264</v>
      </c>
      <c r="I296" s="19" t="s">
        <v>3</v>
      </c>
      <c r="J296" s="16" t="s">
        <v>12</v>
      </c>
      <c r="K296" s="20" t="s">
        <v>378</v>
      </c>
      <c r="L296" s="20" t="s">
        <v>711</v>
      </c>
      <c r="M296" s="16" t="s">
        <v>267</v>
      </c>
      <c r="N296" s="16">
        <v>0</v>
      </c>
      <c r="O296" s="16" t="s">
        <v>50</v>
      </c>
      <c r="P296" s="20">
        <v>11</v>
      </c>
      <c r="Q296" s="20" t="s">
        <v>65</v>
      </c>
      <c r="R296" s="21" t="s">
        <v>148</v>
      </c>
      <c r="S296" s="22" t="s">
        <v>130</v>
      </c>
      <c r="T296" s="22" t="s">
        <v>54</v>
      </c>
      <c r="U296" s="23" t="s">
        <v>131</v>
      </c>
      <c r="V296" s="24">
        <v>0.6</v>
      </c>
      <c r="W296" s="25">
        <v>819</v>
      </c>
      <c r="X296" s="26">
        <v>1</v>
      </c>
      <c r="Y296" s="27">
        <v>0</v>
      </c>
      <c r="Z296" s="23">
        <v>5</v>
      </c>
      <c r="AA296" s="28">
        <v>0</v>
      </c>
      <c r="AB296" s="24">
        <v>0</v>
      </c>
      <c r="AC296" s="29">
        <v>0</v>
      </c>
      <c r="AD296" s="30">
        <v>43564</v>
      </c>
      <c r="AE296" s="30">
        <v>43564</v>
      </c>
      <c r="AF296" s="23">
        <v>0</v>
      </c>
      <c r="AG296" s="25" t="s">
        <v>56</v>
      </c>
      <c r="AH296" s="24">
        <v>0</v>
      </c>
      <c r="AI296" s="31">
        <v>0</v>
      </c>
      <c r="AJ296" s="31">
        <v>0</v>
      </c>
      <c r="AK296" s="44">
        <f t="shared" si="8"/>
        <v>819</v>
      </c>
      <c r="AL296">
        <f>VLOOKUP(A296,'[1]prueba con 16mil datos'!$A$1:$AE$804,31,FALSE)</f>
        <v>1808.95</v>
      </c>
      <c r="AM296">
        <f t="shared" si="9"/>
        <v>0</v>
      </c>
      <c r="AO296">
        <f>VLOOKUP(A296,'[1]Prueba con 19mil datos'!$B$1:$AF$1228,31,FALSE)</f>
        <v>1808.95</v>
      </c>
    </row>
    <row r="297" spans="1:41" hidden="1" x14ac:dyDescent="0.25">
      <c r="A297" s="16" t="s">
        <v>2021</v>
      </c>
      <c r="B297" s="15" t="s">
        <v>40</v>
      </c>
      <c r="C297" s="16">
        <v>1</v>
      </c>
      <c r="D297" s="16" t="s">
        <v>1372</v>
      </c>
      <c r="E297" s="17" t="s">
        <v>42</v>
      </c>
      <c r="F297" s="18" t="s">
        <v>574</v>
      </c>
      <c r="G297" s="18" t="s">
        <v>1373</v>
      </c>
      <c r="H297" s="16" t="s">
        <v>377</v>
      </c>
      <c r="I297" s="19" t="s">
        <v>3</v>
      </c>
      <c r="J297" s="16" t="s">
        <v>12</v>
      </c>
      <c r="K297" s="20" t="s">
        <v>378</v>
      </c>
      <c r="L297" s="20" t="s">
        <v>577</v>
      </c>
      <c r="M297" s="16" t="s">
        <v>128</v>
      </c>
      <c r="N297" s="16">
        <v>0</v>
      </c>
      <c r="O297" s="16" t="s">
        <v>50</v>
      </c>
      <c r="P297" s="20">
        <v>89</v>
      </c>
      <c r="Q297" s="20" t="s">
        <v>51</v>
      </c>
      <c r="R297" s="21" t="s">
        <v>148</v>
      </c>
      <c r="S297" s="22" t="s">
        <v>130</v>
      </c>
      <c r="T297" s="22" t="s">
        <v>54</v>
      </c>
      <c r="U297" s="23" t="s">
        <v>226</v>
      </c>
      <c r="V297" s="24">
        <v>1.1000000000000001</v>
      </c>
      <c r="W297" s="25">
        <v>1501.5000000000002</v>
      </c>
      <c r="X297" s="26">
        <v>1</v>
      </c>
      <c r="Y297" s="27">
        <v>0.27</v>
      </c>
      <c r="Z297" s="23">
        <v>5</v>
      </c>
      <c r="AA297" s="28">
        <v>5.4000000000000006E-2</v>
      </c>
      <c r="AB297" s="24">
        <v>0</v>
      </c>
      <c r="AC297" s="29">
        <v>0</v>
      </c>
      <c r="AD297" s="30">
        <v>43564</v>
      </c>
      <c r="AE297" s="30">
        <v>43564</v>
      </c>
      <c r="AF297" s="23">
        <v>0</v>
      </c>
      <c r="AG297" s="25" t="s">
        <v>56</v>
      </c>
      <c r="AH297" s="24">
        <v>0</v>
      </c>
      <c r="AI297" s="31">
        <v>0</v>
      </c>
      <c r="AJ297" s="31">
        <v>0</v>
      </c>
      <c r="AK297" s="44">
        <f t="shared" si="8"/>
        <v>1501.5000000000002</v>
      </c>
      <c r="AL297">
        <f>VLOOKUP(A297,'[1]prueba con 16mil datos'!$A$1:$AE$804,31,FALSE)</f>
        <v>1258.4000000000001</v>
      </c>
      <c r="AM297">
        <f t="shared" si="9"/>
        <v>0</v>
      </c>
      <c r="AO297">
        <f>VLOOKUP(A297,'[1]Prueba con 19mil datos'!$B$1:$AF$1228,31,FALSE)</f>
        <v>943.8</v>
      </c>
    </row>
    <row r="298" spans="1:41" hidden="1" x14ac:dyDescent="0.25">
      <c r="A298" s="16" t="s">
        <v>756</v>
      </c>
      <c r="B298" s="15" t="s">
        <v>40</v>
      </c>
      <c r="C298" s="16">
        <v>1</v>
      </c>
      <c r="D298" s="16" t="s">
        <v>1436</v>
      </c>
      <c r="E298" s="17" t="s">
        <v>42</v>
      </c>
      <c r="F298" s="18" t="s">
        <v>122</v>
      </c>
      <c r="G298" s="18" t="s">
        <v>1437</v>
      </c>
      <c r="H298" s="16" t="s">
        <v>621</v>
      </c>
      <c r="I298" s="19" t="s">
        <v>3</v>
      </c>
      <c r="J298" s="16" t="s">
        <v>12</v>
      </c>
      <c r="K298" s="20" t="s">
        <v>126</v>
      </c>
      <c r="L298" s="20" t="s">
        <v>446</v>
      </c>
      <c r="M298" s="16" t="s">
        <v>447</v>
      </c>
      <c r="N298" s="16">
        <v>0</v>
      </c>
      <c r="O298" s="16" t="s">
        <v>50</v>
      </c>
      <c r="P298" s="20">
        <v>6</v>
      </c>
      <c r="Q298" s="20" t="s">
        <v>311</v>
      </c>
      <c r="R298" s="21" t="s">
        <v>129</v>
      </c>
      <c r="S298" s="22" t="s">
        <v>130</v>
      </c>
      <c r="T298" s="22" t="s">
        <v>54</v>
      </c>
      <c r="U298" s="23" t="s">
        <v>312</v>
      </c>
      <c r="V298" s="24">
        <v>0</v>
      </c>
      <c r="W298" s="25">
        <v>0</v>
      </c>
      <c r="X298" s="26">
        <v>1</v>
      </c>
      <c r="Y298" s="27">
        <v>3.7</v>
      </c>
      <c r="Z298" s="23">
        <v>5</v>
      </c>
      <c r="AA298" s="28">
        <v>0.74</v>
      </c>
      <c r="AB298" s="24">
        <v>0</v>
      </c>
      <c r="AC298" s="29">
        <v>0</v>
      </c>
      <c r="AD298" s="30">
        <v>43564</v>
      </c>
      <c r="AE298" s="30">
        <v>43564</v>
      </c>
      <c r="AF298" s="23">
        <v>0</v>
      </c>
      <c r="AG298" s="25" t="s">
        <v>56</v>
      </c>
      <c r="AH298" s="24">
        <v>0</v>
      </c>
      <c r="AI298" s="31">
        <v>0</v>
      </c>
      <c r="AJ298" s="31">
        <v>0</v>
      </c>
      <c r="AK298" s="44">
        <f t="shared" si="8"/>
        <v>0</v>
      </c>
      <c r="AL298">
        <f>VLOOKUP(A298,'[1]prueba con 16mil datos'!$A$1:$AE$804,31,FALSE)</f>
        <v>1651.65</v>
      </c>
      <c r="AM298">
        <f t="shared" si="9"/>
        <v>0</v>
      </c>
      <c r="AO298">
        <f>VLOOKUP(A298,'[1]Prueba con 19mil datos'!$B$1:$AF$1228,31,FALSE)</f>
        <v>1651.65</v>
      </c>
    </row>
    <row r="299" spans="1:41" hidden="1" x14ac:dyDescent="0.25">
      <c r="A299" s="16" t="s">
        <v>1533</v>
      </c>
      <c r="B299" s="15" t="s">
        <v>40</v>
      </c>
      <c r="C299" s="16">
        <v>1</v>
      </c>
      <c r="D299" s="16" t="s">
        <v>1368</v>
      </c>
      <c r="E299" s="17" t="s">
        <v>42</v>
      </c>
      <c r="F299" s="18" t="s">
        <v>122</v>
      </c>
      <c r="G299" s="18" t="s">
        <v>1369</v>
      </c>
      <c r="H299" s="16" t="s">
        <v>109</v>
      </c>
      <c r="I299" s="19" t="s">
        <v>3</v>
      </c>
      <c r="J299" s="16" t="s">
        <v>12</v>
      </c>
      <c r="K299" s="20" t="s">
        <v>126</v>
      </c>
      <c r="L299" s="20" t="s">
        <v>1371</v>
      </c>
      <c r="M299" s="16" t="s">
        <v>111</v>
      </c>
      <c r="N299" s="16">
        <v>0</v>
      </c>
      <c r="O299" s="16" t="s">
        <v>50</v>
      </c>
      <c r="P299" s="20">
        <v>175</v>
      </c>
      <c r="Q299" s="20" t="s">
        <v>51</v>
      </c>
      <c r="R299" s="21" t="s">
        <v>129</v>
      </c>
      <c r="S299" s="22" t="s">
        <v>130</v>
      </c>
      <c r="T299" s="22" t="s">
        <v>54</v>
      </c>
      <c r="U299" s="23" t="s">
        <v>226</v>
      </c>
      <c r="V299" s="24">
        <v>1.1000000000000001</v>
      </c>
      <c r="W299" s="25">
        <v>1501.5000000000002</v>
      </c>
      <c r="X299" s="26">
        <v>1</v>
      </c>
      <c r="Y299" s="27">
        <v>1</v>
      </c>
      <c r="Z299" s="23">
        <v>5</v>
      </c>
      <c r="AA299" s="28">
        <v>0.2</v>
      </c>
      <c r="AB299" s="24">
        <v>0</v>
      </c>
      <c r="AC299" s="29">
        <v>0</v>
      </c>
      <c r="AD299" s="30">
        <v>43564</v>
      </c>
      <c r="AE299" s="30">
        <v>43564</v>
      </c>
      <c r="AF299" s="23">
        <v>0</v>
      </c>
      <c r="AG299" s="25" t="s">
        <v>56</v>
      </c>
      <c r="AH299" s="24">
        <v>0</v>
      </c>
      <c r="AI299" s="31">
        <v>0</v>
      </c>
      <c r="AJ299" s="31">
        <v>0</v>
      </c>
      <c r="AK299" s="44">
        <f t="shared" si="8"/>
        <v>1501.5000000000002</v>
      </c>
      <c r="AL299">
        <f>VLOOKUP(A299,'[1]prueba con 16mil datos'!$A$1:$AE$804,31,FALSE)</f>
        <v>1651.65</v>
      </c>
      <c r="AM299">
        <f t="shared" si="9"/>
        <v>0</v>
      </c>
      <c r="AO299">
        <f>VLOOKUP(A299,'[1]Prueba con 19mil datos'!$B$1:$AF$1228,31,FALSE)</f>
        <v>1651.65</v>
      </c>
    </row>
    <row r="300" spans="1:41" hidden="1" x14ac:dyDescent="0.25">
      <c r="A300" s="16" t="s">
        <v>1533</v>
      </c>
      <c r="B300" s="15" t="s">
        <v>40</v>
      </c>
      <c r="C300" s="16">
        <v>1</v>
      </c>
      <c r="D300" s="16" t="s">
        <v>1354</v>
      </c>
      <c r="E300" s="17" t="s">
        <v>42</v>
      </c>
      <c r="F300" s="18" t="s">
        <v>122</v>
      </c>
      <c r="G300" s="18" t="s">
        <v>1355</v>
      </c>
      <c r="H300" s="16" t="s">
        <v>192</v>
      </c>
      <c r="I300" s="19" t="s">
        <v>3</v>
      </c>
      <c r="J300" s="16" t="s">
        <v>12</v>
      </c>
      <c r="K300" s="20" t="s">
        <v>405</v>
      </c>
      <c r="L300" s="20" t="s">
        <v>1357</v>
      </c>
      <c r="M300" s="16" t="s">
        <v>1358</v>
      </c>
      <c r="N300" s="16">
        <v>0</v>
      </c>
      <c r="O300" s="16" t="s">
        <v>50</v>
      </c>
      <c r="P300" s="20">
        <v>17</v>
      </c>
      <c r="Q300" s="20" t="s">
        <v>119</v>
      </c>
      <c r="R300" s="21" t="s">
        <v>129</v>
      </c>
      <c r="S300" s="22" t="s">
        <v>130</v>
      </c>
      <c r="T300" s="22" t="s">
        <v>157</v>
      </c>
      <c r="U300" s="23" t="s">
        <v>164</v>
      </c>
      <c r="V300" s="24">
        <v>0.8</v>
      </c>
      <c r="W300" s="25">
        <v>1092</v>
      </c>
      <c r="X300" s="26">
        <v>1</v>
      </c>
      <c r="Y300" s="27">
        <v>6.38</v>
      </c>
      <c r="Z300" s="23">
        <v>9</v>
      </c>
      <c r="AA300" s="28">
        <v>0.7088888888888889</v>
      </c>
      <c r="AB300" s="24">
        <v>0</v>
      </c>
      <c r="AC300" s="29">
        <v>0</v>
      </c>
      <c r="AD300" s="30">
        <v>43564</v>
      </c>
      <c r="AE300" s="30">
        <v>43564</v>
      </c>
      <c r="AF300" s="23">
        <v>0</v>
      </c>
      <c r="AG300" s="25" t="s">
        <v>56</v>
      </c>
      <c r="AH300" s="24">
        <v>0</v>
      </c>
      <c r="AI300" s="31">
        <v>0</v>
      </c>
      <c r="AJ300" s="31">
        <v>0</v>
      </c>
      <c r="AK300" s="44">
        <f t="shared" si="8"/>
        <v>1092</v>
      </c>
      <c r="AL300">
        <f>VLOOKUP(A300,'[1]prueba con 16mil datos'!$A$1:$AE$804,31,FALSE)</f>
        <v>1651.65</v>
      </c>
      <c r="AM300">
        <f t="shared" si="9"/>
        <v>0</v>
      </c>
      <c r="AO300">
        <f>VLOOKUP(A300,'[1]Prueba con 19mil datos'!$B$1:$AF$1228,31,FALSE)</f>
        <v>1651.65</v>
      </c>
    </row>
    <row r="301" spans="1:41" hidden="1" x14ac:dyDescent="0.25">
      <c r="A301" s="16" t="s">
        <v>1875</v>
      </c>
      <c r="B301" s="15" t="s">
        <v>40</v>
      </c>
      <c r="C301" s="16">
        <v>1</v>
      </c>
      <c r="D301" s="16" t="s">
        <v>1428</v>
      </c>
      <c r="E301" s="17" t="s">
        <v>42</v>
      </c>
      <c r="F301" s="18" t="s">
        <v>1429</v>
      </c>
      <c r="G301" s="18" t="s">
        <v>1430</v>
      </c>
      <c r="H301" s="16" t="s">
        <v>317</v>
      </c>
      <c r="I301" s="19" t="s">
        <v>3</v>
      </c>
      <c r="J301" s="16" t="s">
        <v>12</v>
      </c>
      <c r="K301" s="20" t="s">
        <v>1432</v>
      </c>
      <c r="L301" s="20" t="s">
        <v>1433</v>
      </c>
      <c r="M301" s="16" t="s">
        <v>105</v>
      </c>
      <c r="N301" s="16">
        <v>0</v>
      </c>
      <c r="O301" s="16" t="s">
        <v>50</v>
      </c>
      <c r="P301" s="20">
        <v>171</v>
      </c>
      <c r="Q301" s="20" t="s">
        <v>51</v>
      </c>
      <c r="R301" s="21" t="s">
        <v>225</v>
      </c>
      <c r="S301" s="22" t="s">
        <v>130</v>
      </c>
      <c r="T301" s="22" t="s">
        <v>54</v>
      </c>
      <c r="U301" s="23" t="s">
        <v>226</v>
      </c>
      <c r="V301" s="24">
        <v>1.1000000000000001</v>
      </c>
      <c r="W301" s="25">
        <v>1501.5000000000002</v>
      </c>
      <c r="X301" s="26">
        <v>1</v>
      </c>
      <c r="Y301" s="27">
        <v>1.1299999999999999</v>
      </c>
      <c r="Z301" s="23">
        <v>5</v>
      </c>
      <c r="AA301" s="28">
        <v>0.22599999999999998</v>
      </c>
      <c r="AB301" s="24">
        <v>0</v>
      </c>
      <c r="AC301" s="29">
        <v>0</v>
      </c>
      <c r="AD301" s="30">
        <v>43564</v>
      </c>
      <c r="AE301" s="30">
        <v>43564</v>
      </c>
      <c r="AF301" s="23">
        <v>0</v>
      </c>
      <c r="AG301" s="25" t="s">
        <v>56</v>
      </c>
      <c r="AH301" s="24">
        <v>0</v>
      </c>
      <c r="AI301" s="31">
        <v>0</v>
      </c>
      <c r="AJ301" s="31">
        <v>0</v>
      </c>
      <c r="AK301" s="44">
        <f t="shared" si="8"/>
        <v>1501.5000000000002</v>
      </c>
      <c r="AL301">
        <f>VLOOKUP(A301,'[1]prueba con 16mil datos'!$A$1:$AE$804,31,FALSE)</f>
        <v>1730.3</v>
      </c>
      <c r="AM301">
        <f t="shared" si="9"/>
        <v>0</v>
      </c>
      <c r="AO301">
        <f>VLOOKUP(A301,'[1]Prueba con 19mil datos'!$B$1:$AF$1228,31,FALSE)</f>
        <v>1651.65</v>
      </c>
    </row>
    <row r="302" spans="1:41" hidden="1" x14ac:dyDescent="0.25">
      <c r="A302" s="16" t="s">
        <v>1155</v>
      </c>
      <c r="B302" s="15" t="s">
        <v>40</v>
      </c>
      <c r="C302" s="16">
        <v>1</v>
      </c>
      <c r="D302" s="16" t="s">
        <v>1313</v>
      </c>
      <c r="E302" s="17" t="s">
        <v>42</v>
      </c>
      <c r="F302" s="18" t="s">
        <v>745</v>
      </c>
      <c r="G302" s="18" t="s">
        <v>1314</v>
      </c>
      <c r="H302" s="16" t="s">
        <v>143</v>
      </c>
      <c r="I302" s="19" t="s">
        <v>3</v>
      </c>
      <c r="J302" s="16" t="s">
        <v>12</v>
      </c>
      <c r="K302" s="20" t="s">
        <v>126</v>
      </c>
      <c r="L302" s="20" t="s">
        <v>366</v>
      </c>
      <c r="M302" s="16" t="s">
        <v>367</v>
      </c>
      <c r="N302" s="16">
        <v>0</v>
      </c>
      <c r="O302" s="16" t="s">
        <v>50</v>
      </c>
      <c r="P302" s="20">
        <v>18</v>
      </c>
      <c r="Q302" s="20" t="s">
        <v>119</v>
      </c>
      <c r="R302" s="21" t="s">
        <v>287</v>
      </c>
      <c r="S302" s="22" t="s">
        <v>288</v>
      </c>
      <c r="T302" s="22" t="s">
        <v>54</v>
      </c>
      <c r="U302" s="23" t="s">
        <v>269</v>
      </c>
      <c r="V302" s="24">
        <v>1.05</v>
      </c>
      <c r="W302" s="25">
        <v>1651.6500000000003</v>
      </c>
      <c r="X302" s="26">
        <v>1</v>
      </c>
      <c r="Y302" s="27">
        <v>2.2200000000000002</v>
      </c>
      <c r="Z302" s="23">
        <v>4</v>
      </c>
      <c r="AA302" s="28">
        <v>0.55500000000000005</v>
      </c>
      <c r="AB302" s="24">
        <v>0</v>
      </c>
      <c r="AC302" s="29">
        <v>0</v>
      </c>
      <c r="AD302" s="30">
        <v>43564</v>
      </c>
      <c r="AE302" s="30">
        <v>43564</v>
      </c>
      <c r="AF302" s="23">
        <v>0</v>
      </c>
      <c r="AG302" s="25" t="s">
        <v>56</v>
      </c>
      <c r="AH302" s="24">
        <v>0</v>
      </c>
      <c r="AI302" s="31">
        <v>0</v>
      </c>
      <c r="AJ302" s="31">
        <v>0</v>
      </c>
      <c r="AK302" s="44">
        <f t="shared" si="8"/>
        <v>1651.6500000000003</v>
      </c>
      <c r="AL302">
        <f>VLOOKUP(A302,'[1]prueba con 16mil datos'!$A$1:$AE$804,31,FALSE)</f>
        <v>1573</v>
      </c>
      <c r="AM302">
        <f t="shared" si="9"/>
        <v>0</v>
      </c>
      <c r="AO302">
        <f>VLOOKUP(A302,'[1]Prueba con 19mil datos'!$B$1:$AF$1228,31,FALSE)</f>
        <v>1573</v>
      </c>
    </row>
    <row r="303" spans="1:41" hidden="1" x14ac:dyDescent="0.25">
      <c r="A303" s="16" t="s">
        <v>2958</v>
      </c>
      <c r="B303" s="15" t="s">
        <v>40</v>
      </c>
      <c r="C303" s="16">
        <v>1</v>
      </c>
      <c r="D303" s="16" t="s">
        <v>1366</v>
      </c>
      <c r="E303" s="17" t="s">
        <v>42</v>
      </c>
      <c r="F303" s="18" t="s">
        <v>298</v>
      </c>
      <c r="G303" s="18" t="s">
        <v>1367</v>
      </c>
      <c r="H303" s="16" t="s">
        <v>301</v>
      </c>
      <c r="I303" s="19" t="s">
        <v>3</v>
      </c>
      <c r="J303" s="16" t="s">
        <v>12</v>
      </c>
      <c r="K303" s="20" t="s">
        <v>265</v>
      </c>
      <c r="L303" s="20" t="s">
        <v>302</v>
      </c>
      <c r="M303" s="16" t="s">
        <v>267</v>
      </c>
      <c r="N303" s="16">
        <v>0</v>
      </c>
      <c r="O303" s="16" t="s">
        <v>50</v>
      </c>
      <c r="P303" s="20">
        <v>7</v>
      </c>
      <c r="Q303" s="20" t="s">
        <v>65</v>
      </c>
      <c r="R303" s="21" t="s">
        <v>303</v>
      </c>
      <c r="S303" s="22" t="s">
        <v>130</v>
      </c>
      <c r="T303" s="22" t="s">
        <v>54</v>
      </c>
      <c r="U303" s="23" t="s">
        <v>131</v>
      </c>
      <c r="V303" s="24">
        <v>0.6</v>
      </c>
      <c r="W303" s="25">
        <v>819</v>
      </c>
      <c r="X303" s="26">
        <v>1</v>
      </c>
      <c r="Y303" s="27">
        <v>1.05</v>
      </c>
      <c r="Z303" s="23">
        <v>5</v>
      </c>
      <c r="AA303" s="28">
        <v>0.21000000000000002</v>
      </c>
      <c r="AB303" s="24">
        <v>0</v>
      </c>
      <c r="AC303" s="29">
        <v>0</v>
      </c>
      <c r="AD303" s="30">
        <v>43564</v>
      </c>
      <c r="AE303" s="30">
        <v>43564</v>
      </c>
      <c r="AF303" s="23">
        <v>0</v>
      </c>
      <c r="AG303" s="25" t="s">
        <v>56</v>
      </c>
      <c r="AH303" s="24">
        <v>0</v>
      </c>
      <c r="AI303" s="31">
        <v>0</v>
      </c>
      <c r="AJ303" s="31">
        <v>0</v>
      </c>
      <c r="AK303" s="44">
        <f t="shared" si="8"/>
        <v>819</v>
      </c>
      <c r="AL303">
        <f>VLOOKUP(A303,'[1]prueba con 16mil datos'!$A$1:$AE$804,31,FALSE)</f>
        <v>1573</v>
      </c>
      <c r="AM303">
        <f t="shared" si="9"/>
        <v>0</v>
      </c>
      <c r="AO303">
        <f>VLOOKUP(A303,'[1]Prueba con 19mil datos'!$B$1:$AF$1228,31,FALSE)</f>
        <v>1573</v>
      </c>
    </row>
    <row r="304" spans="1:41" hidden="1" x14ac:dyDescent="0.25">
      <c r="A304" s="16" t="s">
        <v>2035</v>
      </c>
      <c r="B304" s="15" t="s">
        <v>40</v>
      </c>
      <c r="C304" s="16">
        <v>1</v>
      </c>
      <c r="D304" s="16" t="s">
        <v>1444</v>
      </c>
      <c r="E304" s="17" t="s">
        <v>42</v>
      </c>
      <c r="F304" s="18" t="s">
        <v>298</v>
      </c>
      <c r="G304" s="18" t="s">
        <v>1445</v>
      </c>
      <c r="H304" s="16" t="s">
        <v>301</v>
      </c>
      <c r="I304" s="19" t="s">
        <v>3</v>
      </c>
      <c r="J304" s="16" t="s">
        <v>12</v>
      </c>
      <c r="K304" s="20" t="s">
        <v>265</v>
      </c>
      <c r="L304" s="20" t="s">
        <v>1447</v>
      </c>
      <c r="M304" s="16" t="s">
        <v>267</v>
      </c>
      <c r="N304" s="16">
        <v>0</v>
      </c>
      <c r="O304" s="16" t="s">
        <v>50</v>
      </c>
      <c r="P304" s="20">
        <v>29</v>
      </c>
      <c r="Q304" s="20" t="s">
        <v>119</v>
      </c>
      <c r="R304" s="21" t="s">
        <v>303</v>
      </c>
      <c r="S304" s="22" t="s">
        <v>130</v>
      </c>
      <c r="T304" s="22" t="s">
        <v>54</v>
      </c>
      <c r="U304" s="23" t="s">
        <v>164</v>
      </c>
      <c r="V304" s="24">
        <v>0.8</v>
      </c>
      <c r="W304" s="25">
        <v>1092</v>
      </c>
      <c r="X304" s="26">
        <v>1</v>
      </c>
      <c r="Y304" s="27">
        <v>0.35</v>
      </c>
      <c r="Z304" s="23">
        <v>5</v>
      </c>
      <c r="AA304" s="28">
        <v>6.9999999999999993E-2</v>
      </c>
      <c r="AB304" s="24">
        <v>0</v>
      </c>
      <c r="AC304" s="29">
        <v>0</v>
      </c>
      <c r="AD304" s="30">
        <v>43564</v>
      </c>
      <c r="AE304" s="30">
        <v>43564</v>
      </c>
      <c r="AF304" s="23">
        <v>0</v>
      </c>
      <c r="AG304" s="25" t="s">
        <v>56</v>
      </c>
      <c r="AH304" s="24">
        <v>0</v>
      </c>
      <c r="AI304" s="31">
        <v>0</v>
      </c>
      <c r="AJ304" s="31">
        <v>0</v>
      </c>
      <c r="AK304" s="44">
        <f t="shared" si="8"/>
        <v>1092</v>
      </c>
      <c r="AL304">
        <f>VLOOKUP(A304,'[1]prueba con 16mil datos'!$A$1:$AE$804,31,FALSE)</f>
        <v>1730.3</v>
      </c>
      <c r="AM304">
        <f t="shared" si="9"/>
        <v>0</v>
      </c>
      <c r="AO304">
        <f>VLOOKUP(A304,'[1]Prueba con 19mil datos'!$B$1:$AF$1228,31,FALSE)</f>
        <v>1730.3</v>
      </c>
    </row>
    <row r="305" spans="1:44" hidden="1" x14ac:dyDescent="0.25">
      <c r="A305" s="16" t="s">
        <v>2800</v>
      </c>
      <c r="B305" s="15" t="s">
        <v>40</v>
      </c>
      <c r="C305" s="16">
        <v>1</v>
      </c>
      <c r="D305" s="16" t="s">
        <v>1513</v>
      </c>
      <c r="E305" s="17" t="s">
        <v>42</v>
      </c>
      <c r="F305" s="18" t="s">
        <v>501</v>
      </c>
      <c r="G305" s="18" t="s">
        <v>1514</v>
      </c>
      <c r="H305" s="16" t="s">
        <v>213</v>
      </c>
      <c r="I305" s="19" t="s">
        <v>3</v>
      </c>
      <c r="J305" s="16" t="s">
        <v>12</v>
      </c>
      <c r="K305" s="20" t="s">
        <v>126</v>
      </c>
      <c r="L305" s="20" t="s">
        <v>1516</v>
      </c>
      <c r="M305" s="16" t="s">
        <v>216</v>
      </c>
      <c r="N305" s="16">
        <v>0</v>
      </c>
      <c r="O305" s="16" t="s">
        <v>50</v>
      </c>
      <c r="P305" s="20">
        <v>142</v>
      </c>
      <c r="Q305" s="20" t="s">
        <v>51</v>
      </c>
      <c r="R305" s="21" t="s">
        <v>129</v>
      </c>
      <c r="S305" s="22" t="s">
        <v>130</v>
      </c>
      <c r="T305" s="22" t="s">
        <v>54</v>
      </c>
      <c r="U305" s="23" t="s">
        <v>226</v>
      </c>
      <c r="V305" s="24">
        <v>1.1000000000000001</v>
      </c>
      <c r="W305" s="25">
        <v>1501.5000000000002</v>
      </c>
      <c r="X305" s="26">
        <v>1</v>
      </c>
      <c r="Y305" s="27">
        <v>0.17</v>
      </c>
      <c r="Z305" s="23">
        <v>5</v>
      </c>
      <c r="AA305" s="28">
        <v>3.4000000000000002E-2</v>
      </c>
      <c r="AB305" s="24">
        <v>0</v>
      </c>
      <c r="AC305" s="29">
        <v>0</v>
      </c>
      <c r="AD305" s="30">
        <v>43564</v>
      </c>
      <c r="AE305" s="30">
        <v>43565</v>
      </c>
      <c r="AF305" s="23">
        <v>1</v>
      </c>
      <c r="AG305" s="25" t="s">
        <v>56</v>
      </c>
      <c r="AH305" s="24">
        <v>0</v>
      </c>
      <c r="AI305" s="31">
        <v>0</v>
      </c>
      <c r="AJ305" s="31">
        <v>0</v>
      </c>
      <c r="AK305" s="44">
        <f t="shared" si="8"/>
        <v>1501.5000000000002</v>
      </c>
      <c r="AL305">
        <f>VLOOKUP(A305,'[1]prueba con 16mil datos'!$A$1:$AE$804,31,FALSE)</f>
        <v>1730.3</v>
      </c>
      <c r="AM305">
        <f t="shared" si="9"/>
        <v>0</v>
      </c>
      <c r="AO305">
        <f>VLOOKUP(A305,'[1]Prueba con 19mil datos'!$B$1:$AF$1228,31,FALSE)</f>
        <v>1730.3</v>
      </c>
    </row>
    <row r="306" spans="1:44" hidden="1" x14ac:dyDescent="0.25">
      <c r="A306" s="16" t="s">
        <v>242</v>
      </c>
      <c r="B306" s="15" t="s">
        <v>40</v>
      </c>
      <c r="C306" s="16">
        <v>1</v>
      </c>
      <c r="D306" s="16" t="s">
        <v>1408</v>
      </c>
      <c r="E306" s="17" t="s">
        <v>42</v>
      </c>
      <c r="F306" s="18" t="s">
        <v>759</v>
      </c>
      <c r="G306" s="18" t="s">
        <v>1409</v>
      </c>
      <c r="H306" s="16" t="s">
        <v>264</v>
      </c>
      <c r="I306" s="19" t="s">
        <v>3</v>
      </c>
      <c r="J306" s="16" t="s">
        <v>12</v>
      </c>
      <c r="K306" s="20" t="s">
        <v>378</v>
      </c>
      <c r="L306" s="20" t="s">
        <v>711</v>
      </c>
      <c r="M306" s="16" t="s">
        <v>267</v>
      </c>
      <c r="N306" s="16">
        <v>0</v>
      </c>
      <c r="O306" s="16" t="s">
        <v>50</v>
      </c>
      <c r="P306" s="20">
        <v>294</v>
      </c>
      <c r="Q306" s="20" t="s">
        <v>51</v>
      </c>
      <c r="R306" s="21" t="s">
        <v>87</v>
      </c>
      <c r="S306" s="22" t="s">
        <v>53</v>
      </c>
      <c r="T306" s="22" t="s">
        <v>54</v>
      </c>
      <c r="U306" s="23" t="s">
        <v>55</v>
      </c>
      <c r="V306" s="24">
        <v>1.05</v>
      </c>
      <c r="W306" s="25">
        <v>750.75000000000011</v>
      </c>
      <c r="X306" s="26">
        <v>1</v>
      </c>
      <c r="Y306" s="27">
        <v>0</v>
      </c>
      <c r="Z306" s="23">
        <v>5</v>
      </c>
      <c r="AA306" s="28">
        <v>0</v>
      </c>
      <c r="AB306" s="24">
        <v>0</v>
      </c>
      <c r="AC306" s="29">
        <v>0</v>
      </c>
      <c r="AD306" s="30">
        <v>43564</v>
      </c>
      <c r="AE306" s="30">
        <v>43564</v>
      </c>
      <c r="AF306" s="23">
        <v>0</v>
      </c>
      <c r="AG306" s="25" t="s">
        <v>56</v>
      </c>
      <c r="AH306" s="24">
        <v>0</v>
      </c>
      <c r="AI306" s="31">
        <v>0</v>
      </c>
      <c r="AJ306" s="31">
        <v>0</v>
      </c>
      <c r="AK306" s="44">
        <f t="shared" si="8"/>
        <v>750.75000000000011</v>
      </c>
      <c r="AL306">
        <f>VLOOKUP(A306,'[1]prueba con 16mil datos'!$A$1:$AE$804,31,FALSE)</f>
        <v>107.25</v>
      </c>
      <c r="AM306">
        <f t="shared" si="9"/>
        <v>0</v>
      </c>
      <c r="AO306">
        <f>VLOOKUP(A306,'[1]Prueba con 19mil datos'!$B$1:$AF$1228,31,FALSE)</f>
        <v>0</v>
      </c>
    </row>
    <row r="307" spans="1:44" hidden="1" x14ac:dyDescent="0.25">
      <c r="A307" s="16" t="s">
        <v>242</v>
      </c>
      <c r="B307" s="15" t="s">
        <v>40</v>
      </c>
      <c r="C307" s="16">
        <v>1</v>
      </c>
      <c r="D307" s="16" t="s">
        <v>1362</v>
      </c>
      <c r="E307" s="17" t="s">
        <v>42</v>
      </c>
      <c r="F307" s="18" t="s">
        <v>271</v>
      </c>
      <c r="G307" s="18" t="s">
        <v>1363</v>
      </c>
      <c r="H307" s="16" t="s">
        <v>109</v>
      </c>
      <c r="I307" s="19" t="s">
        <v>3</v>
      </c>
      <c r="J307" s="16" t="s">
        <v>12</v>
      </c>
      <c r="K307" s="20" t="s">
        <v>126</v>
      </c>
      <c r="L307" s="20" t="s">
        <v>1365</v>
      </c>
      <c r="M307" s="16" t="s">
        <v>200</v>
      </c>
      <c r="N307" s="16">
        <v>0</v>
      </c>
      <c r="O307" s="16" t="s">
        <v>50</v>
      </c>
      <c r="P307" s="20">
        <v>38</v>
      </c>
      <c r="Q307" s="20" t="s">
        <v>86</v>
      </c>
      <c r="R307" s="21" t="s">
        <v>186</v>
      </c>
      <c r="S307" s="22" t="s">
        <v>187</v>
      </c>
      <c r="T307" s="22" t="s">
        <v>54</v>
      </c>
      <c r="U307" s="23" t="s">
        <v>188</v>
      </c>
      <c r="V307" s="24">
        <v>1.1000000000000001</v>
      </c>
      <c r="W307" s="25">
        <v>1730.3000000000004</v>
      </c>
      <c r="X307" s="26">
        <v>1</v>
      </c>
      <c r="Y307" s="27">
        <v>1.88</v>
      </c>
      <c r="Z307" s="23">
        <v>4</v>
      </c>
      <c r="AA307" s="28">
        <v>0.47</v>
      </c>
      <c r="AB307" s="24">
        <v>0</v>
      </c>
      <c r="AC307" s="29">
        <v>0</v>
      </c>
      <c r="AD307" s="30">
        <v>43564</v>
      </c>
      <c r="AE307" s="30">
        <v>43564</v>
      </c>
      <c r="AF307" s="23">
        <v>0</v>
      </c>
      <c r="AG307" s="25" t="s">
        <v>56</v>
      </c>
      <c r="AH307" s="24">
        <v>0</v>
      </c>
      <c r="AI307" s="31">
        <v>0</v>
      </c>
      <c r="AJ307" s="31">
        <v>0</v>
      </c>
      <c r="AK307" s="44">
        <f t="shared" si="8"/>
        <v>1730.3000000000004</v>
      </c>
      <c r="AL307">
        <f>VLOOKUP(A307,'[1]prueba con 16mil datos'!$A$1:$AE$804,31,FALSE)</f>
        <v>107.25</v>
      </c>
      <c r="AM307">
        <f t="shared" si="9"/>
        <v>0</v>
      </c>
      <c r="AO307">
        <f>VLOOKUP(A307,'[1]Prueba con 19mil datos'!$B$1:$AF$1228,31,FALSE)</f>
        <v>0</v>
      </c>
    </row>
    <row r="308" spans="1:44" hidden="1" x14ac:dyDescent="0.25">
      <c r="A308" s="16" t="s">
        <v>1145</v>
      </c>
      <c r="B308" s="15" t="s">
        <v>40</v>
      </c>
      <c r="C308" s="16">
        <v>1</v>
      </c>
      <c r="D308" s="16" t="s">
        <v>1424</v>
      </c>
      <c r="E308" s="17" t="s">
        <v>42</v>
      </c>
      <c r="F308" s="18" t="s">
        <v>271</v>
      </c>
      <c r="G308" s="18" t="s">
        <v>1425</v>
      </c>
      <c r="H308" s="16" t="s">
        <v>192</v>
      </c>
      <c r="I308" s="19" t="s">
        <v>3</v>
      </c>
      <c r="J308" s="16" t="s">
        <v>12</v>
      </c>
      <c r="K308" s="20" t="s">
        <v>126</v>
      </c>
      <c r="L308" s="20" t="s">
        <v>1427</v>
      </c>
      <c r="M308" s="16" t="s">
        <v>64</v>
      </c>
      <c r="N308" s="16">
        <v>0</v>
      </c>
      <c r="O308" s="16" t="s">
        <v>50</v>
      </c>
      <c r="P308" s="20">
        <v>50</v>
      </c>
      <c r="Q308" s="20" t="s">
        <v>86</v>
      </c>
      <c r="R308" s="21" t="s">
        <v>186</v>
      </c>
      <c r="S308" s="22" t="s">
        <v>187</v>
      </c>
      <c r="T308" s="22" t="s">
        <v>54</v>
      </c>
      <c r="U308" s="23" t="s">
        <v>188</v>
      </c>
      <c r="V308" s="24">
        <v>1.1000000000000001</v>
      </c>
      <c r="W308" s="25">
        <v>1730.3000000000004</v>
      </c>
      <c r="X308" s="26">
        <v>1</v>
      </c>
      <c r="Y308" s="27">
        <v>2.02</v>
      </c>
      <c r="Z308" s="23">
        <v>4</v>
      </c>
      <c r="AA308" s="28">
        <v>0.505</v>
      </c>
      <c r="AB308" s="24">
        <v>0</v>
      </c>
      <c r="AC308" s="29">
        <v>0</v>
      </c>
      <c r="AD308" s="30">
        <v>43564</v>
      </c>
      <c r="AE308" s="30">
        <v>43564</v>
      </c>
      <c r="AF308" s="23">
        <v>0</v>
      </c>
      <c r="AG308" s="25" t="s">
        <v>56</v>
      </c>
      <c r="AH308" s="24">
        <v>0</v>
      </c>
      <c r="AI308" s="31">
        <v>0</v>
      </c>
      <c r="AJ308" s="31">
        <v>0</v>
      </c>
      <c r="AK308" s="44">
        <f t="shared" si="8"/>
        <v>1730.3000000000004</v>
      </c>
      <c r="AL308">
        <f>VLOOKUP(A308,'[1]prueba con 16mil datos'!$A$1:$AE$804,31,FALSE)</f>
        <v>321.75</v>
      </c>
      <c r="AM308">
        <f t="shared" si="9"/>
        <v>0</v>
      </c>
      <c r="AO308">
        <f>VLOOKUP(A308,'[1]Prueba con 19mil datos'!$B$1:$AF$1228,31,FALSE)</f>
        <v>0</v>
      </c>
    </row>
    <row r="309" spans="1:44" hidden="1" x14ac:dyDescent="0.25">
      <c r="A309" s="16" t="s">
        <v>1145</v>
      </c>
      <c r="B309" s="15" t="s">
        <v>40</v>
      </c>
      <c r="C309" s="16">
        <v>1</v>
      </c>
      <c r="D309" s="16" t="s">
        <v>1455</v>
      </c>
      <c r="E309" s="17" t="s">
        <v>42</v>
      </c>
      <c r="F309" s="18" t="s">
        <v>1088</v>
      </c>
      <c r="G309" s="18" t="s">
        <v>1456</v>
      </c>
      <c r="H309" s="16" t="s">
        <v>301</v>
      </c>
      <c r="I309" s="19" t="s">
        <v>3</v>
      </c>
      <c r="J309" s="16" t="s">
        <v>12</v>
      </c>
      <c r="K309" s="20" t="s">
        <v>198</v>
      </c>
      <c r="L309" s="20" t="s">
        <v>1458</v>
      </c>
      <c r="M309" s="16" t="s">
        <v>267</v>
      </c>
      <c r="N309" s="16">
        <v>0</v>
      </c>
      <c r="O309" s="16" t="s">
        <v>50</v>
      </c>
      <c r="P309" s="20">
        <v>14</v>
      </c>
      <c r="Q309" s="20" t="s">
        <v>65</v>
      </c>
      <c r="R309" s="21" t="s">
        <v>186</v>
      </c>
      <c r="S309" s="22" t="s">
        <v>187</v>
      </c>
      <c r="T309" s="22" t="s">
        <v>54</v>
      </c>
      <c r="U309" s="23" t="s">
        <v>201</v>
      </c>
      <c r="V309" s="24">
        <v>0.8</v>
      </c>
      <c r="W309" s="25">
        <v>1258.4000000000003</v>
      </c>
      <c r="X309" s="26">
        <v>1</v>
      </c>
      <c r="Y309" s="27">
        <v>1.1200000000000001</v>
      </c>
      <c r="Z309" s="23">
        <v>4</v>
      </c>
      <c r="AA309" s="28">
        <v>0.28000000000000003</v>
      </c>
      <c r="AB309" s="24">
        <v>0</v>
      </c>
      <c r="AC309" s="29">
        <v>0</v>
      </c>
      <c r="AD309" s="30">
        <v>43564</v>
      </c>
      <c r="AE309" s="30">
        <v>43565</v>
      </c>
      <c r="AF309" s="23">
        <v>1</v>
      </c>
      <c r="AG309" s="25" t="s">
        <v>56</v>
      </c>
      <c r="AH309" s="24">
        <v>0</v>
      </c>
      <c r="AI309" s="31">
        <v>0</v>
      </c>
      <c r="AJ309" s="31">
        <v>0</v>
      </c>
      <c r="AK309" s="44">
        <f t="shared" si="8"/>
        <v>1258.4000000000003</v>
      </c>
      <c r="AL309">
        <f>VLOOKUP(A309,'[1]prueba con 16mil datos'!$A$1:$AE$804,31,FALSE)</f>
        <v>321.75</v>
      </c>
      <c r="AM309">
        <f t="shared" si="9"/>
        <v>0</v>
      </c>
      <c r="AO309">
        <f>VLOOKUP(A309,'[1]Prueba con 19mil datos'!$B$1:$AF$1228,31,FALSE)</f>
        <v>0</v>
      </c>
    </row>
    <row r="310" spans="1:44" x14ac:dyDescent="0.25">
      <c r="A310" s="16" t="s">
        <v>2413</v>
      </c>
      <c r="B310" s="15" t="s">
        <v>40</v>
      </c>
      <c r="C310" s="16">
        <v>1</v>
      </c>
      <c r="D310" s="16" t="s">
        <v>1438</v>
      </c>
      <c r="E310" s="17" t="s">
        <v>42</v>
      </c>
      <c r="F310" s="18" t="s">
        <v>1088</v>
      </c>
      <c r="G310" s="18" t="s">
        <v>1439</v>
      </c>
      <c r="H310" s="16" t="s">
        <v>109</v>
      </c>
      <c r="I310" s="19" t="s">
        <v>3</v>
      </c>
      <c r="J310" s="16" t="s">
        <v>12</v>
      </c>
      <c r="K310" s="20" t="s">
        <v>198</v>
      </c>
      <c r="L310" s="20" t="s">
        <v>731</v>
      </c>
      <c r="M310" s="16" t="s">
        <v>200</v>
      </c>
      <c r="N310" s="16">
        <v>0</v>
      </c>
      <c r="O310" s="16" t="s">
        <v>50</v>
      </c>
      <c r="P310" s="20">
        <v>5</v>
      </c>
      <c r="Q310" s="20" t="s">
        <v>311</v>
      </c>
      <c r="R310" s="21" t="s">
        <v>186</v>
      </c>
      <c r="S310" s="22" t="s">
        <v>187</v>
      </c>
      <c r="T310" s="22" t="s">
        <v>54</v>
      </c>
      <c r="U310" s="23" t="s">
        <v>362</v>
      </c>
      <c r="V310" s="24">
        <v>0.6</v>
      </c>
      <c r="W310" s="25">
        <v>943.80000000000007</v>
      </c>
      <c r="X310" s="26">
        <v>1</v>
      </c>
      <c r="Y310" s="27">
        <v>1.99</v>
      </c>
      <c r="Z310" s="23">
        <v>4</v>
      </c>
      <c r="AA310" s="28">
        <v>0.4975</v>
      </c>
      <c r="AB310" s="24">
        <v>0</v>
      </c>
      <c r="AC310" s="29">
        <v>0</v>
      </c>
      <c r="AD310" s="30">
        <v>43564</v>
      </c>
      <c r="AE310" s="30">
        <v>43564</v>
      </c>
      <c r="AF310" s="23">
        <v>0</v>
      </c>
      <c r="AG310" s="25" t="s">
        <v>56</v>
      </c>
      <c r="AH310" s="24">
        <v>0</v>
      </c>
      <c r="AI310" s="31">
        <v>0</v>
      </c>
      <c r="AJ310" s="31">
        <v>0</v>
      </c>
      <c r="AK310" s="44">
        <f t="shared" si="8"/>
        <v>943.80000000000007</v>
      </c>
      <c r="AL310" t="e">
        <f>VLOOKUP(A310,'[1]prueba con 16mil datos'!$A$1:$AE$804,31,FALSE)</f>
        <v>#N/A</v>
      </c>
      <c r="AM310" t="e">
        <f t="shared" si="9"/>
        <v>#N/A</v>
      </c>
      <c r="AO310" t="e">
        <f>VLOOKUP(A310,'[1]Prueba con 19mil datos'!$B$1:$AF$1228,31,FALSE)</f>
        <v>#N/A</v>
      </c>
      <c r="AP310" t="s">
        <v>3211</v>
      </c>
      <c r="AQ310" s="48">
        <v>43577.560416666704</v>
      </c>
      <c r="AR310" t="s">
        <v>3210</v>
      </c>
    </row>
    <row r="311" spans="1:44" hidden="1" x14ac:dyDescent="0.25">
      <c r="A311" s="16" t="s">
        <v>945</v>
      </c>
      <c r="B311" s="15" t="s">
        <v>40</v>
      </c>
      <c r="C311" s="16">
        <v>1</v>
      </c>
      <c r="D311" s="16" t="s">
        <v>1387</v>
      </c>
      <c r="E311" s="17" t="s">
        <v>42</v>
      </c>
      <c r="F311" s="18" t="s">
        <v>140</v>
      </c>
      <c r="G311" s="18" t="s">
        <v>1388</v>
      </c>
      <c r="H311" s="16" t="s">
        <v>346</v>
      </c>
      <c r="I311" s="19" t="s">
        <v>3</v>
      </c>
      <c r="J311" s="16" t="s">
        <v>12</v>
      </c>
      <c r="K311" s="20" t="s">
        <v>144</v>
      </c>
      <c r="L311" s="20" t="s">
        <v>145</v>
      </c>
      <c r="M311" s="16" t="s">
        <v>146</v>
      </c>
      <c r="N311" s="16">
        <v>0</v>
      </c>
      <c r="O311" s="16" t="s">
        <v>50</v>
      </c>
      <c r="P311" s="20">
        <v>18</v>
      </c>
      <c r="Q311" s="20" t="s">
        <v>119</v>
      </c>
      <c r="R311" s="21" t="s">
        <v>148</v>
      </c>
      <c r="S311" s="22" t="s">
        <v>130</v>
      </c>
      <c r="T311" s="22" t="s">
        <v>54</v>
      </c>
      <c r="U311" s="23" t="s">
        <v>164</v>
      </c>
      <c r="V311" s="24">
        <v>0.8</v>
      </c>
      <c r="W311" s="25">
        <v>1092</v>
      </c>
      <c r="X311" s="26">
        <v>1</v>
      </c>
      <c r="Y311" s="27">
        <v>1.87</v>
      </c>
      <c r="Z311" s="23">
        <v>5</v>
      </c>
      <c r="AA311" s="28">
        <v>0.374</v>
      </c>
      <c r="AB311" s="24">
        <v>0</v>
      </c>
      <c r="AC311" s="29">
        <v>0</v>
      </c>
      <c r="AD311" s="30">
        <v>43564</v>
      </c>
      <c r="AE311" s="30">
        <v>43564</v>
      </c>
      <c r="AF311" s="23">
        <v>0</v>
      </c>
      <c r="AG311" s="25" t="s">
        <v>56</v>
      </c>
      <c r="AH311" s="24">
        <v>0</v>
      </c>
      <c r="AI311" s="31">
        <v>0</v>
      </c>
      <c r="AJ311" s="31">
        <v>0</v>
      </c>
      <c r="AK311" s="44">
        <f t="shared" si="8"/>
        <v>1092</v>
      </c>
      <c r="AL311">
        <f>VLOOKUP(A311,'[1]prueba con 16mil datos'!$A$1:$AE$804,31,FALSE)</f>
        <v>750.75</v>
      </c>
      <c r="AM311">
        <f t="shared" si="9"/>
        <v>0</v>
      </c>
      <c r="AO311">
        <f>VLOOKUP(A311,'[1]Prueba con 19mil datos'!$B$1:$AF$1228,31,FALSE)</f>
        <v>750.75</v>
      </c>
    </row>
    <row r="312" spans="1:44" hidden="1" x14ac:dyDescent="0.25">
      <c r="A312" s="16" t="s">
        <v>945</v>
      </c>
      <c r="B312" s="15" t="s">
        <v>40</v>
      </c>
      <c r="C312" s="16">
        <v>1</v>
      </c>
      <c r="D312" s="16" t="s">
        <v>1393</v>
      </c>
      <c r="E312" s="17" t="s">
        <v>42</v>
      </c>
      <c r="F312" s="18" t="s">
        <v>1394</v>
      </c>
      <c r="G312" s="18" t="s">
        <v>1395</v>
      </c>
      <c r="H312" s="16" t="s">
        <v>115</v>
      </c>
      <c r="I312" s="19" t="s">
        <v>3</v>
      </c>
      <c r="J312" s="16" t="s">
        <v>12</v>
      </c>
      <c r="K312" s="20" t="s">
        <v>441</v>
      </c>
      <c r="L312" s="20" t="s">
        <v>1397</v>
      </c>
      <c r="M312" s="16" t="s">
        <v>485</v>
      </c>
      <c r="N312" s="16">
        <v>0</v>
      </c>
      <c r="O312" s="16" t="s">
        <v>50</v>
      </c>
      <c r="P312" s="20">
        <v>147</v>
      </c>
      <c r="Q312" s="20" t="s">
        <v>51</v>
      </c>
      <c r="R312" s="21" t="s">
        <v>225</v>
      </c>
      <c r="S312" s="22" t="s">
        <v>130</v>
      </c>
      <c r="T312" s="22" t="s">
        <v>157</v>
      </c>
      <c r="U312" s="23" t="s">
        <v>226</v>
      </c>
      <c r="V312" s="24">
        <v>1.1000000000000001</v>
      </c>
      <c r="W312" s="25">
        <v>1501.5000000000002</v>
      </c>
      <c r="X312" s="26">
        <v>1</v>
      </c>
      <c r="Y312" s="27">
        <v>4.1399999999999997</v>
      </c>
      <c r="Z312" s="23">
        <v>9</v>
      </c>
      <c r="AA312" s="28">
        <v>0.45999999999999996</v>
      </c>
      <c r="AB312" s="24">
        <v>0</v>
      </c>
      <c r="AC312" s="29">
        <v>0</v>
      </c>
      <c r="AD312" s="30">
        <v>43564</v>
      </c>
      <c r="AE312" s="30">
        <v>43564</v>
      </c>
      <c r="AF312" s="23">
        <v>0</v>
      </c>
      <c r="AG312" s="25" t="s">
        <v>56</v>
      </c>
      <c r="AH312" s="24">
        <v>0</v>
      </c>
      <c r="AI312" s="31">
        <v>0</v>
      </c>
      <c r="AJ312" s="31">
        <v>0</v>
      </c>
      <c r="AK312" s="44">
        <f t="shared" si="8"/>
        <v>1501.5000000000002</v>
      </c>
      <c r="AL312">
        <f>VLOOKUP(A312,'[1]prueba con 16mil datos'!$A$1:$AE$804,31,FALSE)</f>
        <v>750.75</v>
      </c>
      <c r="AM312">
        <f t="shared" si="9"/>
        <v>0</v>
      </c>
      <c r="AO312">
        <f>VLOOKUP(A312,'[1]Prueba con 19mil datos'!$B$1:$AF$1228,31,FALSE)</f>
        <v>750.75</v>
      </c>
    </row>
    <row r="313" spans="1:44" hidden="1" x14ac:dyDescent="0.25">
      <c r="A313" s="16" t="s">
        <v>1497</v>
      </c>
      <c r="B313" s="15" t="s">
        <v>40</v>
      </c>
      <c r="C313" s="16">
        <v>1</v>
      </c>
      <c r="D313" s="16" t="s">
        <v>1320</v>
      </c>
      <c r="E313" s="17" t="s">
        <v>42</v>
      </c>
      <c r="F313" s="18" t="s">
        <v>1321</v>
      </c>
      <c r="G313" s="18" t="s">
        <v>1322</v>
      </c>
      <c r="H313" s="16" t="s">
        <v>463</v>
      </c>
      <c r="I313" s="19" t="s">
        <v>3</v>
      </c>
      <c r="J313" s="16" t="s">
        <v>12</v>
      </c>
      <c r="K313" s="20" t="s">
        <v>1324</v>
      </c>
      <c r="L313" s="20" t="s">
        <v>1325</v>
      </c>
      <c r="M313" s="16" t="s">
        <v>1326</v>
      </c>
      <c r="N313" s="16">
        <v>0</v>
      </c>
      <c r="O313" s="16" t="s">
        <v>50</v>
      </c>
      <c r="P313" s="20">
        <v>2685</v>
      </c>
      <c r="Q313" s="20" t="s">
        <v>51</v>
      </c>
      <c r="R313" s="21" t="s">
        <v>920</v>
      </c>
      <c r="S313" s="22" t="s">
        <v>130</v>
      </c>
      <c r="T313" s="22" t="s">
        <v>157</v>
      </c>
      <c r="U313" s="23" t="s">
        <v>226</v>
      </c>
      <c r="V313" s="24">
        <v>1.1000000000000001</v>
      </c>
      <c r="W313" s="25">
        <v>1501.5000000000002</v>
      </c>
      <c r="X313" s="26">
        <v>1</v>
      </c>
      <c r="Y313" s="27">
        <v>2.87</v>
      </c>
      <c r="Z313" s="23">
        <v>9</v>
      </c>
      <c r="AA313" s="28">
        <v>0.31888888888888889</v>
      </c>
      <c r="AB313" s="24">
        <v>0</v>
      </c>
      <c r="AC313" s="29">
        <v>0</v>
      </c>
      <c r="AD313" s="30">
        <v>43564</v>
      </c>
      <c r="AE313" s="30">
        <v>43564</v>
      </c>
      <c r="AF313" s="23">
        <v>0</v>
      </c>
      <c r="AG313" s="25" t="s">
        <v>56</v>
      </c>
      <c r="AH313" s="24">
        <v>0</v>
      </c>
      <c r="AI313" s="31">
        <v>0</v>
      </c>
      <c r="AJ313" s="31">
        <v>0</v>
      </c>
      <c r="AK313" s="44">
        <f t="shared" si="8"/>
        <v>1501.5000000000002</v>
      </c>
      <c r="AL313">
        <f>VLOOKUP(A313,'[1]prueba con 16mil datos'!$A$1:$AE$804,31,FALSE)</f>
        <v>572</v>
      </c>
      <c r="AM313">
        <f t="shared" si="9"/>
        <v>0</v>
      </c>
      <c r="AO313">
        <f>VLOOKUP(A313,'[1]Prueba con 19mil datos'!$B$1:$AF$1228,31,FALSE)</f>
        <v>572</v>
      </c>
    </row>
    <row r="314" spans="1:44" hidden="1" x14ac:dyDescent="0.25">
      <c r="A314" s="16" t="s">
        <v>2130</v>
      </c>
      <c r="B314" s="15" t="s">
        <v>40</v>
      </c>
      <c r="C314" s="16">
        <v>1</v>
      </c>
      <c r="D314" s="16" t="s">
        <v>1414</v>
      </c>
      <c r="E314" s="17" t="s">
        <v>42</v>
      </c>
      <c r="F314" s="18" t="s">
        <v>1415</v>
      </c>
      <c r="G314" s="18" t="s">
        <v>1416</v>
      </c>
      <c r="H314" s="16" t="s">
        <v>284</v>
      </c>
      <c r="I314" s="19" t="s">
        <v>3</v>
      </c>
      <c r="J314" s="16" t="s">
        <v>12</v>
      </c>
      <c r="K314" s="20" t="s">
        <v>936</v>
      </c>
      <c r="L314" s="20" t="s">
        <v>786</v>
      </c>
      <c r="M314" s="16" t="s">
        <v>105</v>
      </c>
      <c r="N314" s="16">
        <v>1</v>
      </c>
      <c r="O314" s="16" t="s">
        <v>50</v>
      </c>
      <c r="P314" s="20">
        <v>139</v>
      </c>
      <c r="Q314" s="20" t="s">
        <v>51</v>
      </c>
      <c r="R314" s="21" t="s">
        <v>77</v>
      </c>
      <c r="S314" s="22" t="s">
        <v>53</v>
      </c>
      <c r="T314" s="22" t="s">
        <v>54</v>
      </c>
      <c r="U314" s="23" t="s">
        <v>55</v>
      </c>
      <c r="V314" s="24">
        <v>1.05</v>
      </c>
      <c r="W314" s="25">
        <v>0</v>
      </c>
      <c r="X314" s="26">
        <v>1</v>
      </c>
      <c r="Y314" s="27">
        <v>0.13</v>
      </c>
      <c r="Z314" s="23">
        <v>5</v>
      </c>
      <c r="AA314" s="28">
        <v>2.6000000000000002E-2</v>
      </c>
      <c r="AB314" s="24">
        <v>0</v>
      </c>
      <c r="AC314" s="29">
        <v>0</v>
      </c>
      <c r="AD314" s="30">
        <v>43564</v>
      </c>
      <c r="AE314" s="30">
        <v>43564</v>
      </c>
      <c r="AF314" s="23">
        <v>0</v>
      </c>
      <c r="AG314" s="25" t="s">
        <v>56</v>
      </c>
      <c r="AH314" s="24">
        <v>0</v>
      </c>
      <c r="AI314" s="31">
        <v>0</v>
      </c>
      <c r="AJ314" s="31">
        <v>0</v>
      </c>
      <c r="AK314" s="44">
        <f t="shared" si="8"/>
        <v>0</v>
      </c>
      <c r="AL314">
        <f>VLOOKUP(A314,'[1]prueba con 16mil datos'!$A$1:$AE$804,31,FALSE)</f>
        <v>750.75</v>
      </c>
      <c r="AM314">
        <f t="shared" si="9"/>
        <v>0</v>
      </c>
      <c r="AO314">
        <f>VLOOKUP(A314,'[1]Prueba con 19mil datos'!$B$1:$AF$1228,31,FALSE)</f>
        <v>750.75</v>
      </c>
    </row>
    <row r="315" spans="1:44" hidden="1" x14ac:dyDescent="0.25">
      <c r="A315" s="16" t="s">
        <v>1468</v>
      </c>
      <c r="B315" s="15" t="s">
        <v>40</v>
      </c>
      <c r="C315" s="16">
        <v>1</v>
      </c>
      <c r="D315" s="16" t="s">
        <v>1440</v>
      </c>
      <c r="E315" s="17" t="s">
        <v>42</v>
      </c>
      <c r="F315" s="18" t="s">
        <v>1441</v>
      </c>
      <c r="G315" s="18" t="s">
        <v>1442</v>
      </c>
      <c r="H315" s="16" t="s">
        <v>331</v>
      </c>
      <c r="I315" s="19" t="s">
        <v>3</v>
      </c>
      <c r="J315" s="16" t="s">
        <v>12</v>
      </c>
      <c r="K315" s="20" t="s">
        <v>452</v>
      </c>
      <c r="L315" s="20" t="s">
        <v>453</v>
      </c>
      <c r="M315" s="16" t="s">
        <v>454</v>
      </c>
      <c r="N315" s="16">
        <v>1</v>
      </c>
      <c r="O315" s="16" t="s">
        <v>50</v>
      </c>
      <c r="P315" s="20">
        <v>15</v>
      </c>
      <c r="Q315" s="20" t="s">
        <v>65</v>
      </c>
      <c r="R315" s="21" t="s">
        <v>268</v>
      </c>
      <c r="S315" s="22" t="s">
        <v>187</v>
      </c>
      <c r="T315" s="22" t="s">
        <v>54</v>
      </c>
      <c r="U315" s="23" t="s">
        <v>201</v>
      </c>
      <c r="V315" s="24">
        <v>0.8</v>
      </c>
      <c r="W315" s="25">
        <v>0</v>
      </c>
      <c r="X315" s="26">
        <v>1</v>
      </c>
      <c r="Y315" s="27">
        <v>1.2</v>
      </c>
      <c r="Z315" s="23">
        <v>4</v>
      </c>
      <c r="AA315" s="28">
        <v>0.3</v>
      </c>
      <c r="AB315" s="24">
        <v>0</v>
      </c>
      <c r="AC315" s="29">
        <v>0</v>
      </c>
      <c r="AD315" s="30">
        <v>43564</v>
      </c>
      <c r="AE315" s="30">
        <v>43564</v>
      </c>
      <c r="AF315" s="23">
        <v>0</v>
      </c>
      <c r="AG315" s="25" t="s">
        <v>56</v>
      </c>
      <c r="AH315" s="24">
        <v>0</v>
      </c>
      <c r="AI315" s="31">
        <v>0</v>
      </c>
      <c r="AJ315" s="31">
        <v>0</v>
      </c>
      <c r="AK315" s="44">
        <f t="shared" si="8"/>
        <v>0</v>
      </c>
      <c r="AL315">
        <f>VLOOKUP(A315,'[1]prueba con 16mil datos'!$A$1:$AE$804,31,FALSE)</f>
        <v>429</v>
      </c>
      <c r="AM315">
        <f t="shared" si="9"/>
        <v>0</v>
      </c>
      <c r="AO315">
        <f>VLOOKUP(A315,'[1]Prueba con 19mil datos'!$B$1:$AF$1228,31,FALSE)</f>
        <v>429</v>
      </c>
    </row>
    <row r="316" spans="1:44" hidden="1" x14ac:dyDescent="0.25">
      <c r="A316" s="16" t="s">
        <v>3109</v>
      </c>
      <c r="B316" s="15" t="s">
        <v>40</v>
      </c>
      <c r="C316" s="16">
        <v>1</v>
      </c>
      <c r="D316" s="16" t="s">
        <v>1521</v>
      </c>
      <c r="E316" s="17" t="s">
        <v>1522</v>
      </c>
      <c r="F316" s="18" t="s">
        <v>1097</v>
      </c>
      <c r="G316" s="18" t="s">
        <v>1523</v>
      </c>
      <c r="H316" s="16" t="s">
        <v>1525</v>
      </c>
      <c r="I316" s="19" t="s">
        <v>3</v>
      </c>
      <c r="J316" s="16" t="s">
        <v>12</v>
      </c>
      <c r="K316" s="20" t="s">
        <v>1101</v>
      </c>
      <c r="L316" s="20" t="s">
        <v>1526</v>
      </c>
      <c r="M316" s="16" t="s">
        <v>1527</v>
      </c>
      <c r="N316" s="16">
        <v>1</v>
      </c>
      <c r="O316" s="16" t="s">
        <v>50</v>
      </c>
      <c r="P316" s="20" t="s">
        <v>326</v>
      </c>
      <c r="Q316" s="20" t="s">
        <v>51</v>
      </c>
      <c r="R316" s="21" t="s">
        <v>77</v>
      </c>
      <c r="S316" s="22" t="s">
        <v>53</v>
      </c>
      <c r="T316" s="22" t="s">
        <v>157</v>
      </c>
      <c r="U316" s="23" t="s">
        <v>55</v>
      </c>
      <c r="V316" s="24">
        <v>1</v>
      </c>
      <c r="W316" s="25">
        <v>0</v>
      </c>
      <c r="X316" s="26">
        <v>0</v>
      </c>
      <c r="Y316" s="27">
        <v>9</v>
      </c>
      <c r="Z316" s="23">
        <v>9</v>
      </c>
      <c r="AA316" s="28">
        <v>1</v>
      </c>
      <c r="AB316" s="24">
        <v>0</v>
      </c>
      <c r="AC316" s="29">
        <v>0</v>
      </c>
      <c r="AD316" s="30">
        <v>43564</v>
      </c>
      <c r="AE316" s="30">
        <v>43565</v>
      </c>
      <c r="AF316" s="23">
        <v>1</v>
      </c>
      <c r="AG316" s="25" t="s">
        <v>56</v>
      </c>
      <c r="AH316" s="24">
        <v>0</v>
      </c>
      <c r="AI316" s="31">
        <v>0</v>
      </c>
      <c r="AJ316" s="31">
        <v>0</v>
      </c>
      <c r="AK316" s="44">
        <f t="shared" si="8"/>
        <v>0</v>
      </c>
      <c r="AL316">
        <f>VLOOKUP(A316,'[1]prueba con 16mil datos'!$A$1:$AE$804,31,FALSE)</f>
        <v>750.75</v>
      </c>
      <c r="AM316">
        <f t="shared" si="9"/>
        <v>0</v>
      </c>
      <c r="AO316">
        <f>VLOOKUP(A316,'[1]Prueba con 19mil datos'!$B$1:$AF$1228,31,FALSE)</f>
        <v>750.75</v>
      </c>
    </row>
    <row r="317" spans="1:44" hidden="1" x14ac:dyDescent="0.25">
      <c r="A317" s="16" t="s">
        <v>1912</v>
      </c>
      <c r="B317" s="15" t="s">
        <v>40</v>
      </c>
      <c r="C317" s="16">
        <v>1</v>
      </c>
      <c r="D317" s="16" t="s">
        <v>1528</v>
      </c>
      <c r="E317" s="17" t="s">
        <v>1522</v>
      </c>
      <c r="F317" s="18" t="s">
        <v>1097</v>
      </c>
      <c r="G317" s="18" t="s">
        <v>1529</v>
      </c>
      <c r="H317" s="16" t="s">
        <v>1525</v>
      </c>
      <c r="I317" s="19" t="s">
        <v>3</v>
      </c>
      <c r="J317" s="16" t="s">
        <v>12</v>
      </c>
      <c r="K317" s="20" t="s">
        <v>1101</v>
      </c>
      <c r="L317" s="20" t="s">
        <v>1526</v>
      </c>
      <c r="M317" s="16" t="s">
        <v>1527</v>
      </c>
      <c r="N317" s="16">
        <v>1</v>
      </c>
      <c r="O317" s="16" t="s">
        <v>50</v>
      </c>
      <c r="P317" s="20" t="s">
        <v>326</v>
      </c>
      <c r="Q317" s="20" t="s">
        <v>51</v>
      </c>
      <c r="R317" s="21" t="s">
        <v>77</v>
      </c>
      <c r="S317" s="22" t="s">
        <v>53</v>
      </c>
      <c r="T317" s="22" t="s">
        <v>157</v>
      </c>
      <c r="U317" s="23" t="s">
        <v>55</v>
      </c>
      <c r="V317" s="24">
        <v>1</v>
      </c>
      <c r="W317" s="25">
        <v>0</v>
      </c>
      <c r="X317" s="26">
        <v>0</v>
      </c>
      <c r="Y317" s="27">
        <v>9</v>
      </c>
      <c r="Z317" s="23">
        <v>9</v>
      </c>
      <c r="AA317" s="28">
        <v>1</v>
      </c>
      <c r="AB317" s="24">
        <v>0</v>
      </c>
      <c r="AC317" s="29">
        <v>0</v>
      </c>
      <c r="AD317" s="30">
        <v>43564</v>
      </c>
      <c r="AE317" s="30">
        <v>43565</v>
      </c>
      <c r="AF317" s="23">
        <v>1</v>
      </c>
      <c r="AG317" s="25" t="s">
        <v>56</v>
      </c>
      <c r="AH317" s="24">
        <v>0</v>
      </c>
      <c r="AI317" s="31">
        <v>0</v>
      </c>
      <c r="AJ317" s="31">
        <v>0</v>
      </c>
      <c r="AK317" s="44">
        <f t="shared" si="8"/>
        <v>0</v>
      </c>
      <c r="AL317">
        <f>VLOOKUP(A317,'[1]prueba con 16mil datos'!$A$1:$AE$804,31,FALSE)</f>
        <v>750.75</v>
      </c>
      <c r="AM317">
        <f t="shared" si="9"/>
        <v>0</v>
      </c>
      <c r="AO317">
        <f>VLOOKUP(A317,'[1]Prueba con 19mil datos'!$B$1:$AF$1228,31,FALSE)</f>
        <v>750.75</v>
      </c>
    </row>
    <row r="318" spans="1:44" hidden="1" x14ac:dyDescent="0.25">
      <c r="A318" s="16" t="s">
        <v>1348</v>
      </c>
      <c r="B318" s="15" t="s">
        <v>40</v>
      </c>
      <c r="C318" s="16">
        <v>1</v>
      </c>
      <c r="D318" s="16" t="s">
        <v>1535</v>
      </c>
      <c r="E318" s="17" t="s">
        <v>42</v>
      </c>
      <c r="F318" s="18" t="s">
        <v>391</v>
      </c>
      <c r="G318" s="18" t="s">
        <v>1536</v>
      </c>
      <c r="H318" s="16" t="s">
        <v>109</v>
      </c>
      <c r="I318" s="19" t="s">
        <v>3</v>
      </c>
      <c r="J318" s="16" t="s">
        <v>12</v>
      </c>
      <c r="K318" s="20" t="s">
        <v>198</v>
      </c>
      <c r="L318" s="20" t="s">
        <v>1538</v>
      </c>
      <c r="M318" s="16" t="s">
        <v>111</v>
      </c>
      <c r="N318" s="16">
        <v>0</v>
      </c>
      <c r="O318" s="16" t="s">
        <v>50</v>
      </c>
      <c r="P318" s="20">
        <v>37</v>
      </c>
      <c r="Q318" s="20" t="s">
        <v>86</v>
      </c>
      <c r="R318" s="21" t="s">
        <v>129</v>
      </c>
      <c r="S318" s="22" t="s">
        <v>130</v>
      </c>
      <c r="T318" s="22" t="s">
        <v>54</v>
      </c>
      <c r="U318" s="23" t="s">
        <v>178</v>
      </c>
      <c r="V318" s="24">
        <v>1.05</v>
      </c>
      <c r="W318" s="25">
        <v>1433.25</v>
      </c>
      <c r="X318" s="26">
        <v>1</v>
      </c>
      <c r="Y318" s="27">
        <v>0.87</v>
      </c>
      <c r="Z318" s="23">
        <v>5</v>
      </c>
      <c r="AA318" s="28">
        <v>0.17399999999999999</v>
      </c>
      <c r="AB318" s="24">
        <v>0</v>
      </c>
      <c r="AC318" s="29">
        <v>0</v>
      </c>
      <c r="AD318" s="30">
        <v>43565</v>
      </c>
      <c r="AE318" s="30">
        <v>43565</v>
      </c>
      <c r="AF318" s="23">
        <v>0</v>
      </c>
      <c r="AG318" s="25" t="s">
        <v>56</v>
      </c>
      <c r="AH318" s="24">
        <v>0</v>
      </c>
      <c r="AI318" s="31">
        <v>0</v>
      </c>
      <c r="AJ318" s="31">
        <v>0</v>
      </c>
      <c r="AK318" s="44">
        <f t="shared" si="8"/>
        <v>1433.25</v>
      </c>
      <c r="AL318">
        <f>VLOOKUP(A318,'[1]prueba con 16mil datos'!$A$1:$AE$804,31,FALSE)</f>
        <v>750.75</v>
      </c>
      <c r="AM318">
        <f t="shared" si="9"/>
        <v>0</v>
      </c>
      <c r="AO318">
        <f>VLOOKUP(A318,'[1]Prueba con 19mil datos'!$B$1:$AF$1228,31,FALSE)</f>
        <v>750.75</v>
      </c>
    </row>
    <row r="319" spans="1:44" hidden="1" x14ac:dyDescent="0.25">
      <c r="A319" s="16" t="s">
        <v>1894</v>
      </c>
      <c r="B319" s="15" t="s">
        <v>40</v>
      </c>
      <c r="C319" s="16">
        <v>1</v>
      </c>
      <c r="D319" s="16" t="s">
        <v>1517</v>
      </c>
      <c r="E319" s="17" t="s">
        <v>42</v>
      </c>
      <c r="F319" s="18" t="s">
        <v>90</v>
      </c>
      <c r="G319" s="18" t="s">
        <v>1518</v>
      </c>
      <c r="H319" s="16" t="s">
        <v>301</v>
      </c>
      <c r="I319" s="19" t="s">
        <v>3</v>
      </c>
      <c r="J319" s="16" t="s">
        <v>12</v>
      </c>
      <c r="K319" s="20" t="s">
        <v>154</v>
      </c>
      <c r="L319" s="20" t="s">
        <v>1520</v>
      </c>
      <c r="M319" s="16" t="s">
        <v>1499</v>
      </c>
      <c r="N319" s="16">
        <v>0</v>
      </c>
      <c r="O319" s="16" t="s">
        <v>50</v>
      </c>
      <c r="P319" s="20">
        <v>564</v>
      </c>
      <c r="Q319" s="20" t="s">
        <v>51</v>
      </c>
      <c r="R319" s="21" t="s">
        <v>77</v>
      </c>
      <c r="S319" s="22" t="s">
        <v>53</v>
      </c>
      <c r="T319" s="22" t="s">
        <v>157</v>
      </c>
      <c r="U319" s="23" t="s">
        <v>55</v>
      </c>
      <c r="V319" s="24">
        <v>1.05</v>
      </c>
      <c r="W319" s="25">
        <v>750.75000000000011</v>
      </c>
      <c r="X319" s="26">
        <v>1</v>
      </c>
      <c r="Y319" s="27">
        <v>3.67</v>
      </c>
      <c r="Z319" s="23">
        <v>9</v>
      </c>
      <c r="AA319" s="28">
        <v>0.40777777777777779</v>
      </c>
      <c r="AB319" s="24">
        <v>0</v>
      </c>
      <c r="AC319" s="29">
        <v>0</v>
      </c>
      <c r="AD319" s="30">
        <v>43565</v>
      </c>
      <c r="AE319" s="30">
        <v>43565</v>
      </c>
      <c r="AF319" s="23">
        <v>0</v>
      </c>
      <c r="AG319" s="25" t="s">
        <v>56</v>
      </c>
      <c r="AH319" s="24">
        <v>0</v>
      </c>
      <c r="AI319" s="31">
        <v>0</v>
      </c>
      <c r="AJ319" s="31">
        <v>0</v>
      </c>
      <c r="AK319" s="44">
        <f t="shared" si="8"/>
        <v>750.75000000000011</v>
      </c>
      <c r="AL319">
        <f>VLOOKUP(A319,'[1]prueba con 16mil datos'!$A$1:$AE$804,31,FALSE)</f>
        <v>750.75</v>
      </c>
      <c r="AM319">
        <f t="shared" si="9"/>
        <v>1</v>
      </c>
      <c r="AO319">
        <f>VLOOKUP(A319,'[1]Prueba con 19mil datos'!$B$1:$AF$1228,31,FALSE)</f>
        <v>750.75</v>
      </c>
    </row>
    <row r="320" spans="1:44" hidden="1" x14ac:dyDescent="0.25">
      <c r="A320" s="16" t="s">
        <v>1666</v>
      </c>
      <c r="B320" s="15" t="s">
        <v>40</v>
      </c>
      <c r="C320" s="16">
        <v>1</v>
      </c>
      <c r="D320" s="16" t="s">
        <v>1889</v>
      </c>
      <c r="E320" s="17" t="s">
        <v>321</v>
      </c>
      <c r="F320" s="18" t="s">
        <v>90</v>
      </c>
      <c r="G320" s="18" t="s">
        <v>1890</v>
      </c>
      <c r="H320" s="16" t="s">
        <v>213</v>
      </c>
      <c r="I320" s="19" t="s">
        <v>3</v>
      </c>
      <c r="J320" s="16" t="s">
        <v>12</v>
      </c>
      <c r="K320" s="20" t="s">
        <v>378</v>
      </c>
      <c r="L320" s="20" t="s">
        <v>1892</v>
      </c>
      <c r="M320" s="16" t="s">
        <v>216</v>
      </c>
      <c r="N320" s="16">
        <v>0</v>
      </c>
      <c r="O320" s="16" t="s">
        <v>50</v>
      </c>
      <c r="P320" s="20" t="s">
        <v>326</v>
      </c>
      <c r="Q320" s="20" t="s">
        <v>51</v>
      </c>
      <c r="R320" s="21" t="s">
        <v>77</v>
      </c>
      <c r="S320" s="22" t="s">
        <v>53</v>
      </c>
      <c r="T320" s="22" t="s">
        <v>54</v>
      </c>
      <c r="U320" s="23" t="s">
        <v>55</v>
      </c>
      <c r="V320" s="24">
        <v>1</v>
      </c>
      <c r="W320" s="25">
        <v>1072.5000000000002</v>
      </c>
      <c r="X320" s="26">
        <v>0</v>
      </c>
      <c r="Y320" s="27">
        <v>5</v>
      </c>
      <c r="Z320" s="23">
        <v>5</v>
      </c>
      <c r="AA320" s="28">
        <v>1</v>
      </c>
      <c r="AB320" s="24">
        <v>0</v>
      </c>
      <c r="AC320" s="29">
        <v>0</v>
      </c>
      <c r="AD320" s="30">
        <v>43565</v>
      </c>
      <c r="AE320" s="30">
        <v>43567</v>
      </c>
      <c r="AF320" s="23">
        <v>2</v>
      </c>
      <c r="AG320" s="25" t="s">
        <v>202</v>
      </c>
      <c r="AH320" s="24">
        <v>0</v>
      </c>
      <c r="AI320" s="31">
        <v>0</v>
      </c>
      <c r="AJ320" s="31">
        <v>0</v>
      </c>
      <c r="AK320" s="44">
        <f t="shared" si="8"/>
        <v>1072.5000000000002</v>
      </c>
      <c r="AL320">
        <f>VLOOKUP(A320,'[1]prueba con 16mil datos'!$A$1:$AE$804,31,FALSE)</f>
        <v>750.75</v>
      </c>
      <c r="AM320">
        <f t="shared" si="9"/>
        <v>0</v>
      </c>
      <c r="AO320">
        <f>VLOOKUP(A320,'[1]Prueba con 19mil datos'!$B$1:$AF$1228,31,FALSE)</f>
        <v>750.75</v>
      </c>
    </row>
    <row r="321" spans="1:44" hidden="1" x14ac:dyDescent="0.25">
      <c r="A321" s="16" t="s">
        <v>2693</v>
      </c>
      <c r="B321" s="15" t="s">
        <v>40</v>
      </c>
      <c r="C321" s="16">
        <v>1</v>
      </c>
      <c r="D321" s="16" t="s">
        <v>1549</v>
      </c>
      <c r="E321" s="17" t="s">
        <v>42</v>
      </c>
      <c r="F321" s="18" t="s">
        <v>99</v>
      </c>
      <c r="G321" s="18" t="s">
        <v>1550</v>
      </c>
      <c r="H321" s="16" t="s">
        <v>109</v>
      </c>
      <c r="I321" s="19" t="s">
        <v>3</v>
      </c>
      <c r="J321" s="16" t="s">
        <v>12</v>
      </c>
      <c r="K321" s="20" t="s">
        <v>294</v>
      </c>
      <c r="L321" s="20" t="s">
        <v>1552</v>
      </c>
      <c r="M321" s="16" t="s">
        <v>1553</v>
      </c>
      <c r="N321" s="16">
        <v>0</v>
      </c>
      <c r="O321" s="16" t="s">
        <v>50</v>
      </c>
      <c r="P321" s="20">
        <v>1584</v>
      </c>
      <c r="Q321" s="20" t="s">
        <v>51</v>
      </c>
      <c r="R321" s="21" t="s">
        <v>77</v>
      </c>
      <c r="S321" s="22" t="s">
        <v>53</v>
      </c>
      <c r="T321" s="22" t="s">
        <v>54</v>
      </c>
      <c r="U321" s="23" t="s">
        <v>55</v>
      </c>
      <c r="V321" s="24">
        <v>1.05</v>
      </c>
      <c r="W321" s="25">
        <v>750.75000000000011</v>
      </c>
      <c r="X321" s="26">
        <v>1</v>
      </c>
      <c r="Y321" s="27">
        <v>1.25</v>
      </c>
      <c r="Z321" s="23">
        <v>5</v>
      </c>
      <c r="AA321" s="28">
        <v>0.25</v>
      </c>
      <c r="AB321" s="24">
        <v>0</v>
      </c>
      <c r="AC321" s="29">
        <v>0</v>
      </c>
      <c r="AD321" s="30">
        <v>43565</v>
      </c>
      <c r="AE321" s="30">
        <v>43565</v>
      </c>
      <c r="AF321" s="23">
        <v>0</v>
      </c>
      <c r="AG321" s="25" t="s">
        <v>56</v>
      </c>
      <c r="AH321" s="24">
        <v>0</v>
      </c>
      <c r="AI321" s="31">
        <v>0</v>
      </c>
      <c r="AJ321" s="31">
        <v>0</v>
      </c>
      <c r="AK321" s="44">
        <f t="shared" si="8"/>
        <v>750.75000000000011</v>
      </c>
      <c r="AL321">
        <f>VLOOKUP(A321,'[1]prueba con 16mil datos'!$A$1:$AE$804,31,FALSE)</f>
        <v>750.75</v>
      </c>
      <c r="AM321">
        <f t="shared" si="9"/>
        <v>1</v>
      </c>
      <c r="AO321">
        <f>VLOOKUP(A321,'[1]Prueba con 19mil datos'!$B$1:$AF$1228,31,FALSE)</f>
        <v>750.75</v>
      </c>
    </row>
    <row r="322" spans="1:44" hidden="1" x14ac:dyDescent="0.25">
      <c r="A322" s="16" t="s">
        <v>515</v>
      </c>
      <c r="B322" s="15" t="s">
        <v>40</v>
      </c>
      <c r="C322" s="16">
        <v>1</v>
      </c>
      <c r="D322" s="16" t="s">
        <v>1473</v>
      </c>
      <c r="E322" s="17" t="s">
        <v>42</v>
      </c>
      <c r="F322" s="18" t="s">
        <v>228</v>
      </c>
      <c r="G322" s="18" t="s">
        <v>1474</v>
      </c>
      <c r="H322" s="16" t="s">
        <v>377</v>
      </c>
      <c r="I322" s="19" t="s">
        <v>3</v>
      </c>
      <c r="J322" s="16" t="s">
        <v>12</v>
      </c>
      <c r="K322" s="20" t="s">
        <v>378</v>
      </c>
      <c r="L322" s="20" t="s">
        <v>577</v>
      </c>
      <c r="M322" s="16" t="s">
        <v>128</v>
      </c>
      <c r="N322" s="16">
        <v>0</v>
      </c>
      <c r="O322" s="16" t="s">
        <v>50</v>
      </c>
      <c r="P322" s="20">
        <v>2686</v>
      </c>
      <c r="Q322" s="20" t="s">
        <v>51</v>
      </c>
      <c r="R322" s="21" t="s">
        <v>87</v>
      </c>
      <c r="S322" s="22" t="s">
        <v>53</v>
      </c>
      <c r="T322" s="22" t="s">
        <v>54</v>
      </c>
      <c r="U322" s="23" t="s">
        <v>55</v>
      </c>
      <c r="V322" s="24">
        <v>1.05</v>
      </c>
      <c r="W322" s="25">
        <v>750.75000000000011</v>
      </c>
      <c r="X322" s="26">
        <v>1</v>
      </c>
      <c r="Y322" s="27">
        <v>0</v>
      </c>
      <c r="Z322" s="23">
        <v>5</v>
      </c>
      <c r="AA322" s="28">
        <v>0</v>
      </c>
      <c r="AB322" s="24">
        <v>0</v>
      </c>
      <c r="AC322" s="29">
        <v>0</v>
      </c>
      <c r="AD322" s="30">
        <v>43565</v>
      </c>
      <c r="AE322" s="30">
        <v>43565</v>
      </c>
      <c r="AF322" s="23">
        <v>0</v>
      </c>
      <c r="AG322" s="25" t="s">
        <v>56</v>
      </c>
      <c r="AH322" s="24">
        <v>0</v>
      </c>
      <c r="AI322" s="31">
        <v>0</v>
      </c>
      <c r="AJ322" s="31">
        <v>0</v>
      </c>
      <c r="AK322" s="44">
        <f t="shared" ref="AK322:AK385" si="10">+W322+AC322</f>
        <v>750.75000000000011</v>
      </c>
      <c r="AL322" t="e">
        <f>VLOOKUP(A322,'[1]prueba con 16mil datos'!$A$1:$AE$804,31,FALSE)</f>
        <v>#N/A</v>
      </c>
      <c r="AM322" t="e">
        <f t="shared" ref="AM322:AM385" si="11">IF(AK322=AL322,1,0)</f>
        <v>#N/A</v>
      </c>
      <c r="AO322">
        <f>VLOOKUP(A322,'[1]Prueba con 19mil datos'!$B$1:$AF$1228,31,FALSE)</f>
        <v>0</v>
      </c>
    </row>
    <row r="323" spans="1:44" hidden="1" x14ac:dyDescent="0.25">
      <c r="A323" s="16" t="s">
        <v>2424</v>
      </c>
      <c r="B323" s="15" t="s">
        <v>40</v>
      </c>
      <c r="C323" s="16">
        <v>1</v>
      </c>
      <c r="D323" s="16" t="s">
        <v>1464</v>
      </c>
      <c r="E323" s="17" t="s">
        <v>42</v>
      </c>
      <c r="F323" s="18" t="s">
        <v>1056</v>
      </c>
      <c r="G323" s="18" t="s">
        <v>1465</v>
      </c>
      <c r="H323" s="16" t="s">
        <v>61</v>
      </c>
      <c r="I323" s="19" t="s">
        <v>3</v>
      </c>
      <c r="J323" s="16" t="s">
        <v>12</v>
      </c>
      <c r="K323" s="20" t="s">
        <v>47</v>
      </c>
      <c r="L323" s="20" t="s">
        <v>1059</v>
      </c>
      <c r="M323" s="16" t="s">
        <v>118</v>
      </c>
      <c r="N323" s="16">
        <v>0</v>
      </c>
      <c r="O323" s="16" t="s">
        <v>50</v>
      </c>
      <c r="P323" s="20">
        <v>5</v>
      </c>
      <c r="Q323" s="20" t="s">
        <v>311</v>
      </c>
      <c r="R323" s="21" t="s">
        <v>279</v>
      </c>
      <c r="S323" s="22" t="s">
        <v>187</v>
      </c>
      <c r="T323" s="22" t="s">
        <v>54</v>
      </c>
      <c r="U323" s="23" t="s">
        <v>362</v>
      </c>
      <c r="V323" s="24">
        <v>0.6</v>
      </c>
      <c r="W323" s="25">
        <v>943.80000000000007</v>
      </c>
      <c r="X323" s="26">
        <v>1</v>
      </c>
      <c r="Y323" s="27">
        <v>0.37</v>
      </c>
      <c r="Z323" s="23">
        <v>4</v>
      </c>
      <c r="AA323" s="28">
        <v>9.2499999999999999E-2</v>
      </c>
      <c r="AB323" s="24">
        <v>0</v>
      </c>
      <c r="AC323" s="29">
        <v>0</v>
      </c>
      <c r="AD323" s="30">
        <v>43565</v>
      </c>
      <c r="AE323" s="30">
        <v>43565</v>
      </c>
      <c r="AF323" s="23">
        <v>0</v>
      </c>
      <c r="AG323" s="25" t="s">
        <v>56</v>
      </c>
      <c r="AH323" s="24">
        <v>0</v>
      </c>
      <c r="AI323" s="31">
        <v>0</v>
      </c>
      <c r="AJ323" s="31">
        <v>0</v>
      </c>
      <c r="AK323" s="44">
        <f t="shared" si="10"/>
        <v>943.80000000000007</v>
      </c>
      <c r="AL323">
        <f>VLOOKUP(A323,'[1]prueba con 16mil datos'!$A$1:$AE$804,31,FALSE)</f>
        <v>750.75</v>
      </c>
      <c r="AM323">
        <f t="shared" si="11"/>
        <v>0</v>
      </c>
      <c r="AO323">
        <f>VLOOKUP(A323,'[1]Prueba con 19mil datos'!$B$1:$AF$1228,31,FALSE)</f>
        <v>750.75</v>
      </c>
    </row>
    <row r="324" spans="1:44" hidden="1" x14ac:dyDescent="0.25">
      <c r="A324" s="16" t="s">
        <v>599</v>
      </c>
      <c r="B324" s="15" t="s">
        <v>40</v>
      </c>
      <c r="C324" s="16">
        <v>1</v>
      </c>
      <c r="D324" s="16" t="s">
        <v>1503</v>
      </c>
      <c r="E324" s="17" t="s">
        <v>42</v>
      </c>
      <c r="F324" s="18" t="s">
        <v>275</v>
      </c>
      <c r="G324" s="18" t="s">
        <v>1504</v>
      </c>
      <c r="H324" s="16" t="s">
        <v>168</v>
      </c>
      <c r="I324" s="19" t="s">
        <v>3</v>
      </c>
      <c r="J324" s="16" t="s">
        <v>12</v>
      </c>
      <c r="K324" s="20" t="s">
        <v>126</v>
      </c>
      <c r="L324" s="20" t="s">
        <v>1506</v>
      </c>
      <c r="M324" s="16" t="s">
        <v>1507</v>
      </c>
      <c r="N324" s="16">
        <v>0</v>
      </c>
      <c r="O324" s="16" t="s">
        <v>50</v>
      </c>
      <c r="P324" s="20">
        <v>17</v>
      </c>
      <c r="Q324" s="20" t="s">
        <v>119</v>
      </c>
      <c r="R324" s="21" t="s">
        <v>279</v>
      </c>
      <c r="S324" s="22" t="s">
        <v>187</v>
      </c>
      <c r="T324" s="22" t="s">
        <v>54</v>
      </c>
      <c r="U324" s="23" t="s">
        <v>269</v>
      </c>
      <c r="V324" s="24">
        <v>1.05</v>
      </c>
      <c r="W324" s="25">
        <v>1651.6500000000003</v>
      </c>
      <c r="X324" s="26">
        <v>1</v>
      </c>
      <c r="Y324" s="27">
        <v>1.52</v>
      </c>
      <c r="Z324" s="23">
        <v>4</v>
      </c>
      <c r="AA324" s="28">
        <v>0.38</v>
      </c>
      <c r="AB324" s="24">
        <v>0</v>
      </c>
      <c r="AC324" s="29">
        <v>0</v>
      </c>
      <c r="AD324" s="30">
        <v>43565</v>
      </c>
      <c r="AE324" s="30">
        <v>43565</v>
      </c>
      <c r="AF324" s="23">
        <v>0</v>
      </c>
      <c r="AG324" s="25" t="s">
        <v>56</v>
      </c>
      <c r="AH324" s="24">
        <v>0</v>
      </c>
      <c r="AI324" s="31">
        <v>0</v>
      </c>
      <c r="AJ324" s="31">
        <v>0</v>
      </c>
      <c r="AK324" s="44">
        <f t="shared" si="10"/>
        <v>1651.6500000000003</v>
      </c>
      <c r="AL324">
        <f>VLOOKUP(A324,'[1]prueba con 16mil datos'!$A$1:$AE$804,31,FALSE)</f>
        <v>750.75</v>
      </c>
      <c r="AM324">
        <f t="shared" si="11"/>
        <v>0</v>
      </c>
      <c r="AO324">
        <f>VLOOKUP(A324,'[1]Prueba con 19mil datos'!$B$1:$AF$1228,31,FALSE)</f>
        <v>750.75</v>
      </c>
    </row>
    <row r="325" spans="1:44" hidden="1" x14ac:dyDescent="0.25">
      <c r="A325" s="16" t="s">
        <v>1386</v>
      </c>
      <c r="B325" s="15" t="s">
        <v>40</v>
      </c>
      <c r="C325" s="16">
        <v>1</v>
      </c>
      <c r="D325" s="16" t="s">
        <v>1574</v>
      </c>
      <c r="E325" s="17" t="s">
        <v>42</v>
      </c>
      <c r="F325" s="18" t="s">
        <v>275</v>
      </c>
      <c r="G325" s="18" t="s">
        <v>1575</v>
      </c>
      <c r="H325" s="16" t="s">
        <v>243</v>
      </c>
      <c r="I325" s="19" t="s">
        <v>3</v>
      </c>
      <c r="J325" s="16" t="s">
        <v>12</v>
      </c>
      <c r="K325" s="20" t="s">
        <v>126</v>
      </c>
      <c r="L325" s="20" t="s">
        <v>1577</v>
      </c>
      <c r="M325" s="16" t="s">
        <v>372</v>
      </c>
      <c r="N325" s="16">
        <v>0</v>
      </c>
      <c r="O325" s="16" t="s">
        <v>50</v>
      </c>
      <c r="P325" s="20">
        <v>26</v>
      </c>
      <c r="Q325" s="20" t="s">
        <v>119</v>
      </c>
      <c r="R325" s="21" t="s">
        <v>279</v>
      </c>
      <c r="S325" s="22" t="s">
        <v>187</v>
      </c>
      <c r="T325" s="22" t="s">
        <v>54</v>
      </c>
      <c r="U325" s="23" t="s">
        <v>269</v>
      </c>
      <c r="V325" s="24">
        <v>1.05</v>
      </c>
      <c r="W325" s="25">
        <v>1651.6500000000003</v>
      </c>
      <c r="X325" s="26">
        <v>1</v>
      </c>
      <c r="Y325" s="27">
        <v>3.8</v>
      </c>
      <c r="Z325" s="23">
        <v>4</v>
      </c>
      <c r="AA325" s="28">
        <v>0.95</v>
      </c>
      <c r="AB325" s="24">
        <v>0</v>
      </c>
      <c r="AC325" s="29">
        <v>0</v>
      </c>
      <c r="AD325" s="30">
        <v>43565</v>
      </c>
      <c r="AE325" s="30">
        <v>43565</v>
      </c>
      <c r="AF325" s="23">
        <v>0</v>
      </c>
      <c r="AG325" s="25" t="s">
        <v>56</v>
      </c>
      <c r="AH325" s="24">
        <v>0</v>
      </c>
      <c r="AI325" s="31">
        <v>0</v>
      </c>
      <c r="AJ325" s="31">
        <v>0</v>
      </c>
      <c r="AK325" s="44">
        <f t="shared" si="10"/>
        <v>1651.6500000000003</v>
      </c>
      <c r="AL325" t="e">
        <f>VLOOKUP(A325,'[1]prueba con 16mil datos'!$A$1:$AE$804,31,FALSE)</f>
        <v>#N/A</v>
      </c>
      <c r="AM325" t="e">
        <f t="shared" si="11"/>
        <v>#N/A</v>
      </c>
      <c r="AO325">
        <f>VLOOKUP(A325,'[1]Prueba con 19mil datos'!$B$1:$AF$1228,31,FALSE)</f>
        <v>0</v>
      </c>
    </row>
    <row r="326" spans="1:44" hidden="1" x14ac:dyDescent="0.25">
      <c r="A326" s="16" t="s">
        <v>2595</v>
      </c>
      <c r="B326" s="15" t="s">
        <v>40</v>
      </c>
      <c r="C326" s="16">
        <v>1</v>
      </c>
      <c r="D326" s="16" t="s">
        <v>1481</v>
      </c>
      <c r="E326" s="17" t="s">
        <v>42</v>
      </c>
      <c r="F326" s="18" t="s">
        <v>275</v>
      </c>
      <c r="G326" s="18" t="s">
        <v>1482</v>
      </c>
      <c r="H326" s="16" t="s">
        <v>73</v>
      </c>
      <c r="I326" s="19" t="s">
        <v>3</v>
      </c>
      <c r="J326" s="16" t="s">
        <v>12</v>
      </c>
      <c r="K326" s="20" t="s">
        <v>126</v>
      </c>
      <c r="L326" s="20" t="s">
        <v>422</v>
      </c>
      <c r="M326" s="16" t="s">
        <v>76</v>
      </c>
      <c r="N326" s="16">
        <v>0</v>
      </c>
      <c r="O326" s="16" t="s">
        <v>50</v>
      </c>
      <c r="P326" s="20">
        <v>20</v>
      </c>
      <c r="Q326" s="20" t="s">
        <v>119</v>
      </c>
      <c r="R326" s="21" t="s">
        <v>279</v>
      </c>
      <c r="S326" s="22" t="s">
        <v>187</v>
      </c>
      <c r="T326" s="22" t="s">
        <v>54</v>
      </c>
      <c r="U326" s="23" t="s">
        <v>269</v>
      </c>
      <c r="V326" s="24">
        <v>1.05</v>
      </c>
      <c r="W326" s="25">
        <v>1651.6500000000003</v>
      </c>
      <c r="X326" s="26">
        <v>1</v>
      </c>
      <c r="Y326" s="27">
        <v>2.67</v>
      </c>
      <c r="Z326" s="23">
        <v>4</v>
      </c>
      <c r="AA326" s="28">
        <v>0.66749999999999998</v>
      </c>
      <c r="AB326" s="24">
        <v>0</v>
      </c>
      <c r="AC326" s="29">
        <v>0</v>
      </c>
      <c r="AD326" s="30">
        <v>43565</v>
      </c>
      <c r="AE326" s="30">
        <v>43565</v>
      </c>
      <c r="AF326" s="23">
        <v>0</v>
      </c>
      <c r="AG326" s="25" t="s">
        <v>56</v>
      </c>
      <c r="AH326" s="24">
        <v>0</v>
      </c>
      <c r="AI326" s="31">
        <v>0</v>
      </c>
      <c r="AJ326" s="31">
        <v>0</v>
      </c>
      <c r="AK326" s="44">
        <f t="shared" si="10"/>
        <v>1651.6500000000003</v>
      </c>
      <c r="AL326">
        <f>VLOOKUP(A326,'[1]prueba con 16mil datos'!$A$1:$AE$804,31,FALSE)</f>
        <v>750.75</v>
      </c>
      <c r="AM326">
        <f t="shared" si="11"/>
        <v>0</v>
      </c>
      <c r="AO326">
        <f>VLOOKUP(A326,'[1]Prueba con 19mil datos'!$B$1:$AF$1228,31,FALSE)</f>
        <v>0</v>
      </c>
    </row>
    <row r="327" spans="1:44" hidden="1" x14ac:dyDescent="0.25">
      <c r="A327" s="16" t="s">
        <v>659</v>
      </c>
      <c r="B327" s="15" t="s">
        <v>40</v>
      </c>
      <c r="C327" s="16">
        <v>1</v>
      </c>
      <c r="D327" s="16" t="s">
        <v>1594</v>
      </c>
      <c r="E327" s="17" t="s">
        <v>42</v>
      </c>
      <c r="F327" s="18" t="s">
        <v>275</v>
      </c>
      <c r="G327" s="18" t="s">
        <v>1595</v>
      </c>
      <c r="H327" s="16" t="s">
        <v>213</v>
      </c>
      <c r="I327" s="19" t="s">
        <v>3</v>
      </c>
      <c r="J327" s="16" t="s">
        <v>12</v>
      </c>
      <c r="K327" s="20" t="s">
        <v>126</v>
      </c>
      <c r="L327" s="20" t="s">
        <v>1299</v>
      </c>
      <c r="M327" s="16" t="s">
        <v>479</v>
      </c>
      <c r="N327" s="16">
        <v>0</v>
      </c>
      <c r="O327" s="16" t="s">
        <v>50</v>
      </c>
      <c r="P327" s="20">
        <v>34</v>
      </c>
      <c r="Q327" s="20" t="s">
        <v>86</v>
      </c>
      <c r="R327" s="21" t="s">
        <v>279</v>
      </c>
      <c r="S327" s="22" t="s">
        <v>187</v>
      </c>
      <c r="T327" s="22" t="s">
        <v>54</v>
      </c>
      <c r="U327" s="23" t="s">
        <v>188</v>
      </c>
      <c r="V327" s="24">
        <v>1.1000000000000001</v>
      </c>
      <c r="W327" s="25">
        <v>1730.3000000000004</v>
      </c>
      <c r="X327" s="26">
        <v>1</v>
      </c>
      <c r="Y327" s="27">
        <v>1.25</v>
      </c>
      <c r="Z327" s="23">
        <v>4</v>
      </c>
      <c r="AA327" s="28">
        <v>0.3125</v>
      </c>
      <c r="AB327" s="24">
        <v>0</v>
      </c>
      <c r="AC327" s="29">
        <v>0</v>
      </c>
      <c r="AD327" s="30">
        <v>43565</v>
      </c>
      <c r="AE327" s="30">
        <v>43566</v>
      </c>
      <c r="AF327" s="23">
        <v>1</v>
      </c>
      <c r="AG327" s="25" t="s">
        <v>56</v>
      </c>
      <c r="AH327" s="24">
        <v>0</v>
      </c>
      <c r="AI327" s="31">
        <v>0</v>
      </c>
      <c r="AJ327" s="31">
        <v>0</v>
      </c>
      <c r="AK327" s="44">
        <f t="shared" si="10"/>
        <v>1730.3000000000004</v>
      </c>
      <c r="AL327">
        <f>VLOOKUP(A327,'[1]prueba con 16mil datos'!$A$1:$AE$804,31,FALSE)</f>
        <v>750.75</v>
      </c>
      <c r="AM327">
        <f t="shared" si="11"/>
        <v>0</v>
      </c>
      <c r="AO327">
        <f>VLOOKUP(A327,'[1]Prueba con 19mil datos'!$B$1:$AF$1228,31,FALSE)</f>
        <v>750.75</v>
      </c>
    </row>
    <row r="328" spans="1:44" hidden="1" x14ac:dyDescent="0.25">
      <c r="A328" s="16" t="s">
        <v>1204</v>
      </c>
      <c r="B328" s="15" t="s">
        <v>40</v>
      </c>
      <c r="C328" s="16">
        <v>1</v>
      </c>
      <c r="D328" s="16" t="s">
        <v>1531</v>
      </c>
      <c r="E328" s="17" t="s">
        <v>42</v>
      </c>
      <c r="F328" s="18" t="s">
        <v>275</v>
      </c>
      <c r="G328" s="18" t="s">
        <v>1532</v>
      </c>
      <c r="H328" s="16" t="s">
        <v>293</v>
      </c>
      <c r="I328" s="19" t="s">
        <v>3</v>
      </c>
      <c r="J328" s="16" t="s">
        <v>12</v>
      </c>
      <c r="K328" s="20" t="s">
        <v>126</v>
      </c>
      <c r="L328" s="20" t="s">
        <v>1534</v>
      </c>
      <c r="M328" s="16" t="s">
        <v>555</v>
      </c>
      <c r="N328" s="16">
        <v>0</v>
      </c>
      <c r="O328" s="16" t="s">
        <v>50</v>
      </c>
      <c r="P328" s="20">
        <v>19</v>
      </c>
      <c r="Q328" s="20" t="s">
        <v>119</v>
      </c>
      <c r="R328" s="21" t="s">
        <v>279</v>
      </c>
      <c r="S328" s="22" t="s">
        <v>187</v>
      </c>
      <c r="T328" s="22" t="s">
        <v>54</v>
      </c>
      <c r="U328" s="23" t="s">
        <v>269</v>
      </c>
      <c r="V328" s="24">
        <v>1.05</v>
      </c>
      <c r="W328" s="25">
        <v>1651.6500000000003</v>
      </c>
      <c r="X328" s="26">
        <v>1</v>
      </c>
      <c r="Y328" s="27">
        <v>2</v>
      </c>
      <c r="Z328" s="23">
        <v>4</v>
      </c>
      <c r="AA328" s="28">
        <v>0.5</v>
      </c>
      <c r="AB328" s="24">
        <v>0</v>
      </c>
      <c r="AC328" s="29">
        <v>0</v>
      </c>
      <c r="AD328" s="30">
        <v>43565</v>
      </c>
      <c r="AE328" s="30">
        <v>43565</v>
      </c>
      <c r="AF328" s="23">
        <v>0</v>
      </c>
      <c r="AG328" s="25" t="s">
        <v>56</v>
      </c>
      <c r="AH328" s="24">
        <v>0</v>
      </c>
      <c r="AI328" s="31">
        <v>0</v>
      </c>
      <c r="AJ328" s="31">
        <v>0</v>
      </c>
      <c r="AK328" s="44">
        <f t="shared" si="10"/>
        <v>1651.6500000000003</v>
      </c>
      <c r="AL328" t="e">
        <f>VLOOKUP(A328,'[1]prueba con 16mil datos'!$A$1:$AE$804,31,FALSE)</f>
        <v>#N/A</v>
      </c>
      <c r="AM328" t="e">
        <f t="shared" si="11"/>
        <v>#N/A</v>
      </c>
      <c r="AO328">
        <f>VLOOKUP(A328,'[1]Prueba con 19mil datos'!$B$1:$AF$1228,31,FALSE)</f>
        <v>0</v>
      </c>
    </row>
    <row r="329" spans="1:44" hidden="1" x14ac:dyDescent="0.25">
      <c r="A329" s="16" t="s">
        <v>1275</v>
      </c>
      <c r="B329" s="15" t="s">
        <v>40</v>
      </c>
      <c r="C329" s="16">
        <v>1</v>
      </c>
      <c r="D329" s="16" t="s">
        <v>1495</v>
      </c>
      <c r="E329" s="17" t="s">
        <v>42</v>
      </c>
      <c r="F329" s="18" t="s">
        <v>70</v>
      </c>
      <c r="G329" s="18" t="s">
        <v>1496</v>
      </c>
      <c r="H329" s="16" t="s">
        <v>301</v>
      </c>
      <c r="I329" s="19" t="s">
        <v>3</v>
      </c>
      <c r="J329" s="16" t="s">
        <v>12</v>
      </c>
      <c r="K329" s="20" t="s">
        <v>74</v>
      </c>
      <c r="L329" s="20" t="s">
        <v>1498</v>
      </c>
      <c r="M329" s="16" t="s">
        <v>1499</v>
      </c>
      <c r="N329" s="16">
        <v>0</v>
      </c>
      <c r="O329" s="16" t="s">
        <v>50</v>
      </c>
      <c r="P329" s="20">
        <v>46</v>
      </c>
      <c r="Q329" s="20" t="s">
        <v>86</v>
      </c>
      <c r="R329" s="21" t="s">
        <v>77</v>
      </c>
      <c r="S329" s="22" t="s">
        <v>53</v>
      </c>
      <c r="T329" s="22" t="s">
        <v>157</v>
      </c>
      <c r="U329" s="23" t="s">
        <v>88</v>
      </c>
      <c r="V329" s="24">
        <v>0.8</v>
      </c>
      <c r="W329" s="25">
        <v>572.00000000000011</v>
      </c>
      <c r="X329" s="26">
        <v>1</v>
      </c>
      <c r="Y329" s="27">
        <v>1.75</v>
      </c>
      <c r="Z329" s="23">
        <v>9</v>
      </c>
      <c r="AA329" s="28">
        <v>0.19444444444444445</v>
      </c>
      <c r="AB329" s="24">
        <v>0</v>
      </c>
      <c r="AC329" s="29">
        <v>0</v>
      </c>
      <c r="AD329" s="30">
        <v>43565</v>
      </c>
      <c r="AE329" s="30">
        <v>43565</v>
      </c>
      <c r="AF329" s="23">
        <v>0</v>
      </c>
      <c r="AG329" s="25" t="s">
        <v>56</v>
      </c>
      <c r="AH329" s="24">
        <v>0</v>
      </c>
      <c r="AI329" s="31">
        <v>0</v>
      </c>
      <c r="AJ329" s="31">
        <v>0</v>
      </c>
      <c r="AK329" s="44">
        <f t="shared" si="10"/>
        <v>572.00000000000011</v>
      </c>
      <c r="AL329">
        <f>VLOOKUP(A329,'[1]prueba con 16mil datos'!$A$1:$AE$804,31,FALSE)</f>
        <v>750.75</v>
      </c>
      <c r="AM329">
        <f t="shared" si="11"/>
        <v>0</v>
      </c>
      <c r="AO329">
        <f>VLOOKUP(A329,'[1]Prueba con 19mil datos'!$B$1:$AF$1228,31,FALSE)</f>
        <v>750.75</v>
      </c>
    </row>
    <row r="330" spans="1:44" x14ac:dyDescent="0.25">
      <c r="A330" s="16" t="s">
        <v>72</v>
      </c>
      <c r="B330" s="15" t="s">
        <v>40</v>
      </c>
      <c r="C330" s="16">
        <v>1</v>
      </c>
      <c r="D330" s="16" t="s">
        <v>1466</v>
      </c>
      <c r="E330" s="17" t="s">
        <v>42</v>
      </c>
      <c r="F330" s="18" t="s">
        <v>70</v>
      </c>
      <c r="G330" s="18" t="s">
        <v>1467</v>
      </c>
      <c r="H330" s="16" t="s">
        <v>46</v>
      </c>
      <c r="I330" s="19" t="s">
        <v>3</v>
      </c>
      <c r="J330" s="16" t="s">
        <v>12</v>
      </c>
      <c r="K330" s="20" t="s">
        <v>441</v>
      </c>
      <c r="L330" s="20" t="s">
        <v>1469</v>
      </c>
      <c r="M330" s="16" t="s">
        <v>49</v>
      </c>
      <c r="N330" s="16">
        <v>0</v>
      </c>
      <c r="O330" s="16" t="s">
        <v>50</v>
      </c>
      <c r="P330" s="20">
        <v>25</v>
      </c>
      <c r="Q330" s="20" t="s">
        <v>119</v>
      </c>
      <c r="R330" s="21" t="s">
        <v>77</v>
      </c>
      <c r="S330" s="22" t="s">
        <v>53</v>
      </c>
      <c r="T330" s="22" t="s">
        <v>54</v>
      </c>
      <c r="U330" s="23" t="s">
        <v>120</v>
      </c>
      <c r="V330" s="24">
        <v>0.6</v>
      </c>
      <c r="W330" s="25">
        <v>429.00000000000006</v>
      </c>
      <c r="X330" s="26">
        <v>1</v>
      </c>
      <c r="Y330" s="27">
        <v>0.15</v>
      </c>
      <c r="Z330" s="23">
        <v>5</v>
      </c>
      <c r="AA330" s="28">
        <v>0.03</v>
      </c>
      <c r="AB330" s="24">
        <v>0</v>
      </c>
      <c r="AC330" s="29">
        <v>0</v>
      </c>
      <c r="AD330" s="30">
        <v>43565</v>
      </c>
      <c r="AE330" s="30">
        <v>43565</v>
      </c>
      <c r="AF330" s="23">
        <v>0</v>
      </c>
      <c r="AG330" s="25" t="s">
        <v>56</v>
      </c>
      <c r="AH330" s="24">
        <v>0</v>
      </c>
      <c r="AI330" s="31">
        <v>0</v>
      </c>
      <c r="AJ330" s="31">
        <v>0</v>
      </c>
      <c r="AK330" s="44">
        <f t="shared" si="10"/>
        <v>429.00000000000006</v>
      </c>
      <c r="AL330" t="e">
        <f>VLOOKUP(A330,'[1]prueba con 16mil datos'!$A$1:$AE$804,31,FALSE)</f>
        <v>#N/A</v>
      </c>
      <c r="AM330" t="e">
        <f t="shared" si="11"/>
        <v>#N/A</v>
      </c>
      <c r="AO330" t="e">
        <f>VLOOKUP(A330,'[1]Prueba con 19mil datos'!$B$1:$AF$1228,31,FALSE)</f>
        <v>#N/A</v>
      </c>
      <c r="AP330" t="s">
        <v>3211</v>
      </c>
      <c r="AQ330" s="48">
        <v>43553.724999999999</v>
      </c>
      <c r="AR330" t="s">
        <v>3209</v>
      </c>
    </row>
    <row r="331" spans="1:44" hidden="1" x14ac:dyDescent="0.25">
      <c r="A331" s="16" t="s">
        <v>1453</v>
      </c>
      <c r="B331" s="15" t="s">
        <v>40</v>
      </c>
      <c r="C331" s="16">
        <v>1</v>
      </c>
      <c r="D331" s="16" t="s">
        <v>1597</v>
      </c>
      <c r="E331" s="17" t="s">
        <v>42</v>
      </c>
      <c r="F331" s="18" t="s">
        <v>913</v>
      </c>
      <c r="G331" s="18" t="s">
        <v>1598</v>
      </c>
      <c r="H331" s="16" t="s">
        <v>404</v>
      </c>
      <c r="I331" s="19" t="s">
        <v>3</v>
      </c>
      <c r="J331" s="16" t="s">
        <v>12</v>
      </c>
      <c r="K331" s="20" t="s">
        <v>405</v>
      </c>
      <c r="L331" s="20" t="s">
        <v>1013</v>
      </c>
      <c r="M331" s="16" t="s">
        <v>407</v>
      </c>
      <c r="N331" s="16">
        <v>0</v>
      </c>
      <c r="O331" s="16" t="s">
        <v>50</v>
      </c>
      <c r="P331" s="20">
        <v>74</v>
      </c>
      <c r="Q331" s="20" t="s">
        <v>51</v>
      </c>
      <c r="R331" s="21" t="s">
        <v>87</v>
      </c>
      <c r="S331" s="22" t="s">
        <v>53</v>
      </c>
      <c r="T331" s="22" t="s">
        <v>54</v>
      </c>
      <c r="U331" s="23" t="s">
        <v>55</v>
      </c>
      <c r="V331" s="24">
        <v>1.05</v>
      </c>
      <c r="W331" s="25">
        <v>750.75000000000011</v>
      </c>
      <c r="X331" s="26">
        <v>1</v>
      </c>
      <c r="Y331" s="27">
        <v>1</v>
      </c>
      <c r="Z331" s="23">
        <v>5</v>
      </c>
      <c r="AA331" s="28">
        <v>0.2</v>
      </c>
      <c r="AB331" s="24">
        <v>0</v>
      </c>
      <c r="AC331" s="29">
        <v>0</v>
      </c>
      <c r="AD331" s="30">
        <v>43565</v>
      </c>
      <c r="AE331" s="30">
        <v>43566</v>
      </c>
      <c r="AF331" s="23">
        <v>1</v>
      </c>
      <c r="AG331" s="25" t="s">
        <v>56</v>
      </c>
      <c r="AH331" s="24">
        <v>0</v>
      </c>
      <c r="AI331" s="31">
        <v>0</v>
      </c>
      <c r="AJ331" s="31">
        <v>0</v>
      </c>
      <c r="AK331" s="44">
        <f t="shared" si="10"/>
        <v>750.75000000000011</v>
      </c>
      <c r="AL331">
        <f>VLOOKUP(A331,'[1]prueba con 16mil datos'!$A$1:$AE$804,31,FALSE)</f>
        <v>750.75</v>
      </c>
      <c r="AM331">
        <f t="shared" si="11"/>
        <v>1</v>
      </c>
      <c r="AO331">
        <f>VLOOKUP(A331,'[1]Prueba con 19mil datos'!$B$1:$AF$1228,31,FALSE)</f>
        <v>750.75</v>
      </c>
    </row>
    <row r="332" spans="1:44" hidden="1" x14ac:dyDescent="0.25">
      <c r="A332" s="16" t="s">
        <v>2719</v>
      </c>
      <c r="B332" s="15" t="s">
        <v>40</v>
      </c>
      <c r="C332" s="16">
        <v>1</v>
      </c>
      <c r="D332" s="16" t="s">
        <v>1484</v>
      </c>
      <c r="E332" s="17" t="s">
        <v>42</v>
      </c>
      <c r="F332" s="18" t="s">
        <v>180</v>
      </c>
      <c r="G332" s="18" t="s">
        <v>1485</v>
      </c>
      <c r="H332" s="16" t="s">
        <v>821</v>
      </c>
      <c r="I332" s="19" t="s">
        <v>3</v>
      </c>
      <c r="J332" s="16" t="s">
        <v>12</v>
      </c>
      <c r="K332" s="20" t="s">
        <v>126</v>
      </c>
      <c r="L332" s="20" t="s">
        <v>1487</v>
      </c>
      <c r="M332" s="16" t="s">
        <v>993</v>
      </c>
      <c r="N332" s="16">
        <v>0</v>
      </c>
      <c r="O332" s="16" t="s">
        <v>50</v>
      </c>
      <c r="P332" s="20">
        <v>259</v>
      </c>
      <c r="Q332" s="20" t="s">
        <v>51</v>
      </c>
      <c r="R332" s="21" t="s">
        <v>186</v>
      </c>
      <c r="S332" s="22" t="s">
        <v>187</v>
      </c>
      <c r="T332" s="22" t="s">
        <v>54</v>
      </c>
      <c r="U332" s="23" t="s">
        <v>550</v>
      </c>
      <c r="V332" s="24">
        <v>1.1499999999999999</v>
      </c>
      <c r="W332" s="25">
        <v>1808.95</v>
      </c>
      <c r="X332" s="26">
        <v>1</v>
      </c>
      <c r="Y332" s="27">
        <v>3.35</v>
      </c>
      <c r="Z332" s="23">
        <v>4</v>
      </c>
      <c r="AA332" s="28">
        <v>0.83750000000000002</v>
      </c>
      <c r="AB332" s="24">
        <v>0</v>
      </c>
      <c r="AC332" s="29">
        <v>0</v>
      </c>
      <c r="AD332" s="30">
        <v>43565</v>
      </c>
      <c r="AE332" s="30">
        <v>43565</v>
      </c>
      <c r="AF332" s="23">
        <v>0</v>
      </c>
      <c r="AG332" s="25" t="s">
        <v>56</v>
      </c>
      <c r="AH332" s="24">
        <v>0</v>
      </c>
      <c r="AI332" s="31">
        <v>0</v>
      </c>
      <c r="AJ332" s="31">
        <v>0</v>
      </c>
      <c r="AK332" s="44">
        <f t="shared" si="10"/>
        <v>1808.95</v>
      </c>
      <c r="AL332">
        <f>VLOOKUP(A332,'[1]prueba con 16mil datos'!$A$1:$AE$804,31,FALSE)</f>
        <v>750.75</v>
      </c>
      <c r="AM332">
        <f t="shared" si="11"/>
        <v>0</v>
      </c>
      <c r="AO332">
        <f>VLOOKUP(A332,'[1]Prueba con 19mil datos'!$B$1:$AF$1228,31,FALSE)</f>
        <v>750.75</v>
      </c>
    </row>
    <row r="333" spans="1:44" hidden="1" x14ac:dyDescent="0.25">
      <c r="A333" s="16" t="s">
        <v>3081</v>
      </c>
      <c r="B333" s="15" t="s">
        <v>40</v>
      </c>
      <c r="C333" s="16">
        <v>1</v>
      </c>
      <c r="D333" s="16" t="s">
        <v>1554</v>
      </c>
      <c r="E333" s="17" t="s">
        <v>42</v>
      </c>
      <c r="F333" s="18" t="s">
        <v>180</v>
      </c>
      <c r="G333" s="18" t="s">
        <v>1555</v>
      </c>
      <c r="H333" s="16" t="s">
        <v>440</v>
      </c>
      <c r="I333" s="19" t="s">
        <v>3</v>
      </c>
      <c r="J333" s="16" t="s">
        <v>12</v>
      </c>
      <c r="K333" s="20" t="s">
        <v>198</v>
      </c>
      <c r="L333" s="20" t="s">
        <v>1557</v>
      </c>
      <c r="M333" s="16" t="s">
        <v>469</v>
      </c>
      <c r="N333" s="16">
        <v>0</v>
      </c>
      <c r="O333" s="16" t="s">
        <v>50</v>
      </c>
      <c r="P333" s="20">
        <v>16</v>
      </c>
      <c r="Q333" s="20" t="s">
        <v>119</v>
      </c>
      <c r="R333" s="21" t="s">
        <v>186</v>
      </c>
      <c r="S333" s="22" t="s">
        <v>187</v>
      </c>
      <c r="T333" s="22" t="s">
        <v>54</v>
      </c>
      <c r="U333" s="23" t="s">
        <v>269</v>
      </c>
      <c r="V333" s="24">
        <v>1.05</v>
      </c>
      <c r="W333" s="25">
        <v>1651.6500000000003</v>
      </c>
      <c r="X333" s="26">
        <v>1</v>
      </c>
      <c r="Y333" s="27">
        <v>1.1000000000000001</v>
      </c>
      <c r="Z333" s="23">
        <v>4</v>
      </c>
      <c r="AA333" s="28">
        <v>0.27500000000000002</v>
      </c>
      <c r="AB333" s="24">
        <v>0</v>
      </c>
      <c r="AC333" s="29">
        <v>0</v>
      </c>
      <c r="AD333" s="30">
        <v>43565</v>
      </c>
      <c r="AE333" s="30">
        <v>43565</v>
      </c>
      <c r="AF333" s="23">
        <v>0</v>
      </c>
      <c r="AG333" s="25" t="s">
        <v>56</v>
      </c>
      <c r="AH333" s="24">
        <v>0</v>
      </c>
      <c r="AI333" s="31">
        <v>0</v>
      </c>
      <c r="AJ333" s="31">
        <v>0</v>
      </c>
      <c r="AK333" s="44">
        <f t="shared" si="10"/>
        <v>1651.6500000000003</v>
      </c>
      <c r="AL333">
        <f>VLOOKUP(A333,'[1]prueba con 16mil datos'!$A$1:$AE$804,31,FALSE)</f>
        <v>750.75</v>
      </c>
      <c r="AM333">
        <f t="shared" si="11"/>
        <v>0</v>
      </c>
      <c r="AO333">
        <f>VLOOKUP(A333,'[1]Prueba con 19mil datos'!$B$1:$AF$1228,31,FALSE)</f>
        <v>750.75</v>
      </c>
    </row>
    <row r="334" spans="1:44" hidden="1" x14ac:dyDescent="0.25">
      <c r="A334" s="16" t="s">
        <v>1652</v>
      </c>
      <c r="B334" s="15" t="s">
        <v>40</v>
      </c>
      <c r="C334" s="16">
        <v>1</v>
      </c>
      <c r="D334" s="16" t="s">
        <v>1539</v>
      </c>
      <c r="E334" s="17" t="s">
        <v>42</v>
      </c>
      <c r="F334" s="18" t="s">
        <v>574</v>
      </c>
      <c r="G334" s="18" t="s">
        <v>1540</v>
      </c>
      <c r="H334" s="16" t="s">
        <v>377</v>
      </c>
      <c r="I334" s="19" t="s">
        <v>3</v>
      </c>
      <c r="J334" s="16" t="s">
        <v>12</v>
      </c>
      <c r="K334" s="20" t="s">
        <v>378</v>
      </c>
      <c r="L334" s="20" t="s">
        <v>1542</v>
      </c>
      <c r="M334" s="16" t="s">
        <v>128</v>
      </c>
      <c r="N334" s="16">
        <v>0</v>
      </c>
      <c r="O334" s="16" t="s">
        <v>50</v>
      </c>
      <c r="P334" s="20">
        <v>169</v>
      </c>
      <c r="Q334" s="20" t="s">
        <v>51</v>
      </c>
      <c r="R334" s="21" t="s">
        <v>148</v>
      </c>
      <c r="S334" s="22" t="s">
        <v>130</v>
      </c>
      <c r="T334" s="22" t="s">
        <v>54</v>
      </c>
      <c r="U334" s="23" t="s">
        <v>226</v>
      </c>
      <c r="V334" s="24">
        <v>1.1000000000000001</v>
      </c>
      <c r="W334" s="25">
        <v>1501.5000000000002</v>
      </c>
      <c r="X334" s="26">
        <v>1</v>
      </c>
      <c r="Y334" s="27">
        <v>0.72</v>
      </c>
      <c r="Z334" s="23">
        <v>5</v>
      </c>
      <c r="AA334" s="28">
        <v>0.14399999999999999</v>
      </c>
      <c r="AB334" s="24">
        <v>0</v>
      </c>
      <c r="AC334" s="29">
        <v>0</v>
      </c>
      <c r="AD334" s="30">
        <v>43565</v>
      </c>
      <c r="AE334" s="30">
        <v>43565</v>
      </c>
      <c r="AF334" s="23">
        <v>0</v>
      </c>
      <c r="AG334" s="25" t="s">
        <v>56</v>
      </c>
      <c r="AH334" s="24">
        <v>0</v>
      </c>
      <c r="AI334" s="31">
        <v>0</v>
      </c>
      <c r="AJ334" s="31">
        <v>0</v>
      </c>
      <c r="AK334" s="44">
        <f t="shared" si="10"/>
        <v>1501.5000000000002</v>
      </c>
      <c r="AL334" t="e">
        <f>VLOOKUP(A334,'[1]prueba con 16mil datos'!$A$1:$AE$804,31,FALSE)</f>
        <v>#N/A</v>
      </c>
      <c r="AM334" t="e">
        <f t="shared" si="11"/>
        <v>#N/A</v>
      </c>
      <c r="AO334">
        <f>VLOOKUP(A334,'[1]Prueba con 19mil datos'!$B$1:$AF$1228,31,FALSE)</f>
        <v>0</v>
      </c>
    </row>
    <row r="335" spans="1:44" hidden="1" x14ac:dyDescent="0.25">
      <c r="A335" s="16" t="s">
        <v>2148</v>
      </c>
      <c r="B335" s="15" t="s">
        <v>40</v>
      </c>
      <c r="C335" s="16">
        <v>1</v>
      </c>
      <c r="D335" s="16" t="s">
        <v>1571</v>
      </c>
      <c r="E335" s="17" t="s">
        <v>42</v>
      </c>
      <c r="F335" s="18" t="s">
        <v>122</v>
      </c>
      <c r="G335" s="18" t="s">
        <v>1572</v>
      </c>
      <c r="H335" s="16" t="s">
        <v>46</v>
      </c>
      <c r="I335" s="19" t="s">
        <v>3</v>
      </c>
      <c r="J335" s="16" t="s">
        <v>12</v>
      </c>
      <c r="K335" s="20" t="s">
        <v>47</v>
      </c>
      <c r="L335" s="20" t="s">
        <v>48</v>
      </c>
      <c r="M335" s="16" t="s">
        <v>49</v>
      </c>
      <c r="N335" s="16">
        <v>0</v>
      </c>
      <c r="O335" s="16" t="s">
        <v>50</v>
      </c>
      <c r="P335" s="20">
        <v>14</v>
      </c>
      <c r="Q335" s="20" t="s">
        <v>65</v>
      </c>
      <c r="R335" s="21" t="s">
        <v>129</v>
      </c>
      <c r="S335" s="22" t="s">
        <v>130</v>
      </c>
      <c r="T335" s="22" t="s">
        <v>54</v>
      </c>
      <c r="U335" s="23" t="s">
        <v>131</v>
      </c>
      <c r="V335" s="24">
        <v>0.6</v>
      </c>
      <c r="W335" s="25">
        <v>819</v>
      </c>
      <c r="X335" s="26">
        <v>1</v>
      </c>
      <c r="Y335" s="27">
        <v>0</v>
      </c>
      <c r="Z335" s="23">
        <v>5</v>
      </c>
      <c r="AA335" s="28">
        <v>0</v>
      </c>
      <c r="AB335" s="24">
        <v>0</v>
      </c>
      <c r="AC335" s="29">
        <v>0</v>
      </c>
      <c r="AD335" s="30">
        <v>43565</v>
      </c>
      <c r="AE335" s="30">
        <v>43565</v>
      </c>
      <c r="AF335" s="23">
        <v>0</v>
      </c>
      <c r="AG335" s="25" t="s">
        <v>56</v>
      </c>
      <c r="AH335" s="24">
        <v>0</v>
      </c>
      <c r="AI335" s="31">
        <v>0</v>
      </c>
      <c r="AJ335" s="31">
        <v>0</v>
      </c>
      <c r="AK335" s="44">
        <f t="shared" si="10"/>
        <v>819</v>
      </c>
      <c r="AL335">
        <f>VLOOKUP(A335,'[1]prueba con 16mil datos'!$A$1:$AE$804,31,FALSE)</f>
        <v>572</v>
      </c>
      <c r="AM335">
        <f t="shared" si="11"/>
        <v>0</v>
      </c>
      <c r="AO335">
        <f>VLOOKUP(A335,'[1]Prueba con 19mil datos'!$B$1:$AF$1228,31,FALSE)</f>
        <v>572</v>
      </c>
    </row>
    <row r="336" spans="1:44" hidden="1" x14ac:dyDescent="0.25">
      <c r="A336" s="16" t="s">
        <v>1037</v>
      </c>
      <c r="B336" s="15" t="s">
        <v>40</v>
      </c>
      <c r="C336" s="16">
        <v>1</v>
      </c>
      <c r="D336" s="16" t="s">
        <v>1567</v>
      </c>
      <c r="E336" s="17" t="s">
        <v>42</v>
      </c>
      <c r="F336" s="18" t="s">
        <v>1568</v>
      </c>
      <c r="G336" s="18" t="s">
        <v>1569</v>
      </c>
      <c r="H336" s="16" t="s">
        <v>264</v>
      </c>
      <c r="I336" s="19" t="s">
        <v>3</v>
      </c>
      <c r="J336" s="16" t="s">
        <v>12</v>
      </c>
      <c r="K336" s="20" t="s">
        <v>378</v>
      </c>
      <c r="L336" s="20" t="s">
        <v>711</v>
      </c>
      <c r="M336" s="16" t="s">
        <v>49</v>
      </c>
      <c r="N336" s="16">
        <v>0</v>
      </c>
      <c r="O336" s="16" t="s">
        <v>50</v>
      </c>
      <c r="P336" s="20">
        <v>504</v>
      </c>
      <c r="Q336" s="20" t="s">
        <v>51</v>
      </c>
      <c r="R336" s="21" t="s">
        <v>148</v>
      </c>
      <c r="S336" s="22" t="s">
        <v>130</v>
      </c>
      <c r="T336" s="22" t="s">
        <v>54</v>
      </c>
      <c r="U336" s="23" t="s">
        <v>226</v>
      </c>
      <c r="V336" s="24">
        <v>1.1000000000000001</v>
      </c>
      <c r="W336" s="25">
        <v>1501.5000000000002</v>
      </c>
      <c r="X336" s="26">
        <v>1</v>
      </c>
      <c r="Y336" s="27">
        <v>1.2</v>
      </c>
      <c r="Z336" s="23">
        <v>5</v>
      </c>
      <c r="AA336" s="28">
        <v>0.24</v>
      </c>
      <c r="AB336" s="24">
        <v>0</v>
      </c>
      <c r="AC336" s="29">
        <v>0</v>
      </c>
      <c r="AD336" s="30">
        <v>43565</v>
      </c>
      <c r="AE336" s="30">
        <v>43565</v>
      </c>
      <c r="AF336" s="23">
        <v>0</v>
      </c>
      <c r="AG336" s="25" t="s">
        <v>56</v>
      </c>
      <c r="AH336" s="24">
        <v>0</v>
      </c>
      <c r="AI336" s="31">
        <v>0</v>
      </c>
      <c r="AJ336" s="31">
        <v>0</v>
      </c>
      <c r="AK336" s="44">
        <f t="shared" si="10"/>
        <v>1501.5000000000002</v>
      </c>
      <c r="AL336">
        <f>VLOOKUP(A336,'[1]prueba con 16mil datos'!$A$1:$AE$804,31,FALSE)</f>
        <v>750.75</v>
      </c>
      <c r="AM336">
        <f t="shared" si="11"/>
        <v>0</v>
      </c>
      <c r="AO336">
        <f>VLOOKUP(A336,'[1]Prueba con 19mil datos'!$B$1:$AF$1228,31,FALSE)</f>
        <v>0</v>
      </c>
    </row>
    <row r="337" spans="1:44" x14ac:dyDescent="0.25">
      <c r="A337" s="16" t="s">
        <v>108</v>
      </c>
      <c r="B337" s="15" t="s">
        <v>40</v>
      </c>
      <c r="C337" s="16">
        <v>1</v>
      </c>
      <c r="D337" s="16" t="s">
        <v>1476</v>
      </c>
      <c r="E337" s="17" t="s">
        <v>42</v>
      </c>
      <c r="F337" s="18" t="s">
        <v>419</v>
      </c>
      <c r="G337" s="18" t="s">
        <v>1477</v>
      </c>
      <c r="H337" s="16" t="s">
        <v>192</v>
      </c>
      <c r="I337" s="19" t="s">
        <v>3</v>
      </c>
      <c r="J337" s="16" t="s">
        <v>12</v>
      </c>
      <c r="K337" s="20" t="s">
        <v>126</v>
      </c>
      <c r="L337" s="20" t="s">
        <v>1479</v>
      </c>
      <c r="M337" s="16" t="s">
        <v>1480</v>
      </c>
      <c r="N337" s="16">
        <v>0</v>
      </c>
      <c r="O337" s="16" t="s">
        <v>50</v>
      </c>
      <c r="P337" s="20">
        <v>48</v>
      </c>
      <c r="Q337" s="20" t="s">
        <v>86</v>
      </c>
      <c r="R337" s="21" t="s">
        <v>225</v>
      </c>
      <c r="S337" s="22" t="s">
        <v>130</v>
      </c>
      <c r="T337" s="22" t="s">
        <v>54</v>
      </c>
      <c r="U337" s="23" t="s">
        <v>178</v>
      </c>
      <c r="V337" s="24">
        <v>1.05</v>
      </c>
      <c r="W337" s="25">
        <v>1433.25</v>
      </c>
      <c r="X337" s="26">
        <v>1</v>
      </c>
      <c r="Y337" s="27">
        <v>1.1399999999999999</v>
      </c>
      <c r="Z337" s="23">
        <v>5</v>
      </c>
      <c r="AA337" s="28">
        <v>0.22799999999999998</v>
      </c>
      <c r="AB337" s="24">
        <v>0</v>
      </c>
      <c r="AC337" s="29">
        <v>0</v>
      </c>
      <c r="AD337" s="30">
        <v>43565</v>
      </c>
      <c r="AE337" s="30">
        <v>43565</v>
      </c>
      <c r="AF337" s="23">
        <v>0</v>
      </c>
      <c r="AG337" s="25" t="s">
        <v>56</v>
      </c>
      <c r="AH337" s="24">
        <v>0</v>
      </c>
      <c r="AI337" s="31">
        <v>0</v>
      </c>
      <c r="AJ337" s="31">
        <v>0</v>
      </c>
      <c r="AK337" s="44">
        <f t="shared" si="10"/>
        <v>1433.25</v>
      </c>
      <c r="AL337" t="e">
        <f>VLOOKUP(A337,'[1]prueba con 16mil datos'!$A$1:$AE$804,31,FALSE)</f>
        <v>#N/A</v>
      </c>
      <c r="AM337" t="e">
        <f t="shared" si="11"/>
        <v>#N/A</v>
      </c>
      <c r="AO337" t="e">
        <f>VLOOKUP(A337,'[1]Prueba con 19mil datos'!$B$1:$AF$1228,31,FALSE)</f>
        <v>#N/A</v>
      </c>
      <c r="AP337" t="s">
        <v>3211</v>
      </c>
      <c r="AQ337" s="48">
        <v>43591.721527777801</v>
      </c>
      <c r="AR337" t="s">
        <v>3209</v>
      </c>
    </row>
    <row r="338" spans="1:44" hidden="1" x14ac:dyDescent="0.25">
      <c r="A338" s="16" t="s">
        <v>488</v>
      </c>
      <c r="B338" s="15" t="s">
        <v>40</v>
      </c>
      <c r="C338" s="16">
        <v>1</v>
      </c>
      <c r="D338" s="16" t="s">
        <v>1545</v>
      </c>
      <c r="E338" s="17" t="s">
        <v>42</v>
      </c>
      <c r="F338" s="18" t="s">
        <v>1429</v>
      </c>
      <c r="G338" s="18" t="s">
        <v>1546</v>
      </c>
      <c r="H338" s="16" t="s">
        <v>73</v>
      </c>
      <c r="I338" s="19" t="s">
        <v>3</v>
      </c>
      <c r="J338" s="16" t="s">
        <v>12</v>
      </c>
      <c r="K338" s="20" t="s">
        <v>378</v>
      </c>
      <c r="L338" s="20" t="s">
        <v>1548</v>
      </c>
      <c r="M338" s="16" t="s">
        <v>216</v>
      </c>
      <c r="N338" s="16">
        <v>0</v>
      </c>
      <c r="O338" s="16" t="s">
        <v>50</v>
      </c>
      <c r="P338" s="20">
        <v>50</v>
      </c>
      <c r="Q338" s="20" t="s">
        <v>86</v>
      </c>
      <c r="R338" s="21" t="s">
        <v>225</v>
      </c>
      <c r="S338" s="22" t="s">
        <v>130</v>
      </c>
      <c r="T338" s="22" t="s">
        <v>54</v>
      </c>
      <c r="U338" s="23" t="s">
        <v>178</v>
      </c>
      <c r="V338" s="24">
        <v>1.05</v>
      </c>
      <c r="W338" s="25">
        <v>1433.25</v>
      </c>
      <c r="X338" s="26">
        <v>1</v>
      </c>
      <c r="Y338" s="27">
        <v>0</v>
      </c>
      <c r="Z338" s="23">
        <v>5</v>
      </c>
      <c r="AA338" s="28">
        <v>0</v>
      </c>
      <c r="AB338" s="24">
        <v>0</v>
      </c>
      <c r="AC338" s="29">
        <v>0</v>
      </c>
      <c r="AD338" s="30">
        <v>43565</v>
      </c>
      <c r="AE338" s="30">
        <v>43565</v>
      </c>
      <c r="AF338" s="23">
        <v>0</v>
      </c>
      <c r="AG338" s="25" t="s">
        <v>56</v>
      </c>
      <c r="AH338" s="24">
        <v>0</v>
      </c>
      <c r="AI338" s="31">
        <v>0</v>
      </c>
      <c r="AJ338" s="31">
        <v>0</v>
      </c>
      <c r="AK338" s="44">
        <f t="shared" si="10"/>
        <v>1433.25</v>
      </c>
      <c r="AL338">
        <f>VLOOKUP(A338,'[1]prueba con 16mil datos'!$A$1:$AE$804,31,FALSE)</f>
        <v>750.75</v>
      </c>
      <c r="AM338">
        <f t="shared" si="11"/>
        <v>0</v>
      </c>
      <c r="AO338">
        <f>VLOOKUP(A338,'[1]Prueba con 19mil datos'!$B$1:$AF$1228,31,FALSE)</f>
        <v>750.75</v>
      </c>
    </row>
    <row r="339" spans="1:44" x14ac:dyDescent="0.25">
      <c r="A339" s="16" t="s">
        <v>482</v>
      </c>
      <c r="B339" s="15" t="s">
        <v>40</v>
      </c>
      <c r="C339" s="16">
        <v>1</v>
      </c>
      <c r="D339" s="16" t="s">
        <v>1564</v>
      </c>
      <c r="E339" s="17" t="s">
        <v>42</v>
      </c>
      <c r="F339" s="18" t="s">
        <v>1429</v>
      </c>
      <c r="G339" s="18" t="s">
        <v>1565</v>
      </c>
      <c r="H339" s="16" t="s">
        <v>377</v>
      </c>
      <c r="I339" s="19" t="s">
        <v>3</v>
      </c>
      <c r="J339" s="16" t="s">
        <v>12</v>
      </c>
      <c r="K339" s="20" t="s">
        <v>378</v>
      </c>
      <c r="L339" s="20" t="s">
        <v>577</v>
      </c>
      <c r="M339" s="16" t="s">
        <v>128</v>
      </c>
      <c r="N339" s="16">
        <v>0</v>
      </c>
      <c r="O339" s="16" t="s">
        <v>50</v>
      </c>
      <c r="P339" s="20">
        <v>64</v>
      </c>
      <c r="Q339" s="20" t="s">
        <v>51</v>
      </c>
      <c r="R339" s="21" t="s">
        <v>225</v>
      </c>
      <c r="S339" s="22" t="s">
        <v>130</v>
      </c>
      <c r="T339" s="22" t="s">
        <v>54</v>
      </c>
      <c r="U339" s="23" t="s">
        <v>226</v>
      </c>
      <c r="V339" s="24">
        <v>1.1000000000000001</v>
      </c>
      <c r="W339" s="25">
        <v>1501.5000000000002</v>
      </c>
      <c r="X339" s="26">
        <v>1</v>
      </c>
      <c r="Y339" s="27">
        <v>1.3</v>
      </c>
      <c r="Z339" s="23">
        <v>5</v>
      </c>
      <c r="AA339" s="28">
        <v>0.26</v>
      </c>
      <c r="AB339" s="24">
        <v>0</v>
      </c>
      <c r="AC339" s="29">
        <v>0</v>
      </c>
      <c r="AD339" s="30">
        <v>43565</v>
      </c>
      <c r="AE339" s="30">
        <v>43565</v>
      </c>
      <c r="AF339" s="23">
        <v>0</v>
      </c>
      <c r="AG339" s="25" t="s">
        <v>56</v>
      </c>
      <c r="AH339" s="24">
        <v>0</v>
      </c>
      <c r="AI339" s="31">
        <v>0</v>
      </c>
      <c r="AJ339" s="31">
        <v>0</v>
      </c>
      <c r="AK339" s="44">
        <f t="shared" si="10"/>
        <v>1501.5000000000002</v>
      </c>
      <c r="AL339" t="e">
        <f>VLOOKUP(A339,'[1]prueba con 16mil datos'!$A$1:$AE$804,31,FALSE)</f>
        <v>#N/A</v>
      </c>
      <c r="AM339" t="e">
        <f t="shared" si="11"/>
        <v>#N/A</v>
      </c>
      <c r="AO339" t="e">
        <f>VLOOKUP(A339,'[1]Prueba con 19mil datos'!$B$1:$AF$1228,31,FALSE)</f>
        <v>#N/A</v>
      </c>
      <c r="AP339" t="s">
        <v>3212</v>
      </c>
      <c r="AR339" t="s">
        <v>3213</v>
      </c>
    </row>
    <row r="340" spans="1:44" x14ac:dyDescent="0.25">
      <c r="A340" s="16" t="s">
        <v>482</v>
      </c>
      <c r="B340" s="15" t="s">
        <v>40</v>
      </c>
      <c r="C340" s="16">
        <v>1</v>
      </c>
      <c r="D340" s="16" t="s">
        <v>1578</v>
      </c>
      <c r="E340" s="17" t="s">
        <v>42</v>
      </c>
      <c r="F340" s="18" t="s">
        <v>745</v>
      </c>
      <c r="G340" s="18" t="s">
        <v>1579</v>
      </c>
      <c r="H340" s="16" t="s">
        <v>243</v>
      </c>
      <c r="I340" s="19" t="s">
        <v>3</v>
      </c>
      <c r="J340" s="16" t="s">
        <v>12</v>
      </c>
      <c r="K340" s="20" t="s">
        <v>126</v>
      </c>
      <c r="L340" s="20" t="s">
        <v>928</v>
      </c>
      <c r="M340" s="16" t="s">
        <v>372</v>
      </c>
      <c r="N340" s="16">
        <v>0</v>
      </c>
      <c r="O340" s="16" t="s">
        <v>50</v>
      </c>
      <c r="P340" s="20">
        <v>5</v>
      </c>
      <c r="Q340" s="20" t="s">
        <v>311</v>
      </c>
      <c r="R340" s="21" t="s">
        <v>287</v>
      </c>
      <c r="S340" s="22" t="s">
        <v>288</v>
      </c>
      <c r="T340" s="22" t="s">
        <v>54</v>
      </c>
      <c r="U340" s="23" t="s">
        <v>362</v>
      </c>
      <c r="V340" s="24">
        <v>0.6</v>
      </c>
      <c r="W340" s="25">
        <v>943.80000000000007</v>
      </c>
      <c r="X340" s="26">
        <v>1</v>
      </c>
      <c r="Y340" s="27">
        <v>2.38</v>
      </c>
      <c r="Z340" s="23">
        <v>4</v>
      </c>
      <c r="AA340" s="28">
        <v>0.59499999999999997</v>
      </c>
      <c r="AB340" s="24">
        <v>0</v>
      </c>
      <c r="AC340" s="29">
        <v>0</v>
      </c>
      <c r="AD340" s="30">
        <v>43565</v>
      </c>
      <c r="AE340" s="30">
        <v>43565</v>
      </c>
      <c r="AF340" s="23">
        <v>0</v>
      </c>
      <c r="AG340" s="25" t="s">
        <v>56</v>
      </c>
      <c r="AH340" s="24">
        <v>0</v>
      </c>
      <c r="AI340" s="31">
        <v>0</v>
      </c>
      <c r="AJ340" s="31">
        <v>0</v>
      </c>
      <c r="AK340" s="44">
        <f t="shared" si="10"/>
        <v>943.80000000000007</v>
      </c>
      <c r="AL340" t="e">
        <f>VLOOKUP(A340,'[1]prueba con 16mil datos'!$A$1:$AE$804,31,FALSE)</f>
        <v>#N/A</v>
      </c>
      <c r="AM340" t="e">
        <f t="shared" si="11"/>
        <v>#N/A</v>
      </c>
      <c r="AO340" t="e">
        <f>VLOOKUP(A340,'[1]Prueba con 19mil datos'!$B$1:$AF$1228,31,FALSE)</f>
        <v>#N/A</v>
      </c>
      <c r="AP340" t="s">
        <v>3212</v>
      </c>
      <c r="AR340" t="s">
        <v>3213</v>
      </c>
    </row>
    <row r="341" spans="1:44" hidden="1" x14ac:dyDescent="0.25">
      <c r="A341" s="16" t="s">
        <v>2877</v>
      </c>
      <c r="B341" s="15" t="s">
        <v>40</v>
      </c>
      <c r="C341" s="16">
        <v>1</v>
      </c>
      <c r="D341" s="16" t="s">
        <v>1586</v>
      </c>
      <c r="E341" s="17" t="s">
        <v>42</v>
      </c>
      <c r="F341" s="18" t="s">
        <v>424</v>
      </c>
      <c r="G341" s="18" t="s">
        <v>1587</v>
      </c>
      <c r="H341" s="16" t="s">
        <v>61</v>
      </c>
      <c r="I341" s="19" t="s">
        <v>3</v>
      </c>
      <c r="J341" s="16" t="s">
        <v>12</v>
      </c>
      <c r="K341" s="20" t="s">
        <v>1589</v>
      </c>
      <c r="L341" s="20" t="s">
        <v>1590</v>
      </c>
      <c r="M341" s="16" t="s">
        <v>118</v>
      </c>
      <c r="N341" s="16">
        <v>0</v>
      </c>
      <c r="O341" s="16" t="s">
        <v>50</v>
      </c>
      <c r="P341" s="20">
        <v>8</v>
      </c>
      <c r="Q341" s="20" t="s">
        <v>65</v>
      </c>
      <c r="R341" s="21" t="s">
        <v>430</v>
      </c>
      <c r="S341" s="22" t="s">
        <v>67</v>
      </c>
      <c r="T341" s="22" t="s">
        <v>54</v>
      </c>
      <c r="U341" s="23" t="s">
        <v>68</v>
      </c>
      <c r="V341" s="24">
        <v>1.05</v>
      </c>
      <c r="W341" s="25">
        <v>2252.25</v>
      </c>
      <c r="X341" s="26">
        <v>1</v>
      </c>
      <c r="Y341" s="27">
        <v>0.54</v>
      </c>
      <c r="Z341" s="23">
        <v>3</v>
      </c>
      <c r="AA341" s="28">
        <v>0.18000000000000002</v>
      </c>
      <c r="AB341" s="24">
        <v>0</v>
      </c>
      <c r="AC341" s="29">
        <v>0</v>
      </c>
      <c r="AD341" s="30">
        <v>43565</v>
      </c>
      <c r="AE341" s="30">
        <v>43565</v>
      </c>
      <c r="AF341" s="23">
        <v>0</v>
      </c>
      <c r="AG341" s="25" t="s">
        <v>56</v>
      </c>
      <c r="AH341" s="24">
        <v>0</v>
      </c>
      <c r="AI341" s="31">
        <v>0</v>
      </c>
      <c r="AJ341" s="31">
        <v>0</v>
      </c>
      <c r="AK341" s="44">
        <f t="shared" si="10"/>
        <v>2252.25</v>
      </c>
      <c r="AL341">
        <f>VLOOKUP(A341,'[1]prueba con 16mil datos'!$A$1:$AE$804,31,FALSE)</f>
        <v>750.75</v>
      </c>
      <c r="AM341">
        <f t="shared" si="11"/>
        <v>0</v>
      </c>
      <c r="AO341">
        <f>VLOOKUP(A341,'[1]Prueba con 19mil datos'!$B$1:$AF$1228,31,FALSE)</f>
        <v>750.75</v>
      </c>
    </row>
    <row r="342" spans="1:44" hidden="1" x14ac:dyDescent="0.25">
      <c r="A342" s="16" t="s">
        <v>3032</v>
      </c>
      <c r="B342" s="15" t="s">
        <v>40</v>
      </c>
      <c r="C342" s="16">
        <v>1</v>
      </c>
      <c r="D342" s="16" t="s">
        <v>1459</v>
      </c>
      <c r="E342" s="17" t="s">
        <v>42</v>
      </c>
      <c r="F342" s="18" t="s">
        <v>140</v>
      </c>
      <c r="G342" s="18" t="s">
        <v>1460</v>
      </c>
      <c r="H342" s="16" t="s">
        <v>338</v>
      </c>
      <c r="I342" s="19" t="s">
        <v>3</v>
      </c>
      <c r="J342" s="16" t="s">
        <v>12</v>
      </c>
      <c r="K342" s="20" t="s">
        <v>1462</v>
      </c>
      <c r="L342" s="20" t="s">
        <v>1463</v>
      </c>
      <c r="M342" s="16" t="s">
        <v>340</v>
      </c>
      <c r="N342" s="16">
        <v>0</v>
      </c>
      <c r="O342" s="16" t="s">
        <v>50</v>
      </c>
      <c r="P342" s="20">
        <v>47</v>
      </c>
      <c r="Q342" s="20" t="s">
        <v>86</v>
      </c>
      <c r="R342" s="21" t="s">
        <v>148</v>
      </c>
      <c r="S342" s="22" t="s">
        <v>130</v>
      </c>
      <c r="T342" s="22" t="s">
        <v>54</v>
      </c>
      <c r="U342" s="23" t="s">
        <v>178</v>
      </c>
      <c r="V342" s="24">
        <v>1.05</v>
      </c>
      <c r="W342" s="25">
        <v>1433.25</v>
      </c>
      <c r="X342" s="26">
        <v>1</v>
      </c>
      <c r="Y342" s="27">
        <v>0.68</v>
      </c>
      <c r="Z342" s="23">
        <v>5</v>
      </c>
      <c r="AA342" s="28">
        <v>0.13600000000000001</v>
      </c>
      <c r="AB342" s="24">
        <v>0</v>
      </c>
      <c r="AC342" s="29">
        <v>0</v>
      </c>
      <c r="AD342" s="30">
        <v>43565</v>
      </c>
      <c r="AE342" s="30">
        <v>43565</v>
      </c>
      <c r="AF342" s="23">
        <v>0</v>
      </c>
      <c r="AG342" s="25" t="s">
        <v>56</v>
      </c>
      <c r="AH342" s="24">
        <v>0</v>
      </c>
      <c r="AI342" s="31">
        <v>0</v>
      </c>
      <c r="AJ342" s="31">
        <v>0</v>
      </c>
      <c r="AK342" s="44">
        <f t="shared" si="10"/>
        <v>1433.25</v>
      </c>
      <c r="AL342">
        <f>VLOOKUP(A342,'[1]prueba con 16mil datos'!$A$1:$AE$804,31,FALSE)</f>
        <v>750.75</v>
      </c>
      <c r="AM342">
        <f t="shared" si="11"/>
        <v>0</v>
      </c>
      <c r="AO342">
        <f>VLOOKUP(A342,'[1]Prueba con 19mil datos'!$B$1:$AF$1228,31,FALSE)</f>
        <v>750.75</v>
      </c>
    </row>
    <row r="343" spans="1:44" hidden="1" x14ac:dyDescent="0.25">
      <c r="A343" s="16" t="s">
        <v>2617</v>
      </c>
      <c r="B343" s="15" t="s">
        <v>40</v>
      </c>
      <c r="C343" s="16">
        <v>1</v>
      </c>
      <c r="D343" s="16" t="s">
        <v>1490</v>
      </c>
      <c r="E343" s="17" t="s">
        <v>42</v>
      </c>
      <c r="F343" s="18" t="s">
        <v>249</v>
      </c>
      <c r="G343" s="18" t="s">
        <v>1360</v>
      </c>
      <c r="H343" s="16" t="s">
        <v>143</v>
      </c>
      <c r="I343" s="19" t="s">
        <v>3</v>
      </c>
      <c r="J343" s="16" t="s">
        <v>12</v>
      </c>
      <c r="K343" s="20" t="s">
        <v>1492</v>
      </c>
      <c r="L343" s="20" t="s">
        <v>1493</v>
      </c>
      <c r="M343" s="16" t="s">
        <v>1494</v>
      </c>
      <c r="N343" s="16">
        <v>0</v>
      </c>
      <c r="O343" s="16" t="s">
        <v>50</v>
      </c>
      <c r="P343" s="20">
        <v>2681</v>
      </c>
      <c r="Q343" s="20" t="s">
        <v>51</v>
      </c>
      <c r="R343" s="21" t="s">
        <v>77</v>
      </c>
      <c r="S343" s="22" t="s">
        <v>53</v>
      </c>
      <c r="T343" s="22" t="s">
        <v>157</v>
      </c>
      <c r="U343" s="23" t="s">
        <v>55</v>
      </c>
      <c r="V343" s="24">
        <v>1.05</v>
      </c>
      <c r="W343" s="25">
        <v>750.75000000000011</v>
      </c>
      <c r="X343" s="26">
        <v>1</v>
      </c>
      <c r="Y343" s="27">
        <v>6.25</v>
      </c>
      <c r="Z343" s="23">
        <v>9</v>
      </c>
      <c r="AA343" s="28">
        <v>0.69444444444444442</v>
      </c>
      <c r="AB343" s="24">
        <v>0</v>
      </c>
      <c r="AC343" s="29">
        <v>0</v>
      </c>
      <c r="AD343" s="30">
        <v>43565</v>
      </c>
      <c r="AE343" s="30">
        <v>43565</v>
      </c>
      <c r="AF343" s="23">
        <v>0</v>
      </c>
      <c r="AG343" s="25" t="s">
        <v>56</v>
      </c>
      <c r="AH343" s="24">
        <v>0</v>
      </c>
      <c r="AI343" s="31">
        <v>0</v>
      </c>
      <c r="AJ343" s="31">
        <v>0</v>
      </c>
      <c r="AK343" s="44">
        <f t="shared" si="10"/>
        <v>750.75000000000011</v>
      </c>
      <c r="AL343">
        <f>VLOOKUP(A343,'[1]prueba con 16mil datos'!$A$1:$AE$804,31,FALSE)</f>
        <v>750.75</v>
      </c>
      <c r="AM343">
        <f t="shared" si="11"/>
        <v>1</v>
      </c>
      <c r="AO343">
        <f>VLOOKUP(A343,'[1]Prueba con 19mil datos'!$B$1:$AF$1228,31,FALSE)</f>
        <v>750.75</v>
      </c>
    </row>
    <row r="344" spans="1:44" hidden="1" x14ac:dyDescent="0.25">
      <c r="A344" s="16" t="s">
        <v>1817</v>
      </c>
      <c r="B344" s="15" t="s">
        <v>40</v>
      </c>
      <c r="C344" s="16">
        <v>1</v>
      </c>
      <c r="D344" s="16" t="s">
        <v>1580</v>
      </c>
      <c r="E344" s="17" t="s">
        <v>42</v>
      </c>
      <c r="F344" s="18" t="s">
        <v>90</v>
      </c>
      <c r="G344" s="18" t="s">
        <v>1581</v>
      </c>
      <c r="H344" s="16" t="s">
        <v>338</v>
      </c>
      <c r="I344" s="19" t="s">
        <v>3</v>
      </c>
      <c r="J344" s="16" t="s">
        <v>12</v>
      </c>
      <c r="K344" s="20" t="s">
        <v>1583</v>
      </c>
      <c r="L344" s="20" t="s">
        <v>1584</v>
      </c>
      <c r="M344" s="16" t="s">
        <v>1585</v>
      </c>
      <c r="N344" s="16">
        <v>0</v>
      </c>
      <c r="O344" s="16" t="s">
        <v>50</v>
      </c>
      <c r="P344" s="20">
        <v>114</v>
      </c>
      <c r="Q344" s="20" t="s">
        <v>51</v>
      </c>
      <c r="R344" s="21" t="s">
        <v>77</v>
      </c>
      <c r="S344" s="22" t="s">
        <v>53</v>
      </c>
      <c r="T344" s="22" t="s">
        <v>54</v>
      </c>
      <c r="U344" s="23" t="s">
        <v>55</v>
      </c>
      <c r="V344" s="24">
        <v>1.05</v>
      </c>
      <c r="W344" s="25">
        <v>750.75000000000011</v>
      </c>
      <c r="X344" s="26">
        <v>1</v>
      </c>
      <c r="Y344" s="27">
        <v>2.15</v>
      </c>
      <c r="Z344" s="23">
        <v>5</v>
      </c>
      <c r="AA344" s="28">
        <v>0.43</v>
      </c>
      <c r="AB344" s="24">
        <v>0</v>
      </c>
      <c r="AC344" s="29">
        <v>0</v>
      </c>
      <c r="AD344" s="30">
        <v>43565</v>
      </c>
      <c r="AE344" s="30">
        <v>43565</v>
      </c>
      <c r="AF344" s="23">
        <v>0</v>
      </c>
      <c r="AG344" s="25" t="s">
        <v>56</v>
      </c>
      <c r="AH344" s="24">
        <v>0</v>
      </c>
      <c r="AI344" s="31">
        <v>0</v>
      </c>
      <c r="AJ344" s="31">
        <v>0</v>
      </c>
      <c r="AK344" s="44">
        <f t="shared" si="10"/>
        <v>750.75000000000011</v>
      </c>
      <c r="AL344">
        <f>VLOOKUP(A344,'[1]prueba con 16mil datos'!$A$1:$AE$804,31,FALSE)</f>
        <v>750.75</v>
      </c>
      <c r="AM344">
        <f t="shared" si="11"/>
        <v>1</v>
      </c>
      <c r="AO344">
        <f>VLOOKUP(A344,'[1]Prueba con 19mil datos'!$B$1:$AF$1228,31,FALSE)</f>
        <v>750.75</v>
      </c>
    </row>
    <row r="345" spans="1:44" hidden="1" x14ac:dyDescent="0.25">
      <c r="A345" s="16" t="s">
        <v>2171</v>
      </c>
      <c r="B345" s="15" t="s">
        <v>40</v>
      </c>
      <c r="C345" s="16">
        <v>1</v>
      </c>
      <c r="D345" s="16" t="s">
        <v>1500</v>
      </c>
      <c r="E345" s="17" t="s">
        <v>42</v>
      </c>
      <c r="F345" s="18" t="s">
        <v>90</v>
      </c>
      <c r="G345" s="18" t="s">
        <v>1501</v>
      </c>
      <c r="H345" s="16" t="s">
        <v>516</v>
      </c>
      <c r="I345" s="19" t="s">
        <v>3</v>
      </c>
      <c r="J345" s="16" t="s">
        <v>12</v>
      </c>
      <c r="K345" s="20" t="s">
        <v>398</v>
      </c>
      <c r="L345" s="20" t="s">
        <v>832</v>
      </c>
      <c r="M345" s="16" t="s">
        <v>833</v>
      </c>
      <c r="N345" s="16">
        <v>0</v>
      </c>
      <c r="O345" s="16" t="s">
        <v>50</v>
      </c>
      <c r="P345" s="20">
        <v>153</v>
      </c>
      <c r="Q345" s="20" t="s">
        <v>51</v>
      </c>
      <c r="R345" s="21" t="s">
        <v>77</v>
      </c>
      <c r="S345" s="22" t="s">
        <v>53</v>
      </c>
      <c r="T345" s="22" t="s">
        <v>54</v>
      </c>
      <c r="U345" s="23" t="s">
        <v>55</v>
      </c>
      <c r="V345" s="24">
        <v>1.05</v>
      </c>
      <c r="W345" s="25">
        <v>750.75000000000011</v>
      </c>
      <c r="X345" s="26">
        <v>1</v>
      </c>
      <c r="Y345" s="27">
        <v>1.69</v>
      </c>
      <c r="Z345" s="23">
        <v>5</v>
      </c>
      <c r="AA345" s="28">
        <v>0.33799999999999997</v>
      </c>
      <c r="AB345" s="24">
        <v>0</v>
      </c>
      <c r="AC345" s="29">
        <v>0</v>
      </c>
      <c r="AD345" s="30">
        <v>43565</v>
      </c>
      <c r="AE345" s="30">
        <v>43565</v>
      </c>
      <c r="AF345" s="23">
        <v>0</v>
      </c>
      <c r="AG345" s="25" t="s">
        <v>56</v>
      </c>
      <c r="AH345" s="24">
        <v>0</v>
      </c>
      <c r="AI345" s="31">
        <v>0</v>
      </c>
      <c r="AJ345" s="31">
        <v>0</v>
      </c>
      <c r="AK345" s="44">
        <f t="shared" si="10"/>
        <v>750.75000000000011</v>
      </c>
      <c r="AL345">
        <f>VLOOKUP(A345,'[1]prueba con 16mil datos'!$A$1:$AE$804,31,FALSE)</f>
        <v>572</v>
      </c>
      <c r="AM345">
        <f t="shared" si="11"/>
        <v>0</v>
      </c>
      <c r="AO345">
        <f>VLOOKUP(A345,'[1]Prueba con 19mil datos'!$B$1:$AF$1228,31,FALSE)</f>
        <v>572</v>
      </c>
    </row>
    <row r="346" spans="1:44" hidden="1" x14ac:dyDescent="0.25">
      <c r="A346" s="16" t="s">
        <v>1047</v>
      </c>
      <c r="B346" s="15" t="s">
        <v>40</v>
      </c>
      <c r="C346" s="16">
        <v>1</v>
      </c>
      <c r="D346" s="16" t="s">
        <v>1511</v>
      </c>
      <c r="E346" s="17" t="s">
        <v>42</v>
      </c>
      <c r="F346" s="18" t="s">
        <v>528</v>
      </c>
      <c r="G346" s="18" t="s">
        <v>1512</v>
      </c>
      <c r="H346" s="16" t="s">
        <v>504</v>
      </c>
      <c r="I346" s="19" t="s">
        <v>3</v>
      </c>
      <c r="J346" s="16" t="s">
        <v>12</v>
      </c>
      <c r="K346" s="20" t="s">
        <v>1052</v>
      </c>
      <c r="L346" s="20" t="s">
        <v>1053</v>
      </c>
      <c r="M346" s="16" t="s">
        <v>1054</v>
      </c>
      <c r="N346" s="16">
        <v>0</v>
      </c>
      <c r="O346" s="16" t="s">
        <v>50</v>
      </c>
      <c r="P346" s="20">
        <v>5</v>
      </c>
      <c r="Q346" s="20" t="s">
        <v>311</v>
      </c>
      <c r="R346" s="21" t="s">
        <v>148</v>
      </c>
      <c r="S346" s="22" t="s">
        <v>130</v>
      </c>
      <c r="T346" s="22" t="s">
        <v>54</v>
      </c>
      <c r="U346" s="23" t="s">
        <v>312</v>
      </c>
      <c r="V346" s="24">
        <v>0</v>
      </c>
      <c r="W346" s="25">
        <v>0</v>
      </c>
      <c r="X346" s="26">
        <v>1</v>
      </c>
      <c r="Y346" s="27">
        <v>7.57</v>
      </c>
      <c r="Z346" s="23">
        <v>5</v>
      </c>
      <c r="AA346" s="28">
        <v>1.514</v>
      </c>
      <c r="AB346" s="24">
        <v>0.1285</v>
      </c>
      <c r="AC346" s="29">
        <v>-175.4025</v>
      </c>
      <c r="AD346" s="30">
        <v>43565</v>
      </c>
      <c r="AE346" s="30">
        <v>43565</v>
      </c>
      <c r="AF346" s="23">
        <v>0</v>
      </c>
      <c r="AG346" s="25" t="s">
        <v>56</v>
      </c>
      <c r="AH346" s="24">
        <v>0</v>
      </c>
      <c r="AI346" s="31">
        <v>0</v>
      </c>
      <c r="AJ346" s="31">
        <v>0</v>
      </c>
      <c r="AK346" s="44">
        <f t="shared" si="10"/>
        <v>-175.4025</v>
      </c>
      <c r="AL346" t="e">
        <f>VLOOKUP(A346,'[1]prueba con 16mil datos'!$A$1:$AE$804,31,FALSE)</f>
        <v>#N/A</v>
      </c>
      <c r="AM346" t="e">
        <f t="shared" si="11"/>
        <v>#N/A</v>
      </c>
      <c r="AO346">
        <f>VLOOKUP(A346,'[1]Prueba con 19mil datos'!$B$1:$AF$1228,31,FALSE)</f>
        <v>0</v>
      </c>
    </row>
    <row r="347" spans="1:44" hidden="1" x14ac:dyDescent="0.25">
      <c r="A347" s="16" t="s">
        <v>1846</v>
      </c>
      <c r="B347" s="15" t="s">
        <v>40</v>
      </c>
      <c r="C347" s="16">
        <v>1</v>
      </c>
      <c r="D347" s="16" t="s">
        <v>1488</v>
      </c>
      <c r="E347" s="17" t="s">
        <v>42</v>
      </c>
      <c r="F347" s="18" t="s">
        <v>528</v>
      </c>
      <c r="G347" s="18" t="s">
        <v>1489</v>
      </c>
      <c r="H347" s="16" t="s">
        <v>504</v>
      </c>
      <c r="I347" s="19" t="s">
        <v>3</v>
      </c>
      <c r="J347" s="16" t="s">
        <v>12</v>
      </c>
      <c r="K347" s="20" t="s">
        <v>1106</v>
      </c>
      <c r="L347" s="20" t="s">
        <v>1107</v>
      </c>
      <c r="M347" s="16" t="s">
        <v>1108</v>
      </c>
      <c r="N347" s="16">
        <v>0</v>
      </c>
      <c r="O347" s="16" t="s">
        <v>50</v>
      </c>
      <c r="P347" s="20">
        <v>5</v>
      </c>
      <c r="Q347" s="20" t="s">
        <v>311</v>
      </c>
      <c r="R347" s="21" t="s">
        <v>148</v>
      </c>
      <c r="S347" s="22" t="s">
        <v>130</v>
      </c>
      <c r="T347" s="22" t="s">
        <v>54</v>
      </c>
      <c r="U347" s="23" t="s">
        <v>312</v>
      </c>
      <c r="V347" s="24">
        <v>0</v>
      </c>
      <c r="W347" s="25">
        <v>0</v>
      </c>
      <c r="X347" s="26">
        <v>1</v>
      </c>
      <c r="Y347" s="27">
        <v>5.95</v>
      </c>
      <c r="Z347" s="23">
        <v>5</v>
      </c>
      <c r="AA347" s="28">
        <v>1.19</v>
      </c>
      <c r="AB347" s="24">
        <v>4.7499999999999987E-2</v>
      </c>
      <c r="AC347" s="29">
        <v>-64.837499999999977</v>
      </c>
      <c r="AD347" s="30">
        <v>43565</v>
      </c>
      <c r="AE347" s="30">
        <v>43565</v>
      </c>
      <c r="AF347" s="23">
        <v>0</v>
      </c>
      <c r="AG347" s="25" t="s">
        <v>56</v>
      </c>
      <c r="AH347" s="24">
        <v>0</v>
      </c>
      <c r="AI347" s="31">
        <v>0</v>
      </c>
      <c r="AJ347" s="31">
        <v>0</v>
      </c>
      <c r="AK347" s="44">
        <f t="shared" si="10"/>
        <v>-64.837499999999977</v>
      </c>
      <c r="AL347">
        <f>VLOOKUP(A347,'[1]prueba con 16mil datos'!$A$1:$AE$804,31,FALSE)</f>
        <v>533.86665474999995</v>
      </c>
      <c r="AM347">
        <f t="shared" si="11"/>
        <v>0</v>
      </c>
      <c r="AO347">
        <f>VLOOKUP(A347,'[1]Prueba con 19mil datos'!$B$1:$AF$1228,31,FALSE)</f>
        <v>533.86665474999995</v>
      </c>
    </row>
    <row r="348" spans="1:44" hidden="1" x14ac:dyDescent="0.25">
      <c r="A348" s="16" t="s">
        <v>1947</v>
      </c>
      <c r="B348" s="15" t="s">
        <v>40</v>
      </c>
      <c r="C348" s="16">
        <v>1</v>
      </c>
      <c r="D348" s="16" t="s">
        <v>1558</v>
      </c>
      <c r="E348" s="17" t="s">
        <v>42</v>
      </c>
      <c r="F348" s="18" t="s">
        <v>1559</v>
      </c>
      <c r="G348" s="18" t="s">
        <v>1560</v>
      </c>
      <c r="H348" s="16" t="s">
        <v>516</v>
      </c>
      <c r="I348" s="19" t="s">
        <v>3</v>
      </c>
      <c r="J348" s="16" t="s">
        <v>12</v>
      </c>
      <c r="K348" s="20" t="s">
        <v>1562</v>
      </c>
      <c r="L348" s="20" t="s">
        <v>1563</v>
      </c>
      <c r="M348" s="16" t="s">
        <v>246</v>
      </c>
      <c r="N348" s="16">
        <v>0</v>
      </c>
      <c r="O348" s="16" t="s">
        <v>50</v>
      </c>
      <c r="P348" s="20">
        <v>2687</v>
      </c>
      <c r="Q348" s="20" t="s">
        <v>51</v>
      </c>
      <c r="R348" s="21" t="s">
        <v>77</v>
      </c>
      <c r="S348" s="22" t="s">
        <v>53</v>
      </c>
      <c r="T348" s="22" t="s">
        <v>54</v>
      </c>
      <c r="U348" s="23" t="s">
        <v>55</v>
      </c>
      <c r="V348" s="24">
        <v>1.05</v>
      </c>
      <c r="W348" s="25">
        <v>750.75000000000011</v>
      </c>
      <c r="X348" s="26">
        <v>1</v>
      </c>
      <c r="Y348" s="27">
        <v>1.88</v>
      </c>
      <c r="Z348" s="23">
        <v>5</v>
      </c>
      <c r="AA348" s="28">
        <v>0.376</v>
      </c>
      <c r="AB348" s="24">
        <v>0</v>
      </c>
      <c r="AC348" s="29">
        <v>0</v>
      </c>
      <c r="AD348" s="30">
        <v>43565</v>
      </c>
      <c r="AE348" s="30">
        <v>43565</v>
      </c>
      <c r="AF348" s="23">
        <v>0</v>
      </c>
      <c r="AG348" s="25" t="s">
        <v>56</v>
      </c>
      <c r="AH348" s="24">
        <v>0</v>
      </c>
      <c r="AI348" s="31">
        <v>0</v>
      </c>
      <c r="AJ348" s="31">
        <v>0</v>
      </c>
      <c r="AK348" s="44">
        <f t="shared" si="10"/>
        <v>750.75000000000011</v>
      </c>
      <c r="AL348">
        <f>VLOOKUP(A348,'[1]prueba con 16mil datos'!$A$1:$AE$804,31,FALSE)</f>
        <v>572</v>
      </c>
      <c r="AM348">
        <f t="shared" si="11"/>
        <v>0</v>
      </c>
      <c r="AO348">
        <f>VLOOKUP(A348,'[1]Prueba con 19mil datos'!$B$1:$AF$1228,31,FALSE)</f>
        <v>572</v>
      </c>
    </row>
    <row r="349" spans="1:44" hidden="1" x14ac:dyDescent="0.25">
      <c r="A349" s="16" t="s">
        <v>337</v>
      </c>
      <c r="B349" s="15" t="s">
        <v>40</v>
      </c>
      <c r="C349" s="16">
        <v>1</v>
      </c>
      <c r="D349" s="16" t="s">
        <v>1543</v>
      </c>
      <c r="E349" s="17" t="s">
        <v>42</v>
      </c>
      <c r="F349" s="18" t="s">
        <v>140</v>
      </c>
      <c r="G349" s="18" t="s">
        <v>1544</v>
      </c>
      <c r="H349" s="16" t="s">
        <v>346</v>
      </c>
      <c r="I349" s="19" t="s">
        <v>3</v>
      </c>
      <c r="J349" s="16" t="s">
        <v>12</v>
      </c>
      <c r="K349" s="20" t="s">
        <v>144</v>
      </c>
      <c r="L349" s="20" t="s">
        <v>145</v>
      </c>
      <c r="M349" s="16" t="s">
        <v>349</v>
      </c>
      <c r="N349" s="16">
        <v>0</v>
      </c>
      <c r="O349" s="16" t="s">
        <v>50</v>
      </c>
      <c r="P349" s="20">
        <v>6</v>
      </c>
      <c r="Q349" s="20" t="s">
        <v>311</v>
      </c>
      <c r="R349" s="21" t="s">
        <v>148</v>
      </c>
      <c r="S349" s="22" t="s">
        <v>130</v>
      </c>
      <c r="T349" s="22" t="s">
        <v>54</v>
      </c>
      <c r="U349" s="23" t="s">
        <v>312</v>
      </c>
      <c r="V349" s="24">
        <v>0</v>
      </c>
      <c r="W349" s="25">
        <v>0</v>
      </c>
      <c r="X349" s="26">
        <v>1</v>
      </c>
      <c r="Y349" s="27">
        <v>2.65</v>
      </c>
      <c r="Z349" s="23">
        <v>5</v>
      </c>
      <c r="AA349" s="28">
        <v>0.53</v>
      </c>
      <c r="AB349" s="24">
        <v>0</v>
      </c>
      <c r="AC349" s="29">
        <v>0</v>
      </c>
      <c r="AD349" s="30">
        <v>43565</v>
      </c>
      <c r="AE349" s="30">
        <v>43565</v>
      </c>
      <c r="AF349" s="23">
        <v>0</v>
      </c>
      <c r="AG349" s="25" t="s">
        <v>56</v>
      </c>
      <c r="AH349" s="24">
        <v>0</v>
      </c>
      <c r="AI349" s="31">
        <v>0</v>
      </c>
      <c r="AJ349" s="31">
        <v>0</v>
      </c>
      <c r="AK349" s="44">
        <f t="shared" si="10"/>
        <v>0</v>
      </c>
      <c r="AL349">
        <f>VLOOKUP(A349,'[1]prueba con 16mil datos'!$A$1:$AE$804,31,FALSE)</f>
        <v>0</v>
      </c>
      <c r="AM349">
        <f t="shared" si="11"/>
        <v>1</v>
      </c>
      <c r="AO349">
        <f>VLOOKUP(A349,'[1]Prueba con 19mil datos'!$B$1:$AF$1228,31,FALSE)</f>
        <v>0</v>
      </c>
    </row>
    <row r="350" spans="1:44" hidden="1" x14ac:dyDescent="0.25">
      <c r="A350" s="16" t="s">
        <v>2672</v>
      </c>
      <c r="B350" s="15" t="s">
        <v>40</v>
      </c>
      <c r="C350" s="16">
        <v>1</v>
      </c>
      <c r="D350" s="16" t="s">
        <v>1508</v>
      </c>
      <c r="E350" s="17" t="s">
        <v>42</v>
      </c>
      <c r="F350" s="18" t="s">
        <v>574</v>
      </c>
      <c r="G350" s="18" t="s">
        <v>1509</v>
      </c>
      <c r="H350" s="16" t="s">
        <v>317</v>
      </c>
      <c r="I350" s="19" t="s">
        <v>3</v>
      </c>
      <c r="J350" s="16" t="s">
        <v>12</v>
      </c>
      <c r="K350" s="20" t="s">
        <v>936</v>
      </c>
      <c r="L350" s="20" t="s">
        <v>786</v>
      </c>
      <c r="M350" s="16" t="s">
        <v>105</v>
      </c>
      <c r="N350" s="16">
        <v>1</v>
      </c>
      <c r="O350" s="16" t="s">
        <v>50</v>
      </c>
      <c r="P350" s="20">
        <v>146</v>
      </c>
      <c r="Q350" s="20" t="s">
        <v>51</v>
      </c>
      <c r="R350" s="21" t="s">
        <v>148</v>
      </c>
      <c r="S350" s="22" t="s">
        <v>130</v>
      </c>
      <c r="T350" s="22" t="s">
        <v>54</v>
      </c>
      <c r="U350" s="23" t="s">
        <v>226</v>
      </c>
      <c r="V350" s="24">
        <v>1.1000000000000001</v>
      </c>
      <c r="W350" s="25">
        <v>0</v>
      </c>
      <c r="X350" s="26">
        <v>1</v>
      </c>
      <c r="Y350" s="27">
        <v>0</v>
      </c>
      <c r="Z350" s="23">
        <v>5</v>
      </c>
      <c r="AA350" s="28">
        <v>0</v>
      </c>
      <c r="AB350" s="24">
        <v>0</v>
      </c>
      <c r="AC350" s="29">
        <v>0</v>
      </c>
      <c r="AD350" s="30">
        <v>43565</v>
      </c>
      <c r="AE350" s="30">
        <v>43565</v>
      </c>
      <c r="AF350" s="23">
        <v>0</v>
      </c>
      <c r="AG350" s="25" t="s">
        <v>56</v>
      </c>
      <c r="AH350" s="24">
        <v>0</v>
      </c>
      <c r="AI350" s="31">
        <v>0</v>
      </c>
      <c r="AJ350" s="31">
        <v>0</v>
      </c>
      <c r="AK350" s="44">
        <f t="shared" si="10"/>
        <v>0</v>
      </c>
      <c r="AL350">
        <f>VLOOKUP(A350,'[1]prueba con 16mil datos'!$A$1:$AE$804,31,FALSE)</f>
        <v>750.75</v>
      </c>
      <c r="AM350">
        <f t="shared" si="11"/>
        <v>0</v>
      </c>
      <c r="AO350">
        <f>VLOOKUP(A350,'[1]Prueba con 19mil datos'!$B$1:$AF$1228,31,FALSE)</f>
        <v>750.75</v>
      </c>
    </row>
    <row r="351" spans="1:44" hidden="1" x14ac:dyDescent="0.25">
      <c r="A351" s="16" t="s">
        <v>2065</v>
      </c>
      <c r="B351" s="15" t="s">
        <v>40</v>
      </c>
      <c r="C351" s="16">
        <v>1</v>
      </c>
      <c r="D351" s="16" t="s">
        <v>1591</v>
      </c>
      <c r="E351" s="17" t="s">
        <v>42</v>
      </c>
      <c r="F351" s="18" t="s">
        <v>1394</v>
      </c>
      <c r="G351" s="18" t="s">
        <v>1592</v>
      </c>
      <c r="H351" s="16" t="s">
        <v>540</v>
      </c>
      <c r="I351" s="19" t="s">
        <v>3</v>
      </c>
      <c r="J351" s="16" t="s">
        <v>12</v>
      </c>
      <c r="K351" s="20" t="s">
        <v>541</v>
      </c>
      <c r="L351" s="20" t="s">
        <v>542</v>
      </c>
      <c r="M351" s="16" t="s">
        <v>105</v>
      </c>
      <c r="N351" s="16">
        <v>1</v>
      </c>
      <c r="O351" s="16" t="s">
        <v>50</v>
      </c>
      <c r="P351" s="20">
        <v>148</v>
      </c>
      <c r="Q351" s="20" t="s">
        <v>51</v>
      </c>
      <c r="R351" s="21" t="s">
        <v>225</v>
      </c>
      <c r="S351" s="22" t="s">
        <v>130</v>
      </c>
      <c r="T351" s="22" t="s">
        <v>54</v>
      </c>
      <c r="U351" s="23" t="s">
        <v>226</v>
      </c>
      <c r="V351" s="24">
        <v>1.1000000000000001</v>
      </c>
      <c r="W351" s="25">
        <v>0</v>
      </c>
      <c r="X351" s="26">
        <v>1</v>
      </c>
      <c r="Y351" s="27">
        <v>0</v>
      </c>
      <c r="Z351" s="23">
        <v>5</v>
      </c>
      <c r="AA351" s="28">
        <v>0</v>
      </c>
      <c r="AB351" s="24">
        <v>0</v>
      </c>
      <c r="AC351" s="29">
        <v>0</v>
      </c>
      <c r="AD351" s="30">
        <v>43565</v>
      </c>
      <c r="AE351" s="30">
        <v>43566</v>
      </c>
      <c r="AF351" s="23">
        <v>1</v>
      </c>
      <c r="AG351" s="25" t="s">
        <v>56</v>
      </c>
      <c r="AH351" s="24">
        <v>0</v>
      </c>
      <c r="AI351" s="31">
        <v>0</v>
      </c>
      <c r="AJ351" s="31">
        <v>0</v>
      </c>
      <c r="AK351" s="44">
        <f t="shared" si="10"/>
        <v>0</v>
      </c>
      <c r="AL351">
        <f>VLOOKUP(A351,'[1]prueba con 16mil datos'!$A$1:$AE$804,31,FALSE)</f>
        <v>572</v>
      </c>
      <c r="AM351">
        <f t="shared" si="11"/>
        <v>0</v>
      </c>
      <c r="AO351">
        <f>VLOOKUP(A351,'[1]Prueba con 19mil datos'!$B$1:$AF$1228,31,FALSE)</f>
        <v>572</v>
      </c>
    </row>
    <row r="352" spans="1:44" hidden="1" x14ac:dyDescent="0.25">
      <c r="A352" s="16" t="s">
        <v>2874</v>
      </c>
      <c r="B352" s="15" t="s">
        <v>40</v>
      </c>
      <c r="C352" s="16">
        <v>1</v>
      </c>
      <c r="D352" s="16" t="s">
        <v>1648</v>
      </c>
      <c r="E352" s="17" t="s">
        <v>1522</v>
      </c>
      <c r="F352" s="18" t="s">
        <v>1097</v>
      </c>
      <c r="G352" s="18" t="s">
        <v>1643</v>
      </c>
      <c r="H352" s="16" t="s">
        <v>1525</v>
      </c>
      <c r="I352" s="19" t="s">
        <v>3</v>
      </c>
      <c r="J352" s="16" t="s">
        <v>12</v>
      </c>
      <c r="K352" s="20" t="s">
        <v>1101</v>
      </c>
      <c r="L352" s="20" t="s">
        <v>1526</v>
      </c>
      <c r="M352" s="16" t="s">
        <v>1527</v>
      </c>
      <c r="N352" s="16">
        <v>1</v>
      </c>
      <c r="O352" s="16" t="s">
        <v>50</v>
      </c>
      <c r="P352" s="20" t="s">
        <v>326</v>
      </c>
      <c r="Q352" s="20" t="s">
        <v>51</v>
      </c>
      <c r="R352" s="21" t="s">
        <v>77</v>
      </c>
      <c r="S352" s="22" t="s">
        <v>53</v>
      </c>
      <c r="T352" s="22" t="s">
        <v>157</v>
      </c>
      <c r="U352" s="23" t="s">
        <v>55</v>
      </c>
      <c r="V352" s="24">
        <v>1</v>
      </c>
      <c r="W352" s="25">
        <v>0</v>
      </c>
      <c r="X352" s="26">
        <v>0</v>
      </c>
      <c r="Y352" s="27">
        <v>9</v>
      </c>
      <c r="Z352" s="23">
        <v>9</v>
      </c>
      <c r="AA352" s="28">
        <v>1</v>
      </c>
      <c r="AB352" s="24">
        <v>0</v>
      </c>
      <c r="AC352" s="29">
        <v>0</v>
      </c>
      <c r="AD352" s="30">
        <v>43565</v>
      </c>
      <c r="AE352" s="30">
        <v>43566</v>
      </c>
      <c r="AF352" s="23">
        <v>1</v>
      </c>
      <c r="AG352" s="25" t="s">
        <v>56</v>
      </c>
      <c r="AH352" s="24">
        <v>0</v>
      </c>
      <c r="AI352" s="31">
        <v>0</v>
      </c>
      <c r="AJ352" s="31">
        <v>0</v>
      </c>
      <c r="AK352" s="44">
        <f t="shared" si="10"/>
        <v>0</v>
      </c>
      <c r="AL352">
        <f>VLOOKUP(A352,'[1]prueba con 16mil datos'!$A$1:$AE$804,31,FALSE)</f>
        <v>750.75</v>
      </c>
      <c r="AM352">
        <f t="shared" si="11"/>
        <v>0</v>
      </c>
      <c r="AO352">
        <f>VLOOKUP(A352,'[1]Prueba con 19mil datos'!$B$1:$AF$1228,31,FALSE)</f>
        <v>750.75</v>
      </c>
    </row>
    <row r="353" spans="1:41" hidden="1" x14ac:dyDescent="0.25">
      <c r="A353" s="16" t="s">
        <v>2054</v>
      </c>
      <c r="B353" s="15" t="s">
        <v>40</v>
      </c>
      <c r="C353" s="16">
        <v>1</v>
      </c>
      <c r="D353" s="16" t="s">
        <v>1820</v>
      </c>
      <c r="E353" s="17" t="s">
        <v>321</v>
      </c>
      <c r="F353" s="18" t="s">
        <v>1821</v>
      </c>
      <c r="G353" s="18" t="s">
        <v>1822</v>
      </c>
      <c r="H353" s="16" t="s">
        <v>504</v>
      </c>
      <c r="I353" s="19" t="s">
        <v>3</v>
      </c>
      <c r="J353" s="16" t="s">
        <v>12</v>
      </c>
      <c r="K353" s="20" t="s">
        <v>154</v>
      </c>
      <c r="L353" s="20" t="s">
        <v>1824</v>
      </c>
      <c r="M353" s="16" t="s">
        <v>823</v>
      </c>
      <c r="N353" s="16">
        <v>0</v>
      </c>
      <c r="O353" s="16" t="s">
        <v>50</v>
      </c>
      <c r="P353" s="20" t="s">
        <v>326</v>
      </c>
      <c r="Q353" s="20" t="s">
        <v>51</v>
      </c>
      <c r="R353" s="21" t="s">
        <v>287</v>
      </c>
      <c r="S353" s="22" t="s">
        <v>288</v>
      </c>
      <c r="T353" s="22" t="s">
        <v>54</v>
      </c>
      <c r="U353" s="23" t="s">
        <v>550</v>
      </c>
      <c r="V353" s="24">
        <v>1</v>
      </c>
      <c r="W353" s="25">
        <v>2359.5000000000005</v>
      </c>
      <c r="X353" s="26">
        <v>0</v>
      </c>
      <c r="Y353" s="27">
        <v>4</v>
      </c>
      <c r="Z353" s="23">
        <v>4</v>
      </c>
      <c r="AA353" s="28">
        <v>1</v>
      </c>
      <c r="AB353" s="24">
        <v>0</v>
      </c>
      <c r="AC353" s="29">
        <v>0</v>
      </c>
      <c r="AD353" s="30">
        <v>43566</v>
      </c>
      <c r="AE353" s="30">
        <v>43567</v>
      </c>
      <c r="AF353" s="23">
        <v>1</v>
      </c>
      <c r="AG353" s="25" t="s">
        <v>56</v>
      </c>
      <c r="AH353" s="24">
        <v>0</v>
      </c>
      <c r="AI353" s="31">
        <v>0</v>
      </c>
      <c r="AJ353" s="31">
        <v>0</v>
      </c>
      <c r="AK353" s="44">
        <f t="shared" si="10"/>
        <v>2359.5000000000005</v>
      </c>
      <c r="AL353">
        <f>VLOOKUP(A353,'[1]prueba con 16mil datos'!$A$1:$AE$804,31,FALSE)</f>
        <v>750.75</v>
      </c>
      <c r="AM353">
        <f t="shared" si="11"/>
        <v>0</v>
      </c>
      <c r="AO353">
        <f>VLOOKUP(A353,'[1]Prueba con 19mil datos'!$B$1:$AF$1228,31,FALSE)</f>
        <v>750.75</v>
      </c>
    </row>
    <row r="354" spans="1:41" hidden="1" x14ac:dyDescent="0.25">
      <c r="A354" s="16" t="s">
        <v>2611</v>
      </c>
      <c r="B354" s="15" t="s">
        <v>40</v>
      </c>
      <c r="C354" s="16">
        <v>1</v>
      </c>
      <c r="D354" s="16" t="s">
        <v>1718</v>
      </c>
      <c r="E354" s="17" t="s">
        <v>42</v>
      </c>
      <c r="F354" s="18" t="s">
        <v>391</v>
      </c>
      <c r="G354" s="18" t="s">
        <v>1719</v>
      </c>
      <c r="H354" s="16" t="s">
        <v>109</v>
      </c>
      <c r="I354" s="19" t="s">
        <v>3</v>
      </c>
      <c r="J354" s="16" t="s">
        <v>12</v>
      </c>
      <c r="K354" s="20" t="s">
        <v>198</v>
      </c>
      <c r="L354" s="20" t="s">
        <v>731</v>
      </c>
      <c r="M354" s="16" t="s">
        <v>200</v>
      </c>
      <c r="N354" s="16">
        <v>0</v>
      </c>
      <c r="O354" s="16" t="s">
        <v>50</v>
      </c>
      <c r="P354" s="20">
        <v>82</v>
      </c>
      <c r="Q354" s="20" t="s">
        <v>51</v>
      </c>
      <c r="R354" s="21" t="s">
        <v>129</v>
      </c>
      <c r="S354" s="22" t="s">
        <v>130</v>
      </c>
      <c r="T354" s="22" t="s">
        <v>54</v>
      </c>
      <c r="U354" s="23" t="s">
        <v>226</v>
      </c>
      <c r="V354" s="24">
        <v>1.1000000000000001</v>
      </c>
      <c r="W354" s="25">
        <v>1501.5000000000002</v>
      </c>
      <c r="X354" s="26">
        <v>1</v>
      </c>
      <c r="Y354" s="27">
        <v>0.71</v>
      </c>
      <c r="Z354" s="23">
        <v>5</v>
      </c>
      <c r="AA354" s="28">
        <v>0.14199999999999999</v>
      </c>
      <c r="AB354" s="24">
        <v>0</v>
      </c>
      <c r="AC354" s="29">
        <v>0</v>
      </c>
      <c r="AD354" s="30">
        <v>43566</v>
      </c>
      <c r="AE354" s="30">
        <v>43566</v>
      </c>
      <c r="AF354" s="23">
        <v>0</v>
      </c>
      <c r="AG354" s="25" t="s">
        <v>56</v>
      </c>
      <c r="AH354" s="24">
        <v>0</v>
      </c>
      <c r="AI354" s="31">
        <v>0</v>
      </c>
      <c r="AJ354" s="31">
        <v>0</v>
      </c>
      <c r="AK354" s="44">
        <f t="shared" si="10"/>
        <v>1501.5000000000002</v>
      </c>
      <c r="AL354" t="e">
        <f>VLOOKUP(A354,'[1]prueba con 16mil datos'!$A$1:$AE$804,31,FALSE)</f>
        <v>#N/A</v>
      </c>
      <c r="AM354" t="e">
        <f t="shared" si="11"/>
        <v>#N/A</v>
      </c>
      <c r="AO354">
        <f>VLOOKUP(A354,'[1]Prueba con 19mil datos'!$B$1:$AF$1228,31,FALSE)</f>
        <v>0</v>
      </c>
    </row>
    <row r="355" spans="1:41" hidden="1" x14ac:dyDescent="0.25">
      <c r="A355" s="16" t="s">
        <v>2179</v>
      </c>
      <c r="B355" s="15" t="s">
        <v>40</v>
      </c>
      <c r="C355" s="16">
        <v>1</v>
      </c>
      <c r="D355" s="16" t="s">
        <v>1695</v>
      </c>
      <c r="E355" s="17" t="s">
        <v>42</v>
      </c>
      <c r="F355" s="18" t="s">
        <v>381</v>
      </c>
      <c r="G355" s="18" t="s">
        <v>1696</v>
      </c>
      <c r="H355" s="16" t="s">
        <v>153</v>
      </c>
      <c r="I355" s="19" t="s">
        <v>3</v>
      </c>
      <c r="J355" s="16" t="s">
        <v>12</v>
      </c>
      <c r="K355" s="20" t="s">
        <v>154</v>
      </c>
      <c r="L355" s="20" t="s">
        <v>1242</v>
      </c>
      <c r="M355" s="16" t="s">
        <v>156</v>
      </c>
      <c r="N355" s="16">
        <v>0</v>
      </c>
      <c r="O355" s="16" t="s">
        <v>50</v>
      </c>
      <c r="P355" s="20">
        <v>14</v>
      </c>
      <c r="Q355" s="20" t="s">
        <v>65</v>
      </c>
      <c r="R355" s="21" t="s">
        <v>77</v>
      </c>
      <c r="S355" s="22" t="s">
        <v>53</v>
      </c>
      <c r="T355" s="22" t="s">
        <v>157</v>
      </c>
      <c r="U355" s="23" t="s">
        <v>1008</v>
      </c>
      <c r="V355" s="24">
        <v>0</v>
      </c>
      <c r="W355" s="25">
        <v>0</v>
      </c>
      <c r="X355" s="26">
        <v>1</v>
      </c>
      <c r="Y355" s="27">
        <v>4.83</v>
      </c>
      <c r="Z355" s="23">
        <v>9</v>
      </c>
      <c r="AA355" s="28">
        <v>0.53666666666666663</v>
      </c>
      <c r="AB355" s="24">
        <v>0</v>
      </c>
      <c r="AC355" s="29">
        <v>0</v>
      </c>
      <c r="AD355" s="30">
        <v>43566</v>
      </c>
      <c r="AE355" s="30">
        <v>43566</v>
      </c>
      <c r="AF355" s="23">
        <v>0</v>
      </c>
      <c r="AG355" s="25" t="s">
        <v>56</v>
      </c>
      <c r="AH355" s="24">
        <v>0</v>
      </c>
      <c r="AI355" s="31">
        <v>0</v>
      </c>
      <c r="AJ355" s="31">
        <v>0</v>
      </c>
      <c r="AK355" s="44">
        <f t="shared" si="10"/>
        <v>0</v>
      </c>
      <c r="AL355">
        <f>VLOOKUP(A355,'[1]prueba con 16mil datos'!$A$1:$AE$804,31,FALSE)</f>
        <v>429</v>
      </c>
      <c r="AM355">
        <f t="shared" si="11"/>
        <v>0</v>
      </c>
      <c r="AO355">
        <f>VLOOKUP(A355,'[1]Prueba con 19mil datos'!$B$1:$AF$1228,31,FALSE)</f>
        <v>429</v>
      </c>
    </row>
    <row r="356" spans="1:41" hidden="1" x14ac:dyDescent="0.25">
      <c r="A356" s="16" t="s">
        <v>2496</v>
      </c>
      <c r="B356" s="15" t="s">
        <v>40</v>
      </c>
      <c r="C356" s="16">
        <v>1</v>
      </c>
      <c r="D356" s="16" t="s">
        <v>1749</v>
      </c>
      <c r="E356" s="17" t="s">
        <v>42</v>
      </c>
      <c r="F356" s="18" t="s">
        <v>437</v>
      </c>
      <c r="G356" s="18" t="s">
        <v>1750</v>
      </c>
      <c r="H356" s="16" t="s">
        <v>192</v>
      </c>
      <c r="I356" s="19" t="s">
        <v>3</v>
      </c>
      <c r="J356" s="16" t="s">
        <v>12</v>
      </c>
      <c r="K356" s="20" t="s">
        <v>1752</v>
      </c>
      <c r="L356" s="20" t="s">
        <v>1753</v>
      </c>
      <c r="M356" s="16" t="s">
        <v>118</v>
      </c>
      <c r="N356" s="16">
        <v>0</v>
      </c>
      <c r="O356" s="16" t="s">
        <v>50</v>
      </c>
      <c r="P356" s="20">
        <v>59</v>
      </c>
      <c r="Q356" s="20" t="s">
        <v>86</v>
      </c>
      <c r="R356" s="21" t="s">
        <v>77</v>
      </c>
      <c r="S356" s="22" t="s">
        <v>53</v>
      </c>
      <c r="T356" s="22" t="s">
        <v>54</v>
      </c>
      <c r="U356" s="23" t="s">
        <v>88</v>
      </c>
      <c r="V356" s="24">
        <v>0.8</v>
      </c>
      <c r="W356" s="25">
        <v>572.00000000000011</v>
      </c>
      <c r="X356" s="26">
        <v>1</v>
      </c>
      <c r="Y356" s="27">
        <v>1.26</v>
      </c>
      <c r="Z356" s="23">
        <v>5</v>
      </c>
      <c r="AA356" s="28">
        <v>0.252</v>
      </c>
      <c r="AB356" s="24">
        <v>0</v>
      </c>
      <c r="AC356" s="29">
        <v>0</v>
      </c>
      <c r="AD356" s="30">
        <v>43566</v>
      </c>
      <c r="AE356" s="30">
        <v>43567</v>
      </c>
      <c r="AF356" s="23">
        <v>1</v>
      </c>
      <c r="AG356" s="25" t="s">
        <v>56</v>
      </c>
      <c r="AH356" s="24">
        <v>0</v>
      </c>
      <c r="AI356" s="31">
        <v>0</v>
      </c>
      <c r="AJ356" s="31">
        <v>0</v>
      </c>
      <c r="AK356" s="44">
        <f t="shared" si="10"/>
        <v>572.00000000000011</v>
      </c>
      <c r="AL356">
        <f>VLOOKUP(A356,'[1]prueba con 16mil datos'!$A$1:$AE$804,31,FALSE)</f>
        <v>750.75</v>
      </c>
      <c r="AM356">
        <f t="shared" si="11"/>
        <v>0</v>
      </c>
      <c r="AO356">
        <f>VLOOKUP(A356,'[1]Prueba con 19mil datos'!$B$1:$AF$1228,31,FALSE)</f>
        <v>750.75</v>
      </c>
    </row>
    <row r="357" spans="1:41" hidden="1" x14ac:dyDescent="0.25">
      <c r="A357" s="16" t="s">
        <v>2496</v>
      </c>
      <c r="B357" s="15" t="s">
        <v>40</v>
      </c>
      <c r="C357" s="16">
        <v>1</v>
      </c>
      <c r="D357" s="16" t="s">
        <v>1867</v>
      </c>
      <c r="E357" s="17" t="s">
        <v>42</v>
      </c>
      <c r="F357" s="18" t="s">
        <v>772</v>
      </c>
      <c r="G357" s="18" t="s">
        <v>1868</v>
      </c>
      <c r="H357" s="16" t="s">
        <v>440</v>
      </c>
      <c r="I357" s="19" t="s">
        <v>3</v>
      </c>
      <c r="J357" s="16" t="s">
        <v>12</v>
      </c>
      <c r="K357" s="20" t="s">
        <v>1870</v>
      </c>
      <c r="L357" s="20" t="s">
        <v>1871</v>
      </c>
      <c r="M357" s="16" t="s">
        <v>1872</v>
      </c>
      <c r="N357" s="16">
        <v>0</v>
      </c>
      <c r="O357" s="16" t="s">
        <v>50</v>
      </c>
      <c r="P357" s="20">
        <v>2688</v>
      </c>
      <c r="Q357" s="20" t="s">
        <v>51</v>
      </c>
      <c r="R357" s="21" t="s">
        <v>87</v>
      </c>
      <c r="S357" s="22" t="s">
        <v>53</v>
      </c>
      <c r="T357" s="22" t="s">
        <v>54</v>
      </c>
      <c r="U357" s="23" t="s">
        <v>55</v>
      </c>
      <c r="V357" s="24">
        <v>1.05</v>
      </c>
      <c r="W357" s="25">
        <v>750.75000000000011</v>
      </c>
      <c r="X357" s="26">
        <v>1</v>
      </c>
      <c r="Y357" s="27">
        <v>4.38</v>
      </c>
      <c r="Z357" s="23">
        <v>5</v>
      </c>
      <c r="AA357" s="28">
        <v>0.876</v>
      </c>
      <c r="AB357" s="24">
        <v>0</v>
      </c>
      <c r="AC357" s="29">
        <v>0</v>
      </c>
      <c r="AD357" s="30">
        <v>43566</v>
      </c>
      <c r="AE357" s="30">
        <v>43567</v>
      </c>
      <c r="AF357" s="23">
        <v>1</v>
      </c>
      <c r="AG357" s="25" t="s">
        <v>56</v>
      </c>
      <c r="AH357" s="24">
        <v>0</v>
      </c>
      <c r="AI357" s="31">
        <v>0</v>
      </c>
      <c r="AJ357" s="31">
        <v>0</v>
      </c>
      <c r="AK357" s="44">
        <f t="shared" si="10"/>
        <v>750.75000000000011</v>
      </c>
      <c r="AL357">
        <f>VLOOKUP(A357,'[1]prueba con 16mil datos'!$A$1:$AE$804,31,FALSE)</f>
        <v>750.75</v>
      </c>
      <c r="AM357">
        <f t="shared" si="11"/>
        <v>1</v>
      </c>
      <c r="AO357">
        <f>VLOOKUP(A357,'[1]Prueba con 19mil datos'!$B$1:$AF$1228,31,FALSE)</f>
        <v>750.75</v>
      </c>
    </row>
    <row r="358" spans="1:41" hidden="1" x14ac:dyDescent="0.25">
      <c r="A358" s="16" t="s">
        <v>1619</v>
      </c>
      <c r="B358" s="15" t="s">
        <v>40</v>
      </c>
      <c r="C358" s="16">
        <v>1</v>
      </c>
      <c r="D358" s="16" t="s">
        <v>1698</v>
      </c>
      <c r="E358" s="17" t="s">
        <v>42</v>
      </c>
      <c r="F358" s="18" t="s">
        <v>90</v>
      </c>
      <c r="G358" s="18" t="s">
        <v>1699</v>
      </c>
      <c r="H358" s="16" t="s">
        <v>153</v>
      </c>
      <c r="I358" s="19" t="s">
        <v>3</v>
      </c>
      <c r="J358" s="16" t="s">
        <v>12</v>
      </c>
      <c r="K358" s="20" t="s">
        <v>154</v>
      </c>
      <c r="L358" s="20" t="s">
        <v>1701</v>
      </c>
      <c r="M358" s="16" t="s">
        <v>1113</v>
      </c>
      <c r="N358" s="16">
        <v>0</v>
      </c>
      <c r="O358" s="16" t="s">
        <v>50</v>
      </c>
      <c r="P358" s="20">
        <v>73</v>
      </c>
      <c r="Q358" s="20" t="s">
        <v>51</v>
      </c>
      <c r="R358" s="21" t="s">
        <v>77</v>
      </c>
      <c r="S358" s="22" t="s">
        <v>53</v>
      </c>
      <c r="T358" s="22" t="s">
        <v>157</v>
      </c>
      <c r="U358" s="23" t="s">
        <v>55</v>
      </c>
      <c r="V358" s="24">
        <v>1.05</v>
      </c>
      <c r="W358" s="25">
        <v>750.75000000000011</v>
      </c>
      <c r="X358" s="26">
        <v>1</v>
      </c>
      <c r="Y358" s="27">
        <v>2.82</v>
      </c>
      <c r="Z358" s="23">
        <v>9</v>
      </c>
      <c r="AA358" s="28">
        <v>0.3133333333333333</v>
      </c>
      <c r="AB358" s="24">
        <v>0</v>
      </c>
      <c r="AC358" s="29">
        <v>0</v>
      </c>
      <c r="AD358" s="30">
        <v>43566</v>
      </c>
      <c r="AE358" s="30">
        <v>43566</v>
      </c>
      <c r="AF358" s="23">
        <v>0</v>
      </c>
      <c r="AG358" s="25" t="s">
        <v>56</v>
      </c>
      <c r="AH358" s="24">
        <v>0</v>
      </c>
      <c r="AI358" s="31">
        <v>0</v>
      </c>
      <c r="AJ358" s="31">
        <v>0</v>
      </c>
      <c r="AK358" s="44">
        <f t="shared" si="10"/>
        <v>750.75000000000011</v>
      </c>
      <c r="AL358" t="e">
        <f>VLOOKUP(A358,'[1]prueba con 16mil datos'!$A$1:$AE$804,31,FALSE)</f>
        <v>#N/A</v>
      </c>
      <c r="AM358" t="e">
        <f t="shared" si="11"/>
        <v>#N/A</v>
      </c>
      <c r="AO358">
        <f>VLOOKUP(A358,'[1]Prueba con 19mil datos'!$B$1:$AF$1228,31,FALSE)</f>
        <v>0</v>
      </c>
    </row>
    <row r="359" spans="1:41" hidden="1" x14ac:dyDescent="0.25">
      <c r="A359" s="16" t="s">
        <v>263</v>
      </c>
      <c r="B359" s="15" t="s">
        <v>40</v>
      </c>
      <c r="C359" s="16">
        <v>1</v>
      </c>
      <c r="D359" s="16" t="s">
        <v>1676</v>
      </c>
      <c r="E359" s="17" t="s">
        <v>42</v>
      </c>
      <c r="F359" s="18" t="s">
        <v>90</v>
      </c>
      <c r="G359" s="18" t="s">
        <v>1581</v>
      </c>
      <c r="H359" s="16" t="s">
        <v>621</v>
      </c>
      <c r="I359" s="19" t="s">
        <v>3</v>
      </c>
      <c r="J359" s="16" t="s">
        <v>12</v>
      </c>
      <c r="K359" s="20" t="s">
        <v>154</v>
      </c>
      <c r="L359" s="20" t="s">
        <v>1678</v>
      </c>
      <c r="M359" s="16" t="s">
        <v>1679</v>
      </c>
      <c r="N359" s="16">
        <v>0</v>
      </c>
      <c r="O359" s="16" t="s">
        <v>50</v>
      </c>
      <c r="P359" s="20">
        <v>575</v>
      </c>
      <c r="Q359" s="20" t="s">
        <v>51</v>
      </c>
      <c r="R359" s="21" t="s">
        <v>77</v>
      </c>
      <c r="S359" s="22" t="s">
        <v>53</v>
      </c>
      <c r="T359" s="22" t="s">
        <v>54</v>
      </c>
      <c r="U359" s="23" t="s">
        <v>55</v>
      </c>
      <c r="V359" s="24">
        <v>1.05</v>
      </c>
      <c r="W359" s="25">
        <v>750.75000000000011</v>
      </c>
      <c r="X359" s="26">
        <v>1</v>
      </c>
      <c r="Y359" s="27">
        <v>6.98</v>
      </c>
      <c r="Z359" s="23">
        <v>5</v>
      </c>
      <c r="AA359" s="28">
        <v>1.3960000000000001</v>
      </c>
      <c r="AB359" s="24">
        <v>9.9000000000000032E-2</v>
      </c>
      <c r="AC359" s="29">
        <v>-70.785000000000039</v>
      </c>
      <c r="AD359" s="30">
        <v>43566</v>
      </c>
      <c r="AE359" s="30">
        <v>43566</v>
      </c>
      <c r="AF359" s="23">
        <v>0</v>
      </c>
      <c r="AG359" s="25" t="s">
        <v>56</v>
      </c>
      <c r="AH359" s="24">
        <v>0</v>
      </c>
      <c r="AI359" s="31">
        <v>0</v>
      </c>
      <c r="AJ359" s="31">
        <v>0</v>
      </c>
      <c r="AK359" s="44">
        <f t="shared" si="10"/>
        <v>679.96500000000003</v>
      </c>
      <c r="AL359">
        <f>VLOOKUP(A359,'[1]prueba con 16mil datos'!$A$1:$AE$804,31,FALSE)</f>
        <v>1651.65</v>
      </c>
      <c r="AM359">
        <f t="shared" si="11"/>
        <v>0</v>
      </c>
      <c r="AO359">
        <f>VLOOKUP(A359,'[1]Prueba con 19mil datos'!$B$1:$AF$1228,31,FALSE)</f>
        <v>1651.65</v>
      </c>
    </row>
    <row r="360" spans="1:41" hidden="1" x14ac:dyDescent="0.25">
      <c r="A360" s="16" t="s">
        <v>1333</v>
      </c>
      <c r="B360" s="15" t="s">
        <v>40</v>
      </c>
      <c r="C360" s="16">
        <v>1</v>
      </c>
      <c r="D360" s="16" t="s">
        <v>1673</v>
      </c>
      <c r="E360" s="17" t="s">
        <v>42</v>
      </c>
      <c r="F360" s="18" t="s">
        <v>90</v>
      </c>
      <c r="G360" s="18" t="s">
        <v>1674</v>
      </c>
      <c r="H360" s="16" t="s">
        <v>440</v>
      </c>
      <c r="I360" s="19" t="s">
        <v>3</v>
      </c>
      <c r="J360" s="16" t="s">
        <v>12</v>
      </c>
      <c r="K360" s="20" t="s">
        <v>398</v>
      </c>
      <c r="L360" s="20" t="s">
        <v>399</v>
      </c>
      <c r="M360" s="16" t="s">
        <v>118</v>
      </c>
      <c r="N360" s="16">
        <v>0</v>
      </c>
      <c r="O360" s="16" t="s">
        <v>50</v>
      </c>
      <c r="P360" s="20">
        <v>2686</v>
      </c>
      <c r="Q360" s="20" t="s">
        <v>51</v>
      </c>
      <c r="R360" s="21" t="s">
        <v>77</v>
      </c>
      <c r="S360" s="22" t="s">
        <v>53</v>
      </c>
      <c r="T360" s="22" t="s">
        <v>54</v>
      </c>
      <c r="U360" s="23" t="s">
        <v>55</v>
      </c>
      <c r="V360" s="24">
        <v>1.05</v>
      </c>
      <c r="W360" s="25">
        <v>750.75000000000011</v>
      </c>
      <c r="X360" s="26">
        <v>1</v>
      </c>
      <c r="Y360" s="27">
        <v>2.2599999999999998</v>
      </c>
      <c r="Z360" s="23">
        <v>5</v>
      </c>
      <c r="AA360" s="28">
        <v>0.45199999999999996</v>
      </c>
      <c r="AB360" s="24">
        <v>0</v>
      </c>
      <c r="AC360" s="29">
        <v>0</v>
      </c>
      <c r="AD360" s="30">
        <v>43566</v>
      </c>
      <c r="AE360" s="30">
        <v>43566</v>
      </c>
      <c r="AF360" s="23">
        <v>0</v>
      </c>
      <c r="AG360" s="25" t="s">
        <v>56</v>
      </c>
      <c r="AH360" s="24">
        <v>0</v>
      </c>
      <c r="AI360" s="31">
        <v>0</v>
      </c>
      <c r="AJ360" s="31">
        <v>0</v>
      </c>
      <c r="AK360" s="44">
        <f t="shared" si="10"/>
        <v>750.75000000000011</v>
      </c>
      <c r="AL360">
        <f>VLOOKUP(A360,'[1]prueba con 16mil datos'!$A$1:$AE$804,31,FALSE)</f>
        <v>429</v>
      </c>
      <c r="AM360">
        <f t="shared" si="11"/>
        <v>0</v>
      </c>
      <c r="AO360">
        <f>VLOOKUP(A360,'[1]Prueba con 19mil datos'!$B$1:$AF$1228,31,FALSE)</f>
        <v>429</v>
      </c>
    </row>
    <row r="361" spans="1:41" hidden="1" x14ac:dyDescent="0.25">
      <c r="A361" s="16" t="s">
        <v>2614</v>
      </c>
      <c r="B361" s="15" t="s">
        <v>40</v>
      </c>
      <c r="C361" s="16">
        <v>1</v>
      </c>
      <c r="D361" s="16" t="s">
        <v>1634</v>
      </c>
      <c r="E361" s="17" t="s">
        <v>42</v>
      </c>
      <c r="F361" s="18" t="s">
        <v>90</v>
      </c>
      <c r="G361" s="18" t="s">
        <v>1635</v>
      </c>
      <c r="H361" s="16" t="s">
        <v>293</v>
      </c>
      <c r="I361" s="19" t="s">
        <v>3</v>
      </c>
      <c r="J361" s="16" t="s">
        <v>12</v>
      </c>
      <c r="K361" s="20" t="s">
        <v>193</v>
      </c>
      <c r="L361" s="20" t="s">
        <v>1637</v>
      </c>
      <c r="M361" s="16" t="s">
        <v>296</v>
      </c>
      <c r="N361" s="16">
        <v>0</v>
      </c>
      <c r="O361" s="16" t="s">
        <v>50</v>
      </c>
      <c r="P361" s="20">
        <v>2688</v>
      </c>
      <c r="Q361" s="20" t="s">
        <v>51</v>
      </c>
      <c r="R361" s="21" t="s">
        <v>77</v>
      </c>
      <c r="S361" s="22" t="s">
        <v>53</v>
      </c>
      <c r="T361" s="22" t="s">
        <v>54</v>
      </c>
      <c r="U361" s="23" t="s">
        <v>55</v>
      </c>
      <c r="V361" s="24">
        <v>1.05</v>
      </c>
      <c r="W361" s="25">
        <v>750.75000000000011</v>
      </c>
      <c r="X361" s="26">
        <v>1</v>
      </c>
      <c r="Y361" s="27">
        <v>1.7</v>
      </c>
      <c r="Z361" s="23">
        <v>5</v>
      </c>
      <c r="AA361" s="28">
        <v>0.33999999999999997</v>
      </c>
      <c r="AB361" s="24">
        <v>0</v>
      </c>
      <c r="AC361" s="29">
        <v>0</v>
      </c>
      <c r="AD361" s="30">
        <v>43566</v>
      </c>
      <c r="AE361" s="30">
        <v>43566</v>
      </c>
      <c r="AF361" s="23">
        <v>0</v>
      </c>
      <c r="AG361" s="25" t="s">
        <v>56</v>
      </c>
      <c r="AH361" s="24">
        <v>0</v>
      </c>
      <c r="AI361" s="31">
        <v>0</v>
      </c>
      <c r="AJ361" s="31">
        <v>0</v>
      </c>
      <c r="AK361" s="44">
        <f t="shared" si="10"/>
        <v>750.75000000000011</v>
      </c>
      <c r="AL361">
        <f>VLOOKUP(A361,'[1]prueba con 16mil datos'!$A$1:$AE$804,31,FALSE)</f>
        <v>429</v>
      </c>
      <c r="AM361">
        <f t="shared" si="11"/>
        <v>0</v>
      </c>
      <c r="AO361">
        <f>VLOOKUP(A361,'[1]Prueba con 19mil datos'!$B$1:$AF$1228,31,FALSE)</f>
        <v>429</v>
      </c>
    </row>
    <row r="362" spans="1:41" hidden="1" x14ac:dyDescent="0.25">
      <c r="A362" s="16" t="s">
        <v>2614</v>
      </c>
      <c r="B362" s="15" t="s">
        <v>40</v>
      </c>
      <c r="C362" s="16">
        <v>1</v>
      </c>
      <c r="D362" s="16" t="s">
        <v>1645</v>
      </c>
      <c r="E362" s="17" t="s">
        <v>42</v>
      </c>
      <c r="F362" s="18" t="s">
        <v>281</v>
      </c>
      <c r="G362" s="18" t="s">
        <v>1646</v>
      </c>
      <c r="H362" s="16" t="s">
        <v>463</v>
      </c>
      <c r="I362" s="19" t="s">
        <v>3</v>
      </c>
      <c r="J362" s="16" t="s">
        <v>12</v>
      </c>
      <c r="K362" s="20" t="s">
        <v>126</v>
      </c>
      <c r="L362" s="20" t="s">
        <v>630</v>
      </c>
      <c r="M362" s="16" t="s">
        <v>76</v>
      </c>
      <c r="N362" s="16">
        <v>0</v>
      </c>
      <c r="O362" s="16" t="s">
        <v>50</v>
      </c>
      <c r="P362" s="20">
        <v>72</v>
      </c>
      <c r="Q362" s="20" t="s">
        <v>51</v>
      </c>
      <c r="R362" s="21" t="s">
        <v>287</v>
      </c>
      <c r="S362" s="22" t="s">
        <v>288</v>
      </c>
      <c r="T362" s="22" t="s">
        <v>54</v>
      </c>
      <c r="U362" s="23" t="s">
        <v>550</v>
      </c>
      <c r="V362" s="24">
        <v>1.1499999999999999</v>
      </c>
      <c r="W362" s="25">
        <v>1808.95</v>
      </c>
      <c r="X362" s="26">
        <v>1</v>
      </c>
      <c r="Y362" s="27">
        <v>0.08</v>
      </c>
      <c r="Z362" s="23">
        <v>4</v>
      </c>
      <c r="AA362" s="28">
        <v>0.02</v>
      </c>
      <c r="AB362" s="24">
        <v>0</v>
      </c>
      <c r="AC362" s="29">
        <v>0</v>
      </c>
      <c r="AD362" s="30">
        <v>43566</v>
      </c>
      <c r="AE362" s="30">
        <v>43566</v>
      </c>
      <c r="AF362" s="23">
        <v>0</v>
      </c>
      <c r="AG362" s="25" t="s">
        <v>56</v>
      </c>
      <c r="AH362" s="24">
        <v>0</v>
      </c>
      <c r="AI362" s="31">
        <v>0</v>
      </c>
      <c r="AJ362" s="31">
        <v>0</v>
      </c>
      <c r="AK362" s="44">
        <f t="shared" si="10"/>
        <v>1808.95</v>
      </c>
      <c r="AL362">
        <f>VLOOKUP(A362,'[1]prueba con 16mil datos'!$A$1:$AE$804,31,FALSE)</f>
        <v>429</v>
      </c>
      <c r="AM362">
        <f t="shared" si="11"/>
        <v>0</v>
      </c>
      <c r="AO362">
        <f>VLOOKUP(A362,'[1]Prueba con 19mil datos'!$B$1:$AF$1228,31,FALSE)</f>
        <v>429</v>
      </c>
    </row>
    <row r="363" spans="1:41" hidden="1" x14ac:dyDescent="0.25">
      <c r="A363" s="16" t="s">
        <v>1690</v>
      </c>
      <c r="B363" s="15" t="s">
        <v>40</v>
      </c>
      <c r="C363" s="16">
        <v>1</v>
      </c>
      <c r="D363" s="16" t="s">
        <v>1745</v>
      </c>
      <c r="E363" s="17" t="s">
        <v>42</v>
      </c>
      <c r="F363" s="18" t="s">
        <v>99</v>
      </c>
      <c r="G363" s="18" t="s">
        <v>1746</v>
      </c>
      <c r="H363" s="16" t="s">
        <v>346</v>
      </c>
      <c r="I363" s="19" t="s">
        <v>3</v>
      </c>
      <c r="J363" s="16" t="s">
        <v>12</v>
      </c>
      <c r="K363" s="20" t="s">
        <v>294</v>
      </c>
      <c r="L363" s="20" t="s">
        <v>1748</v>
      </c>
      <c r="M363" s="16" t="s">
        <v>850</v>
      </c>
      <c r="N363" s="16">
        <v>0</v>
      </c>
      <c r="O363" s="16" t="s">
        <v>50</v>
      </c>
      <c r="P363" s="20">
        <v>35</v>
      </c>
      <c r="Q363" s="20" t="s">
        <v>86</v>
      </c>
      <c r="R363" s="21" t="s">
        <v>77</v>
      </c>
      <c r="S363" s="22" t="s">
        <v>53</v>
      </c>
      <c r="T363" s="22" t="s">
        <v>54</v>
      </c>
      <c r="U363" s="23" t="s">
        <v>88</v>
      </c>
      <c r="V363" s="24">
        <v>0.8</v>
      </c>
      <c r="W363" s="25">
        <v>572.00000000000011</v>
      </c>
      <c r="X363" s="26">
        <v>1</v>
      </c>
      <c r="Y363" s="27">
        <v>1.72</v>
      </c>
      <c r="Z363" s="23">
        <v>5</v>
      </c>
      <c r="AA363" s="28">
        <v>0.34399999999999997</v>
      </c>
      <c r="AB363" s="24">
        <v>0</v>
      </c>
      <c r="AC363" s="29">
        <v>0</v>
      </c>
      <c r="AD363" s="30">
        <v>43566</v>
      </c>
      <c r="AE363" s="30">
        <v>43567</v>
      </c>
      <c r="AF363" s="23">
        <v>1</v>
      </c>
      <c r="AG363" s="25" t="s">
        <v>56</v>
      </c>
      <c r="AH363" s="24">
        <v>0</v>
      </c>
      <c r="AI363" s="31">
        <v>0</v>
      </c>
      <c r="AJ363" s="31">
        <v>0</v>
      </c>
      <c r="AK363" s="44">
        <f t="shared" si="10"/>
        <v>572.00000000000011</v>
      </c>
      <c r="AL363">
        <f>VLOOKUP(A363,'[1]prueba con 16mil datos'!$A$1:$AE$804,31,FALSE)</f>
        <v>750.75</v>
      </c>
      <c r="AM363">
        <f t="shared" si="11"/>
        <v>0</v>
      </c>
      <c r="AO363">
        <f>VLOOKUP(A363,'[1]Prueba con 19mil datos'!$B$1:$AF$1228,31,FALSE)</f>
        <v>750.75</v>
      </c>
    </row>
    <row r="364" spans="1:41" hidden="1" x14ac:dyDescent="0.25">
      <c r="A364" s="16" t="s">
        <v>1599</v>
      </c>
      <c r="B364" s="15" t="s">
        <v>40</v>
      </c>
      <c r="C364" s="16">
        <v>1</v>
      </c>
      <c r="D364" s="16" t="s">
        <v>1728</v>
      </c>
      <c r="E364" s="17" t="s">
        <v>42</v>
      </c>
      <c r="F364" s="18" t="s">
        <v>99</v>
      </c>
      <c r="G364" s="18" t="s">
        <v>1601</v>
      </c>
      <c r="H364" s="16" t="s">
        <v>46</v>
      </c>
      <c r="I364" s="19" t="s">
        <v>3</v>
      </c>
      <c r="J364" s="16" t="s">
        <v>12</v>
      </c>
      <c r="K364" s="20" t="s">
        <v>103</v>
      </c>
      <c r="L364" s="20" t="s">
        <v>1730</v>
      </c>
      <c r="M364" s="16" t="s">
        <v>49</v>
      </c>
      <c r="N364" s="16">
        <v>0</v>
      </c>
      <c r="O364" s="16" t="s">
        <v>50</v>
      </c>
      <c r="P364" s="20">
        <v>92</v>
      </c>
      <c r="Q364" s="20" t="s">
        <v>51</v>
      </c>
      <c r="R364" s="21" t="s">
        <v>77</v>
      </c>
      <c r="S364" s="22" t="s">
        <v>53</v>
      </c>
      <c r="T364" s="22" t="s">
        <v>54</v>
      </c>
      <c r="U364" s="23" t="s">
        <v>55</v>
      </c>
      <c r="V364" s="24">
        <v>1.05</v>
      </c>
      <c r="W364" s="25">
        <v>750.75000000000011</v>
      </c>
      <c r="X364" s="26">
        <v>1</v>
      </c>
      <c r="Y364" s="27">
        <v>0</v>
      </c>
      <c r="Z364" s="23">
        <v>5</v>
      </c>
      <c r="AA364" s="28">
        <v>0</v>
      </c>
      <c r="AB364" s="24">
        <v>0</v>
      </c>
      <c r="AC364" s="29">
        <v>0</v>
      </c>
      <c r="AD364" s="30">
        <v>43566</v>
      </c>
      <c r="AE364" s="30">
        <v>43567</v>
      </c>
      <c r="AF364" s="23">
        <v>1</v>
      </c>
      <c r="AG364" s="25" t="s">
        <v>56</v>
      </c>
      <c r="AH364" s="24">
        <v>0</v>
      </c>
      <c r="AI364" s="31">
        <v>0</v>
      </c>
      <c r="AJ364" s="31">
        <v>0</v>
      </c>
      <c r="AK364" s="44">
        <f t="shared" si="10"/>
        <v>750.75000000000011</v>
      </c>
      <c r="AL364">
        <f>VLOOKUP(A364,'[1]prueba con 16mil datos'!$A$1:$AE$804,31,FALSE)</f>
        <v>750.75</v>
      </c>
      <c r="AM364">
        <f t="shared" si="11"/>
        <v>1</v>
      </c>
      <c r="AO364">
        <f>VLOOKUP(A364,'[1]Prueba con 19mil datos'!$B$1:$AF$1228,31,FALSE)</f>
        <v>750.75</v>
      </c>
    </row>
    <row r="365" spans="1:41" hidden="1" x14ac:dyDescent="0.25">
      <c r="A365" s="16" t="s">
        <v>1413</v>
      </c>
      <c r="B365" s="15" t="s">
        <v>40</v>
      </c>
      <c r="C365" s="16">
        <v>1</v>
      </c>
      <c r="D365" s="16" t="s">
        <v>1711</v>
      </c>
      <c r="E365" s="17" t="s">
        <v>1522</v>
      </c>
      <c r="F365" s="18" t="s">
        <v>99</v>
      </c>
      <c r="G365" s="18" t="s">
        <v>1712</v>
      </c>
      <c r="H365" s="16" t="s">
        <v>264</v>
      </c>
      <c r="I365" s="19" t="s">
        <v>3</v>
      </c>
      <c r="J365" s="16" t="s">
        <v>12</v>
      </c>
      <c r="K365" s="20" t="s">
        <v>378</v>
      </c>
      <c r="L365" s="20" t="s">
        <v>1714</v>
      </c>
      <c r="M365" s="16" t="s">
        <v>49</v>
      </c>
      <c r="N365" s="16">
        <v>0</v>
      </c>
      <c r="O365" s="16" t="s">
        <v>50</v>
      </c>
      <c r="P365" s="20" t="s">
        <v>326</v>
      </c>
      <c r="Q365" s="20" t="s">
        <v>51</v>
      </c>
      <c r="R365" s="21" t="s">
        <v>77</v>
      </c>
      <c r="S365" s="22" t="s">
        <v>53</v>
      </c>
      <c r="T365" s="22" t="s">
        <v>54</v>
      </c>
      <c r="U365" s="23" t="s">
        <v>55</v>
      </c>
      <c r="V365" s="24">
        <v>1</v>
      </c>
      <c r="W365" s="25">
        <v>715.00000000000011</v>
      </c>
      <c r="X365" s="26">
        <v>0</v>
      </c>
      <c r="Y365" s="27">
        <v>5</v>
      </c>
      <c r="Z365" s="23">
        <v>5</v>
      </c>
      <c r="AA365" s="28">
        <v>1</v>
      </c>
      <c r="AB365" s="24">
        <v>0</v>
      </c>
      <c r="AC365" s="29">
        <v>0</v>
      </c>
      <c r="AD365" s="30">
        <v>43566</v>
      </c>
      <c r="AE365" s="30">
        <v>43566</v>
      </c>
      <c r="AF365" s="23">
        <v>0</v>
      </c>
      <c r="AG365" s="25" t="s">
        <v>56</v>
      </c>
      <c r="AH365" s="24">
        <v>0</v>
      </c>
      <c r="AI365" s="31">
        <v>0</v>
      </c>
      <c r="AJ365" s="31">
        <v>0</v>
      </c>
      <c r="AK365" s="44">
        <f t="shared" si="10"/>
        <v>715.00000000000011</v>
      </c>
      <c r="AL365">
        <f>VLOOKUP(A365,'[1]prueba con 16mil datos'!$A$1:$AE$804,31,FALSE)</f>
        <v>750.75</v>
      </c>
      <c r="AM365">
        <f t="shared" si="11"/>
        <v>0</v>
      </c>
      <c r="AO365">
        <f>VLOOKUP(A365,'[1]Prueba con 19mil datos'!$B$1:$AF$1228,31,FALSE)</f>
        <v>750.75</v>
      </c>
    </row>
    <row r="366" spans="1:41" hidden="1" x14ac:dyDescent="0.25">
      <c r="A366" s="16" t="s">
        <v>2087</v>
      </c>
      <c r="B366" s="15" t="s">
        <v>40</v>
      </c>
      <c r="C366" s="16">
        <v>1</v>
      </c>
      <c r="D366" s="16" t="s">
        <v>1614</v>
      </c>
      <c r="E366" s="17" t="s">
        <v>42</v>
      </c>
      <c r="F366" s="18" t="s">
        <v>228</v>
      </c>
      <c r="G366" s="18" t="s">
        <v>1615</v>
      </c>
      <c r="H366" s="16" t="s">
        <v>213</v>
      </c>
      <c r="I366" s="19" t="s">
        <v>3</v>
      </c>
      <c r="J366" s="16" t="s">
        <v>12</v>
      </c>
      <c r="K366" s="20" t="s">
        <v>198</v>
      </c>
      <c r="L366" s="20" t="s">
        <v>478</v>
      </c>
      <c r="M366" s="16" t="s">
        <v>479</v>
      </c>
      <c r="N366" s="16">
        <v>0</v>
      </c>
      <c r="O366" s="16" t="s">
        <v>50</v>
      </c>
      <c r="P366" s="20">
        <v>91</v>
      </c>
      <c r="Q366" s="20" t="s">
        <v>51</v>
      </c>
      <c r="R366" s="21" t="s">
        <v>87</v>
      </c>
      <c r="S366" s="22" t="s">
        <v>53</v>
      </c>
      <c r="T366" s="22" t="s">
        <v>54</v>
      </c>
      <c r="U366" s="23" t="s">
        <v>55</v>
      </c>
      <c r="V366" s="24">
        <v>1.05</v>
      </c>
      <c r="W366" s="25">
        <v>750.75000000000011</v>
      </c>
      <c r="X366" s="26">
        <v>1</v>
      </c>
      <c r="Y366" s="27">
        <v>2.68</v>
      </c>
      <c r="Z366" s="23">
        <v>5</v>
      </c>
      <c r="AA366" s="28">
        <v>0.53600000000000003</v>
      </c>
      <c r="AB366" s="24">
        <v>0</v>
      </c>
      <c r="AC366" s="29">
        <v>0</v>
      </c>
      <c r="AD366" s="30">
        <v>43566</v>
      </c>
      <c r="AE366" s="30">
        <v>43566</v>
      </c>
      <c r="AF366" s="23">
        <v>0</v>
      </c>
      <c r="AG366" s="25" t="s">
        <v>56</v>
      </c>
      <c r="AH366" s="24">
        <v>0</v>
      </c>
      <c r="AI366" s="31">
        <v>0</v>
      </c>
      <c r="AJ366" s="31">
        <v>0</v>
      </c>
      <c r="AK366" s="44">
        <f t="shared" si="10"/>
        <v>750.75000000000011</v>
      </c>
      <c r="AL366">
        <f>VLOOKUP(A366,'[1]prueba con 16mil datos'!$A$1:$AE$804,31,FALSE)</f>
        <v>482.625</v>
      </c>
      <c r="AM366">
        <f t="shared" si="11"/>
        <v>0</v>
      </c>
      <c r="AO366">
        <f>VLOOKUP(A366,'[1]Prueba con 19mil datos'!$B$1:$AF$1228,31,FALSE)</f>
        <v>0</v>
      </c>
    </row>
    <row r="367" spans="1:41" hidden="1" x14ac:dyDescent="0.25">
      <c r="A367" s="16" t="s">
        <v>2141</v>
      </c>
      <c r="B367" s="15" t="s">
        <v>40</v>
      </c>
      <c r="C367" s="16">
        <v>1</v>
      </c>
      <c r="D367" s="16" t="s">
        <v>1706</v>
      </c>
      <c r="E367" s="17" t="s">
        <v>42</v>
      </c>
      <c r="F367" s="18" t="s">
        <v>228</v>
      </c>
      <c r="G367" s="18" t="s">
        <v>1707</v>
      </c>
      <c r="H367" s="16" t="s">
        <v>516</v>
      </c>
      <c r="I367" s="19" t="s">
        <v>3</v>
      </c>
      <c r="J367" s="16" t="s">
        <v>12</v>
      </c>
      <c r="K367" s="20" t="s">
        <v>1709</v>
      </c>
      <c r="L367" s="20" t="s">
        <v>1710</v>
      </c>
      <c r="M367" s="16" t="s">
        <v>429</v>
      </c>
      <c r="N367" s="16">
        <v>0</v>
      </c>
      <c r="O367" s="16" t="s">
        <v>50</v>
      </c>
      <c r="P367" s="20">
        <v>2686</v>
      </c>
      <c r="Q367" s="20" t="s">
        <v>51</v>
      </c>
      <c r="R367" s="21" t="s">
        <v>87</v>
      </c>
      <c r="S367" s="22" t="s">
        <v>53</v>
      </c>
      <c r="T367" s="22" t="s">
        <v>54</v>
      </c>
      <c r="U367" s="23" t="s">
        <v>55</v>
      </c>
      <c r="V367" s="24">
        <v>1.05</v>
      </c>
      <c r="W367" s="25">
        <v>750.75000000000011</v>
      </c>
      <c r="X367" s="26">
        <v>1</v>
      </c>
      <c r="Y367" s="27">
        <v>1.1499999999999999</v>
      </c>
      <c r="Z367" s="23">
        <v>5</v>
      </c>
      <c r="AA367" s="28">
        <v>0.22999999999999998</v>
      </c>
      <c r="AB367" s="24">
        <v>0</v>
      </c>
      <c r="AC367" s="29">
        <v>0</v>
      </c>
      <c r="AD367" s="30">
        <v>43566</v>
      </c>
      <c r="AE367" s="30">
        <v>43566</v>
      </c>
      <c r="AF367" s="23">
        <v>0</v>
      </c>
      <c r="AG367" s="25" t="s">
        <v>56</v>
      </c>
      <c r="AH367" s="24">
        <v>0</v>
      </c>
      <c r="AI367" s="31">
        <v>0</v>
      </c>
      <c r="AJ367" s="31">
        <v>0</v>
      </c>
      <c r="AK367" s="44">
        <f t="shared" si="10"/>
        <v>750.75000000000011</v>
      </c>
      <c r="AL367">
        <f>VLOOKUP(A367,'[1]prueba con 16mil datos'!$A$1:$AE$804,31,FALSE)</f>
        <v>750.75</v>
      </c>
      <c r="AM367">
        <f t="shared" si="11"/>
        <v>1</v>
      </c>
      <c r="AO367">
        <f>VLOOKUP(A367,'[1]Prueba con 19mil datos'!$B$1:$AF$1228,31,FALSE)</f>
        <v>750.75</v>
      </c>
    </row>
    <row r="368" spans="1:41" hidden="1" x14ac:dyDescent="0.25">
      <c r="A368" s="16" t="s">
        <v>915</v>
      </c>
      <c r="B368" s="15" t="s">
        <v>40</v>
      </c>
      <c r="C368" s="16">
        <v>1</v>
      </c>
      <c r="D368" s="16" t="s">
        <v>1702</v>
      </c>
      <c r="E368" s="17" t="s">
        <v>42</v>
      </c>
      <c r="F368" s="18" t="s">
        <v>1703</v>
      </c>
      <c r="G368" s="18" t="s">
        <v>1704</v>
      </c>
      <c r="H368" s="16" t="s">
        <v>516</v>
      </c>
      <c r="I368" s="19" t="s">
        <v>3</v>
      </c>
      <c r="J368" s="16" t="s">
        <v>12</v>
      </c>
      <c r="K368" s="20" t="s">
        <v>791</v>
      </c>
      <c r="L368" s="20" t="s">
        <v>792</v>
      </c>
      <c r="M368" s="16" t="s">
        <v>429</v>
      </c>
      <c r="N368" s="16">
        <v>0</v>
      </c>
      <c r="O368" s="16" t="s">
        <v>50</v>
      </c>
      <c r="P368" s="20">
        <v>40</v>
      </c>
      <c r="Q368" s="20" t="s">
        <v>86</v>
      </c>
      <c r="R368" s="21" t="s">
        <v>148</v>
      </c>
      <c r="S368" s="22" t="s">
        <v>130</v>
      </c>
      <c r="T368" s="22" t="s">
        <v>54</v>
      </c>
      <c r="U368" s="23" t="s">
        <v>178</v>
      </c>
      <c r="V368" s="24">
        <v>1.05</v>
      </c>
      <c r="W368" s="25">
        <v>1433.25</v>
      </c>
      <c r="X368" s="26">
        <v>1</v>
      </c>
      <c r="Y368" s="27">
        <v>2.25</v>
      </c>
      <c r="Z368" s="23">
        <v>5</v>
      </c>
      <c r="AA368" s="28">
        <v>0.45</v>
      </c>
      <c r="AB368" s="24">
        <v>0</v>
      </c>
      <c r="AC368" s="29">
        <v>0</v>
      </c>
      <c r="AD368" s="30">
        <v>43566</v>
      </c>
      <c r="AE368" s="30">
        <v>43566</v>
      </c>
      <c r="AF368" s="23">
        <v>0</v>
      </c>
      <c r="AG368" s="25" t="s">
        <v>56</v>
      </c>
      <c r="AH368" s="24">
        <v>0</v>
      </c>
      <c r="AI368" s="31">
        <v>0</v>
      </c>
      <c r="AJ368" s="31">
        <v>0</v>
      </c>
      <c r="AK368" s="44">
        <f t="shared" si="10"/>
        <v>1433.25</v>
      </c>
      <c r="AL368">
        <f>VLOOKUP(A368,'[1]prueba con 16mil datos'!$A$1:$AE$804,31,FALSE)</f>
        <v>429</v>
      </c>
      <c r="AM368">
        <f t="shared" si="11"/>
        <v>0</v>
      </c>
      <c r="AO368">
        <f>VLOOKUP(A368,'[1]Prueba con 19mil datos'!$B$1:$AF$1228,31,FALSE)</f>
        <v>429</v>
      </c>
    </row>
    <row r="369" spans="1:44" hidden="1" x14ac:dyDescent="0.25">
      <c r="A369" s="16" t="s">
        <v>1687</v>
      </c>
      <c r="B369" s="15" t="s">
        <v>40</v>
      </c>
      <c r="C369" s="16">
        <v>1</v>
      </c>
      <c r="D369" s="16" t="s">
        <v>1721</v>
      </c>
      <c r="E369" s="17" t="s">
        <v>42</v>
      </c>
      <c r="F369" s="18" t="s">
        <v>233</v>
      </c>
      <c r="G369" s="18" t="s">
        <v>1722</v>
      </c>
      <c r="H369" s="16" t="s">
        <v>236</v>
      </c>
      <c r="I369" s="19" t="s">
        <v>3</v>
      </c>
      <c r="J369" s="16" t="s">
        <v>12</v>
      </c>
      <c r="K369" s="20" t="s">
        <v>237</v>
      </c>
      <c r="L369" s="20" t="s">
        <v>238</v>
      </c>
      <c r="M369" s="16" t="s">
        <v>105</v>
      </c>
      <c r="N369" s="16">
        <v>0</v>
      </c>
      <c r="O369" s="16" t="s">
        <v>50</v>
      </c>
      <c r="P369" s="20">
        <v>28</v>
      </c>
      <c r="Q369" s="20" t="s">
        <v>119</v>
      </c>
      <c r="R369" s="21" t="s">
        <v>77</v>
      </c>
      <c r="S369" s="22" t="s">
        <v>53</v>
      </c>
      <c r="T369" s="22" t="s">
        <v>54</v>
      </c>
      <c r="U369" s="23" t="s">
        <v>120</v>
      </c>
      <c r="V369" s="24">
        <v>0.6</v>
      </c>
      <c r="W369" s="25">
        <v>429.00000000000006</v>
      </c>
      <c r="X369" s="26">
        <v>1</v>
      </c>
      <c r="Y369" s="27">
        <v>3.1</v>
      </c>
      <c r="Z369" s="23">
        <v>5</v>
      </c>
      <c r="AA369" s="28">
        <v>0.62</v>
      </c>
      <c r="AB369" s="24">
        <v>0</v>
      </c>
      <c r="AC369" s="29">
        <v>0</v>
      </c>
      <c r="AD369" s="30">
        <v>43566</v>
      </c>
      <c r="AE369" s="30">
        <v>43567</v>
      </c>
      <c r="AF369" s="23">
        <v>1</v>
      </c>
      <c r="AG369" s="25" t="s">
        <v>56</v>
      </c>
      <c r="AH369" s="24">
        <v>0</v>
      </c>
      <c r="AI369" s="31">
        <v>0</v>
      </c>
      <c r="AJ369" s="31">
        <v>0</v>
      </c>
      <c r="AK369" s="44">
        <f t="shared" si="10"/>
        <v>429.00000000000006</v>
      </c>
      <c r="AL369">
        <f>VLOOKUP(A369,'[1]prueba con 16mil datos'!$A$1:$AE$804,31,FALSE)</f>
        <v>750.75</v>
      </c>
      <c r="AM369">
        <f t="shared" si="11"/>
        <v>0</v>
      </c>
      <c r="AO369">
        <f>VLOOKUP(A369,'[1]Prueba con 19mil datos'!$B$1:$AF$1228,31,FALSE)</f>
        <v>750.75</v>
      </c>
    </row>
    <row r="370" spans="1:44" hidden="1" x14ac:dyDescent="0.25">
      <c r="A370" s="16" t="s">
        <v>3076</v>
      </c>
      <c r="B370" s="15" t="s">
        <v>40</v>
      </c>
      <c r="C370" s="16">
        <v>1</v>
      </c>
      <c r="D370" s="16" t="s">
        <v>1740</v>
      </c>
      <c r="E370" s="17" t="s">
        <v>42</v>
      </c>
      <c r="F370" s="18" t="s">
        <v>733</v>
      </c>
      <c r="G370" s="18" t="s">
        <v>1592</v>
      </c>
      <c r="H370" s="16" t="s">
        <v>293</v>
      </c>
      <c r="I370" s="19" t="s">
        <v>3</v>
      </c>
      <c r="J370" s="16" t="s">
        <v>12</v>
      </c>
      <c r="K370" s="20" t="s">
        <v>126</v>
      </c>
      <c r="L370" s="20" t="s">
        <v>1742</v>
      </c>
      <c r="M370" s="16" t="s">
        <v>833</v>
      </c>
      <c r="N370" s="16">
        <v>0</v>
      </c>
      <c r="O370" s="16" t="s">
        <v>50</v>
      </c>
      <c r="P370" s="20">
        <v>21</v>
      </c>
      <c r="Q370" s="20" t="s">
        <v>119</v>
      </c>
      <c r="R370" s="21" t="s">
        <v>279</v>
      </c>
      <c r="S370" s="22" t="s">
        <v>187</v>
      </c>
      <c r="T370" s="22" t="s">
        <v>54</v>
      </c>
      <c r="U370" s="23" t="s">
        <v>269</v>
      </c>
      <c r="V370" s="24">
        <v>1.05</v>
      </c>
      <c r="W370" s="25">
        <v>1651.6500000000003</v>
      </c>
      <c r="X370" s="26">
        <v>1</v>
      </c>
      <c r="Y370" s="27">
        <v>3.62</v>
      </c>
      <c r="Z370" s="23">
        <v>4</v>
      </c>
      <c r="AA370" s="28">
        <v>0.90500000000000003</v>
      </c>
      <c r="AB370" s="24">
        <v>0</v>
      </c>
      <c r="AC370" s="29">
        <v>0</v>
      </c>
      <c r="AD370" s="30">
        <v>43566</v>
      </c>
      <c r="AE370" s="30">
        <v>43567</v>
      </c>
      <c r="AF370" s="23">
        <v>1</v>
      </c>
      <c r="AG370" s="25" t="s">
        <v>56</v>
      </c>
      <c r="AH370" s="24">
        <v>0</v>
      </c>
      <c r="AI370" s="31">
        <v>0</v>
      </c>
      <c r="AJ370" s="31">
        <v>0</v>
      </c>
      <c r="AK370" s="44">
        <f t="shared" si="10"/>
        <v>1651.6500000000003</v>
      </c>
      <c r="AL370">
        <f>VLOOKUP(A370,'[1]prueba con 16mil datos'!$A$1:$AE$804,31,FALSE)</f>
        <v>572</v>
      </c>
      <c r="AM370">
        <f t="shared" si="11"/>
        <v>0</v>
      </c>
      <c r="AO370">
        <f>VLOOKUP(A370,'[1]Prueba con 19mil datos'!$B$1:$AF$1228,31,FALSE)</f>
        <v>572</v>
      </c>
    </row>
    <row r="371" spans="1:44" hidden="1" x14ac:dyDescent="0.25">
      <c r="A371" s="16" t="s">
        <v>2029</v>
      </c>
      <c r="B371" s="15" t="s">
        <v>40</v>
      </c>
      <c r="C371" s="16">
        <v>1</v>
      </c>
      <c r="D371" s="16" t="s">
        <v>1691</v>
      </c>
      <c r="E371" s="17" t="s">
        <v>42</v>
      </c>
      <c r="F371" s="18" t="s">
        <v>733</v>
      </c>
      <c r="G371" s="18" t="s">
        <v>1692</v>
      </c>
      <c r="H371" s="16" t="s">
        <v>821</v>
      </c>
      <c r="I371" s="19" t="s">
        <v>3</v>
      </c>
      <c r="J371" s="16" t="s">
        <v>12</v>
      </c>
      <c r="K371" s="20" t="s">
        <v>126</v>
      </c>
      <c r="L371" s="20" t="s">
        <v>1263</v>
      </c>
      <c r="M371" s="16" t="s">
        <v>823</v>
      </c>
      <c r="N371" s="16">
        <v>0</v>
      </c>
      <c r="O371" s="16" t="s">
        <v>50</v>
      </c>
      <c r="P371" s="20">
        <v>3</v>
      </c>
      <c r="Q371" s="20" t="s">
        <v>147</v>
      </c>
      <c r="R371" s="21" t="s">
        <v>279</v>
      </c>
      <c r="S371" s="22" t="s">
        <v>187</v>
      </c>
      <c r="T371" s="22" t="s">
        <v>54</v>
      </c>
      <c r="U371" s="23" t="s">
        <v>389</v>
      </c>
      <c r="V371" s="24">
        <v>0</v>
      </c>
      <c r="W371" s="25">
        <v>0</v>
      </c>
      <c r="X371" s="26">
        <v>1</v>
      </c>
      <c r="Y371" s="27">
        <v>3.28</v>
      </c>
      <c r="Z371" s="23">
        <v>4</v>
      </c>
      <c r="AA371" s="28">
        <v>0.82</v>
      </c>
      <c r="AB371" s="24">
        <v>0</v>
      </c>
      <c r="AC371" s="29">
        <v>0</v>
      </c>
      <c r="AD371" s="30">
        <v>43566</v>
      </c>
      <c r="AE371" s="30">
        <v>43566</v>
      </c>
      <c r="AF371" s="23">
        <v>0</v>
      </c>
      <c r="AG371" s="25" t="s">
        <v>56</v>
      </c>
      <c r="AH371" s="24">
        <v>0</v>
      </c>
      <c r="AI371" s="31">
        <v>0</v>
      </c>
      <c r="AJ371" s="31">
        <v>0</v>
      </c>
      <c r="AK371" s="44">
        <f t="shared" si="10"/>
        <v>0</v>
      </c>
      <c r="AL371">
        <f>VLOOKUP(A371,'[1]prueba con 16mil datos'!$A$1:$AE$804,31,FALSE)</f>
        <v>750.75</v>
      </c>
      <c r="AM371">
        <f t="shared" si="11"/>
        <v>0</v>
      </c>
      <c r="AO371">
        <f>VLOOKUP(A371,'[1]Prueba con 19mil datos'!$B$1:$AF$1228,31,FALSE)</f>
        <v>750.75</v>
      </c>
    </row>
    <row r="372" spans="1:44" hidden="1" x14ac:dyDescent="0.25">
      <c r="A372" s="16" t="s">
        <v>2029</v>
      </c>
      <c r="B372" s="15" t="s">
        <v>40</v>
      </c>
      <c r="C372" s="16">
        <v>1</v>
      </c>
      <c r="D372" s="16" t="s">
        <v>1611</v>
      </c>
      <c r="E372" s="17" t="s">
        <v>42</v>
      </c>
      <c r="F372" s="18" t="s">
        <v>275</v>
      </c>
      <c r="G372" s="18" t="s">
        <v>1612</v>
      </c>
      <c r="H372" s="16" t="s">
        <v>243</v>
      </c>
      <c r="I372" s="19" t="s">
        <v>3</v>
      </c>
      <c r="J372" s="16" t="s">
        <v>12</v>
      </c>
      <c r="K372" s="20" t="s">
        <v>126</v>
      </c>
      <c r="L372" s="20" t="s">
        <v>1577</v>
      </c>
      <c r="M372" s="16" t="s">
        <v>372</v>
      </c>
      <c r="N372" s="16">
        <v>0</v>
      </c>
      <c r="O372" s="16" t="s">
        <v>50</v>
      </c>
      <c r="P372" s="20">
        <v>21</v>
      </c>
      <c r="Q372" s="20" t="s">
        <v>119</v>
      </c>
      <c r="R372" s="21" t="s">
        <v>279</v>
      </c>
      <c r="S372" s="22" t="s">
        <v>187</v>
      </c>
      <c r="T372" s="22" t="s">
        <v>54</v>
      </c>
      <c r="U372" s="23" t="s">
        <v>269</v>
      </c>
      <c r="V372" s="24">
        <v>1.05</v>
      </c>
      <c r="W372" s="25">
        <v>1651.6500000000003</v>
      </c>
      <c r="X372" s="26">
        <v>1</v>
      </c>
      <c r="Y372" s="27">
        <v>1.5</v>
      </c>
      <c r="Z372" s="23">
        <v>4</v>
      </c>
      <c r="AA372" s="28">
        <v>0.375</v>
      </c>
      <c r="AB372" s="24">
        <v>0</v>
      </c>
      <c r="AC372" s="29">
        <v>0</v>
      </c>
      <c r="AD372" s="30">
        <v>43566</v>
      </c>
      <c r="AE372" s="30">
        <v>43566</v>
      </c>
      <c r="AF372" s="23">
        <v>0</v>
      </c>
      <c r="AG372" s="25" t="s">
        <v>56</v>
      </c>
      <c r="AH372" s="24">
        <v>0</v>
      </c>
      <c r="AI372" s="31">
        <v>0</v>
      </c>
      <c r="AJ372" s="31">
        <v>0</v>
      </c>
      <c r="AK372" s="44">
        <f t="shared" si="10"/>
        <v>1651.6500000000003</v>
      </c>
      <c r="AL372">
        <f>VLOOKUP(A372,'[1]prueba con 16mil datos'!$A$1:$AE$804,31,FALSE)</f>
        <v>750.75</v>
      </c>
      <c r="AM372">
        <f t="shared" si="11"/>
        <v>0</v>
      </c>
      <c r="AO372">
        <f>VLOOKUP(A372,'[1]Prueba con 19mil datos'!$B$1:$AF$1228,31,FALSE)</f>
        <v>750.75</v>
      </c>
    </row>
    <row r="373" spans="1:44" hidden="1" x14ac:dyDescent="0.25">
      <c r="A373" s="16" t="s">
        <v>3141</v>
      </c>
      <c r="B373" s="15" t="s">
        <v>40</v>
      </c>
      <c r="C373" s="16">
        <v>1</v>
      </c>
      <c r="D373" s="16" t="s">
        <v>1731</v>
      </c>
      <c r="E373" s="17" t="s">
        <v>42</v>
      </c>
      <c r="F373" s="18" t="s">
        <v>275</v>
      </c>
      <c r="G373" s="18" t="s">
        <v>1732</v>
      </c>
      <c r="H373" s="16" t="s">
        <v>293</v>
      </c>
      <c r="I373" s="19" t="s">
        <v>3</v>
      </c>
      <c r="J373" s="16" t="s">
        <v>12</v>
      </c>
      <c r="K373" s="20" t="s">
        <v>126</v>
      </c>
      <c r="L373" s="20" t="s">
        <v>956</v>
      </c>
      <c r="M373" s="16" t="s">
        <v>296</v>
      </c>
      <c r="N373" s="16">
        <v>0</v>
      </c>
      <c r="O373" s="16" t="s">
        <v>50</v>
      </c>
      <c r="P373" s="20">
        <v>1</v>
      </c>
      <c r="Q373" s="20" t="s">
        <v>147</v>
      </c>
      <c r="R373" s="21" t="s">
        <v>279</v>
      </c>
      <c r="S373" s="22" t="s">
        <v>187</v>
      </c>
      <c r="T373" s="22" t="s">
        <v>54</v>
      </c>
      <c r="U373" s="23" t="s">
        <v>389</v>
      </c>
      <c r="V373" s="24">
        <v>0</v>
      </c>
      <c r="W373" s="25">
        <v>0</v>
      </c>
      <c r="X373" s="26">
        <v>1</v>
      </c>
      <c r="Y373" s="27">
        <v>1.5</v>
      </c>
      <c r="Z373" s="23">
        <v>4</v>
      </c>
      <c r="AA373" s="28">
        <v>0.375</v>
      </c>
      <c r="AB373" s="24">
        <v>0</v>
      </c>
      <c r="AC373" s="29">
        <v>0</v>
      </c>
      <c r="AD373" s="30">
        <v>43566</v>
      </c>
      <c r="AE373" s="30">
        <v>43567</v>
      </c>
      <c r="AF373" s="23">
        <v>1</v>
      </c>
      <c r="AG373" s="25" t="s">
        <v>56</v>
      </c>
      <c r="AH373" s="24">
        <v>0</v>
      </c>
      <c r="AI373" s="31">
        <v>0</v>
      </c>
      <c r="AJ373" s="31">
        <v>0</v>
      </c>
      <c r="AK373" s="44">
        <f t="shared" si="10"/>
        <v>0</v>
      </c>
      <c r="AL373">
        <f>VLOOKUP(A373,'[1]prueba con 16mil datos'!$A$1:$AE$804,31,FALSE)</f>
        <v>750.75</v>
      </c>
      <c r="AM373">
        <f t="shared" si="11"/>
        <v>0</v>
      </c>
      <c r="AO373">
        <f>VLOOKUP(A373,'[1]Prueba con 19mil datos'!$B$1:$AF$1228,31,FALSE)</f>
        <v>750.75</v>
      </c>
    </row>
    <row r="374" spans="1:44" hidden="1" x14ac:dyDescent="0.25">
      <c r="A374" s="16" t="s">
        <v>1631</v>
      </c>
      <c r="B374" s="15" t="s">
        <v>40</v>
      </c>
      <c r="C374" s="16">
        <v>1</v>
      </c>
      <c r="D374" s="16" t="s">
        <v>1654</v>
      </c>
      <c r="E374" s="17" t="s">
        <v>42</v>
      </c>
      <c r="F374" s="18" t="s">
        <v>275</v>
      </c>
      <c r="G374" s="18" t="s">
        <v>1655</v>
      </c>
      <c r="H374" s="16" t="s">
        <v>192</v>
      </c>
      <c r="I374" s="19" t="s">
        <v>3</v>
      </c>
      <c r="J374" s="16" t="s">
        <v>12</v>
      </c>
      <c r="K374" s="20" t="s">
        <v>126</v>
      </c>
      <c r="L374" s="20" t="s">
        <v>1479</v>
      </c>
      <c r="M374" s="16" t="s">
        <v>1480</v>
      </c>
      <c r="N374" s="16">
        <v>0</v>
      </c>
      <c r="O374" s="16" t="s">
        <v>50</v>
      </c>
      <c r="P374" s="20">
        <v>27</v>
      </c>
      <c r="Q374" s="20" t="s">
        <v>119</v>
      </c>
      <c r="R374" s="21" t="s">
        <v>279</v>
      </c>
      <c r="S374" s="22" t="s">
        <v>187</v>
      </c>
      <c r="T374" s="22" t="s">
        <v>54</v>
      </c>
      <c r="U374" s="23" t="s">
        <v>269</v>
      </c>
      <c r="V374" s="24">
        <v>1.05</v>
      </c>
      <c r="W374" s="25">
        <v>1651.6500000000003</v>
      </c>
      <c r="X374" s="26">
        <v>1</v>
      </c>
      <c r="Y374" s="27">
        <v>3</v>
      </c>
      <c r="Z374" s="23">
        <v>4</v>
      </c>
      <c r="AA374" s="28">
        <v>0.75</v>
      </c>
      <c r="AB374" s="24">
        <v>0</v>
      </c>
      <c r="AC374" s="29">
        <v>0</v>
      </c>
      <c r="AD374" s="30">
        <v>43566</v>
      </c>
      <c r="AE374" s="30">
        <v>43566</v>
      </c>
      <c r="AF374" s="23">
        <v>0</v>
      </c>
      <c r="AG374" s="25" t="s">
        <v>56</v>
      </c>
      <c r="AH374" s="24">
        <v>0</v>
      </c>
      <c r="AI374" s="31">
        <v>0</v>
      </c>
      <c r="AJ374" s="31">
        <v>0</v>
      </c>
      <c r="AK374" s="44">
        <f t="shared" si="10"/>
        <v>1651.6500000000003</v>
      </c>
      <c r="AL374">
        <f>VLOOKUP(A374,'[1]prueba con 16mil datos'!$A$1:$AE$804,31,FALSE)</f>
        <v>750.75</v>
      </c>
      <c r="AM374">
        <f t="shared" si="11"/>
        <v>0</v>
      </c>
      <c r="AO374">
        <f>VLOOKUP(A374,'[1]Prueba con 19mil datos'!$B$1:$AF$1228,31,FALSE)</f>
        <v>750.75</v>
      </c>
    </row>
    <row r="375" spans="1:44" hidden="1" x14ac:dyDescent="0.25">
      <c r="A375" s="16" t="s">
        <v>1329</v>
      </c>
      <c r="B375" s="15" t="s">
        <v>40</v>
      </c>
      <c r="C375" s="16">
        <v>1</v>
      </c>
      <c r="D375" s="16" t="s">
        <v>1657</v>
      </c>
      <c r="E375" s="17" t="s">
        <v>42</v>
      </c>
      <c r="F375" s="18" t="s">
        <v>275</v>
      </c>
      <c r="G375" s="18" t="s">
        <v>1658</v>
      </c>
      <c r="H375" s="16" t="s">
        <v>463</v>
      </c>
      <c r="I375" s="19" t="s">
        <v>3</v>
      </c>
      <c r="J375" s="16" t="s">
        <v>12</v>
      </c>
      <c r="K375" s="20" t="s">
        <v>126</v>
      </c>
      <c r="L375" s="20" t="s">
        <v>464</v>
      </c>
      <c r="M375" s="16" t="s">
        <v>76</v>
      </c>
      <c r="N375" s="16">
        <v>0</v>
      </c>
      <c r="O375" s="16" t="s">
        <v>50</v>
      </c>
      <c r="P375" s="20">
        <v>15</v>
      </c>
      <c r="Q375" s="20" t="s">
        <v>65</v>
      </c>
      <c r="R375" s="21" t="s">
        <v>279</v>
      </c>
      <c r="S375" s="22" t="s">
        <v>187</v>
      </c>
      <c r="T375" s="22" t="s">
        <v>54</v>
      </c>
      <c r="U375" s="23" t="s">
        <v>201</v>
      </c>
      <c r="V375" s="24">
        <v>0.8</v>
      </c>
      <c r="W375" s="25">
        <v>1258.4000000000003</v>
      </c>
      <c r="X375" s="26">
        <v>1</v>
      </c>
      <c r="Y375" s="27">
        <v>0.42</v>
      </c>
      <c r="Z375" s="23">
        <v>4</v>
      </c>
      <c r="AA375" s="28">
        <v>0.105</v>
      </c>
      <c r="AB375" s="24">
        <v>0</v>
      </c>
      <c r="AC375" s="29">
        <v>0</v>
      </c>
      <c r="AD375" s="30">
        <v>43566</v>
      </c>
      <c r="AE375" s="30">
        <v>43566</v>
      </c>
      <c r="AF375" s="23">
        <v>0</v>
      </c>
      <c r="AG375" s="25" t="s">
        <v>56</v>
      </c>
      <c r="AH375" s="24">
        <v>0</v>
      </c>
      <c r="AI375" s="31">
        <v>0</v>
      </c>
      <c r="AJ375" s="31">
        <v>0</v>
      </c>
      <c r="AK375" s="44">
        <f t="shared" si="10"/>
        <v>1258.4000000000003</v>
      </c>
      <c r="AL375" t="e">
        <f>VLOOKUP(A375,'[1]prueba con 16mil datos'!$A$1:$AE$804,31,FALSE)</f>
        <v>#N/A</v>
      </c>
      <c r="AM375" t="e">
        <f t="shared" si="11"/>
        <v>#N/A</v>
      </c>
      <c r="AO375">
        <f>VLOOKUP(A375,'[1]Prueba con 19mil datos'!$B$1:$AF$1228,31,FALSE)</f>
        <v>0</v>
      </c>
    </row>
    <row r="376" spans="1:44" hidden="1" x14ac:dyDescent="0.25">
      <c r="A376" s="16" t="s">
        <v>790</v>
      </c>
      <c r="B376" s="15" t="s">
        <v>40</v>
      </c>
      <c r="C376" s="16">
        <v>1</v>
      </c>
      <c r="D376" s="16" t="s">
        <v>1754</v>
      </c>
      <c r="E376" s="17" t="s">
        <v>42</v>
      </c>
      <c r="F376" s="18" t="s">
        <v>275</v>
      </c>
      <c r="G376" s="18" t="s">
        <v>1755</v>
      </c>
      <c r="H376" s="16" t="s">
        <v>143</v>
      </c>
      <c r="I376" s="19" t="s">
        <v>3</v>
      </c>
      <c r="J376" s="16" t="s">
        <v>12</v>
      </c>
      <c r="K376" s="20" t="s">
        <v>126</v>
      </c>
      <c r="L376" s="20" t="s">
        <v>366</v>
      </c>
      <c r="M376" s="16" t="s">
        <v>367</v>
      </c>
      <c r="N376" s="16">
        <v>0</v>
      </c>
      <c r="O376" s="16" t="s">
        <v>50</v>
      </c>
      <c r="P376" s="20">
        <v>8</v>
      </c>
      <c r="Q376" s="20" t="s">
        <v>65</v>
      </c>
      <c r="R376" s="21" t="s">
        <v>279</v>
      </c>
      <c r="S376" s="22" t="s">
        <v>187</v>
      </c>
      <c r="T376" s="22" t="s">
        <v>54</v>
      </c>
      <c r="U376" s="23" t="s">
        <v>201</v>
      </c>
      <c r="V376" s="24">
        <v>0.8</v>
      </c>
      <c r="W376" s="25">
        <v>1258.4000000000003</v>
      </c>
      <c r="X376" s="26">
        <v>1</v>
      </c>
      <c r="Y376" s="27">
        <v>2.5</v>
      </c>
      <c r="Z376" s="23">
        <v>4</v>
      </c>
      <c r="AA376" s="28">
        <v>0.625</v>
      </c>
      <c r="AB376" s="24">
        <v>0</v>
      </c>
      <c r="AC376" s="29">
        <v>0</v>
      </c>
      <c r="AD376" s="30">
        <v>43566</v>
      </c>
      <c r="AE376" s="30">
        <v>43567</v>
      </c>
      <c r="AF376" s="23">
        <v>1</v>
      </c>
      <c r="AG376" s="25" t="s">
        <v>56</v>
      </c>
      <c r="AH376" s="24">
        <v>0</v>
      </c>
      <c r="AI376" s="31">
        <v>0</v>
      </c>
      <c r="AJ376" s="31">
        <v>0</v>
      </c>
      <c r="AK376" s="44">
        <f t="shared" si="10"/>
        <v>1258.4000000000003</v>
      </c>
      <c r="AL376">
        <f>VLOOKUP(A376,'[1]prueba con 16mil datos'!$A$1:$AE$804,31,FALSE)</f>
        <v>0</v>
      </c>
      <c r="AM376">
        <f t="shared" si="11"/>
        <v>0</v>
      </c>
      <c r="AO376">
        <f>VLOOKUP(A376,'[1]Prueba con 19mil datos'!$B$1:$AF$1228,31,FALSE)</f>
        <v>0</v>
      </c>
    </row>
    <row r="377" spans="1:44" hidden="1" x14ac:dyDescent="0.25">
      <c r="A377" s="16" t="s">
        <v>1853</v>
      </c>
      <c r="B377" s="15" t="s">
        <v>40</v>
      </c>
      <c r="C377" s="16">
        <v>1</v>
      </c>
      <c r="D377" s="16" t="s">
        <v>1743</v>
      </c>
      <c r="E377" s="17" t="s">
        <v>42</v>
      </c>
      <c r="F377" s="18" t="s">
        <v>275</v>
      </c>
      <c r="G377" s="18" t="s">
        <v>1744</v>
      </c>
      <c r="H377" s="16" t="s">
        <v>660</v>
      </c>
      <c r="I377" s="19" t="s">
        <v>3</v>
      </c>
      <c r="J377" s="16" t="s">
        <v>12</v>
      </c>
      <c r="K377" s="20" t="s">
        <v>126</v>
      </c>
      <c r="L377" s="20" t="s">
        <v>956</v>
      </c>
      <c r="M377" s="16" t="s">
        <v>296</v>
      </c>
      <c r="N377" s="16">
        <v>0</v>
      </c>
      <c r="O377" s="16" t="s">
        <v>50</v>
      </c>
      <c r="P377" s="20">
        <v>1</v>
      </c>
      <c r="Q377" s="20" t="s">
        <v>147</v>
      </c>
      <c r="R377" s="21" t="s">
        <v>279</v>
      </c>
      <c r="S377" s="22" t="s">
        <v>187</v>
      </c>
      <c r="T377" s="22" t="s">
        <v>54</v>
      </c>
      <c r="U377" s="23" t="s">
        <v>389</v>
      </c>
      <c r="V377" s="24">
        <v>0</v>
      </c>
      <c r="W377" s="25">
        <v>0</v>
      </c>
      <c r="X377" s="26">
        <v>1</v>
      </c>
      <c r="Y377" s="27">
        <v>3.55</v>
      </c>
      <c r="Z377" s="23">
        <v>4</v>
      </c>
      <c r="AA377" s="28">
        <v>0.88749999999999996</v>
      </c>
      <c r="AB377" s="24">
        <v>0</v>
      </c>
      <c r="AC377" s="29">
        <v>0</v>
      </c>
      <c r="AD377" s="30">
        <v>43566</v>
      </c>
      <c r="AE377" s="30">
        <v>43567</v>
      </c>
      <c r="AF377" s="23">
        <v>1</v>
      </c>
      <c r="AG377" s="25" t="s">
        <v>56</v>
      </c>
      <c r="AH377" s="24">
        <v>0</v>
      </c>
      <c r="AI377" s="31">
        <v>0</v>
      </c>
      <c r="AJ377" s="31">
        <v>0</v>
      </c>
      <c r="AK377" s="44">
        <f t="shared" si="10"/>
        <v>0</v>
      </c>
      <c r="AL377">
        <f>VLOOKUP(A377,'[1]prueba con 16mil datos'!$A$1:$AE$804,31,FALSE)</f>
        <v>482.625</v>
      </c>
      <c r="AM377">
        <f t="shared" si="11"/>
        <v>0</v>
      </c>
      <c r="AO377">
        <f>VLOOKUP(A377,'[1]Prueba con 19mil datos'!$B$1:$AF$1228,31,FALSE)</f>
        <v>0</v>
      </c>
    </row>
    <row r="378" spans="1:44" hidden="1" x14ac:dyDescent="0.25">
      <c r="A378" s="16" t="s">
        <v>2845</v>
      </c>
      <c r="B378" s="15" t="s">
        <v>40</v>
      </c>
      <c r="C378" s="16">
        <v>1</v>
      </c>
      <c r="D378" s="16" t="s">
        <v>1664</v>
      </c>
      <c r="E378" s="17" t="s">
        <v>42</v>
      </c>
      <c r="F378" s="18" t="s">
        <v>70</v>
      </c>
      <c r="G378" s="18" t="s">
        <v>1665</v>
      </c>
      <c r="H378" s="16" t="s">
        <v>46</v>
      </c>
      <c r="I378" s="19" t="s">
        <v>3</v>
      </c>
      <c r="J378" s="16" t="s">
        <v>12</v>
      </c>
      <c r="K378" s="20" t="s">
        <v>47</v>
      </c>
      <c r="L378" s="20" t="s">
        <v>48</v>
      </c>
      <c r="M378" s="16" t="s">
        <v>49</v>
      </c>
      <c r="N378" s="16">
        <v>0</v>
      </c>
      <c r="O378" s="16" t="s">
        <v>50</v>
      </c>
      <c r="P378" s="20">
        <v>91</v>
      </c>
      <c r="Q378" s="20" t="s">
        <v>51</v>
      </c>
      <c r="R378" s="21" t="s">
        <v>77</v>
      </c>
      <c r="S378" s="22" t="s">
        <v>53</v>
      </c>
      <c r="T378" s="22" t="s">
        <v>54</v>
      </c>
      <c r="U378" s="23" t="s">
        <v>55</v>
      </c>
      <c r="V378" s="24">
        <v>1.05</v>
      </c>
      <c r="W378" s="25">
        <v>750.75000000000011</v>
      </c>
      <c r="X378" s="26">
        <v>1</v>
      </c>
      <c r="Y378" s="27">
        <v>0</v>
      </c>
      <c r="Z378" s="23">
        <v>5</v>
      </c>
      <c r="AA378" s="28">
        <v>0</v>
      </c>
      <c r="AB378" s="24">
        <v>0</v>
      </c>
      <c r="AC378" s="29">
        <v>0</v>
      </c>
      <c r="AD378" s="30">
        <v>43566</v>
      </c>
      <c r="AE378" s="30">
        <v>43566</v>
      </c>
      <c r="AF378" s="23">
        <v>0</v>
      </c>
      <c r="AG378" s="25" t="s">
        <v>56</v>
      </c>
      <c r="AH378" s="24">
        <v>0</v>
      </c>
      <c r="AI378" s="31">
        <v>0</v>
      </c>
      <c r="AJ378" s="31">
        <v>0</v>
      </c>
      <c r="AK378" s="44">
        <f t="shared" si="10"/>
        <v>750.75000000000011</v>
      </c>
      <c r="AL378">
        <f>VLOOKUP(A378,'[1]prueba con 16mil datos'!$A$1:$AE$804,31,FALSE)</f>
        <v>750.75</v>
      </c>
      <c r="AM378">
        <f t="shared" si="11"/>
        <v>1</v>
      </c>
      <c r="AO378">
        <f>VLOOKUP(A378,'[1]Prueba con 19mil datos'!$B$1:$AF$1228,31,FALSE)</f>
        <v>750.75</v>
      </c>
    </row>
    <row r="379" spans="1:44" hidden="1" x14ac:dyDescent="0.25">
      <c r="A379" s="16" t="s">
        <v>2321</v>
      </c>
      <c r="B379" s="15" t="s">
        <v>40</v>
      </c>
      <c r="C379" s="16">
        <v>1</v>
      </c>
      <c r="D379" s="16" t="s">
        <v>1650</v>
      </c>
      <c r="E379" s="17" t="s">
        <v>42</v>
      </c>
      <c r="F379" s="18" t="s">
        <v>70</v>
      </c>
      <c r="G379" s="18" t="s">
        <v>1651</v>
      </c>
      <c r="H379" s="16" t="s">
        <v>660</v>
      </c>
      <c r="I379" s="19" t="s">
        <v>3</v>
      </c>
      <c r="J379" s="16" t="s">
        <v>12</v>
      </c>
      <c r="K379" s="20" t="s">
        <v>74</v>
      </c>
      <c r="L379" s="20" t="s">
        <v>1653</v>
      </c>
      <c r="M379" s="16" t="s">
        <v>833</v>
      </c>
      <c r="N379" s="16">
        <v>0</v>
      </c>
      <c r="O379" s="16" t="s">
        <v>50</v>
      </c>
      <c r="P379" s="20">
        <v>462</v>
      </c>
      <c r="Q379" s="20" t="s">
        <v>51</v>
      </c>
      <c r="R379" s="21" t="s">
        <v>77</v>
      </c>
      <c r="S379" s="22" t="s">
        <v>53</v>
      </c>
      <c r="T379" s="22" t="s">
        <v>54</v>
      </c>
      <c r="U379" s="23" t="s">
        <v>55</v>
      </c>
      <c r="V379" s="24">
        <v>1.05</v>
      </c>
      <c r="W379" s="25">
        <v>750.75000000000011</v>
      </c>
      <c r="X379" s="26">
        <v>1</v>
      </c>
      <c r="Y379" s="27">
        <v>1.95</v>
      </c>
      <c r="Z379" s="23">
        <v>5</v>
      </c>
      <c r="AA379" s="28">
        <v>0.39</v>
      </c>
      <c r="AB379" s="24">
        <v>0</v>
      </c>
      <c r="AC379" s="29">
        <v>0</v>
      </c>
      <c r="AD379" s="30">
        <v>43566</v>
      </c>
      <c r="AE379" s="30">
        <v>43566</v>
      </c>
      <c r="AF379" s="23">
        <v>0</v>
      </c>
      <c r="AG379" s="25" t="s">
        <v>56</v>
      </c>
      <c r="AH379" s="24">
        <v>0</v>
      </c>
      <c r="AI379" s="31">
        <v>0</v>
      </c>
      <c r="AJ379" s="31">
        <v>0</v>
      </c>
      <c r="AK379" s="44">
        <f t="shared" si="10"/>
        <v>750.75000000000011</v>
      </c>
      <c r="AL379">
        <f>VLOOKUP(A379,'[1]prueba con 16mil datos'!$A$1:$AE$804,31,FALSE)</f>
        <v>572</v>
      </c>
      <c r="AM379">
        <f t="shared" si="11"/>
        <v>0</v>
      </c>
      <c r="AO379">
        <f>VLOOKUP(A379,'[1]Prueba con 19mil datos'!$B$1:$AF$1228,31,FALSE)</f>
        <v>572</v>
      </c>
    </row>
    <row r="380" spans="1:44" hidden="1" x14ac:dyDescent="0.25">
      <c r="A380" s="16" t="s">
        <v>2954</v>
      </c>
      <c r="B380" s="15" t="s">
        <v>40</v>
      </c>
      <c r="C380" s="16">
        <v>1</v>
      </c>
      <c r="D380" s="16" t="s">
        <v>1617</v>
      </c>
      <c r="E380" s="17" t="s">
        <v>42</v>
      </c>
      <c r="F380" s="18" t="s">
        <v>335</v>
      </c>
      <c r="G380" s="18" t="s">
        <v>1618</v>
      </c>
      <c r="H380" s="16" t="s">
        <v>109</v>
      </c>
      <c r="I380" s="19" t="s">
        <v>3</v>
      </c>
      <c r="J380" s="16" t="s">
        <v>12</v>
      </c>
      <c r="K380" s="20" t="s">
        <v>1608</v>
      </c>
      <c r="L380" s="20" t="s">
        <v>1609</v>
      </c>
      <c r="M380" s="16" t="s">
        <v>1610</v>
      </c>
      <c r="N380" s="16">
        <v>0</v>
      </c>
      <c r="O380" s="16" t="s">
        <v>50</v>
      </c>
      <c r="P380" s="20">
        <v>526</v>
      </c>
      <c r="Q380" s="20" t="s">
        <v>51</v>
      </c>
      <c r="R380" s="21" t="s">
        <v>77</v>
      </c>
      <c r="S380" s="22" t="s">
        <v>53</v>
      </c>
      <c r="T380" s="22" t="s">
        <v>54</v>
      </c>
      <c r="U380" s="23" t="s">
        <v>55</v>
      </c>
      <c r="V380" s="24">
        <v>1.05</v>
      </c>
      <c r="W380" s="25">
        <v>750.75000000000011</v>
      </c>
      <c r="X380" s="26">
        <v>1</v>
      </c>
      <c r="Y380" s="27">
        <v>7.23</v>
      </c>
      <c r="Z380" s="23">
        <v>5</v>
      </c>
      <c r="AA380" s="28">
        <v>1.4460000000000002</v>
      </c>
      <c r="AB380" s="24">
        <v>0.11150000000000004</v>
      </c>
      <c r="AC380" s="29">
        <v>-79.722500000000039</v>
      </c>
      <c r="AD380" s="30">
        <v>43566</v>
      </c>
      <c r="AE380" s="30">
        <v>43566</v>
      </c>
      <c r="AF380" s="23">
        <v>0</v>
      </c>
      <c r="AG380" s="25" t="s">
        <v>56</v>
      </c>
      <c r="AH380" s="24">
        <v>0</v>
      </c>
      <c r="AI380" s="31">
        <v>0</v>
      </c>
      <c r="AJ380" s="31">
        <v>0</v>
      </c>
      <c r="AK380" s="44">
        <f t="shared" si="10"/>
        <v>671.02750000000003</v>
      </c>
      <c r="AL380" t="e">
        <f>VLOOKUP(A380,'[1]prueba con 16mil datos'!$A$1:$AE$804,31,FALSE)</f>
        <v>#N/A</v>
      </c>
      <c r="AM380" t="e">
        <f t="shared" si="11"/>
        <v>#N/A</v>
      </c>
      <c r="AO380">
        <f>VLOOKUP(A380,'[1]Prueba con 19mil datos'!$B$1:$AF$1228,31,FALSE)</f>
        <v>0</v>
      </c>
    </row>
    <row r="381" spans="1:44" hidden="1" x14ac:dyDescent="0.25">
      <c r="A381" s="16" t="s">
        <v>1117</v>
      </c>
      <c r="B381" s="15" t="s">
        <v>40</v>
      </c>
      <c r="C381" s="16">
        <v>1</v>
      </c>
      <c r="D381" s="16" t="s">
        <v>1688</v>
      </c>
      <c r="E381" s="17" t="s">
        <v>42</v>
      </c>
      <c r="F381" s="18" t="s">
        <v>913</v>
      </c>
      <c r="G381" s="18" t="s">
        <v>1689</v>
      </c>
      <c r="H381" s="16" t="s">
        <v>125</v>
      </c>
      <c r="I381" s="19" t="s">
        <v>3</v>
      </c>
      <c r="J381" s="16" t="s">
        <v>12</v>
      </c>
      <c r="K381" s="20" t="s">
        <v>378</v>
      </c>
      <c r="L381" s="20" t="s">
        <v>1542</v>
      </c>
      <c r="M381" s="16" t="s">
        <v>128</v>
      </c>
      <c r="N381" s="16">
        <v>0</v>
      </c>
      <c r="O381" s="16" t="s">
        <v>50</v>
      </c>
      <c r="P381" s="20">
        <v>177</v>
      </c>
      <c r="Q381" s="20" t="s">
        <v>51</v>
      </c>
      <c r="R381" s="21" t="s">
        <v>87</v>
      </c>
      <c r="S381" s="22" t="s">
        <v>53</v>
      </c>
      <c r="T381" s="22" t="s">
        <v>54</v>
      </c>
      <c r="U381" s="23" t="s">
        <v>55</v>
      </c>
      <c r="V381" s="24">
        <v>1.05</v>
      </c>
      <c r="W381" s="25">
        <v>750.75000000000011</v>
      </c>
      <c r="X381" s="26">
        <v>1</v>
      </c>
      <c r="Y381" s="27">
        <v>2.33</v>
      </c>
      <c r="Z381" s="23">
        <v>5</v>
      </c>
      <c r="AA381" s="28">
        <v>0.46600000000000003</v>
      </c>
      <c r="AB381" s="24">
        <v>0</v>
      </c>
      <c r="AC381" s="29">
        <v>0</v>
      </c>
      <c r="AD381" s="30">
        <v>43566</v>
      </c>
      <c r="AE381" s="30">
        <v>43566</v>
      </c>
      <c r="AF381" s="23">
        <v>0</v>
      </c>
      <c r="AG381" s="25" t="s">
        <v>56</v>
      </c>
      <c r="AH381" s="24">
        <v>0</v>
      </c>
      <c r="AI381" s="31">
        <v>0</v>
      </c>
      <c r="AJ381" s="31">
        <v>0</v>
      </c>
      <c r="AK381" s="44">
        <f t="shared" si="10"/>
        <v>750.75000000000011</v>
      </c>
      <c r="AL381">
        <f>VLOOKUP(A381,'[1]prueba con 16mil datos'!$A$1:$AE$804,31,FALSE)</f>
        <v>1808.95</v>
      </c>
      <c r="AM381">
        <f t="shared" si="11"/>
        <v>0</v>
      </c>
      <c r="AO381">
        <f>VLOOKUP(A381,'[1]Prueba con 19mil datos'!$B$1:$AF$1228,31,FALSE)</f>
        <v>1808.95</v>
      </c>
    </row>
    <row r="382" spans="1:44" hidden="1" x14ac:dyDescent="0.25">
      <c r="A382" s="16" t="s">
        <v>1117</v>
      </c>
      <c r="B382" s="15" t="s">
        <v>40</v>
      </c>
      <c r="C382" s="16">
        <v>1</v>
      </c>
      <c r="D382" s="16" t="s">
        <v>1685</v>
      </c>
      <c r="E382" s="17" t="s">
        <v>42</v>
      </c>
      <c r="F382" s="18" t="s">
        <v>913</v>
      </c>
      <c r="G382" s="18" t="s">
        <v>1686</v>
      </c>
      <c r="H382" s="16" t="s">
        <v>377</v>
      </c>
      <c r="I382" s="19" t="s">
        <v>3</v>
      </c>
      <c r="J382" s="16" t="s">
        <v>12</v>
      </c>
      <c r="K382" s="20" t="s">
        <v>378</v>
      </c>
      <c r="L382" s="20" t="s">
        <v>1246</v>
      </c>
      <c r="M382" s="16" t="s">
        <v>105</v>
      </c>
      <c r="N382" s="16">
        <v>0</v>
      </c>
      <c r="O382" s="16" t="s">
        <v>50</v>
      </c>
      <c r="P382" s="20">
        <v>271</v>
      </c>
      <c r="Q382" s="20" t="s">
        <v>51</v>
      </c>
      <c r="R382" s="21" t="s">
        <v>87</v>
      </c>
      <c r="S382" s="22" t="s">
        <v>53</v>
      </c>
      <c r="T382" s="22" t="s">
        <v>54</v>
      </c>
      <c r="U382" s="23" t="s">
        <v>55</v>
      </c>
      <c r="V382" s="24">
        <v>1.05</v>
      </c>
      <c r="W382" s="25">
        <v>750.75000000000011</v>
      </c>
      <c r="X382" s="26">
        <v>1</v>
      </c>
      <c r="Y382" s="27">
        <v>0</v>
      </c>
      <c r="Z382" s="23">
        <v>5</v>
      </c>
      <c r="AA382" s="28">
        <v>0</v>
      </c>
      <c r="AB382" s="24">
        <v>0</v>
      </c>
      <c r="AC382" s="29">
        <v>0</v>
      </c>
      <c r="AD382" s="30">
        <v>43566</v>
      </c>
      <c r="AE382" s="30">
        <v>43566</v>
      </c>
      <c r="AF382" s="23">
        <v>0</v>
      </c>
      <c r="AG382" s="25" t="s">
        <v>56</v>
      </c>
      <c r="AH382" s="24">
        <v>0</v>
      </c>
      <c r="AI382" s="31">
        <v>0</v>
      </c>
      <c r="AJ382" s="31">
        <v>0</v>
      </c>
      <c r="AK382" s="44">
        <f t="shared" si="10"/>
        <v>750.75000000000011</v>
      </c>
      <c r="AL382">
        <f>VLOOKUP(A382,'[1]prueba con 16mil datos'!$A$1:$AE$804,31,FALSE)</f>
        <v>1808.95</v>
      </c>
      <c r="AM382">
        <f t="shared" si="11"/>
        <v>0</v>
      </c>
      <c r="AO382">
        <f>VLOOKUP(A382,'[1]Prueba con 19mil datos'!$B$1:$AF$1228,31,FALSE)</f>
        <v>1808.95</v>
      </c>
    </row>
    <row r="383" spans="1:44" hidden="1" x14ac:dyDescent="0.25">
      <c r="A383" s="16" t="s">
        <v>1342</v>
      </c>
      <c r="B383" s="15" t="s">
        <v>40</v>
      </c>
      <c r="C383" s="16">
        <v>1</v>
      </c>
      <c r="D383" s="16" t="s">
        <v>1629</v>
      </c>
      <c r="E383" s="17" t="s">
        <v>42</v>
      </c>
      <c r="F383" s="18" t="s">
        <v>788</v>
      </c>
      <c r="G383" s="18" t="s">
        <v>1630</v>
      </c>
      <c r="H383" s="16" t="s">
        <v>143</v>
      </c>
      <c r="I383" s="19" t="s">
        <v>3</v>
      </c>
      <c r="J383" s="16" t="s">
        <v>12</v>
      </c>
      <c r="K383" s="20" t="s">
        <v>1632</v>
      </c>
      <c r="L383" s="20" t="s">
        <v>1633</v>
      </c>
      <c r="M383" s="16" t="s">
        <v>850</v>
      </c>
      <c r="N383" s="16">
        <v>0</v>
      </c>
      <c r="O383" s="16" t="s">
        <v>50</v>
      </c>
      <c r="P383" s="20">
        <v>196</v>
      </c>
      <c r="Q383" s="20" t="s">
        <v>51</v>
      </c>
      <c r="R383" s="21" t="s">
        <v>87</v>
      </c>
      <c r="S383" s="22" t="s">
        <v>53</v>
      </c>
      <c r="T383" s="22" t="s">
        <v>54</v>
      </c>
      <c r="U383" s="23" t="s">
        <v>55</v>
      </c>
      <c r="V383" s="24">
        <v>1.05</v>
      </c>
      <c r="W383" s="25">
        <v>750.75000000000011</v>
      </c>
      <c r="X383" s="26">
        <v>1</v>
      </c>
      <c r="Y383" s="27">
        <v>2.4500000000000002</v>
      </c>
      <c r="Z383" s="23">
        <v>5</v>
      </c>
      <c r="AA383" s="28">
        <v>0.49000000000000005</v>
      </c>
      <c r="AB383" s="24">
        <v>0</v>
      </c>
      <c r="AC383" s="29">
        <v>0</v>
      </c>
      <c r="AD383" s="30">
        <v>43566</v>
      </c>
      <c r="AE383" s="30">
        <v>43566</v>
      </c>
      <c r="AF383" s="23">
        <v>0</v>
      </c>
      <c r="AG383" s="25" t="s">
        <v>56</v>
      </c>
      <c r="AH383" s="24">
        <v>0</v>
      </c>
      <c r="AI383" s="31">
        <v>0</v>
      </c>
      <c r="AJ383" s="31">
        <v>0</v>
      </c>
      <c r="AK383" s="44">
        <f t="shared" si="10"/>
        <v>750.75000000000011</v>
      </c>
      <c r="AL383">
        <f>VLOOKUP(A383,'[1]prueba con 16mil datos'!$A$1:$AE$804,31,FALSE)</f>
        <v>750.75</v>
      </c>
      <c r="AM383">
        <f t="shared" si="11"/>
        <v>1</v>
      </c>
      <c r="AO383">
        <f>VLOOKUP(A383,'[1]Prueba con 19mil datos'!$B$1:$AF$1228,31,FALSE)</f>
        <v>750.75</v>
      </c>
    </row>
    <row r="384" spans="1:44" x14ac:dyDescent="0.25">
      <c r="A384" s="16" t="s">
        <v>45</v>
      </c>
      <c r="B384" s="15" t="s">
        <v>40</v>
      </c>
      <c r="C384" s="16">
        <v>1</v>
      </c>
      <c r="D384" s="16" t="s">
        <v>1638</v>
      </c>
      <c r="E384" s="17" t="s">
        <v>42</v>
      </c>
      <c r="F384" s="18" t="s">
        <v>180</v>
      </c>
      <c r="G384" s="18" t="s">
        <v>1639</v>
      </c>
      <c r="H384" s="16" t="s">
        <v>213</v>
      </c>
      <c r="I384" s="19" t="s">
        <v>3</v>
      </c>
      <c r="J384" s="16" t="s">
        <v>12</v>
      </c>
      <c r="K384" s="20" t="s">
        <v>198</v>
      </c>
      <c r="L384" s="20" t="s">
        <v>1641</v>
      </c>
      <c r="M384" s="16" t="s">
        <v>479</v>
      </c>
      <c r="N384" s="16">
        <v>0</v>
      </c>
      <c r="O384" s="16" t="s">
        <v>50</v>
      </c>
      <c r="P384" s="20">
        <v>281</v>
      </c>
      <c r="Q384" s="20" t="s">
        <v>51</v>
      </c>
      <c r="R384" s="21" t="s">
        <v>186</v>
      </c>
      <c r="S384" s="22" t="s">
        <v>187</v>
      </c>
      <c r="T384" s="22" t="s">
        <v>54</v>
      </c>
      <c r="U384" s="23" t="s">
        <v>550</v>
      </c>
      <c r="V384" s="24">
        <v>1.1499999999999999</v>
      </c>
      <c r="W384" s="25">
        <v>1808.95</v>
      </c>
      <c r="X384" s="26">
        <v>1</v>
      </c>
      <c r="Y384" s="27">
        <v>4</v>
      </c>
      <c r="Z384" s="23">
        <v>4</v>
      </c>
      <c r="AA384" s="28">
        <v>1</v>
      </c>
      <c r="AB384" s="24">
        <v>0</v>
      </c>
      <c r="AC384" s="29">
        <v>0</v>
      </c>
      <c r="AD384" s="30">
        <v>43566</v>
      </c>
      <c r="AE384" s="30">
        <v>43566</v>
      </c>
      <c r="AF384" s="23">
        <v>0</v>
      </c>
      <c r="AG384" s="25" t="s">
        <v>56</v>
      </c>
      <c r="AH384" s="24">
        <v>0</v>
      </c>
      <c r="AI384" s="31">
        <v>0</v>
      </c>
      <c r="AJ384" s="31">
        <v>0</v>
      </c>
      <c r="AK384" s="44">
        <f t="shared" si="10"/>
        <v>1808.95</v>
      </c>
      <c r="AL384" t="e">
        <f>VLOOKUP(A384,'[1]prueba con 16mil datos'!$A$1:$AE$804,31,FALSE)</f>
        <v>#N/A</v>
      </c>
      <c r="AM384" t="e">
        <f t="shared" si="11"/>
        <v>#N/A</v>
      </c>
      <c r="AO384" t="e">
        <f>VLOOKUP(A384,'[1]Prueba con 19mil datos'!$B$1:$AF$1228,31,FALSE)</f>
        <v>#N/A</v>
      </c>
      <c r="AP384" t="s">
        <v>3211</v>
      </c>
      <c r="AQ384" s="48">
        <v>43594.758333333302</v>
      </c>
      <c r="AR384" t="s">
        <v>3209</v>
      </c>
    </row>
    <row r="385" spans="1:41" hidden="1" x14ac:dyDescent="0.25">
      <c r="A385" s="16" t="s">
        <v>1266</v>
      </c>
      <c r="B385" s="15" t="s">
        <v>40</v>
      </c>
      <c r="C385" s="16">
        <v>1</v>
      </c>
      <c r="D385" s="16" t="s">
        <v>1839</v>
      </c>
      <c r="E385" s="17" t="s">
        <v>42</v>
      </c>
      <c r="F385" s="18" t="s">
        <v>180</v>
      </c>
      <c r="G385" s="18" t="s">
        <v>1840</v>
      </c>
      <c r="H385" s="16" t="s">
        <v>621</v>
      </c>
      <c r="I385" s="19" t="s">
        <v>3</v>
      </c>
      <c r="J385" s="16" t="s">
        <v>12</v>
      </c>
      <c r="K385" s="20" t="s">
        <v>126</v>
      </c>
      <c r="L385" s="20" t="s">
        <v>1842</v>
      </c>
      <c r="M385" s="16" t="s">
        <v>1843</v>
      </c>
      <c r="N385" s="16">
        <v>0</v>
      </c>
      <c r="O385" s="16" t="s">
        <v>50</v>
      </c>
      <c r="P385" s="20">
        <v>34</v>
      </c>
      <c r="Q385" s="20" t="s">
        <v>86</v>
      </c>
      <c r="R385" s="21" t="s">
        <v>186</v>
      </c>
      <c r="S385" s="22" t="s">
        <v>187</v>
      </c>
      <c r="T385" s="22" t="s">
        <v>157</v>
      </c>
      <c r="U385" s="23" t="s">
        <v>188</v>
      </c>
      <c r="V385" s="24">
        <v>1.1000000000000001</v>
      </c>
      <c r="W385" s="25">
        <v>1730.3000000000004</v>
      </c>
      <c r="X385" s="26">
        <v>1</v>
      </c>
      <c r="Y385" s="27">
        <v>2.9</v>
      </c>
      <c r="Z385" s="23">
        <v>6</v>
      </c>
      <c r="AA385" s="28">
        <v>0.48333333333333334</v>
      </c>
      <c r="AB385" s="24">
        <v>0</v>
      </c>
      <c r="AC385" s="29">
        <v>0</v>
      </c>
      <c r="AD385" s="30">
        <v>43566</v>
      </c>
      <c r="AE385" s="30">
        <v>43567</v>
      </c>
      <c r="AF385" s="23">
        <v>1</v>
      </c>
      <c r="AG385" s="25" t="s">
        <v>56</v>
      </c>
      <c r="AH385" s="24">
        <v>0</v>
      </c>
      <c r="AI385" s="31">
        <v>0</v>
      </c>
      <c r="AJ385" s="31">
        <v>0</v>
      </c>
      <c r="AK385" s="44">
        <f t="shared" si="10"/>
        <v>1730.3000000000004</v>
      </c>
      <c r="AL385">
        <f>VLOOKUP(A385,'[1]prueba con 16mil datos'!$A$1:$AE$804,31,FALSE)</f>
        <v>750.75</v>
      </c>
      <c r="AM385">
        <f t="shared" si="11"/>
        <v>0</v>
      </c>
      <c r="AO385">
        <f>VLOOKUP(A385,'[1]Prueba con 19mil datos'!$B$1:$AF$1228,31,FALSE)</f>
        <v>750.75</v>
      </c>
    </row>
    <row r="386" spans="1:41" hidden="1" x14ac:dyDescent="0.25">
      <c r="A386" s="16" t="s">
        <v>847</v>
      </c>
      <c r="B386" s="15" t="s">
        <v>40</v>
      </c>
      <c r="C386" s="16">
        <v>1</v>
      </c>
      <c r="D386" s="16" t="s">
        <v>1623</v>
      </c>
      <c r="E386" s="17" t="s">
        <v>42</v>
      </c>
      <c r="F386" s="18" t="s">
        <v>180</v>
      </c>
      <c r="G386" s="18" t="s">
        <v>1624</v>
      </c>
      <c r="H386" s="16" t="s">
        <v>346</v>
      </c>
      <c r="I386" s="19" t="s">
        <v>3</v>
      </c>
      <c r="J386" s="16" t="s">
        <v>12</v>
      </c>
      <c r="K386" s="20" t="s">
        <v>126</v>
      </c>
      <c r="L386" s="20" t="s">
        <v>1626</v>
      </c>
      <c r="M386" s="16" t="s">
        <v>367</v>
      </c>
      <c r="N386" s="16">
        <v>0</v>
      </c>
      <c r="O386" s="16" t="s">
        <v>50</v>
      </c>
      <c r="P386" s="20">
        <v>50</v>
      </c>
      <c r="Q386" s="20" t="s">
        <v>86</v>
      </c>
      <c r="R386" s="21" t="s">
        <v>186</v>
      </c>
      <c r="S386" s="22" t="s">
        <v>187</v>
      </c>
      <c r="T386" s="22" t="s">
        <v>54</v>
      </c>
      <c r="U386" s="23" t="s">
        <v>188</v>
      </c>
      <c r="V386" s="24">
        <v>1.1000000000000001</v>
      </c>
      <c r="W386" s="25">
        <v>1730.3000000000004</v>
      </c>
      <c r="X386" s="26">
        <v>1</v>
      </c>
      <c r="Y386" s="27">
        <v>2.68</v>
      </c>
      <c r="Z386" s="23">
        <v>4</v>
      </c>
      <c r="AA386" s="28">
        <v>0.67</v>
      </c>
      <c r="AB386" s="24">
        <v>0</v>
      </c>
      <c r="AC386" s="29">
        <v>0</v>
      </c>
      <c r="AD386" s="30">
        <v>43566</v>
      </c>
      <c r="AE386" s="30">
        <v>43566</v>
      </c>
      <c r="AF386" s="23">
        <v>0</v>
      </c>
      <c r="AG386" s="25" t="s">
        <v>56</v>
      </c>
      <c r="AH386" s="24">
        <v>0</v>
      </c>
      <c r="AI386" s="31">
        <v>0</v>
      </c>
      <c r="AJ386" s="31">
        <v>0</v>
      </c>
      <c r="AK386" s="44">
        <f t="shared" ref="AK386:AK449" si="12">+W386+AC386</f>
        <v>1730.3000000000004</v>
      </c>
      <c r="AL386">
        <f>VLOOKUP(A386,'[1]prueba con 16mil datos'!$A$1:$AE$804,31,FALSE)</f>
        <v>750.75</v>
      </c>
      <c r="AM386">
        <f t="shared" ref="AM386:AM449" si="13">IF(AK386=AL386,1,0)</f>
        <v>0</v>
      </c>
      <c r="AO386">
        <f>VLOOKUP(A386,'[1]Prueba con 19mil datos'!$B$1:$AF$1228,31,FALSE)</f>
        <v>750.75</v>
      </c>
    </row>
    <row r="387" spans="1:41" hidden="1" x14ac:dyDescent="0.25">
      <c r="A387" s="16" t="s">
        <v>2911</v>
      </c>
      <c r="B387" s="15" t="s">
        <v>40</v>
      </c>
      <c r="C387" s="16">
        <v>1</v>
      </c>
      <c r="D387" s="16" t="s">
        <v>1759</v>
      </c>
      <c r="E387" s="17" t="s">
        <v>42</v>
      </c>
      <c r="F387" s="18" t="s">
        <v>180</v>
      </c>
      <c r="G387" s="18" t="s">
        <v>1760</v>
      </c>
      <c r="H387" s="16" t="s">
        <v>440</v>
      </c>
      <c r="I387" s="19" t="s">
        <v>3</v>
      </c>
      <c r="J387" s="16" t="s">
        <v>12</v>
      </c>
      <c r="K387" s="20" t="s">
        <v>198</v>
      </c>
      <c r="L387" s="20" t="s">
        <v>1557</v>
      </c>
      <c r="M387" s="16" t="s">
        <v>469</v>
      </c>
      <c r="N387" s="16">
        <v>0</v>
      </c>
      <c r="O387" s="16" t="s">
        <v>50</v>
      </c>
      <c r="P387" s="20">
        <v>37</v>
      </c>
      <c r="Q387" s="20" t="s">
        <v>86</v>
      </c>
      <c r="R387" s="21" t="s">
        <v>186</v>
      </c>
      <c r="S387" s="22" t="s">
        <v>187</v>
      </c>
      <c r="T387" s="22" t="s">
        <v>54</v>
      </c>
      <c r="U387" s="23" t="s">
        <v>188</v>
      </c>
      <c r="V387" s="24">
        <v>1.1000000000000001</v>
      </c>
      <c r="W387" s="25">
        <v>1730.3000000000004</v>
      </c>
      <c r="X387" s="26">
        <v>1</v>
      </c>
      <c r="Y387" s="27">
        <v>3.17</v>
      </c>
      <c r="Z387" s="23">
        <v>4</v>
      </c>
      <c r="AA387" s="28">
        <v>0.79249999999999998</v>
      </c>
      <c r="AB387" s="24">
        <v>0</v>
      </c>
      <c r="AC387" s="29">
        <v>0</v>
      </c>
      <c r="AD387" s="30">
        <v>43566</v>
      </c>
      <c r="AE387" s="30">
        <v>43567</v>
      </c>
      <c r="AF387" s="23">
        <v>1</v>
      </c>
      <c r="AG387" s="25" t="s">
        <v>56</v>
      </c>
      <c r="AH387" s="24">
        <v>0</v>
      </c>
      <c r="AI387" s="31">
        <v>0</v>
      </c>
      <c r="AJ387" s="31">
        <v>0</v>
      </c>
      <c r="AK387" s="44">
        <f t="shared" si="12"/>
        <v>1730.3000000000004</v>
      </c>
      <c r="AL387">
        <f>VLOOKUP(A387,'[1]prueba con 16mil datos'!$A$1:$AE$804,31,FALSE)</f>
        <v>750.75</v>
      </c>
      <c r="AM387">
        <f t="shared" si="13"/>
        <v>0</v>
      </c>
      <c r="AO387">
        <f>VLOOKUP(A387,'[1]Prueba con 19mil datos'!$B$1:$AF$1228,31,FALSE)</f>
        <v>750.75</v>
      </c>
    </row>
    <row r="388" spans="1:41" hidden="1" x14ac:dyDescent="0.25">
      <c r="A388" s="16" t="s">
        <v>2381</v>
      </c>
      <c r="B388" s="15" t="s">
        <v>40</v>
      </c>
      <c r="C388" s="16">
        <v>1</v>
      </c>
      <c r="D388" s="16" t="s">
        <v>1627</v>
      </c>
      <c r="E388" s="17" t="s">
        <v>42</v>
      </c>
      <c r="F388" s="18" t="s">
        <v>122</v>
      </c>
      <c r="G388" s="18" t="s">
        <v>1628</v>
      </c>
      <c r="H388" s="16" t="s">
        <v>213</v>
      </c>
      <c r="I388" s="19" t="s">
        <v>3</v>
      </c>
      <c r="J388" s="16" t="s">
        <v>12</v>
      </c>
      <c r="K388" s="20" t="s">
        <v>198</v>
      </c>
      <c r="L388" s="20" t="s">
        <v>478</v>
      </c>
      <c r="M388" s="16" t="s">
        <v>479</v>
      </c>
      <c r="N388" s="16">
        <v>0</v>
      </c>
      <c r="O388" s="16" t="s">
        <v>50</v>
      </c>
      <c r="P388" s="20">
        <v>6</v>
      </c>
      <c r="Q388" s="20" t="s">
        <v>311</v>
      </c>
      <c r="R388" s="21" t="s">
        <v>129</v>
      </c>
      <c r="S388" s="22" t="s">
        <v>130</v>
      </c>
      <c r="T388" s="22" t="s">
        <v>54</v>
      </c>
      <c r="U388" s="23" t="s">
        <v>312</v>
      </c>
      <c r="V388" s="24">
        <v>0</v>
      </c>
      <c r="W388" s="25">
        <v>0</v>
      </c>
      <c r="X388" s="26">
        <v>1</v>
      </c>
      <c r="Y388" s="27">
        <v>0.33</v>
      </c>
      <c r="Z388" s="23">
        <v>5</v>
      </c>
      <c r="AA388" s="28">
        <v>6.6000000000000003E-2</v>
      </c>
      <c r="AB388" s="24">
        <v>0</v>
      </c>
      <c r="AC388" s="29">
        <v>0</v>
      </c>
      <c r="AD388" s="30">
        <v>43566</v>
      </c>
      <c r="AE388" s="30">
        <v>43566</v>
      </c>
      <c r="AF388" s="23">
        <v>0</v>
      </c>
      <c r="AG388" s="25" t="s">
        <v>56</v>
      </c>
      <c r="AH388" s="24">
        <v>0</v>
      </c>
      <c r="AI388" s="31">
        <v>0</v>
      </c>
      <c r="AJ388" s="31">
        <v>0</v>
      </c>
      <c r="AK388" s="44">
        <f t="shared" si="12"/>
        <v>0</v>
      </c>
      <c r="AL388">
        <f>VLOOKUP(A388,'[1]prueba con 16mil datos'!$A$1:$AE$804,31,FALSE)</f>
        <v>1808.95</v>
      </c>
      <c r="AM388">
        <f t="shared" si="13"/>
        <v>0</v>
      </c>
      <c r="AO388">
        <f>VLOOKUP(A388,'[1]Prueba con 19mil datos'!$B$1:$AF$1228,31,FALSE)</f>
        <v>1808.95</v>
      </c>
    </row>
    <row r="389" spans="1:41" hidden="1" x14ac:dyDescent="0.25">
      <c r="A389" s="16" t="s">
        <v>1216</v>
      </c>
      <c r="B389" s="15" t="s">
        <v>40</v>
      </c>
      <c r="C389" s="16">
        <v>1</v>
      </c>
      <c r="D389" s="16" t="s">
        <v>1670</v>
      </c>
      <c r="E389" s="17" t="s">
        <v>42</v>
      </c>
      <c r="F389" s="18" t="s">
        <v>122</v>
      </c>
      <c r="G389" s="18" t="s">
        <v>1671</v>
      </c>
      <c r="H389" s="16" t="s">
        <v>213</v>
      </c>
      <c r="I389" s="19" t="s">
        <v>3</v>
      </c>
      <c r="J389" s="16" t="s">
        <v>12</v>
      </c>
      <c r="K389" s="20" t="s">
        <v>198</v>
      </c>
      <c r="L389" s="20" t="s">
        <v>1641</v>
      </c>
      <c r="M389" s="16" t="s">
        <v>479</v>
      </c>
      <c r="N389" s="16">
        <v>0</v>
      </c>
      <c r="O389" s="16" t="s">
        <v>50</v>
      </c>
      <c r="P389" s="20">
        <v>28</v>
      </c>
      <c r="Q389" s="20" t="s">
        <v>119</v>
      </c>
      <c r="R389" s="21" t="s">
        <v>129</v>
      </c>
      <c r="S389" s="22" t="s">
        <v>130</v>
      </c>
      <c r="T389" s="22" t="s">
        <v>54</v>
      </c>
      <c r="U389" s="23" t="s">
        <v>164</v>
      </c>
      <c r="V389" s="24">
        <v>0.8</v>
      </c>
      <c r="W389" s="25">
        <v>1092</v>
      </c>
      <c r="X389" s="26">
        <v>1</v>
      </c>
      <c r="Y389" s="27">
        <v>4.83</v>
      </c>
      <c r="Z389" s="23">
        <v>5</v>
      </c>
      <c r="AA389" s="28">
        <v>0.96599999999999997</v>
      </c>
      <c r="AB389" s="24">
        <v>0</v>
      </c>
      <c r="AC389" s="29">
        <v>0</v>
      </c>
      <c r="AD389" s="30">
        <v>43566</v>
      </c>
      <c r="AE389" s="30">
        <v>43566</v>
      </c>
      <c r="AF389" s="23">
        <v>0</v>
      </c>
      <c r="AG389" s="25" t="s">
        <v>56</v>
      </c>
      <c r="AH389" s="24">
        <v>0</v>
      </c>
      <c r="AI389" s="31">
        <v>0</v>
      </c>
      <c r="AJ389" s="31">
        <v>0</v>
      </c>
      <c r="AK389" s="44">
        <f t="shared" si="12"/>
        <v>1092</v>
      </c>
      <c r="AL389">
        <f>VLOOKUP(A389,'[1]prueba con 16mil datos'!$A$1:$AE$804,31,FALSE)</f>
        <v>1808.95</v>
      </c>
      <c r="AM389">
        <f t="shared" si="13"/>
        <v>0</v>
      </c>
      <c r="AO389">
        <f>VLOOKUP(A389,'[1]Prueba con 19mil datos'!$B$1:$AF$1228,31,FALSE)</f>
        <v>1808.95</v>
      </c>
    </row>
    <row r="390" spans="1:41" hidden="1" x14ac:dyDescent="0.25">
      <c r="A390" s="16" t="s">
        <v>1640</v>
      </c>
      <c r="B390" s="15" t="s">
        <v>40</v>
      </c>
      <c r="C390" s="16">
        <v>1</v>
      </c>
      <c r="D390" s="16" t="s">
        <v>1680</v>
      </c>
      <c r="E390" s="17" t="s">
        <v>42</v>
      </c>
      <c r="F390" s="18" t="s">
        <v>1681</v>
      </c>
      <c r="G390" s="18" t="s">
        <v>1682</v>
      </c>
      <c r="H390" s="16" t="s">
        <v>301</v>
      </c>
      <c r="I390" s="19" t="s">
        <v>3</v>
      </c>
      <c r="J390" s="16" t="s">
        <v>12</v>
      </c>
      <c r="K390" s="20" t="s">
        <v>378</v>
      </c>
      <c r="L390" s="20" t="s">
        <v>1684</v>
      </c>
      <c r="M390" s="16" t="s">
        <v>267</v>
      </c>
      <c r="N390" s="16">
        <v>0</v>
      </c>
      <c r="O390" s="16" t="s">
        <v>50</v>
      </c>
      <c r="P390" s="20">
        <v>35</v>
      </c>
      <c r="Q390" s="20" t="s">
        <v>86</v>
      </c>
      <c r="R390" s="21" t="s">
        <v>225</v>
      </c>
      <c r="S390" s="22" t="s">
        <v>130</v>
      </c>
      <c r="T390" s="22" t="s">
        <v>54</v>
      </c>
      <c r="U390" s="23" t="s">
        <v>178</v>
      </c>
      <c r="V390" s="24">
        <v>1.05</v>
      </c>
      <c r="W390" s="25">
        <v>1433.25</v>
      </c>
      <c r="X390" s="26">
        <v>1</v>
      </c>
      <c r="Y390" s="27">
        <v>0.93</v>
      </c>
      <c r="Z390" s="23">
        <v>5</v>
      </c>
      <c r="AA390" s="28">
        <v>0.186</v>
      </c>
      <c r="AB390" s="24">
        <v>0</v>
      </c>
      <c r="AC390" s="29">
        <v>0</v>
      </c>
      <c r="AD390" s="30">
        <v>43566</v>
      </c>
      <c r="AE390" s="30">
        <v>43566</v>
      </c>
      <c r="AF390" s="23">
        <v>0</v>
      </c>
      <c r="AG390" s="25" t="s">
        <v>56</v>
      </c>
      <c r="AH390" s="24">
        <v>0</v>
      </c>
      <c r="AI390" s="31">
        <v>0</v>
      </c>
      <c r="AJ390" s="31">
        <v>0</v>
      </c>
      <c r="AK390" s="44">
        <f t="shared" si="12"/>
        <v>1433.25</v>
      </c>
      <c r="AL390" t="e">
        <f>VLOOKUP(A390,'[1]prueba con 16mil datos'!$A$1:$AE$804,31,FALSE)</f>
        <v>#N/A</v>
      </c>
      <c r="AM390" t="e">
        <f t="shared" si="13"/>
        <v>#N/A</v>
      </c>
      <c r="AO390">
        <f>VLOOKUP(A390,'[1]Prueba con 19mil datos'!$B$1:$AF$1228,31,FALSE)</f>
        <v>1808.95</v>
      </c>
    </row>
    <row r="391" spans="1:41" hidden="1" x14ac:dyDescent="0.25">
      <c r="A391" s="16" t="s">
        <v>434</v>
      </c>
      <c r="B391" s="15" t="s">
        <v>40</v>
      </c>
      <c r="C391" s="16">
        <v>1</v>
      </c>
      <c r="D391" s="16" t="s">
        <v>1724</v>
      </c>
      <c r="E391" s="17" t="s">
        <v>42</v>
      </c>
      <c r="F391" s="18" t="s">
        <v>745</v>
      </c>
      <c r="G391" s="18" t="s">
        <v>1725</v>
      </c>
      <c r="H391" s="16" t="s">
        <v>317</v>
      </c>
      <c r="I391" s="19" t="s">
        <v>3</v>
      </c>
      <c r="J391" s="16" t="s">
        <v>12</v>
      </c>
      <c r="K391" s="20" t="s">
        <v>308</v>
      </c>
      <c r="L391" s="20" t="s">
        <v>1727</v>
      </c>
      <c r="M391" s="16" t="s">
        <v>105</v>
      </c>
      <c r="N391" s="16">
        <v>0</v>
      </c>
      <c r="O391" s="16" t="s">
        <v>50</v>
      </c>
      <c r="P391" s="20">
        <v>64</v>
      </c>
      <c r="Q391" s="20" t="s">
        <v>51</v>
      </c>
      <c r="R391" s="21" t="s">
        <v>287</v>
      </c>
      <c r="S391" s="22" t="s">
        <v>288</v>
      </c>
      <c r="T391" s="22" t="s">
        <v>54</v>
      </c>
      <c r="U391" s="23" t="s">
        <v>550</v>
      </c>
      <c r="V391" s="24">
        <v>1.1499999999999999</v>
      </c>
      <c r="W391" s="25">
        <v>1808.95</v>
      </c>
      <c r="X391" s="26">
        <v>1</v>
      </c>
      <c r="Y391" s="27">
        <v>0.74</v>
      </c>
      <c r="Z391" s="23">
        <v>4</v>
      </c>
      <c r="AA391" s="28">
        <v>0.185</v>
      </c>
      <c r="AB391" s="24">
        <v>0</v>
      </c>
      <c r="AC391" s="29">
        <v>0</v>
      </c>
      <c r="AD391" s="30">
        <v>43566</v>
      </c>
      <c r="AE391" s="30">
        <v>43567</v>
      </c>
      <c r="AF391" s="23">
        <v>1</v>
      </c>
      <c r="AG391" s="25" t="s">
        <v>56</v>
      </c>
      <c r="AH391" s="24">
        <v>0</v>
      </c>
      <c r="AI391" s="31">
        <v>0</v>
      </c>
      <c r="AJ391" s="31">
        <v>0</v>
      </c>
      <c r="AK391" s="44">
        <f t="shared" si="12"/>
        <v>1808.95</v>
      </c>
      <c r="AL391">
        <f>VLOOKUP(A391,'[1]prueba con 16mil datos'!$A$1:$AE$804,31,FALSE)</f>
        <v>1730.3</v>
      </c>
      <c r="AM391">
        <f t="shared" si="13"/>
        <v>0</v>
      </c>
      <c r="AO391">
        <f>VLOOKUP(A391,'[1]Prueba con 19mil datos'!$B$1:$AF$1228,31,FALSE)</f>
        <v>1730.3</v>
      </c>
    </row>
    <row r="392" spans="1:41" hidden="1" x14ac:dyDescent="0.25">
      <c r="A392" s="16" t="s">
        <v>1970</v>
      </c>
      <c r="B392" s="15" t="s">
        <v>40</v>
      </c>
      <c r="C392" s="16">
        <v>1</v>
      </c>
      <c r="D392" s="16" t="s">
        <v>1715</v>
      </c>
      <c r="E392" s="17" t="s">
        <v>1522</v>
      </c>
      <c r="F392" s="18" t="s">
        <v>1183</v>
      </c>
      <c r="G392" s="18" t="s">
        <v>1716</v>
      </c>
      <c r="H392" s="16" t="s">
        <v>264</v>
      </c>
      <c r="I392" s="19" t="s">
        <v>3</v>
      </c>
      <c r="J392" s="16" t="s">
        <v>12</v>
      </c>
      <c r="K392" s="20" t="s">
        <v>378</v>
      </c>
      <c r="L392" s="20" t="s">
        <v>1714</v>
      </c>
      <c r="M392" s="16" t="s">
        <v>49</v>
      </c>
      <c r="N392" s="16">
        <v>0</v>
      </c>
      <c r="O392" s="16" t="s">
        <v>50</v>
      </c>
      <c r="P392" s="20" t="s">
        <v>326</v>
      </c>
      <c r="Q392" s="20" t="s">
        <v>51</v>
      </c>
      <c r="R392" s="21" t="s">
        <v>52</v>
      </c>
      <c r="S392" s="22" t="s">
        <v>53</v>
      </c>
      <c r="T392" s="22" t="s">
        <v>54</v>
      </c>
      <c r="U392" s="23" t="s">
        <v>55</v>
      </c>
      <c r="V392" s="24">
        <v>1</v>
      </c>
      <c r="W392" s="25">
        <v>715.00000000000011</v>
      </c>
      <c r="X392" s="26">
        <v>0</v>
      </c>
      <c r="Y392" s="27">
        <v>5</v>
      </c>
      <c r="Z392" s="23">
        <v>5</v>
      </c>
      <c r="AA392" s="28">
        <v>1</v>
      </c>
      <c r="AB392" s="24">
        <v>0</v>
      </c>
      <c r="AC392" s="29">
        <v>0</v>
      </c>
      <c r="AD392" s="30">
        <v>43566</v>
      </c>
      <c r="AE392" s="30">
        <v>43566</v>
      </c>
      <c r="AF392" s="23">
        <v>0</v>
      </c>
      <c r="AG392" s="25" t="s">
        <v>56</v>
      </c>
      <c r="AH392" s="24">
        <v>0</v>
      </c>
      <c r="AI392" s="31">
        <v>0</v>
      </c>
      <c r="AJ392" s="31">
        <v>0</v>
      </c>
      <c r="AK392" s="44">
        <f t="shared" si="12"/>
        <v>715.00000000000011</v>
      </c>
      <c r="AL392">
        <f>VLOOKUP(A392,'[1]prueba con 16mil datos'!$A$1:$AE$804,31,FALSE)</f>
        <v>1730.3</v>
      </c>
      <c r="AM392">
        <f t="shared" si="13"/>
        <v>0</v>
      </c>
      <c r="AO392">
        <f>VLOOKUP(A392,'[1]Prueba con 19mil datos'!$B$1:$AF$1228,31,FALSE)</f>
        <v>1730.3</v>
      </c>
    </row>
    <row r="393" spans="1:41" hidden="1" x14ac:dyDescent="0.25">
      <c r="A393" s="16" t="s">
        <v>524</v>
      </c>
      <c r="B393" s="15" t="s">
        <v>40</v>
      </c>
      <c r="C393" s="16">
        <v>1</v>
      </c>
      <c r="D393" s="16" t="s">
        <v>1605</v>
      </c>
      <c r="E393" s="17" t="s">
        <v>42</v>
      </c>
      <c r="F393" s="18" t="s">
        <v>305</v>
      </c>
      <c r="G393" s="18" t="s">
        <v>1606</v>
      </c>
      <c r="H393" s="16" t="s">
        <v>109</v>
      </c>
      <c r="I393" s="19" t="s">
        <v>3</v>
      </c>
      <c r="J393" s="16" t="s">
        <v>12</v>
      </c>
      <c r="K393" s="20" t="s">
        <v>1608</v>
      </c>
      <c r="L393" s="20" t="s">
        <v>1609</v>
      </c>
      <c r="M393" s="16" t="s">
        <v>1610</v>
      </c>
      <c r="N393" s="16">
        <v>0</v>
      </c>
      <c r="O393" s="16" t="s">
        <v>50</v>
      </c>
      <c r="P393" s="20">
        <v>118</v>
      </c>
      <c r="Q393" s="20" t="s">
        <v>51</v>
      </c>
      <c r="R393" s="21" t="s">
        <v>148</v>
      </c>
      <c r="S393" s="22" t="s">
        <v>130</v>
      </c>
      <c r="T393" s="22" t="s">
        <v>54</v>
      </c>
      <c r="U393" s="23" t="s">
        <v>226</v>
      </c>
      <c r="V393" s="24">
        <v>1.1000000000000001</v>
      </c>
      <c r="W393" s="25">
        <v>1501.5000000000002</v>
      </c>
      <c r="X393" s="26">
        <v>1</v>
      </c>
      <c r="Y393" s="27">
        <v>5.67</v>
      </c>
      <c r="Z393" s="23">
        <v>5</v>
      </c>
      <c r="AA393" s="28">
        <v>1.1339999999999999</v>
      </c>
      <c r="AB393" s="24">
        <v>3.3499999999999974E-2</v>
      </c>
      <c r="AC393" s="29">
        <v>-45.727499999999964</v>
      </c>
      <c r="AD393" s="30">
        <v>43566</v>
      </c>
      <c r="AE393" s="30">
        <v>43566</v>
      </c>
      <c r="AF393" s="23">
        <v>0</v>
      </c>
      <c r="AG393" s="25" t="s">
        <v>56</v>
      </c>
      <c r="AH393" s="24">
        <v>0</v>
      </c>
      <c r="AI393" s="31">
        <v>0</v>
      </c>
      <c r="AJ393" s="31">
        <v>0</v>
      </c>
      <c r="AK393" s="44">
        <f t="shared" si="12"/>
        <v>1455.7725000000003</v>
      </c>
      <c r="AL393">
        <f>VLOOKUP(A393,'[1]prueba con 16mil datos'!$A$1:$AE$804,31,FALSE)</f>
        <v>1258.4000000000001</v>
      </c>
      <c r="AM393">
        <f t="shared" si="13"/>
        <v>0</v>
      </c>
      <c r="AO393">
        <f>VLOOKUP(A393,'[1]Prueba con 19mil datos'!$B$1:$AF$1228,31,FALSE)</f>
        <v>1258.4000000000001</v>
      </c>
    </row>
    <row r="394" spans="1:41" hidden="1" x14ac:dyDescent="0.25">
      <c r="A394" s="16" t="s">
        <v>553</v>
      </c>
      <c r="B394" s="15" t="s">
        <v>40</v>
      </c>
      <c r="C394" s="16">
        <v>1</v>
      </c>
      <c r="D394" s="16" t="s">
        <v>1762</v>
      </c>
      <c r="E394" s="17" t="s">
        <v>42</v>
      </c>
      <c r="F394" s="18" t="s">
        <v>305</v>
      </c>
      <c r="G394" s="18" t="s">
        <v>1763</v>
      </c>
      <c r="H394" s="16" t="s">
        <v>821</v>
      </c>
      <c r="I394" s="19" t="s">
        <v>3</v>
      </c>
      <c r="J394" s="16" t="s">
        <v>12</v>
      </c>
      <c r="K394" s="20" t="s">
        <v>1608</v>
      </c>
      <c r="L394" s="20" t="s">
        <v>1765</v>
      </c>
      <c r="M394" s="16" t="s">
        <v>823</v>
      </c>
      <c r="N394" s="16">
        <v>0</v>
      </c>
      <c r="O394" s="16" t="s">
        <v>50</v>
      </c>
      <c r="P394" s="20">
        <v>253</v>
      </c>
      <c r="Q394" s="20" t="s">
        <v>51</v>
      </c>
      <c r="R394" s="21" t="s">
        <v>148</v>
      </c>
      <c r="S394" s="22" t="s">
        <v>130</v>
      </c>
      <c r="T394" s="22" t="s">
        <v>54</v>
      </c>
      <c r="U394" s="23" t="s">
        <v>226</v>
      </c>
      <c r="V394" s="24">
        <v>1.1000000000000001</v>
      </c>
      <c r="W394" s="25">
        <v>1501.5000000000002</v>
      </c>
      <c r="X394" s="26">
        <v>1</v>
      </c>
      <c r="Y394" s="27">
        <v>2.88</v>
      </c>
      <c r="Z394" s="23">
        <v>5</v>
      </c>
      <c r="AA394" s="28">
        <v>0.57599999999999996</v>
      </c>
      <c r="AB394" s="24">
        <v>0</v>
      </c>
      <c r="AC394" s="29">
        <v>0</v>
      </c>
      <c r="AD394" s="30">
        <v>43566</v>
      </c>
      <c r="AE394" s="30">
        <v>43567</v>
      </c>
      <c r="AF394" s="23">
        <v>1</v>
      </c>
      <c r="AG394" s="25" t="s">
        <v>56</v>
      </c>
      <c r="AH394" s="24">
        <v>0</v>
      </c>
      <c r="AI394" s="31">
        <v>0</v>
      </c>
      <c r="AJ394" s="31">
        <v>0</v>
      </c>
      <c r="AK394" s="44">
        <f t="shared" si="12"/>
        <v>1501.5000000000002</v>
      </c>
      <c r="AL394">
        <f>VLOOKUP(A394,'[1]prueba con 16mil datos'!$A$1:$AE$804,31,FALSE)</f>
        <v>1651.65</v>
      </c>
      <c r="AM394">
        <f t="shared" si="13"/>
        <v>0</v>
      </c>
      <c r="AO394">
        <f>VLOOKUP(A394,'[1]Prueba con 19mil datos'!$B$1:$AF$1228,31,FALSE)</f>
        <v>1651.65</v>
      </c>
    </row>
    <row r="395" spans="1:41" hidden="1" x14ac:dyDescent="0.25">
      <c r="A395" s="16" t="s">
        <v>553</v>
      </c>
      <c r="B395" s="15" t="s">
        <v>40</v>
      </c>
      <c r="C395" s="16">
        <v>1</v>
      </c>
      <c r="D395" s="16" t="s">
        <v>1667</v>
      </c>
      <c r="E395" s="17" t="s">
        <v>42</v>
      </c>
      <c r="F395" s="18" t="s">
        <v>305</v>
      </c>
      <c r="G395" s="18" t="s">
        <v>1668</v>
      </c>
      <c r="H395" s="16" t="s">
        <v>377</v>
      </c>
      <c r="I395" s="19" t="s">
        <v>3</v>
      </c>
      <c r="J395" s="16" t="s">
        <v>12</v>
      </c>
      <c r="K395" s="20" t="s">
        <v>378</v>
      </c>
      <c r="L395" s="20" t="s">
        <v>1246</v>
      </c>
      <c r="M395" s="16" t="s">
        <v>105</v>
      </c>
      <c r="N395" s="16">
        <v>0</v>
      </c>
      <c r="O395" s="16" t="s">
        <v>50</v>
      </c>
      <c r="P395" s="20">
        <v>447</v>
      </c>
      <c r="Q395" s="20" t="s">
        <v>51</v>
      </c>
      <c r="R395" s="21" t="s">
        <v>148</v>
      </c>
      <c r="S395" s="22" t="s">
        <v>130</v>
      </c>
      <c r="T395" s="22" t="s">
        <v>54</v>
      </c>
      <c r="U395" s="23" t="s">
        <v>226</v>
      </c>
      <c r="V395" s="24">
        <v>1.1000000000000001</v>
      </c>
      <c r="W395" s="25">
        <v>1501.5000000000002</v>
      </c>
      <c r="X395" s="26">
        <v>1</v>
      </c>
      <c r="Y395" s="27">
        <v>0.64</v>
      </c>
      <c r="Z395" s="23">
        <v>5</v>
      </c>
      <c r="AA395" s="28">
        <v>0.128</v>
      </c>
      <c r="AB395" s="24">
        <v>0</v>
      </c>
      <c r="AC395" s="29">
        <v>0</v>
      </c>
      <c r="AD395" s="30">
        <v>43566</v>
      </c>
      <c r="AE395" s="30">
        <v>43566</v>
      </c>
      <c r="AF395" s="23">
        <v>0</v>
      </c>
      <c r="AG395" s="25" t="s">
        <v>56</v>
      </c>
      <c r="AH395" s="24">
        <v>0</v>
      </c>
      <c r="AI395" s="31">
        <v>0</v>
      </c>
      <c r="AJ395" s="31">
        <v>0</v>
      </c>
      <c r="AK395" s="44">
        <f t="shared" si="12"/>
        <v>1501.5000000000002</v>
      </c>
      <c r="AL395">
        <f>VLOOKUP(A395,'[1]prueba con 16mil datos'!$A$1:$AE$804,31,FALSE)</f>
        <v>1651.65</v>
      </c>
      <c r="AM395">
        <f t="shared" si="13"/>
        <v>0</v>
      </c>
      <c r="AO395">
        <f>VLOOKUP(A395,'[1]Prueba con 19mil datos'!$B$1:$AF$1228,31,FALSE)</f>
        <v>1651.65</v>
      </c>
    </row>
    <row r="396" spans="1:41" hidden="1" x14ac:dyDescent="0.25">
      <c r="A396" s="16" t="s">
        <v>2242</v>
      </c>
      <c r="B396" s="15" t="s">
        <v>40</v>
      </c>
      <c r="C396" s="16">
        <v>1</v>
      </c>
      <c r="D396" s="16" t="s">
        <v>1600</v>
      </c>
      <c r="E396" s="17" t="s">
        <v>42</v>
      </c>
      <c r="F396" s="18" t="s">
        <v>759</v>
      </c>
      <c r="G396" s="18" t="s">
        <v>1601</v>
      </c>
      <c r="H396" s="16" t="s">
        <v>377</v>
      </c>
      <c r="I396" s="19" t="s">
        <v>3</v>
      </c>
      <c r="J396" s="16" t="s">
        <v>12</v>
      </c>
      <c r="K396" s="20" t="s">
        <v>378</v>
      </c>
      <c r="L396" s="20" t="s">
        <v>577</v>
      </c>
      <c r="M396" s="16" t="s">
        <v>128</v>
      </c>
      <c r="N396" s="16">
        <v>0</v>
      </c>
      <c r="O396" s="16" t="s">
        <v>50</v>
      </c>
      <c r="P396" s="20">
        <v>187</v>
      </c>
      <c r="Q396" s="20" t="s">
        <v>51</v>
      </c>
      <c r="R396" s="21" t="s">
        <v>87</v>
      </c>
      <c r="S396" s="22" t="s">
        <v>53</v>
      </c>
      <c r="T396" s="22" t="s">
        <v>54</v>
      </c>
      <c r="U396" s="23" t="s">
        <v>55</v>
      </c>
      <c r="V396" s="24">
        <v>1.05</v>
      </c>
      <c r="W396" s="25">
        <v>750.75000000000011</v>
      </c>
      <c r="X396" s="26">
        <v>1</v>
      </c>
      <c r="Y396" s="27">
        <v>0</v>
      </c>
      <c r="Z396" s="23">
        <v>5</v>
      </c>
      <c r="AA396" s="28">
        <v>0</v>
      </c>
      <c r="AB396" s="24">
        <v>0</v>
      </c>
      <c r="AC396" s="29">
        <v>0</v>
      </c>
      <c r="AD396" s="30">
        <v>43566</v>
      </c>
      <c r="AE396" s="30">
        <v>43566</v>
      </c>
      <c r="AF396" s="23">
        <v>0</v>
      </c>
      <c r="AG396" s="25" t="s">
        <v>56</v>
      </c>
      <c r="AH396" s="24">
        <v>0</v>
      </c>
      <c r="AI396" s="31">
        <v>0</v>
      </c>
      <c r="AJ396" s="31">
        <v>0</v>
      </c>
      <c r="AK396" s="44">
        <f t="shared" si="12"/>
        <v>750.75000000000011</v>
      </c>
      <c r="AL396">
        <f>VLOOKUP(A396,'[1]prueba con 16mil datos'!$A$1:$AE$804,31,FALSE)</f>
        <v>1573</v>
      </c>
      <c r="AM396">
        <f t="shared" si="13"/>
        <v>0</v>
      </c>
      <c r="AO396">
        <f>VLOOKUP(A396,'[1]Prueba con 19mil datos'!$B$1:$AF$1228,31,FALSE)</f>
        <v>1573</v>
      </c>
    </row>
    <row r="397" spans="1:41" hidden="1" x14ac:dyDescent="0.25">
      <c r="A397" s="16" t="s">
        <v>1178</v>
      </c>
      <c r="B397" s="15" t="s">
        <v>40</v>
      </c>
      <c r="C397" s="16">
        <v>1</v>
      </c>
      <c r="D397" s="16" t="s">
        <v>1693</v>
      </c>
      <c r="E397" s="17" t="s">
        <v>42</v>
      </c>
      <c r="F397" s="18" t="s">
        <v>1088</v>
      </c>
      <c r="G397" s="18" t="s">
        <v>1694</v>
      </c>
      <c r="H397" s="16" t="s">
        <v>301</v>
      </c>
      <c r="I397" s="19" t="s">
        <v>3</v>
      </c>
      <c r="J397" s="16" t="s">
        <v>12</v>
      </c>
      <c r="K397" s="20" t="s">
        <v>198</v>
      </c>
      <c r="L397" s="20" t="s">
        <v>1458</v>
      </c>
      <c r="M397" s="16" t="s">
        <v>267</v>
      </c>
      <c r="N397" s="16">
        <v>0</v>
      </c>
      <c r="O397" s="16" t="s">
        <v>50</v>
      </c>
      <c r="P397" s="20">
        <v>1</v>
      </c>
      <c r="Q397" s="20" t="s">
        <v>147</v>
      </c>
      <c r="R397" s="21" t="s">
        <v>186</v>
      </c>
      <c r="S397" s="22" t="s">
        <v>187</v>
      </c>
      <c r="T397" s="22" t="s">
        <v>54</v>
      </c>
      <c r="U397" s="23" t="s">
        <v>389</v>
      </c>
      <c r="V397" s="24">
        <v>0</v>
      </c>
      <c r="W397" s="25">
        <v>0</v>
      </c>
      <c r="X397" s="26">
        <v>1</v>
      </c>
      <c r="Y397" s="27">
        <v>3.25</v>
      </c>
      <c r="Z397" s="23">
        <v>4</v>
      </c>
      <c r="AA397" s="28">
        <v>0.8125</v>
      </c>
      <c r="AB397" s="24">
        <v>0</v>
      </c>
      <c r="AC397" s="29">
        <v>0</v>
      </c>
      <c r="AD397" s="30">
        <v>43566</v>
      </c>
      <c r="AE397" s="30">
        <v>43566</v>
      </c>
      <c r="AF397" s="23">
        <v>0</v>
      </c>
      <c r="AG397" s="25" t="s">
        <v>56</v>
      </c>
      <c r="AH397" s="24">
        <v>0</v>
      </c>
      <c r="AI397" s="31">
        <v>0</v>
      </c>
      <c r="AJ397" s="31">
        <v>0</v>
      </c>
      <c r="AK397" s="44">
        <f t="shared" si="12"/>
        <v>0</v>
      </c>
      <c r="AL397">
        <f>VLOOKUP(A397,'[1]prueba con 16mil datos'!$A$1:$AE$804,31,FALSE)</f>
        <v>1258.4000000000001</v>
      </c>
      <c r="AM397">
        <f t="shared" si="13"/>
        <v>0</v>
      </c>
      <c r="AO397">
        <f>VLOOKUP(A397,'[1]Prueba con 19mil datos'!$B$1:$AF$1228,31,FALSE)</f>
        <v>1573</v>
      </c>
    </row>
    <row r="398" spans="1:41" hidden="1" x14ac:dyDescent="0.25">
      <c r="A398" s="16" t="s">
        <v>2395</v>
      </c>
      <c r="B398" s="15" t="s">
        <v>40</v>
      </c>
      <c r="C398" s="16">
        <v>1</v>
      </c>
      <c r="D398" s="16" t="s">
        <v>1756</v>
      </c>
      <c r="E398" s="17" t="s">
        <v>42</v>
      </c>
      <c r="F398" s="18" t="s">
        <v>255</v>
      </c>
      <c r="G398" s="18" t="s">
        <v>1757</v>
      </c>
      <c r="H398" s="16" t="s">
        <v>46</v>
      </c>
      <c r="I398" s="19" t="s">
        <v>3</v>
      </c>
      <c r="J398" s="16" t="s">
        <v>12</v>
      </c>
      <c r="K398" s="20" t="s">
        <v>47</v>
      </c>
      <c r="L398" s="20" t="s">
        <v>48</v>
      </c>
      <c r="M398" s="16" t="s">
        <v>49</v>
      </c>
      <c r="N398" s="16">
        <v>0</v>
      </c>
      <c r="O398" s="16" t="s">
        <v>50</v>
      </c>
      <c r="P398" s="20">
        <v>227</v>
      </c>
      <c r="Q398" s="20" t="s">
        <v>51</v>
      </c>
      <c r="R398" s="21" t="s">
        <v>129</v>
      </c>
      <c r="S398" s="22" t="s">
        <v>130</v>
      </c>
      <c r="T398" s="22" t="s">
        <v>54</v>
      </c>
      <c r="U398" s="23" t="s">
        <v>226</v>
      </c>
      <c r="V398" s="24">
        <v>1.1000000000000001</v>
      </c>
      <c r="W398" s="25">
        <v>1501.5000000000002</v>
      </c>
      <c r="X398" s="26">
        <v>1</v>
      </c>
      <c r="Y398" s="27">
        <v>0</v>
      </c>
      <c r="Z398" s="23">
        <v>5</v>
      </c>
      <c r="AA398" s="28">
        <v>0</v>
      </c>
      <c r="AB398" s="24">
        <v>0</v>
      </c>
      <c r="AC398" s="29">
        <v>0</v>
      </c>
      <c r="AD398" s="30">
        <v>43566</v>
      </c>
      <c r="AE398" s="30">
        <v>43567</v>
      </c>
      <c r="AF398" s="23">
        <v>1</v>
      </c>
      <c r="AG398" s="25" t="s">
        <v>56</v>
      </c>
      <c r="AH398" s="24">
        <v>0</v>
      </c>
      <c r="AI398" s="31">
        <v>0</v>
      </c>
      <c r="AJ398" s="31">
        <v>0</v>
      </c>
      <c r="AK398" s="44">
        <f t="shared" si="12"/>
        <v>1501.5000000000002</v>
      </c>
      <c r="AL398">
        <f>VLOOKUP(A398,'[1]prueba con 16mil datos'!$A$1:$AE$804,31,FALSE)</f>
        <v>1808.95</v>
      </c>
      <c r="AM398">
        <f t="shared" si="13"/>
        <v>0</v>
      </c>
      <c r="AO398">
        <f>VLOOKUP(A398,'[1]Prueba con 19mil datos'!$B$1:$AF$1228,31,FALSE)</f>
        <v>1808.95</v>
      </c>
    </row>
    <row r="399" spans="1:41" hidden="1" x14ac:dyDescent="0.25">
      <c r="A399" s="16" t="s">
        <v>1171</v>
      </c>
      <c r="B399" s="15" t="s">
        <v>40</v>
      </c>
      <c r="C399" s="16">
        <v>1</v>
      </c>
      <c r="D399" s="16" t="s">
        <v>1766</v>
      </c>
      <c r="E399" s="17" t="s">
        <v>42</v>
      </c>
      <c r="F399" s="18" t="s">
        <v>537</v>
      </c>
      <c r="G399" s="18" t="s">
        <v>1767</v>
      </c>
      <c r="H399" s="16" t="s">
        <v>317</v>
      </c>
      <c r="I399" s="19" t="s">
        <v>3</v>
      </c>
      <c r="J399" s="16" t="s">
        <v>12</v>
      </c>
      <c r="K399" s="20" t="s">
        <v>83</v>
      </c>
      <c r="L399" s="20" t="s">
        <v>1769</v>
      </c>
      <c r="M399" s="16" t="s">
        <v>105</v>
      </c>
      <c r="N399" s="16">
        <v>0</v>
      </c>
      <c r="O399" s="16" t="s">
        <v>50</v>
      </c>
      <c r="P399" s="20">
        <v>86</v>
      </c>
      <c r="Q399" s="20" t="s">
        <v>51</v>
      </c>
      <c r="R399" s="21" t="s">
        <v>129</v>
      </c>
      <c r="S399" s="22" t="s">
        <v>130</v>
      </c>
      <c r="T399" s="22" t="s">
        <v>54</v>
      </c>
      <c r="U399" s="23" t="s">
        <v>226</v>
      </c>
      <c r="V399" s="24">
        <v>1.1000000000000001</v>
      </c>
      <c r="W399" s="25">
        <v>1501.5000000000002</v>
      </c>
      <c r="X399" s="26">
        <v>1</v>
      </c>
      <c r="Y399" s="27">
        <v>1.71</v>
      </c>
      <c r="Z399" s="23">
        <v>5</v>
      </c>
      <c r="AA399" s="28">
        <v>0.34199999999999997</v>
      </c>
      <c r="AB399" s="24">
        <v>0</v>
      </c>
      <c r="AC399" s="29">
        <v>0</v>
      </c>
      <c r="AD399" s="30">
        <v>43566</v>
      </c>
      <c r="AE399" s="30">
        <v>43567</v>
      </c>
      <c r="AF399" s="23">
        <v>1</v>
      </c>
      <c r="AG399" s="25" t="s">
        <v>56</v>
      </c>
      <c r="AH399" s="24">
        <v>0</v>
      </c>
      <c r="AI399" s="31">
        <v>0</v>
      </c>
      <c r="AJ399" s="31">
        <v>0</v>
      </c>
      <c r="AK399" s="44">
        <f t="shared" si="12"/>
        <v>1501.5000000000002</v>
      </c>
      <c r="AL399">
        <f>VLOOKUP(A399,'[1]prueba con 16mil datos'!$A$1:$AE$804,31,FALSE)</f>
        <v>1730.3</v>
      </c>
      <c r="AM399">
        <f t="shared" si="13"/>
        <v>0</v>
      </c>
      <c r="AO399">
        <f>VLOOKUP(A399,'[1]Prueba con 19mil datos'!$B$1:$AF$1228,31,FALSE)</f>
        <v>1730.3</v>
      </c>
    </row>
    <row r="400" spans="1:41" hidden="1" x14ac:dyDescent="0.25">
      <c r="A400" s="16" t="s">
        <v>1486</v>
      </c>
      <c r="B400" s="15" t="s">
        <v>40</v>
      </c>
      <c r="C400" s="16">
        <v>1</v>
      </c>
      <c r="D400" s="16" t="s">
        <v>1603</v>
      </c>
      <c r="E400" s="17" t="s">
        <v>42</v>
      </c>
      <c r="F400" s="18" t="s">
        <v>140</v>
      </c>
      <c r="G400" s="18" t="s">
        <v>1604</v>
      </c>
      <c r="H400" s="16" t="s">
        <v>93</v>
      </c>
      <c r="I400" s="19" t="s">
        <v>3</v>
      </c>
      <c r="J400" s="16" t="s">
        <v>12</v>
      </c>
      <c r="K400" s="20" t="s">
        <v>161</v>
      </c>
      <c r="L400" s="20" t="s">
        <v>162</v>
      </c>
      <c r="M400" s="16" t="s">
        <v>163</v>
      </c>
      <c r="N400" s="16">
        <v>1</v>
      </c>
      <c r="O400" s="16" t="s">
        <v>97</v>
      </c>
      <c r="P400" s="20">
        <v>13</v>
      </c>
      <c r="Q400" s="20" t="s">
        <v>65</v>
      </c>
      <c r="R400" s="21" t="s">
        <v>148</v>
      </c>
      <c r="S400" s="22" t="s">
        <v>130</v>
      </c>
      <c r="T400" s="22" t="s">
        <v>54</v>
      </c>
      <c r="U400" s="23" t="s">
        <v>131</v>
      </c>
      <c r="V400" s="24">
        <v>0.6</v>
      </c>
      <c r="W400" s="25">
        <v>0</v>
      </c>
      <c r="X400" s="26">
        <v>1</v>
      </c>
      <c r="Y400" s="27">
        <v>0.44</v>
      </c>
      <c r="Z400" s="23">
        <v>5</v>
      </c>
      <c r="AA400" s="28">
        <v>8.7999999999999995E-2</v>
      </c>
      <c r="AB400" s="24">
        <v>0</v>
      </c>
      <c r="AC400" s="29">
        <v>0</v>
      </c>
      <c r="AD400" s="30">
        <v>43566</v>
      </c>
      <c r="AE400" s="30">
        <v>43566</v>
      </c>
      <c r="AF400" s="23">
        <v>0</v>
      </c>
      <c r="AG400" s="25" t="s">
        <v>56</v>
      </c>
      <c r="AH400" s="24">
        <v>0</v>
      </c>
      <c r="AI400" s="31">
        <v>0</v>
      </c>
      <c r="AJ400" s="31">
        <v>0</v>
      </c>
      <c r="AK400" s="44">
        <f t="shared" si="12"/>
        <v>0</v>
      </c>
      <c r="AL400">
        <f>VLOOKUP(A400,'[1]prueba con 16mil datos'!$A$1:$AE$804,31,FALSE)</f>
        <v>1808.95</v>
      </c>
      <c r="AM400">
        <f t="shared" si="13"/>
        <v>0</v>
      </c>
      <c r="AO400">
        <f>VLOOKUP(A400,'[1]Prueba con 19mil datos'!$B$1:$AF$1228,31,FALSE)</f>
        <v>1808.95</v>
      </c>
    </row>
    <row r="401" spans="1:41" hidden="1" x14ac:dyDescent="0.25">
      <c r="A401" s="16" t="s">
        <v>836</v>
      </c>
      <c r="B401" s="15" t="s">
        <v>40</v>
      </c>
      <c r="C401" s="16">
        <v>1</v>
      </c>
      <c r="D401" s="16" t="s">
        <v>1620</v>
      </c>
      <c r="E401" s="17" t="s">
        <v>42</v>
      </c>
      <c r="F401" s="18" t="s">
        <v>140</v>
      </c>
      <c r="G401" s="18" t="s">
        <v>1621</v>
      </c>
      <c r="H401" s="16" t="s">
        <v>317</v>
      </c>
      <c r="I401" s="19" t="s">
        <v>3</v>
      </c>
      <c r="J401" s="16" t="s">
        <v>12</v>
      </c>
      <c r="K401" s="20" t="s">
        <v>83</v>
      </c>
      <c r="L401" s="20" t="s">
        <v>786</v>
      </c>
      <c r="M401" s="16" t="s">
        <v>105</v>
      </c>
      <c r="N401" s="16">
        <v>1</v>
      </c>
      <c r="O401" s="16" t="s">
        <v>50</v>
      </c>
      <c r="P401" s="20">
        <v>168</v>
      </c>
      <c r="Q401" s="20" t="s">
        <v>51</v>
      </c>
      <c r="R401" s="21" t="s">
        <v>148</v>
      </c>
      <c r="S401" s="22" t="s">
        <v>130</v>
      </c>
      <c r="T401" s="22" t="s">
        <v>54</v>
      </c>
      <c r="U401" s="23" t="s">
        <v>226</v>
      </c>
      <c r="V401" s="24">
        <v>1.1000000000000001</v>
      </c>
      <c r="W401" s="25">
        <v>0</v>
      </c>
      <c r="X401" s="26">
        <v>1</v>
      </c>
      <c r="Y401" s="27">
        <v>1.97</v>
      </c>
      <c r="Z401" s="23">
        <v>5</v>
      </c>
      <c r="AA401" s="28">
        <v>0.39400000000000002</v>
      </c>
      <c r="AB401" s="24">
        <v>0</v>
      </c>
      <c r="AC401" s="29">
        <v>0</v>
      </c>
      <c r="AD401" s="30">
        <v>43566</v>
      </c>
      <c r="AE401" s="30">
        <v>43566</v>
      </c>
      <c r="AF401" s="23">
        <v>0</v>
      </c>
      <c r="AG401" s="25" t="s">
        <v>56</v>
      </c>
      <c r="AH401" s="24">
        <v>0</v>
      </c>
      <c r="AI401" s="31">
        <v>0</v>
      </c>
      <c r="AJ401" s="31">
        <v>0</v>
      </c>
      <c r="AK401" s="44">
        <f t="shared" si="12"/>
        <v>0</v>
      </c>
      <c r="AL401">
        <f>VLOOKUP(A401,'[1]prueba con 16mil datos'!$A$1:$AE$804,31,FALSE)</f>
        <v>1651.65</v>
      </c>
      <c r="AM401">
        <f t="shared" si="13"/>
        <v>0</v>
      </c>
      <c r="AO401">
        <f>VLOOKUP(A401,'[1]Prueba con 19mil datos'!$B$1:$AF$1228,31,FALSE)</f>
        <v>1651.65</v>
      </c>
    </row>
    <row r="402" spans="1:41" hidden="1" x14ac:dyDescent="0.25">
      <c r="A402" s="16" t="s">
        <v>1159</v>
      </c>
      <c r="B402" s="15" t="s">
        <v>40</v>
      </c>
      <c r="C402" s="16">
        <v>1</v>
      </c>
      <c r="D402" s="16" t="s">
        <v>1642</v>
      </c>
      <c r="E402" s="17" t="s">
        <v>1522</v>
      </c>
      <c r="F402" s="18" t="s">
        <v>1097</v>
      </c>
      <c r="G402" s="18" t="s">
        <v>1643</v>
      </c>
      <c r="H402" s="16" t="s">
        <v>1525</v>
      </c>
      <c r="I402" s="19" t="s">
        <v>3</v>
      </c>
      <c r="J402" s="16" t="s">
        <v>12</v>
      </c>
      <c r="K402" s="20" t="s">
        <v>1101</v>
      </c>
      <c r="L402" s="20" t="s">
        <v>1526</v>
      </c>
      <c r="M402" s="16" t="s">
        <v>1527</v>
      </c>
      <c r="N402" s="16">
        <v>1</v>
      </c>
      <c r="O402" s="16" t="s">
        <v>50</v>
      </c>
      <c r="P402" s="20" t="s">
        <v>326</v>
      </c>
      <c r="Q402" s="20" t="s">
        <v>51</v>
      </c>
      <c r="R402" s="21" t="s">
        <v>77</v>
      </c>
      <c r="S402" s="22" t="s">
        <v>53</v>
      </c>
      <c r="T402" s="22" t="s">
        <v>157</v>
      </c>
      <c r="U402" s="23" t="s">
        <v>55</v>
      </c>
      <c r="V402" s="24">
        <v>1</v>
      </c>
      <c r="W402" s="25">
        <v>0</v>
      </c>
      <c r="X402" s="26">
        <v>0</v>
      </c>
      <c r="Y402" s="27">
        <v>9</v>
      </c>
      <c r="Z402" s="23">
        <v>9</v>
      </c>
      <c r="AA402" s="28">
        <v>1</v>
      </c>
      <c r="AB402" s="24">
        <v>0</v>
      </c>
      <c r="AC402" s="29">
        <v>0</v>
      </c>
      <c r="AD402" s="30">
        <v>43566</v>
      </c>
      <c r="AE402" s="30">
        <v>43566</v>
      </c>
      <c r="AF402" s="23">
        <v>0</v>
      </c>
      <c r="AG402" s="25" t="s">
        <v>56</v>
      </c>
      <c r="AH402" s="24">
        <v>0</v>
      </c>
      <c r="AI402" s="31">
        <v>0</v>
      </c>
      <c r="AJ402" s="31">
        <v>0</v>
      </c>
      <c r="AK402" s="44">
        <f t="shared" si="12"/>
        <v>0</v>
      </c>
      <c r="AL402">
        <f>VLOOKUP(A402,'[1]prueba con 16mil datos'!$A$1:$AE$804,31,FALSE)</f>
        <v>1730.3</v>
      </c>
      <c r="AM402">
        <f t="shared" si="13"/>
        <v>0</v>
      </c>
      <c r="AO402">
        <f>VLOOKUP(A402,'[1]Prueba con 19mil datos'!$B$1:$AF$1228,31,FALSE)</f>
        <v>1573</v>
      </c>
    </row>
    <row r="403" spans="1:41" hidden="1" x14ac:dyDescent="0.25">
      <c r="A403" s="16" t="s">
        <v>2002</v>
      </c>
      <c r="B403" s="15" t="s">
        <v>40</v>
      </c>
      <c r="C403" s="16">
        <v>1</v>
      </c>
      <c r="D403" s="16" t="s">
        <v>1659</v>
      </c>
      <c r="E403" s="17" t="s">
        <v>42</v>
      </c>
      <c r="F403" s="18" t="s">
        <v>275</v>
      </c>
      <c r="G403" s="18" t="s">
        <v>1660</v>
      </c>
      <c r="H403" s="16" t="s">
        <v>331</v>
      </c>
      <c r="I403" s="19" t="s">
        <v>3</v>
      </c>
      <c r="J403" s="16" t="s">
        <v>12</v>
      </c>
      <c r="K403" s="20" t="s">
        <v>126</v>
      </c>
      <c r="L403" s="20" t="s">
        <v>1662</v>
      </c>
      <c r="M403" s="16" t="s">
        <v>1663</v>
      </c>
      <c r="N403" s="16">
        <v>1</v>
      </c>
      <c r="O403" s="16" t="s">
        <v>50</v>
      </c>
      <c r="P403" s="20">
        <v>14</v>
      </c>
      <c r="Q403" s="20" t="s">
        <v>65</v>
      </c>
      <c r="R403" s="21" t="s">
        <v>279</v>
      </c>
      <c r="S403" s="22" t="s">
        <v>187</v>
      </c>
      <c r="T403" s="22" t="s">
        <v>54</v>
      </c>
      <c r="U403" s="23" t="s">
        <v>201</v>
      </c>
      <c r="V403" s="24">
        <v>0.8</v>
      </c>
      <c r="W403" s="25">
        <v>0</v>
      </c>
      <c r="X403" s="26">
        <v>1</v>
      </c>
      <c r="Y403" s="27">
        <v>1.35</v>
      </c>
      <c r="Z403" s="23">
        <v>4</v>
      </c>
      <c r="AA403" s="28">
        <v>0.33750000000000002</v>
      </c>
      <c r="AB403" s="24">
        <v>0</v>
      </c>
      <c r="AC403" s="29">
        <v>0</v>
      </c>
      <c r="AD403" s="30">
        <v>43566</v>
      </c>
      <c r="AE403" s="30">
        <v>43566</v>
      </c>
      <c r="AF403" s="23">
        <v>0</v>
      </c>
      <c r="AG403" s="25" t="s">
        <v>56</v>
      </c>
      <c r="AH403" s="24">
        <v>0</v>
      </c>
      <c r="AI403" s="31">
        <v>0</v>
      </c>
      <c r="AJ403" s="31">
        <v>0</v>
      </c>
      <c r="AK403" s="44">
        <f t="shared" si="12"/>
        <v>0</v>
      </c>
      <c r="AL403">
        <f>VLOOKUP(A403,'[1]prueba con 16mil datos'!$A$1:$AE$804,31,FALSE)</f>
        <v>1573</v>
      </c>
      <c r="AM403">
        <f t="shared" si="13"/>
        <v>0</v>
      </c>
      <c r="AO403">
        <f>VLOOKUP(A403,'[1]Prueba con 19mil datos'!$B$1:$AF$1228,31,FALSE)</f>
        <v>1573</v>
      </c>
    </row>
    <row r="404" spans="1:41" hidden="1" x14ac:dyDescent="0.25">
      <c r="A404" s="16" t="s">
        <v>2002</v>
      </c>
      <c r="B404" s="15" t="s">
        <v>40</v>
      </c>
      <c r="C404" s="16">
        <v>1</v>
      </c>
      <c r="D404" s="16" t="s">
        <v>1733</v>
      </c>
      <c r="E404" s="17" t="s">
        <v>42</v>
      </c>
      <c r="F404" s="18" t="s">
        <v>140</v>
      </c>
      <c r="G404" s="18" t="s">
        <v>1734</v>
      </c>
      <c r="H404" s="16" t="s">
        <v>540</v>
      </c>
      <c r="I404" s="19" t="s">
        <v>3</v>
      </c>
      <c r="J404" s="16" t="s">
        <v>12</v>
      </c>
      <c r="K404" s="20" t="s">
        <v>541</v>
      </c>
      <c r="L404" s="20" t="s">
        <v>1235</v>
      </c>
      <c r="M404" s="16" t="s">
        <v>105</v>
      </c>
      <c r="N404" s="16">
        <v>1</v>
      </c>
      <c r="O404" s="16" t="s">
        <v>50</v>
      </c>
      <c r="P404" s="20">
        <v>230</v>
      </c>
      <c r="Q404" s="20" t="s">
        <v>51</v>
      </c>
      <c r="R404" s="21" t="s">
        <v>148</v>
      </c>
      <c r="S404" s="22" t="s">
        <v>130</v>
      </c>
      <c r="T404" s="22" t="s">
        <v>54</v>
      </c>
      <c r="U404" s="23" t="s">
        <v>226</v>
      </c>
      <c r="V404" s="24">
        <v>1.1000000000000001</v>
      </c>
      <c r="W404" s="25">
        <v>0</v>
      </c>
      <c r="X404" s="26">
        <v>1</v>
      </c>
      <c r="Y404" s="27">
        <v>0.75</v>
      </c>
      <c r="Z404" s="23">
        <v>5</v>
      </c>
      <c r="AA404" s="28">
        <v>0.15</v>
      </c>
      <c r="AB404" s="24">
        <v>0</v>
      </c>
      <c r="AC404" s="29">
        <v>0</v>
      </c>
      <c r="AD404" s="30">
        <v>43566</v>
      </c>
      <c r="AE404" s="30">
        <v>43567</v>
      </c>
      <c r="AF404" s="23">
        <v>1</v>
      </c>
      <c r="AG404" s="25" t="s">
        <v>56</v>
      </c>
      <c r="AH404" s="24">
        <v>0</v>
      </c>
      <c r="AI404" s="31">
        <v>0</v>
      </c>
      <c r="AJ404" s="31">
        <v>0</v>
      </c>
      <c r="AK404" s="44">
        <f t="shared" si="12"/>
        <v>0</v>
      </c>
      <c r="AL404">
        <f>VLOOKUP(A404,'[1]prueba con 16mil datos'!$A$1:$AE$804,31,FALSE)</f>
        <v>1573</v>
      </c>
      <c r="AM404">
        <f t="shared" si="13"/>
        <v>0</v>
      </c>
      <c r="AO404">
        <f>VLOOKUP(A404,'[1]Prueba con 19mil datos'!$B$1:$AF$1228,31,FALSE)</f>
        <v>1573</v>
      </c>
    </row>
    <row r="405" spans="1:41" hidden="1" x14ac:dyDescent="0.25">
      <c r="A405" s="16" t="s">
        <v>1841</v>
      </c>
      <c r="B405" s="15" t="s">
        <v>40</v>
      </c>
      <c r="C405" s="16">
        <v>1</v>
      </c>
      <c r="D405" s="16" t="s">
        <v>1736</v>
      </c>
      <c r="E405" s="17" t="s">
        <v>42</v>
      </c>
      <c r="F405" s="18" t="s">
        <v>90</v>
      </c>
      <c r="G405" s="18" t="s">
        <v>1737</v>
      </c>
      <c r="H405" s="16" t="s">
        <v>1739</v>
      </c>
      <c r="I405" s="19" t="s">
        <v>3</v>
      </c>
      <c r="J405" s="16" t="s">
        <v>12</v>
      </c>
      <c r="K405" s="20" t="s">
        <v>94</v>
      </c>
      <c r="L405" s="20" t="s">
        <v>95</v>
      </c>
      <c r="M405" s="16" t="s">
        <v>96</v>
      </c>
      <c r="N405" s="16">
        <v>1</v>
      </c>
      <c r="O405" s="16" t="s">
        <v>97</v>
      </c>
      <c r="P405" s="20">
        <v>65</v>
      </c>
      <c r="Q405" s="20" t="s">
        <v>51</v>
      </c>
      <c r="R405" s="21" t="s">
        <v>77</v>
      </c>
      <c r="S405" s="22" t="s">
        <v>53</v>
      </c>
      <c r="T405" s="22" t="s">
        <v>54</v>
      </c>
      <c r="U405" s="23" t="s">
        <v>55</v>
      </c>
      <c r="V405" s="24">
        <v>1.05</v>
      </c>
      <c r="W405" s="25">
        <v>0</v>
      </c>
      <c r="X405" s="26">
        <v>1</v>
      </c>
      <c r="Y405" s="27">
        <v>3.33</v>
      </c>
      <c r="Z405" s="23">
        <v>5</v>
      </c>
      <c r="AA405" s="28">
        <v>0.66600000000000004</v>
      </c>
      <c r="AB405" s="24">
        <v>0</v>
      </c>
      <c r="AC405" s="29">
        <v>0</v>
      </c>
      <c r="AD405" s="30">
        <v>43566</v>
      </c>
      <c r="AE405" s="30">
        <v>43567</v>
      </c>
      <c r="AF405" s="23">
        <v>1</v>
      </c>
      <c r="AG405" s="25" t="s">
        <v>56</v>
      </c>
      <c r="AH405" s="24">
        <v>0</v>
      </c>
      <c r="AI405" s="31">
        <v>0</v>
      </c>
      <c r="AJ405" s="31">
        <v>0</v>
      </c>
      <c r="AK405" s="44">
        <f t="shared" si="12"/>
        <v>0</v>
      </c>
      <c r="AL405">
        <f>VLOOKUP(A405,'[1]prueba con 16mil datos'!$A$1:$AE$804,31,FALSE)</f>
        <v>1730.3</v>
      </c>
      <c r="AM405">
        <f t="shared" si="13"/>
        <v>0</v>
      </c>
      <c r="AO405">
        <f>VLOOKUP(A405,'[1]Prueba con 19mil datos'!$B$1:$AF$1228,31,FALSE)</f>
        <v>1730.3</v>
      </c>
    </row>
    <row r="406" spans="1:41" hidden="1" x14ac:dyDescent="0.25">
      <c r="A406" s="16" t="s">
        <v>1400</v>
      </c>
      <c r="B406" s="15" t="s">
        <v>40</v>
      </c>
      <c r="C406" s="16">
        <v>1</v>
      </c>
      <c r="D406" s="16" t="s">
        <v>1773</v>
      </c>
      <c r="E406" s="17" t="s">
        <v>42</v>
      </c>
      <c r="F406" s="18" t="s">
        <v>1774</v>
      </c>
      <c r="G406" s="18" t="s">
        <v>1775</v>
      </c>
      <c r="H406" s="16" t="s">
        <v>412</v>
      </c>
      <c r="I406" s="19" t="s">
        <v>3</v>
      </c>
      <c r="J406" s="16" t="s">
        <v>12</v>
      </c>
      <c r="K406" s="20" t="s">
        <v>1777</v>
      </c>
      <c r="L406" s="20" t="s">
        <v>1778</v>
      </c>
      <c r="M406" s="16" t="s">
        <v>833</v>
      </c>
      <c r="N406" s="16">
        <v>1</v>
      </c>
      <c r="O406" s="16" t="s">
        <v>50</v>
      </c>
      <c r="P406" s="20">
        <v>35</v>
      </c>
      <c r="Q406" s="20" t="s">
        <v>86</v>
      </c>
      <c r="R406" s="21" t="s">
        <v>225</v>
      </c>
      <c r="S406" s="22" t="s">
        <v>130</v>
      </c>
      <c r="T406" s="22" t="s">
        <v>54</v>
      </c>
      <c r="U406" s="23" t="s">
        <v>178</v>
      </c>
      <c r="V406" s="24">
        <v>1.05</v>
      </c>
      <c r="W406" s="25">
        <v>0</v>
      </c>
      <c r="X406" s="26">
        <v>1</v>
      </c>
      <c r="Y406" s="27">
        <v>1.45</v>
      </c>
      <c r="Z406" s="23">
        <v>5</v>
      </c>
      <c r="AA406" s="28">
        <v>0.28999999999999998</v>
      </c>
      <c r="AB406" s="24">
        <v>0</v>
      </c>
      <c r="AC406" s="29">
        <v>0</v>
      </c>
      <c r="AD406" s="30">
        <v>43566</v>
      </c>
      <c r="AE406" s="30">
        <v>43567</v>
      </c>
      <c r="AF406" s="23">
        <v>1</v>
      </c>
      <c r="AG406" s="25" t="s">
        <v>56</v>
      </c>
      <c r="AH406" s="24">
        <v>0</v>
      </c>
      <c r="AI406" s="31">
        <v>0</v>
      </c>
      <c r="AJ406" s="31">
        <v>0</v>
      </c>
      <c r="AK406" s="44">
        <f t="shared" si="12"/>
        <v>0</v>
      </c>
      <c r="AL406">
        <f>VLOOKUP(A406,'[1]prueba con 16mil datos'!$A$1:$AE$804,31,FALSE)</f>
        <v>1258.4000000000001</v>
      </c>
      <c r="AM406">
        <f t="shared" si="13"/>
        <v>0</v>
      </c>
      <c r="AO406">
        <f>VLOOKUP(A406,'[1]Prueba con 19mil datos'!$B$1:$AF$1228,31,FALSE)</f>
        <v>1258.4000000000001</v>
      </c>
    </row>
    <row r="407" spans="1:41" hidden="1" x14ac:dyDescent="0.25">
      <c r="A407" s="16" t="s">
        <v>1878</v>
      </c>
      <c r="B407" s="15" t="s">
        <v>40</v>
      </c>
      <c r="C407" s="16">
        <v>1</v>
      </c>
      <c r="D407" s="16" t="s">
        <v>1923</v>
      </c>
      <c r="E407" s="17" t="s">
        <v>602</v>
      </c>
      <c r="F407" s="18" t="s">
        <v>1821</v>
      </c>
      <c r="G407" s="18" t="s">
        <v>1924</v>
      </c>
      <c r="H407" s="16" t="s">
        <v>109</v>
      </c>
      <c r="I407" s="19" t="s">
        <v>3</v>
      </c>
      <c r="J407" s="16" t="s">
        <v>12</v>
      </c>
      <c r="K407" s="20" t="s">
        <v>198</v>
      </c>
      <c r="L407" s="20" t="s">
        <v>1926</v>
      </c>
      <c r="M407" s="16" t="s">
        <v>200</v>
      </c>
      <c r="N407" s="16">
        <v>0</v>
      </c>
      <c r="O407" s="16" t="s">
        <v>50</v>
      </c>
      <c r="P407" s="20" t="s">
        <v>326</v>
      </c>
      <c r="Q407" s="20" t="s">
        <v>51</v>
      </c>
      <c r="R407" s="21" t="s">
        <v>287</v>
      </c>
      <c r="S407" s="22" t="s">
        <v>288</v>
      </c>
      <c r="T407" s="22" t="s">
        <v>54</v>
      </c>
      <c r="U407" s="23" t="s">
        <v>550</v>
      </c>
      <c r="V407" s="24">
        <v>1</v>
      </c>
      <c r="W407" s="25">
        <v>1573.0000000000002</v>
      </c>
      <c r="X407" s="26">
        <v>1</v>
      </c>
      <c r="Y407" s="27">
        <v>0.94</v>
      </c>
      <c r="Z407" s="23">
        <v>4</v>
      </c>
      <c r="AA407" s="28">
        <v>0.23499999999999999</v>
      </c>
      <c r="AB407" s="24">
        <v>0</v>
      </c>
      <c r="AC407" s="29">
        <v>0</v>
      </c>
      <c r="AD407" s="30">
        <v>43567</v>
      </c>
      <c r="AE407" s="30">
        <v>43570</v>
      </c>
      <c r="AF407" s="23">
        <v>1</v>
      </c>
      <c r="AG407" s="25" t="s">
        <v>56</v>
      </c>
      <c r="AH407" s="24">
        <v>0</v>
      </c>
      <c r="AI407" s="31">
        <v>0</v>
      </c>
      <c r="AJ407" s="31">
        <v>0</v>
      </c>
      <c r="AK407" s="44">
        <f t="shared" si="12"/>
        <v>1573.0000000000002</v>
      </c>
      <c r="AL407">
        <f>VLOOKUP(A407,'[1]prueba con 16mil datos'!$A$1:$AE$804,31,FALSE)</f>
        <v>1730.3</v>
      </c>
      <c r="AM407">
        <f t="shared" si="13"/>
        <v>0</v>
      </c>
      <c r="AO407">
        <f>VLOOKUP(A407,'[1]Prueba con 19mil datos'!$B$1:$AF$1228,31,FALSE)</f>
        <v>1651.65</v>
      </c>
    </row>
    <row r="408" spans="1:41" hidden="1" x14ac:dyDescent="0.25">
      <c r="A408" s="16" t="s">
        <v>3178</v>
      </c>
      <c r="B408" s="15" t="s">
        <v>40</v>
      </c>
      <c r="C408" s="16">
        <v>1</v>
      </c>
      <c r="D408" s="16" t="s">
        <v>1906</v>
      </c>
      <c r="E408" s="17" t="s">
        <v>42</v>
      </c>
      <c r="F408" s="18" t="s">
        <v>381</v>
      </c>
      <c r="G408" s="18" t="s">
        <v>1907</v>
      </c>
      <c r="H408" s="16" t="s">
        <v>693</v>
      </c>
      <c r="I408" s="19" t="s">
        <v>3</v>
      </c>
      <c r="J408" s="16" t="s">
        <v>12</v>
      </c>
      <c r="K408" s="20" t="s">
        <v>154</v>
      </c>
      <c r="L408" s="20" t="s">
        <v>1909</v>
      </c>
      <c r="M408" s="16" t="s">
        <v>695</v>
      </c>
      <c r="N408" s="16">
        <v>0</v>
      </c>
      <c r="O408" s="16" t="s">
        <v>50</v>
      </c>
      <c r="P408" s="20">
        <v>326</v>
      </c>
      <c r="Q408" s="20" t="s">
        <v>51</v>
      </c>
      <c r="R408" s="21" t="s">
        <v>77</v>
      </c>
      <c r="S408" s="22" t="s">
        <v>53</v>
      </c>
      <c r="T408" s="22" t="s">
        <v>54</v>
      </c>
      <c r="U408" s="23" t="s">
        <v>55</v>
      </c>
      <c r="V408" s="24">
        <v>1.05</v>
      </c>
      <c r="W408" s="25">
        <v>750.75000000000011</v>
      </c>
      <c r="X408" s="26">
        <v>1</v>
      </c>
      <c r="Y408" s="27">
        <v>1.8</v>
      </c>
      <c r="Z408" s="23">
        <v>5</v>
      </c>
      <c r="AA408" s="28">
        <v>0.36</v>
      </c>
      <c r="AB408" s="24">
        <v>0</v>
      </c>
      <c r="AC408" s="29">
        <v>0</v>
      </c>
      <c r="AD408" s="30">
        <v>43567</v>
      </c>
      <c r="AE408" s="30">
        <v>43570</v>
      </c>
      <c r="AF408" s="23">
        <v>1</v>
      </c>
      <c r="AG408" s="25" t="s">
        <v>56</v>
      </c>
      <c r="AH408" s="24">
        <v>0</v>
      </c>
      <c r="AI408" s="31">
        <v>0</v>
      </c>
      <c r="AJ408" s="31">
        <v>0</v>
      </c>
      <c r="AK408" s="44">
        <f t="shared" si="12"/>
        <v>750.75000000000011</v>
      </c>
      <c r="AL408">
        <f>VLOOKUP(A408,'[1]prueba con 16mil datos'!$A$1:$AE$804,31,FALSE)</f>
        <v>1730.3</v>
      </c>
      <c r="AM408">
        <f t="shared" si="13"/>
        <v>0</v>
      </c>
      <c r="AO408">
        <f>VLOOKUP(A408,'[1]Prueba con 19mil datos'!$B$1:$AF$1228,31,FALSE)</f>
        <v>1730.3</v>
      </c>
    </row>
    <row r="409" spans="1:41" hidden="1" x14ac:dyDescent="0.25">
      <c r="A409" s="16" t="s">
        <v>2287</v>
      </c>
      <c r="B409" s="15" t="s">
        <v>40</v>
      </c>
      <c r="C409" s="16">
        <v>1</v>
      </c>
      <c r="D409" s="16" t="s">
        <v>1880</v>
      </c>
      <c r="E409" s="17" t="s">
        <v>42</v>
      </c>
      <c r="F409" s="18" t="s">
        <v>1881</v>
      </c>
      <c r="G409" s="18" t="s">
        <v>1882</v>
      </c>
      <c r="H409" s="16" t="s">
        <v>317</v>
      </c>
      <c r="I409" s="19" t="s">
        <v>3</v>
      </c>
      <c r="J409" s="16" t="s">
        <v>12</v>
      </c>
      <c r="K409" s="20" t="s">
        <v>1432</v>
      </c>
      <c r="L409" s="20" t="s">
        <v>1433</v>
      </c>
      <c r="M409" s="16" t="s">
        <v>105</v>
      </c>
      <c r="N409" s="16">
        <v>0</v>
      </c>
      <c r="O409" s="16" t="s">
        <v>50</v>
      </c>
      <c r="P409" s="20">
        <v>391</v>
      </c>
      <c r="Q409" s="20" t="s">
        <v>51</v>
      </c>
      <c r="R409" s="21" t="s">
        <v>225</v>
      </c>
      <c r="S409" s="22" t="s">
        <v>130</v>
      </c>
      <c r="T409" s="22" t="s">
        <v>54</v>
      </c>
      <c r="U409" s="23" t="s">
        <v>226</v>
      </c>
      <c r="V409" s="24">
        <v>1.1000000000000001</v>
      </c>
      <c r="W409" s="25">
        <v>1501.5000000000002</v>
      </c>
      <c r="X409" s="26">
        <v>1</v>
      </c>
      <c r="Y409" s="27">
        <v>0.96</v>
      </c>
      <c r="Z409" s="23">
        <v>5</v>
      </c>
      <c r="AA409" s="28">
        <v>0.192</v>
      </c>
      <c r="AB409" s="24">
        <v>0</v>
      </c>
      <c r="AC409" s="29">
        <v>0</v>
      </c>
      <c r="AD409" s="30">
        <v>43567</v>
      </c>
      <c r="AE409" s="30">
        <v>43567</v>
      </c>
      <c r="AF409" s="23">
        <v>0</v>
      </c>
      <c r="AG409" s="25" t="s">
        <v>56</v>
      </c>
      <c r="AH409" s="24">
        <v>0</v>
      </c>
      <c r="AI409" s="31">
        <v>0</v>
      </c>
      <c r="AJ409" s="31">
        <v>0</v>
      </c>
      <c r="AK409" s="44">
        <f t="shared" si="12"/>
        <v>1501.5000000000002</v>
      </c>
      <c r="AL409">
        <f>VLOOKUP(A409,'[1]prueba con 16mil datos'!$A$1:$AE$804,31,FALSE)</f>
        <v>1730.3</v>
      </c>
      <c r="AM409">
        <f t="shared" si="13"/>
        <v>0</v>
      </c>
      <c r="AO409">
        <f>VLOOKUP(A409,'[1]Prueba con 19mil datos'!$B$1:$AF$1228,31,FALSE)</f>
        <v>1730.3</v>
      </c>
    </row>
    <row r="410" spans="1:41" hidden="1" x14ac:dyDescent="0.25">
      <c r="A410" s="16" t="s">
        <v>2601</v>
      </c>
      <c r="B410" s="15" t="s">
        <v>40</v>
      </c>
      <c r="C410" s="16">
        <v>1</v>
      </c>
      <c r="D410" s="16" t="s">
        <v>1828</v>
      </c>
      <c r="E410" s="17" t="s">
        <v>42</v>
      </c>
      <c r="F410" s="18" t="s">
        <v>90</v>
      </c>
      <c r="G410" s="18" t="s">
        <v>1829</v>
      </c>
      <c r="H410" s="16" t="s">
        <v>46</v>
      </c>
      <c r="I410" s="19" t="s">
        <v>3</v>
      </c>
      <c r="J410" s="16" t="s">
        <v>12</v>
      </c>
      <c r="K410" s="20" t="s">
        <v>154</v>
      </c>
      <c r="L410" s="20" t="s">
        <v>1831</v>
      </c>
      <c r="M410" s="16" t="s">
        <v>267</v>
      </c>
      <c r="N410" s="16">
        <v>0</v>
      </c>
      <c r="O410" s="16" t="s">
        <v>50</v>
      </c>
      <c r="P410" s="20">
        <v>590</v>
      </c>
      <c r="Q410" s="20" t="s">
        <v>51</v>
      </c>
      <c r="R410" s="21" t="s">
        <v>77</v>
      </c>
      <c r="S410" s="22" t="s">
        <v>53</v>
      </c>
      <c r="T410" s="22" t="s">
        <v>54</v>
      </c>
      <c r="U410" s="23" t="s">
        <v>55</v>
      </c>
      <c r="V410" s="24">
        <v>1.05</v>
      </c>
      <c r="W410" s="25">
        <v>750.75000000000011</v>
      </c>
      <c r="X410" s="26">
        <v>1</v>
      </c>
      <c r="Y410" s="27">
        <v>0</v>
      </c>
      <c r="Z410" s="23">
        <v>5</v>
      </c>
      <c r="AA410" s="28">
        <v>0</v>
      </c>
      <c r="AB410" s="24">
        <v>0</v>
      </c>
      <c r="AC410" s="29">
        <v>0</v>
      </c>
      <c r="AD410" s="30">
        <v>43567</v>
      </c>
      <c r="AE410" s="30">
        <v>43567</v>
      </c>
      <c r="AF410" s="23">
        <v>0</v>
      </c>
      <c r="AG410" s="25" t="s">
        <v>56</v>
      </c>
      <c r="AH410" s="24">
        <v>0</v>
      </c>
      <c r="AI410" s="31">
        <v>0</v>
      </c>
      <c r="AJ410" s="31">
        <v>0</v>
      </c>
      <c r="AK410" s="44">
        <f t="shared" si="12"/>
        <v>750.75000000000011</v>
      </c>
      <c r="AL410">
        <f>VLOOKUP(A410,'[1]prueba con 16mil datos'!$A$1:$AE$804,31,FALSE)</f>
        <v>1730.3</v>
      </c>
      <c r="AM410">
        <f t="shared" si="13"/>
        <v>0</v>
      </c>
      <c r="AO410">
        <f>VLOOKUP(A410,'[1]Prueba con 19mil datos'!$B$1:$AF$1228,31,FALSE)</f>
        <v>1730.3</v>
      </c>
    </row>
    <row r="411" spans="1:41" hidden="1" x14ac:dyDescent="0.25">
      <c r="A411" s="16" t="s">
        <v>1625</v>
      </c>
      <c r="B411" s="15" t="s">
        <v>40</v>
      </c>
      <c r="C411" s="16">
        <v>1</v>
      </c>
      <c r="D411" s="16" t="s">
        <v>1902</v>
      </c>
      <c r="E411" s="17" t="s">
        <v>42</v>
      </c>
      <c r="F411" s="18" t="s">
        <v>90</v>
      </c>
      <c r="G411" s="18" t="s">
        <v>1903</v>
      </c>
      <c r="H411" s="16" t="s">
        <v>192</v>
      </c>
      <c r="I411" s="19" t="s">
        <v>3</v>
      </c>
      <c r="J411" s="16" t="s">
        <v>12</v>
      </c>
      <c r="K411" s="20" t="s">
        <v>154</v>
      </c>
      <c r="L411" s="20" t="s">
        <v>1905</v>
      </c>
      <c r="M411" s="16" t="s">
        <v>526</v>
      </c>
      <c r="N411" s="16">
        <v>0</v>
      </c>
      <c r="O411" s="16" t="s">
        <v>50</v>
      </c>
      <c r="P411" s="20">
        <v>260</v>
      </c>
      <c r="Q411" s="20" t="s">
        <v>51</v>
      </c>
      <c r="R411" s="21" t="s">
        <v>77</v>
      </c>
      <c r="S411" s="22" t="s">
        <v>53</v>
      </c>
      <c r="T411" s="22" t="s">
        <v>54</v>
      </c>
      <c r="U411" s="23" t="s">
        <v>55</v>
      </c>
      <c r="V411" s="24">
        <v>1.05</v>
      </c>
      <c r="W411" s="25">
        <v>750.75000000000011</v>
      </c>
      <c r="X411" s="26">
        <v>1</v>
      </c>
      <c r="Y411" s="27">
        <v>1.1200000000000001</v>
      </c>
      <c r="Z411" s="23">
        <v>5</v>
      </c>
      <c r="AA411" s="28">
        <v>0.22400000000000003</v>
      </c>
      <c r="AB411" s="24">
        <v>0</v>
      </c>
      <c r="AC411" s="29">
        <v>0</v>
      </c>
      <c r="AD411" s="30">
        <v>43567</v>
      </c>
      <c r="AE411" s="30">
        <v>43570</v>
      </c>
      <c r="AF411" s="23">
        <v>1</v>
      </c>
      <c r="AG411" s="25" t="s">
        <v>56</v>
      </c>
      <c r="AH411" s="24">
        <v>0</v>
      </c>
      <c r="AI411" s="31">
        <v>0</v>
      </c>
      <c r="AJ411" s="31">
        <v>0</v>
      </c>
      <c r="AK411" s="44">
        <f t="shared" si="12"/>
        <v>750.75000000000011</v>
      </c>
      <c r="AL411">
        <f>VLOOKUP(A411,'[1]prueba con 16mil datos'!$A$1:$AE$804,31,FALSE)</f>
        <v>1730.3</v>
      </c>
      <c r="AM411">
        <f t="shared" si="13"/>
        <v>0</v>
      </c>
      <c r="AO411">
        <f>VLOOKUP(A411,'[1]Prueba con 19mil datos'!$B$1:$AF$1228,31,FALSE)</f>
        <v>1730.3</v>
      </c>
    </row>
    <row r="412" spans="1:41" hidden="1" x14ac:dyDescent="0.25">
      <c r="A412" s="16" t="s">
        <v>1761</v>
      </c>
      <c r="B412" s="15" t="s">
        <v>40</v>
      </c>
      <c r="C412" s="16">
        <v>1</v>
      </c>
      <c r="D412" s="16" t="s">
        <v>2036</v>
      </c>
      <c r="E412" s="17" t="s">
        <v>321</v>
      </c>
      <c r="F412" s="18" t="s">
        <v>90</v>
      </c>
      <c r="G412" s="18" t="s">
        <v>2037</v>
      </c>
      <c r="H412" s="16" t="s">
        <v>213</v>
      </c>
      <c r="I412" s="19" t="s">
        <v>3</v>
      </c>
      <c r="J412" s="16" t="s">
        <v>12</v>
      </c>
      <c r="K412" s="20" t="s">
        <v>198</v>
      </c>
      <c r="L412" s="20" t="s">
        <v>1641</v>
      </c>
      <c r="M412" s="16" t="s">
        <v>479</v>
      </c>
      <c r="N412" s="16">
        <v>0</v>
      </c>
      <c r="O412" s="16" t="s">
        <v>50</v>
      </c>
      <c r="P412" s="20" t="s">
        <v>326</v>
      </c>
      <c r="Q412" s="20" t="s">
        <v>51</v>
      </c>
      <c r="R412" s="21" t="s">
        <v>77</v>
      </c>
      <c r="S412" s="22" t="s">
        <v>53</v>
      </c>
      <c r="T412" s="22" t="s">
        <v>54</v>
      </c>
      <c r="U412" s="23" t="s">
        <v>55</v>
      </c>
      <c r="V412" s="24">
        <v>1</v>
      </c>
      <c r="W412" s="25">
        <v>1072.5000000000002</v>
      </c>
      <c r="X412" s="26">
        <v>0</v>
      </c>
      <c r="Y412" s="27">
        <v>5</v>
      </c>
      <c r="Z412" s="23">
        <v>5</v>
      </c>
      <c r="AA412" s="28">
        <v>1</v>
      </c>
      <c r="AB412" s="24">
        <v>0</v>
      </c>
      <c r="AC412" s="29">
        <v>0</v>
      </c>
      <c r="AD412" s="30">
        <v>43567</v>
      </c>
      <c r="AE412" s="30">
        <v>43570</v>
      </c>
      <c r="AF412" s="23">
        <v>1</v>
      </c>
      <c r="AG412" s="25" t="s">
        <v>56</v>
      </c>
      <c r="AH412" s="24">
        <v>0</v>
      </c>
      <c r="AI412" s="31">
        <v>0</v>
      </c>
      <c r="AJ412" s="31">
        <v>0</v>
      </c>
      <c r="AK412" s="44">
        <f t="shared" si="12"/>
        <v>1072.5000000000002</v>
      </c>
      <c r="AL412">
        <f>VLOOKUP(A412,'[1]prueba con 16mil datos'!$A$1:$AE$804,31,FALSE)</f>
        <v>1730.3</v>
      </c>
      <c r="AM412">
        <f t="shared" si="13"/>
        <v>0</v>
      </c>
      <c r="AO412">
        <f>VLOOKUP(A412,'[1]Prueba con 19mil datos'!$B$1:$AF$1228,31,FALSE)</f>
        <v>1730.3</v>
      </c>
    </row>
    <row r="413" spans="1:41" hidden="1" x14ac:dyDescent="0.25">
      <c r="A413" s="16" t="s">
        <v>1761</v>
      </c>
      <c r="B413" s="15" t="s">
        <v>40</v>
      </c>
      <c r="C413" s="16">
        <v>1</v>
      </c>
      <c r="D413" s="16" t="s">
        <v>1931</v>
      </c>
      <c r="E413" s="17" t="s">
        <v>42</v>
      </c>
      <c r="F413" s="18" t="s">
        <v>281</v>
      </c>
      <c r="G413" s="18" t="s">
        <v>1932</v>
      </c>
      <c r="H413" s="16" t="s">
        <v>207</v>
      </c>
      <c r="I413" s="19" t="s">
        <v>3</v>
      </c>
      <c r="J413" s="16" t="s">
        <v>12</v>
      </c>
      <c r="K413" s="20" t="s">
        <v>126</v>
      </c>
      <c r="L413" s="20" t="s">
        <v>1365</v>
      </c>
      <c r="M413" s="16" t="s">
        <v>200</v>
      </c>
      <c r="N413" s="16">
        <v>0</v>
      </c>
      <c r="O413" s="16" t="s">
        <v>50</v>
      </c>
      <c r="P413" s="20">
        <v>65</v>
      </c>
      <c r="Q413" s="20" t="s">
        <v>51</v>
      </c>
      <c r="R413" s="21" t="s">
        <v>287</v>
      </c>
      <c r="S413" s="22" t="s">
        <v>288</v>
      </c>
      <c r="T413" s="22" t="s">
        <v>54</v>
      </c>
      <c r="U413" s="23" t="s">
        <v>550</v>
      </c>
      <c r="V413" s="24">
        <v>1.1499999999999999</v>
      </c>
      <c r="W413" s="25">
        <v>1808.95</v>
      </c>
      <c r="X413" s="26">
        <v>1</v>
      </c>
      <c r="Y413" s="27">
        <v>3.03</v>
      </c>
      <c r="Z413" s="23">
        <v>4</v>
      </c>
      <c r="AA413" s="28">
        <v>0.75749999999999995</v>
      </c>
      <c r="AB413" s="24">
        <v>0</v>
      </c>
      <c r="AC413" s="29">
        <v>0</v>
      </c>
      <c r="AD413" s="30">
        <v>43567</v>
      </c>
      <c r="AE413" s="30">
        <v>43570</v>
      </c>
      <c r="AF413" s="23">
        <v>1</v>
      </c>
      <c r="AG413" s="25" t="s">
        <v>56</v>
      </c>
      <c r="AH413" s="24">
        <v>0</v>
      </c>
      <c r="AI413" s="31">
        <v>0</v>
      </c>
      <c r="AJ413" s="31">
        <v>0</v>
      </c>
      <c r="AK413" s="44">
        <f t="shared" si="12"/>
        <v>1808.95</v>
      </c>
      <c r="AL413">
        <f>VLOOKUP(A413,'[1]prueba con 16mil datos'!$A$1:$AE$804,31,FALSE)</f>
        <v>1730.3</v>
      </c>
      <c r="AM413">
        <f t="shared" si="13"/>
        <v>0</v>
      </c>
      <c r="AO413">
        <f>VLOOKUP(A413,'[1]Prueba con 19mil datos'!$B$1:$AF$1228,31,FALSE)</f>
        <v>1730.3</v>
      </c>
    </row>
    <row r="414" spans="1:41" hidden="1" x14ac:dyDescent="0.25">
      <c r="A414" s="16" t="s">
        <v>609</v>
      </c>
      <c r="B414" s="15" t="s">
        <v>40</v>
      </c>
      <c r="C414" s="16">
        <v>1</v>
      </c>
      <c r="D414" s="16" t="s">
        <v>1860</v>
      </c>
      <c r="E414" s="17" t="s">
        <v>42</v>
      </c>
      <c r="F414" s="18" t="s">
        <v>281</v>
      </c>
      <c r="G414" s="18" t="s">
        <v>1861</v>
      </c>
      <c r="H414" s="16" t="s">
        <v>293</v>
      </c>
      <c r="I414" s="19" t="s">
        <v>3</v>
      </c>
      <c r="J414" s="16" t="s">
        <v>12</v>
      </c>
      <c r="K414" s="20" t="s">
        <v>154</v>
      </c>
      <c r="L414" s="20" t="s">
        <v>1863</v>
      </c>
      <c r="M414" s="16" t="s">
        <v>296</v>
      </c>
      <c r="N414" s="16">
        <v>0</v>
      </c>
      <c r="O414" s="16" t="s">
        <v>50</v>
      </c>
      <c r="P414" s="20">
        <v>1520</v>
      </c>
      <c r="Q414" s="20" t="s">
        <v>51</v>
      </c>
      <c r="R414" s="21" t="s">
        <v>287</v>
      </c>
      <c r="S414" s="22" t="s">
        <v>288</v>
      </c>
      <c r="T414" s="22" t="s">
        <v>54</v>
      </c>
      <c r="U414" s="23" t="s">
        <v>550</v>
      </c>
      <c r="V414" s="24">
        <v>1.1499999999999999</v>
      </c>
      <c r="W414" s="25">
        <v>1808.95</v>
      </c>
      <c r="X414" s="26">
        <v>1</v>
      </c>
      <c r="Y414" s="27">
        <v>2.85</v>
      </c>
      <c r="Z414" s="23">
        <v>4</v>
      </c>
      <c r="AA414" s="28">
        <v>0.71250000000000002</v>
      </c>
      <c r="AB414" s="24">
        <v>0</v>
      </c>
      <c r="AC414" s="29">
        <v>0</v>
      </c>
      <c r="AD414" s="30">
        <v>43567</v>
      </c>
      <c r="AE414" s="30">
        <v>43567</v>
      </c>
      <c r="AF414" s="23">
        <v>0</v>
      </c>
      <c r="AG414" s="25" t="s">
        <v>56</v>
      </c>
      <c r="AH414" s="24">
        <v>0</v>
      </c>
      <c r="AI414" s="31">
        <v>0</v>
      </c>
      <c r="AJ414" s="31">
        <v>0</v>
      </c>
      <c r="AK414" s="44">
        <f t="shared" si="12"/>
        <v>1808.95</v>
      </c>
      <c r="AL414">
        <f>VLOOKUP(A414,'[1]prueba con 16mil datos'!$A$1:$AE$804,31,FALSE)</f>
        <v>1258.4000000000001</v>
      </c>
      <c r="AM414">
        <f t="shared" si="13"/>
        <v>0</v>
      </c>
      <c r="AO414">
        <f>VLOOKUP(A414,'[1]Prueba con 19mil datos'!$B$1:$AF$1228,31,FALSE)</f>
        <v>943.8</v>
      </c>
    </row>
    <row r="415" spans="1:41" hidden="1" x14ac:dyDescent="0.25">
      <c r="A415" s="16" t="s">
        <v>609</v>
      </c>
      <c r="B415" s="15" t="s">
        <v>40</v>
      </c>
      <c r="C415" s="16">
        <v>1</v>
      </c>
      <c r="D415" s="16" t="s">
        <v>1927</v>
      </c>
      <c r="E415" s="17" t="s">
        <v>42</v>
      </c>
      <c r="F415" s="18" t="s">
        <v>281</v>
      </c>
      <c r="G415" s="18" t="s">
        <v>1928</v>
      </c>
      <c r="H415" s="16" t="s">
        <v>109</v>
      </c>
      <c r="I415" s="19" t="s">
        <v>3</v>
      </c>
      <c r="J415" s="16" t="s">
        <v>12</v>
      </c>
      <c r="K415" s="20" t="s">
        <v>198</v>
      </c>
      <c r="L415" s="20" t="s">
        <v>1930</v>
      </c>
      <c r="M415" s="16" t="s">
        <v>200</v>
      </c>
      <c r="N415" s="16">
        <v>0</v>
      </c>
      <c r="O415" s="16" t="s">
        <v>50</v>
      </c>
      <c r="P415" s="20">
        <v>94</v>
      </c>
      <c r="Q415" s="20" t="s">
        <v>51</v>
      </c>
      <c r="R415" s="21" t="s">
        <v>287</v>
      </c>
      <c r="S415" s="22" t="s">
        <v>288</v>
      </c>
      <c r="T415" s="22" t="s">
        <v>54</v>
      </c>
      <c r="U415" s="23" t="s">
        <v>550</v>
      </c>
      <c r="V415" s="24">
        <v>1.1499999999999999</v>
      </c>
      <c r="W415" s="25">
        <v>1808.95</v>
      </c>
      <c r="X415" s="26">
        <v>1</v>
      </c>
      <c r="Y415" s="27">
        <v>0.72</v>
      </c>
      <c r="Z415" s="23">
        <v>4</v>
      </c>
      <c r="AA415" s="28">
        <v>0.18</v>
      </c>
      <c r="AB415" s="24">
        <v>0</v>
      </c>
      <c r="AC415" s="29">
        <v>0</v>
      </c>
      <c r="AD415" s="30">
        <v>43567</v>
      </c>
      <c r="AE415" s="30">
        <v>43570</v>
      </c>
      <c r="AF415" s="23">
        <v>1</v>
      </c>
      <c r="AG415" s="25" t="s">
        <v>56</v>
      </c>
      <c r="AH415" s="24">
        <v>0</v>
      </c>
      <c r="AI415" s="31">
        <v>0</v>
      </c>
      <c r="AJ415" s="31">
        <v>0</v>
      </c>
      <c r="AK415" s="44">
        <f t="shared" si="12"/>
        <v>1808.95</v>
      </c>
      <c r="AL415">
        <f>VLOOKUP(A415,'[1]prueba con 16mil datos'!$A$1:$AE$804,31,FALSE)</f>
        <v>1258.4000000000001</v>
      </c>
      <c r="AM415">
        <f t="shared" si="13"/>
        <v>0</v>
      </c>
      <c r="AO415">
        <f>VLOOKUP(A415,'[1]Prueba con 19mil datos'!$B$1:$AF$1228,31,FALSE)</f>
        <v>943.8</v>
      </c>
    </row>
    <row r="416" spans="1:41" hidden="1" x14ac:dyDescent="0.25">
      <c r="A416" s="16" t="s">
        <v>730</v>
      </c>
      <c r="B416" s="15" t="s">
        <v>40</v>
      </c>
      <c r="C416" s="16">
        <v>1</v>
      </c>
      <c r="D416" s="16" t="s">
        <v>1785</v>
      </c>
      <c r="E416" s="17" t="s">
        <v>42</v>
      </c>
      <c r="F416" s="18" t="s">
        <v>1786</v>
      </c>
      <c r="G416" s="18" t="s">
        <v>1787</v>
      </c>
      <c r="H416" s="16" t="s">
        <v>440</v>
      </c>
      <c r="I416" s="19" t="s">
        <v>3</v>
      </c>
      <c r="J416" s="16" t="s">
        <v>12</v>
      </c>
      <c r="K416" s="20" t="s">
        <v>441</v>
      </c>
      <c r="L416" s="20" t="s">
        <v>1209</v>
      </c>
      <c r="M416" s="16" t="s">
        <v>1044</v>
      </c>
      <c r="N416" s="16">
        <v>0</v>
      </c>
      <c r="O416" s="16" t="s">
        <v>50</v>
      </c>
      <c r="P416" s="20">
        <v>183</v>
      </c>
      <c r="Q416" s="20" t="s">
        <v>51</v>
      </c>
      <c r="R416" s="21" t="s">
        <v>77</v>
      </c>
      <c r="S416" s="22" t="s">
        <v>53</v>
      </c>
      <c r="T416" s="22" t="s">
        <v>157</v>
      </c>
      <c r="U416" s="23" t="s">
        <v>55</v>
      </c>
      <c r="V416" s="24">
        <v>1.05</v>
      </c>
      <c r="W416" s="25">
        <v>750.75000000000011</v>
      </c>
      <c r="X416" s="26">
        <v>1</v>
      </c>
      <c r="Y416" s="27">
        <v>4.67</v>
      </c>
      <c r="Z416" s="23">
        <v>9</v>
      </c>
      <c r="AA416" s="28">
        <v>0.51888888888888884</v>
      </c>
      <c r="AB416" s="24">
        <v>0</v>
      </c>
      <c r="AC416" s="29">
        <v>0</v>
      </c>
      <c r="AD416" s="30">
        <v>43567</v>
      </c>
      <c r="AE416" s="30">
        <v>43567</v>
      </c>
      <c r="AF416" s="23">
        <v>0</v>
      </c>
      <c r="AG416" s="25" t="s">
        <v>56</v>
      </c>
      <c r="AH416" s="24">
        <v>0</v>
      </c>
      <c r="AI416" s="31">
        <v>0</v>
      </c>
      <c r="AJ416" s="31">
        <v>0</v>
      </c>
      <c r="AK416" s="44">
        <f t="shared" si="12"/>
        <v>750.75000000000011</v>
      </c>
      <c r="AL416">
        <f>VLOOKUP(A416,'[1]prueba con 16mil datos'!$A$1:$AE$804,31,FALSE)</f>
        <v>1808.95</v>
      </c>
      <c r="AM416">
        <f t="shared" si="13"/>
        <v>0</v>
      </c>
      <c r="AO416">
        <f>VLOOKUP(A416,'[1]Prueba con 19mil datos'!$B$1:$AF$1228,31,FALSE)</f>
        <v>1808.95</v>
      </c>
    </row>
    <row r="417" spans="1:44" hidden="1" x14ac:dyDescent="0.25">
      <c r="A417" s="16" t="s">
        <v>730</v>
      </c>
      <c r="B417" s="15" t="s">
        <v>40</v>
      </c>
      <c r="C417" s="16">
        <v>1</v>
      </c>
      <c r="D417" s="16" t="s">
        <v>2089</v>
      </c>
      <c r="E417" s="17" t="s">
        <v>42</v>
      </c>
      <c r="F417" s="18" t="s">
        <v>99</v>
      </c>
      <c r="G417" s="18" t="s">
        <v>2090</v>
      </c>
      <c r="H417" s="16" t="s">
        <v>213</v>
      </c>
      <c r="I417" s="19" t="s">
        <v>3</v>
      </c>
      <c r="J417" s="16" t="s">
        <v>12</v>
      </c>
      <c r="K417" s="20" t="s">
        <v>103</v>
      </c>
      <c r="L417" s="20" t="s">
        <v>2092</v>
      </c>
      <c r="M417" s="16" t="s">
        <v>216</v>
      </c>
      <c r="N417" s="16">
        <v>0</v>
      </c>
      <c r="O417" s="16" t="s">
        <v>50</v>
      </c>
      <c r="P417" s="20">
        <v>554</v>
      </c>
      <c r="Q417" s="20" t="s">
        <v>51</v>
      </c>
      <c r="R417" s="21" t="s">
        <v>77</v>
      </c>
      <c r="S417" s="22" t="s">
        <v>53</v>
      </c>
      <c r="T417" s="22" t="s">
        <v>54</v>
      </c>
      <c r="U417" s="23" t="s">
        <v>55</v>
      </c>
      <c r="V417" s="24">
        <v>1.05</v>
      </c>
      <c r="W417" s="25">
        <v>750.75000000000011</v>
      </c>
      <c r="X417" s="26">
        <v>1</v>
      </c>
      <c r="Y417" s="27">
        <v>2.9</v>
      </c>
      <c r="Z417" s="23">
        <v>5</v>
      </c>
      <c r="AA417" s="28">
        <v>0.57999999999999996</v>
      </c>
      <c r="AB417" s="24">
        <v>0</v>
      </c>
      <c r="AC417" s="29">
        <v>0</v>
      </c>
      <c r="AD417" s="30">
        <v>43567</v>
      </c>
      <c r="AE417" s="30">
        <v>43571</v>
      </c>
      <c r="AF417" s="23">
        <v>2</v>
      </c>
      <c r="AG417" s="25" t="s">
        <v>202</v>
      </c>
      <c r="AH417" s="24">
        <v>0.25</v>
      </c>
      <c r="AI417" s="31">
        <v>-178.75000000000003</v>
      </c>
      <c r="AJ417" s="31">
        <v>0</v>
      </c>
      <c r="AK417" s="44">
        <f t="shared" si="12"/>
        <v>750.75000000000011</v>
      </c>
      <c r="AL417">
        <f>VLOOKUP(A417,'[1]prueba con 16mil datos'!$A$1:$AE$804,31,FALSE)</f>
        <v>1808.95</v>
      </c>
      <c r="AM417">
        <f t="shared" si="13"/>
        <v>0</v>
      </c>
      <c r="AO417">
        <f>VLOOKUP(A417,'[1]Prueba con 19mil datos'!$B$1:$AF$1228,31,FALSE)</f>
        <v>1808.95</v>
      </c>
    </row>
    <row r="418" spans="1:44" hidden="1" x14ac:dyDescent="0.25">
      <c r="A418" s="16" t="s">
        <v>1137</v>
      </c>
      <c r="B418" s="15" t="s">
        <v>40</v>
      </c>
      <c r="C418" s="16">
        <v>1</v>
      </c>
      <c r="D418" s="16" t="s">
        <v>1825</v>
      </c>
      <c r="E418" s="17" t="s">
        <v>42</v>
      </c>
      <c r="F418" s="18" t="s">
        <v>233</v>
      </c>
      <c r="G418" s="18" t="s">
        <v>1826</v>
      </c>
      <c r="H418" s="16" t="s">
        <v>317</v>
      </c>
      <c r="I418" s="19" t="s">
        <v>3</v>
      </c>
      <c r="J418" s="16" t="s">
        <v>12</v>
      </c>
      <c r="K418" s="20" t="s">
        <v>237</v>
      </c>
      <c r="L418" s="20" t="s">
        <v>238</v>
      </c>
      <c r="M418" s="16" t="s">
        <v>105</v>
      </c>
      <c r="N418" s="16">
        <v>0</v>
      </c>
      <c r="O418" s="16" t="s">
        <v>50</v>
      </c>
      <c r="P418" s="20">
        <v>29</v>
      </c>
      <c r="Q418" s="20" t="s">
        <v>119</v>
      </c>
      <c r="R418" s="21" t="s">
        <v>77</v>
      </c>
      <c r="S418" s="22" t="s">
        <v>53</v>
      </c>
      <c r="T418" s="22" t="s">
        <v>54</v>
      </c>
      <c r="U418" s="23" t="s">
        <v>120</v>
      </c>
      <c r="V418" s="24">
        <v>0.6</v>
      </c>
      <c r="W418" s="25">
        <v>429.00000000000006</v>
      </c>
      <c r="X418" s="26">
        <v>1</v>
      </c>
      <c r="Y418" s="27">
        <v>1.95</v>
      </c>
      <c r="Z418" s="23">
        <v>5</v>
      </c>
      <c r="AA418" s="28">
        <v>0.39</v>
      </c>
      <c r="AB418" s="24">
        <v>0</v>
      </c>
      <c r="AC418" s="29">
        <v>0</v>
      </c>
      <c r="AD418" s="30">
        <v>43567</v>
      </c>
      <c r="AE418" s="30">
        <v>43567</v>
      </c>
      <c r="AF418" s="23">
        <v>0</v>
      </c>
      <c r="AG418" s="25" t="s">
        <v>56</v>
      </c>
      <c r="AH418" s="24">
        <v>0</v>
      </c>
      <c r="AI418" s="31">
        <v>0</v>
      </c>
      <c r="AJ418" s="31">
        <v>0</v>
      </c>
      <c r="AK418" s="44">
        <f t="shared" si="12"/>
        <v>429.00000000000006</v>
      </c>
      <c r="AL418">
        <f>VLOOKUP(A418,'[1]prueba con 16mil datos'!$A$1:$AE$804,31,FALSE)</f>
        <v>1808.95</v>
      </c>
      <c r="AM418">
        <f t="shared" si="13"/>
        <v>0</v>
      </c>
      <c r="AO418">
        <f>VLOOKUP(A418,'[1]Prueba con 19mil datos'!$B$1:$AF$1228,31,FALSE)</f>
        <v>1808.95</v>
      </c>
    </row>
    <row r="419" spans="1:44" hidden="1" x14ac:dyDescent="0.25">
      <c r="A419" s="16" t="s">
        <v>962</v>
      </c>
      <c r="B419" s="15" t="s">
        <v>40</v>
      </c>
      <c r="C419" s="16">
        <v>1</v>
      </c>
      <c r="D419" s="16" t="s">
        <v>2608</v>
      </c>
      <c r="E419" s="17" t="s">
        <v>602</v>
      </c>
      <c r="F419" s="18" t="s">
        <v>733</v>
      </c>
      <c r="G419" s="18" t="s">
        <v>2609</v>
      </c>
      <c r="H419" s="16" t="s">
        <v>221</v>
      </c>
      <c r="I419" s="19" t="s">
        <v>3</v>
      </c>
      <c r="J419" s="16" t="s">
        <v>12</v>
      </c>
      <c r="K419" s="20" t="s">
        <v>126</v>
      </c>
      <c r="L419" s="20" t="s">
        <v>741</v>
      </c>
      <c r="M419" s="16" t="s">
        <v>742</v>
      </c>
      <c r="N419" s="16">
        <v>0</v>
      </c>
      <c r="O419" s="16" t="s">
        <v>50</v>
      </c>
      <c r="P419" s="20" t="s">
        <v>326</v>
      </c>
      <c r="Q419" s="20" t="s">
        <v>51</v>
      </c>
      <c r="R419" s="21" t="s">
        <v>279</v>
      </c>
      <c r="S419" s="22" t="s">
        <v>187</v>
      </c>
      <c r="T419" s="22" t="s">
        <v>54</v>
      </c>
      <c r="U419" s="23" t="s">
        <v>550</v>
      </c>
      <c r="V419" s="24">
        <v>1</v>
      </c>
      <c r="W419" s="25">
        <v>1573.0000000000002</v>
      </c>
      <c r="X419" s="26">
        <v>1</v>
      </c>
      <c r="Y419" s="27">
        <v>0.51</v>
      </c>
      <c r="Z419" s="23">
        <v>4</v>
      </c>
      <c r="AA419" s="28">
        <v>0.1275</v>
      </c>
      <c r="AB419" s="24">
        <v>0</v>
      </c>
      <c r="AC419" s="29">
        <v>0</v>
      </c>
      <c r="AD419" s="30">
        <v>43567</v>
      </c>
      <c r="AE419" s="30">
        <v>43579</v>
      </c>
      <c r="AF419" s="23">
        <v>8</v>
      </c>
      <c r="AG419" s="25" t="s">
        <v>493</v>
      </c>
      <c r="AH419" s="24">
        <v>1</v>
      </c>
      <c r="AI419" s="31">
        <v>-1573.0000000000002</v>
      </c>
      <c r="AJ419" s="31">
        <v>0</v>
      </c>
      <c r="AK419" s="44">
        <f t="shared" si="12"/>
        <v>1573.0000000000002</v>
      </c>
      <c r="AL419">
        <f>VLOOKUP(A419,'[1]prueba con 16mil datos'!$A$1:$AE$804,31,FALSE)</f>
        <v>1258.4000000000001</v>
      </c>
      <c r="AM419">
        <f t="shared" si="13"/>
        <v>0</v>
      </c>
      <c r="AO419">
        <f>VLOOKUP(A419,'[1]Prueba con 19mil datos'!$B$1:$AF$1228,31,FALSE)</f>
        <v>1258.4000000000001</v>
      </c>
    </row>
    <row r="420" spans="1:44" hidden="1" x14ac:dyDescent="0.25">
      <c r="A420" s="16" t="s">
        <v>962</v>
      </c>
      <c r="B420" s="15" t="s">
        <v>40</v>
      </c>
      <c r="C420" s="16">
        <v>1</v>
      </c>
      <c r="D420" s="16" t="s">
        <v>1942</v>
      </c>
      <c r="E420" s="17" t="s">
        <v>42</v>
      </c>
      <c r="F420" s="18" t="s">
        <v>733</v>
      </c>
      <c r="G420" s="18" t="s">
        <v>1943</v>
      </c>
      <c r="H420" s="16" t="s">
        <v>61</v>
      </c>
      <c r="I420" s="19" t="s">
        <v>3</v>
      </c>
      <c r="J420" s="16" t="s">
        <v>12</v>
      </c>
      <c r="K420" s="20" t="s">
        <v>198</v>
      </c>
      <c r="L420" s="20" t="s">
        <v>586</v>
      </c>
      <c r="M420" s="16" t="s">
        <v>118</v>
      </c>
      <c r="N420" s="16">
        <v>0</v>
      </c>
      <c r="O420" s="16" t="s">
        <v>50</v>
      </c>
      <c r="P420" s="20">
        <v>32</v>
      </c>
      <c r="Q420" s="20" t="s">
        <v>86</v>
      </c>
      <c r="R420" s="21" t="s">
        <v>279</v>
      </c>
      <c r="S420" s="22" t="s">
        <v>187</v>
      </c>
      <c r="T420" s="22" t="s">
        <v>54</v>
      </c>
      <c r="U420" s="23" t="s">
        <v>188</v>
      </c>
      <c r="V420" s="24">
        <v>1.1000000000000001</v>
      </c>
      <c r="W420" s="25">
        <v>1730.3000000000004</v>
      </c>
      <c r="X420" s="26">
        <v>1</v>
      </c>
      <c r="Y420" s="27">
        <v>2.5499999999999998</v>
      </c>
      <c r="Z420" s="23">
        <v>4</v>
      </c>
      <c r="AA420" s="28">
        <v>0.63749999999999996</v>
      </c>
      <c r="AB420" s="24">
        <v>0</v>
      </c>
      <c r="AC420" s="29">
        <v>0</v>
      </c>
      <c r="AD420" s="30">
        <v>43567</v>
      </c>
      <c r="AE420" s="30">
        <v>43570</v>
      </c>
      <c r="AF420" s="23">
        <v>1</v>
      </c>
      <c r="AG420" s="25" t="s">
        <v>56</v>
      </c>
      <c r="AH420" s="24">
        <v>0</v>
      </c>
      <c r="AI420" s="31">
        <v>0</v>
      </c>
      <c r="AJ420" s="31">
        <v>0</v>
      </c>
      <c r="AK420" s="44">
        <f t="shared" si="12"/>
        <v>1730.3000000000004</v>
      </c>
      <c r="AL420">
        <f>VLOOKUP(A420,'[1]prueba con 16mil datos'!$A$1:$AE$804,31,FALSE)</f>
        <v>1258.4000000000001</v>
      </c>
      <c r="AM420">
        <f t="shared" si="13"/>
        <v>0</v>
      </c>
      <c r="AO420">
        <f>VLOOKUP(A420,'[1]Prueba con 19mil datos'!$B$1:$AF$1228,31,FALSE)</f>
        <v>1258.4000000000001</v>
      </c>
    </row>
    <row r="421" spans="1:44" hidden="1" x14ac:dyDescent="0.25">
      <c r="A421" s="16" t="s">
        <v>962</v>
      </c>
      <c r="B421" s="15" t="s">
        <v>40</v>
      </c>
      <c r="C421" s="16">
        <v>1</v>
      </c>
      <c r="D421" s="16" t="s">
        <v>1835</v>
      </c>
      <c r="E421" s="17" t="s">
        <v>42</v>
      </c>
      <c r="F421" s="18" t="s">
        <v>275</v>
      </c>
      <c r="G421" s="18" t="s">
        <v>1836</v>
      </c>
      <c r="H421" s="16" t="s">
        <v>153</v>
      </c>
      <c r="I421" s="19" t="s">
        <v>3</v>
      </c>
      <c r="J421" s="16" t="s">
        <v>12</v>
      </c>
      <c r="K421" s="20" t="s">
        <v>126</v>
      </c>
      <c r="L421" s="20" t="s">
        <v>1838</v>
      </c>
      <c r="M421" s="16" t="s">
        <v>310</v>
      </c>
      <c r="N421" s="16">
        <v>0</v>
      </c>
      <c r="O421" s="16" t="s">
        <v>50</v>
      </c>
      <c r="P421" s="20">
        <v>344</v>
      </c>
      <c r="Q421" s="20" t="s">
        <v>51</v>
      </c>
      <c r="R421" s="21" t="s">
        <v>279</v>
      </c>
      <c r="S421" s="22" t="s">
        <v>187</v>
      </c>
      <c r="T421" s="22" t="s">
        <v>157</v>
      </c>
      <c r="U421" s="23" t="s">
        <v>550</v>
      </c>
      <c r="V421" s="24">
        <v>1.1499999999999999</v>
      </c>
      <c r="W421" s="25">
        <v>1808.95</v>
      </c>
      <c r="X421" s="26">
        <v>1</v>
      </c>
      <c r="Y421" s="27">
        <v>1.75</v>
      </c>
      <c r="Z421" s="23">
        <v>6</v>
      </c>
      <c r="AA421" s="28">
        <v>0.29166666666666669</v>
      </c>
      <c r="AB421" s="24">
        <v>0</v>
      </c>
      <c r="AC421" s="29">
        <v>0</v>
      </c>
      <c r="AD421" s="30">
        <v>43567</v>
      </c>
      <c r="AE421" s="30">
        <v>43567</v>
      </c>
      <c r="AF421" s="23">
        <v>0</v>
      </c>
      <c r="AG421" s="25" t="s">
        <v>56</v>
      </c>
      <c r="AH421" s="24">
        <v>0</v>
      </c>
      <c r="AI421" s="31">
        <v>0</v>
      </c>
      <c r="AJ421" s="31">
        <v>0</v>
      </c>
      <c r="AK421" s="44">
        <f t="shared" si="12"/>
        <v>1808.95</v>
      </c>
      <c r="AL421">
        <f>VLOOKUP(A421,'[1]prueba con 16mil datos'!$A$1:$AE$804,31,FALSE)</f>
        <v>1258.4000000000001</v>
      </c>
      <c r="AM421">
        <f t="shared" si="13"/>
        <v>0</v>
      </c>
      <c r="AO421">
        <f>VLOOKUP(A421,'[1]Prueba con 19mil datos'!$B$1:$AF$1228,31,FALSE)</f>
        <v>1258.4000000000001</v>
      </c>
    </row>
    <row r="422" spans="1:44" x14ac:dyDescent="0.25">
      <c r="A422" s="16" t="s">
        <v>2460</v>
      </c>
      <c r="B422" s="15" t="s">
        <v>40</v>
      </c>
      <c r="C422" s="16">
        <v>1</v>
      </c>
      <c r="D422" s="16" t="s">
        <v>1873</v>
      </c>
      <c r="E422" s="17" t="s">
        <v>42</v>
      </c>
      <c r="F422" s="18" t="s">
        <v>275</v>
      </c>
      <c r="G422" s="18" t="s">
        <v>1874</v>
      </c>
      <c r="H422" s="16" t="s">
        <v>346</v>
      </c>
      <c r="I422" s="19" t="s">
        <v>3</v>
      </c>
      <c r="J422" s="16" t="s">
        <v>12</v>
      </c>
      <c r="K422" s="20" t="s">
        <v>126</v>
      </c>
      <c r="L422" s="20" t="s">
        <v>1626</v>
      </c>
      <c r="M422" s="16" t="s">
        <v>367</v>
      </c>
      <c r="N422" s="16">
        <v>0</v>
      </c>
      <c r="O422" s="16" t="s">
        <v>50</v>
      </c>
      <c r="P422" s="20">
        <v>42</v>
      </c>
      <c r="Q422" s="20" t="s">
        <v>86</v>
      </c>
      <c r="R422" s="21" t="s">
        <v>279</v>
      </c>
      <c r="S422" s="22" t="s">
        <v>187</v>
      </c>
      <c r="T422" s="22" t="s">
        <v>54</v>
      </c>
      <c r="U422" s="23" t="s">
        <v>188</v>
      </c>
      <c r="V422" s="24">
        <v>1.1000000000000001</v>
      </c>
      <c r="W422" s="25">
        <v>1730.3000000000004</v>
      </c>
      <c r="X422" s="26">
        <v>1</v>
      </c>
      <c r="Y422" s="27">
        <v>4</v>
      </c>
      <c r="Z422" s="23">
        <v>4</v>
      </c>
      <c r="AA422" s="28">
        <v>1</v>
      </c>
      <c r="AB422" s="24">
        <v>0</v>
      </c>
      <c r="AC422" s="29">
        <v>0</v>
      </c>
      <c r="AD422" s="30">
        <v>43567</v>
      </c>
      <c r="AE422" s="30">
        <v>43567</v>
      </c>
      <c r="AF422" s="23">
        <v>0</v>
      </c>
      <c r="AG422" s="25" t="s">
        <v>56</v>
      </c>
      <c r="AH422" s="24">
        <v>0</v>
      </c>
      <c r="AI422" s="31">
        <v>0</v>
      </c>
      <c r="AJ422" s="31">
        <v>0</v>
      </c>
      <c r="AK422" s="44">
        <f t="shared" si="12"/>
        <v>1730.3000000000004</v>
      </c>
      <c r="AL422" t="e">
        <f>VLOOKUP(A422,'[1]prueba con 16mil datos'!$A$1:$AE$804,31,FALSE)</f>
        <v>#N/A</v>
      </c>
      <c r="AM422" t="e">
        <f t="shared" si="13"/>
        <v>#N/A</v>
      </c>
      <c r="AO422" t="e">
        <f>VLOOKUP(A422,'[1]Prueba con 19mil datos'!$B$1:$AF$1228,31,FALSE)</f>
        <v>#N/A</v>
      </c>
      <c r="AP422" t="s">
        <v>3212</v>
      </c>
      <c r="AR422" t="s">
        <v>3213</v>
      </c>
    </row>
    <row r="423" spans="1:44" x14ac:dyDescent="0.25">
      <c r="A423" s="16" t="s">
        <v>2460</v>
      </c>
      <c r="B423" s="15" t="s">
        <v>40</v>
      </c>
      <c r="C423" s="16">
        <v>1</v>
      </c>
      <c r="D423" s="16" t="s">
        <v>1896</v>
      </c>
      <c r="E423" s="17" t="s">
        <v>42</v>
      </c>
      <c r="F423" s="18" t="s">
        <v>70</v>
      </c>
      <c r="G423" s="18" t="s">
        <v>1897</v>
      </c>
      <c r="H423" s="16" t="s">
        <v>301</v>
      </c>
      <c r="I423" s="19" t="s">
        <v>3</v>
      </c>
      <c r="J423" s="16" t="s">
        <v>12</v>
      </c>
      <c r="K423" s="20" t="s">
        <v>74</v>
      </c>
      <c r="L423" s="20" t="s">
        <v>946</v>
      </c>
      <c r="M423" s="16" t="s">
        <v>267</v>
      </c>
      <c r="N423" s="16">
        <v>0</v>
      </c>
      <c r="O423" s="16" t="s">
        <v>50</v>
      </c>
      <c r="P423" s="20">
        <v>8</v>
      </c>
      <c r="Q423" s="20" t="s">
        <v>65</v>
      </c>
      <c r="R423" s="21" t="s">
        <v>77</v>
      </c>
      <c r="S423" s="22" t="s">
        <v>53</v>
      </c>
      <c r="T423" s="22" t="s">
        <v>54</v>
      </c>
      <c r="U423" s="23" t="s">
        <v>1008</v>
      </c>
      <c r="V423" s="24">
        <v>0</v>
      </c>
      <c r="W423" s="25">
        <v>0</v>
      </c>
      <c r="X423" s="26">
        <v>1</v>
      </c>
      <c r="Y423" s="27">
        <v>1.28</v>
      </c>
      <c r="Z423" s="23">
        <v>5</v>
      </c>
      <c r="AA423" s="28">
        <v>0.25600000000000001</v>
      </c>
      <c r="AB423" s="24">
        <v>0</v>
      </c>
      <c r="AC423" s="29">
        <v>0</v>
      </c>
      <c r="AD423" s="30">
        <v>43567</v>
      </c>
      <c r="AE423" s="30">
        <v>43567</v>
      </c>
      <c r="AF423" s="23">
        <v>0</v>
      </c>
      <c r="AG423" s="25" t="s">
        <v>56</v>
      </c>
      <c r="AH423" s="24">
        <v>0</v>
      </c>
      <c r="AI423" s="31">
        <v>0</v>
      </c>
      <c r="AJ423" s="31">
        <v>0</v>
      </c>
      <c r="AK423" s="44">
        <f t="shared" si="12"/>
        <v>0</v>
      </c>
      <c r="AL423" t="e">
        <f>VLOOKUP(A423,'[1]prueba con 16mil datos'!$A$1:$AE$804,31,FALSE)</f>
        <v>#N/A</v>
      </c>
      <c r="AM423" t="e">
        <f t="shared" si="13"/>
        <v>#N/A</v>
      </c>
      <c r="AO423" t="e">
        <f>VLOOKUP(A423,'[1]Prueba con 19mil datos'!$B$1:$AF$1228,31,FALSE)</f>
        <v>#N/A</v>
      </c>
      <c r="AP423" t="s">
        <v>3212</v>
      </c>
      <c r="AR423" t="s">
        <v>3213</v>
      </c>
    </row>
    <row r="424" spans="1:44" hidden="1" x14ac:dyDescent="0.25">
      <c r="A424" s="16" t="s">
        <v>1295</v>
      </c>
      <c r="B424" s="15" t="s">
        <v>40</v>
      </c>
      <c r="C424" s="16">
        <v>1</v>
      </c>
      <c r="D424" s="16" t="s">
        <v>1910</v>
      </c>
      <c r="E424" s="17" t="s">
        <v>42</v>
      </c>
      <c r="F424" s="18" t="s">
        <v>70</v>
      </c>
      <c r="G424" s="18" t="s">
        <v>1911</v>
      </c>
      <c r="H424" s="16" t="s">
        <v>317</v>
      </c>
      <c r="I424" s="19" t="s">
        <v>3</v>
      </c>
      <c r="J424" s="16" t="s">
        <v>12</v>
      </c>
      <c r="K424" s="20" t="s">
        <v>74</v>
      </c>
      <c r="L424" s="20" t="s">
        <v>1913</v>
      </c>
      <c r="M424" s="16" t="s">
        <v>128</v>
      </c>
      <c r="N424" s="16">
        <v>0</v>
      </c>
      <c r="O424" s="16" t="s">
        <v>50</v>
      </c>
      <c r="P424" s="20">
        <v>71</v>
      </c>
      <c r="Q424" s="20" t="s">
        <v>51</v>
      </c>
      <c r="R424" s="21" t="s">
        <v>77</v>
      </c>
      <c r="S424" s="22" t="s">
        <v>53</v>
      </c>
      <c r="T424" s="22" t="s">
        <v>54</v>
      </c>
      <c r="U424" s="23" t="s">
        <v>55</v>
      </c>
      <c r="V424" s="24">
        <v>1.05</v>
      </c>
      <c r="W424" s="25">
        <v>750.75000000000011</v>
      </c>
      <c r="X424" s="26">
        <v>1</v>
      </c>
      <c r="Y424" s="27">
        <v>1.1499999999999999</v>
      </c>
      <c r="Z424" s="23">
        <v>5</v>
      </c>
      <c r="AA424" s="28">
        <v>0.22999999999999998</v>
      </c>
      <c r="AB424" s="24">
        <v>0</v>
      </c>
      <c r="AC424" s="29">
        <v>0</v>
      </c>
      <c r="AD424" s="30">
        <v>43567</v>
      </c>
      <c r="AE424" s="30">
        <v>43570</v>
      </c>
      <c r="AF424" s="23">
        <v>1</v>
      </c>
      <c r="AG424" s="25" t="s">
        <v>56</v>
      </c>
      <c r="AH424" s="24">
        <v>0</v>
      </c>
      <c r="AI424" s="31">
        <v>0</v>
      </c>
      <c r="AJ424" s="31">
        <v>0</v>
      </c>
      <c r="AK424" s="44">
        <f t="shared" si="12"/>
        <v>750.75000000000011</v>
      </c>
      <c r="AL424">
        <f>VLOOKUP(A424,'[1]prueba con 16mil datos'!$A$1:$AE$804,31,FALSE)</f>
        <v>1730.3</v>
      </c>
      <c r="AM424">
        <f t="shared" si="13"/>
        <v>0</v>
      </c>
      <c r="AO424">
        <f>VLOOKUP(A424,'[1]Prueba con 19mil datos'!$B$1:$AF$1228,31,FALSE)</f>
        <v>1730.3</v>
      </c>
    </row>
    <row r="425" spans="1:44" hidden="1" x14ac:dyDescent="0.25">
      <c r="A425" s="16" t="s">
        <v>2781</v>
      </c>
      <c r="B425" s="15" t="s">
        <v>40</v>
      </c>
      <c r="C425" s="16">
        <v>1</v>
      </c>
      <c r="D425" s="16" t="s">
        <v>1893</v>
      </c>
      <c r="E425" s="17" t="s">
        <v>42</v>
      </c>
      <c r="F425" s="18" t="s">
        <v>70</v>
      </c>
      <c r="G425" s="18" t="s">
        <v>1518</v>
      </c>
      <c r="H425" s="16" t="s">
        <v>236</v>
      </c>
      <c r="I425" s="19" t="s">
        <v>3</v>
      </c>
      <c r="J425" s="16" t="s">
        <v>12</v>
      </c>
      <c r="K425" s="20" t="s">
        <v>74</v>
      </c>
      <c r="L425" s="20" t="s">
        <v>1895</v>
      </c>
      <c r="M425" s="16" t="s">
        <v>105</v>
      </c>
      <c r="N425" s="16">
        <v>0</v>
      </c>
      <c r="O425" s="16" t="s">
        <v>50</v>
      </c>
      <c r="P425" s="20">
        <v>239</v>
      </c>
      <c r="Q425" s="20" t="s">
        <v>51</v>
      </c>
      <c r="R425" s="21" t="s">
        <v>77</v>
      </c>
      <c r="S425" s="22" t="s">
        <v>53</v>
      </c>
      <c r="T425" s="22" t="s">
        <v>54</v>
      </c>
      <c r="U425" s="23" t="s">
        <v>55</v>
      </c>
      <c r="V425" s="24">
        <v>1.05</v>
      </c>
      <c r="W425" s="25">
        <v>750.75000000000011</v>
      </c>
      <c r="X425" s="26">
        <v>1</v>
      </c>
      <c r="Y425" s="27">
        <v>0</v>
      </c>
      <c r="Z425" s="23">
        <v>5</v>
      </c>
      <c r="AA425" s="28">
        <v>0</v>
      </c>
      <c r="AB425" s="24">
        <v>0</v>
      </c>
      <c r="AC425" s="29">
        <v>0</v>
      </c>
      <c r="AD425" s="30">
        <v>43567</v>
      </c>
      <c r="AE425" s="30">
        <v>43567</v>
      </c>
      <c r="AF425" s="23">
        <v>0</v>
      </c>
      <c r="AG425" s="25" t="s">
        <v>56</v>
      </c>
      <c r="AH425" s="24">
        <v>0</v>
      </c>
      <c r="AI425" s="31">
        <v>0</v>
      </c>
      <c r="AJ425" s="31">
        <v>0</v>
      </c>
      <c r="AK425" s="44">
        <f t="shared" si="12"/>
        <v>750.75000000000011</v>
      </c>
      <c r="AL425">
        <f>VLOOKUP(A425,'[1]prueba con 16mil datos'!$A$1:$AE$804,31,FALSE)</f>
        <v>1730.3</v>
      </c>
      <c r="AM425">
        <f t="shared" si="13"/>
        <v>0</v>
      </c>
      <c r="AO425">
        <f>VLOOKUP(A425,'[1]Prueba con 19mil datos'!$B$1:$AF$1228,31,FALSE)</f>
        <v>1730.3</v>
      </c>
    </row>
    <row r="426" spans="1:44" hidden="1" x14ac:dyDescent="0.25">
      <c r="A426" s="16" t="s">
        <v>1361</v>
      </c>
      <c r="B426" s="15" t="s">
        <v>40</v>
      </c>
      <c r="C426" s="16">
        <v>1</v>
      </c>
      <c r="D426" s="16" t="s">
        <v>1815</v>
      </c>
      <c r="E426" s="17" t="s">
        <v>42</v>
      </c>
      <c r="F426" s="18" t="s">
        <v>335</v>
      </c>
      <c r="G426" s="18" t="s">
        <v>1816</v>
      </c>
      <c r="H426" s="16" t="s">
        <v>168</v>
      </c>
      <c r="I426" s="19" t="s">
        <v>3</v>
      </c>
      <c r="J426" s="16" t="s">
        <v>12</v>
      </c>
      <c r="K426" s="20" t="s">
        <v>1027</v>
      </c>
      <c r="L426" s="20" t="s">
        <v>1028</v>
      </c>
      <c r="M426" s="16" t="s">
        <v>171</v>
      </c>
      <c r="N426" s="16">
        <v>0</v>
      </c>
      <c r="O426" s="16" t="s">
        <v>50</v>
      </c>
      <c r="P426" s="20">
        <v>125</v>
      </c>
      <c r="Q426" s="20" t="s">
        <v>51</v>
      </c>
      <c r="R426" s="21" t="s">
        <v>77</v>
      </c>
      <c r="S426" s="22" t="s">
        <v>53</v>
      </c>
      <c r="T426" s="22" t="s">
        <v>54</v>
      </c>
      <c r="U426" s="23" t="s">
        <v>55</v>
      </c>
      <c r="V426" s="24">
        <v>1.05</v>
      </c>
      <c r="W426" s="25">
        <v>750.75000000000011</v>
      </c>
      <c r="X426" s="26">
        <v>1</v>
      </c>
      <c r="Y426" s="27">
        <v>0.87</v>
      </c>
      <c r="Z426" s="23">
        <v>5</v>
      </c>
      <c r="AA426" s="28">
        <v>0.17399999999999999</v>
      </c>
      <c r="AB426" s="24">
        <v>0</v>
      </c>
      <c r="AC426" s="29">
        <v>0</v>
      </c>
      <c r="AD426" s="30">
        <v>43567</v>
      </c>
      <c r="AE426" s="30">
        <v>43567</v>
      </c>
      <c r="AF426" s="23">
        <v>0</v>
      </c>
      <c r="AG426" s="25" t="s">
        <v>56</v>
      </c>
      <c r="AH426" s="24">
        <v>0</v>
      </c>
      <c r="AI426" s="31">
        <v>0</v>
      </c>
      <c r="AJ426" s="31">
        <v>0</v>
      </c>
      <c r="AK426" s="44">
        <f t="shared" si="12"/>
        <v>750.75000000000011</v>
      </c>
      <c r="AL426">
        <f>VLOOKUP(A426,'[1]prueba con 16mil datos'!$A$1:$AE$804,31,FALSE)</f>
        <v>1730.3</v>
      </c>
      <c r="AM426">
        <f t="shared" si="13"/>
        <v>0</v>
      </c>
      <c r="AO426">
        <f>VLOOKUP(A426,'[1]Prueba con 19mil datos'!$B$1:$AF$1228,31,FALSE)</f>
        <v>1730.3</v>
      </c>
    </row>
    <row r="427" spans="1:44" hidden="1" x14ac:dyDescent="0.25">
      <c r="A427" s="16" t="s">
        <v>2880</v>
      </c>
      <c r="B427" s="15" t="s">
        <v>40</v>
      </c>
      <c r="C427" s="16">
        <v>1</v>
      </c>
      <c r="D427" s="16" t="s">
        <v>1844</v>
      </c>
      <c r="E427" s="17" t="s">
        <v>42</v>
      </c>
      <c r="F427" s="18" t="s">
        <v>335</v>
      </c>
      <c r="G427" s="18" t="s">
        <v>1845</v>
      </c>
      <c r="H427" s="16" t="s">
        <v>404</v>
      </c>
      <c r="I427" s="19" t="s">
        <v>3</v>
      </c>
      <c r="J427" s="16" t="s">
        <v>12</v>
      </c>
      <c r="K427" s="20" t="s">
        <v>208</v>
      </c>
      <c r="L427" s="20" t="s">
        <v>1847</v>
      </c>
      <c r="M427" s="16" t="s">
        <v>407</v>
      </c>
      <c r="N427" s="16">
        <v>0</v>
      </c>
      <c r="O427" s="16" t="s">
        <v>50</v>
      </c>
      <c r="P427" s="20">
        <v>54</v>
      </c>
      <c r="Q427" s="20" t="s">
        <v>86</v>
      </c>
      <c r="R427" s="21" t="s">
        <v>77</v>
      </c>
      <c r="S427" s="22" t="s">
        <v>53</v>
      </c>
      <c r="T427" s="22" t="s">
        <v>54</v>
      </c>
      <c r="U427" s="23" t="s">
        <v>88</v>
      </c>
      <c r="V427" s="24">
        <v>0.8</v>
      </c>
      <c r="W427" s="25">
        <v>572.00000000000011</v>
      </c>
      <c r="X427" s="26">
        <v>1</v>
      </c>
      <c r="Y427" s="27">
        <v>6.47</v>
      </c>
      <c r="Z427" s="23">
        <v>5</v>
      </c>
      <c r="AA427" s="28">
        <v>1.294</v>
      </c>
      <c r="AB427" s="24">
        <v>7.350000000000001E-2</v>
      </c>
      <c r="AC427" s="29">
        <v>-52.552500000000016</v>
      </c>
      <c r="AD427" s="30">
        <v>43567</v>
      </c>
      <c r="AE427" s="30">
        <v>43567</v>
      </c>
      <c r="AF427" s="23">
        <v>0</v>
      </c>
      <c r="AG427" s="25" t="s">
        <v>56</v>
      </c>
      <c r="AH427" s="24">
        <v>0</v>
      </c>
      <c r="AI427" s="31">
        <v>0</v>
      </c>
      <c r="AJ427" s="31">
        <v>0</v>
      </c>
      <c r="AK427" s="44">
        <f t="shared" si="12"/>
        <v>519.4475000000001</v>
      </c>
      <c r="AL427">
        <f>VLOOKUP(A427,'[1]prueba con 16mil datos'!$A$1:$AE$804,31,FALSE)</f>
        <v>1730.3</v>
      </c>
      <c r="AM427">
        <f t="shared" si="13"/>
        <v>0</v>
      </c>
      <c r="AO427">
        <f>VLOOKUP(A427,'[1]Prueba con 19mil datos'!$B$1:$AF$1228,31,FALSE)</f>
        <v>1730.3</v>
      </c>
    </row>
    <row r="428" spans="1:44" hidden="1" x14ac:dyDescent="0.25">
      <c r="A428" s="16" t="s">
        <v>1312</v>
      </c>
      <c r="B428" s="15" t="s">
        <v>40</v>
      </c>
      <c r="C428" s="16">
        <v>1</v>
      </c>
      <c r="D428" s="16" t="s">
        <v>1945</v>
      </c>
      <c r="E428" s="17" t="s">
        <v>42</v>
      </c>
      <c r="F428" s="18" t="s">
        <v>335</v>
      </c>
      <c r="G428" s="18" t="s">
        <v>1946</v>
      </c>
      <c r="H428" s="16" t="s">
        <v>660</v>
      </c>
      <c r="I428" s="19" t="s">
        <v>3</v>
      </c>
      <c r="J428" s="16" t="s">
        <v>12</v>
      </c>
      <c r="K428" s="20" t="s">
        <v>208</v>
      </c>
      <c r="L428" s="20" t="s">
        <v>1948</v>
      </c>
      <c r="M428" s="16" t="s">
        <v>833</v>
      </c>
      <c r="N428" s="16">
        <v>0</v>
      </c>
      <c r="O428" s="16" t="s">
        <v>50</v>
      </c>
      <c r="P428" s="20">
        <v>55</v>
      </c>
      <c r="Q428" s="20" t="s">
        <v>86</v>
      </c>
      <c r="R428" s="21" t="s">
        <v>77</v>
      </c>
      <c r="S428" s="22" t="s">
        <v>53</v>
      </c>
      <c r="T428" s="22" t="s">
        <v>54</v>
      </c>
      <c r="U428" s="23" t="s">
        <v>88</v>
      </c>
      <c r="V428" s="24">
        <v>0.8</v>
      </c>
      <c r="W428" s="25">
        <v>572.00000000000011</v>
      </c>
      <c r="X428" s="26">
        <v>1</v>
      </c>
      <c r="Y428" s="27">
        <v>1.44</v>
      </c>
      <c r="Z428" s="23">
        <v>5</v>
      </c>
      <c r="AA428" s="28">
        <v>0.28799999999999998</v>
      </c>
      <c r="AB428" s="24">
        <v>0</v>
      </c>
      <c r="AC428" s="29">
        <v>0</v>
      </c>
      <c r="AD428" s="30">
        <v>43567</v>
      </c>
      <c r="AE428" s="30">
        <v>43570</v>
      </c>
      <c r="AF428" s="23">
        <v>1</v>
      </c>
      <c r="AG428" s="25" t="s">
        <v>56</v>
      </c>
      <c r="AH428" s="24">
        <v>0</v>
      </c>
      <c r="AI428" s="31">
        <v>0</v>
      </c>
      <c r="AJ428" s="31">
        <v>0</v>
      </c>
      <c r="AK428" s="44">
        <f t="shared" si="12"/>
        <v>572.00000000000011</v>
      </c>
      <c r="AL428">
        <f>VLOOKUP(A428,'[1]prueba con 16mil datos'!$A$1:$AE$804,31,FALSE)</f>
        <v>1651.65</v>
      </c>
      <c r="AM428">
        <f t="shared" si="13"/>
        <v>0</v>
      </c>
      <c r="AO428">
        <f>VLOOKUP(A428,'[1]Prueba con 19mil datos'!$B$1:$AF$1228,31,FALSE)</f>
        <v>1651.65</v>
      </c>
    </row>
    <row r="429" spans="1:44" hidden="1" x14ac:dyDescent="0.25">
      <c r="A429" s="16" t="s">
        <v>1312</v>
      </c>
      <c r="B429" s="15" t="s">
        <v>40</v>
      </c>
      <c r="C429" s="16">
        <v>1</v>
      </c>
      <c r="D429" s="16" t="s">
        <v>1850</v>
      </c>
      <c r="E429" s="17" t="s">
        <v>42</v>
      </c>
      <c r="F429" s="18" t="s">
        <v>1851</v>
      </c>
      <c r="G429" s="18" t="s">
        <v>1852</v>
      </c>
      <c r="H429" s="16" t="s">
        <v>73</v>
      </c>
      <c r="I429" s="19" t="s">
        <v>3</v>
      </c>
      <c r="J429" s="16" t="s">
        <v>12</v>
      </c>
      <c r="K429" s="20" t="s">
        <v>378</v>
      </c>
      <c r="L429" s="20" t="s">
        <v>1854</v>
      </c>
      <c r="M429" s="16" t="s">
        <v>216</v>
      </c>
      <c r="N429" s="16">
        <v>0</v>
      </c>
      <c r="O429" s="16" t="s">
        <v>50</v>
      </c>
      <c r="P429" s="20">
        <v>511</v>
      </c>
      <c r="Q429" s="20" t="s">
        <v>51</v>
      </c>
      <c r="R429" s="21" t="s">
        <v>87</v>
      </c>
      <c r="S429" s="22" t="s">
        <v>53</v>
      </c>
      <c r="T429" s="22" t="s">
        <v>54</v>
      </c>
      <c r="U429" s="23" t="s">
        <v>55</v>
      </c>
      <c r="V429" s="24">
        <v>1.05</v>
      </c>
      <c r="W429" s="25">
        <v>750.75000000000011</v>
      </c>
      <c r="X429" s="26">
        <v>1</v>
      </c>
      <c r="Y429" s="27">
        <v>5.35</v>
      </c>
      <c r="Z429" s="23">
        <v>5</v>
      </c>
      <c r="AA429" s="28">
        <v>1.0699999999999998</v>
      </c>
      <c r="AB429" s="24">
        <v>1.749999999999996E-2</v>
      </c>
      <c r="AC429" s="29">
        <v>-12.512499999999973</v>
      </c>
      <c r="AD429" s="30">
        <v>43567</v>
      </c>
      <c r="AE429" s="30">
        <v>43567</v>
      </c>
      <c r="AF429" s="23">
        <v>0</v>
      </c>
      <c r="AG429" s="25" t="s">
        <v>56</v>
      </c>
      <c r="AH429" s="24">
        <v>0</v>
      </c>
      <c r="AI429" s="31">
        <v>0</v>
      </c>
      <c r="AJ429" s="31">
        <v>0</v>
      </c>
      <c r="AK429" s="44">
        <f t="shared" si="12"/>
        <v>738.23750000000018</v>
      </c>
      <c r="AL429">
        <f>VLOOKUP(A429,'[1]prueba con 16mil datos'!$A$1:$AE$804,31,FALSE)</f>
        <v>1651.65</v>
      </c>
      <c r="AM429">
        <f t="shared" si="13"/>
        <v>0</v>
      </c>
      <c r="AO429">
        <f>VLOOKUP(A429,'[1]Prueba con 19mil datos'!$B$1:$AF$1228,31,FALSE)</f>
        <v>1651.65</v>
      </c>
    </row>
    <row r="430" spans="1:44" hidden="1" x14ac:dyDescent="0.25">
      <c r="A430" s="16" t="s">
        <v>1312</v>
      </c>
      <c r="B430" s="15" t="s">
        <v>40</v>
      </c>
      <c r="C430" s="16">
        <v>1</v>
      </c>
      <c r="D430" s="16" t="s">
        <v>1968</v>
      </c>
      <c r="E430" s="17" t="s">
        <v>42</v>
      </c>
      <c r="F430" s="18" t="s">
        <v>180</v>
      </c>
      <c r="G430" s="18" t="s">
        <v>1969</v>
      </c>
      <c r="H430" s="16" t="s">
        <v>73</v>
      </c>
      <c r="I430" s="19" t="s">
        <v>3</v>
      </c>
      <c r="J430" s="16" t="s">
        <v>12</v>
      </c>
      <c r="K430" s="20" t="s">
        <v>126</v>
      </c>
      <c r="L430" s="20" t="s">
        <v>1299</v>
      </c>
      <c r="M430" s="16" t="s">
        <v>479</v>
      </c>
      <c r="N430" s="16">
        <v>0</v>
      </c>
      <c r="O430" s="16" t="s">
        <v>50</v>
      </c>
      <c r="P430" s="20">
        <v>41</v>
      </c>
      <c r="Q430" s="20" t="s">
        <v>86</v>
      </c>
      <c r="R430" s="21" t="s">
        <v>186</v>
      </c>
      <c r="S430" s="22" t="s">
        <v>187</v>
      </c>
      <c r="T430" s="22" t="s">
        <v>54</v>
      </c>
      <c r="U430" s="23" t="s">
        <v>188</v>
      </c>
      <c r="V430" s="24">
        <v>1.1000000000000001</v>
      </c>
      <c r="W430" s="25">
        <v>1730.3000000000004</v>
      </c>
      <c r="X430" s="26">
        <v>1</v>
      </c>
      <c r="Y430" s="27">
        <v>4.8366666666666651</v>
      </c>
      <c r="Z430" s="23">
        <v>4</v>
      </c>
      <c r="AA430" s="28">
        <v>1.2091666666666663</v>
      </c>
      <c r="AB430" s="24">
        <v>5.229166666666657E-2</v>
      </c>
      <c r="AC430" s="29">
        <v>-82.25479166666652</v>
      </c>
      <c r="AD430" s="30">
        <v>43567</v>
      </c>
      <c r="AE430" s="30">
        <v>43570</v>
      </c>
      <c r="AF430" s="23">
        <v>1</v>
      </c>
      <c r="AG430" s="25" t="s">
        <v>56</v>
      </c>
      <c r="AH430" s="24">
        <v>0</v>
      </c>
      <c r="AI430" s="31">
        <v>0</v>
      </c>
      <c r="AJ430" s="31">
        <v>0</v>
      </c>
      <c r="AK430" s="44">
        <f t="shared" si="12"/>
        <v>1648.0452083333339</v>
      </c>
      <c r="AL430">
        <f>VLOOKUP(A430,'[1]prueba con 16mil datos'!$A$1:$AE$804,31,FALSE)</f>
        <v>1651.65</v>
      </c>
      <c r="AM430">
        <f t="shared" si="13"/>
        <v>0</v>
      </c>
      <c r="AO430">
        <f>VLOOKUP(A430,'[1]Prueba con 19mil datos'!$B$1:$AF$1228,31,FALSE)</f>
        <v>1651.65</v>
      </c>
    </row>
    <row r="431" spans="1:44" hidden="1" x14ac:dyDescent="0.25">
      <c r="A431" s="16" t="s">
        <v>3057</v>
      </c>
      <c r="B431" s="15" t="s">
        <v>40</v>
      </c>
      <c r="C431" s="16">
        <v>1</v>
      </c>
      <c r="D431" s="16" t="s">
        <v>1876</v>
      </c>
      <c r="E431" s="17" t="s">
        <v>42</v>
      </c>
      <c r="F431" s="18" t="s">
        <v>180</v>
      </c>
      <c r="G431" s="18" t="s">
        <v>1877</v>
      </c>
      <c r="H431" s="16" t="s">
        <v>516</v>
      </c>
      <c r="I431" s="19" t="s">
        <v>3</v>
      </c>
      <c r="J431" s="16" t="s">
        <v>12</v>
      </c>
      <c r="K431" s="20" t="s">
        <v>126</v>
      </c>
      <c r="L431" s="20" t="s">
        <v>1879</v>
      </c>
      <c r="M431" s="16" t="s">
        <v>833</v>
      </c>
      <c r="N431" s="16">
        <v>0</v>
      </c>
      <c r="O431" s="16" t="s">
        <v>50</v>
      </c>
      <c r="P431" s="20">
        <v>43</v>
      </c>
      <c r="Q431" s="20" t="s">
        <v>86</v>
      </c>
      <c r="R431" s="21" t="s">
        <v>186</v>
      </c>
      <c r="S431" s="22" t="s">
        <v>187</v>
      </c>
      <c r="T431" s="22" t="s">
        <v>54</v>
      </c>
      <c r="U431" s="23" t="s">
        <v>188</v>
      </c>
      <c r="V431" s="24">
        <v>1.1000000000000001</v>
      </c>
      <c r="W431" s="25">
        <v>1730.3000000000004</v>
      </c>
      <c r="X431" s="26">
        <v>1</v>
      </c>
      <c r="Y431" s="27">
        <v>1.66</v>
      </c>
      <c r="Z431" s="23">
        <v>4</v>
      </c>
      <c r="AA431" s="28">
        <v>0.41499999999999998</v>
      </c>
      <c r="AB431" s="24">
        <v>0</v>
      </c>
      <c r="AC431" s="29">
        <v>0</v>
      </c>
      <c r="AD431" s="30">
        <v>43567</v>
      </c>
      <c r="AE431" s="30">
        <v>43567</v>
      </c>
      <c r="AF431" s="23">
        <v>0</v>
      </c>
      <c r="AG431" s="25" t="s">
        <v>56</v>
      </c>
      <c r="AH431" s="24">
        <v>0</v>
      </c>
      <c r="AI431" s="31">
        <v>0</v>
      </c>
      <c r="AJ431" s="31">
        <v>0</v>
      </c>
      <c r="AK431" s="44">
        <f t="shared" si="12"/>
        <v>1730.3000000000004</v>
      </c>
      <c r="AL431">
        <f>VLOOKUP(A431,'[1]prueba con 16mil datos'!$A$1:$AE$804,31,FALSE)</f>
        <v>1808.95</v>
      </c>
      <c r="AM431">
        <f t="shared" si="13"/>
        <v>0</v>
      </c>
      <c r="AO431">
        <f>VLOOKUP(A431,'[1]Prueba con 19mil datos'!$B$1:$AF$1228,31,FALSE)</f>
        <v>1808.95</v>
      </c>
    </row>
    <row r="432" spans="1:44" hidden="1" x14ac:dyDescent="0.25">
      <c r="A432" s="16" t="s">
        <v>2975</v>
      </c>
      <c r="B432" s="15" t="s">
        <v>40</v>
      </c>
      <c r="C432" s="16">
        <v>1</v>
      </c>
      <c r="D432" s="16" t="s">
        <v>1898</v>
      </c>
      <c r="E432" s="17" t="s">
        <v>42</v>
      </c>
      <c r="F432" s="18" t="s">
        <v>180</v>
      </c>
      <c r="G432" s="18" t="s">
        <v>1899</v>
      </c>
      <c r="H432" s="16" t="s">
        <v>331</v>
      </c>
      <c r="I432" s="19" t="s">
        <v>3</v>
      </c>
      <c r="J432" s="16" t="s">
        <v>12</v>
      </c>
      <c r="K432" s="20" t="s">
        <v>198</v>
      </c>
      <c r="L432" s="20" t="s">
        <v>963</v>
      </c>
      <c r="M432" s="16" t="s">
        <v>414</v>
      </c>
      <c r="N432" s="16">
        <v>0</v>
      </c>
      <c r="O432" s="16" t="s">
        <v>50</v>
      </c>
      <c r="P432" s="20">
        <v>7</v>
      </c>
      <c r="Q432" s="20" t="s">
        <v>65</v>
      </c>
      <c r="R432" s="21" t="s">
        <v>186</v>
      </c>
      <c r="S432" s="22" t="s">
        <v>187</v>
      </c>
      <c r="T432" s="22" t="s">
        <v>54</v>
      </c>
      <c r="U432" s="23" t="s">
        <v>201</v>
      </c>
      <c r="V432" s="24">
        <v>0.8</v>
      </c>
      <c r="W432" s="25">
        <v>1258.4000000000003</v>
      </c>
      <c r="X432" s="26">
        <v>1</v>
      </c>
      <c r="Y432" s="27">
        <v>2.62</v>
      </c>
      <c r="Z432" s="23">
        <v>4</v>
      </c>
      <c r="AA432" s="28">
        <v>0.65500000000000003</v>
      </c>
      <c r="AB432" s="24">
        <v>0</v>
      </c>
      <c r="AC432" s="29">
        <v>0</v>
      </c>
      <c r="AD432" s="30">
        <v>43567</v>
      </c>
      <c r="AE432" s="30">
        <v>43570</v>
      </c>
      <c r="AF432" s="23">
        <v>1</v>
      </c>
      <c r="AG432" s="25" t="s">
        <v>56</v>
      </c>
      <c r="AH432" s="24">
        <v>0</v>
      </c>
      <c r="AI432" s="31">
        <v>0</v>
      </c>
      <c r="AJ432" s="31">
        <v>0</v>
      </c>
      <c r="AK432" s="44">
        <f t="shared" si="12"/>
        <v>1258.4000000000003</v>
      </c>
      <c r="AL432">
        <f>VLOOKUP(A432,'[1]prueba con 16mil datos'!$A$1:$AE$804,31,FALSE)</f>
        <v>1730.3</v>
      </c>
      <c r="AM432">
        <f t="shared" si="13"/>
        <v>0</v>
      </c>
      <c r="AO432">
        <f>VLOOKUP(A432,'[1]Prueba con 19mil datos'!$B$1:$AF$1228,31,FALSE)</f>
        <v>1730.3</v>
      </c>
    </row>
    <row r="433" spans="1:44" hidden="1" x14ac:dyDescent="0.25">
      <c r="A433" s="16" t="s">
        <v>2152</v>
      </c>
      <c r="B433" s="15" t="s">
        <v>40</v>
      </c>
      <c r="C433" s="16">
        <v>1</v>
      </c>
      <c r="D433" s="16" t="s">
        <v>1918</v>
      </c>
      <c r="E433" s="17" t="s">
        <v>42</v>
      </c>
      <c r="F433" s="18" t="s">
        <v>374</v>
      </c>
      <c r="G433" s="18" t="s">
        <v>1919</v>
      </c>
      <c r="H433" s="16" t="s">
        <v>377</v>
      </c>
      <c r="I433" s="19" t="s">
        <v>3</v>
      </c>
      <c r="J433" s="16" t="s">
        <v>12</v>
      </c>
      <c r="K433" s="20" t="s">
        <v>378</v>
      </c>
      <c r="L433" s="20" t="s">
        <v>379</v>
      </c>
      <c r="M433" s="16" t="s">
        <v>128</v>
      </c>
      <c r="N433" s="16">
        <v>0</v>
      </c>
      <c r="O433" s="16" t="s">
        <v>50</v>
      </c>
      <c r="P433" s="20">
        <v>11</v>
      </c>
      <c r="Q433" s="20" t="s">
        <v>65</v>
      </c>
      <c r="R433" s="21" t="s">
        <v>129</v>
      </c>
      <c r="S433" s="22" t="s">
        <v>130</v>
      </c>
      <c r="T433" s="22" t="s">
        <v>54</v>
      </c>
      <c r="U433" s="23" t="s">
        <v>131</v>
      </c>
      <c r="V433" s="24">
        <v>0.6</v>
      </c>
      <c r="W433" s="25">
        <v>819</v>
      </c>
      <c r="X433" s="26">
        <v>1</v>
      </c>
      <c r="Y433" s="27">
        <v>0</v>
      </c>
      <c r="Z433" s="23">
        <v>5</v>
      </c>
      <c r="AA433" s="28">
        <v>0</v>
      </c>
      <c r="AB433" s="24">
        <v>0</v>
      </c>
      <c r="AC433" s="29">
        <v>0</v>
      </c>
      <c r="AD433" s="30">
        <v>43567</v>
      </c>
      <c r="AE433" s="30">
        <v>43570</v>
      </c>
      <c r="AF433" s="23">
        <v>1</v>
      </c>
      <c r="AG433" s="25" t="s">
        <v>56</v>
      </c>
      <c r="AH433" s="24">
        <v>0</v>
      </c>
      <c r="AI433" s="31">
        <v>0</v>
      </c>
      <c r="AJ433" s="31">
        <v>0</v>
      </c>
      <c r="AK433" s="44">
        <f t="shared" si="12"/>
        <v>819</v>
      </c>
      <c r="AL433">
        <f>VLOOKUP(A433,'[1]prueba con 16mil datos'!$A$1:$AE$804,31,FALSE)</f>
        <v>1258.4000000000001</v>
      </c>
      <c r="AM433">
        <f t="shared" si="13"/>
        <v>0</v>
      </c>
      <c r="AO433">
        <f>VLOOKUP(A433,'[1]Prueba con 19mil datos'!$B$1:$AF$1228,31,FALSE)</f>
        <v>1258.4000000000001</v>
      </c>
    </row>
    <row r="434" spans="1:44" hidden="1" x14ac:dyDescent="0.25">
      <c r="A434" s="16" t="s">
        <v>1556</v>
      </c>
      <c r="B434" s="15" t="s">
        <v>40</v>
      </c>
      <c r="C434" s="16">
        <v>1</v>
      </c>
      <c r="D434" s="16" t="s">
        <v>1864</v>
      </c>
      <c r="E434" s="17" t="s">
        <v>42</v>
      </c>
      <c r="F434" s="18" t="s">
        <v>204</v>
      </c>
      <c r="G434" s="18" t="s">
        <v>1865</v>
      </c>
      <c r="H434" s="16" t="s">
        <v>143</v>
      </c>
      <c r="I434" s="19" t="s">
        <v>3</v>
      </c>
      <c r="J434" s="16" t="s">
        <v>12</v>
      </c>
      <c r="K434" s="20" t="s">
        <v>1632</v>
      </c>
      <c r="L434" s="20" t="s">
        <v>1633</v>
      </c>
      <c r="M434" s="16" t="s">
        <v>850</v>
      </c>
      <c r="N434" s="16">
        <v>0</v>
      </c>
      <c r="O434" s="16" t="s">
        <v>50</v>
      </c>
      <c r="P434" s="20">
        <v>24</v>
      </c>
      <c r="Q434" s="20" t="s">
        <v>119</v>
      </c>
      <c r="R434" s="21" t="s">
        <v>129</v>
      </c>
      <c r="S434" s="22" t="s">
        <v>130</v>
      </c>
      <c r="T434" s="22" t="s">
        <v>54</v>
      </c>
      <c r="U434" s="23" t="s">
        <v>164</v>
      </c>
      <c r="V434" s="24">
        <v>0.8</v>
      </c>
      <c r="W434" s="25">
        <v>1092</v>
      </c>
      <c r="X434" s="26">
        <v>1</v>
      </c>
      <c r="Y434" s="27">
        <v>4.0199999999999996</v>
      </c>
      <c r="Z434" s="23">
        <v>5</v>
      </c>
      <c r="AA434" s="28">
        <v>0.80399999999999994</v>
      </c>
      <c r="AB434" s="24">
        <v>0</v>
      </c>
      <c r="AC434" s="29">
        <v>0</v>
      </c>
      <c r="AD434" s="30">
        <v>43567</v>
      </c>
      <c r="AE434" s="30">
        <v>43567</v>
      </c>
      <c r="AF434" s="23">
        <v>0</v>
      </c>
      <c r="AG434" s="25" t="s">
        <v>56</v>
      </c>
      <c r="AH434" s="24">
        <v>0</v>
      </c>
      <c r="AI434" s="31">
        <v>0</v>
      </c>
      <c r="AJ434" s="31">
        <v>0</v>
      </c>
      <c r="AK434" s="44">
        <f t="shared" si="12"/>
        <v>1092</v>
      </c>
      <c r="AL434">
        <f>VLOOKUP(A434,'[1]prueba con 16mil datos'!$A$1:$AE$804,31,FALSE)</f>
        <v>1651.65</v>
      </c>
      <c r="AM434">
        <f t="shared" si="13"/>
        <v>0</v>
      </c>
      <c r="AO434">
        <f>VLOOKUP(A434,'[1]Prueba con 19mil datos'!$B$1:$AF$1228,31,FALSE)</f>
        <v>1258.4000000000001</v>
      </c>
    </row>
    <row r="435" spans="1:44" hidden="1" x14ac:dyDescent="0.25">
      <c r="A435" s="16" t="s">
        <v>2174</v>
      </c>
      <c r="B435" s="15" t="s">
        <v>40</v>
      </c>
      <c r="C435" s="16">
        <v>1</v>
      </c>
      <c r="D435" s="16" t="s">
        <v>1848</v>
      </c>
      <c r="E435" s="17" t="s">
        <v>42</v>
      </c>
      <c r="F435" s="18" t="s">
        <v>122</v>
      </c>
      <c r="G435" s="18" t="s">
        <v>1849</v>
      </c>
      <c r="H435" s="16" t="s">
        <v>621</v>
      </c>
      <c r="I435" s="19" t="s">
        <v>3</v>
      </c>
      <c r="J435" s="16" t="s">
        <v>12</v>
      </c>
      <c r="K435" s="20" t="s">
        <v>126</v>
      </c>
      <c r="L435" s="20" t="s">
        <v>446</v>
      </c>
      <c r="M435" s="16" t="s">
        <v>447</v>
      </c>
      <c r="N435" s="16">
        <v>0</v>
      </c>
      <c r="O435" s="16" t="s">
        <v>50</v>
      </c>
      <c r="P435" s="20">
        <v>2</v>
      </c>
      <c r="Q435" s="20" t="s">
        <v>147</v>
      </c>
      <c r="R435" s="21" t="s">
        <v>129</v>
      </c>
      <c r="S435" s="22" t="s">
        <v>130</v>
      </c>
      <c r="T435" s="22" t="s">
        <v>54</v>
      </c>
      <c r="U435" s="23" t="s">
        <v>149</v>
      </c>
      <c r="V435" s="24">
        <v>0</v>
      </c>
      <c r="W435" s="25">
        <v>0</v>
      </c>
      <c r="X435" s="26">
        <v>1</v>
      </c>
      <c r="Y435" s="27">
        <v>2.13</v>
      </c>
      <c r="Z435" s="23">
        <v>5</v>
      </c>
      <c r="AA435" s="28">
        <v>0.42599999999999999</v>
      </c>
      <c r="AB435" s="24">
        <v>0</v>
      </c>
      <c r="AC435" s="29">
        <v>0</v>
      </c>
      <c r="AD435" s="30">
        <v>43567</v>
      </c>
      <c r="AE435" s="30">
        <v>43567</v>
      </c>
      <c r="AF435" s="23">
        <v>0</v>
      </c>
      <c r="AG435" s="25" t="s">
        <v>56</v>
      </c>
      <c r="AH435" s="24">
        <v>0</v>
      </c>
      <c r="AI435" s="31">
        <v>0</v>
      </c>
      <c r="AJ435" s="31">
        <v>0</v>
      </c>
      <c r="AK435" s="44">
        <f t="shared" si="12"/>
        <v>0</v>
      </c>
      <c r="AL435">
        <f>VLOOKUP(A435,'[1]prueba con 16mil datos'!$A$1:$AE$804,31,FALSE)</f>
        <v>1808.95</v>
      </c>
      <c r="AM435">
        <f t="shared" si="13"/>
        <v>0</v>
      </c>
      <c r="AO435">
        <f>VLOOKUP(A435,'[1]Prueba con 19mil datos'!$B$1:$AF$1228,31,FALSE)</f>
        <v>1808.95</v>
      </c>
    </row>
    <row r="436" spans="1:44" hidden="1" x14ac:dyDescent="0.25">
      <c r="A436" s="16" t="s">
        <v>197</v>
      </c>
      <c r="B436" s="15" t="s">
        <v>40</v>
      </c>
      <c r="C436" s="16">
        <v>1</v>
      </c>
      <c r="D436" s="16" t="s">
        <v>1900</v>
      </c>
      <c r="E436" s="17" t="s">
        <v>42</v>
      </c>
      <c r="F436" s="18" t="s">
        <v>122</v>
      </c>
      <c r="G436" s="18" t="s">
        <v>1901</v>
      </c>
      <c r="H436" s="16" t="s">
        <v>331</v>
      </c>
      <c r="I436" s="19" t="s">
        <v>3</v>
      </c>
      <c r="J436" s="16" t="s">
        <v>12</v>
      </c>
      <c r="K436" s="20" t="s">
        <v>198</v>
      </c>
      <c r="L436" s="20" t="s">
        <v>963</v>
      </c>
      <c r="M436" s="16" t="s">
        <v>414</v>
      </c>
      <c r="N436" s="16">
        <v>0</v>
      </c>
      <c r="O436" s="16" t="s">
        <v>50</v>
      </c>
      <c r="P436" s="20">
        <v>8</v>
      </c>
      <c r="Q436" s="20" t="s">
        <v>65</v>
      </c>
      <c r="R436" s="21" t="s">
        <v>129</v>
      </c>
      <c r="S436" s="22" t="s">
        <v>130</v>
      </c>
      <c r="T436" s="22" t="s">
        <v>54</v>
      </c>
      <c r="U436" s="23" t="s">
        <v>131</v>
      </c>
      <c r="V436" s="24">
        <v>0.6</v>
      </c>
      <c r="W436" s="25">
        <v>819</v>
      </c>
      <c r="X436" s="26">
        <v>1</v>
      </c>
      <c r="Y436" s="27">
        <v>3.5</v>
      </c>
      <c r="Z436" s="23">
        <v>5</v>
      </c>
      <c r="AA436" s="28">
        <v>0.7</v>
      </c>
      <c r="AB436" s="24">
        <v>0</v>
      </c>
      <c r="AC436" s="29">
        <v>0</v>
      </c>
      <c r="AD436" s="30">
        <v>43567</v>
      </c>
      <c r="AE436" s="30">
        <v>43570</v>
      </c>
      <c r="AF436" s="23">
        <v>1</v>
      </c>
      <c r="AG436" s="25" t="s">
        <v>56</v>
      </c>
      <c r="AH436" s="24">
        <v>0</v>
      </c>
      <c r="AI436" s="31">
        <v>0</v>
      </c>
      <c r="AJ436" s="31">
        <v>0</v>
      </c>
      <c r="AK436" s="44">
        <f t="shared" si="12"/>
        <v>819</v>
      </c>
      <c r="AL436">
        <f>VLOOKUP(A436,'[1]prueba con 16mil datos'!$A$1:$AE$804,31,FALSE)</f>
        <v>943.8</v>
      </c>
      <c r="AM436">
        <f t="shared" si="13"/>
        <v>0</v>
      </c>
      <c r="AO436">
        <f>VLOOKUP(A436,'[1]Prueba con 19mil datos'!$B$1:$AF$1228,31,FALSE)</f>
        <v>943.8</v>
      </c>
    </row>
    <row r="437" spans="1:44" hidden="1" x14ac:dyDescent="0.25">
      <c r="A437" s="16" t="s">
        <v>197</v>
      </c>
      <c r="B437" s="15" t="s">
        <v>40</v>
      </c>
      <c r="C437" s="16">
        <v>1</v>
      </c>
      <c r="D437" s="16" t="s">
        <v>1798</v>
      </c>
      <c r="E437" s="17" t="s">
        <v>42</v>
      </c>
      <c r="F437" s="18" t="s">
        <v>122</v>
      </c>
      <c r="G437" s="18" t="s">
        <v>1799</v>
      </c>
      <c r="H437" s="16" t="s">
        <v>660</v>
      </c>
      <c r="I437" s="19" t="s">
        <v>3</v>
      </c>
      <c r="J437" s="16" t="s">
        <v>12</v>
      </c>
      <c r="K437" s="20" t="s">
        <v>198</v>
      </c>
      <c r="L437" s="20" t="s">
        <v>546</v>
      </c>
      <c r="M437" s="16" t="s">
        <v>372</v>
      </c>
      <c r="N437" s="16">
        <v>0</v>
      </c>
      <c r="O437" s="16" t="s">
        <v>50</v>
      </c>
      <c r="P437" s="20">
        <v>10</v>
      </c>
      <c r="Q437" s="20" t="s">
        <v>65</v>
      </c>
      <c r="R437" s="21" t="s">
        <v>129</v>
      </c>
      <c r="S437" s="22" t="s">
        <v>130</v>
      </c>
      <c r="T437" s="22" t="s">
        <v>54</v>
      </c>
      <c r="U437" s="23" t="s">
        <v>131</v>
      </c>
      <c r="V437" s="24">
        <v>0.6</v>
      </c>
      <c r="W437" s="25">
        <v>819</v>
      </c>
      <c r="X437" s="26">
        <v>1</v>
      </c>
      <c r="Y437" s="27">
        <v>1.22</v>
      </c>
      <c r="Z437" s="23">
        <v>5</v>
      </c>
      <c r="AA437" s="28">
        <v>0.24399999999999999</v>
      </c>
      <c r="AB437" s="24">
        <v>0</v>
      </c>
      <c r="AC437" s="29">
        <v>0</v>
      </c>
      <c r="AD437" s="30">
        <v>43567</v>
      </c>
      <c r="AE437" s="30">
        <v>43567</v>
      </c>
      <c r="AF437" s="23">
        <v>0</v>
      </c>
      <c r="AG437" s="25" t="s">
        <v>56</v>
      </c>
      <c r="AH437" s="24">
        <v>0</v>
      </c>
      <c r="AI437" s="31">
        <v>0</v>
      </c>
      <c r="AJ437" s="31">
        <v>0</v>
      </c>
      <c r="AK437" s="44">
        <f t="shared" si="12"/>
        <v>819</v>
      </c>
      <c r="AL437">
        <f>VLOOKUP(A437,'[1]prueba con 16mil datos'!$A$1:$AE$804,31,FALSE)</f>
        <v>943.8</v>
      </c>
      <c r="AM437">
        <f t="shared" si="13"/>
        <v>0</v>
      </c>
      <c r="AO437">
        <f>VLOOKUP(A437,'[1]Prueba con 19mil datos'!$B$1:$AF$1228,31,FALSE)</f>
        <v>943.8</v>
      </c>
    </row>
    <row r="438" spans="1:44" hidden="1" x14ac:dyDescent="0.25">
      <c r="A438" s="16" t="s">
        <v>3015</v>
      </c>
      <c r="B438" s="15" t="s">
        <v>40</v>
      </c>
      <c r="C438" s="16">
        <v>1</v>
      </c>
      <c r="D438" s="16" t="s">
        <v>1794</v>
      </c>
      <c r="E438" s="17" t="s">
        <v>42</v>
      </c>
      <c r="F438" s="18" t="s">
        <v>715</v>
      </c>
      <c r="G438" s="18" t="s">
        <v>1795</v>
      </c>
      <c r="H438" s="16" t="s">
        <v>821</v>
      </c>
      <c r="I438" s="19" t="s">
        <v>3</v>
      </c>
      <c r="J438" s="16" t="s">
        <v>12</v>
      </c>
      <c r="K438" s="20" t="s">
        <v>154</v>
      </c>
      <c r="L438" s="20" t="s">
        <v>1797</v>
      </c>
      <c r="M438" s="16" t="s">
        <v>993</v>
      </c>
      <c r="N438" s="16">
        <v>0</v>
      </c>
      <c r="O438" s="16" t="s">
        <v>50</v>
      </c>
      <c r="P438" s="20">
        <v>26</v>
      </c>
      <c r="Q438" s="20" t="s">
        <v>119</v>
      </c>
      <c r="R438" s="21" t="s">
        <v>77</v>
      </c>
      <c r="S438" s="22" t="s">
        <v>53</v>
      </c>
      <c r="T438" s="22" t="s">
        <v>54</v>
      </c>
      <c r="U438" s="23" t="s">
        <v>120</v>
      </c>
      <c r="V438" s="24">
        <v>0.6</v>
      </c>
      <c r="W438" s="25">
        <v>429.00000000000006</v>
      </c>
      <c r="X438" s="26">
        <v>1</v>
      </c>
      <c r="Y438" s="27">
        <v>1.32</v>
      </c>
      <c r="Z438" s="23">
        <v>5</v>
      </c>
      <c r="AA438" s="28">
        <v>0.26400000000000001</v>
      </c>
      <c r="AB438" s="24">
        <v>0</v>
      </c>
      <c r="AC438" s="29">
        <v>0</v>
      </c>
      <c r="AD438" s="30">
        <v>43567</v>
      </c>
      <c r="AE438" s="30">
        <v>43567</v>
      </c>
      <c r="AF438" s="23">
        <v>0</v>
      </c>
      <c r="AG438" s="25" t="s">
        <v>56</v>
      </c>
      <c r="AH438" s="24">
        <v>0</v>
      </c>
      <c r="AI438" s="31">
        <v>0</v>
      </c>
      <c r="AJ438" s="31">
        <v>0</v>
      </c>
      <c r="AK438" s="44">
        <f t="shared" si="12"/>
        <v>429.00000000000006</v>
      </c>
      <c r="AL438" t="e">
        <f>VLOOKUP(A438,'[1]prueba con 16mil datos'!$A$1:$AE$804,31,FALSE)</f>
        <v>#N/A</v>
      </c>
      <c r="AM438" t="e">
        <f t="shared" si="13"/>
        <v>#N/A</v>
      </c>
      <c r="AO438">
        <f>VLOOKUP(A438,'[1]Prueba con 19mil datos'!$B$1:$AF$1228,31,FALSE)</f>
        <v>0</v>
      </c>
    </row>
    <row r="439" spans="1:44" hidden="1" x14ac:dyDescent="0.25">
      <c r="A439" s="16" t="s">
        <v>1141</v>
      </c>
      <c r="B439" s="15" t="s">
        <v>40</v>
      </c>
      <c r="C439" s="16">
        <v>1</v>
      </c>
      <c r="D439" s="16" t="s">
        <v>1884</v>
      </c>
      <c r="E439" s="17" t="s">
        <v>42</v>
      </c>
      <c r="F439" s="18" t="s">
        <v>1429</v>
      </c>
      <c r="G439" s="18" t="s">
        <v>1885</v>
      </c>
      <c r="H439" s="16" t="s">
        <v>377</v>
      </c>
      <c r="I439" s="19" t="s">
        <v>3</v>
      </c>
      <c r="J439" s="16" t="s">
        <v>12</v>
      </c>
      <c r="K439" s="20" t="s">
        <v>378</v>
      </c>
      <c r="L439" s="20" t="s">
        <v>1887</v>
      </c>
      <c r="M439" s="16" t="s">
        <v>1888</v>
      </c>
      <c r="N439" s="16">
        <v>0</v>
      </c>
      <c r="O439" s="16" t="s">
        <v>50</v>
      </c>
      <c r="P439" s="20">
        <v>56</v>
      </c>
      <c r="Q439" s="20" t="s">
        <v>86</v>
      </c>
      <c r="R439" s="21" t="s">
        <v>225</v>
      </c>
      <c r="S439" s="22" t="s">
        <v>130</v>
      </c>
      <c r="T439" s="22" t="s">
        <v>54</v>
      </c>
      <c r="U439" s="23" t="s">
        <v>178</v>
      </c>
      <c r="V439" s="24">
        <v>1.05</v>
      </c>
      <c r="W439" s="25">
        <v>1433.25</v>
      </c>
      <c r="X439" s="26">
        <v>1</v>
      </c>
      <c r="Y439" s="27">
        <v>1.45</v>
      </c>
      <c r="Z439" s="23">
        <v>5</v>
      </c>
      <c r="AA439" s="28">
        <v>0.28999999999999998</v>
      </c>
      <c r="AB439" s="24">
        <v>0</v>
      </c>
      <c r="AC439" s="29">
        <v>0</v>
      </c>
      <c r="AD439" s="30">
        <v>43567</v>
      </c>
      <c r="AE439" s="30">
        <v>43567</v>
      </c>
      <c r="AF439" s="23">
        <v>0</v>
      </c>
      <c r="AG439" s="25" t="s">
        <v>56</v>
      </c>
      <c r="AH439" s="24">
        <v>0</v>
      </c>
      <c r="AI439" s="31">
        <v>0</v>
      </c>
      <c r="AJ439" s="31">
        <v>0</v>
      </c>
      <c r="AK439" s="44">
        <f t="shared" si="12"/>
        <v>1433.25</v>
      </c>
      <c r="AL439" t="e">
        <f>VLOOKUP(A439,'[1]prueba con 16mil datos'!$A$1:$AE$804,31,FALSE)</f>
        <v>#N/A</v>
      </c>
      <c r="AM439" t="e">
        <f t="shared" si="13"/>
        <v>#N/A</v>
      </c>
      <c r="AO439">
        <f>VLOOKUP(A439,'[1]Prueba con 19mil datos'!$B$1:$AF$1228,31,FALSE)</f>
        <v>1808.95</v>
      </c>
    </row>
    <row r="440" spans="1:44" x14ac:dyDescent="0.25">
      <c r="A440" s="16" t="s">
        <v>809</v>
      </c>
      <c r="B440" s="15" t="s">
        <v>40</v>
      </c>
      <c r="C440" s="16">
        <v>1</v>
      </c>
      <c r="D440" s="16" t="s">
        <v>1855</v>
      </c>
      <c r="E440" s="17" t="s">
        <v>42</v>
      </c>
      <c r="F440" s="18" t="s">
        <v>471</v>
      </c>
      <c r="G440" s="18" t="s">
        <v>1856</v>
      </c>
      <c r="H440" s="16" t="s">
        <v>301</v>
      </c>
      <c r="I440" s="19" t="s">
        <v>3</v>
      </c>
      <c r="J440" s="16" t="s">
        <v>12</v>
      </c>
      <c r="K440" s="20" t="s">
        <v>265</v>
      </c>
      <c r="L440" s="20" t="s">
        <v>474</v>
      </c>
      <c r="M440" s="16" t="s">
        <v>267</v>
      </c>
      <c r="N440" s="16">
        <v>0</v>
      </c>
      <c r="O440" s="16" t="s">
        <v>50</v>
      </c>
      <c r="P440" s="20">
        <v>14</v>
      </c>
      <c r="Q440" s="20" t="s">
        <v>65</v>
      </c>
      <c r="R440" s="21" t="s">
        <v>186</v>
      </c>
      <c r="S440" s="22" t="s">
        <v>187</v>
      </c>
      <c r="T440" s="22" t="s">
        <v>54</v>
      </c>
      <c r="U440" s="23" t="s">
        <v>201</v>
      </c>
      <c r="V440" s="24">
        <v>0.8</v>
      </c>
      <c r="W440" s="25">
        <v>1258.4000000000003</v>
      </c>
      <c r="X440" s="26">
        <v>1</v>
      </c>
      <c r="Y440" s="27">
        <v>0.43</v>
      </c>
      <c r="Z440" s="23">
        <v>4</v>
      </c>
      <c r="AA440" s="28">
        <v>0.1075</v>
      </c>
      <c r="AB440" s="24">
        <v>0</v>
      </c>
      <c r="AC440" s="29">
        <v>0</v>
      </c>
      <c r="AD440" s="30">
        <v>43567</v>
      </c>
      <c r="AE440" s="30">
        <v>43567</v>
      </c>
      <c r="AF440" s="23">
        <v>0</v>
      </c>
      <c r="AG440" s="25" t="s">
        <v>56</v>
      </c>
      <c r="AH440" s="24">
        <v>0</v>
      </c>
      <c r="AI440" s="31">
        <v>0</v>
      </c>
      <c r="AJ440" s="31">
        <v>0</v>
      </c>
      <c r="AK440" s="44">
        <f t="shared" si="12"/>
        <v>1258.4000000000003</v>
      </c>
      <c r="AL440" t="e">
        <f>VLOOKUP(A440,'[1]prueba con 16mil datos'!$A$1:$AE$804,31,FALSE)</f>
        <v>#N/A</v>
      </c>
      <c r="AM440" t="e">
        <f t="shared" si="13"/>
        <v>#N/A</v>
      </c>
      <c r="AO440" t="e">
        <f>VLOOKUP(A440,'[1]Prueba con 19mil datos'!$B$1:$AF$1228,31,FALSE)</f>
        <v>#N/A</v>
      </c>
      <c r="AP440" t="s">
        <v>3211</v>
      </c>
      <c r="AQ440" s="48">
        <v>43558.559027777803</v>
      </c>
      <c r="AR440" t="s">
        <v>3210</v>
      </c>
    </row>
    <row r="441" spans="1:44" hidden="1" x14ac:dyDescent="0.25">
      <c r="A441" s="16" t="s">
        <v>1420</v>
      </c>
      <c r="B441" s="15" t="s">
        <v>40</v>
      </c>
      <c r="C441" s="16">
        <v>1</v>
      </c>
      <c r="D441" s="16" t="s">
        <v>1914</v>
      </c>
      <c r="E441" s="17" t="s">
        <v>42</v>
      </c>
      <c r="F441" s="18" t="s">
        <v>305</v>
      </c>
      <c r="G441" s="18" t="s">
        <v>1915</v>
      </c>
      <c r="H441" s="16" t="s">
        <v>125</v>
      </c>
      <c r="I441" s="19" t="s">
        <v>3</v>
      </c>
      <c r="J441" s="16" t="s">
        <v>12</v>
      </c>
      <c r="K441" s="20" t="s">
        <v>83</v>
      </c>
      <c r="L441" s="20" t="s">
        <v>1917</v>
      </c>
      <c r="M441" s="16" t="s">
        <v>105</v>
      </c>
      <c r="N441" s="16">
        <v>0</v>
      </c>
      <c r="O441" s="16" t="s">
        <v>50</v>
      </c>
      <c r="P441" s="20">
        <v>155</v>
      </c>
      <c r="Q441" s="20" t="s">
        <v>51</v>
      </c>
      <c r="R441" s="21" t="s">
        <v>148</v>
      </c>
      <c r="S441" s="22" t="s">
        <v>130</v>
      </c>
      <c r="T441" s="22" t="s">
        <v>54</v>
      </c>
      <c r="U441" s="23" t="s">
        <v>226</v>
      </c>
      <c r="V441" s="24">
        <v>1.1000000000000001</v>
      </c>
      <c r="W441" s="25">
        <v>1501.5000000000002</v>
      </c>
      <c r="X441" s="26">
        <v>1</v>
      </c>
      <c r="Y441" s="27">
        <v>0.56999999999999995</v>
      </c>
      <c r="Z441" s="23">
        <v>5</v>
      </c>
      <c r="AA441" s="28">
        <v>0.11399999999999999</v>
      </c>
      <c r="AB441" s="24">
        <v>0</v>
      </c>
      <c r="AC441" s="29">
        <v>0</v>
      </c>
      <c r="AD441" s="30">
        <v>43567</v>
      </c>
      <c r="AE441" s="30">
        <v>43570</v>
      </c>
      <c r="AF441" s="23">
        <v>1</v>
      </c>
      <c r="AG441" s="25" t="s">
        <v>56</v>
      </c>
      <c r="AH441" s="24">
        <v>0</v>
      </c>
      <c r="AI441" s="31">
        <v>0</v>
      </c>
      <c r="AJ441" s="31">
        <v>0</v>
      </c>
      <c r="AK441" s="44">
        <f t="shared" si="12"/>
        <v>1501.5000000000002</v>
      </c>
      <c r="AL441">
        <f>VLOOKUP(A441,'[1]prueba con 16mil datos'!$A$1:$AE$804,31,FALSE)</f>
        <v>819</v>
      </c>
      <c r="AM441">
        <f t="shared" si="13"/>
        <v>0</v>
      </c>
      <c r="AO441">
        <f>VLOOKUP(A441,'[1]Prueba con 19mil datos'!$B$1:$AF$1228,31,FALSE)</f>
        <v>819</v>
      </c>
    </row>
    <row r="442" spans="1:44" hidden="1" x14ac:dyDescent="0.25">
      <c r="A442" s="16" t="s">
        <v>1420</v>
      </c>
      <c r="B442" s="15" t="s">
        <v>40</v>
      </c>
      <c r="C442" s="16">
        <v>1</v>
      </c>
      <c r="D442" s="16" t="s">
        <v>1779</v>
      </c>
      <c r="E442" s="17" t="s">
        <v>42</v>
      </c>
      <c r="F442" s="18" t="s">
        <v>290</v>
      </c>
      <c r="G442" s="18" t="s">
        <v>1780</v>
      </c>
      <c r="H442" s="16" t="s">
        <v>346</v>
      </c>
      <c r="I442" s="19" t="s">
        <v>3</v>
      </c>
      <c r="J442" s="16" t="s">
        <v>12</v>
      </c>
      <c r="K442" s="20" t="s">
        <v>1782</v>
      </c>
      <c r="L442" s="20" t="s">
        <v>1783</v>
      </c>
      <c r="M442" s="16" t="s">
        <v>1784</v>
      </c>
      <c r="N442" s="16">
        <v>0</v>
      </c>
      <c r="O442" s="16" t="s">
        <v>50</v>
      </c>
      <c r="P442" s="20">
        <v>324</v>
      </c>
      <c r="Q442" s="20" t="s">
        <v>51</v>
      </c>
      <c r="R442" s="21" t="s">
        <v>129</v>
      </c>
      <c r="S442" s="22" t="s">
        <v>130</v>
      </c>
      <c r="T442" s="22" t="s">
        <v>54</v>
      </c>
      <c r="U442" s="23" t="s">
        <v>226</v>
      </c>
      <c r="V442" s="24">
        <v>1.1000000000000001</v>
      </c>
      <c r="W442" s="25">
        <v>1501.5000000000002</v>
      </c>
      <c r="X442" s="26">
        <v>1</v>
      </c>
      <c r="Y442" s="27">
        <v>1.3</v>
      </c>
      <c r="Z442" s="23">
        <v>5</v>
      </c>
      <c r="AA442" s="28">
        <v>0.26</v>
      </c>
      <c r="AB442" s="24">
        <v>0</v>
      </c>
      <c r="AC442" s="29">
        <v>0</v>
      </c>
      <c r="AD442" s="30">
        <v>43567</v>
      </c>
      <c r="AE442" s="30">
        <v>43567</v>
      </c>
      <c r="AF442" s="23">
        <v>0</v>
      </c>
      <c r="AG442" s="25" t="s">
        <v>56</v>
      </c>
      <c r="AH442" s="24">
        <v>0</v>
      </c>
      <c r="AI442" s="31">
        <v>0</v>
      </c>
      <c r="AJ442" s="31">
        <v>0</v>
      </c>
      <c r="AK442" s="44">
        <f t="shared" si="12"/>
        <v>1501.5000000000002</v>
      </c>
      <c r="AL442">
        <f>VLOOKUP(A442,'[1]prueba con 16mil datos'!$A$1:$AE$804,31,FALSE)</f>
        <v>819</v>
      </c>
      <c r="AM442">
        <f t="shared" si="13"/>
        <v>0</v>
      </c>
      <c r="AO442">
        <f>VLOOKUP(A442,'[1]Prueba con 19mil datos'!$B$1:$AF$1228,31,FALSE)</f>
        <v>819</v>
      </c>
    </row>
    <row r="443" spans="1:44" hidden="1" x14ac:dyDescent="0.25">
      <c r="A443" s="16" t="s">
        <v>376</v>
      </c>
      <c r="B443" s="15" t="s">
        <v>40</v>
      </c>
      <c r="C443" s="16">
        <v>1</v>
      </c>
      <c r="D443" s="16" t="s">
        <v>1789</v>
      </c>
      <c r="E443" s="17" t="s">
        <v>42</v>
      </c>
      <c r="F443" s="18" t="s">
        <v>501</v>
      </c>
      <c r="G443" s="18" t="s">
        <v>1790</v>
      </c>
      <c r="H443" s="16" t="s">
        <v>693</v>
      </c>
      <c r="I443" s="19" t="s">
        <v>3</v>
      </c>
      <c r="J443" s="16" t="s">
        <v>12</v>
      </c>
      <c r="K443" s="20" t="s">
        <v>198</v>
      </c>
      <c r="L443" s="20" t="s">
        <v>1792</v>
      </c>
      <c r="M443" s="16" t="s">
        <v>1793</v>
      </c>
      <c r="N443" s="16">
        <v>0</v>
      </c>
      <c r="O443" s="16" t="s">
        <v>50</v>
      </c>
      <c r="P443" s="20">
        <v>36</v>
      </c>
      <c r="Q443" s="20" t="s">
        <v>86</v>
      </c>
      <c r="R443" s="21" t="s">
        <v>129</v>
      </c>
      <c r="S443" s="22" t="s">
        <v>130</v>
      </c>
      <c r="T443" s="22" t="s">
        <v>54</v>
      </c>
      <c r="U443" s="23" t="s">
        <v>178</v>
      </c>
      <c r="V443" s="24">
        <v>1.05</v>
      </c>
      <c r="W443" s="25">
        <v>1433.25</v>
      </c>
      <c r="X443" s="26">
        <v>1</v>
      </c>
      <c r="Y443" s="27">
        <v>1.6</v>
      </c>
      <c r="Z443" s="23">
        <v>5</v>
      </c>
      <c r="AA443" s="28">
        <v>0.32</v>
      </c>
      <c r="AB443" s="24">
        <v>0</v>
      </c>
      <c r="AC443" s="29">
        <v>0</v>
      </c>
      <c r="AD443" s="30">
        <v>43567</v>
      </c>
      <c r="AE443" s="30">
        <v>43567</v>
      </c>
      <c r="AF443" s="23">
        <v>0</v>
      </c>
      <c r="AG443" s="25" t="s">
        <v>56</v>
      </c>
      <c r="AH443" s="24">
        <v>0</v>
      </c>
      <c r="AI443" s="31">
        <v>0</v>
      </c>
      <c r="AJ443" s="31">
        <v>0</v>
      </c>
      <c r="AK443" s="44">
        <f t="shared" si="12"/>
        <v>1433.25</v>
      </c>
      <c r="AL443">
        <f>VLOOKUP(A443,'[1]prueba con 16mil datos'!$A$1:$AE$804,31,FALSE)</f>
        <v>819</v>
      </c>
      <c r="AM443">
        <f t="shared" si="13"/>
        <v>0</v>
      </c>
      <c r="AO443">
        <f>VLOOKUP(A443,'[1]Prueba con 19mil datos'!$B$1:$AF$1228,31,FALSE)</f>
        <v>0</v>
      </c>
    </row>
    <row r="444" spans="1:44" hidden="1" x14ac:dyDescent="0.25">
      <c r="A444" s="16" t="s">
        <v>376</v>
      </c>
      <c r="B444" s="15" t="s">
        <v>40</v>
      </c>
      <c r="C444" s="16">
        <v>1</v>
      </c>
      <c r="D444" s="16" t="s">
        <v>1857</v>
      </c>
      <c r="E444" s="17" t="s">
        <v>42</v>
      </c>
      <c r="F444" s="18" t="s">
        <v>759</v>
      </c>
      <c r="G444" s="18" t="s">
        <v>1858</v>
      </c>
      <c r="H444" s="16" t="s">
        <v>404</v>
      </c>
      <c r="I444" s="19" t="s">
        <v>3</v>
      </c>
      <c r="J444" s="16" t="s">
        <v>12</v>
      </c>
      <c r="K444" s="20" t="s">
        <v>405</v>
      </c>
      <c r="L444" s="20" t="s">
        <v>406</v>
      </c>
      <c r="M444" s="16" t="s">
        <v>407</v>
      </c>
      <c r="N444" s="16">
        <v>0</v>
      </c>
      <c r="O444" s="16" t="s">
        <v>50</v>
      </c>
      <c r="P444" s="20">
        <v>87</v>
      </c>
      <c r="Q444" s="20" t="s">
        <v>51</v>
      </c>
      <c r="R444" s="21" t="s">
        <v>87</v>
      </c>
      <c r="S444" s="22" t="s">
        <v>53</v>
      </c>
      <c r="T444" s="22" t="s">
        <v>54</v>
      </c>
      <c r="U444" s="23" t="s">
        <v>55</v>
      </c>
      <c r="V444" s="24">
        <v>1.05</v>
      </c>
      <c r="W444" s="25">
        <v>750.75000000000011</v>
      </c>
      <c r="X444" s="26">
        <v>1</v>
      </c>
      <c r="Y444" s="27">
        <v>9.9</v>
      </c>
      <c r="Z444" s="23">
        <v>5</v>
      </c>
      <c r="AA444" s="28">
        <v>1.98</v>
      </c>
      <c r="AB444" s="24">
        <v>0.245</v>
      </c>
      <c r="AC444" s="29">
        <v>-175.17500000000001</v>
      </c>
      <c r="AD444" s="30">
        <v>43567</v>
      </c>
      <c r="AE444" s="30">
        <v>43567</v>
      </c>
      <c r="AF444" s="23">
        <v>0</v>
      </c>
      <c r="AG444" s="25" t="s">
        <v>56</v>
      </c>
      <c r="AH444" s="24">
        <v>0</v>
      </c>
      <c r="AI444" s="31">
        <v>0</v>
      </c>
      <c r="AJ444" s="31">
        <v>0</v>
      </c>
      <c r="AK444" s="44">
        <f t="shared" si="12"/>
        <v>575.57500000000005</v>
      </c>
      <c r="AL444">
        <f>VLOOKUP(A444,'[1]prueba con 16mil datos'!$A$1:$AE$804,31,FALSE)</f>
        <v>819</v>
      </c>
      <c r="AM444">
        <f t="shared" si="13"/>
        <v>0</v>
      </c>
      <c r="AO444">
        <f>VLOOKUP(A444,'[1]Prueba con 19mil datos'!$B$1:$AF$1228,31,FALSE)</f>
        <v>0</v>
      </c>
    </row>
    <row r="445" spans="1:44" hidden="1" x14ac:dyDescent="0.25">
      <c r="A445" s="16" t="s">
        <v>1973</v>
      </c>
      <c r="B445" s="15" t="s">
        <v>40</v>
      </c>
      <c r="C445" s="16">
        <v>1</v>
      </c>
      <c r="D445" s="16" t="s">
        <v>1940</v>
      </c>
      <c r="E445" s="17" t="s">
        <v>42</v>
      </c>
      <c r="F445" s="18" t="s">
        <v>271</v>
      </c>
      <c r="G445" s="18" t="s">
        <v>1941</v>
      </c>
      <c r="H445" s="16" t="s">
        <v>463</v>
      </c>
      <c r="I445" s="19" t="s">
        <v>3</v>
      </c>
      <c r="J445" s="16" t="s">
        <v>12</v>
      </c>
      <c r="K445" s="20" t="s">
        <v>126</v>
      </c>
      <c r="L445" s="20" t="s">
        <v>422</v>
      </c>
      <c r="M445" s="16" t="s">
        <v>76</v>
      </c>
      <c r="N445" s="16">
        <v>0</v>
      </c>
      <c r="O445" s="16" t="s">
        <v>50</v>
      </c>
      <c r="P445" s="20">
        <v>8</v>
      </c>
      <c r="Q445" s="20" t="s">
        <v>65</v>
      </c>
      <c r="R445" s="21" t="s">
        <v>186</v>
      </c>
      <c r="S445" s="22" t="s">
        <v>187</v>
      </c>
      <c r="T445" s="22" t="s">
        <v>54</v>
      </c>
      <c r="U445" s="23" t="s">
        <v>201</v>
      </c>
      <c r="V445" s="24">
        <v>0.8</v>
      </c>
      <c r="W445" s="25">
        <v>1258.4000000000003</v>
      </c>
      <c r="X445" s="26">
        <v>1</v>
      </c>
      <c r="Y445" s="27">
        <v>0.57999999999999996</v>
      </c>
      <c r="Z445" s="23">
        <v>4</v>
      </c>
      <c r="AA445" s="28">
        <v>0.14499999999999999</v>
      </c>
      <c r="AB445" s="24">
        <v>0</v>
      </c>
      <c r="AC445" s="29">
        <v>0</v>
      </c>
      <c r="AD445" s="30">
        <v>43567</v>
      </c>
      <c r="AE445" s="30">
        <v>43570</v>
      </c>
      <c r="AF445" s="23">
        <v>1</v>
      </c>
      <c r="AG445" s="25" t="s">
        <v>56</v>
      </c>
      <c r="AH445" s="24">
        <v>0</v>
      </c>
      <c r="AI445" s="31">
        <v>0</v>
      </c>
      <c r="AJ445" s="31">
        <v>0</v>
      </c>
      <c r="AK445" s="44">
        <f t="shared" si="12"/>
        <v>1258.4000000000003</v>
      </c>
      <c r="AL445">
        <f>VLOOKUP(A445,'[1]prueba con 16mil datos'!$A$1:$AE$804,31,FALSE)</f>
        <v>1473.06247725</v>
      </c>
      <c r="AM445">
        <f t="shared" si="13"/>
        <v>0</v>
      </c>
      <c r="AO445">
        <f>VLOOKUP(A445,'[1]Prueba con 19mil datos'!$B$1:$AF$1228,31,FALSE)</f>
        <v>1473.06247725</v>
      </c>
    </row>
    <row r="446" spans="1:44" hidden="1" x14ac:dyDescent="0.25">
      <c r="A446" s="16" t="s">
        <v>899</v>
      </c>
      <c r="B446" s="15" t="s">
        <v>40</v>
      </c>
      <c r="C446" s="16">
        <v>1</v>
      </c>
      <c r="D446" s="16" t="s">
        <v>1818</v>
      </c>
      <c r="E446" s="17" t="s">
        <v>42</v>
      </c>
      <c r="F446" s="18" t="s">
        <v>953</v>
      </c>
      <c r="G446" s="18" t="s">
        <v>1819</v>
      </c>
      <c r="H446" s="16" t="s">
        <v>516</v>
      </c>
      <c r="I446" s="19" t="s">
        <v>3</v>
      </c>
      <c r="J446" s="16" t="s">
        <v>12</v>
      </c>
      <c r="K446" s="20" t="s">
        <v>126</v>
      </c>
      <c r="L446" s="20" t="s">
        <v>956</v>
      </c>
      <c r="M446" s="16" t="s">
        <v>296</v>
      </c>
      <c r="N446" s="16">
        <v>0</v>
      </c>
      <c r="O446" s="16" t="s">
        <v>50</v>
      </c>
      <c r="P446" s="20">
        <v>5</v>
      </c>
      <c r="Q446" s="20" t="s">
        <v>311</v>
      </c>
      <c r="R446" s="21" t="s">
        <v>186</v>
      </c>
      <c r="S446" s="22" t="s">
        <v>187</v>
      </c>
      <c r="T446" s="22" t="s">
        <v>54</v>
      </c>
      <c r="U446" s="23" t="s">
        <v>362</v>
      </c>
      <c r="V446" s="24">
        <v>0.6</v>
      </c>
      <c r="W446" s="25">
        <v>943.80000000000007</v>
      </c>
      <c r="X446" s="26">
        <v>1</v>
      </c>
      <c r="Y446" s="27">
        <v>1.02</v>
      </c>
      <c r="Z446" s="23">
        <v>4</v>
      </c>
      <c r="AA446" s="28">
        <v>0.255</v>
      </c>
      <c r="AB446" s="24">
        <v>0</v>
      </c>
      <c r="AC446" s="29">
        <v>0</v>
      </c>
      <c r="AD446" s="30">
        <v>43567</v>
      </c>
      <c r="AE446" s="30">
        <v>43567</v>
      </c>
      <c r="AF446" s="23">
        <v>0</v>
      </c>
      <c r="AG446" s="25" t="s">
        <v>56</v>
      </c>
      <c r="AH446" s="24">
        <v>0</v>
      </c>
      <c r="AI446" s="31">
        <v>0</v>
      </c>
      <c r="AJ446" s="31">
        <v>0</v>
      </c>
      <c r="AK446" s="44">
        <f t="shared" si="12"/>
        <v>943.80000000000007</v>
      </c>
      <c r="AL446">
        <f>VLOOKUP(A446,'[1]prueba con 16mil datos'!$A$1:$AE$804,31,FALSE)</f>
        <v>1433.25</v>
      </c>
      <c r="AM446">
        <f t="shared" si="13"/>
        <v>0</v>
      </c>
      <c r="AO446">
        <f>VLOOKUP(A446,'[1]Prueba con 19mil datos'!$B$1:$AF$1228,31,FALSE)</f>
        <v>1433.25</v>
      </c>
    </row>
    <row r="447" spans="1:44" hidden="1" x14ac:dyDescent="0.25">
      <c r="A447" s="16" t="s">
        <v>1541</v>
      </c>
      <c r="B447" s="15" t="s">
        <v>40</v>
      </c>
      <c r="C447" s="16">
        <v>1</v>
      </c>
      <c r="D447" s="16" t="s">
        <v>1804</v>
      </c>
      <c r="E447" s="17" t="s">
        <v>42</v>
      </c>
      <c r="F447" s="18" t="s">
        <v>140</v>
      </c>
      <c r="G447" s="18" t="s">
        <v>1805</v>
      </c>
      <c r="H447" s="16" t="s">
        <v>293</v>
      </c>
      <c r="I447" s="19" t="s">
        <v>3</v>
      </c>
      <c r="J447" s="16" t="s">
        <v>12</v>
      </c>
      <c r="K447" s="20" t="s">
        <v>1807</v>
      </c>
      <c r="L447" s="20" t="s">
        <v>1808</v>
      </c>
      <c r="M447" s="16" t="s">
        <v>414</v>
      </c>
      <c r="N447" s="16">
        <v>0</v>
      </c>
      <c r="O447" s="16" t="s">
        <v>50</v>
      </c>
      <c r="P447" s="20">
        <v>125</v>
      </c>
      <c r="Q447" s="20" t="s">
        <v>51</v>
      </c>
      <c r="R447" s="21" t="s">
        <v>148</v>
      </c>
      <c r="S447" s="22" t="s">
        <v>130</v>
      </c>
      <c r="T447" s="22" t="s">
        <v>54</v>
      </c>
      <c r="U447" s="23" t="s">
        <v>226</v>
      </c>
      <c r="V447" s="24">
        <v>1.1000000000000001</v>
      </c>
      <c r="W447" s="25">
        <v>1501.5000000000002</v>
      </c>
      <c r="X447" s="26">
        <v>1</v>
      </c>
      <c r="Y447" s="27">
        <v>4.03</v>
      </c>
      <c r="Z447" s="23">
        <v>5</v>
      </c>
      <c r="AA447" s="28">
        <v>0.80600000000000005</v>
      </c>
      <c r="AB447" s="24">
        <v>0</v>
      </c>
      <c r="AC447" s="29">
        <v>0</v>
      </c>
      <c r="AD447" s="30">
        <v>43567</v>
      </c>
      <c r="AE447" s="30">
        <v>43567</v>
      </c>
      <c r="AF447" s="23">
        <v>0</v>
      </c>
      <c r="AG447" s="25" t="s">
        <v>56</v>
      </c>
      <c r="AH447" s="24">
        <v>0</v>
      </c>
      <c r="AI447" s="31">
        <v>0</v>
      </c>
      <c r="AJ447" s="31">
        <v>0</v>
      </c>
      <c r="AK447" s="44">
        <f t="shared" si="12"/>
        <v>1501.5000000000002</v>
      </c>
      <c r="AL447">
        <f>VLOOKUP(A447,'[1]prueba con 16mil datos'!$A$1:$AE$804,31,FALSE)</f>
        <v>1501.5</v>
      </c>
      <c r="AM447">
        <f t="shared" si="13"/>
        <v>1</v>
      </c>
      <c r="AO447">
        <f>VLOOKUP(A447,'[1]Prueba con 19mil datos'!$B$1:$AF$1228,31,FALSE)</f>
        <v>1501.5</v>
      </c>
    </row>
    <row r="448" spans="1:44" hidden="1" x14ac:dyDescent="0.25">
      <c r="A448" s="16" t="s">
        <v>998</v>
      </c>
      <c r="B448" s="15" t="s">
        <v>40</v>
      </c>
      <c r="C448" s="16">
        <v>1</v>
      </c>
      <c r="D448" s="16" t="s">
        <v>1809</v>
      </c>
      <c r="E448" s="17" t="s">
        <v>42</v>
      </c>
      <c r="F448" s="18" t="s">
        <v>90</v>
      </c>
      <c r="G448" s="18" t="s">
        <v>1810</v>
      </c>
      <c r="H448" s="16" t="s">
        <v>504</v>
      </c>
      <c r="I448" s="19" t="s">
        <v>3</v>
      </c>
      <c r="J448" s="16" t="s">
        <v>12</v>
      </c>
      <c r="K448" s="20" t="s">
        <v>1812</v>
      </c>
      <c r="L448" s="20" t="s">
        <v>1813</v>
      </c>
      <c r="M448" s="16" t="s">
        <v>1814</v>
      </c>
      <c r="N448" s="16">
        <v>0</v>
      </c>
      <c r="O448" s="16" t="s">
        <v>50</v>
      </c>
      <c r="P448" s="20">
        <v>2683</v>
      </c>
      <c r="Q448" s="20" t="s">
        <v>51</v>
      </c>
      <c r="R448" s="21" t="s">
        <v>77</v>
      </c>
      <c r="S448" s="22" t="s">
        <v>53</v>
      </c>
      <c r="T448" s="22" t="s">
        <v>54</v>
      </c>
      <c r="U448" s="23" t="s">
        <v>55</v>
      </c>
      <c r="V448" s="24">
        <v>1.05</v>
      </c>
      <c r="W448" s="25">
        <v>750.75000000000011</v>
      </c>
      <c r="X448" s="26">
        <v>1</v>
      </c>
      <c r="Y448" s="27">
        <v>5</v>
      </c>
      <c r="Z448" s="23">
        <v>5</v>
      </c>
      <c r="AA448" s="28">
        <v>1</v>
      </c>
      <c r="AB448" s="24">
        <v>0</v>
      </c>
      <c r="AC448" s="29">
        <v>0</v>
      </c>
      <c r="AD448" s="30">
        <v>43567</v>
      </c>
      <c r="AE448" s="30">
        <v>43567</v>
      </c>
      <c r="AF448" s="23">
        <v>0</v>
      </c>
      <c r="AG448" s="25" t="s">
        <v>56</v>
      </c>
      <c r="AH448" s="24">
        <v>0</v>
      </c>
      <c r="AI448" s="31">
        <v>0</v>
      </c>
      <c r="AJ448" s="31">
        <v>0</v>
      </c>
      <c r="AK448" s="44">
        <f t="shared" si="12"/>
        <v>750.75000000000011</v>
      </c>
      <c r="AL448">
        <f>VLOOKUP(A448,'[1]prueba con 16mil datos'!$A$1:$AE$804,31,FALSE)</f>
        <v>1501.5</v>
      </c>
      <c r="AM448">
        <f t="shared" si="13"/>
        <v>0</v>
      </c>
      <c r="AO448">
        <f>VLOOKUP(A448,'[1]Prueba con 19mil datos'!$B$1:$AF$1228,31,FALSE)</f>
        <v>1501.5</v>
      </c>
    </row>
    <row r="449" spans="1:41" hidden="1" x14ac:dyDescent="0.25">
      <c r="A449" s="16" t="s">
        <v>1374</v>
      </c>
      <c r="B449" s="15" t="s">
        <v>40</v>
      </c>
      <c r="C449" s="16">
        <v>1</v>
      </c>
      <c r="D449" s="16" t="s">
        <v>1800</v>
      </c>
      <c r="E449" s="17" t="s">
        <v>42</v>
      </c>
      <c r="F449" s="18" t="s">
        <v>759</v>
      </c>
      <c r="G449" s="18" t="s">
        <v>1801</v>
      </c>
      <c r="H449" s="16" t="s">
        <v>236</v>
      </c>
      <c r="I449" s="19" t="s">
        <v>3</v>
      </c>
      <c r="J449" s="16" t="s">
        <v>12</v>
      </c>
      <c r="K449" s="20" t="s">
        <v>285</v>
      </c>
      <c r="L449" s="20" t="s">
        <v>1803</v>
      </c>
      <c r="M449" s="16" t="s">
        <v>105</v>
      </c>
      <c r="N449" s="16">
        <v>1</v>
      </c>
      <c r="O449" s="16" t="s">
        <v>50</v>
      </c>
      <c r="P449" s="20">
        <v>35</v>
      </c>
      <c r="Q449" s="20" t="s">
        <v>86</v>
      </c>
      <c r="R449" s="21" t="s">
        <v>87</v>
      </c>
      <c r="S449" s="22" t="s">
        <v>53</v>
      </c>
      <c r="T449" s="22" t="s">
        <v>54</v>
      </c>
      <c r="U449" s="23" t="s">
        <v>88</v>
      </c>
      <c r="V449" s="24">
        <v>0.8</v>
      </c>
      <c r="W449" s="25">
        <v>0</v>
      </c>
      <c r="X449" s="26">
        <v>1</v>
      </c>
      <c r="Y449" s="27">
        <v>0</v>
      </c>
      <c r="Z449" s="23">
        <v>5</v>
      </c>
      <c r="AA449" s="28">
        <v>0</v>
      </c>
      <c r="AB449" s="24">
        <v>0</v>
      </c>
      <c r="AC449" s="29">
        <v>0</v>
      </c>
      <c r="AD449" s="30">
        <v>43567</v>
      </c>
      <c r="AE449" s="30">
        <v>43567</v>
      </c>
      <c r="AF449" s="23">
        <v>0</v>
      </c>
      <c r="AG449" s="25" t="s">
        <v>56</v>
      </c>
      <c r="AH449" s="24">
        <v>0</v>
      </c>
      <c r="AI449" s="31">
        <v>0</v>
      </c>
      <c r="AJ449" s="31">
        <v>0</v>
      </c>
      <c r="AK449" s="44">
        <f t="shared" si="12"/>
        <v>0</v>
      </c>
      <c r="AL449">
        <f>VLOOKUP(A449,'[1]prueba con 16mil datos'!$A$1:$AE$804,31,FALSE)</f>
        <v>1501.5</v>
      </c>
      <c r="AM449">
        <f t="shared" si="13"/>
        <v>0</v>
      </c>
      <c r="AO449">
        <f>VLOOKUP(A449,'[1]Prueba con 19mil datos'!$B$1:$AF$1228,31,FALSE)</f>
        <v>1501.5</v>
      </c>
    </row>
    <row r="450" spans="1:41" hidden="1" x14ac:dyDescent="0.25">
      <c r="A450" s="16" t="s">
        <v>576</v>
      </c>
      <c r="B450" s="15" t="s">
        <v>40</v>
      </c>
      <c r="C450" s="16">
        <v>1</v>
      </c>
      <c r="D450" s="16" t="s">
        <v>1832</v>
      </c>
      <c r="E450" s="17" t="s">
        <v>42</v>
      </c>
      <c r="F450" s="18" t="s">
        <v>772</v>
      </c>
      <c r="G450" s="18" t="s">
        <v>1833</v>
      </c>
      <c r="H450" s="16" t="s">
        <v>540</v>
      </c>
      <c r="I450" s="19" t="s">
        <v>3</v>
      </c>
      <c r="J450" s="16" t="s">
        <v>12</v>
      </c>
      <c r="K450" s="20" t="s">
        <v>541</v>
      </c>
      <c r="L450" s="20" t="s">
        <v>542</v>
      </c>
      <c r="M450" s="16" t="s">
        <v>105</v>
      </c>
      <c r="N450" s="16">
        <v>1</v>
      </c>
      <c r="O450" s="16" t="s">
        <v>50</v>
      </c>
      <c r="P450" s="20">
        <v>46</v>
      </c>
      <c r="Q450" s="20" t="s">
        <v>86</v>
      </c>
      <c r="R450" s="21" t="s">
        <v>87</v>
      </c>
      <c r="S450" s="22" t="s">
        <v>53</v>
      </c>
      <c r="T450" s="22" t="s">
        <v>54</v>
      </c>
      <c r="U450" s="23" t="s">
        <v>88</v>
      </c>
      <c r="V450" s="24">
        <v>0.8</v>
      </c>
      <c r="W450" s="25">
        <v>0</v>
      </c>
      <c r="X450" s="26">
        <v>1</v>
      </c>
      <c r="Y450" s="27">
        <v>0.14000000000000001</v>
      </c>
      <c r="Z450" s="23">
        <v>5</v>
      </c>
      <c r="AA450" s="28">
        <v>2.8000000000000004E-2</v>
      </c>
      <c r="AB450" s="24">
        <v>0</v>
      </c>
      <c r="AC450" s="29">
        <v>0</v>
      </c>
      <c r="AD450" s="30">
        <v>43567</v>
      </c>
      <c r="AE450" s="30">
        <v>43567</v>
      </c>
      <c r="AF450" s="23">
        <v>0</v>
      </c>
      <c r="AG450" s="25" t="s">
        <v>56</v>
      </c>
      <c r="AH450" s="24">
        <v>0</v>
      </c>
      <c r="AI450" s="31">
        <v>0</v>
      </c>
      <c r="AJ450" s="31">
        <v>0</v>
      </c>
      <c r="AK450" s="44">
        <f t="shared" ref="AK450:AK513" si="14">+W450+AC450</f>
        <v>0</v>
      </c>
      <c r="AL450">
        <f>VLOOKUP(A450,'[1]prueba con 16mil datos'!$A$1:$AE$804,31,FALSE)</f>
        <v>819</v>
      </c>
      <c r="AM450">
        <f t="shared" ref="AM450:AM513" si="15">IF(AK450=AL450,1,0)</f>
        <v>0</v>
      </c>
      <c r="AO450">
        <f>VLOOKUP(A450,'[1]Prueba con 19mil datos'!$B$1:$AF$1228,31,FALSE)</f>
        <v>819</v>
      </c>
    </row>
    <row r="451" spans="1:41" hidden="1" x14ac:dyDescent="0.25">
      <c r="A451" s="16" t="s">
        <v>576</v>
      </c>
      <c r="B451" s="15" t="s">
        <v>40</v>
      </c>
      <c r="C451" s="16">
        <v>1</v>
      </c>
      <c r="D451" s="16" t="s">
        <v>1934</v>
      </c>
      <c r="E451" s="17" t="s">
        <v>42</v>
      </c>
      <c r="F451" s="18" t="s">
        <v>140</v>
      </c>
      <c r="G451" s="18" t="s">
        <v>1935</v>
      </c>
      <c r="H451" s="16" t="s">
        <v>412</v>
      </c>
      <c r="I451" s="19" t="s">
        <v>3</v>
      </c>
      <c r="J451" s="16" t="s">
        <v>12</v>
      </c>
      <c r="K451" s="20" t="s">
        <v>161</v>
      </c>
      <c r="L451" s="20" t="s">
        <v>1937</v>
      </c>
      <c r="M451" s="16" t="s">
        <v>833</v>
      </c>
      <c r="N451" s="16">
        <v>1</v>
      </c>
      <c r="O451" s="16" t="s">
        <v>50</v>
      </c>
      <c r="P451" s="20">
        <v>57</v>
      </c>
      <c r="Q451" s="20" t="s">
        <v>86</v>
      </c>
      <c r="R451" s="21" t="s">
        <v>148</v>
      </c>
      <c r="S451" s="22" t="s">
        <v>130</v>
      </c>
      <c r="T451" s="22" t="s">
        <v>54</v>
      </c>
      <c r="U451" s="23" t="s">
        <v>178</v>
      </c>
      <c r="V451" s="24">
        <v>1.05</v>
      </c>
      <c r="W451" s="25">
        <v>0</v>
      </c>
      <c r="X451" s="26">
        <v>1</v>
      </c>
      <c r="Y451" s="27">
        <v>1.1299999999999999</v>
      </c>
      <c r="Z451" s="23">
        <v>5</v>
      </c>
      <c r="AA451" s="28">
        <v>0.22599999999999998</v>
      </c>
      <c r="AB451" s="24">
        <v>0</v>
      </c>
      <c r="AC451" s="29">
        <v>0</v>
      </c>
      <c r="AD451" s="30">
        <v>43567</v>
      </c>
      <c r="AE451" s="30">
        <v>43570</v>
      </c>
      <c r="AF451" s="23">
        <v>1</v>
      </c>
      <c r="AG451" s="25" t="s">
        <v>56</v>
      </c>
      <c r="AH451" s="24">
        <v>0</v>
      </c>
      <c r="AI451" s="31">
        <v>0</v>
      </c>
      <c r="AJ451" s="31">
        <v>0</v>
      </c>
      <c r="AK451" s="44">
        <f t="shared" si="14"/>
        <v>0</v>
      </c>
      <c r="AL451">
        <f>VLOOKUP(A451,'[1]prueba con 16mil datos'!$A$1:$AE$804,31,FALSE)</f>
        <v>819</v>
      </c>
      <c r="AM451">
        <f t="shared" si="15"/>
        <v>0</v>
      </c>
      <c r="AO451">
        <f>VLOOKUP(A451,'[1]Prueba con 19mil datos'!$B$1:$AF$1228,31,FALSE)</f>
        <v>819</v>
      </c>
    </row>
    <row r="452" spans="1:41" hidden="1" x14ac:dyDescent="0.25">
      <c r="A452" s="16" t="s">
        <v>1866</v>
      </c>
      <c r="B452" s="15" t="s">
        <v>40</v>
      </c>
      <c r="C452" s="16">
        <v>1</v>
      </c>
      <c r="D452" s="16" t="s">
        <v>2069</v>
      </c>
      <c r="E452" s="17" t="s">
        <v>42</v>
      </c>
      <c r="F452" s="18" t="s">
        <v>391</v>
      </c>
      <c r="G452" s="18" t="s">
        <v>2070</v>
      </c>
      <c r="H452" s="16" t="s">
        <v>516</v>
      </c>
      <c r="I452" s="19" t="s">
        <v>3</v>
      </c>
      <c r="J452" s="16" t="s">
        <v>12</v>
      </c>
      <c r="K452" s="20" t="s">
        <v>198</v>
      </c>
      <c r="L452" s="20" t="s">
        <v>860</v>
      </c>
      <c r="M452" s="16" t="s">
        <v>429</v>
      </c>
      <c r="N452" s="16">
        <v>0</v>
      </c>
      <c r="O452" s="16" t="s">
        <v>50</v>
      </c>
      <c r="P452" s="20">
        <v>9</v>
      </c>
      <c r="Q452" s="20" t="s">
        <v>65</v>
      </c>
      <c r="R452" s="21" t="s">
        <v>129</v>
      </c>
      <c r="S452" s="22" t="s">
        <v>130</v>
      </c>
      <c r="T452" s="22" t="s">
        <v>54</v>
      </c>
      <c r="U452" s="23" t="s">
        <v>131</v>
      </c>
      <c r="V452" s="24">
        <v>0.6</v>
      </c>
      <c r="W452" s="25">
        <v>819</v>
      </c>
      <c r="X452" s="26">
        <v>1</v>
      </c>
      <c r="Y452" s="27">
        <v>0.82</v>
      </c>
      <c r="Z452" s="23">
        <v>5</v>
      </c>
      <c r="AA452" s="28">
        <v>0.16399999999999998</v>
      </c>
      <c r="AB452" s="24">
        <v>0</v>
      </c>
      <c r="AC452" s="29">
        <v>0</v>
      </c>
      <c r="AD452" s="30">
        <v>43570</v>
      </c>
      <c r="AE452" s="30">
        <v>43570</v>
      </c>
      <c r="AF452" s="23">
        <v>0</v>
      </c>
      <c r="AG452" s="25" t="s">
        <v>56</v>
      </c>
      <c r="AH452" s="24">
        <v>0</v>
      </c>
      <c r="AI452" s="31">
        <v>0</v>
      </c>
      <c r="AJ452" s="31">
        <v>0</v>
      </c>
      <c r="AK452" s="44">
        <f t="shared" si="14"/>
        <v>819</v>
      </c>
      <c r="AL452">
        <f>VLOOKUP(A452,'[1]prueba con 16mil datos'!$A$1:$AE$804,31,FALSE)</f>
        <v>1092</v>
      </c>
      <c r="AM452">
        <f t="shared" si="15"/>
        <v>0</v>
      </c>
      <c r="AO452">
        <f>VLOOKUP(A452,'[1]Prueba con 19mil datos'!$B$1:$AF$1228,31,FALSE)</f>
        <v>1092</v>
      </c>
    </row>
    <row r="453" spans="1:41" hidden="1" x14ac:dyDescent="0.25">
      <c r="A453" s="16" t="s">
        <v>2711</v>
      </c>
      <c r="B453" s="15" t="s">
        <v>40</v>
      </c>
      <c r="C453" s="16">
        <v>1</v>
      </c>
      <c r="D453" s="16" t="s">
        <v>2667</v>
      </c>
      <c r="E453" s="17" t="s">
        <v>321</v>
      </c>
      <c r="F453" s="18" t="s">
        <v>772</v>
      </c>
      <c r="G453" s="18" t="s">
        <v>2668</v>
      </c>
      <c r="H453" s="16" t="s">
        <v>377</v>
      </c>
      <c r="I453" s="19" t="s">
        <v>3</v>
      </c>
      <c r="J453" s="16" t="s">
        <v>12</v>
      </c>
      <c r="K453" s="20" t="s">
        <v>378</v>
      </c>
      <c r="L453" s="20" t="s">
        <v>666</v>
      </c>
      <c r="M453" s="16" t="s">
        <v>128</v>
      </c>
      <c r="N453" s="16">
        <v>0</v>
      </c>
      <c r="O453" s="16" t="s">
        <v>50</v>
      </c>
      <c r="P453" s="20" t="s">
        <v>326</v>
      </c>
      <c r="Q453" s="20" t="s">
        <v>51</v>
      </c>
      <c r="R453" s="21" t="s">
        <v>87</v>
      </c>
      <c r="S453" s="22" t="s">
        <v>53</v>
      </c>
      <c r="T453" s="22" t="s">
        <v>54</v>
      </c>
      <c r="U453" s="23" t="s">
        <v>55</v>
      </c>
      <c r="V453" s="24">
        <v>1</v>
      </c>
      <c r="W453" s="25">
        <v>1072.5000000000002</v>
      </c>
      <c r="X453" s="26">
        <v>0</v>
      </c>
      <c r="Y453" s="27">
        <v>5</v>
      </c>
      <c r="Z453" s="23">
        <v>5</v>
      </c>
      <c r="AA453" s="28">
        <v>1</v>
      </c>
      <c r="AB453" s="24">
        <v>0</v>
      </c>
      <c r="AC453" s="29">
        <v>0</v>
      </c>
      <c r="AD453" s="30">
        <v>43570</v>
      </c>
      <c r="AE453" s="30">
        <v>43579</v>
      </c>
      <c r="AF453" s="23">
        <v>7</v>
      </c>
      <c r="AG453" s="25" t="s">
        <v>493</v>
      </c>
      <c r="AH453" s="24">
        <v>0</v>
      </c>
      <c r="AI453" s="31">
        <v>0</v>
      </c>
      <c r="AJ453" s="31">
        <v>0</v>
      </c>
      <c r="AK453" s="44">
        <f t="shared" si="14"/>
        <v>1072.5000000000002</v>
      </c>
      <c r="AL453">
        <f>VLOOKUP(A453,'[1]prueba con 16mil datos'!$A$1:$AE$804,31,FALSE)</f>
        <v>1433.25</v>
      </c>
      <c r="AM453">
        <f t="shared" si="15"/>
        <v>0</v>
      </c>
      <c r="AO453">
        <f>VLOOKUP(A453,'[1]Prueba con 19mil datos'!$B$1:$AF$1228,31,FALSE)</f>
        <v>1433.25</v>
      </c>
    </row>
    <row r="454" spans="1:41" hidden="1" x14ac:dyDescent="0.25">
      <c r="A454" s="16" t="s">
        <v>2326</v>
      </c>
      <c r="B454" s="15" t="s">
        <v>40</v>
      </c>
      <c r="C454" s="16">
        <v>1</v>
      </c>
      <c r="D454" s="16" t="s">
        <v>2071</v>
      </c>
      <c r="E454" s="17" t="s">
        <v>42</v>
      </c>
      <c r="F454" s="18" t="s">
        <v>328</v>
      </c>
      <c r="G454" s="18" t="s">
        <v>2072</v>
      </c>
      <c r="H454" s="16" t="s">
        <v>192</v>
      </c>
      <c r="I454" s="19" t="s">
        <v>3</v>
      </c>
      <c r="J454" s="16" t="s">
        <v>12</v>
      </c>
      <c r="K454" s="20" t="s">
        <v>2048</v>
      </c>
      <c r="L454" s="20" t="s">
        <v>2049</v>
      </c>
      <c r="M454" s="16" t="s">
        <v>485</v>
      </c>
      <c r="N454" s="16">
        <v>0</v>
      </c>
      <c r="O454" s="16" t="s">
        <v>50</v>
      </c>
      <c r="P454" s="20">
        <v>363</v>
      </c>
      <c r="Q454" s="20" t="s">
        <v>51</v>
      </c>
      <c r="R454" s="21" t="s">
        <v>148</v>
      </c>
      <c r="S454" s="22" t="s">
        <v>130</v>
      </c>
      <c r="T454" s="22" t="s">
        <v>157</v>
      </c>
      <c r="U454" s="23" t="s">
        <v>226</v>
      </c>
      <c r="V454" s="24">
        <v>1.1000000000000001</v>
      </c>
      <c r="W454" s="25">
        <v>1501.5000000000002</v>
      </c>
      <c r="X454" s="26">
        <v>1</v>
      </c>
      <c r="Y454" s="27">
        <v>4.17</v>
      </c>
      <c r="Z454" s="23">
        <v>9</v>
      </c>
      <c r="AA454" s="28">
        <v>0.46333333333333332</v>
      </c>
      <c r="AB454" s="24">
        <v>0</v>
      </c>
      <c r="AC454" s="29">
        <v>0</v>
      </c>
      <c r="AD454" s="30">
        <v>43570</v>
      </c>
      <c r="AE454" s="30">
        <v>43570</v>
      </c>
      <c r="AF454" s="23">
        <v>0</v>
      </c>
      <c r="AG454" s="25" t="s">
        <v>56</v>
      </c>
      <c r="AH454" s="24">
        <v>0</v>
      </c>
      <c r="AI454" s="31">
        <v>0</v>
      </c>
      <c r="AJ454" s="31">
        <v>0</v>
      </c>
      <c r="AK454" s="44">
        <f t="shared" si="14"/>
        <v>1501.5000000000002</v>
      </c>
      <c r="AL454">
        <f>VLOOKUP(A454,'[1]prueba con 16mil datos'!$A$1:$AE$804,31,FALSE)</f>
        <v>1433.25</v>
      </c>
      <c r="AM454">
        <f t="shared" si="15"/>
        <v>0</v>
      </c>
      <c r="AO454">
        <f>VLOOKUP(A454,'[1]Prueba con 19mil datos'!$B$1:$AF$1228,31,FALSE)</f>
        <v>1433.25</v>
      </c>
    </row>
    <row r="455" spans="1:41" hidden="1" x14ac:dyDescent="0.25">
      <c r="A455" s="16" t="s">
        <v>692</v>
      </c>
      <c r="B455" s="15" t="s">
        <v>40</v>
      </c>
      <c r="C455" s="16">
        <v>1</v>
      </c>
      <c r="D455" s="16" t="s">
        <v>2006</v>
      </c>
      <c r="E455" s="17" t="s">
        <v>42</v>
      </c>
      <c r="F455" s="18" t="s">
        <v>1881</v>
      </c>
      <c r="G455" s="18" t="s">
        <v>2007</v>
      </c>
      <c r="H455" s="16" t="s">
        <v>125</v>
      </c>
      <c r="I455" s="19" t="s">
        <v>3</v>
      </c>
      <c r="J455" s="16" t="s">
        <v>12</v>
      </c>
      <c r="K455" s="20" t="s">
        <v>1432</v>
      </c>
      <c r="L455" s="20" t="s">
        <v>1433</v>
      </c>
      <c r="M455" s="16" t="s">
        <v>105</v>
      </c>
      <c r="N455" s="16">
        <v>0</v>
      </c>
      <c r="O455" s="16" t="s">
        <v>50</v>
      </c>
      <c r="P455" s="20">
        <v>345</v>
      </c>
      <c r="Q455" s="20" t="s">
        <v>51</v>
      </c>
      <c r="R455" s="21" t="s">
        <v>225</v>
      </c>
      <c r="S455" s="22" t="s">
        <v>130</v>
      </c>
      <c r="T455" s="22" t="s">
        <v>54</v>
      </c>
      <c r="U455" s="23" t="s">
        <v>226</v>
      </c>
      <c r="V455" s="24">
        <v>1.1000000000000001</v>
      </c>
      <c r="W455" s="25">
        <v>1501.5000000000002</v>
      </c>
      <c r="X455" s="26">
        <v>1</v>
      </c>
      <c r="Y455" s="27">
        <v>0.47</v>
      </c>
      <c r="Z455" s="23">
        <v>5</v>
      </c>
      <c r="AA455" s="28">
        <v>9.4E-2</v>
      </c>
      <c r="AB455" s="24">
        <v>0</v>
      </c>
      <c r="AC455" s="29">
        <v>0</v>
      </c>
      <c r="AD455" s="30">
        <v>43570</v>
      </c>
      <c r="AE455" s="30">
        <v>43570</v>
      </c>
      <c r="AF455" s="23">
        <v>0</v>
      </c>
      <c r="AG455" s="25" t="s">
        <v>56</v>
      </c>
      <c r="AH455" s="24">
        <v>0</v>
      </c>
      <c r="AI455" s="31">
        <v>0</v>
      </c>
      <c r="AJ455" s="31">
        <v>0</v>
      </c>
      <c r="AK455" s="44">
        <f t="shared" si="14"/>
        <v>1501.5000000000002</v>
      </c>
      <c r="AL455">
        <f>VLOOKUP(A455,'[1]prueba con 16mil datos'!$A$1:$AE$804,31,FALSE)</f>
        <v>1092</v>
      </c>
      <c r="AM455">
        <f t="shared" si="15"/>
        <v>0</v>
      </c>
      <c r="AO455">
        <f>VLOOKUP(A455,'[1]Prueba con 19mil datos'!$B$1:$AF$1228,31,FALSE)</f>
        <v>1092</v>
      </c>
    </row>
    <row r="456" spans="1:41" hidden="1" x14ac:dyDescent="0.25">
      <c r="A456" s="16" t="s">
        <v>563</v>
      </c>
      <c r="B456" s="15" t="s">
        <v>40</v>
      </c>
      <c r="C456" s="16">
        <v>1</v>
      </c>
      <c r="D456" s="16" t="s">
        <v>2045</v>
      </c>
      <c r="E456" s="17" t="s">
        <v>42</v>
      </c>
      <c r="F456" s="18" t="s">
        <v>90</v>
      </c>
      <c r="G456" s="18" t="s">
        <v>2046</v>
      </c>
      <c r="H456" s="16" t="s">
        <v>192</v>
      </c>
      <c r="I456" s="19" t="s">
        <v>3</v>
      </c>
      <c r="J456" s="16" t="s">
        <v>12</v>
      </c>
      <c r="K456" s="20" t="s">
        <v>2048</v>
      </c>
      <c r="L456" s="20" t="s">
        <v>2049</v>
      </c>
      <c r="M456" s="16" t="s">
        <v>485</v>
      </c>
      <c r="N456" s="16">
        <v>0</v>
      </c>
      <c r="O456" s="16" t="s">
        <v>50</v>
      </c>
      <c r="P456" s="20">
        <v>103</v>
      </c>
      <c r="Q456" s="20" t="s">
        <v>51</v>
      </c>
      <c r="R456" s="21" t="s">
        <v>77</v>
      </c>
      <c r="S456" s="22" t="s">
        <v>53</v>
      </c>
      <c r="T456" s="22" t="s">
        <v>157</v>
      </c>
      <c r="U456" s="23" t="s">
        <v>55</v>
      </c>
      <c r="V456" s="24">
        <v>1.05</v>
      </c>
      <c r="W456" s="25">
        <v>750.75000000000011</v>
      </c>
      <c r="X456" s="26">
        <v>1</v>
      </c>
      <c r="Y456" s="27">
        <v>3.7</v>
      </c>
      <c r="Z456" s="23">
        <v>9</v>
      </c>
      <c r="AA456" s="28">
        <v>0.41111111111111115</v>
      </c>
      <c r="AB456" s="24">
        <v>0</v>
      </c>
      <c r="AC456" s="29">
        <v>0</v>
      </c>
      <c r="AD456" s="30">
        <v>43570</v>
      </c>
      <c r="AE456" s="30">
        <v>43570</v>
      </c>
      <c r="AF456" s="23">
        <v>0</v>
      </c>
      <c r="AG456" s="25" t="s">
        <v>56</v>
      </c>
      <c r="AH456" s="24">
        <v>0</v>
      </c>
      <c r="AI456" s="31">
        <v>0</v>
      </c>
      <c r="AJ456" s="31">
        <v>0</v>
      </c>
      <c r="AK456" s="44">
        <f t="shared" si="14"/>
        <v>750.75000000000011</v>
      </c>
      <c r="AL456">
        <f>VLOOKUP(A456,'[1]prueba con 16mil datos'!$A$1:$AE$804,31,FALSE)</f>
        <v>819</v>
      </c>
      <c r="AM456">
        <f t="shared" si="15"/>
        <v>0</v>
      </c>
      <c r="AO456">
        <f>VLOOKUP(A456,'[1]Prueba con 19mil datos'!$B$1:$AF$1228,31,FALSE)</f>
        <v>819</v>
      </c>
    </row>
    <row r="457" spans="1:41" hidden="1" x14ac:dyDescent="0.25">
      <c r="A457" s="16" t="s">
        <v>563</v>
      </c>
      <c r="B457" s="15" t="s">
        <v>40</v>
      </c>
      <c r="C457" s="16">
        <v>1</v>
      </c>
      <c r="D457" s="46" t="s">
        <v>2038</v>
      </c>
      <c r="E457" s="47" t="s">
        <v>1248</v>
      </c>
      <c r="F457" s="18" t="s">
        <v>90</v>
      </c>
      <c r="G457" s="18" t="s">
        <v>2039</v>
      </c>
      <c r="H457" s="16" t="s">
        <v>213</v>
      </c>
      <c r="I457" s="19" t="s">
        <v>3</v>
      </c>
      <c r="J457" s="16" t="s">
        <v>12</v>
      </c>
      <c r="K457" s="20" t="s">
        <v>198</v>
      </c>
      <c r="L457" s="20" t="s">
        <v>1641</v>
      </c>
      <c r="M457" s="16" t="s">
        <v>479</v>
      </c>
      <c r="N457" s="16">
        <v>0</v>
      </c>
      <c r="O457" s="16" t="s">
        <v>50</v>
      </c>
      <c r="P457" s="20" t="s">
        <v>326</v>
      </c>
      <c r="Q457" s="20" t="s">
        <v>51</v>
      </c>
      <c r="R457" s="21" t="s">
        <v>77</v>
      </c>
      <c r="S457" s="22" t="s">
        <v>53</v>
      </c>
      <c r="T457" s="22" t="s">
        <v>54</v>
      </c>
      <c r="U457" s="23" t="s">
        <v>55</v>
      </c>
      <c r="V457" s="24">
        <v>1</v>
      </c>
      <c r="W457" s="25">
        <v>715.00000000000011</v>
      </c>
      <c r="X457" s="26">
        <v>0</v>
      </c>
      <c r="Y457" s="27">
        <v>5</v>
      </c>
      <c r="Z457" s="23">
        <v>5</v>
      </c>
      <c r="AA457" s="28">
        <v>1</v>
      </c>
      <c r="AB457" s="24">
        <v>0</v>
      </c>
      <c r="AC457" s="29">
        <v>0</v>
      </c>
      <c r="AD457" s="30">
        <v>43570</v>
      </c>
      <c r="AE457" s="30">
        <v>43570</v>
      </c>
      <c r="AF457" s="23">
        <v>0</v>
      </c>
      <c r="AG457" s="25" t="s">
        <v>56</v>
      </c>
      <c r="AH457" s="24">
        <v>0</v>
      </c>
      <c r="AI457" s="31">
        <v>0</v>
      </c>
      <c r="AJ457" s="31">
        <v>0</v>
      </c>
      <c r="AK457" s="44">
        <f t="shared" si="14"/>
        <v>715.00000000000011</v>
      </c>
      <c r="AL457">
        <f>VLOOKUP(A457,'[1]prueba con 16mil datos'!$A$1:$AE$804,31,FALSE)</f>
        <v>819</v>
      </c>
      <c r="AM457">
        <f t="shared" si="15"/>
        <v>0</v>
      </c>
      <c r="AO457">
        <f>VLOOKUP(A457,'[1]Prueba con 19mil datos'!$B$1:$AF$1228,31,FALSE)</f>
        <v>819</v>
      </c>
    </row>
    <row r="458" spans="1:41" hidden="1" x14ac:dyDescent="0.25">
      <c r="A458" s="16" t="s">
        <v>563</v>
      </c>
      <c r="B458" s="15" t="s">
        <v>40</v>
      </c>
      <c r="C458" s="16">
        <v>1</v>
      </c>
      <c r="D458" s="16" t="s">
        <v>1978</v>
      </c>
      <c r="E458" s="17" t="s">
        <v>602</v>
      </c>
      <c r="F458" s="18" t="s">
        <v>90</v>
      </c>
      <c r="G458" s="18" t="s">
        <v>1979</v>
      </c>
      <c r="H458" s="16" t="s">
        <v>264</v>
      </c>
      <c r="I458" s="19" t="s">
        <v>3</v>
      </c>
      <c r="J458" s="16" t="s">
        <v>12</v>
      </c>
      <c r="K458" s="20" t="s">
        <v>324</v>
      </c>
      <c r="L458" s="20" t="s">
        <v>1981</v>
      </c>
      <c r="M458" s="16" t="s">
        <v>49</v>
      </c>
      <c r="N458" s="16">
        <v>0</v>
      </c>
      <c r="O458" s="16" t="s">
        <v>50</v>
      </c>
      <c r="P458" s="20" t="s">
        <v>326</v>
      </c>
      <c r="Q458" s="20" t="s">
        <v>51</v>
      </c>
      <c r="R458" s="21" t="s">
        <v>77</v>
      </c>
      <c r="S458" s="22" t="s">
        <v>53</v>
      </c>
      <c r="T458" s="22" t="s">
        <v>54</v>
      </c>
      <c r="U458" s="23" t="s">
        <v>55</v>
      </c>
      <c r="V458" s="24">
        <v>1</v>
      </c>
      <c r="W458" s="25">
        <v>715.00000000000011</v>
      </c>
      <c r="X458" s="26">
        <v>1</v>
      </c>
      <c r="Y458" s="27">
        <v>1.35</v>
      </c>
      <c r="Z458" s="23">
        <v>5</v>
      </c>
      <c r="AA458" s="28">
        <v>0.27</v>
      </c>
      <c r="AB458" s="24">
        <v>0</v>
      </c>
      <c r="AC458" s="29">
        <v>0</v>
      </c>
      <c r="AD458" s="30">
        <v>43570</v>
      </c>
      <c r="AE458" s="30">
        <v>43570</v>
      </c>
      <c r="AF458" s="23">
        <v>0</v>
      </c>
      <c r="AG458" s="25" t="s">
        <v>56</v>
      </c>
      <c r="AH458" s="24">
        <v>0</v>
      </c>
      <c r="AI458" s="31">
        <v>0</v>
      </c>
      <c r="AJ458" s="31">
        <v>0</v>
      </c>
      <c r="AK458" s="44">
        <f t="shared" si="14"/>
        <v>715.00000000000011</v>
      </c>
      <c r="AL458">
        <f>VLOOKUP(A458,'[1]prueba con 16mil datos'!$A$1:$AE$804,31,FALSE)</f>
        <v>819</v>
      </c>
      <c r="AM458">
        <f t="shared" si="15"/>
        <v>0</v>
      </c>
      <c r="AO458">
        <f>VLOOKUP(A458,'[1]Prueba con 19mil datos'!$B$1:$AF$1228,31,FALSE)</f>
        <v>819</v>
      </c>
    </row>
    <row r="459" spans="1:41" hidden="1" x14ac:dyDescent="0.25">
      <c r="A459" s="16" t="s">
        <v>563</v>
      </c>
      <c r="B459" s="15" t="s">
        <v>40</v>
      </c>
      <c r="C459" s="16">
        <v>1</v>
      </c>
      <c r="D459" s="16" t="s">
        <v>2058</v>
      </c>
      <c r="E459" s="17" t="s">
        <v>42</v>
      </c>
      <c r="F459" s="18" t="s">
        <v>281</v>
      </c>
      <c r="G459" s="18" t="s">
        <v>2059</v>
      </c>
      <c r="H459" s="16" t="s">
        <v>346</v>
      </c>
      <c r="I459" s="19" t="s">
        <v>3</v>
      </c>
      <c r="J459" s="16" t="s">
        <v>12</v>
      </c>
      <c r="K459" s="20" t="s">
        <v>126</v>
      </c>
      <c r="L459" s="20" t="s">
        <v>366</v>
      </c>
      <c r="M459" s="16" t="s">
        <v>367</v>
      </c>
      <c r="N459" s="16">
        <v>0</v>
      </c>
      <c r="O459" s="16" t="s">
        <v>50</v>
      </c>
      <c r="P459" s="20">
        <v>18</v>
      </c>
      <c r="Q459" s="20" t="s">
        <v>119</v>
      </c>
      <c r="R459" s="21" t="s">
        <v>287</v>
      </c>
      <c r="S459" s="22" t="s">
        <v>288</v>
      </c>
      <c r="T459" s="22" t="s">
        <v>54</v>
      </c>
      <c r="U459" s="23" t="s">
        <v>269</v>
      </c>
      <c r="V459" s="24">
        <v>1.05</v>
      </c>
      <c r="W459" s="25">
        <v>1651.6500000000003</v>
      </c>
      <c r="X459" s="26">
        <v>1</v>
      </c>
      <c r="Y459" s="27">
        <v>1.3</v>
      </c>
      <c r="Z459" s="23">
        <v>4</v>
      </c>
      <c r="AA459" s="28">
        <v>0.32500000000000001</v>
      </c>
      <c r="AB459" s="24">
        <v>0</v>
      </c>
      <c r="AC459" s="29">
        <v>0</v>
      </c>
      <c r="AD459" s="30">
        <v>43570</v>
      </c>
      <c r="AE459" s="30">
        <v>43570</v>
      </c>
      <c r="AF459" s="23">
        <v>0</v>
      </c>
      <c r="AG459" s="25" t="s">
        <v>56</v>
      </c>
      <c r="AH459" s="24">
        <v>0</v>
      </c>
      <c r="AI459" s="31">
        <v>0</v>
      </c>
      <c r="AJ459" s="31">
        <v>0</v>
      </c>
      <c r="AK459" s="44">
        <f t="shared" si="14"/>
        <v>1651.6500000000003</v>
      </c>
      <c r="AL459">
        <f>VLOOKUP(A459,'[1]prueba con 16mil datos'!$A$1:$AE$804,31,FALSE)</f>
        <v>819</v>
      </c>
      <c r="AM459">
        <f t="shared" si="15"/>
        <v>0</v>
      </c>
      <c r="AO459">
        <f>VLOOKUP(A459,'[1]Prueba con 19mil datos'!$B$1:$AF$1228,31,FALSE)</f>
        <v>819</v>
      </c>
    </row>
    <row r="460" spans="1:41" hidden="1" x14ac:dyDescent="0.25">
      <c r="A460" s="16" t="s">
        <v>2794</v>
      </c>
      <c r="B460" s="15" t="s">
        <v>40</v>
      </c>
      <c r="C460" s="16">
        <v>1</v>
      </c>
      <c r="D460" s="16" t="s">
        <v>1986</v>
      </c>
      <c r="E460" s="17" t="s">
        <v>42</v>
      </c>
      <c r="F460" s="18" t="s">
        <v>281</v>
      </c>
      <c r="G460" s="18" t="s">
        <v>1987</v>
      </c>
      <c r="H460" s="16" t="s">
        <v>293</v>
      </c>
      <c r="I460" s="19" t="s">
        <v>3</v>
      </c>
      <c r="J460" s="16" t="s">
        <v>12</v>
      </c>
      <c r="K460" s="20" t="s">
        <v>198</v>
      </c>
      <c r="L460" s="20" t="s">
        <v>963</v>
      </c>
      <c r="M460" s="16" t="s">
        <v>414</v>
      </c>
      <c r="N460" s="16">
        <v>0</v>
      </c>
      <c r="O460" s="16" t="s">
        <v>50</v>
      </c>
      <c r="P460" s="20">
        <v>251</v>
      </c>
      <c r="Q460" s="20" t="s">
        <v>51</v>
      </c>
      <c r="R460" s="21" t="s">
        <v>287</v>
      </c>
      <c r="S460" s="22" t="s">
        <v>288</v>
      </c>
      <c r="T460" s="22" t="s">
        <v>54</v>
      </c>
      <c r="U460" s="23" t="s">
        <v>550</v>
      </c>
      <c r="V460" s="24">
        <v>1.1499999999999999</v>
      </c>
      <c r="W460" s="25">
        <v>1808.95</v>
      </c>
      <c r="X460" s="26">
        <v>1</v>
      </c>
      <c r="Y460" s="27">
        <v>1.97</v>
      </c>
      <c r="Z460" s="23">
        <v>4</v>
      </c>
      <c r="AA460" s="28">
        <v>0.49249999999999999</v>
      </c>
      <c r="AB460" s="24">
        <v>0</v>
      </c>
      <c r="AC460" s="29">
        <v>0</v>
      </c>
      <c r="AD460" s="30">
        <v>43570</v>
      </c>
      <c r="AE460" s="30">
        <v>43570</v>
      </c>
      <c r="AF460" s="23">
        <v>0</v>
      </c>
      <c r="AG460" s="25" t="s">
        <v>56</v>
      </c>
      <c r="AH460" s="24">
        <v>0</v>
      </c>
      <c r="AI460" s="31">
        <v>0</v>
      </c>
      <c r="AJ460" s="31">
        <v>0</v>
      </c>
      <c r="AK460" s="44">
        <f t="shared" si="14"/>
        <v>1808.95</v>
      </c>
      <c r="AL460">
        <f>VLOOKUP(A460,'[1]prueba con 16mil datos'!$A$1:$AE$804,31,FALSE)</f>
        <v>1433.25</v>
      </c>
      <c r="AM460">
        <f t="shared" si="15"/>
        <v>0</v>
      </c>
      <c r="AO460">
        <f>VLOOKUP(A460,'[1]Prueba con 19mil datos'!$B$1:$AF$1228,31,FALSE)</f>
        <v>1433.25</v>
      </c>
    </row>
    <row r="461" spans="1:41" hidden="1" x14ac:dyDescent="0.25">
      <c r="A461" s="16" t="s">
        <v>2420</v>
      </c>
      <c r="B461" s="15" t="s">
        <v>40</v>
      </c>
      <c r="C461" s="16">
        <v>1</v>
      </c>
      <c r="D461" s="16" t="s">
        <v>2016</v>
      </c>
      <c r="E461" s="17" t="s">
        <v>42</v>
      </c>
      <c r="F461" s="18" t="s">
        <v>281</v>
      </c>
      <c r="G461" s="18" t="s">
        <v>2017</v>
      </c>
      <c r="H461" s="16" t="s">
        <v>192</v>
      </c>
      <c r="I461" s="19" t="s">
        <v>3</v>
      </c>
      <c r="J461" s="16" t="s">
        <v>12</v>
      </c>
      <c r="K461" s="20" t="s">
        <v>198</v>
      </c>
      <c r="L461" s="20" t="s">
        <v>586</v>
      </c>
      <c r="M461" s="16" t="s">
        <v>118</v>
      </c>
      <c r="N461" s="16">
        <v>0</v>
      </c>
      <c r="O461" s="16" t="s">
        <v>50</v>
      </c>
      <c r="P461" s="20">
        <v>374</v>
      </c>
      <c r="Q461" s="20" t="s">
        <v>51</v>
      </c>
      <c r="R461" s="21" t="s">
        <v>287</v>
      </c>
      <c r="S461" s="22" t="s">
        <v>288</v>
      </c>
      <c r="T461" s="22" t="s">
        <v>54</v>
      </c>
      <c r="U461" s="23" t="s">
        <v>550</v>
      </c>
      <c r="V461" s="24">
        <v>1.1499999999999999</v>
      </c>
      <c r="W461" s="25">
        <v>1808.95</v>
      </c>
      <c r="X461" s="26">
        <v>1</v>
      </c>
      <c r="Y461" s="27">
        <v>0.25</v>
      </c>
      <c r="Z461" s="23">
        <v>4</v>
      </c>
      <c r="AA461" s="28">
        <v>6.25E-2</v>
      </c>
      <c r="AB461" s="24">
        <v>0</v>
      </c>
      <c r="AC461" s="29">
        <v>0</v>
      </c>
      <c r="AD461" s="30">
        <v>43570</v>
      </c>
      <c r="AE461" s="30">
        <v>43570</v>
      </c>
      <c r="AF461" s="23">
        <v>0</v>
      </c>
      <c r="AG461" s="25" t="s">
        <v>56</v>
      </c>
      <c r="AH461" s="24">
        <v>0</v>
      </c>
      <c r="AI461" s="31">
        <v>0</v>
      </c>
      <c r="AJ461" s="31">
        <v>0</v>
      </c>
      <c r="AK461" s="44">
        <f t="shared" si="14"/>
        <v>1808.95</v>
      </c>
      <c r="AL461">
        <f>VLOOKUP(A461,'[1]prueba con 16mil datos'!$A$1:$AE$804,31,FALSE)</f>
        <v>1433.25</v>
      </c>
      <c r="AM461">
        <f t="shared" si="15"/>
        <v>0</v>
      </c>
      <c r="AO461">
        <f>VLOOKUP(A461,'[1]Prueba con 19mil datos'!$B$1:$AF$1228,31,FALSE)</f>
        <v>1433.25</v>
      </c>
    </row>
    <row r="462" spans="1:41" hidden="1" x14ac:dyDescent="0.25">
      <c r="A462" s="16" t="s">
        <v>2590</v>
      </c>
      <c r="B462" s="15" t="s">
        <v>40</v>
      </c>
      <c r="C462" s="16">
        <v>1</v>
      </c>
      <c r="D462" s="16" t="s">
        <v>2066</v>
      </c>
      <c r="E462" s="17" t="s">
        <v>42</v>
      </c>
      <c r="F462" s="18" t="s">
        <v>281</v>
      </c>
      <c r="G462" s="18" t="s">
        <v>2067</v>
      </c>
      <c r="H462" s="16" t="s">
        <v>293</v>
      </c>
      <c r="I462" s="19" t="s">
        <v>3</v>
      </c>
      <c r="J462" s="16" t="s">
        <v>12</v>
      </c>
      <c r="K462" s="20" t="s">
        <v>198</v>
      </c>
      <c r="L462" s="20" t="s">
        <v>683</v>
      </c>
      <c r="M462" s="16" t="s">
        <v>372</v>
      </c>
      <c r="N462" s="16">
        <v>0</v>
      </c>
      <c r="O462" s="16" t="s">
        <v>50</v>
      </c>
      <c r="P462" s="20">
        <v>39</v>
      </c>
      <c r="Q462" s="20" t="s">
        <v>86</v>
      </c>
      <c r="R462" s="21" t="s">
        <v>287</v>
      </c>
      <c r="S462" s="22" t="s">
        <v>288</v>
      </c>
      <c r="T462" s="22" t="s">
        <v>54</v>
      </c>
      <c r="U462" s="23" t="s">
        <v>188</v>
      </c>
      <c r="V462" s="24">
        <v>1.1000000000000001</v>
      </c>
      <c r="W462" s="25">
        <v>1730.3000000000004</v>
      </c>
      <c r="X462" s="26">
        <v>1</v>
      </c>
      <c r="Y462" s="27">
        <v>1.83</v>
      </c>
      <c r="Z462" s="23">
        <v>4</v>
      </c>
      <c r="AA462" s="28">
        <v>0.45750000000000002</v>
      </c>
      <c r="AB462" s="24">
        <v>0</v>
      </c>
      <c r="AC462" s="29">
        <v>0</v>
      </c>
      <c r="AD462" s="30">
        <v>43570</v>
      </c>
      <c r="AE462" s="30">
        <v>43570</v>
      </c>
      <c r="AF462" s="23">
        <v>0</v>
      </c>
      <c r="AG462" s="25" t="s">
        <v>56</v>
      </c>
      <c r="AH462" s="24">
        <v>0</v>
      </c>
      <c r="AI462" s="31">
        <v>0</v>
      </c>
      <c r="AJ462" s="31">
        <v>0</v>
      </c>
      <c r="AK462" s="44">
        <f t="shared" si="14"/>
        <v>1730.3000000000004</v>
      </c>
      <c r="AL462">
        <f>VLOOKUP(A462,'[1]prueba con 16mil datos'!$A$1:$AE$804,31,FALSE)</f>
        <v>1433.25</v>
      </c>
      <c r="AM462">
        <f t="shared" si="15"/>
        <v>0</v>
      </c>
      <c r="AO462">
        <f>VLOOKUP(A462,'[1]Prueba con 19mil datos'!$B$1:$AF$1228,31,FALSE)</f>
        <v>1433.25</v>
      </c>
    </row>
    <row r="463" spans="1:41" hidden="1" x14ac:dyDescent="0.25">
      <c r="A463" s="16" t="s">
        <v>2137</v>
      </c>
      <c r="B463" s="15" t="s">
        <v>40</v>
      </c>
      <c r="C463" s="16">
        <v>1</v>
      </c>
      <c r="D463" s="16" t="s">
        <v>2014</v>
      </c>
      <c r="E463" s="17" t="s">
        <v>42</v>
      </c>
      <c r="F463" s="18" t="s">
        <v>99</v>
      </c>
      <c r="G463" s="18" t="s">
        <v>2015</v>
      </c>
      <c r="H463" s="16" t="s">
        <v>213</v>
      </c>
      <c r="I463" s="19" t="s">
        <v>3</v>
      </c>
      <c r="J463" s="16" t="s">
        <v>12</v>
      </c>
      <c r="K463" s="20" t="s">
        <v>214</v>
      </c>
      <c r="L463" s="20" t="s">
        <v>215</v>
      </c>
      <c r="M463" s="16" t="s">
        <v>216</v>
      </c>
      <c r="N463" s="16">
        <v>0</v>
      </c>
      <c r="O463" s="16" t="s">
        <v>50</v>
      </c>
      <c r="P463" s="20">
        <v>12</v>
      </c>
      <c r="Q463" s="20" t="s">
        <v>65</v>
      </c>
      <c r="R463" s="21" t="s">
        <v>77</v>
      </c>
      <c r="S463" s="22" t="s">
        <v>53</v>
      </c>
      <c r="T463" s="22" t="s">
        <v>54</v>
      </c>
      <c r="U463" s="23" t="s">
        <v>1008</v>
      </c>
      <c r="V463" s="24">
        <v>0</v>
      </c>
      <c r="W463" s="25">
        <v>0</v>
      </c>
      <c r="X463" s="26">
        <v>1</v>
      </c>
      <c r="Y463" s="27">
        <v>2.2000000000000002</v>
      </c>
      <c r="Z463" s="23">
        <v>5</v>
      </c>
      <c r="AA463" s="28">
        <v>0.44000000000000006</v>
      </c>
      <c r="AB463" s="24">
        <v>0</v>
      </c>
      <c r="AC463" s="29">
        <v>0</v>
      </c>
      <c r="AD463" s="30">
        <v>43570</v>
      </c>
      <c r="AE463" s="30">
        <v>43570</v>
      </c>
      <c r="AF463" s="23">
        <v>0</v>
      </c>
      <c r="AG463" s="25" t="s">
        <v>56</v>
      </c>
      <c r="AH463" s="24">
        <v>0</v>
      </c>
      <c r="AI463" s="31">
        <v>0</v>
      </c>
      <c r="AJ463" s="31">
        <v>0</v>
      </c>
      <c r="AK463" s="44">
        <f t="shared" si="14"/>
        <v>0</v>
      </c>
      <c r="AL463">
        <f>VLOOKUP(A463,'[1]prueba con 16mil datos'!$A$1:$AE$804,31,FALSE)</f>
        <v>1092</v>
      </c>
      <c r="AM463">
        <f t="shared" si="15"/>
        <v>0</v>
      </c>
      <c r="AO463">
        <f>VLOOKUP(A463,'[1]Prueba con 19mil datos'!$B$1:$AF$1228,31,FALSE)</f>
        <v>1092</v>
      </c>
    </row>
    <row r="464" spans="1:41" hidden="1" x14ac:dyDescent="0.25">
      <c r="A464" s="16" t="s">
        <v>2137</v>
      </c>
      <c r="B464" s="15" t="s">
        <v>40</v>
      </c>
      <c r="C464" s="16">
        <v>1</v>
      </c>
      <c r="D464" s="16" t="s">
        <v>2074</v>
      </c>
      <c r="E464" s="17" t="s">
        <v>42</v>
      </c>
      <c r="F464" s="18" t="s">
        <v>2075</v>
      </c>
      <c r="G464" s="18" t="s">
        <v>2076</v>
      </c>
      <c r="H464" s="16" t="s">
        <v>82</v>
      </c>
      <c r="I464" s="19" t="s">
        <v>3</v>
      </c>
      <c r="J464" s="16" t="s">
        <v>12</v>
      </c>
      <c r="K464" s="20" t="s">
        <v>126</v>
      </c>
      <c r="L464" s="20" t="s">
        <v>2078</v>
      </c>
      <c r="M464" s="16" t="s">
        <v>85</v>
      </c>
      <c r="N464" s="16">
        <v>0</v>
      </c>
      <c r="O464" s="16" t="s">
        <v>50</v>
      </c>
      <c r="P464" s="20">
        <v>108</v>
      </c>
      <c r="Q464" s="20" t="s">
        <v>51</v>
      </c>
      <c r="R464" s="21" t="s">
        <v>287</v>
      </c>
      <c r="S464" s="22" t="s">
        <v>288</v>
      </c>
      <c r="T464" s="22" t="s">
        <v>54</v>
      </c>
      <c r="U464" s="23" t="s">
        <v>550</v>
      </c>
      <c r="V464" s="24">
        <v>1.1499999999999999</v>
      </c>
      <c r="W464" s="25">
        <v>1808.95</v>
      </c>
      <c r="X464" s="26">
        <v>1</v>
      </c>
      <c r="Y464" s="27">
        <v>2.4500000000000002</v>
      </c>
      <c r="Z464" s="23">
        <v>4</v>
      </c>
      <c r="AA464" s="28">
        <v>0.61250000000000004</v>
      </c>
      <c r="AB464" s="24">
        <v>0</v>
      </c>
      <c r="AC464" s="29">
        <v>0</v>
      </c>
      <c r="AD464" s="30">
        <v>43570</v>
      </c>
      <c r="AE464" s="30">
        <v>43570</v>
      </c>
      <c r="AF464" s="23">
        <v>0</v>
      </c>
      <c r="AG464" s="25" t="s">
        <v>56</v>
      </c>
      <c r="AH464" s="24">
        <v>0</v>
      </c>
      <c r="AI464" s="31">
        <v>0</v>
      </c>
      <c r="AJ464" s="31">
        <v>0</v>
      </c>
      <c r="AK464" s="44">
        <f t="shared" si="14"/>
        <v>1808.95</v>
      </c>
      <c r="AL464">
        <f>VLOOKUP(A464,'[1]prueba con 16mil datos'!$A$1:$AE$804,31,FALSE)</f>
        <v>1092</v>
      </c>
      <c r="AM464">
        <f t="shared" si="15"/>
        <v>0</v>
      </c>
      <c r="AO464">
        <f>VLOOKUP(A464,'[1]Prueba con 19mil datos'!$B$1:$AF$1228,31,FALSE)</f>
        <v>1092</v>
      </c>
    </row>
    <row r="465" spans="1:41" hidden="1" x14ac:dyDescent="0.25">
      <c r="A465" s="16" t="s">
        <v>883</v>
      </c>
      <c r="B465" s="15" t="s">
        <v>40</v>
      </c>
      <c r="C465" s="16">
        <v>1</v>
      </c>
      <c r="D465" s="16" t="s">
        <v>2011</v>
      </c>
      <c r="E465" s="17" t="s">
        <v>42</v>
      </c>
      <c r="F465" s="18" t="s">
        <v>733</v>
      </c>
      <c r="G465" s="18" t="s">
        <v>2012</v>
      </c>
      <c r="H465" s="16" t="s">
        <v>346</v>
      </c>
      <c r="I465" s="19" t="s">
        <v>3</v>
      </c>
      <c r="J465" s="16" t="s">
        <v>12</v>
      </c>
      <c r="K465" s="20" t="s">
        <v>198</v>
      </c>
      <c r="L465" s="20" t="s">
        <v>458</v>
      </c>
      <c r="M465" s="16" t="s">
        <v>459</v>
      </c>
      <c r="N465" s="16">
        <v>0</v>
      </c>
      <c r="O465" s="16" t="s">
        <v>50</v>
      </c>
      <c r="P465" s="20">
        <v>26</v>
      </c>
      <c r="Q465" s="20" t="s">
        <v>119</v>
      </c>
      <c r="R465" s="21" t="s">
        <v>279</v>
      </c>
      <c r="S465" s="22" t="s">
        <v>187</v>
      </c>
      <c r="T465" s="22" t="s">
        <v>54</v>
      </c>
      <c r="U465" s="23" t="s">
        <v>269</v>
      </c>
      <c r="V465" s="24">
        <v>1.05</v>
      </c>
      <c r="W465" s="25">
        <v>1651.6500000000003</v>
      </c>
      <c r="X465" s="26">
        <v>1</v>
      </c>
      <c r="Y465" s="27">
        <v>1.67</v>
      </c>
      <c r="Z465" s="23">
        <v>4</v>
      </c>
      <c r="AA465" s="28">
        <v>0.41749999999999998</v>
      </c>
      <c r="AB465" s="24">
        <v>0</v>
      </c>
      <c r="AC465" s="29">
        <v>0</v>
      </c>
      <c r="AD465" s="30">
        <v>43570</v>
      </c>
      <c r="AE465" s="30">
        <v>43570</v>
      </c>
      <c r="AF465" s="23">
        <v>0</v>
      </c>
      <c r="AG465" s="25" t="s">
        <v>56</v>
      </c>
      <c r="AH465" s="24">
        <v>0</v>
      </c>
      <c r="AI465" s="31">
        <v>0</v>
      </c>
      <c r="AJ465" s="31">
        <v>0</v>
      </c>
      <c r="AK465" s="44">
        <f t="shared" si="14"/>
        <v>1651.6500000000003</v>
      </c>
      <c r="AL465">
        <f>VLOOKUP(A465,'[1]prueba con 16mil datos'!$A$1:$AE$804,31,FALSE)</f>
        <v>819</v>
      </c>
      <c r="AM465">
        <f t="shared" si="15"/>
        <v>0</v>
      </c>
      <c r="AO465">
        <f>VLOOKUP(A465,'[1]Prueba con 19mil datos'!$B$1:$AF$1228,31,FALSE)</f>
        <v>819</v>
      </c>
    </row>
    <row r="466" spans="1:41" hidden="1" x14ac:dyDescent="0.25">
      <c r="A466" s="16" t="s">
        <v>883</v>
      </c>
      <c r="B466" s="15" t="s">
        <v>40</v>
      </c>
      <c r="C466" s="16">
        <v>1</v>
      </c>
      <c r="D466" s="16" t="s">
        <v>1982</v>
      </c>
      <c r="E466" s="17" t="s">
        <v>42</v>
      </c>
      <c r="F466" s="18" t="s">
        <v>275</v>
      </c>
      <c r="G466" s="18" t="s">
        <v>1983</v>
      </c>
      <c r="H466" s="16" t="s">
        <v>243</v>
      </c>
      <c r="I466" s="19" t="s">
        <v>3</v>
      </c>
      <c r="J466" s="16" t="s">
        <v>12</v>
      </c>
      <c r="K466" s="20" t="s">
        <v>126</v>
      </c>
      <c r="L466" s="20" t="s">
        <v>928</v>
      </c>
      <c r="M466" s="16" t="s">
        <v>372</v>
      </c>
      <c r="N466" s="16">
        <v>0</v>
      </c>
      <c r="O466" s="16" t="s">
        <v>50</v>
      </c>
      <c r="P466" s="20">
        <v>14</v>
      </c>
      <c r="Q466" s="20" t="s">
        <v>65</v>
      </c>
      <c r="R466" s="21" t="s">
        <v>279</v>
      </c>
      <c r="S466" s="22" t="s">
        <v>187</v>
      </c>
      <c r="T466" s="22" t="s">
        <v>54</v>
      </c>
      <c r="U466" s="23" t="s">
        <v>201</v>
      </c>
      <c r="V466" s="24">
        <v>0.8</v>
      </c>
      <c r="W466" s="25">
        <v>1258.4000000000003</v>
      </c>
      <c r="X466" s="26">
        <v>1</v>
      </c>
      <c r="Y466" s="27">
        <v>1.32</v>
      </c>
      <c r="Z466" s="23">
        <v>4</v>
      </c>
      <c r="AA466" s="28">
        <v>0.33</v>
      </c>
      <c r="AB466" s="24">
        <v>0</v>
      </c>
      <c r="AC466" s="29">
        <v>0</v>
      </c>
      <c r="AD466" s="30">
        <v>43570</v>
      </c>
      <c r="AE466" s="30">
        <v>43570</v>
      </c>
      <c r="AF466" s="23">
        <v>0</v>
      </c>
      <c r="AG466" s="25" t="s">
        <v>56</v>
      </c>
      <c r="AH466" s="24">
        <v>0</v>
      </c>
      <c r="AI466" s="31">
        <v>0</v>
      </c>
      <c r="AJ466" s="31">
        <v>0</v>
      </c>
      <c r="AK466" s="44">
        <f t="shared" si="14"/>
        <v>1258.4000000000003</v>
      </c>
      <c r="AL466">
        <f>VLOOKUP(A466,'[1]prueba con 16mil datos'!$A$1:$AE$804,31,FALSE)</f>
        <v>819</v>
      </c>
      <c r="AM466">
        <f t="shared" si="15"/>
        <v>0</v>
      </c>
      <c r="AO466">
        <f>VLOOKUP(A466,'[1]Prueba con 19mil datos'!$B$1:$AF$1228,31,FALSE)</f>
        <v>819</v>
      </c>
    </row>
    <row r="467" spans="1:41" hidden="1" x14ac:dyDescent="0.25">
      <c r="A467" s="16" t="s">
        <v>874</v>
      </c>
      <c r="B467" s="15" t="s">
        <v>40</v>
      </c>
      <c r="C467" s="16">
        <v>1</v>
      </c>
      <c r="D467" s="16" t="s">
        <v>2040</v>
      </c>
      <c r="E467" s="17" t="s">
        <v>42</v>
      </c>
      <c r="F467" s="18" t="s">
        <v>275</v>
      </c>
      <c r="G467" s="18" t="s">
        <v>2041</v>
      </c>
      <c r="H467" s="16" t="s">
        <v>143</v>
      </c>
      <c r="I467" s="19" t="s">
        <v>3</v>
      </c>
      <c r="J467" s="16" t="s">
        <v>12</v>
      </c>
      <c r="K467" s="20" t="s">
        <v>126</v>
      </c>
      <c r="L467" s="20" t="s">
        <v>366</v>
      </c>
      <c r="M467" s="16" t="s">
        <v>367</v>
      </c>
      <c r="N467" s="16">
        <v>0</v>
      </c>
      <c r="O467" s="16" t="s">
        <v>50</v>
      </c>
      <c r="P467" s="20">
        <v>9</v>
      </c>
      <c r="Q467" s="20" t="s">
        <v>65</v>
      </c>
      <c r="R467" s="21" t="s">
        <v>279</v>
      </c>
      <c r="S467" s="22" t="s">
        <v>187</v>
      </c>
      <c r="T467" s="22" t="s">
        <v>54</v>
      </c>
      <c r="U467" s="23" t="s">
        <v>201</v>
      </c>
      <c r="V467" s="24">
        <v>0.8</v>
      </c>
      <c r="W467" s="25">
        <v>1258.4000000000003</v>
      </c>
      <c r="X467" s="26">
        <v>1</v>
      </c>
      <c r="Y467" s="27">
        <v>1.7</v>
      </c>
      <c r="Z467" s="23">
        <v>4</v>
      </c>
      <c r="AA467" s="28">
        <v>0.42499999999999999</v>
      </c>
      <c r="AB467" s="24">
        <v>0</v>
      </c>
      <c r="AC467" s="29">
        <v>0</v>
      </c>
      <c r="AD467" s="30">
        <v>43570</v>
      </c>
      <c r="AE467" s="30">
        <v>43570</v>
      </c>
      <c r="AF467" s="23">
        <v>0</v>
      </c>
      <c r="AG467" s="25" t="s">
        <v>56</v>
      </c>
      <c r="AH467" s="24">
        <v>0</v>
      </c>
      <c r="AI467" s="31">
        <v>0</v>
      </c>
      <c r="AJ467" s="31">
        <v>0</v>
      </c>
      <c r="AK467" s="44">
        <f t="shared" si="14"/>
        <v>1258.4000000000003</v>
      </c>
      <c r="AL467">
        <f>VLOOKUP(A467,'[1]prueba con 16mil datos'!$A$1:$AE$804,31,FALSE)</f>
        <v>1433.25</v>
      </c>
      <c r="AM467">
        <f t="shared" si="15"/>
        <v>0</v>
      </c>
      <c r="AO467">
        <f>VLOOKUP(A467,'[1]Prueba con 19mil datos'!$B$1:$AF$1228,31,FALSE)</f>
        <v>1433.25</v>
      </c>
    </row>
    <row r="468" spans="1:41" hidden="1" x14ac:dyDescent="0.25">
      <c r="A468" s="16" t="s">
        <v>874</v>
      </c>
      <c r="B468" s="15" t="s">
        <v>40</v>
      </c>
      <c r="C468" s="16">
        <v>1</v>
      </c>
      <c r="D468" s="16" t="s">
        <v>1959</v>
      </c>
      <c r="E468" s="17" t="s">
        <v>42</v>
      </c>
      <c r="F468" s="18" t="s">
        <v>275</v>
      </c>
      <c r="G468" s="18" t="s">
        <v>1960</v>
      </c>
      <c r="H468" s="16" t="s">
        <v>109</v>
      </c>
      <c r="I468" s="19" t="s">
        <v>3</v>
      </c>
      <c r="J468" s="16" t="s">
        <v>12</v>
      </c>
      <c r="K468" s="20" t="s">
        <v>126</v>
      </c>
      <c r="L468" s="20" t="s">
        <v>699</v>
      </c>
      <c r="M468" s="16" t="s">
        <v>490</v>
      </c>
      <c r="N468" s="16">
        <v>0</v>
      </c>
      <c r="O468" s="16" t="s">
        <v>50</v>
      </c>
      <c r="P468" s="20">
        <v>82</v>
      </c>
      <c r="Q468" s="20" t="s">
        <v>51</v>
      </c>
      <c r="R468" s="21" t="s">
        <v>279</v>
      </c>
      <c r="S468" s="22" t="s">
        <v>187</v>
      </c>
      <c r="T468" s="22" t="s">
        <v>54</v>
      </c>
      <c r="U468" s="23" t="s">
        <v>550</v>
      </c>
      <c r="V468" s="24">
        <v>1.1499999999999999</v>
      </c>
      <c r="W468" s="25">
        <v>1808.95</v>
      </c>
      <c r="X468" s="26">
        <v>1</v>
      </c>
      <c r="Y468" s="27">
        <v>1.71</v>
      </c>
      <c r="Z468" s="23">
        <v>4</v>
      </c>
      <c r="AA468" s="28">
        <v>0.42749999999999999</v>
      </c>
      <c r="AB468" s="24">
        <v>0</v>
      </c>
      <c r="AC468" s="29">
        <v>0</v>
      </c>
      <c r="AD468" s="30">
        <v>43570</v>
      </c>
      <c r="AE468" s="30">
        <v>43570</v>
      </c>
      <c r="AF468" s="23">
        <v>0</v>
      </c>
      <c r="AG468" s="25" t="s">
        <v>56</v>
      </c>
      <c r="AH468" s="24">
        <v>0</v>
      </c>
      <c r="AI468" s="31">
        <v>0</v>
      </c>
      <c r="AJ468" s="31">
        <v>0</v>
      </c>
      <c r="AK468" s="44">
        <f t="shared" si="14"/>
        <v>1808.95</v>
      </c>
      <c r="AL468">
        <f>VLOOKUP(A468,'[1]prueba con 16mil datos'!$A$1:$AE$804,31,FALSE)</f>
        <v>1433.25</v>
      </c>
      <c r="AM468">
        <f t="shared" si="15"/>
        <v>0</v>
      </c>
      <c r="AO468">
        <f>VLOOKUP(A468,'[1]Prueba con 19mil datos'!$B$1:$AF$1228,31,FALSE)</f>
        <v>1433.25</v>
      </c>
    </row>
    <row r="469" spans="1:41" hidden="1" x14ac:dyDescent="0.25">
      <c r="A469" s="16" t="s">
        <v>874</v>
      </c>
      <c r="B469" s="15" t="s">
        <v>40</v>
      </c>
      <c r="C469" s="16">
        <v>1</v>
      </c>
      <c r="D469" s="16" t="s">
        <v>1962</v>
      </c>
      <c r="E469" s="17" t="s">
        <v>42</v>
      </c>
      <c r="F469" s="18" t="s">
        <v>275</v>
      </c>
      <c r="G469" s="18" t="s">
        <v>1963</v>
      </c>
      <c r="H469" s="16" t="s">
        <v>293</v>
      </c>
      <c r="I469" s="19" t="s">
        <v>3</v>
      </c>
      <c r="J469" s="16" t="s">
        <v>12</v>
      </c>
      <c r="K469" s="20" t="s">
        <v>126</v>
      </c>
      <c r="L469" s="20" t="s">
        <v>554</v>
      </c>
      <c r="M469" s="16" t="s">
        <v>555</v>
      </c>
      <c r="N469" s="16">
        <v>0</v>
      </c>
      <c r="O469" s="16" t="s">
        <v>50</v>
      </c>
      <c r="P469" s="20">
        <v>95</v>
      </c>
      <c r="Q469" s="20" t="s">
        <v>51</v>
      </c>
      <c r="R469" s="21" t="s">
        <v>279</v>
      </c>
      <c r="S469" s="22" t="s">
        <v>187</v>
      </c>
      <c r="T469" s="22" t="s">
        <v>54</v>
      </c>
      <c r="U469" s="23" t="s">
        <v>550</v>
      </c>
      <c r="V469" s="24">
        <v>1.1499999999999999</v>
      </c>
      <c r="W469" s="25">
        <v>1808.95</v>
      </c>
      <c r="X469" s="26">
        <v>1</v>
      </c>
      <c r="Y469" s="27">
        <v>1.83</v>
      </c>
      <c r="Z469" s="23">
        <v>4</v>
      </c>
      <c r="AA469" s="28">
        <v>0.45750000000000002</v>
      </c>
      <c r="AB469" s="24">
        <v>0</v>
      </c>
      <c r="AC469" s="29">
        <v>0</v>
      </c>
      <c r="AD469" s="30">
        <v>43570</v>
      </c>
      <c r="AE469" s="30">
        <v>43570</v>
      </c>
      <c r="AF469" s="23">
        <v>0</v>
      </c>
      <c r="AG469" s="25" t="s">
        <v>56</v>
      </c>
      <c r="AH469" s="24">
        <v>0</v>
      </c>
      <c r="AI469" s="31">
        <v>0</v>
      </c>
      <c r="AJ469" s="31">
        <v>0</v>
      </c>
      <c r="AK469" s="44">
        <f t="shared" si="14"/>
        <v>1808.95</v>
      </c>
      <c r="AL469">
        <f>VLOOKUP(A469,'[1]prueba con 16mil datos'!$A$1:$AE$804,31,FALSE)</f>
        <v>1433.25</v>
      </c>
      <c r="AM469">
        <f t="shared" si="15"/>
        <v>0</v>
      </c>
      <c r="AO469">
        <f>VLOOKUP(A469,'[1]Prueba con 19mil datos'!$B$1:$AF$1228,31,FALSE)</f>
        <v>1433.25</v>
      </c>
    </row>
    <row r="470" spans="1:41" hidden="1" x14ac:dyDescent="0.25">
      <c r="A470" s="16" t="s">
        <v>702</v>
      </c>
      <c r="B470" s="15" t="s">
        <v>40</v>
      </c>
      <c r="C470" s="16">
        <v>1</v>
      </c>
      <c r="D470" s="16" t="s">
        <v>1989</v>
      </c>
      <c r="E470" s="17" t="s">
        <v>42</v>
      </c>
      <c r="F470" s="18" t="s">
        <v>275</v>
      </c>
      <c r="G470" s="18" t="s">
        <v>1990</v>
      </c>
      <c r="H470" s="16" t="s">
        <v>207</v>
      </c>
      <c r="I470" s="19" t="s">
        <v>3</v>
      </c>
      <c r="J470" s="16" t="s">
        <v>12</v>
      </c>
      <c r="K470" s="20" t="s">
        <v>126</v>
      </c>
      <c r="L470" s="20" t="s">
        <v>1992</v>
      </c>
      <c r="M470" s="16" t="s">
        <v>200</v>
      </c>
      <c r="N470" s="16">
        <v>0</v>
      </c>
      <c r="O470" s="16" t="s">
        <v>50</v>
      </c>
      <c r="P470" s="20">
        <v>41</v>
      </c>
      <c r="Q470" s="20" t="s">
        <v>86</v>
      </c>
      <c r="R470" s="21" t="s">
        <v>279</v>
      </c>
      <c r="S470" s="22" t="s">
        <v>187</v>
      </c>
      <c r="T470" s="22" t="s">
        <v>54</v>
      </c>
      <c r="U470" s="23" t="s">
        <v>188</v>
      </c>
      <c r="V470" s="24">
        <v>1.1000000000000001</v>
      </c>
      <c r="W470" s="25">
        <v>1730.3000000000004</v>
      </c>
      <c r="X470" s="26">
        <v>1</v>
      </c>
      <c r="Y470" s="27">
        <v>1.6</v>
      </c>
      <c r="Z470" s="23">
        <v>4</v>
      </c>
      <c r="AA470" s="28">
        <v>0.4</v>
      </c>
      <c r="AB470" s="24">
        <v>0</v>
      </c>
      <c r="AC470" s="29">
        <v>0</v>
      </c>
      <c r="AD470" s="30">
        <v>43570</v>
      </c>
      <c r="AE470" s="30">
        <v>43570</v>
      </c>
      <c r="AF470" s="23">
        <v>0</v>
      </c>
      <c r="AG470" s="25" t="s">
        <v>56</v>
      </c>
      <c r="AH470" s="24">
        <v>0</v>
      </c>
      <c r="AI470" s="31">
        <v>0</v>
      </c>
      <c r="AJ470" s="31">
        <v>0</v>
      </c>
      <c r="AK470" s="44">
        <f t="shared" si="14"/>
        <v>1730.3000000000004</v>
      </c>
      <c r="AL470">
        <f>VLOOKUP(A470,'[1]prueba con 16mil datos'!$A$1:$AE$804,31,FALSE)</f>
        <v>1092</v>
      </c>
      <c r="AM470">
        <f t="shared" si="15"/>
        <v>0</v>
      </c>
      <c r="AO470">
        <f>VLOOKUP(A470,'[1]Prueba con 19mil datos'!$B$1:$AF$1228,31,FALSE)</f>
        <v>1092</v>
      </c>
    </row>
    <row r="471" spans="1:41" hidden="1" x14ac:dyDescent="0.25">
      <c r="A471" s="16" t="s">
        <v>477</v>
      </c>
      <c r="B471" s="15" t="s">
        <v>40</v>
      </c>
      <c r="C471" s="16">
        <v>1</v>
      </c>
      <c r="D471" s="16" t="s">
        <v>2055</v>
      </c>
      <c r="E471" s="17" t="s">
        <v>42</v>
      </c>
      <c r="F471" s="18" t="s">
        <v>275</v>
      </c>
      <c r="G471" s="18" t="s">
        <v>2056</v>
      </c>
      <c r="H471" s="16" t="s">
        <v>213</v>
      </c>
      <c r="I471" s="19" t="s">
        <v>3</v>
      </c>
      <c r="J471" s="16" t="s">
        <v>12</v>
      </c>
      <c r="K471" s="20" t="s">
        <v>126</v>
      </c>
      <c r="L471" s="20" t="s">
        <v>1401</v>
      </c>
      <c r="M471" s="16" t="s">
        <v>479</v>
      </c>
      <c r="N471" s="16">
        <v>0</v>
      </c>
      <c r="O471" s="16" t="s">
        <v>50</v>
      </c>
      <c r="P471" s="20">
        <v>129</v>
      </c>
      <c r="Q471" s="20" t="s">
        <v>51</v>
      </c>
      <c r="R471" s="21" t="s">
        <v>279</v>
      </c>
      <c r="S471" s="22" t="s">
        <v>187</v>
      </c>
      <c r="T471" s="22" t="s">
        <v>54</v>
      </c>
      <c r="U471" s="23" t="s">
        <v>550</v>
      </c>
      <c r="V471" s="24">
        <v>1.1499999999999999</v>
      </c>
      <c r="W471" s="25">
        <v>1808.95</v>
      </c>
      <c r="X471" s="26">
        <v>1</v>
      </c>
      <c r="Y471" s="27">
        <v>4</v>
      </c>
      <c r="Z471" s="23">
        <v>4</v>
      </c>
      <c r="AA471" s="28">
        <v>1</v>
      </c>
      <c r="AB471" s="24">
        <v>0</v>
      </c>
      <c r="AC471" s="29">
        <v>0</v>
      </c>
      <c r="AD471" s="30">
        <v>43570</v>
      </c>
      <c r="AE471" s="30">
        <v>43570</v>
      </c>
      <c r="AF471" s="23">
        <v>0</v>
      </c>
      <c r="AG471" s="25" t="s">
        <v>56</v>
      </c>
      <c r="AH471" s="24">
        <v>0</v>
      </c>
      <c r="AI471" s="31">
        <v>0</v>
      </c>
      <c r="AJ471" s="31">
        <v>0</v>
      </c>
      <c r="AK471" s="44">
        <f t="shared" si="14"/>
        <v>1808.95</v>
      </c>
      <c r="AL471">
        <f>VLOOKUP(A471,'[1]prueba con 16mil datos'!$A$1:$AE$804,31,FALSE)</f>
        <v>1433.25</v>
      </c>
      <c r="AM471">
        <f t="shared" si="15"/>
        <v>0</v>
      </c>
      <c r="AO471">
        <f>VLOOKUP(A471,'[1]Prueba con 19mil datos'!$B$1:$AF$1228,31,FALSE)</f>
        <v>1433.25</v>
      </c>
    </row>
    <row r="472" spans="1:41" hidden="1" x14ac:dyDescent="0.25">
      <c r="A472" s="16" t="s">
        <v>477</v>
      </c>
      <c r="B472" s="15" t="s">
        <v>40</v>
      </c>
      <c r="C472" s="16">
        <v>1</v>
      </c>
      <c r="D472" s="16" t="s">
        <v>1949</v>
      </c>
      <c r="E472" s="17" t="s">
        <v>42</v>
      </c>
      <c r="F472" s="18" t="s">
        <v>275</v>
      </c>
      <c r="G472" s="18" t="s">
        <v>1950</v>
      </c>
      <c r="H472" s="16" t="s">
        <v>293</v>
      </c>
      <c r="I472" s="19" t="s">
        <v>3</v>
      </c>
      <c r="J472" s="16" t="s">
        <v>12</v>
      </c>
      <c r="K472" s="20" t="s">
        <v>126</v>
      </c>
      <c r="L472" s="20" t="s">
        <v>1534</v>
      </c>
      <c r="M472" s="16" t="s">
        <v>555</v>
      </c>
      <c r="N472" s="16">
        <v>0</v>
      </c>
      <c r="O472" s="16" t="s">
        <v>50</v>
      </c>
      <c r="P472" s="20">
        <v>82</v>
      </c>
      <c r="Q472" s="20" t="s">
        <v>51</v>
      </c>
      <c r="R472" s="21" t="s">
        <v>279</v>
      </c>
      <c r="S472" s="22" t="s">
        <v>187</v>
      </c>
      <c r="T472" s="22" t="s">
        <v>54</v>
      </c>
      <c r="U472" s="23" t="s">
        <v>550</v>
      </c>
      <c r="V472" s="24">
        <v>1.1499999999999999</v>
      </c>
      <c r="W472" s="25">
        <v>1808.95</v>
      </c>
      <c r="X472" s="26">
        <v>1</v>
      </c>
      <c r="Y472" s="27">
        <v>0</v>
      </c>
      <c r="Z472" s="23">
        <v>4</v>
      </c>
      <c r="AA472" s="28">
        <v>0</v>
      </c>
      <c r="AB472" s="24">
        <v>0</v>
      </c>
      <c r="AC472" s="29">
        <v>0</v>
      </c>
      <c r="AD472" s="30">
        <v>43570</v>
      </c>
      <c r="AE472" s="30">
        <v>43570</v>
      </c>
      <c r="AF472" s="23">
        <v>0</v>
      </c>
      <c r="AG472" s="25" t="s">
        <v>56</v>
      </c>
      <c r="AH472" s="24">
        <v>0</v>
      </c>
      <c r="AI472" s="31">
        <v>0</v>
      </c>
      <c r="AJ472" s="31">
        <v>0</v>
      </c>
      <c r="AK472" s="44">
        <f t="shared" si="14"/>
        <v>1808.95</v>
      </c>
      <c r="AL472">
        <f>VLOOKUP(A472,'[1]prueba con 16mil datos'!$A$1:$AE$804,31,FALSE)</f>
        <v>1433.25</v>
      </c>
      <c r="AM472">
        <f t="shared" si="15"/>
        <v>0</v>
      </c>
      <c r="AO472">
        <f>VLOOKUP(A472,'[1]Prueba con 19mil datos'!$B$1:$AF$1228,31,FALSE)</f>
        <v>1433.25</v>
      </c>
    </row>
    <row r="473" spans="1:41" hidden="1" x14ac:dyDescent="0.25">
      <c r="A473" s="16" t="s">
        <v>3088</v>
      </c>
      <c r="B473" s="15" t="s">
        <v>40</v>
      </c>
      <c r="C473" s="16">
        <v>1</v>
      </c>
      <c r="D473" s="16" t="s">
        <v>1957</v>
      </c>
      <c r="E473" s="17" t="s">
        <v>42</v>
      </c>
      <c r="F473" s="18" t="s">
        <v>275</v>
      </c>
      <c r="G473" s="18" t="s">
        <v>1958</v>
      </c>
      <c r="H473" s="16" t="s">
        <v>213</v>
      </c>
      <c r="I473" s="19" t="s">
        <v>3</v>
      </c>
      <c r="J473" s="16" t="s">
        <v>12</v>
      </c>
      <c r="K473" s="20" t="s">
        <v>126</v>
      </c>
      <c r="L473" s="20" t="s">
        <v>1299</v>
      </c>
      <c r="M473" s="16" t="s">
        <v>479</v>
      </c>
      <c r="N473" s="16">
        <v>0</v>
      </c>
      <c r="O473" s="16" t="s">
        <v>50</v>
      </c>
      <c r="P473" s="20">
        <v>4</v>
      </c>
      <c r="Q473" s="20" t="s">
        <v>311</v>
      </c>
      <c r="R473" s="21" t="s">
        <v>279</v>
      </c>
      <c r="S473" s="22" t="s">
        <v>187</v>
      </c>
      <c r="T473" s="22" t="s">
        <v>54</v>
      </c>
      <c r="U473" s="23" t="s">
        <v>362</v>
      </c>
      <c r="V473" s="24">
        <v>0.6</v>
      </c>
      <c r="W473" s="25">
        <v>943.80000000000007</v>
      </c>
      <c r="X473" s="26">
        <v>1</v>
      </c>
      <c r="Y473" s="27">
        <v>1.5</v>
      </c>
      <c r="Z473" s="23">
        <v>4</v>
      </c>
      <c r="AA473" s="28">
        <v>0.375</v>
      </c>
      <c r="AB473" s="24">
        <v>0</v>
      </c>
      <c r="AC473" s="29">
        <v>0</v>
      </c>
      <c r="AD473" s="30">
        <v>43570</v>
      </c>
      <c r="AE473" s="30">
        <v>43570</v>
      </c>
      <c r="AF473" s="23">
        <v>0</v>
      </c>
      <c r="AG473" s="25" t="s">
        <v>56</v>
      </c>
      <c r="AH473" s="24">
        <v>0</v>
      </c>
      <c r="AI473" s="31">
        <v>0</v>
      </c>
      <c r="AJ473" s="31">
        <v>0</v>
      </c>
      <c r="AK473" s="44">
        <f t="shared" si="14"/>
        <v>943.80000000000007</v>
      </c>
      <c r="AL473">
        <f>VLOOKUP(A473,'[1]prueba con 16mil datos'!$A$1:$AE$804,31,FALSE)</f>
        <v>1365</v>
      </c>
      <c r="AM473">
        <f t="shared" si="15"/>
        <v>0</v>
      </c>
      <c r="AO473">
        <f>VLOOKUP(A473,'[1]Prueba con 19mil datos'!$B$1:$AF$1228,31,FALSE)</f>
        <v>1365</v>
      </c>
    </row>
    <row r="474" spans="1:41" hidden="1" x14ac:dyDescent="0.25">
      <c r="A474" s="16" t="s">
        <v>2523</v>
      </c>
      <c r="B474" s="15" t="s">
        <v>40</v>
      </c>
      <c r="C474" s="16">
        <v>1</v>
      </c>
      <c r="D474" s="16" t="s">
        <v>2019</v>
      </c>
      <c r="E474" s="17" t="s">
        <v>42</v>
      </c>
      <c r="F474" s="18" t="s">
        <v>275</v>
      </c>
      <c r="G474" s="18" t="s">
        <v>2020</v>
      </c>
      <c r="H474" s="16" t="s">
        <v>168</v>
      </c>
      <c r="I474" s="19" t="s">
        <v>3</v>
      </c>
      <c r="J474" s="16" t="s">
        <v>12</v>
      </c>
      <c r="K474" s="20" t="s">
        <v>126</v>
      </c>
      <c r="L474" s="20" t="s">
        <v>2022</v>
      </c>
      <c r="M474" s="16" t="s">
        <v>171</v>
      </c>
      <c r="N474" s="16">
        <v>0</v>
      </c>
      <c r="O474" s="16" t="s">
        <v>50</v>
      </c>
      <c r="P474" s="20">
        <v>12</v>
      </c>
      <c r="Q474" s="20" t="s">
        <v>65</v>
      </c>
      <c r="R474" s="21" t="s">
        <v>279</v>
      </c>
      <c r="S474" s="22" t="s">
        <v>187</v>
      </c>
      <c r="T474" s="22" t="s">
        <v>54</v>
      </c>
      <c r="U474" s="23" t="s">
        <v>201</v>
      </c>
      <c r="V474" s="24">
        <v>0.8</v>
      </c>
      <c r="W474" s="25">
        <v>1258.4000000000003</v>
      </c>
      <c r="X474" s="26">
        <v>1</v>
      </c>
      <c r="Y474" s="27">
        <v>2</v>
      </c>
      <c r="Z474" s="23">
        <v>4</v>
      </c>
      <c r="AA474" s="28">
        <v>0.5</v>
      </c>
      <c r="AB474" s="24">
        <v>0</v>
      </c>
      <c r="AC474" s="29">
        <v>0</v>
      </c>
      <c r="AD474" s="30">
        <v>43570</v>
      </c>
      <c r="AE474" s="30">
        <v>43570</v>
      </c>
      <c r="AF474" s="23">
        <v>0</v>
      </c>
      <c r="AG474" s="25" t="s">
        <v>56</v>
      </c>
      <c r="AH474" s="24">
        <v>0</v>
      </c>
      <c r="AI474" s="31">
        <v>0</v>
      </c>
      <c r="AJ474" s="31">
        <v>0</v>
      </c>
      <c r="AK474" s="44">
        <f t="shared" si="14"/>
        <v>1258.4000000000003</v>
      </c>
      <c r="AL474">
        <f>VLOOKUP(A474,'[1]prueba con 16mil datos'!$A$1:$AE$804,31,FALSE)</f>
        <v>1501.5</v>
      </c>
      <c r="AM474">
        <f t="shared" si="15"/>
        <v>0</v>
      </c>
      <c r="AO474">
        <f>VLOOKUP(A474,'[1]Prueba con 19mil datos'!$B$1:$AF$1228,31,FALSE)</f>
        <v>1501.5</v>
      </c>
    </row>
    <row r="475" spans="1:41" hidden="1" x14ac:dyDescent="0.25">
      <c r="A475" s="16" t="s">
        <v>2523</v>
      </c>
      <c r="B475" s="15" t="s">
        <v>40</v>
      </c>
      <c r="C475" s="16">
        <v>1</v>
      </c>
      <c r="D475" s="16" t="s">
        <v>1955</v>
      </c>
      <c r="E475" s="17" t="s">
        <v>42</v>
      </c>
      <c r="F475" s="18" t="s">
        <v>275</v>
      </c>
      <c r="G475" s="18" t="s">
        <v>1956</v>
      </c>
      <c r="H475" s="16" t="s">
        <v>293</v>
      </c>
      <c r="I475" s="19" t="s">
        <v>3</v>
      </c>
      <c r="J475" s="16" t="s">
        <v>12</v>
      </c>
      <c r="K475" s="20" t="s">
        <v>126</v>
      </c>
      <c r="L475" s="20" t="s">
        <v>1534</v>
      </c>
      <c r="M475" s="16" t="s">
        <v>555</v>
      </c>
      <c r="N475" s="16">
        <v>0</v>
      </c>
      <c r="O475" s="16" t="s">
        <v>50</v>
      </c>
      <c r="P475" s="20">
        <v>5</v>
      </c>
      <c r="Q475" s="20" t="s">
        <v>311</v>
      </c>
      <c r="R475" s="21" t="s">
        <v>279</v>
      </c>
      <c r="S475" s="22" t="s">
        <v>187</v>
      </c>
      <c r="T475" s="22" t="s">
        <v>54</v>
      </c>
      <c r="U475" s="23" t="s">
        <v>362</v>
      </c>
      <c r="V475" s="24">
        <v>0.6</v>
      </c>
      <c r="W475" s="25">
        <v>943.80000000000007</v>
      </c>
      <c r="X475" s="26">
        <v>1</v>
      </c>
      <c r="Y475" s="27">
        <v>0.83</v>
      </c>
      <c r="Z475" s="23">
        <v>4</v>
      </c>
      <c r="AA475" s="28">
        <v>0.20749999999999999</v>
      </c>
      <c r="AB475" s="24">
        <v>0</v>
      </c>
      <c r="AC475" s="29">
        <v>0</v>
      </c>
      <c r="AD475" s="30">
        <v>43570</v>
      </c>
      <c r="AE475" s="30">
        <v>43570</v>
      </c>
      <c r="AF475" s="23">
        <v>0</v>
      </c>
      <c r="AG475" s="25" t="s">
        <v>56</v>
      </c>
      <c r="AH475" s="24">
        <v>0</v>
      </c>
      <c r="AI475" s="31">
        <v>0</v>
      </c>
      <c r="AJ475" s="31">
        <v>0</v>
      </c>
      <c r="AK475" s="44">
        <f t="shared" si="14"/>
        <v>943.80000000000007</v>
      </c>
      <c r="AL475">
        <f>VLOOKUP(A475,'[1]prueba con 16mil datos'!$A$1:$AE$804,31,FALSE)</f>
        <v>1501.5</v>
      </c>
      <c r="AM475">
        <f t="shared" si="15"/>
        <v>0</v>
      </c>
      <c r="AO475">
        <f>VLOOKUP(A475,'[1]Prueba con 19mil datos'!$B$1:$AF$1228,31,FALSE)</f>
        <v>1501.5</v>
      </c>
    </row>
    <row r="476" spans="1:41" hidden="1" x14ac:dyDescent="0.25">
      <c r="A476" s="16" t="s">
        <v>973</v>
      </c>
      <c r="B476" s="15" t="s">
        <v>40</v>
      </c>
      <c r="C476" s="16">
        <v>1</v>
      </c>
      <c r="D476" s="16" t="s">
        <v>2033</v>
      </c>
      <c r="E476" s="17" t="s">
        <v>42</v>
      </c>
      <c r="F476" s="18" t="s">
        <v>275</v>
      </c>
      <c r="G476" s="18" t="s">
        <v>2034</v>
      </c>
      <c r="H476" s="16" t="s">
        <v>243</v>
      </c>
      <c r="I476" s="19" t="s">
        <v>3</v>
      </c>
      <c r="J476" s="16" t="s">
        <v>12</v>
      </c>
      <c r="K476" s="20" t="s">
        <v>1807</v>
      </c>
      <c r="L476" s="20" t="s">
        <v>1808</v>
      </c>
      <c r="M476" s="16" t="s">
        <v>414</v>
      </c>
      <c r="N476" s="16">
        <v>0</v>
      </c>
      <c r="O476" s="16" t="s">
        <v>50</v>
      </c>
      <c r="P476" s="20">
        <v>50</v>
      </c>
      <c r="Q476" s="20" t="s">
        <v>86</v>
      </c>
      <c r="R476" s="21" t="s">
        <v>279</v>
      </c>
      <c r="S476" s="22" t="s">
        <v>187</v>
      </c>
      <c r="T476" s="22" t="s">
        <v>54</v>
      </c>
      <c r="U476" s="23" t="s">
        <v>188</v>
      </c>
      <c r="V476" s="24">
        <v>1.1000000000000001</v>
      </c>
      <c r="W476" s="25">
        <v>1730.3000000000004</v>
      </c>
      <c r="X476" s="26">
        <v>1</v>
      </c>
      <c r="Y476" s="27">
        <v>1.02</v>
      </c>
      <c r="Z476" s="23">
        <v>4</v>
      </c>
      <c r="AA476" s="28">
        <v>0.255</v>
      </c>
      <c r="AB476" s="24">
        <v>0</v>
      </c>
      <c r="AC476" s="29">
        <v>0</v>
      </c>
      <c r="AD476" s="30">
        <v>43570</v>
      </c>
      <c r="AE476" s="30">
        <v>43570</v>
      </c>
      <c r="AF476" s="23">
        <v>0</v>
      </c>
      <c r="AG476" s="25" t="s">
        <v>56</v>
      </c>
      <c r="AH476" s="24">
        <v>0</v>
      </c>
      <c r="AI476" s="31">
        <v>0</v>
      </c>
      <c r="AJ476" s="31">
        <v>0</v>
      </c>
      <c r="AK476" s="44">
        <f t="shared" si="14"/>
        <v>1730.3000000000004</v>
      </c>
      <c r="AL476">
        <f>VLOOKUP(A476,'[1]prueba con 16mil datos'!$A$1:$AE$804,31,FALSE)</f>
        <v>819</v>
      </c>
      <c r="AM476">
        <f t="shared" si="15"/>
        <v>0</v>
      </c>
      <c r="AO476">
        <f>VLOOKUP(A476,'[1]Prueba con 19mil datos'!$B$1:$AF$1228,31,FALSE)</f>
        <v>819</v>
      </c>
    </row>
    <row r="477" spans="1:41" hidden="1" x14ac:dyDescent="0.25">
      <c r="A477" s="16" t="s">
        <v>973</v>
      </c>
      <c r="B477" s="15" t="s">
        <v>40</v>
      </c>
      <c r="C477" s="16">
        <v>1</v>
      </c>
      <c r="D477" s="16" t="s">
        <v>2063</v>
      </c>
      <c r="E477" s="17" t="s">
        <v>42</v>
      </c>
      <c r="F477" s="18" t="s">
        <v>335</v>
      </c>
      <c r="G477" s="18" t="s">
        <v>2064</v>
      </c>
      <c r="H477" s="16" t="s">
        <v>660</v>
      </c>
      <c r="I477" s="19" t="s">
        <v>3</v>
      </c>
      <c r="J477" s="16" t="s">
        <v>12</v>
      </c>
      <c r="K477" s="20" t="s">
        <v>208</v>
      </c>
      <c r="L477" s="20" t="s">
        <v>1948</v>
      </c>
      <c r="M477" s="16" t="s">
        <v>833</v>
      </c>
      <c r="N477" s="16">
        <v>0</v>
      </c>
      <c r="O477" s="16" t="s">
        <v>50</v>
      </c>
      <c r="P477" s="20">
        <v>42</v>
      </c>
      <c r="Q477" s="20" t="s">
        <v>86</v>
      </c>
      <c r="R477" s="21" t="s">
        <v>77</v>
      </c>
      <c r="S477" s="22" t="s">
        <v>53</v>
      </c>
      <c r="T477" s="22" t="s">
        <v>54</v>
      </c>
      <c r="U477" s="23" t="s">
        <v>88</v>
      </c>
      <c r="V477" s="24">
        <v>0.8</v>
      </c>
      <c r="W477" s="25">
        <v>572.00000000000011</v>
      </c>
      <c r="X477" s="26">
        <v>1</v>
      </c>
      <c r="Y477" s="27">
        <v>2.4300000000000002</v>
      </c>
      <c r="Z477" s="23">
        <v>5</v>
      </c>
      <c r="AA477" s="28">
        <v>0.48600000000000004</v>
      </c>
      <c r="AB477" s="24">
        <v>0</v>
      </c>
      <c r="AC477" s="29">
        <v>0</v>
      </c>
      <c r="AD477" s="30">
        <v>43570</v>
      </c>
      <c r="AE477" s="30">
        <v>43570</v>
      </c>
      <c r="AF477" s="23">
        <v>0</v>
      </c>
      <c r="AG477" s="25" t="s">
        <v>56</v>
      </c>
      <c r="AH477" s="24">
        <v>0</v>
      </c>
      <c r="AI477" s="31">
        <v>0</v>
      </c>
      <c r="AJ477" s="31">
        <v>0</v>
      </c>
      <c r="AK477" s="44">
        <f t="shared" si="14"/>
        <v>572.00000000000011</v>
      </c>
      <c r="AL477">
        <f>VLOOKUP(A477,'[1]prueba con 16mil datos'!$A$1:$AE$804,31,FALSE)</f>
        <v>819</v>
      </c>
      <c r="AM477">
        <f t="shared" si="15"/>
        <v>0</v>
      </c>
      <c r="AO477">
        <f>VLOOKUP(A477,'[1]Prueba con 19mil datos'!$B$1:$AF$1228,31,FALSE)</f>
        <v>819</v>
      </c>
    </row>
    <row r="478" spans="1:41" hidden="1" x14ac:dyDescent="0.25">
      <c r="A478" s="16" t="s">
        <v>352</v>
      </c>
      <c r="B478" s="15" t="s">
        <v>40</v>
      </c>
      <c r="C478" s="16">
        <v>1</v>
      </c>
      <c r="D478" s="16" t="s">
        <v>2052</v>
      </c>
      <c r="E478" s="17" t="s">
        <v>42</v>
      </c>
      <c r="F478" s="18" t="s">
        <v>335</v>
      </c>
      <c r="G478" s="18" t="s">
        <v>2053</v>
      </c>
      <c r="H478" s="16" t="s">
        <v>660</v>
      </c>
      <c r="I478" s="19" t="s">
        <v>3</v>
      </c>
      <c r="J478" s="16" t="s">
        <v>12</v>
      </c>
      <c r="K478" s="20" t="s">
        <v>208</v>
      </c>
      <c r="L478" s="20" t="s">
        <v>1948</v>
      </c>
      <c r="M478" s="16" t="s">
        <v>833</v>
      </c>
      <c r="N478" s="16">
        <v>0</v>
      </c>
      <c r="O478" s="16" t="s">
        <v>50</v>
      </c>
      <c r="P478" s="20">
        <v>230</v>
      </c>
      <c r="Q478" s="20" t="s">
        <v>51</v>
      </c>
      <c r="R478" s="21" t="s">
        <v>77</v>
      </c>
      <c r="S478" s="22" t="s">
        <v>53</v>
      </c>
      <c r="T478" s="22" t="s">
        <v>54</v>
      </c>
      <c r="U478" s="23" t="s">
        <v>55</v>
      </c>
      <c r="V478" s="24">
        <v>1.05</v>
      </c>
      <c r="W478" s="25">
        <v>750.75000000000011</v>
      </c>
      <c r="X478" s="26">
        <v>1</v>
      </c>
      <c r="Y478" s="27">
        <v>1.66</v>
      </c>
      <c r="Z478" s="23">
        <v>5</v>
      </c>
      <c r="AA478" s="28">
        <v>0.33199999999999996</v>
      </c>
      <c r="AB478" s="24">
        <v>0</v>
      </c>
      <c r="AC478" s="29">
        <v>0</v>
      </c>
      <c r="AD478" s="30">
        <v>43570</v>
      </c>
      <c r="AE478" s="30">
        <v>43570</v>
      </c>
      <c r="AF478" s="23">
        <v>0</v>
      </c>
      <c r="AG478" s="25" t="s">
        <v>56</v>
      </c>
      <c r="AH478" s="24">
        <v>0</v>
      </c>
      <c r="AI478" s="31">
        <v>0</v>
      </c>
      <c r="AJ478" s="31">
        <v>0</v>
      </c>
      <c r="AK478" s="44">
        <f t="shared" si="14"/>
        <v>750.75000000000011</v>
      </c>
      <c r="AL478">
        <f>VLOOKUP(A478,'[1]prueba con 16mil datos'!$A$1:$AE$804,31,FALSE)</f>
        <v>1092</v>
      </c>
      <c r="AM478">
        <f t="shared" si="15"/>
        <v>0</v>
      </c>
      <c r="AO478">
        <f>VLOOKUP(A478,'[1]Prueba con 19mil datos'!$B$1:$AF$1228,31,FALSE)</f>
        <v>1092</v>
      </c>
    </row>
    <row r="479" spans="1:41" hidden="1" x14ac:dyDescent="0.25">
      <c r="A479" s="16" t="s">
        <v>352</v>
      </c>
      <c r="B479" s="15" t="s">
        <v>40</v>
      </c>
      <c r="C479" s="16">
        <v>1</v>
      </c>
      <c r="D479" s="16" t="s">
        <v>2027</v>
      </c>
      <c r="E479" s="17" t="s">
        <v>42</v>
      </c>
      <c r="F479" s="18" t="s">
        <v>913</v>
      </c>
      <c r="G479" s="18" t="s">
        <v>2028</v>
      </c>
      <c r="H479" s="16" t="s">
        <v>192</v>
      </c>
      <c r="I479" s="19" t="s">
        <v>3</v>
      </c>
      <c r="J479" s="16" t="s">
        <v>12</v>
      </c>
      <c r="K479" s="20" t="s">
        <v>378</v>
      </c>
      <c r="L479" s="20" t="s">
        <v>1330</v>
      </c>
      <c r="M479" s="16" t="s">
        <v>485</v>
      </c>
      <c r="N479" s="16">
        <v>0</v>
      </c>
      <c r="O479" s="16" t="s">
        <v>50</v>
      </c>
      <c r="P479" s="20">
        <v>2692</v>
      </c>
      <c r="Q479" s="20" t="s">
        <v>51</v>
      </c>
      <c r="R479" s="21" t="s">
        <v>87</v>
      </c>
      <c r="S479" s="22" t="s">
        <v>53</v>
      </c>
      <c r="T479" s="22" t="s">
        <v>157</v>
      </c>
      <c r="U479" s="23" t="s">
        <v>55</v>
      </c>
      <c r="V479" s="24">
        <v>1.05</v>
      </c>
      <c r="W479" s="25">
        <v>750.75000000000011</v>
      </c>
      <c r="X479" s="26">
        <v>1</v>
      </c>
      <c r="Y479" s="27">
        <v>1.65</v>
      </c>
      <c r="Z479" s="23">
        <v>9</v>
      </c>
      <c r="AA479" s="28">
        <v>0.18333333333333332</v>
      </c>
      <c r="AB479" s="24">
        <v>0</v>
      </c>
      <c r="AC479" s="29">
        <v>0</v>
      </c>
      <c r="AD479" s="30">
        <v>43570</v>
      </c>
      <c r="AE479" s="30">
        <v>43570</v>
      </c>
      <c r="AF479" s="23">
        <v>0</v>
      </c>
      <c r="AG479" s="25" t="s">
        <v>56</v>
      </c>
      <c r="AH479" s="24">
        <v>0</v>
      </c>
      <c r="AI479" s="31">
        <v>0</v>
      </c>
      <c r="AJ479" s="31">
        <v>0</v>
      </c>
      <c r="AK479" s="44">
        <f t="shared" si="14"/>
        <v>750.75000000000011</v>
      </c>
      <c r="AL479">
        <f>VLOOKUP(A479,'[1]prueba con 16mil datos'!$A$1:$AE$804,31,FALSE)</f>
        <v>1092</v>
      </c>
      <c r="AM479">
        <f t="shared" si="15"/>
        <v>0</v>
      </c>
      <c r="AO479">
        <f>VLOOKUP(A479,'[1]Prueba con 19mil datos'!$B$1:$AF$1228,31,FALSE)</f>
        <v>1092</v>
      </c>
    </row>
    <row r="480" spans="1:41" hidden="1" x14ac:dyDescent="0.25">
      <c r="A480" s="16" t="s">
        <v>352</v>
      </c>
      <c r="B480" s="15" t="s">
        <v>40</v>
      </c>
      <c r="C480" s="16">
        <v>1</v>
      </c>
      <c r="D480" s="16" t="s">
        <v>2000</v>
      </c>
      <c r="E480" s="17" t="s">
        <v>1132</v>
      </c>
      <c r="F480" s="18" t="s">
        <v>180</v>
      </c>
      <c r="G480" s="18" t="s">
        <v>2001</v>
      </c>
      <c r="H480" s="16" t="s">
        <v>109</v>
      </c>
      <c r="I480" s="19" t="s">
        <v>3</v>
      </c>
      <c r="J480" s="16" t="s">
        <v>12</v>
      </c>
      <c r="K480" s="20" t="s">
        <v>126</v>
      </c>
      <c r="L480" s="20" t="s">
        <v>2003</v>
      </c>
      <c r="M480" s="16" t="s">
        <v>111</v>
      </c>
      <c r="N480" s="16">
        <v>0</v>
      </c>
      <c r="O480" s="16" t="s">
        <v>50</v>
      </c>
      <c r="P480" s="20" t="s">
        <v>326</v>
      </c>
      <c r="Q480" s="20" t="s">
        <v>51</v>
      </c>
      <c r="R480" s="21" t="s">
        <v>186</v>
      </c>
      <c r="S480" s="22" t="s">
        <v>187</v>
      </c>
      <c r="T480" s="22" t="s">
        <v>54</v>
      </c>
      <c r="U480" s="23" t="s">
        <v>550</v>
      </c>
      <c r="V480" s="24">
        <v>1</v>
      </c>
      <c r="W480" s="25">
        <v>1573.0000000000002</v>
      </c>
      <c r="X480" s="26">
        <v>0</v>
      </c>
      <c r="Y480" s="27">
        <v>4</v>
      </c>
      <c r="Z480" s="23">
        <v>4</v>
      </c>
      <c r="AA480" s="28">
        <v>1</v>
      </c>
      <c r="AB480" s="24">
        <v>0</v>
      </c>
      <c r="AC480" s="29">
        <v>0</v>
      </c>
      <c r="AD480" s="30">
        <v>43570</v>
      </c>
      <c r="AE480" s="30">
        <v>43570</v>
      </c>
      <c r="AF480" s="23">
        <v>0</v>
      </c>
      <c r="AG480" s="25" t="s">
        <v>56</v>
      </c>
      <c r="AH480" s="24">
        <v>0</v>
      </c>
      <c r="AI480" s="31">
        <v>0</v>
      </c>
      <c r="AJ480" s="31">
        <v>0</v>
      </c>
      <c r="AK480" s="44">
        <f t="shared" si="14"/>
        <v>1573.0000000000002</v>
      </c>
      <c r="AL480">
        <f>VLOOKUP(A480,'[1]prueba con 16mil datos'!$A$1:$AE$804,31,FALSE)</f>
        <v>1092</v>
      </c>
      <c r="AM480">
        <f t="shared" si="15"/>
        <v>0</v>
      </c>
      <c r="AO480">
        <f>VLOOKUP(A480,'[1]Prueba con 19mil datos'!$B$1:$AF$1228,31,FALSE)</f>
        <v>1092</v>
      </c>
    </row>
    <row r="481" spans="1:41" hidden="1" x14ac:dyDescent="0.25">
      <c r="A481" s="16" t="s">
        <v>2032</v>
      </c>
      <c r="B481" s="15" t="s">
        <v>40</v>
      </c>
      <c r="C481" s="16">
        <v>1</v>
      </c>
      <c r="D481" s="16" t="s">
        <v>2458</v>
      </c>
      <c r="E481" s="17" t="s">
        <v>42</v>
      </c>
      <c r="F481" s="18" t="s">
        <v>953</v>
      </c>
      <c r="G481" s="18" t="s">
        <v>2459</v>
      </c>
      <c r="H481" s="16" t="s">
        <v>109</v>
      </c>
      <c r="I481" s="19" t="s">
        <v>3</v>
      </c>
      <c r="J481" s="16" t="s">
        <v>12</v>
      </c>
      <c r="K481" s="20" t="s">
        <v>2461</v>
      </c>
      <c r="L481" s="20" t="s">
        <v>2462</v>
      </c>
      <c r="M481" s="16" t="s">
        <v>2463</v>
      </c>
      <c r="N481" s="16">
        <v>0</v>
      </c>
      <c r="O481" s="16" t="s">
        <v>50</v>
      </c>
      <c r="P481" s="20">
        <v>2685</v>
      </c>
      <c r="Q481" s="20" t="s">
        <v>51</v>
      </c>
      <c r="R481" s="21" t="s">
        <v>186</v>
      </c>
      <c r="S481" s="22" t="s">
        <v>187</v>
      </c>
      <c r="T481" s="22" t="s">
        <v>54</v>
      </c>
      <c r="U481" s="23" t="s">
        <v>550</v>
      </c>
      <c r="V481" s="24">
        <v>1.1499999999999999</v>
      </c>
      <c r="W481" s="25">
        <v>1808.95</v>
      </c>
      <c r="X481" s="26">
        <v>1</v>
      </c>
      <c r="Y481" s="27">
        <v>0.96</v>
      </c>
      <c r="Z481" s="23">
        <v>4</v>
      </c>
      <c r="AA481" s="28">
        <v>0.24</v>
      </c>
      <c r="AB481" s="24">
        <v>0</v>
      </c>
      <c r="AC481" s="29">
        <v>0</v>
      </c>
      <c r="AD481" s="30">
        <v>43570</v>
      </c>
      <c r="AE481" s="30">
        <v>43577</v>
      </c>
      <c r="AF481" s="23">
        <v>5</v>
      </c>
      <c r="AG481" s="25" t="s">
        <v>1999</v>
      </c>
      <c r="AH481" s="24">
        <v>0.5</v>
      </c>
      <c r="AI481" s="31">
        <v>-786.50000000000011</v>
      </c>
      <c r="AJ481" s="31">
        <v>0</v>
      </c>
      <c r="AK481" s="44">
        <f t="shared" si="14"/>
        <v>1808.95</v>
      </c>
      <c r="AL481">
        <f>VLOOKUP(A481,'[1]prueba con 16mil datos'!$A$1:$AE$804,31,FALSE)</f>
        <v>1415.04997725</v>
      </c>
      <c r="AM481">
        <f t="shared" si="15"/>
        <v>0</v>
      </c>
      <c r="AO481">
        <f>VLOOKUP(A481,'[1]Prueba con 19mil datos'!$B$1:$AF$1228,31,FALSE)</f>
        <v>1415.04997725</v>
      </c>
    </row>
    <row r="482" spans="1:41" hidden="1" x14ac:dyDescent="0.25">
      <c r="A482" s="16" t="s">
        <v>2032</v>
      </c>
      <c r="B482" s="15" t="s">
        <v>40</v>
      </c>
      <c r="C482" s="16">
        <v>1</v>
      </c>
      <c r="D482" s="16" t="s">
        <v>1971</v>
      </c>
      <c r="E482" s="17" t="s">
        <v>42</v>
      </c>
      <c r="F482" s="18" t="s">
        <v>574</v>
      </c>
      <c r="G482" s="18" t="s">
        <v>1972</v>
      </c>
      <c r="H482" s="16" t="s">
        <v>404</v>
      </c>
      <c r="I482" s="19" t="s">
        <v>3</v>
      </c>
      <c r="J482" s="16" t="s">
        <v>12</v>
      </c>
      <c r="K482" s="20" t="s">
        <v>405</v>
      </c>
      <c r="L482" s="20" t="s">
        <v>1013</v>
      </c>
      <c r="M482" s="16" t="s">
        <v>407</v>
      </c>
      <c r="N482" s="16">
        <v>0</v>
      </c>
      <c r="O482" s="16" t="s">
        <v>50</v>
      </c>
      <c r="P482" s="20">
        <v>70</v>
      </c>
      <c r="Q482" s="20" t="s">
        <v>51</v>
      </c>
      <c r="R482" s="21" t="s">
        <v>148</v>
      </c>
      <c r="S482" s="22" t="s">
        <v>130</v>
      </c>
      <c r="T482" s="22" t="s">
        <v>54</v>
      </c>
      <c r="U482" s="23" t="s">
        <v>226</v>
      </c>
      <c r="V482" s="24">
        <v>1.1000000000000001</v>
      </c>
      <c r="W482" s="25">
        <v>1501.5000000000002</v>
      </c>
      <c r="X482" s="26">
        <v>1</v>
      </c>
      <c r="Y482" s="27">
        <v>4.97</v>
      </c>
      <c r="Z482" s="23">
        <v>5</v>
      </c>
      <c r="AA482" s="28">
        <v>0.99399999999999999</v>
      </c>
      <c r="AB482" s="24">
        <v>0</v>
      </c>
      <c r="AC482" s="29">
        <v>0</v>
      </c>
      <c r="AD482" s="30">
        <v>43570</v>
      </c>
      <c r="AE482" s="30">
        <v>43570</v>
      </c>
      <c r="AF482" s="23">
        <v>0</v>
      </c>
      <c r="AG482" s="25" t="s">
        <v>56</v>
      </c>
      <c r="AH482" s="24">
        <v>0</v>
      </c>
      <c r="AI482" s="31">
        <v>0</v>
      </c>
      <c r="AJ482" s="31">
        <v>0</v>
      </c>
      <c r="AK482" s="44">
        <f t="shared" si="14"/>
        <v>1501.5000000000002</v>
      </c>
      <c r="AL482">
        <f>VLOOKUP(A482,'[1]prueba con 16mil datos'!$A$1:$AE$804,31,FALSE)</f>
        <v>1415.04997725</v>
      </c>
      <c r="AM482">
        <f t="shared" si="15"/>
        <v>0</v>
      </c>
      <c r="AO482">
        <f>VLOOKUP(A482,'[1]Prueba con 19mil datos'!$B$1:$AF$1228,31,FALSE)</f>
        <v>1415.04997725</v>
      </c>
    </row>
    <row r="483" spans="1:41" hidden="1" x14ac:dyDescent="0.25">
      <c r="A483" s="16" t="s">
        <v>2193</v>
      </c>
      <c r="B483" s="15" t="s">
        <v>40</v>
      </c>
      <c r="C483" s="16">
        <v>1</v>
      </c>
      <c r="D483" s="16" t="s">
        <v>2004</v>
      </c>
      <c r="E483" s="17" t="s">
        <v>42</v>
      </c>
      <c r="F483" s="18" t="s">
        <v>122</v>
      </c>
      <c r="G483" s="18" t="s">
        <v>2005</v>
      </c>
      <c r="H483" s="16" t="s">
        <v>463</v>
      </c>
      <c r="I483" s="19" t="s">
        <v>3</v>
      </c>
      <c r="J483" s="16" t="s">
        <v>12</v>
      </c>
      <c r="K483" s="20" t="s">
        <v>198</v>
      </c>
      <c r="L483" s="20" t="s">
        <v>394</v>
      </c>
      <c r="M483" s="16" t="s">
        <v>76</v>
      </c>
      <c r="N483" s="16">
        <v>0</v>
      </c>
      <c r="O483" s="16" t="s">
        <v>50</v>
      </c>
      <c r="P483" s="20">
        <v>11</v>
      </c>
      <c r="Q483" s="20" t="s">
        <v>65</v>
      </c>
      <c r="R483" s="21" t="s">
        <v>129</v>
      </c>
      <c r="S483" s="22" t="s">
        <v>130</v>
      </c>
      <c r="T483" s="22" t="s">
        <v>54</v>
      </c>
      <c r="U483" s="23" t="s">
        <v>131</v>
      </c>
      <c r="V483" s="24">
        <v>0.6</v>
      </c>
      <c r="W483" s="25">
        <v>819</v>
      </c>
      <c r="X483" s="26">
        <v>1</v>
      </c>
      <c r="Y483" s="27">
        <v>0.32</v>
      </c>
      <c r="Z483" s="23">
        <v>5</v>
      </c>
      <c r="AA483" s="28">
        <v>6.4000000000000001E-2</v>
      </c>
      <c r="AB483" s="24">
        <v>0</v>
      </c>
      <c r="AC483" s="29">
        <v>0</v>
      </c>
      <c r="AD483" s="30">
        <v>43570</v>
      </c>
      <c r="AE483" s="30">
        <v>43570</v>
      </c>
      <c r="AF483" s="23">
        <v>0</v>
      </c>
      <c r="AG483" s="25" t="s">
        <v>56</v>
      </c>
      <c r="AH483" s="24">
        <v>0</v>
      </c>
      <c r="AI483" s="31">
        <v>0</v>
      </c>
      <c r="AJ483" s="31">
        <v>0</v>
      </c>
      <c r="AK483" s="44">
        <f t="shared" si="14"/>
        <v>819</v>
      </c>
      <c r="AL483">
        <f>VLOOKUP(A483,'[1]prueba con 16mil datos'!$A$1:$AE$804,31,FALSE)</f>
        <v>819</v>
      </c>
      <c r="AM483">
        <f t="shared" si="15"/>
        <v>1</v>
      </c>
      <c r="AO483">
        <f>VLOOKUP(A483,'[1]Prueba con 19mil datos'!$B$1:$AF$1228,31,FALSE)</f>
        <v>819</v>
      </c>
    </row>
    <row r="484" spans="1:41" hidden="1" x14ac:dyDescent="0.25">
      <c r="A484" s="16" t="s">
        <v>1672</v>
      </c>
      <c r="B484" s="15" t="s">
        <v>40</v>
      </c>
      <c r="C484" s="16">
        <v>1</v>
      </c>
      <c r="D484" s="16" t="s">
        <v>2025</v>
      </c>
      <c r="E484" s="17" t="s">
        <v>42</v>
      </c>
      <c r="F484" s="18" t="s">
        <v>122</v>
      </c>
      <c r="G484" s="18" t="s">
        <v>2026</v>
      </c>
      <c r="H484" s="16" t="s">
        <v>504</v>
      </c>
      <c r="I484" s="19" t="s">
        <v>3</v>
      </c>
      <c r="J484" s="16" t="s">
        <v>12</v>
      </c>
      <c r="K484" s="20" t="s">
        <v>198</v>
      </c>
      <c r="L484" s="20" t="s">
        <v>353</v>
      </c>
      <c r="M484" s="16" t="s">
        <v>354</v>
      </c>
      <c r="N484" s="16">
        <v>0</v>
      </c>
      <c r="O484" s="16" t="s">
        <v>50</v>
      </c>
      <c r="P484" s="20">
        <v>16</v>
      </c>
      <c r="Q484" s="20" t="s">
        <v>119</v>
      </c>
      <c r="R484" s="21" t="s">
        <v>129</v>
      </c>
      <c r="S484" s="22" t="s">
        <v>130</v>
      </c>
      <c r="T484" s="22" t="s">
        <v>54</v>
      </c>
      <c r="U484" s="23" t="s">
        <v>164</v>
      </c>
      <c r="V484" s="24">
        <v>0.8</v>
      </c>
      <c r="W484" s="25">
        <v>1092</v>
      </c>
      <c r="X484" s="26">
        <v>1</v>
      </c>
      <c r="Y484" s="27">
        <v>3.5</v>
      </c>
      <c r="Z484" s="23">
        <v>5</v>
      </c>
      <c r="AA484" s="28">
        <v>0.7</v>
      </c>
      <c r="AB484" s="24">
        <v>0</v>
      </c>
      <c r="AC484" s="29">
        <v>0</v>
      </c>
      <c r="AD484" s="30">
        <v>43570</v>
      </c>
      <c r="AE484" s="30">
        <v>43570</v>
      </c>
      <c r="AF484" s="23">
        <v>0</v>
      </c>
      <c r="AG484" s="25" t="s">
        <v>56</v>
      </c>
      <c r="AH484" s="24">
        <v>0</v>
      </c>
      <c r="AI484" s="31">
        <v>0</v>
      </c>
      <c r="AJ484" s="31">
        <v>0</v>
      </c>
      <c r="AK484" s="44">
        <f t="shared" si="14"/>
        <v>1092</v>
      </c>
      <c r="AL484">
        <f>VLOOKUP(A484,'[1]prueba con 16mil datos'!$A$1:$AE$804,31,FALSE)</f>
        <v>1092</v>
      </c>
      <c r="AM484">
        <f t="shared" si="15"/>
        <v>1</v>
      </c>
      <c r="AO484">
        <f>VLOOKUP(A484,'[1]Prueba con 19mil datos'!$B$1:$AF$1228,31,FALSE)</f>
        <v>819</v>
      </c>
    </row>
    <row r="485" spans="1:41" hidden="1" x14ac:dyDescent="0.25">
      <c r="A485" s="16" t="s">
        <v>1672</v>
      </c>
      <c r="B485" s="15" t="s">
        <v>40</v>
      </c>
      <c r="C485" s="16">
        <v>1</v>
      </c>
      <c r="D485" s="16" t="s">
        <v>2030</v>
      </c>
      <c r="E485" s="17" t="s">
        <v>42</v>
      </c>
      <c r="F485" s="18" t="s">
        <v>122</v>
      </c>
      <c r="G485" s="18" t="s">
        <v>2031</v>
      </c>
      <c r="H485" s="16" t="s">
        <v>504</v>
      </c>
      <c r="I485" s="19" t="s">
        <v>3</v>
      </c>
      <c r="J485" s="16" t="s">
        <v>12</v>
      </c>
      <c r="K485" s="20" t="s">
        <v>198</v>
      </c>
      <c r="L485" s="20" t="s">
        <v>353</v>
      </c>
      <c r="M485" s="16" t="s">
        <v>354</v>
      </c>
      <c r="N485" s="16">
        <v>0</v>
      </c>
      <c r="O485" s="16" t="s">
        <v>50</v>
      </c>
      <c r="P485" s="20">
        <v>39</v>
      </c>
      <c r="Q485" s="20" t="s">
        <v>86</v>
      </c>
      <c r="R485" s="21" t="s">
        <v>129</v>
      </c>
      <c r="S485" s="22" t="s">
        <v>130</v>
      </c>
      <c r="T485" s="22" t="s">
        <v>54</v>
      </c>
      <c r="U485" s="23" t="s">
        <v>178</v>
      </c>
      <c r="V485" s="24">
        <v>1.05</v>
      </c>
      <c r="W485" s="25">
        <v>1433.25</v>
      </c>
      <c r="X485" s="26">
        <v>1</v>
      </c>
      <c r="Y485" s="27">
        <v>4.67</v>
      </c>
      <c r="Z485" s="23">
        <v>5</v>
      </c>
      <c r="AA485" s="28">
        <v>0.93399999999999994</v>
      </c>
      <c r="AB485" s="24">
        <v>0</v>
      </c>
      <c r="AC485" s="29">
        <v>0</v>
      </c>
      <c r="AD485" s="30">
        <v>43570</v>
      </c>
      <c r="AE485" s="30">
        <v>43570</v>
      </c>
      <c r="AF485" s="23">
        <v>0</v>
      </c>
      <c r="AG485" s="25" t="s">
        <v>56</v>
      </c>
      <c r="AH485" s="24">
        <v>0</v>
      </c>
      <c r="AI485" s="31">
        <v>0</v>
      </c>
      <c r="AJ485" s="31">
        <v>0</v>
      </c>
      <c r="AK485" s="44">
        <f t="shared" si="14"/>
        <v>1433.25</v>
      </c>
      <c r="AL485">
        <f>VLOOKUP(A485,'[1]prueba con 16mil datos'!$A$1:$AE$804,31,FALSE)</f>
        <v>1092</v>
      </c>
      <c r="AM485">
        <f t="shared" si="15"/>
        <v>0</v>
      </c>
      <c r="AO485">
        <f>VLOOKUP(A485,'[1]Prueba con 19mil datos'!$B$1:$AF$1228,31,FALSE)</f>
        <v>819</v>
      </c>
    </row>
    <row r="486" spans="1:41" hidden="1" x14ac:dyDescent="0.25">
      <c r="A486" s="16" t="s">
        <v>370</v>
      </c>
      <c r="B486" s="15" t="s">
        <v>40</v>
      </c>
      <c r="C486" s="16">
        <v>1</v>
      </c>
      <c r="D486" s="16" t="s">
        <v>2009</v>
      </c>
      <c r="E486" s="17" t="s">
        <v>42</v>
      </c>
      <c r="F486" s="18" t="s">
        <v>122</v>
      </c>
      <c r="G486" s="18" t="s">
        <v>2010</v>
      </c>
      <c r="H486" s="16" t="s">
        <v>516</v>
      </c>
      <c r="I486" s="19" t="s">
        <v>3</v>
      </c>
      <c r="J486" s="16" t="s">
        <v>12</v>
      </c>
      <c r="K486" s="20" t="s">
        <v>198</v>
      </c>
      <c r="L486" s="20" t="s">
        <v>371</v>
      </c>
      <c r="M486" s="16" t="s">
        <v>372</v>
      </c>
      <c r="N486" s="16">
        <v>0</v>
      </c>
      <c r="O486" s="16" t="s">
        <v>50</v>
      </c>
      <c r="P486" s="20">
        <v>14</v>
      </c>
      <c r="Q486" s="20" t="s">
        <v>65</v>
      </c>
      <c r="R486" s="21" t="s">
        <v>129</v>
      </c>
      <c r="S486" s="22" t="s">
        <v>130</v>
      </c>
      <c r="T486" s="22" t="s">
        <v>54</v>
      </c>
      <c r="U486" s="23" t="s">
        <v>131</v>
      </c>
      <c r="V486" s="24">
        <v>0.6</v>
      </c>
      <c r="W486" s="25">
        <v>819</v>
      </c>
      <c r="X486" s="26">
        <v>1</v>
      </c>
      <c r="Y486" s="27">
        <v>1.62</v>
      </c>
      <c r="Z486" s="23">
        <v>5</v>
      </c>
      <c r="AA486" s="28">
        <v>0.32400000000000001</v>
      </c>
      <c r="AB486" s="24">
        <v>0</v>
      </c>
      <c r="AC486" s="29">
        <v>0</v>
      </c>
      <c r="AD486" s="30">
        <v>43570</v>
      </c>
      <c r="AE486" s="30">
        <v>43570</v>
      </c>
      <c r="AF486" s="23">
        <v>0</v>
      </c>
      <c r="AG486" s="25" t="s">
        <v>56</v>
      </c>
      <c r="AH486" s="24">
        <v>0</v>
      </c>
      <c r="AI486" s="31">
        <v>0</v>
      </c>
      <c r="AJ486" s="31">
        <v>0</v>
      </c>
      <c r="AK486" s="44">
        <f t="shared" si="14"/>
        <v>819</v>
      </c>
      <c r="AL486">
        <f>VLOOKUP(A486,'[1]prueba con 16mil datos'!$A$1:$AE$804,31,FALSE)</f>
        <v>819</v>
      </c>
      <c r="AM486">
        <f t="shared" si="15"/>
        <v>1</v>
      </c>
      <c r="AO486">
        <f>VLOOKUP(A486,'[1]Prueba con 19mil datos'!$B$1:$AF$1228,31,FALSE)</f>
        <v>819</v>
      </c>
    </row>
    <row r="487" spans="1:41" hidden="1" x14ac:dyDescent="0.25">
      <c r="A487" s="16" t="s">
        <v>370</v>
      </c>
      <c r="B487" s="15" t="s">
        <v>40</v>
      </c>
      <c r="C487" s="16">
        <v>1</v>
      </c>
      <c r="D487" s="16" t="s">
        <v>1952</v>
      </c>
      <c r="E487" s="17" t="s">
        <v>42</v>
      </c>
      <c r="F487" s="18" t="s">
        <v>122</v>
      </c>
      <c r="G487" s="18" t="s">
        <v>1953</v>
      </c>
      <c r="H487" s="16" t="s">
        <v>192</v>
      </c>
      <c r="I487" s="19" t="s">
        <v>3</v>
      </c>
      <c r="J487" s="16" t="s">
        <v>12</v>
      </c>
      <c r="K487" s="20" t="s">
        <v>126</v>
      </c>
      <c r="L487" s="20" t="s">
        <v>1479</v>
      </c>
      <c r="M487" s="16" t="s">
        <v>1480</v>
      </c>
      <c r="N487" s="16">
        <v>0</v>
      </c>
      <c r="O487" s="16" t="s">
        <v>50</v>
      </c>
      <c r="P487" s="20">
        <v>44</v>
      </c>
      <c r="Q487" s="20" t="s">
        <v>86</v>
      </c>
      <c r="R487" s="21" t="s">
        <v>129</v>
      </c>
      <c r="S487" s="22" t="s">
        <v>130</v>
      </c>
      <c r="T487" s="22" t="s">
        <v>54</v>
      </c>
      <c r="U487" s="23" t="s">
        <v>178</v>
      </c>
      <c r="V487" s="24">
        <v>1.05</v>
      </c>
      <c r="W487" s="25">
        <v>1433.25</v>
      </c>
      <c r="X487" s="26">
        <v>1</v>
      </c>
      <c r="Y487" s="27">
        <v>2.42</v>
      </c>
      <c r="Z487" s="23">
        <v>5</v>
      </c>
      <c r="AA487" s="28">
        <v>0.48399999999999999</v>
      </c>
      <c r="AB487" s="24">
        <v>0</v>
      </c>
      <c r="AC487" s="29">
        <v>0</v>
      </c>
      <c r="AD487" s="30">
        <v>43570</v>
      </c>
      <c r="AE487" s="30">
        <v>43570</v>
      </c>
      <c r="AF487" s="23">
        <v>0</v>
      </c>
      <c r="AG487" s="25" t="s">
        <v>56</v>
      </c>
      <c r="AH487" s="24">
        <v>0</v>
      </c>
      <c r="AI487" s="31">
        <v>0</v>
      </c>
      <c r="AJ487" s="31">
        <v>0</v>
      </c>
      <c r="AK487" s="44">
        <f t="shared" si="14"/>
        <v>1433.25</v>
      </c>
      <c r="AL487">
        <f>VLOOKUP(A487,'[1]prueba con 16mil datos'!$A$1:$AE$804,31,FALSE)</f>
        <v>819</v>
      </c>
      <c r="AM487">
        <f t="shared" si="15"/>
        <v>0</v>
      </c>
      <c r="AO487">
        <f>VLOOKUP(A487,'[1]Prueba con 19mil datos'!$B$1:$AF$1228,31,FALSE)</f>
        <v>819</v>
      </c>
    </row>
    <row r="488" spans="1:41" hidden="1" x14ac:dyDescent="0.25">
      <c r="A488" s="16" t="s">
        <v>370</v>
      </c>
      <c r="B488" s="15" t="s">
        <v>40</v>
      </c>
      <c r="C488" s="16">
        <v>1</v>
      </c>
      <c r="D488" s="16" t="s">
        <v>2023</v>
      </c>
      <c r="E488" s="17" t="s">
        <v>42</v>
      </c>
      <c r="F488" s="18" t="s">
        <v>314</v>
      </c>
      <c r="G488" s="18" t="s">
        <v>2024</v>
      </c>
      <c r="H488" s="16" t="s">
        <v>317</v>
      </c>
      <c r="I488" s="19" t="s">
        <v>3</v>
      </c>
      <c r="J488" s="16" t="s">
        <v>12</v>
      </c>
      <c r="K488" s="20" t="s">
        <v>237</v>
      </c>
      <c r="L488" s="20" t="s">
        <v>238</v>
      </c>
      <c r="M488" s="16" t="s">
        <v>105</v>
      </c>
      <c r="N488" s="16">
        <v>0</v>
      </c>
      <c r="O488" s="16" t="s">
        <v>50</v>
      </c>
      <c r="P488" s="20">
        <v>10</v>
      </c>
      <c r="Q488" s="20" t="s">
        <v>65</v>
      </c>
      <c r="R488" s="21" t="s">
        <v>225</v>
      </c>
      <c r="S488" s="22" t="s">
        <v>130</v>
      </c>
      <c r="T488" s="22" t="s">
        <v>54</v>
      </c>
      <c r="U488" s="23" t="s">
        <v>131</v>
      </c>
      <c r="V488" s="24">
        <v>0.6</v>
      </c>
      <c r="W488" s="25">
        <v>819</v>
      </c>
      <c r="X488" s="26">
        <v>1</v>
      </c>
      <c r="Y488" s="27">
        <v>1.22</v>
      </c>
      <c r="Z488" s="23">
        <v>5</v>
      </c>
      <c r="AA488" s="28">
        <v>0.24399999999999999</v>
      </c>
      <c r="AB488" s="24">
        <v>0</v>
      </c>
      <c r="AC488" s="29">
        <v>0</v>
      </c>
      <c r="AD488" s="30">
        <v>43570</v>
      </c>
      <c r="AE488" s="30">
        <v>43570</v>
      </c>
      <c r="AF488" s="23">
        <v>0</v>
      </c>
      <c r="AG488" s="25" t="s">
        <v>56</v>
      </c>
      <c r="AH488" s="24">
        <v>0</v>
      </c>
      <c r="AI488" s="31">
        <v>0</v>
      </c>
      <c r="AJ488" s="31">
        <v>0</v>
      </c>
      <c r="AK488" s="44">
        <f t="shared" si="14"/>
        <v>819</v>
      </c>
      <c r="AL488">
        <f>VLOOKUP(A488,'[1]prueba con 16mil datos'!$A$1:$AE$804,31,FALSE)</f>
        <v>819</v>
      </c>
      <c r="AM488">
        <f t="shared" si="15"/>
        <v>1</v>
      </c>
      <c r="AO488">
        <f>VLOOKUP(A488,'[1]Prueba con 19mil datos'!$B$1:$AF$1228,31,FALSE)</f>
        <v>819</v>
      </c>
    </row>
    <row r="489" spans="1:41" hidden="1" x14ac:dyDescent="0.25">
      <c r="A489" s="16" t="s">
        <v>370</v>
      </c>
      <c r="B489" s="15" t="s">
        <v>40</v>
      </c>
      <c r="C489" s="16">
        <v>1</v>
      </c>
      <c r="D489" s="16" t="s">
        <v>2050</v>
      </c>
      <c r="E489" s="17" t="s">
        <v>42</v>
      </c>
      <c r="F489" s="18" t="s">
        <v>298</v>
      </c>
      <c r="G489" s="18" t="s">
        <v>2051</v>
      </c>
      <c r="H489" s="16" t="s">
        <v>301</v>
      </c>
      <c r="I489" s="19" t="s">
        <v>3</v>
      </c>
      <c r="J489" s="16" t="s">
        <v>12</v>
      </c>
      <c r="K489" s="20" t="s">
        <v>265</v>
      </c>
      <c r="L489" s="20" t="s">
        <v>1447</v>
      </c>
      <c r="M489" s="16" t="s">
        <v>267</v>
      </c>
      <c r="N489" s="16">
        <v>0</v>
      </c>
      <c r="O489" s="16" t="s">
        <v>50</v>
      </c>
      <c r="P489" s="20">
        <v>31</v>
      </c>
      <c r="Q489" s="20" t="s">
        <v>86</v>
      </c>
      <c r="R489" s="21" t="s">
        <v>303</v>
      </c>
      <c r="S489" s="22" t="s">
        <v>130</v>
      </c>
      <c r="T489" s="22" t="s">
        <v>54</v>
      </c>
      <c r="U489" s="23" t="s">
        <v>178</v>
      </c>
      <c r="V489" s="24">
        <v>1.05</v>
      </c>
      <c r="W489" s="25">
        <v>1433.25</v>
      </c>
      <c r="X489" s="26">
        <v>1</v>
      </c>
      <c r="Y489" s="27">
        <v>1</v>
      </c>
      <c r="Z489" s="23">
        <v>5</v>
      </c>
      <c r="AA489" s="28">
        <v>0.2</v>
      </c>
      <c r="AB489" s="24">
        <v>0</v>
      </c>
      <c r="AC489" s="29">
        <v>0</v>
      </c>
      <c r="AD489" s="30">
        <v>43570</v>
      </c>
      <c r="AE489" s="30">
        <v>43570</v>
      </c>
      <c r="AF489" s="23">
        <v>0</v>
      </c>
      <c r="AG489" s="25" t="s">
        <v>56</v>
      </c>
      <c r="AH489" s="24">
        <v>0</v>
      </c>
      <c r="AI489" s="31">
        <v>0</v>
      </c>
      <c r="AJ489" s="31">
        <v>0</v>
      </c>
      <c r="AK489" s="44">
        <f t="shared" si="14"/>
        <v>1433.25</v>
      </c>
      <c r="AL489">
        <f>VLOOKUP(A489,'[1]prueba con 16mil datos'!$A$1:$AE$804,31,FALSE)</f>
        <v>819</v>
      </c>
      <c r="AM489">
        <f t="shared" si="15"/>
        <v>0</v>
      </c>
      <c r="AO489">
        <f>VLOOKUP(A489,'[1]Prueba con 19mil datos'!$B$1:$AF$1228,31,FALSE)</f>
        <v>819</v>
      </c>
    </row>
    <row r="490" spans="1:41" hidden="1" x14ac:dyDescent="0.25">
      <c r="A490" s="16" t="s">
        <v>594</v>
      </c>
      <c r="B490" s="15" t="s">
        <v>40</v>
      </c>
      <c r="C490" s="16">
        <v>1</v>
      </c>
      <c r="D490" s="16" t="s">
        <v>1965</v>
      </c>
      <c r="E490" s="17" t="s">
        <v>42</v>
      </c>
      <c r="F490" s="18" t="s">
        <v>290</v>
      </c>
      <c r="G490" s="18" t="s">
        <v>1966</v>
      </c>
      <c r="H490" s="16" t="s">
        <v>143</v>
      </c>
      <c r="I490" s="19" t="s">
        <v>3</v>
      </c>
      <c r="J490" s="16" t="s">
        <v>12</v>
      </c>
      <c r="K490" s="20" t="s">
        <v>1782</v>
      </c>
      <c r="L490" s="20" t="s">
        <v>1783</v>
      </c>
      <c r="M490" s="16" t="s">
        <v>1784</v>
      </c>
      <c r="N490" s="16">
        <v>0</v>
      </c>
      <c r="O490" s="16" t="s">
        <v>50</v>
      </c>
      <c r="P490" s="20">
        <v>150</v>
      </c>
      <c r="Q490" s="20" t="s">
        <v>51</v>
      </c>
      <c r="R490" s="21" t="s">
        <v>129</v>
      </c>
      <c r="S490" s="22" t="s">
        <v>130</v>
      </c>
      <c r="T490" s="22" t="s">
        <v>54</v>
      </c>
      <c r="U490" s="23" t="s">
        <v>226</v>
      </c>
      <c r="V490" s="24">
        <v>1.1000000000000001</v>
      </c>
      <c r="W490" s="25">
        <v>1501.5000000000002</v>
      </c>
      <c r="X490" s="26">
        <v>1</v>
      </c>
      <c r="Y490" s="27">
        <v>2.77</v>
      </c>
      <c r="Z490" s="23">
        <v>5</v>
      </c>
      <c r="AA490" s="28">
        <v>0.55400000000000005</v>
      </c>
      <c r="AB490" s="24">
        <v>0</v>
      </c>
      <c r="AC490" s="29">
        <v>0</v>
      </c>
      <c r="AD490" s="30">
        <v>43570</v>
      </c>
      <c r="AE490" s="30">
        <v>43570</v>
      </c>
      <c r="AF490" s="23">
        <v>0</v>
      </c>
      <c r="AG490" s="25" t="s">
        <v>56</v>
      </c>
      <c r="AH490" s="24">
        <v>0</v>
      </c>
      <c r="AI490" s="31">
        <v>0</v>
      </c>
      <c r="AJ490" s="31">
        <v>0</v>
      </c>
      <c r="AK490" s="44">
        <f t="shared" si="14"/>
        <v>1501.5000000000002</v>
      </c>
      <c r="AL490">
        <f>VLOOKUP(A490,'[1]prueba con 16mil datos'!$A$1:$AE$804,31,FALSE)</f>
        <v>819</v>
      </c>
      <c r="AM490">
        <f t="shared" si="15"/>
        <v>0</v>
      </c>
      <c r="AO490">
        <f>VLOOKUP(A490,'[1]Prueba con 19mil datos'!$B$1:$AF$1228,31,FALSE)</f>
        <v>819</v>
      </c>
    </row>
    <row r="491" spans="1:41" hidden="1" x14ac:dyDescent="0.25">
      <c r="A491" s="16" t="s">
        <v>594</v>
      </c>
      <c r="B491" s="15" t="s">
        <v>40</v>
      </c>
      <c r="C491" s="16">
        <v>1</v>
      </c>
      <c r="D491" s="16" t="s">
        <v>1974</v>
      </c>
      <c r="E491" s="17" t="s">
        <v>42</v>
      </c>
      <c r="F491" s="18" t="s">
        <v>1975</v>
      </c>
      <c r="G491" s="18" t="s">
        <v>1976</v>
      </c>
      <c r="H491" s="16" t="s">
        <v>377</v>
      </c>
      <c r="I491" s="19" t="s">
        <v>3</v>
      </c>
      <c r="J491" s="16" t="s">
        <v>12</v>
      </c>
      <c r="K491" s="20" t="s">
        <v>378</v>
      </c>
      <c r="L491" s="20" t="s">
        <v>577</v>
      </c>
      <c r="M491" s="16" t="s">
        <v>128</v>
      </c>
      <c r="N491" s="16">
        <v>0</v>
      </c>
      <c r="O491" s="16" t="s">
        <v>50</v>
      </c>
      <c r="P491" s="20">
        <v>92</v>
      </c>
      <c r="Q491" s="20" t="s">
        <v>51</v>
      </c>
      <c r="R491" s="21" t="s">
        <v>225</v>
      </c>
      <c r="S491" s="22" t="s">
        <v>130</v>
      </c>
      <c r="T491" s="22" t="s">
        <v>54</v>
      </c>
      <c r="U491" s="23" t="s">
        <v>226</v>
      </c>
      <c r="V491" s="24">
        <v>1.1000000000000001</v>
      </c>
      <c r="W491" s="25">
        <v>1501.5000000000002</v>
      </c>
      <c r="X491" s="26">
        <v>1</v>
      </c>
      <c r="Y491" s="27">
        <v>0.52</v>
      </c>
      <c r="Z491" s="23">
        <v>5</v>
      </c>
      <c r="AA491" s="28">
        <v>0.10400000000000001</v>
      </c>
      <c r="AB491" s="24">
        <v>0</v>
      </c>
      <c r="AC491" s="29">
        <v>0</v>
      </c>
      <c r="AD491" s="30">
        <v>43570</v>
      </c>
      <c r="AE491" s="30">
        <v>43570</v>
      </c>
      <c r="AF491" s="23">
        <v>0</v>
      </c>
      <c r="AG491" s="25" t="s">
        <v>56</v>
      </c>
      <c r="AH491" s="24">
        <v>0</v>
      </c>
      <c r="AI491" s="31">
        <v>0</v>
      </c>
      <c r="AJ491" s="31">
        <v>0</v>
      </c>
      <c r="AK491" s="44">
        <f t="shared" si="14"/>
        <v>1501.5000000000002</v>
      </c>
      <c r="AL491">
        <f>VLOOKUP(A491,'[1]prueba con 16mil datos'!$A$1:$AE$804,31,FALSE)</f>
        <v>819</v>
      </c>
      <c r="AM491">
        <f t="shared" si="15"/>
        <v>0</v>
      </c>
      <c r="AO491">
        <f>VLOOKUP(A491,'[1]Prueba con 19mil datos'!$B$1:$AF$1228,31,FALSE)</f>
        <v>819</v>
      </c>
    </row>
    <row r="492" spans="1:41" hidden="1" x14ac:dyDescent="0.25">
      <c r="A492" s="16" t="s">
        <v>740</v>
      </c>
      <c r="B492" s="15" t="s">
        <v>40</v>
      </c>
      <c r="C492" s="16">
        <v>1</v>
      </c>
      <c r="D492" s="16" t="s">
        <v>1920</v>
      </c>
      <c r="E492" s="17" t="s">
        <v>42</v>
      </c>
      <c r="F492" s="18" t="s">
        <v>271</v>
      </c>
      <c r="G492" s="18" t="s">
        <v>1921</v>
      </c>
      <c r="H492" s="16" t="s">
        <v>207</v>
      </c>
      <c r="I492" s="19" t="s">
        <v>3</v>
      </c>
      <c r="J492" s="16" t="s">
        <v>12</v>
      </c>
      <c r="K492" s="20" t="s">
        <v>126</v>
      </c>
      <c r="L492" s="20" t="s">
        <v>1365</v>
      </c>
      <c r="M492" s="16" t="s">
        <v>200</v>
      </c>
      <c r="N492" s="16">
        <v>0</v>
      </c>
      <c r="O492" s="16" t="s">
        <v>50</v>
      </c>
      <c r="P492" s="20">
        <v>31</v>
      </c>
      <c r="Q492" s="20" t="s">
        <v>86</v>
      </c>
      <c r="R492" s="21" t="s">
        <v>186</v>
      </c>
      <c r="S492" s="22" t="s">
        <v>187</v>
      </c>
      <c r="T492" s="22" t="s">
        <v>54</v>
      </c>
      <c r="U492" s="23" t="s">
        <v>188</v>
      </c>
      <c r="V492" s="24">
        <v>1.1000000000000001</v>
      </c>
      <c r="W492" s="25">
        <v>1730.3000000000004</v>
      </c>
      <c r="X492" s="26">
        <v>1</v>
      </c>
      <c r="Y492" s="27">
        <v>0.97</v>
      </c>
      <c r="Z492" s="23">
        <v>4</v>
      </c>
      <c r="AA492" s="28">
        <v>0.24249999999999999</v>
      </c>
      <c r="AB492" s="24">
        <v>0</v>
      </c>
      <c r="AC492" s="29">
        <v>0</v>
      </c>
      <c r="AD492" s="30">
        <v>43570</v>
      </c>
      <c r="AE492" s="30">
        <v>43570</v>
      </c>
      <c r="AF492" s="23">
        <v>0</v>
      </c>
      <c r="AG492" s="25" t="s">
        <v>56</v>
      </c>
      <c r="AH492" s="24">
        <v>0</v>
      </c>
      <c r="AI492" s="31">
        <v>0</v>
      </c>
      <c r="AJ492" s="31">
        <v>0</v>
      </c>
      <c r="AK492" s="44">
        <f t="shared" si="14"/>
        <v>1730.3000000000004</v>
      </c>
      <c r="AL492">
        <f>VLOOKUP(A492,'[1]prueba con 16mil datos'!$A$1:$AE$804,31,FALSE)</f>
        <v>1501.5</v>
      </c>
      <c r="AM492">
        <f t="shared" si="15"/>
        <v>0</v>
      </c>
      <c r="AO492">
        <f>VLOOKUP(A492,'[1]Prueba con 19mil datos'!$B$1:$AF$1228,31,FALSE)</f>
        <v>1501.5</v>
      </c>
    </row>
    <row r="493" spans="1:41" hidden="1" x14ac:dyDescent="0.25">
      <c r="A493" s="16" t="s">
        <v>174</v>
      </c>
      <c r="B493" s="15" t="s">
        <v>40</v>
      </c>
      <c r="C493" s="16">
        <v>1</v>
      </c>
      <c r="D493" s="16" t="s">
        <v>1993</v>
      </c>
      <c r="E493" s="17" t="s">
        <v>42</v>
      </c>
      <c r="F493" s="18" t="s">
        <v>537</v>
      </c>
      <c r="G493" s="18" t="s">
        <v>1994</v>
      </c>
      <c r="H493" s="16" t="s">
        <v>46</v>
      </c>
      <c r="I493" s="19" t="s">
        <v>3</v>
      </c>
      <c r="J493" s="16" t="s">
        <v>12</v>
      </c>
      <c r="K493" s="20" t="s">
        <v>83</v>
      </c>
      <c r="L493" s="20" t="s">
        <v>1996</v>
      </c>
      <c r="M493" s="16" t="s">
        <v>723</v>
      </c>
      <c r="N493" s="16">
        <v>0</v>
      </c>
      <c r="O493" s="16" t="s">
        <v>50</v>
      </c>
      <c r="P493" s="20">
        <v>123</v>
      </c>
      <c r="Q493" s="20" t="s">
        <v>51</v>
      </c>
      <c r="R493" s="21" t="s">
        <v>129</v>
      </c>
      <c r="S493" s="22" t="s">
        <v>130</v>
      </c>
      <c r="T493" s="22" t="s">
        <v>157</v>
      </c>
      <c r="U493" s="23" t="s">
        <v>226</v>
      </c>
      <c r="V493" s="24">
        <v>1.1000000000000001</v>
      </c>
      <c r="W493" s="25">
        <v>1501.5000000000002</v>
      </c>
      <c r="X493" s="26">
        <v>1</v>
      </c>
      <c r="Y493" s="27">
        <v>3.57</v>
      </c>
      <c r="Z493" s="23">
        <v>9</v>
      </c>
      <c r="AA493" s="28">
        <v>0.39666666666666667</v>
      </c>
      <c r="AB493" s="24">
        <v>0</v>
      </c>
      <c r="AC493" s="29">
        <v>0</v>
      </c>
      <c r="AD493" s="30">
        <v>43570</v>
      </c>
      <c r="AE493" s="30">
        <v>43570</v>
      </c>
      <c r="AF493" s="23">
        <v>0</v>
      </c>
      <c r="AG493" s="25" t="s">
        <v>56</v>
      </c>
      <c r="AH493" s="24">
        <v>0</v>
      </c>
      <c r="AI493" s="31">
        <v>0</v>
      </c>
      <c r="AJ493" s="31">
        <v>0</v>
      </c>
      <c r="AK493" s="44">
        <f t="shared" si="14"/>
        <v>1501.5000000000002</v>
      </c>
      <c r="AL493">
        <f>VLOOKUP(A493,'[1]prueba con 16mil datos'!$A$1:$AE$804,31,FALSE)</f>
        <v>1433.25</v>
      </c>
      <c r="AM493">
        <f t="shared" si="15"/>
        <v>0</v>
      </c>
      <c r="AO493">
        <f>VLOOKUP(A493,'[1]Prueba con 19mil datos'!$B$1:$AF$1228,31,FALSE)</f>
        <v>1433.25</v>
      </c>
    </row>
    <row r="494" spans="1:41" hidden="1" x14ac:dyDescent="0.25">
      <c r="A494" s="16" t="s">
        <v>174</v>
      </c>
      <c r="B494" s="15" t="s">
        <v>40</v>
      </c>
      <c r="C494" s="16">
        <v>1</v>
      </c>
      <c r="D494" s="16" t="s">
        <v>1984</v>
      </c>
      <c r="E494" s="17" t="s">
        <v>602</v>
      </c>
      <c r="F494" s="18" t="s">
        <v>90</v>
      </c>
      <c r="G494" s="18" t="s">
        <v>1985</v>
      </c>
      <c r="H494" s="16" t="s">
        <v>301</v>
      </c>
      <c r="I494" s="19" t="s">
        <v>3</v>
      </c>
      <c r="J494" s="16" t="s">
        <v>12</v>
      </c>
      <c r="K494" s="20" t="s">
        <v>324</v>
      </c>
      <c r="L494" s="20" t="s">
        <v>325</v>
      </c>
      <c r="M494" s="16" t="s">
        <v>49</v>
      </c>
      <c r="N494" s="16">
        <v>0</v>
      </c>
      <c r="O494" s="16" t="s">
        <v>50</v>
      </c>
      <c r="P494" s="20" t="s">
        <v>326</v>
      </c>
      <c r="Q494" s="20" t="s">
        <v>51</v>
      </c>
      <c r="R494" s="21" t="s">
        <v>77</v>
      </c>
      <c r="S494" s="22" t="s">
        <v>53</v>
      </c>
      <c r="T494" s="22" t="s">
        <v>54</v>
      </c>
      <c r="U494" s="23" t="s">
        <v>55</v>
      </c>
      <c r="V494" s="24">
        <v>1</v>
      </c>
      <c r="W494" s="25">
        <v>715.00000000000011</v>
      </c>
      <c r="X494" s="26">
        <v>1</v>
      </c>
      <c r="Y494" s="27">
        <v>1.9</v>
      </c>
      <c r="Z494" s="23">
        <v>5</v>
      </c>
      <c r="AA494" s="28">
        <v>0.38</v>
      </c>
      <c r="AB494" s="24">
        <v>0</v>
      </c>
      <c r="AC494" s="29">
        <v>0</v>
      </c>
      <c r="AD494" s="30">
        <v>43570</v>
      </c>
      <c r="AE494" s="30">
        <v>43570</v>
      </c>
      <c r="AF494" s="23">
        <v>0</v>
      </c>
      <c r="AG494" s="25" t="s">
        <v>56</v>
      </c>
      <c r="AH494" s="24">
        <v>0</v>
      </c>
      <c r="AI494" s="31">
        <v>0</v>
      </c>
      <c r="AJ494" s="31">
        <v>0</v>
      </c>
      <c r="AK494" s="44">
        <f t="shared" si="14"/>
        <v>715.00000000000011</v>
      </c>
      <c r="AL494">
        <f>VLOOKUP(A494,'[1]prueba con 16mil datos'!$A$1:$AE$804,31,FALSE)</f>
        <v>1433.25</v>
      </c>
      <c r="AM494">
        <f t="shared" si="15"/>
        <v>0</v>
      </c>
      <c r="AO494">
        <f>VLOOKUP(A494,'[1]Prueba con 19mil datos'!$B$1:$AF$1228,31,FALSE)</f>
        <v>1433.25</v>
      </c>
    </row>
    <row r="495" spans="1:41" hidden="1" x14ac:dyDescent="0.25">
      <c r="A495" s="16" t="s">
        <v>124</v>
      </c>
      <c r="B495" s="15" t="s">
        <v>40</v>
      </c>
      <c r="C495" s="16">
        <v>1</v>
      </c>
      <c r="D495" s="16" t="s">
        <v>2042</v>
      </c>
      <c r="E495" s="17" t="s">
        <v>42</v>
      </c>
      <c r="F495" s="18" t="s">
        <v>90</v>
      </c>
      <c r="G495" s="18" t="s">
        <v>2043</v>
      </c>
      <c r="H495" s="16" t="s">
        <v>135</v>
      </c>
      <c r="I495" s="19" t="s">
        <v>3</v>
      </c>
      <c r="J495" s="16" t="s">
        <v>12</v>
      </c>
      <c r="K495" s="20" t="s">
        <v>94</v>
      </c>
      <c r="L495" s="20" t="s">
        <v>95</v>
      </c>
      <c r="M495" s="16" t="s">
        <v>96</v>
      </c>
      <c r="N495" s="16">
        <v>1</v>
      </c>
      <c r="O495" s="16" t="s">
        <v>97</v>
      </c>
      <c r="P495" s="20">
        <v>2692</v>
      </c>
      <c r="Q495" s="20" t="s">
        <v>51</v>
      </c>
      <c r="R495" s="21" t="s">
        <v>77</v>
      </c>
      <c r="S495" s="22" t="s">
        <v>53</v>
      </c>
      <c r="T495" s="22" t="s">
        <v>54</v>
      </c>
      <c r="U495" s="23" t="s">
        <v>55</v>
      </c>
      <c r="V495" s="24">
        <v>1.05</v>
      </c>
      <c r="W495" s="25">
        <v>0</v>
      </c>
      <c r="X495" s="26">
        <v>1</v>
      </c>
      <c r="Y495" s="27">
        <v>6.76</v>
      </c>
      <c r="Z495" s="23">
        <v>5</v>
      </c>
      <c r="AA495" s="28">
        <v>1.3519999999999999</v>
      </c>
      <c r="AB495" s="24">
        <v>8.7999999999999967E-2</v>
      </c>
      <c r="AC495" s="29">
        <v>0</v>
      </c>
      <c r="AD495" s="30">
        <v>43570</v>
      </c>
      <c r="AE495" s="30">
        <v>43570</v>
      </c>
      <c r="AF495" s="23">
        <v>0</v>
      </c>
      <c r="AG495" s="25" t="s">
        <v>56</v>
      </c>
      <c r="AH495" s="24">
        <v>0</v>
      </c>
      <c r="AI495" s="31">
        <v>0</v>
      </c>
      <c r="AJ495" s="31">
        <v>0</v>
      </c>
      <c r="AK495" s="44">
        <f t="shared" si="14"/>
        <v>0</v>
      </c>
      <c r="AL495">
        <f>VLOOKUP(A495,'[1]prueba con 16mil datos'!$A$1:$AE$804,31,FALSE)</f>
        <v>1092</v>
      </c>
      <c r="AM495">
        <f t="shared" si="15"/>
        <v>0</v>
      </c>
      <c r="AO495">
        <f>VLOOKUP(A495,'[1]Prueba con 19mil datos'!$B$1:$AF$1228,31,FALSE)</f>
        <v>1092</v>
      </c>
    </row>
    <row r="496" spans="1:41" hidden="1" x14ac:dyDescent="0.25">
      <c r="A496" s="16" t="s">
        <v>124</v>
      </c>
      <c r="B496" s="15" t="s">
        <v>40</v>
      </c>
      <c r="C496" s="16">
        <v>1</v>
      </c>
      <c r="D496" s="16" t="s">
        <v>2061</v>
      </c>
      <c r="E496" s="17" t="s">
        <v>42</v>
      </c>
      <c r="F496" s="18" t="s">
        <v>1441</v>
      </c>
      <c r="G496" s="18" t="s">
        <v>2062</v>
      </c>
      <c r="H496" s="16" t="s">
        <v>183</v>
      </c>
      <c r="I496" s="19" t="s">
        <v>3</v>
      </c>
      <c r="J496" s="16" t="s">
        <v>12</v>
      </c>
      <c r="K496" s="20" t="s">
        <v>452</v>
      </c>
      <c r="L496" s="20" t="s">
        <v>453</v>
      </c>
      <c r="M496" s="16" t="s">
        <v>454</v>
      </c>
      <c r="N496" s="16">
        <v>1</v>
      </c>
      <c r="O496" s="16" t="s">
        <v>50</v>
      </c>
      <c r="P496" s="20">
        <v>6</v>
      </c>
      <c r="Q496" s="20" t="s">
        <v>311</v>
      </c>
      <c r="R496" s="21" t="s">
        <v>268</v>
      </c>
      <c r="S496" s="22" t="s">
        <v>187</v>
      </c>
      <c r="T496" s="22" t="s">
        <v>54</v>
      </c>
      <c r="U496" s="23" t="s">
        <v>362</v>
      </c>
      <c r="V496" s="24">
        <v>0.6</v>
      </c>
      <c r="W496" s="25">
        <v>0</v>
      </c>
      <c r="X496" s="26">
        <v>1</v>
      </c>
      <c r="Y496" s="27">
        <v>1.97</v>
      </c>
      <c r="Z496" s="23">
        <v>4</v>
      </c>
      <c r="AA496" s="28">
        <v>0.49249999999999999</v>
      </c>
      <c r="AB496" s="24">
        <v>0</v>
      </c>
      <c r="AC496" s="29">
        <v>0</v>
      </c>
      <c r="AD496" s="30">
        <v>43570</v>
      </c>
      <c r="AE496" s="30">
        <v>43570</v>
      </c>
      <c r="AF496" s="23">
        <v>0</v>
      </c>
      <c r="AG496" s="25" t="s">
        <v>56</v>
      </c>
      <c r="AH496" s="24">
        <v>0</v>
      </c>
      <c r="AI496" s="31">
        <v>0</v>
      </c>
      <c r="AJ496" s="31">
        <v>0</v>
      </c>
      <c r="AK496" s="44">
        <f t="shared" si="14"/>
        <v>0</v>
      </c>
      <c r="AL496">
        <f>VLOOKUP(A496,'[1]prueba con 16mil datos'!$A$1:$AE$804,31,FALSE)</f>
        <v>1092</v>
      </c>
      <c r="AM496">
        <f t="shared" si="15"/>
        <v>0</v>
      </c>
      <c r="AO496">
        <f>VLOOKUP(A496,'[1]Prueba con 19mil datos'!$B$1:$AF$1228,31,FALSE)</f>
        <v>1092</v>
      </c>
    </row>
    <row r="497" spans="1:41" hidden="1" x14ac:dyDescent="0.25">
      <c r="A497" s="16" t="s">
        <v>2825</v>
      </c>
      <c r="B497" s="15" t="s">
        <v>40</v>
      </c>
      <c r="C497" s="16">
        <v>1</v>
      </c>
      <c r="D497" s="16" t="s">
        <v>2079</v>
      </c>
      <c r="E497" s="17" t="s">
        <v>42</v>
      </c>
      <c r="F497" s="18" t="s">
        <v>140</v>
      </c>
      <c r="G497" s="18" t="s">
        <v>2080</v>
      </c>
      <c r="H497" s="16" t="s">
        <v>284</v>
      </c>
      <c r="I497" s="19" t="s">
        <v>3</v>
      </c>
      <c r="J497" s="16" t="s">
        <v>12</v>
      </c>
      <c r="K497" s="20" t="s">
        <v>936</v>
      </c>
      <c r="L497" s="20" t="s">
        <v>786</v>
      </c>
      <c r="M497" s="16" t="s">
        <v>105</v>
      </c>
      <c r="N497" s="16">
        <v>1</v>
      </c>
      <c r="O497" s="16" t="s">
        <v>50</v>
      </c>
      <c r="P497" s="20">
        <v>21</v>
      </c>
      <c r="Q497" s="20" t="s">
        <v>119</v>
      </c>
      <c r="R497" s="21" t="s">
        <v>148</v>
      </c>
      <c r="S497" s="22" t="s">
        <v>130</v>
      </c>
      <c r="T497" s="22" t="s">
        <v>54</v>
      </c>
      <c r="U497" s="23" t="s">
        <v>164</v>
      </c>
      <c r="V497" s="24">
        <v>0.8</v>
      </c>
      <c r="W497" s="25">
        <v>0</v>
      </c>
      <c r="X497" s="26">
        <v>1</v>
      </c>
      <c r="Y497" s="27">
        <v>1.51</v>
      </c>
      <c r="Z497" s="23">
        <v>5</v>
      </c>
      <c r="AA497" s="28">
        <v>0.30199999999999999</v>
      </c>
      <c r="AB497" s="24">
        <v>0</v>
      </c>
      <c r="AC497" s="29">
        <v>0</v>
      </c>
      <c r="AD497" s="30">
        <v>43570</v>
      </c>
      <c r="AE497" s="30">
        <v>43571</v>
      </c>
      <c r="AF497" s="23">
        <v>1</v>
      </c>
      <c r="AG497" s="25" t="s">
        <v>56</v>
      </c>
      <c r="AH497" s="24">
        <v>0</v>
      </c>
      <c r="AI497" s="31">
        <v>0</v>
      </c>
      <c r="AJ497" s="31">
        <v>0</v>
      </c>
      <c r="AK497" s="44">
        <f t="shared" si="14"/>
        <v>0</v>
      </c>
      <c r="AL497">
        <f>VLOOKUP(A497,'[1]prueba con 16mil datos'!$A$1:$AE$804,31,FALSE)</f>
        <v>1365</v>
      </c>
      <c r="AM497">
        <f t="shared" si="15"/>
        <v>0</v>
      </c>
      <c r="AO497">
        <f>VLOOKUP(A497,'[1]Prueba con 19mil datos'!$B$1:$AF$1228,31,FALSE)</f>
        <v>1365</v>
      </c>
    </row>
    <row r="498" spans="1:41" hidden="1" x14ac:dyDescent="0.25">
      <c r="A498" s="16" t="s">
        <v>1238</v>
      </c>
      <c r="B498" s="15" t="s">
        <v>40</v>
      </c>
      <c r="C498" s="16">
        <v>1</v>
      </c>
      <c r="D498" s="16" t="s">
        <v>2115</v>
      </c>
      <c r="E498" s="17" t="s">
        <v>42</v>
      </c>
      <c r="F498" s="18" t="s">
        <v>1821</v>
      </c>
      <c r="G498" s="18" t="s">
        <v>2116</v>
      </c>
      <c r="H498" s="16" t="s">
        <v>440</v>
      </c>
      <c r="I498" s="19" t="s">
        <v>3</v>
      </c>
      <c r="J498" s="16" t="s">
        <v>12</v>
      </c>
      <c r="K498" s="20" t="s">
        <v>154</v>
      </c>
      <c r="L498" s="20" t="s">
        <v>2118</v>
      </c>
      <c r="M498" s="16" t="s">
        <v>2119</v>
      </c>
      <c r="N498" s="16">
        <v>0</v>
      </c>
      <c r="O498" s="16" t="s">
        <v>50</v>
      </c>
      <c r="P498" s="20">
        <v>21</v>
      </c>
      <c r="Q498" s="20" t="s">
        <v>119</v>
      </c>
      <c r="R498" s="21" t="s">
        <v>287</v>
      </c>
      <c r="S498" s="22" t="s">
        <v>288</v>
      </c>
      <c r="T498" s="22" t="s">
        <v>54</v>
      </c>
      <c r="U498" s="23" t="s">
        <v>269</v>
      </c>
      <c r="V498" s="24">
        <v>1.05</v>
      </c>
      <c r="W498" s="25">
        <v>1651.6500000000003</v>
      </c>
      <c r="X498" s="26">
        <v>1</v>
      </c>
      <c r="Y498" s="27">
        <v>3.65</v>
      </c>
      <c r="Z498" s="23">
        <v>4</v>
      </c>
      <c r="AA498" s="28">
        <v>0.91249999999999998</v>
      </c>
      <c r="AB498" s="24">
        <v>0</v>
      </c>
      <c r="AC498" s="29">
        <v>0</v>
      </c>
      <c r="AD498" s="30">
        <v>43571</v>
      </c>
      <c r="AE498" s="30">
        <v>43571</v>
      </c>
      <c r="AF498" s="23">
        <v>0</v>
      </c>
      <c r="AG498" s="25" t="s">
        <v>56</v>
      </c>
      <c r="AH498" s="24">
        <v>0</v>
      </c>
      <c r="AI498" s="31">
        <v>0</v>
      </c>
      <c r="AJ498" s="31">
        <v>0</v>
      </c>
      <c r="AK498" s="44">
        <f t="shared" si="14"/>
        <v>1651.6500000000003</v>
      </c>
      <c r="AL498">
        <f>VLOOKUP(A498,'[1]prueba con 16mil datos'!$A$1:$AE$804,31,FALSE)</f>
        <v>1433.25</v>
      </c>
      <c r="AM498">
        <f t="shared" si="15"/>
        <v>0</v>
      </c>
      <c r="AO498">
        <f>VLOOKUP(A498,'[1]Prueba con 19mil datos'!$B$1:$AF$1228,31,FALSE)</f>
        <v>1433.25</v>
      </c>
    </row>
    <row r="499" spans="1:41" hidden="1" x14ac:dyDescent="0.25">
      <c r="A499" s="16" t="s">
        <v>1954</v>
      </c>
      <c r="B499" s="15" t="s">
        <v>40</v>
      </c>
      <c r="C499" s="16">
        <v>1</v>
      </c>
      <c r="D499" s="16" t="s">
        <v>2109</v>
      </c>
      <c r="E499" s="17" t="s">
        <v>42</v>
      </c>
      <c r="F499" s="18" t="s">
        <v>391</v>
      </c>
      <c r="G499" s="18" t="s">
        <v>1966</v>
      </c>
      <c r="H499" s="16" t="s">
        <v>516</v>
      </c>
      <c r="I499" s="19" t="s">
        <v>3</v>
      </c>
      <c r="J499" s="16" t="s">
        <v>12</v>
      </c>
      <c r="K499" s="20" t="s">
        <v>198</v>
      </c>
      <c r="L499" s="20" t="s">
        <v>2111</v>
      </c>
      <c r="M499" s="16" t="s">
        <v>429</v>
      </c>
      <c r="N499" s="16">
        <v>0</v>
      </c>
      <c r="O499" s="16" t="s">
        <v>50</v>
      </c>
      <c r="P499" s="20">
        <v>18</v>
      </c>
      <c r="Q499" s="20" t="s">
        <v>119</v>
      </c>
      <c r="R499" s="21" t="s">
        <v>129</v>
      </c>
      <c r="S499" s="22" t="s">
        <v>130</v>
      </c>
      <c r="T499" s="22" t="s">
        <v>54</v>
      </c>
      <c r="U499" s="23" t="s">
        <v>164</v>
      </c>
      <c r="V499" s="24">
        <v>0.8</v>
      </c>
      <c r="W499" s="25">
        <v>1092</v>
      </c>
      <c r="X499" s="26">
        <v>1</v>
      </c>
      <c r="Y499" s="27">
        <v>2.77</v>
      </c>
      <c r="Z499" s="23">
        <v>5</v>
      </c>
      <c r="AA499" s="28">
        <v>0.55400000000000005</v>
      </c>
      <c r="AB499" s="24">
        <v>0</v>
      </c>
      <c r="AC499" s="29">
        <v>0</v>
      </c>
      <c r="AD499" s="30">
        <v>43571</v>
      </c>
      <c r="AE499" s="30">
        <v>43571</v>
      </c>
      <c r="AF499" s="23">
        <v>0</v>
      </c>
      <c r="AG499" s="25" t="s">
        <v>56</v>
      </c>
      <c r="AH499" s="24">
        <v>0</v>
      </c>
      <c r="AI499" s="31">
        <v>0</v>
      </c>
      <c r="AJ499" s="31">
        <v>0</v>
      </c>
      <c r="AK499" s="44">
        <f t="shared" si="14"/>
        <v>1092</v>
      </c>
      <c r="AL499">
        <f>VLOOKUP(A499,'[1]prueba con 16mil datos'!$A$1:$AE$804,31,FALSE)</f>
        <v>1365</v>
      </c>
      <c r="AM499">
        <f t="shared" si="15"/>
        <v>0</v>
      </c>
      <c r="AO499">
        <f>VLOOKUP(A499,'[1]Prueba con 19mil datos'!$B$1:$AF$1228,31,FALSE)</f>
        <v>1365</v>
      </c>
    </row>
    <row r="500" spans="1:41" hidden="1" x14ac:dyDescent="0.25">
      <c r="A500" s="16" t="s">
        <v>445</v>
      </c>
      <c r="B500" s="15" t="s">
        <v>40</v>
      </c>
      <c r="C500" s="16">
        <v>1</v>
      </c>
      <c r="D500" s="16" t="s">
        <v>2180</v>
      </c>
      <c r="E500" s="17" t="s">
        <v>42</v>
      </c>
      <c r="F500" s="18" t="s">
        <v>281</v>
      </c>
      <c r="G500" s="18" t="s">
        <v>2181</v>
      </c>
      <c r="H500" s="16" t="s">
        <v>463</v>
      </c>
      <c r="I500" s="19" t="s">
        <v>3</v>
      </c>
      <c r="J500" s="16" t="s">
        <v>12</v>
      </c>
      <c r="K500" s="20" t="s">
        <v>126</v>
      </c>
      <c r="L500" s="20" t="s">
        <v>464</v>
      </c>
      <c r="M500" s="16" t="s">
        <v>76</v>
      </c>
      <c r="N500" s="16">
        <v>0</v>
      </c>
      <c r="O500" s="16" t="s">
        <v>50</v>
      </c>
      <c r="P500" s="20">
        <v>118</v>
      </c>
      <c r="Q500" s="20" t="s">
        <v>51</v>
      </c>
      <c r="R500" s="21" t="s">
        <v>287</v>
      </c>
      <c r="S500" s="22" t="s">
        <v>288</v>
      </c>
      <c r="T500" s="22" t="s">
        <v>54</v>
      </c>
      <c r="U500" s="23" t="s">
        <v>550</v>
      </c>
      <c r="V500" s="24">
        <v>1.1499999999999999</v>
      </c>
      <c r="W500" s="25">
        <v>1808.95</v>
      </c>
      <c r="X500" s="26">
        <v>1</v>
      </c>
      <c r="Y500" s="27">
        <v>0.33</v>
      </c>
      <c r="Z500" s="23">
        <v>4</v>
      </c>
      <c r="AA500" s="28">
        <v>8.2500000000000004E-2</v>
      </c>
      <c r="AB500" s="24">
        <v>0</v>
      </c>
      <c r="AC500" s="29">
        <v>0</v>
      </c>
      <c r="AD500" s="30">
        <v>43571</v>
      </c>
      <c r="AE500" s="30">
        <v>43571</v>
      </c>
      <c r="AF500" s="23">
        <v>0</v>
      </c>
      <c r="AG500" s="25" t="s">
        <v>56</v>
      </c>
      <c r="AH500" s="24">
        <v>0</v>
      </c>
      <c r="AI500" s="31">
        <v>0</v>
      </c>
      <c r="AJ500" s="31">
        <v>0</v>
      </c>
      <c r="AK500" s="44">
        <f t="shared" si="14"/>
        <v>1808.95</v>
      </c>
      <c r="AL500">
        <f>VLOOKUP(A500,'[1]prueba con 16mil datos'!$A$1:$AE$804,31,FALSE)</f>
        <v>1501.5</v>
      </c>
      <c r="AM500">
        <f t="shared" si="15"/>
        <v>0</v>
      </c>
      <c r="AO500">
        <f>VLOOKUP(A500,'[1]Prueba con 19mil datos'!$B$1:$AF$1228,31,FALSE)</f>
        <v>1501.5</v>
      </c>
    </row>
    <row r="501" spans="1:41" hidden="1" x14ac:dyDescent="0.25">
      <c r="A501" s="16" t="s">
        <v>445</v>
      </c>
      <c r="B501" s="15" t="s">
        <v>40</v>
      </c>
      <c r="C501" s="16">
        <v>1</v>
      </c>
      <c r="D501" s="16" t="s">
        <v>2125</v>
      </c>
      <c r="E501" s="17" t="s">
        <v>42</v>
      </c>
      <c r="F501" s="18" t="s">
        <v>228</v>
      </c>
      <c r="G501" s="18" t="s">
        <v>2126</v>
      </c>
      <c r="H501" s="16" t="s">
        <v>264</v>
      </c>
      <c r="I501" s="19" t="s">
        <v>3</v>
      </c>
      <c r="J501" s="16" t="s">
        <v>12</v>
      </c>
      <c r="K501" s="20" t="s">
        <v>378</v>
      </c>
      <c r="L501" s="20" t="s">
        <v>1684</v>
      </c>
      <c r="M501" s="16" t="s">
        <v>267</v>
      </c>
      <c r="N501" s="16">
        <v>0</v>
      </c>
      <c r="O501" s="16" t="s">
        <v>50</v>
      </c>
      <c r="P501" s="20">
        <v>62</v>
      </c>
      <c r="Q501" s="20" t="s">
        <v>51</v>
      </c>
      <c r="R501" s="21" t="s">
        <v>87</v>
      </c>
      <c r="S501" s="22" t="s">
        <v>53</v>
      </c>
      <c r="T501" s="22" t="s">
        <v>54</v>
      </c>
      <c r="U501" s="23" t="s">
        <v>55</v>
      </c>
      <c r="V501" s="24">
        <v>1.05</v>
      </c>
      <c r="W501" s="25">
        <v>750.75000000000011</v>
      </c>
      <c r="X501" s="26">
        <v>1</v>
      </c>
      <c r="Y501" s="27">
        <v>1.5</v>
      </c>
      <c r="Z501" s="23">
        <v>5</v>
      </c>
      <c r="AA501" s="28">
        <v>0.3</v>
      </c>
      <c r="AB501" s="24">
        <v>0</v>
      </c>
      <c r="AC501" s="29">
        <v>0</v>
      </c>
      <c r="AD501" s="30">
        <v>43571</v>
      </c>
      <c r="AE501" s="30">
        <v>43571</v>
      </c>
      <c r="AF501" s="23">
        <v>0</v>
      </c>
      <c r="AG501" s="25" t="s">
        <v>56</v>
      </c>
      <c r="AH501" s="24">
        <v>0</v>
      </c>
      <c r="AI501" s="31">
        <v>0</v>
      </c>
      <c r="AJ501" s="31">
        <v>0</v>
      </c>
      <c r="AK501" s="44">
        <f t="shared" si="14"/>
        <v>750.75000000000011</v>
      </c>
      <c r="AL501">
        <f>VLOOKUP(A501,'[1]prueba con 16mil datos'!$A$1:$AE$804,31,FALSE)</f>
        <v>1501.5</v>
      </c>
      <c r="AM501">
        <f t="shared" si="15"/>
        <v>0</v>
      </c>
      <c r="AO501">
        <f>VLOOKUP(A501,'[1]Prueba con 19mil datos'!$B$1:$AF$1228,31,FALSE)</f>
        <v>1501.5</v>
      </c>
    </row>
    <row r="502" spans="1:41" hidden="1" x14ac:dyDescent="0.25">
      <c r="A502" s="16" t="s">
        <v>445</v>
      </c>
      <c r="B502" s="15" t="s">
        <v>40</v>
      </c>
      <c r="C502" s="16">
        <v>1</v>
      </c>
      <c r="D502" s="16" t="s">
        <v>2082</v>
      </c>
      <c r="E502" s="17" t="s">
        <v>42</v>
      </c>
      <c r="F502" s="18" t="s">
        <v>275</v>
      </c>
      <c r="G502" s="18" t="s">
        <v>2083</v>
      </c>
      <c r="H502" s="16" t="s">
        <v>143</v>
      </c>
      <c r="I502" s="19" t="s">
        <v>3</v>
      </c>
      <c r="J502" s="16" t="s">
        <v>12</v>
      </c>
      <c r="K502" s="20" t="s">
        <v>126</v>
      </c>
      <c r="L502" s="20" t="s">
        <v>1626</v>
      </c>
      <c r="M502" s="16" t="s">
        <v>367</v>
      </c>
      <c r="N502" s="16">
        <v>0</v>
      </c>
      <c r="O502" s="16" t="s">
        <v>50</v>
      </c>
      <c r="P502" s="20">
        <v>94</v>
      </c>
      <c r="Q502" s="20" t="s">
        <v>51</v>
      </c>
      <c r="R502" s="21" t="s">
        <v>279</v>
      </c>
      <c r="S502" s="22" t="s">
        <v>187</v>
      </c>
      <c r="T502" s="22" t="s">
        <v>54</v>
      </c>
      <c r="U502" s="23" t="s">
        <v>550</v>
      </c>
      <c r="V502" s="24">
        <v>1.1499999999999999</v>
      </c>
      <c r="W502" s="25">
        <v>1808.95</v>
      </c>
      <c r="X502" s="26">
        <v>1</v>
      </c>
      <c r="Y502" s="27">
        <v>4.4833333333333325</v>
      </c>
      <c r="Z502" s="23">
        <v>4</v>
      </c>
      <c r="AA502" s="28">
        <v>1.1208333333333331</v>
      </c>
      <c r="AB502" s="24">
        <v>3.0208333333333282E-2</v>
      </c>
      <c r="AC502" s="29">
        <v>-47.51770833333326</v>
      </c>
      <c r="AD502" s="30">
        <v>43571</v>
      </c>
      <c r="AE502" s="30">
        <v>43571</v>
      </c>
      <c r="AF502" s="23">
        <v>0</v>
      </c>
      <c r="AG502" s="25" t="s">
        <v>56</v>
      </c>
      <c r="AH502" s="24">
        <v>0</v>
      </c>
      <c r="AI502" s="31">
        <v>0</v>
      </c>
      <c r="AJ502" s="31">
        <v>0</v>
      </c>
      <c r="AK502" s="44">
        <f t="shared" si="14"/>
        <v>1761.4322916666667</v>
      </c>
      <c r="AL502">
        <f>VLOOKUP(A502,'[1]prueba con 16mil datos'!$A$1:$AE$804,31,FALSE)</f>
        <v>1501.5</v>
      </c>
      <c r="AM502">
        <f t="shared" si="15"/>
        <v>0</v>
      </c>
      <c r="AO502">
        <f>VLOOKUP(A502,'[1]Prueba con 19mil datos'!$B$1:$AF$1228,31,FALSE)</f>
        <v>1501.5</v>
      </c>
    </row>
    <row r="503" spans="1:41" hidden="1" x14ac:dyDescent="0.25">
      <c r="A503" s="16" t="s">
        <v>445</v>
      </c>
      <c r="B503" s="15" t="s">
        <v>40</v>
      </c>
      <c r="C503" s="16">
        <v>1</v>
      </c>
      <c r="D503" s="16" t="s">
        <v>2128</v>
      </c>
      <c r="E503" s="17" t="s">
        <v>42</v>
      </c>
      <c r="F503" s="18" t="s">
        <v>70</v>
      </c>
      <c r="G503" s="18" t="s">
        <v>2129</v>
      </c>
      <c r="H503" s="16" t="s">
        <v>125</v>
      </c>
      <c r="I503" s="19" t="s">
        <v>3</v>
      </c>
      <c r="J503" s="16" t="s">
        <v>12</v>
      </c>
      <c r="K503" s="20" t="s">
        <v>74</v>
      </c>
      <c r="L503" s="20" t="s">
        <v>2131</v>
      </c>
      <c r="M503" s="16" t="s">
        <v>128</v>
      </c>
      <c r="N503" s="16">
        <v>0</v>
      </c>
      <c r="O503" s="16" t="s">
        <v>50</v>
      </c>
      <c r="P503" s="20">
        <v>224</v>
      </c>
      <c r="Q503" s="20" t="s">
        <v>51</v>
      </c>
      <c r="R503" s="21" t="s">
        <v>77</v>
      </c>
      <c r="S503" s="22" t="s">
        <v>53</v>
      </c>
      <c r="T503" s="22" t="s">
        <v>54</v>
      </c>
      <c r="U503" s="23" t="s">
        <v>55</v>
      </c>
      <c r="V503" s="24">
        <v>1.05</v>
      </c>
      <c r="W503" s="25">
        <v>750.75000000000011</v>
      </c>
      <c r="X503" s="26">
        <v>1</v>
      </c>
      <c r="Y503" s="27">
        <v>0.57999999999999996</v>
      </c>
      <c r="Z503" s="23">
        <v>5</v>
      </c>
      <c r="AA503" s="28">
        <v>0.11599999999999999</v>
      </c>
      <c r="AB503" s="24">
        <v>0</v>
      </c>
      <c r="AC503" s="29">
        <v>0</v>
      </c>
      <c r="AD503" s="30">
        <v>43571</v>
      </c>
      <c r="AE503" s="30">
        <v>43571</v>
      </c>
      <c r="AF503" s="23">
        <v>0</v>
      </c>
      <c r="AG503" s="25" t="s">
        <v>56</v>
      </c>
      <c r="AH503" s="24">
        <v>0</v>
      </c>
      <c r="AI503" s="31">
        <v>0</v>
      </c>
      <c r="AJ503" s="31">
        <v>0</v>
      </c>
      <c r="AK503" s="44">
        <f t="shared" si="14"/>
        <v>750.75000000000011</v>
      </c>
      <c r="AL503">
        <f>VLOOKUP(A503,'[1]prueba con 16mil datos'!$A$1:$AE$804,31,FALSE)</f>
        <v>1501.5</v>
      </c>
      <c r="AM503">
        <f t="shared" si="15"/>
        <v>0</v>
      </c>
      <c r="AO503">
        <f>VLOOKUP(A503,'[1]Prueba con 19mil datos'!$B$1:$AF$1228,31,FALSE)</f>
        <v>1501.5</v>
      </c>
    </row>
    <row r="504" spans="1:41" hidden="1" x14ac:dyDescent="0.25">
      <c r="A504" s="16" t="s">
        <v>894</v>
      </c>
      <c r="B504" s="15" t="s">
        <v>40</v>
      </c>
      <c r="C504" s="16">
        <v>1</v>
      </c>
      <c r="D504" s="16" t="s">
        <v>2146</v>
      </c>
      <c r="E504" s="17" t="s">
        <v>42</v>
      </c>
      <c r="F504" s="18" t="s">
        <v>70</v>
      </c>
      <c r="G504" s="18" t="s">
        <v>2147</v>
      </c>
      <c r="H504" s="16" t="s">
        <v>660</v>
      </c>
      <c r="I504" s="19" t="s">
        <v>3</v>
      </c>
      <c r="J504" s="16" t="s">
        <v>12</v>
      </c>
      <c r="K504" s="20" t="s">
        <v>74</v>
      </c>
      <c r="L504" s="20" t="s">
        <v>2149</v>
      </c>
      <c r="M504" s="16" t="s">
        <v>296</v>
      </c>
      <c r="N504" s="16">
        <v>0</v>
      </c>
      <c r="O504" s="16" t="s">
        <v>50</v>
      </c>
      <c r="P504" s="20">
        <v>46</v>
      </c>
      <c r="Q504" s="20" t="s">
        <v>86</v>
      </c>
      <c r="R504" s="21" t="s">
        <v>77</v>
      </c>
      <c r="S504" s="22" t="s">
        <v>53</v>
      </c>
      <c r="T504" s="22" t="s">
        <v>54</v>
      </c>
      <c r="U504" s="23" t="s">
        <v>88</v>
      </c>
      <c r="V504" s="24">
        <v>0.8</v>
      </c>
      <c r="W504" s="25">
        <v>572.00000000000011</v>
      </c>
      <c r="X504" s="26">
        <v>1</v>
      </c>
      <c r="Y504" s="27">
        <v>3.15</v>
      </c>
      <c r="Z504" s="23">
        <v>5</v>
      </c>
      <c r="AA504" s="28">
        <v>0.63</v>
      </c>
      <c r="AB504" s="24">
        <v>0</v>
      </c>
      <c r="AC504" s="29">
        <v>0</v>
      </c>
      <c r="AD504" s="30">
        <v>43571</v>
      </c>
      <c r="AE504" s="30">
        <v>43571</v>
      </c>
      <c r="AF504" s="23">
        <v>0</v>
      </c>
      <c r="AG504" s="25" t="s">
        <v>56</v>
      </c>
      <c r="AH504" s="24">
        <v>0</v>
      </c>
      <c r="AI504" s="31">
        <v>0</v>
      </c>
      <c r="AJ504" s="31">
        <v>0</v>
      </c>
      <c r="AK504" s="44">
        <f t="shared" si="14"/>
        <v>572.00000000000011</v>
      </c>
      <c r="AL504">
        <f>VLOOKUP(A504,'[1]prueba con 16mil datos'!$A$1:$AE$804,31,FALSE)</f>
        <v>1433.25</v>
      </c>
      <c r="AM504">
        <f t="shared" si="15"/>
        <v>0</v>
      </c>
      <c r="AO504">
        <f>VLOOKUP(A504,'[1]Prueba con 19mil datos'!$B$1:$AF$1228,31,FALSE)</f>
        <v>1433.25</v>
      </c>
    </row>
    <row r="505" spans="1:41" hidden="1" x14ac:dyDescent="0.25">
      <c r="A505" s="16" t="s">
        <v>1370</v>
      </c>
      <c r="B505" s="15" t="s">
        <v>40</v>
      </c>
      <c r="C505" s="16">
        <v>1</v>
      </c>
      <c r="D505" s="16" t="s">
        <v>2169</v>
      </c>
      <c r="E505" s="17" t="s">
        <v>42</v>
      </c>
      <c r="F505" s="18" t="s">
        <v>335</v>
      </c>
      <c r="G505" s="18" t="s">
        <v>2170</v>
      </c>
      <c r="H505" s="16" t="s">
        <v>243</v>
      </c>
      <c r="I505" s="19" t="s">
        <v>3</v>
      </c>
      <c r="J505" s="16" t="s">
        <v>12</v>
      </c>
      <c r="K505" s="20" t="s">
        <v>208</v>
      </c>
      <c r="L505" s="20" t="s">
        <v>1948</v>
      </c>
      <c r="M505" s="16" t="s">
        <v>833</v>
      </c>
      <c r="N505" s="16">
        <v>0</v>
      </c>
      <c r="O505" s="16" t="s">
        <v>50</v>
      </c>
      <c r="P505" s="20">
        <v>468</v>
      </c>
      <c r="Q505" s="20" t="s">
        <v>51</v>
      </c>
      <c r="R505" s="21" t="s">
        <v>77</v>
      </c>
      <c r="S505" s="22" t="s">
        <v>53</v>
      </c>
      <c r="T505" s="22" t="s">
        <v>54</v>
      </c>
      <c r="U505" s="23" t="s">
        <v>55</v>
      </c>
      <c r="V505" s="24">
        <v>1.05</v>
      </c>
      <c r="W505" s="25">
        <v>750.75000000000011</v>
      </c>
      <c r="X505" s="26">
        <v>1</v>
      </c>
      <c r="Y505" s="27">
        <v>2.4</v>
      </c>
      <c r="Z505" s="23">
        <v>5</v>
      </c>
      <c r="AA505" s="28">
        <v>0.48</v>
      </c>
      <c r="AB505" s="24">
        <v>0</v>
      </c>
      <c r="AC505" s="29">
        <v>0</v>
      </c>
      <c r="AD505" s="30">
        <v>43571</v>
      </c>
      <c r="AE505" s="30">
        <v>43571</v>
      </c>
      <c r="AF505" s="23">
        <v>0</v>
      </c>
      <c r="AG505" s="25" t="s">
        <v>56</v>
      </c>
      <c r="AH505" s="24">
        <v>0</v>
      </c>
      <c r="AI505" s="31">
        <v>0</v>
      </c>
      <c r="AJ505" s="31">
        <v>0</v>
      </c>
      <c r="AK505" s="44">
        <f t="shared" si="14"/>
        <v>750.75000000000011</v>
      </c>
      <c r="AL505">
        <f>VLOOKUP(A505,'[1]prueba con 16mil datos'!$A$1:$AE$804,31,FALSE)</f>
        <v>1501.5</v>
      </c>
      <c r="AM505">
        <f t="shared" si="15"/>
        <v>0</v>
      </c>
      <c r="AO505">
        <f>VLOOKUP(A505,'[1]Prueba con 19mil datos'!$B$1:$AF$1228,31,FALSE)</f>
        <v>1501.5</v>
      </c>
    </row>
    <row r="506" spans="1:41" hidden="1" x14ac:dyDescent="0.25">
      <c r="A506" s="16" t="s">
        <v>2214</v>
      </c>
      <c r="B506" s="15" t="s">
        <v>40</v>
      </c>
      <c r="C506" s="16">
        <v>1</v>
      </c>
      <c r="D506" s="16" t="s">
        <v>2178</v>
      </c>
      <c r="E506" s="17" t="s">
        <v>42</v>
      </c>
      <c r="F506" s="18" t="s">
        <v>335</v>
      </c>
      <c r="G506" s="18" t="s">
        <v>2062</v>
      </c>
      <c r="H506" s="16" t="s">
        <v>243</v>
      </c>
      <c r="I506" s="19" t="s">
        <v>3</v>
      </c>
      <c r="J506" s="16" t="s">
        <v>12</v>
      </c>
      <c r="K506" s="20" t="s">
        <v>208</v>
      </c>
      <c r="L506" s="20" t="s">
        <v>1948</v>
      </c>
      <c r="M506" s="16" t="s">
        <v>833</v>
      </c>
      <c r="N506" s="16">
        <v>0</v>
      </c>
      <c r="O506" s="16" t="s">
        <v>50</v>
      </c>
      <c r="P506" s="20">
        <v>19</v>
      </c>
      <c r="Q506" s="20" t="s">
        <v>119</v>
      </c>
      <c r="R506" s="21" t="s">
        <v>77</v>
      </c>
      <c r="S506" s="22" t="s">
        <v>53</v>
      </c>
      <c r="T506" s="22" t="s">
        <v>54</v>
      </c>
      <c r="U506" s="23" t="s">
        <v>120</v>
      </c>
      <c r="V506" s="24">
        <v>0.6</v>
      </c>
      <c r="W506" s="25">
        <v>429.00000000000006</v>
      </c>
      <c r="X506" s="26">
        <v>1</v>
      </c>
      <c r="Y506" s="27">
        <v>3.42</v>
      </c>
      <c r="Z506" s="23">
        <v>5</v>
      </c>
      <c r="AA506" s="28">
        <v>0.68399999999999994</v>
      </c>
      <c r="AB506" s="24">
        <v>0</v>
      </c>
      <c r="AC506" s="29">
        <v>0</v>
      </c>
      <c r="AD506" s="30">
        <v>43571</v>
      </c>
      <c r="AE506" s="30">
        <v>43571</v>
      </c>
      <c r="AF506" s="23">
        <v>0</v>
      </c>
      <c r="AG506" s="25" t="s">
        <v>56</v>
      </c>
      <c r="AH506" s="24">
        <v>0</v>
      </c>
      <c r="AI506" s="31">
        <v>0</v>
      </c>
      <c r="AJ506" s="31">
        <v>0</v>
      </c>
      <c r="AK506" s="44">
        <f t="shared" si="14"/>
        <v>429.00000000000006</v>
      </c>
      <c r="AL506" t="e">
        <f>VLOOKUP(A506,'[1]prueba con 16mil datos'!$A$1:$AE$804,31,FALSE)</f>
        <v>#N/A</v>
      </c>
      <c r="AM506" t="e">
        <f t="shared" si="15"/>
        <v>#N/A</v>
      </c>
      <c r="AO506">
        <f>VLOOKUP(A506,'[1]Prueba con 19mil datos'!$B$1:$AF$1228,31,FALSE)</f>
        <v>0</v>
      </c>
    </row>
    <row r="507" spans="1:41" hidden="1" x14ac:dyDescent="0.25">
      <c r="A507" s="16" t="s">
        <v>2214</v>
      </c>
      <c r="B507" s="15" t="s">
        <v>40</v>
      </c>
      <c r="C507" s="16">
        <v>1</v>
      </c>
      <c r="D507" s="16" t="s">
        <v>2085</v>
      </c>
      <c r="E507" s="17" t="s">
        <v>42</v>
      </c>
      <c r="F507" s="18" t="s">
        <v>913</v>
      </c>
      <c r="G507" s="18" t="s">
        <v>2086</v>
      </c>
      <c r="H507" s="16" t="s">
        <v>168</v>
      </c>
      <c r="I507" s="19" t="s">
        <v>3</v>
      </c>
      <c r="J507" s="16" t="s">
        <v>12</v>
      </c>
      <c r="K507" s="20" t="s">
        <v>936</v>
      </c>
      <c r="L507" s="20" t="s">
        <v>2088</v>
      </c>
      <c r="M507" s="16" t="s">
        <v>171</v>
      </c>
      <c r="N507" s="16">
        <v>0</v>
      </c>
      <c r="O507" s="16" t="s">
        <v>50</v>
      </c>
      <c r="P507" s="20">
        <v>542</v>
      </c>
      <c r="Q507" s="20" t="s">
        <v>51</v>
      </c>
      <c r="R507" s="21" t="s">
        <v>87</v>
      </c>
      <c r="S507" s="22" t="s">
        <v>53</v>
      </c>
      <c r="T507" s="22" t="s">
        <v>54</v>
      </c>
      <c r="U507" s="23" t="s">
        <v>55</v>
      </c>
      <c r="V507" s="24">
        <v>1.05</v>
      </c>
      <c r="W507" s="25">
        <v>750.75000000000011</v>
      </c>
      <c r="X507" s="26">
        <v>1</v>
      </c>
      <c r="Y507" s="27">
        <v>2</v>
      </c>
      <c r="Z507" s="23">
        <v>5</v>
      </c>
      <c r="AA507" s="28">
        <v>0.4</v>
      </c>
      <c r="AB507" s="24">
        <v>0</v>
      </c>
      <c r="AC507" s="29">
        <v>0</v>
      </c>
      <c r="AD507" s="30">
        <v>43571</v>
      </c>
      <c r="AE507" s="30">
        <v>43571</v>
      </c>
      <c r="AF507" s="23">
        <v>0</v>
      </c>
      <c r="AG507" s="25" t="s">
        <v>56</v>
      </c>
      <c r="AH507" s="24">
        <v>0</v>
      </c>
      <c r="AI507" s="31">
        <v>0</v>
      </c>
      <c r="AJ507" s="31">
        <v>0</v>
      </c>
      <c r="AK507" s="44">
        <f t="shared" si="14"/>
        <v>750.75000000000011</v>
      </c>
      <c r="AL507" t="e">
        <f>VLOOKUP(A507,'[1]prueba con 16mil datos'!$A$1:$AE$804,31,FALSE)</f>
        <v>#N/A</v>
      </c>
      <c r="AM507" t="e">
        <f t="shared" si="15"/>
        <v>#N/A</v>
      </c>
      <c r="AO507">
        <f>VLOOKUP(A507,'[1]Prueba con 19mil datos'!$B$1:$AF$1228,31,FALSE)</f>
        <v>0</v>
      </c>
    </row>
    <row r="508" spans="1:41" hidden="1" x14ac:dyDescent="0.25">
      <c r="A508" s="16" t="s">
        <v>206</v>
      </c>
      <c r="B508" s="15" t="s">
        <v>40</v>
      </c>
      <c r="C508" s="16">
        <v>1</v>
      </c>
      <c r="D508" s="16" t="s">
        <v>2139</v>
      </c>
      <c r="E508" s="17" t="s">
        <v>42</v>
      </c>
      <c r="F508" s="18" t="s">
        <v>913</v>
      </c>
      <c r="G508" s="18" t="s">
        <v>2140</v>
      </c>
      <c r="H508" s="16" t="s">
        <v>168</v>
      </c>
      <c r="I508" s="19" t="s">
        <v>3</v>
      </c>
      <c r="J508" s="16" t="s">
        <v>12</v>
      </c>
      <c r="K508" s="20" t="s">
        <v>936</v>
      </c>
      <c r="L508" s="20" t="s">
        <v>2088</v>
      </c>
      <c r="M508" s="16" t="s">
        <v>171</v>
      </c>
      <c r="N508" s="16">
        <v>0</v>
      </c>
      <c r="O508" s="16" t="s">
        <v>50</v>
      </c>
      <c r="P508" s="20">
        <v>152</v>
      </c>
      <c r="Q508" s="20" t="s">
        <v>51</v>
      </c>
      <c r="R508" s="21" t="s">
        <v>87</v>
      </c>
      <c r="S508" s="22" t="s">
        <v>53</v>
      </c>
      <c r="T508" s="22" t="s">
        <v>54</v>
      </c>
      <c r="U508" s="23" t="s">
        <v>55</v>
      </c>
      <c r="V508" s="24">
        <v>1.05</v>
      </c>
      <c r="W508" s="25">
        <v>750.75000000000011</v>
      </c>
      <c r="X508" s="26">
        <v>1</v>
      </c>
      <c r="Y508" s="27">
        <v>1.92</v>
      </c>
      <c r="Z508" s="23">
        <v>5</v>
      </c>
      <c r="AA508" s="28">
        <v>0.38400000000000001</v>
      </c>
      <c r="AB508" s="24">
        <v>0</v>
      </c>
      <c r="AC508" s="29">
        <v>0</v>
      </c>
      <c r="AD508" s="30">
        <v>43571</v>
      </c>
      <c r="AE508" s="30">
        <v>43571</v>
      </c>
      <c r="AF508" s="23">
        <v>0</v>
      </c>
      <c r="AG508" s="25" t="s">
        <v>56</v>
      </c>
      <c r="AH508" s="24">
        <v>0</v>
      </c>
      <c r="AI508" s="31">
        <v>0</v>
      </c>
      <c r="AJ508" s="31">
        <v>0</v>
      </c>
      <c r="AK508" s="44">
        <f t="shared" si="14"/>
        <v>750.75000000000011</v>
      </c>
      <c r="AL508">
        <f>VLOOKUP(A508,'[1]prueba con 16mil datos'!$A$1:$AE$804,31,FALSE)</f>
        <v>0</v>
      </c>
      <c r="AM508">
        <f t="shared" si="15"/>
        <v>0</v>
      </c>
      <c r="AO508">
        <f>VLOOKUP(A508,'[1]Prueba con 19mil datos'!$B$1:$AF$1228,31,FALSE)</f>
        <v>0</v>
      </c>
    </row>
    <row r="509" spans="1:41" hidden="1" x14ac:dyDescent="0.25">
      <c r="A509" s="16" t="s">
        <v>1026</v>
      </c>
      <c r="B509" s="15" t="s">
        <v>40</v>
      </c>
      <c r="C509" s="16">
        <v>1</v>
      </c>
      <c r="D509" s="16" t="s">
        <v>2150</v>
      </c>
      <c r="E509" s="17" t="s">
        <v>42</v>
      </c>
      <c r="F509" s="18" t="s">
        <v>180</v>
      </c>
      <c r="G509" s="18" t="s">
        <v>2151</v>
      </c>
      <c r="H509" s="16" t="s">
        <v>301</v>
      </c>
      <c r="I509" s="19" t="s">
        <v>3</v>
      </c>
      <c r="J509" s="16" t="s">
        <v>12</v>
      </c>
      <c r="K509" s="20" t="s">
        <v>198</v>
      </c>
      <c r="L509" s="20" t="s">
        <v>1458</v>
      </c>
      <c r="M509" s="16" t="s">
        <v>267</v>
      </c>
      <c r="N509" s="16">
        <v>0</v>
      </c>
      <c r="O509" s="16" t="s">
        <v>50</v>
      </c>
      <c r="P509" s="20">
        <v>14</v>
      </c>
      <c r="Q509" s="20" t="s">
        <v>65</v>
      </c>
      <c r="R509" s="21" t="s">
        <v>186</v>
      </c>
      <c r="S509" s="22" t="s">
        <v>187</v>
      </c>
      <c r="T509" s="22" t="s">
        <v>54</v>
      </c>
      <c r="U509" s="23" t="s">
        <v>201</v>
      </c>
      <c r="V509" s="24">
        <v>0.8</v>
      </c>
      <c r="W509" s="25">
        <v>1258.4000000000003</v>
      </c>
      <c r="X509" s="26">
        <v>1</v>
      </c>
      <c r="Y509" s="27">
        <v>0</v>
      </c>
      <c r="Z509" s="23">
        <v>4</v>
      </c>
      <c r="AA509" s="28">
        <v>0</v>
      </c>
      <c r="AB509" s="24">
        <v>0</v>
      </c>
      <c r="AC509" s="29">
        <v>0</v>
      </c>
      <c r="AD509" s="30">
        <v>43571</v>
      </c>
      <c r="AE509" s="30">
        <v>43571</v>
      </c>
      <c r="AF509" s="23">
        <v>0</v>
      </c>
      <c r="AG509" s="25" t="s">
        <v>56</v>
      </c>
      <c r="AH509" s="24">
        <v>0</v>
      </c>
      <c r="AI509" s="31">
        <v>0</v>
      </c>
      <c r="AJ509" s="31">
        <v>0</v>
      </c>
      <c r="AK509" s="44">
        <f t="shared" si="14"/>
        <v>1258.4000000000003</v>
      </c>
      <c r="AL509">
        <f>VLOOKUP(A509,'[1]prueba con 16mil datos'!$A$1:$AE$804,31,FALSE)</f>
        <v>1433.25</v>
      </c>
      <c r="AM509">
        <f t="shared" si="15"/>
        <v>0</v>
      </c>
      <c r="AO509">
        <f>VLOOKUP(A509,'[1]Prueba con 19mil datos'!$B$1:$AF$1228,31,FALSE)</f>
        <v>1433.25</v>
      </c>
    </row>
    <row r="510" spans="1:41" hidden="1" x14ac:dyDescent="0.25">
      <c r="A510" s="16" t="s">
        <v>966</v>
      </c>
      <c r="B510" s="15" t="s">
        <v>40</v>
      </c>
      <c r="C510" s="16">
        <v>1</v>
      </c>
      <c r="D510" s="16" t="s">
        <v>2172</v>
      </c>
      <c r="E510" s="17" t="s">
        <v>744</v>
      </c>
      <c r="F510" s="18" t="s">
        <v>180</v>
      </c>
      <c r="G510" s="18" t="s">
        <v>2173</v>
      </c>
      <c r="H510" s="16" t="s">
        <v>213</v>
      </c>
      <c r="I510" s="19" t="s">
        <v>3</v>
      </c>
      <c r="J510" s="16" t="s">
        <v>12</v>
      </c>
      <c r="K510" s="20" t="s">
        <v>198</v>
      </c>
      <c r="L510" s="20" t="s">
        <v>1066</v>
      </c>
      <c r="M510" s="16" t="s">
        <v>216</v>
      </c>
      <c r="N510" s="16">
        <v>0</v>
      </c>
      <c r="O510" s="16" t="s">
        <v>50</v>
      </c>
      <c r="P510" s="20" t="s">
        <v>326</v>
      </c>
      <c r="Q510" s="20" t="s">
        <v>51</v>
      </c>
      <c r="R510" s="21" t="s">
        <v>186</v>
      </c>
      <c r="S510" s="22" t="s">
        <v>187</v>
      </c>
      <c r="T510" s="22" t="s">
        <v>54</v>
      </c>
      <c r="U510" s="23" t="s">
        <v>550</v>
      </c>
      <c r="V510" s="24">
        <v>1</v>
      </c>
      <c r="W510" s="25">
        <v>1573.0000000000002</v>
      </c>
      <c r="X510" s="26">
        <v>0</v>
      </c>
      <c r="Y510" s="27">
        <v>4</v>
      </c>
      <c r="Z510" s="23">
        <v>4</v>
      </c>
      <c r="AA510" s="28">
        <v>1</v>
      </c>
      <c r="AB510" s="24">
        <v>0</v>
      </c>
      <c r="AC510" s="29">
        <v>0</v>
      </c>
      <c r="AD510" s="30">
        <v>43571</v>
      </c>
      <c r="AE510" s="30">
        <v>43571</v>
      </c>
      <c r="AF510" s="23">
        <v>0</v>
      </c>
      <c r="AG510" s="25" t="s">
        <v>56</v>
      </c>
      <c r="AH510" s="24">
        <v>0</v>
      </c>
      <c r="AI510" s="31">
        <v>0</v>
      </c>
      <c r="AJ510" s="31">
        <v>0</v>
      </c>
      <c r="AK510" s="44">
        <f t="shared" si="14"/>
        <v>1573.0000000000002</v>
      </c>
      <c r="AL510">
        <f>VLOOKUP(A510,'[1]prueba con 16mil datos'!$A$1:$AE$804,31,FALSE)</f>
        <v>1501.5</v>
      </c>
      <c r="AM510">
        <f t="shared" si="15"/>
        <v>0</v>
      </c>
      <c r="AO510">
        <f>VLOOKUP(A510,'[1]Prueba con 19mil datos'!$B$1:$AF$1228,31,FALSE)</f>
        <v>1501.5</v>
      </c>
    </row>
    <row r="511" spans="1:41" hidden="1" x14ac:dyDescent="0.25">
      <c r="A511" s="16" t="s">
        <v>966</v>
      </c>
      <c r="B511" s="15" t="s">
        <v>40</v>
      </c>
      <c r="C511" s="16">
        <v>1</v>
      </c>
      <c r="D511" s="16" t="s">
        <v>2135</v>
      </c>
      <c r="E511" s="17" t="s">
        <v>42</v>
      </c>
      <c r="F511" s="18" t="s">
        <v>122</v>
      </c>
      <c r="G511" s="18" t="s">
        <v>2136</v>
      </c>
      <c r="H511" s="16" t="s">
        <v>61</v>
      </c>
      <c r="I511" s="19" t="s">
        <v>3</v>
      </c>
      <c r="J511" s="16" t="s">
        <v>12</v>
      </c>
      <c r="K511" s="20" t="s">
        <v>198</v>
      </c>
      <c r="L511" s="20" t="s">
        <v>2138</v>
      </c>
      <c r="M511" s="16" t="s">
        <v>1003</v>
      </c>
      <c r="N511" s="16">
        <v>0</v>
      </c>
      <c r="O511" s="16" t="s">
        <v>50</v>
      </c>
      <c r="P511" s="20">
        <v>25</v>
      </c>
      <c r="Q511" s="20" t="s">
        <v>119</v>
      </c>
      <c r="R511" s="21" t="s">
        <v>129</v>
      </c>
      <c r="S511" s="22" t="s">
        <v>130</v>
      </c>
      <c r="T511" s="22" t="s">
        <v>54</v>
      </c>
      <c r="U511" s="23" t="s">
        <v>164</v>
      </c>
      <c r="V511" s="24">
        <v>0.8</v>
      </c>
      <c r="W511" s="25">
        <v>1092</v>
      </c>
      <c r="X511" s="26">
        <v>1</v>
      </c>
      <c r="Y511" s="27">
        <v>3.37</v>
      </c>
      <c r="Z511" s="23">
        <v>5</v>
      </c>
      <c r="AA511" s="28">
        <v>0.67400000000000004</v>
      </c>
      <c r="AB511" s="24">
        <v>0</v>
      </c>
      <c r="AC511" s="29">
        <v>0</v>
      </c>
      <c r="AD511" s="30">
        <v>43571</v>
      </c>
      <c r="AE511" s="30">
        <v>43571</v>
      </c>
      <c r="AF511" s="23">
        <v>0</v>
      </c>
      <c r="AG511" s="25" t="s">
        <v>56</v>
      </c>
      <c r="AH511" s="24">
        <v>0</v>
      </c>
      <c r="AI511" s="31">
        <v>0</v>
      </c>
      <c r="AJ511" s="31">
        <v>0</v>
      </c>
      <c r="AK511" s="44">
        <f t="shared" si="14"/>
        <v>1092</v>
      </c>
      <c r="AL511">
        <f>VLOOKUP(A511,'[1]prueba con 16mil datos'!$A$1:$AE$804,31,FALSE)</f>
        <v>1501.5</v>
      </c>
      <c r="AM511">
        <f t="shared" si="15"/>
        <v>0</v>
      </c>
      <c r="AO511">
        <f>VLOOKUP(A511,'[1]Prueba con 19mil datos'!$B$1:$AF$1228,31,FALSE)</f>
        <v>1501.5</v>
      </c>
    </row>
    <row r="512" spans="1:41" hidden="1" x14ac:dyDescent="0.25">
      <c r="A512" s="16" t="s">
        <v>1573</v>
      </c>
      <c r="B512" s="15" t="s">
        <v>40</v>
      </c>
      <c r="C512" s="16">
        <v>1</v>
      </c>
      <c r="D512" s="16" t="s">
        <v>2106</v>
      </c>
      <c r="E512" s="17" t="s">
        <v>42</v>
      </c>
      <c r="F512" s="18" t="s">
        <v>122</v>
      </c>
      <c r="G512" s="18" t="s">
        <v>2107</v>
      </c>
      <c r="H512" s="16" t="s">
        <v>516</v>
      </c>
      <c r="I512" s="19" t="s">
        <v>3</v>
      </c>
      <c r="J512" s="16" t="s">
        <v>12</v>
      </c>
      <c r="K512" s="20" t="s">
        <v>198</v>
      </c>
      <c r="L512" s="20" t="s">
        <v>371</v>
      </c>
      <c r="M512" s="16" t="s">
        <v>372</v>
      </c>
      <c r="N512" s="16">
        <v>0</v>
      </c>
      <c r="O512" s="16" t="s">
        <v>50</v>
      </c>
      <c r="P512" s="20">
        <v>48</v>
      </c>
      <c r="Q512" s="20" t="s">
        <v>86</v>
      </c>
      <c r="R512" s="21" t="s">
        <v>129</v>
      </c>
      <c r="S512" s="22" t="s">
        <v>130</v>
      </c>
      <c r="T512" s="22" t="s">
        <v>54</v>
      </c>
      <c r="U512" s="23" t="s">
        <v>178</v>
      </c>
      <c r="V512" s="24">
        <v>1.05</v>
      </c>
      <c r="W512" s="25">
        <v>1433.25</v>
      </c>
      <c r="X512" s="26">
        <v>1</v>
      </c>
      <c r="Y512" s="27">
        <v>1.5</v>
      </c>
      <c r="Z512" s="23">
        <v>5</v>
      </c>
      <c r="AA512" s="28">
        <v>0.3</v>
      </c>
      <c r="AB512" s="24">
        <v>0</v>
      </c>
      <c r="AC512" s="29">
        <v>0</v>
      </c>
      <c r="AD512" s="30">
        <v>43571</v>
      </c>
      <c r="AE512" s="30">
        <v>43571</v>
      </c>
      <c r="AF512" s="23">
        <v>0</v>
      </c>
      <c r="AG512" s="25" t="s">
        <v>56</v>
      </c>
      <c r="AH512" s="24">
        <v>0</v>
      </c>
      <c r="AI512" s="31">
        <v>0</v>
      </c>
      <c r="AJ512" s="31">
        <v>0</v>
      </c>
      <c r="AK512" s="44">
        <f t="shared" si="14"/>
        <v>1433.25</v>
      </c>
      <c r="AL512">
        <f>VLOOKUP(A512,'[1]prueba con 16mil datos'!$A$1:$AE$804,31,FALSE)</f>
        <v>819</v>
      </c>
      <c r="AM512">
        <f t="shared" si="15"/>
        <v>0</v>
      </c>
      <c r="AO512">
        <f>VLOOKUP(A512,'[1]Prueba con 19mil datos'!$B$1:$AF$1228,31,FALSE)</f>
        <v>819</v>
      </c>
    </row>
    <row r="513" spans="1:41" hidden="1" x14ac:dyDescent="0.25">
      <c r="A513" s="16" t="s">
        <v>558</v>
      </c>
      <c r="B513" s="15" t="s">
        <v>40</v>
      </c>
      <c r="C513" s="16">
        <v>1</v>
      </c>
      <c r="D513" s="16" t="s">
        <v>2155</v>
      </c>
      <c r="E513" s="17" t="s">
        <v>42</v>
      </c>
      <c r="F513" s="18" t="s">
        <v>122</v>
      </c>
      <c r="G513" s="18" t="s">
        <v>2156</v>
      </c>
      <c r="H513" s="16" t="s">
        <v>463</v>
      </c>
      <c r="I513" s="19" t="s">
        <v>3</v>
      </c>
      <c r="J513" s="16" t="s">
        <v>12</v>
      </c>
      <c r="K513" s="20" t="s">
        <v>198</v>
      </c>
      <c r="L513" s="20" t="s">
        <v>670</v>
      </c>
      <c r="M513" s="16" t="s">
        <v>76</v>
      </c>
      <c r="N513" s="16">
        <v>0</v>
      </c>
      <c r="O513" s="16" t="s">
        <v>50</v>
      </c>
      <c r="P513" s="20">
        <v>36</v>
      </c>
      <c r="Q513" s="20" t="s">
        <v>86</v>
      </c>
      <c r="R513" s="21" t="s">
        <v>129</v>
      </c>
      <c r="S513" s="22" t="s">
        <v>130</v>
      </c>
      <c r="T513" s="22" t="s">
        <v>54</v>
      </c>
      <c r="U513" s="23" t="s">
        <v>178</v>
      </c>
      <c r="V513" s="24">
        <v>1.05</v>
      </c>
      <c r="W513" s="25">
        <v>1433.25</v>
      </c>
      <c r="X513" s="26">
        <v>1</v>
      </c>
      <c r="Y513" s="27">
        <v>4.9800000000000004</v>
      </c>
      <c r="Z513" s="23">
        <v>5</v>
      </c>
      <c r="AA513" s="28">
        <v>0.99600000000000011</v>
      </c>
      <c r="AB513" s="24">
        <v>0</v>
      </c>
      <c r="AC513" s="29">
        <v>0</v>
      </c>
      <c r="AD513" s="30">
        <v>43571</v>
      </c>
      <c r="AE513" s="30">
        <v>43571</v>
      </c>
      <c r="AF513" s="23">
        <v>0</v>
      </c>
      <c r="AG513" s="25" t="s">
        <v>56</v>
      </c>
      <c r="AH513" s="24">
        <v>0</v>
      </c>
      <c r="AI513" s="31">
        <v>0</v>
      </c>
      <c r="AJ513" s="31">
        <v>0</v>
      </c>
      <c r="AK513" s="44">
        <f t="shared" si="14"/>
        <v>1433.25</v>
      </c>
      <c r="AL513">
        <f>VLOOKUP(A513,'[1]prueba con 16mil datos'!$A$1:$AE$804,31,FALSE)</f>
        <v>1092</v>
      </c>
      <c r="AM513">
        <f t="shared" si="15"/>
        <v>0</v>
      </c>
      <c r="AO513">
        <f>VLOOKUP(A513,'[1]Prueba con 19mil datos'!$B$1:$AF$1228,31,FALSE)</f>
        <v>1092</v>
      </c>
    </row>
    <row r="514" spans="1:41" hidden="1" x14ac:dyDescent="0.25">
      <c r="A514" s="16" t="s">
        <v>2108</v>
      </c>
      <c r="B514" s="15" t="s">
        <v>40</v>
      </c>
      <c r="C514" s="16">
        <v>1</v>
      </c>
      <c r="D514" s="16" t="s">
        <v>2159</v>
      </c>
      <c r="E514" s="17" t="s">
        <v>42</v>
      </c>
      <c r="F514" s="18" t="s">
        <v>745</v>
      </c>
      <c r="G514" s="18" t="s">
        <v>2160</v>
      </c>
      <c r="H514" s="16" t="s">
        <v>2161</v>
      </c>
      <c r="I514" s="19" t="s">
        <v>3</v>
      </c>
      <c r="J514" s="16" t="s">
        <v>12</v>
      </c>
      <c r="K514" s="20" t="s">
        <v>126</v>
      </c>
      <c r="L514" s="20" t="s">
        <v>748</v>
      </c>
      <c r="M514" s="16" t="s">
        <v>749</v>
      </c>
      <c r="N514" s="16">
        <v>0</v>
      </c>
      <c r="O514" s="16" t="s">
        <v>50</v>
      </c>
      <c r="P514" s="20">
        <v>175</v>
      </c>
      <c r="Q514" s="20" t="s">
        <v>51</v>
      </c>
      <c r="R514" s="21" t="s">
        <v>287</v>
      </c>
      <c r="S514" s="22" t="s">
        <v>288</v>
      </c>
      <c r="T514" s="22" t="s">
        <v>54</v>
      </c>
      <c r="U514" s="23" t="s">
        <v>550</v>
      </c>
      <c r="V514" s="24">
        <v>1.1499999999999999</v>
      </c>
      <c r="W514" s="25">
        <v>1808.95</v>
      </c>
      <c r="X514" s="26">
        <v>1</v>
      </c>
      <c r="Y514" s="27">
        <v>3.13</v>
      </c>
      <c r="Z514" s="23">
        <v>4</v>
      </c>
      <c r="AA514" s="28">
        <v>0.78249999999999997</v>
      </c>
      <c r="AB514" s="24">
        <v>0</v>
      </c>
      <c r="AC514" s="29">
        <v>0</v>
      </c>
      <c r="AD514" s="30">
        <v>43571</v>
      </c>
      <c r="AE514" s="30">
        <v>43571</v>
      </c>
      <c r="AF514" s="23">
        <v>0</v>
      </c>
      <c r="AG514" s="25" t="s">
        <v>56</v>
      </c>
      <c r="AH514" s="24">
        <v>0</v>
      </c>
      <c r="AI514" s="31">
        <v>0</v>
      </c>
      <c r="AJ514" s="31">
        <v>0</v>
      </c>
      <c r="AK514" s="44">
        <f t="shared" ref="AK514:AK577" si="16">+W514+AC514</f>
        <v>1808.95</v>
      </c>
      <c r="AL514">
        <f>VLOOKUP(A514,'[1]prueba con 16mil datos'!$A$1:$AE$804,31,FALSE)</f>
        <v>1433.25</v>
      </c>
      <c r="AM514">
        <f t="shared" ref="AM514:AM577" si="17">IF(AK514=AL514,1,0)</f>
        <v>0</v>
      </c>
      <c r="AO514">
        <f>VLOOKUP(A514,'[1]Prueba con 19mil datos'!$B$1:$AF$1228,31,FALSE)</f>
        <v>1433.25</v>
      </c>
    </row>
    <row r="515" spans="1:41" hidden="1" x14ac:dyDescent="0.25">
      <c r="A515" s="16" t="s">
        <v>2108</v>
      </c>
      <c r="B515" s="15" t="s">
        <v>40</v>
      </c>
      <c r="C515" s="16">
        <v>1</v>
      </c>
      <c r="D515" s="16" t="s">
        <v>2120</v>
      </c>
      <c r="E515" s="17" t="s">
        <v>42</v>
      </c>
      <c r="F515" s="18" t="s">
        <v>290</v>
      </c>
      <c r="G515" s="18" t="s">
        <v>2121</v>
      </c>
      <c r="H515" s="16" t="s">
        <v>293</v>
      </c>
      <c r="I515" s="19" t="s">
        <v>3</v>
      </c>
      <c r="J515" s="16" t="s">
        <v>12</v>
      </c>
      <c r="K515" s="20" t="s">
        <v>2123</v>
      </c>
      <c r="L515" s="20" t="s">
        <v>2124</v>
      </c>
      <c r="M515" s="16" t="s">
        <v>833</v>
      </c>
      <c r="N515" s="16">
        <v>0</v>
      </c>
      <c r="O515" s="16" t="s">
        <v>50</v>
      </c>
      <c r="P515" s="20">
        <v>40</v>
      </c>
      <c r="Q515" s="20" t="s">
        <v>86</v>
      </c>
      <c r="R515" s="21" t="s">
        <v>129</v>
      </c>
      <c r="S515" s="22" t="s">
        <v>130</v>
      </c>
      <c r="T515" s="22" t="s">
        <v>54</v>
      </c>
      <c r="U515" s="23" t="s">
        <v>178</v>
      </c>
      <c r="V515" s="24">
        <v>1.05</v>
      </c>
      <c r="W515" s="25">
        <v>1433.25</v>
      </c>
      <c r="X515" s="26">
        <v>1</v>
      </c>
      <c r="Y515" s="27">
        <v>1.4</v>
      </c>
      <c r="Z515" s="23">
        <v>5</v>
      </c>
      <c r="AA515" s="28">
        <v>0.27999999999999997</v>
      </c>
      <c r="AB515" s="24">
        <v>0</v>
      </c>
      <c r="AC515" s="29">
        <v>0</v>
      </c>
      <c r="AD515" s="30">
        <v>43571</v>
      </c>
      <c r="AE515" s="30">
        <v>43571</v>
      </c>
      <c r="AF515" s="23">
        <v>0</v>
      </c>
      <c r="AG515" s="25" t="s">
        <v>56</v>
      </c>
      <c r="AH515" s="24">
        <v>0</v>
      </c>
      <c r="AI515" s="31">
        <v>0</v>
      </c>
      <c r="AJ515" s="31">
        <v>0</v>
      </c>
      <c r="AK515" s="44">
        <f t="shared" si="16"/>
        <v>1433.25</v>
      </c>
      <c r="AL515">
        <f>VLOOKUP(A515,'[1]prueba con 16mil datos'!$A$1:$AE$804,31,FALSE)</f>
        <v>1433.25</v>
      </c>
      <c r="AM515">
        <f t="shared" si="17"/>
        <v>1</v>
      </c>
      <c r="AO515">
        <f>VLOOKUP(A515,'[1]Prueba con 19mil datos'!$B$1:$AF$1228,31,FALSE)</f>
        <v>1433.25</v>
      </c>
    </row>
    <row r="516" spans="1:41" hidden="1" x14ac:dyDescent="0.25">
      <c r="A516" s="16" t="s">
        <v>545</v>
      </c>
      <c r="B516" s="15" t="s">
        <v>40</v>
      </c>
      <c r="C516" s="16">
        <v>1</v>
      </c>
      <c r="D516" s="16" t="s">
        <v>2183</v>
      </c>
      <c r="E516" s="17" t="s">
        <v>42</v>
      </c>
      <c r="F516" s="18" t="s">
        <v>290</v>
      </c>
      <c r="G516" s="18" t="s">
        <v>2184</v>
      </c>
      <c r="H516" s="16" t="s">
        <v>660</v>
      </c>
      <c r="I516" s="19" t="s">
        <v>3</v>
      </c>
      <c r="J516" s="16" t="s">
        <v>12</v>
      </c>
      <c r="K516" s="20" t="s">
        <v>2186</v>
      </c>
      <c r="L516" s="20" t="s">
        <v>2187</v>
      </c>
      <c r="M516" s="16" t="s">
        <v>833</v>
      </c>
      <c r="N516" s="16">
        <v>0</v>
      </c>
      <c r="O516" s="16" t="s">
        <v>50</v>
      </c>
      <c r="P516" s="20">
        <v>211</v>
      </c>
      <c r="Q516" s="20" t="s">
        <v>51</v>
      </c>
      <c r="R516" s="21" t="s">
        <v>129</v>
      </c>
      <c r="S516" s="22" t="s">
        <v>130</v>
      </c>
      <c r="T516" s="22" t="s">
        <v>54</v>
      </c>
      <c r="U516" s="23" t="s">
        <v>226</v>
      </c>
      <c r="V516" s="24">
        <v>1.1000000000000001</v>
      </c>
      <c r="W516" s="25">
        <v>1501.5000000000002</v>
      </c>
      <c r="X516" s="26">
        <v>1</v>
      </c>
      <c r="Y516" s="27">
        <v>3.98</v>
      </c>
      <c r="Z516" s="23">
        <v>5</v>
      </c>
      <c r="AA516" s="28">
        <v>0.79600000000000004</v>
      </c>
      <c r="AB516" s="24">
        <v>0</v>
      </c>
      <c r="AC516" s="29">
        <v>0</v>
      </c>
      <c r="AD516" s="30">
        <v>43571</v>
      </c>
      <c r="AE516" s="30">
        <v>43571</v>
      </c>
      <c r="AF516" s="23">
        <v>0</v>
      </c>
      <c r="AG516" s="25" t="s">
        <v>56</v>
      </c>
      <c r="AH516" s="24">
        <v>0</v>
      </c>
      <c r="AI516" s="31">
        <v>0</v>
      </c>
      <c r="AJ516" s="31">
        <v>0</v>
      </c>
      <c r="AK516" s="44">
        <f t="shared" si="16"/>
        <v>1501.5000000000002</v>
      </c>
      <c r="AL516">
        <f>VLOOKUP(A516,'[1]prueba con 16mil datos'!$A$1:$AE$804,31,FALSE)</f>
        <v>819</v>
      </c>
      <c r="AM516">
        <f t="shared" si="17"/>
        <v>0</v>
      </c>
      <c r="AO516">
        <f>VLOOKUP(A516,'[1]Prueba con 19mil datos'!$B$1:$AF$1228,31,FALSE)</f>
        <v>819</v>
      </c>
    </row>
    <row r="517" spans="1:41" hidden="1" x14ac:dyDescent="0.25">
      <c r="A517" s="16" t="s">
        <v>545</v>
      </c>
      <c r="B517" s="15" t="s">
        <v>40</v>
      </c>
      <c r="C517" s="16">
        <v>1</v>
      </c>
      <c r="D517" s="16" t="s">
        <v>2098</v>
      </c>
      <c r="E517" s="17" t="s">
        <v>42</v>
      </c>
      <c r="F517" s="18" t="s">
        <v>290</v>
      </c>
      <c r="G517" s="18" t="s">
        <v>2099</v>
      </c>
      <c r="H517" s="16" t="s">
        <v>125</v>
      </c>
      <c r="I517" s="19" t="s">
        <v>3</v>
      </c>
      <c r="J517" s="16" t="s">
        <v>12</v>
      </c>
      <c r="K517" s="20" t="s">
        <v>2101</v>
      </c>
      <c r="L517" s="20" t="s">
        <v>2102</v>
      </c>
      <c r="M517" s="16" t="s">
        <v>105</v>
      </c>
      <c r="N517" s="16">
        <v>0</v>
      </c>
      <c r="O517" s="16" t="s">
        <v>50</v>
      </c>
      <c r="P517" s="20">
        <v>115</v>
      </c>
      <c r="Q517" s="20" t="s">
        <v>51</v>
      </c>
      <c r="R517" s="21" t="s">
        <v>129</v>
      </c>
      <c r="S517" s="22" t="s">
        <v>130</v>
      </c>
      <c r="T517" s="22" t="s">
        <v>54</v>
      </c>
      <c r="U517" s="23" t="s">
        <v>226</v>
      </c>
      <c r="V517" s="24">
        <v>1.1000000000000001</v>
      </c>
      <c r="W517" s="25">
        <v>1501.5000000000002</v>
      </c>
      <c r="X517" s="26">
        <v>1</v>
      </c>
      <c r="Y517" s="27">
        <v>1.45</v>
      </c>
      <c r="Z517" s="23">
        <v>5</v>
      </c>
      <c r="AA517" s="28">
        <v>0.28999999999999998</v>
      </c>
      <c r="AB517" s="24">
        <v>0</v>
      </c>
      <c r="AC517" s="29">
        <v>0</v>
      </c>
      <c r="AD517" s="30">
        <v>43571</v>
      </c>
      <c r="AE517" s="30">
        <v>43571</v>
      </c>
      <c r="AF517" s="23">
        <v>0</v>
      </c>
      <c r="AG517" s="25" t="s">
        <v>56</v>
      </c>
      <c r="AH517" s="24">
        <v>0</v>
      </c>
      <c r="AI517" s="31">
        <v>0</v>
      </c>
      <c r="AJ517" s="31">
        <v>0</v>
      </c>
      <c r="AK517" s="44">
        <f t="shared" si="16"/>
        <v>1501.5000000000002</v>
      </c>
      <c r="AL517">
        <f>VLOOKUP(A517,'[1]prueba con 16mil datos'!$A$1:$AE$804,31,FALSE)</f>
        <v>819</v>
      </c>
      <c r="AM517">
        <f t="shared" si="17"/>
        <v>0</v>
      </c>
      <c r="AO517">
        <f>VLOOKUP(A517,'[1]Prueba con 19mil datos'!$B$1:$AF$1228,31,FALSE)</f>
        <v>819</v>
      </c>
    </row>
    <row r="518" spans="1:41" hidden="1" x14ac:dyDescent="0.25">
      <c r="A518" s="16" t="s">
        <v>457</v>
      </c>
      <c r="B518" s="15" t="s">
        <v>40</v>
      </c>
      <c r="C518" s="16">
        <v>1</v>
      </c>
      <c r="D518" s="16" t="s">
        <v>2217</v>
      </c>
      <c r="E518" s="17" t="s">
        <v>1522</v>
      </c>
      <c r="F518" s="18" t="s">
        <v>2218</v>
      </c>
      <c r="G518" s="18" t="s">
        <v>2219</v>
      </c>
      <c r="H518" s="16" t="s">
        <v>264</v>
      </c>
      <c r="I518" s="19" t="s">
        <v>3</v>
      </c>
      <c r="J518" s="16" t="s">
        <v>12</v>
      </c>
      <c r="K518" s="20" t="s">
        <v>378</v>
      </c>
      <c r="L518" s="20" t="s">
        <v>711</v>
      </c>
      <c r="M518" s="16" t="s">
        <v>267</v>
      </c>
      <c r="N518" s="16">
        <v>0</v>
      </c>
      <c r="O518" s="16" t="s">
        <v>50</v>
      </c>
      <c r="P518" s="20" t="s">
        <v>326</v>
      </c>
      <c r="Q518" s="20" t="s">
        <v>51</v>
      </c>
      <c r="R518" s="21" t="s">
        <v>408</v>
      </c>
      <c r="S518" s="22" t="s">
        <v>53</v>
      </c>
      <c r="T518" s="22" t="s">
        <v>54</v>
      </c>
      <c r="U518" s="23" t="s">
        <v>55</v>
      </c>
      <c r="V518" s="24">
        <v>1</v>
      </c>
      <c r="W518" s="25">
        <v>715.00000000000011</v>
      </c>
      <c r="X518" s="26">
        <v>0</v>
      </c>
      <c r="Y518" s="27">
        <v>5</v>
      </c>
      <c r="Z518" s="23">
        <v>5</v>
      </c>
      <c r="AA518" s="28">
        <v>1</v>
      </c>
      <c r="AB518" s="24">
        <v>0</v>
      </c>
      <c r="AC518" s="29">
        <v>0</v>
      </c>
      <c r="AD518" s="30">
        <v>43571</v>
      </c>
      <c r="AE518" s="30">
        <v>43572</v>
      </c>
      <c r="AF518" s="23">
        <v>1</v>
      </c>
      <c r="AG518" s="25" t="s">
        <v>56</v>
      </c>
      <c r="AH518" s="24">
        <v>0</v>
      </c>
      <c r="AI518" s="31">
        <v>0</v>
      </c>
      <c r="AJ518" s="31">
        <v>0</v>
      </c>
      <c r="AK518" s="44">
        <f t="shared" si="16"/>
        <v>715.00000000000011</v>
      </c>
      <c r="AL518">
        <f>VLOOKUP(A518,'[1]prueba con 16mil datos'!$A$1:$AE$804,31,FALSE)</f>
        <v>1092</v>
      </c>
      <c r="AM518">
        <f t="shared" si="17"/>
        <v>0</v>
      </c>
      <c r="AO518">
        <f>VLOOKUP(A518,'[1]Prueba con 19mil datos'!$B$1:$AF$1228,31,FALSE)</f>
        <v>1092</v>
      </c>
    </row>
    <row r="519" spans="1:41" hidden="1" x14ac:dyDescent="0.25">
      <c r="A519" s="16" t="s">
        <v>1356</v>
      </c>
      <c r="B519" s="15" t="s">
        <v>40</v>
      </c>
      <c r="C519" s="16">
        <v>1</v>
      </c>
      <c r="D519" s="16" t="s">
        <v>2158</v>
      </c>
      <c r="E519" s="17" t="s">
        <v>42</v>
      </c>
      <c r="F519" s="18" t="s">
        <v>759</v>
      </c>
      <c r="G519" s="18" t="s">
        <v>1985</v>
      </c>
      <c r="H519" s="16" t="s">
        <v>377</v>
      </c>
      <c r="I519" s="19" t="s">
        <v>3</v>
      </c>
      <c r="J519" s="16" t="s">
        <v>12</v>
      </c>
      <c r="K519" s="20" t="s">
        <v>378</v>
      </c>
      <c r="L519" s="20" t="s">
        <v>577</v>
      </c>
      <c r="M519" s="16" t="s">
        <v>128</v>
      </c>
      <c r="N519" s="16">
        <v>0</v>
      </c>
      <c r="O519" s="16" t="s">
        <v>50</v>
      </c>
      <c r="P519" s="20">
        <v>6</v>
      </c>
      <c r="Q519" s="20" t="s">
        <v>311</v>
      </c>
      <c r="R519" s="21" t="s">
        <v>87</v>
      </c>
      <c r="S519" s="22" t="s">
        <v>53</v>
      </c>
      <c r="T519" s="22" t="s">
        <v>54</v>
      </c>
      <c r="U519" s="23" t="s">
        <v>572</v>
      </c>
      <c r="V519" s="24">
        <v>0</v>
      </c>
      <c r="W519" s="25">
        <v>0</v>
      </c>
      <c r="X519" s="26">
        <v>1</v>
      </c>
      <c r="Y519" s="27">
        <v>1.9</v>
      </c>
      <c r="Z519" s="23">
        <v>5</v>
      </c>
      <c r="AA519" s="28">
        <v>0.38</v>
      </c>
      <c r="AB519" s="24">
        <v>0</v>
      </c>
      <c r="AC519" s="29">
        <v>0</v>
      </c>
      <c r="AD519" s="30">
        <v>43571</v>
      </c>
      <c r="AE519" s="30">
        <v>43571</v>
      </c>
      <c r="AF519" s="23">
        <v>0</v>
      </c>
      <c r="AG519" s="25" t="s">
        <v>56</v>
      </c>
      <c r="AH519" s="24">
        <v>0</v>
      </c>
      <c r="AI519" s="31">
        <v>0</v>
      </c>
      <c r="AJ519" s="31">
        <v>0</v>
      </c>
      <c r="AK519" s="44">
        <f t="shared" si="16"/>
        <v>0</v>
      </c>
      <c r="AL519">
        <f>VLOOKUP(A519,'[1]prueba con 16mil datos'!$A$1:$AE$804,31,FALSE)</f>
        <v>1092</v>
      </c>
      <c r="AM519">
        <f t="shared" si="17"/>
        <v>0</v>
      </c>
      <c r="AO519">
        <f>VLOOKUP(A519,'[1]Prueba con 19mil datos'!$B$1:$AF$1228,31,FALSE)</f>
        <v>1092</v>
      </c>
    </row>
    <row r="520" spans="1:41" hidden="1" x14ac:dyDescent="0.25">
      <c r="A520" s="16" t="s">
        <v>843</v>
      </c>
      <c r="B520" s="15" t="s">
        <v>40</v>
      </c>
      <c r="C520" s="16">
        <v>1</v>
      </c>
      <c r="D520" s="16" t="s">
        <v>2188</v>
      </c>
      <c r="E520" s="17" t="s">
        <v>42</v>
      </c>
      <c r="F520" s="18" t="s">
        <v>271</v>
      </c>
      <c r="G520" s="18" t="s">
        <v>2189</v>
      </c>
      <c r="H520" s="16" t="s">
        <v>109</v>
      </c>
      <c r="I520" s="19" t="s">
        <v>3</v>
      </c>
      <c r="J520" s="16" t="s">
        <v>12</v>
      </c>
      <c r="K520" s="20" t="s">
        <v>126</v>
      </c>
      <c r="L520" s="20" t="s">
        <v>699</v>
      </c>
      <c r="M520" s="16" t="s">
        <v>490</v>
      </c>
      <c r="N520" s="16">
        <v>0</v>
      </c>
      <c r="O520" s="16" t="s">
        <v>50</v>
      </c>
      <c r="P520" s="20">
        <v>181</v>
      </c>
      <c r="Q520" s="20" t="s">
        <v>51</v>
      </c>
      <c r="R520" s="21" t="s">
        <v>186</v>
      </c>
      <c r="S520" s="22" t="s">
        <v>187</v>
      </c>
      <c r="T520" s="22" t="s">
        <v>54</v>
      </c>
      <c r="U520" s="23" t="s">
        <v>550</v>
      </c>
      <c r="V520" s="24">
        <v>1.1499999999999999</v>
      </c>
      <c r="W520" s="25">
        <v>1808.95</v>
      </c>
      <c r="X520" s="26">
        <v>1</v>
      </c>
      <c r="Y520" s="27">
        <v>2.8</v>
      </c>
      <c r="Z520" s="23">
        <v>4</v>
      </c>
      <c r="AA520" s="28">
        <v>0.7</v>
      </c>
      <c r="AB520" s="24">
        <v>0</v>
      </c>
      <c r="AC520" s="29">
        <v>0</v>
      </c>
      <c r="AD520" s="30">
        <v>43571</v>
      </c>
      <c r="AE520" s="30">
        <v>43572</v>
      </c>
      <c r="AF520" s="23">
        <v>1</v>
      </c>
      <c r="AG520" s="25" t="s">
        <v>56</v>
      </c>
      <c r="AH520" s="24">
        <v>0</v>
      </c>
      <c r="AI520" s="31">
        <v>0</v>
      </c>
      <c r="AJ520" s="31">
        <v>0</v>
      </c>
      <c r="AK520" s="44">
        <f t="shared" si="16"/>
        <v>1808.95</v>
      </c>
      <c r="AL520">
        <f>VLOOKUP(A520,'[1]prueba con 16mil datos'!$A$1:$AE$804,31,FALSE)</f>
        <v>819</v>
      </c>
      <c r="AM520">
        <f t="shared" si="17"/>
        <v>0</v>
      </c>
      <c r="AO520">
        <f>VLOOKUP(A520,'[1]Prueba con 19mil datos'!$B$1:$AF$1228,31,FALSE)</f>
        <v>819</v>
      </c>
    </row>
    <row r="521" spans="1:41" hidden="1" x14ac:dyDescent="0.25">
      <c r="A521" s="16" t="s">
        <v>820</v>
      </c>
      <c r="B521" s="15" t="s">
        <v>40</v>
      </c>
      <c r="C521" s="16">
        <v>1</v>
      </c>
      <c r="D521" s="16" t="s">
        <v>2093</v>
      </c>
      <c r="E521" s="17" t="s">
        <v>42</v>
      </c>
      <c r="F521" s="18" t="s">
        <v>271</v>
      </c>
      <c r="G521" s="18" t="s">
        <v>2094</v>
      </c>
      <c r="H521" s="16" t="s">
        <v>109</v>
      </c>
      <c r="I521" s="19" t="s">
        <v>3</v>
      </c>
      <c r="J521" s="16" t="s">
        <v>12</v>
      </c>
      <c r="K521" s="20" t="s">
        <v>126</v>
      </c>
      <c r="L521" s="20" t="s">
        <v>2096</v>
      </c>
      <c r="M521" s="16" t="s">
        <v>2097</v>
      </c>
      <c r="N521" s="16">
        <v>0</v>
      </c>
      <c r="O521" s="16" t="s">
        <v>50</v>
      </c>
      <c r="P521" s="20">
        <v>96</v>
      </c>
      <c r="Q521" s="20" t="s">
        <v>51</v>
      </c>
      <c r="R521" s="21" t="s">
        <v>186</v>
      </c>
      <c r="S521" s="22" t="s">
        <v>187</v>
      </c>
      <c r="T521" s="22" t="s">
        <v>157</v>
      </c>
      <c r="U521" s="23" t="s">
        <v>550</v>
      </c>
      <c r="V521" s="24">
        <v>1.1499999999999999</v>
      </c>
      <c r="W521" s="25">
        <v>1808.95</v>
      </c>
      <c r="X521" s="26">
        <v>1</v>
      </c>
      <c r="Y521" s="27">
        <v>2.15</v>
      </c>
      <c r="Z521" s="23">
        <v>6</v>
      </c>
      <c r="AA521" s="28">
        <v>0.35833333333333334</v>
      </c>
      <c r="AB521" s="24">
        <v>0</v>
      </c>
      <c r="AC521" s="29">
        <v>0</v>
      </c>
      <c r="AD521" s="30">
        <v>43571</v>
      </c>
      <c r="AE521" s="30">
        <v>43571</v>
      </c>
      <c r="AF521" s="23">
        <v>0</v>
      </c>
      <c r="AG521" s="25" t="s">
        <v>56</v>
      </c>
      <c r="AH521" s="24">
        <v>0</v>
      </c>
      <c r="AI521" s="31">
        <v>0</v>
      </c>
      <c r="AJ521" s="31">
        <v>0</v>
      </c>
      <c r="AK521" s="44">
        <f t="shared" si="16"/>
        <v>1808.95</v>
      </c>
      <c r="AL521">
        <f>VLOOKUP(A521,'[1]prueba con 16mil datos'!$A$1:$AE$804,31,FALSE)</f>
        <v>819</v>
      </c>
      <c r="AM521">
        <f t="shared" si="17"/>
        <v>0</v>
      </c>
      <c r="AO521">
        <f>VLOOKUP(A521,'[1]Prueba con 19mil datos'!$B$1:$AF$1228,31,FALSE)</f>
        <v>819</v>
      </c>
    </row>
    <row r="522" spans="1:41" hidden="1" x14ac:dyDescent="0.25">
      <c r="A522" s="16" t="s">
        <v>2273</v>
      </c>
      <c r="B522" s="15" t="s">
        <v>40</v>
      </c>
      <c r="C522" s="16">
        <v>1</v>
      </c>
      <c r="D522" s="16" t="s">
        <v>2103</v>
      </c>
      <c r="E522" s="17" t="s">
        <v>42</v>
      </c>
      <c r="F522" s="18" t="s">
        <v>140</v>
      </c>
      <c r="G522" s="18" t="s">
        <v>2104</v>
      </c>
      <c r="H522" s="16" t="s">
        <v>463</v>
      </c>
      <c r="I522" s="19" t="s">
        <v>3</v>
      </c>
      <c r="J522" s="16" t="s">
        <v>12</v>
      </c>
      <c r="K522" s="20" t="s">
        <v>764</v>
      </c>
      <c r="L522" s="20" t="s">
        <v>765</v>
      </c>
      <c r="M522" s="16" t="s">
        <v>224</v>
      </c>
      <c r="N522" s="16">
        <v>0</v>
      </c>
      <c r="O522" s="16" t="s">
        <v>50</v>
      </c>
      <c r="P522" s="20">
        <v>63</v>
      </c>
      <c r="Q522" s="20" t="s">
        <v>51</v>
      </c>
      <c r="R522" s="21" t="s">
        <v>148</v>
      </c>
      <c r="S522" s="22" t="s">
        <v>130</v>
      </c>
      <c r="T522" s="22" t="s">
        <v>54</v>
      </c>
      <c r="U522" s="23" t="s">
        <v>226</v>
      </c>
      <c r="V522" s="24">
        <v>1.1000000000000001</v>
      </c>
      <c r="W522" s="25">
        <v>1501.5000000000002</v>
      </c>
      <c r="X522" s="26">
        <v>1</v>
      </c>
      <c r="Y522" s="27">
        <v>3.53</v>
      </c>
      <c r="Z522" s="23">
        <v>5</v>
      </c>
      <c r="AA522" s="28">
        <v>0.70599999999999996</v>
      </c>
      <c r="AB522" s="24">
        <v>0</v>
      </c>
      <c r="AC522" s="29">
        <v>0</v>
      </c>
      <c r="AD522" s="30">
        <v>43571</v>
      </c>
      <c r="AE522" s="30">
        <v>43571</v>
      </c>
      <c r="AF522" s="23">
        <v>0</v>
      </c>
      <c r="AG522" s="25" t="s">
        <v>56</v>
      </c>
      <c r="AH522" s="24">
        <v>0</v>
      </c>
      <c r="AI522" s="31">
        <v>0</v>
      </c>
      <c r="AJ522" s="31">
        <v>0</v>
      </c>
      <c r="AK522" s="44">
        <f t="shared" si="16"/>
        <v>1501.5000000000002</v>
      </c>
      <c r="AL522">
        <f>VLOOKUP(A522,'[1]prueba con 16mil datos'!$A$1:$AE$804,31,FALSE)</f>
        <v>1501.5</v>
      </c>
      <c r="AM522">
        <f t="shared" si="17"/>
        <v>1</v>
      </c>
      <c r="AO522">
        <f>VLOOKUP(A522,'[1]Prueba con 19mil datos'!$B$1:$AF$1228,31,FALSE)</f>
        <v>1501.5</v>
      </c>
    </row>
    <row r="523" spans="1:41" hidden="1" x14ac:dyDescent="0.25">
      <c r="A523" s="16" t="s">
        <v>2157</v>
      </c>
      <c r="B523" s="15" t="s">
        <v>40</v>
      </c>
      <c r="C523" s="16">
        <v>1</v>
      </c>
      <c r="D523" s="16" t="s">
        <v>2162</v>
      </c>
      <c r="E523" s="17" t="s">
        <v>2163</v>
      </c>
      <c r="F523" s="18" t="s">
        <v>2164</v>
      </c>
      <c r="G523" s="18" t="s">
        <v>2165</v>
      </c>
      <c r="H523" s="16" t="s">
        <v>821</v>
      </c>
      <c r="I523" s="19" t="s">
        <v>3</v>
      </c>
      <c r="J523" s="16" t="s">
        <v>12</v>
      </c>
      <c r="K523" s="20" t="s">
        <v>2167</v>
      </c>
      <c r="L523" s="20" t="s">
        <v>2168</v>
      </c>
      <c r="M523" s="16" t="s">
        <v>1054</v>
      </c>
      <c r="N523" s="16">
        <v>0</v>
      </c>
      <c r="O523" s="16" t="s">
        <v>50</v>
      </c>
      <c r="P523" s="20" t="s">
        <v>326</v>
      </c>
      <c r="Q523" s="20" t="s">
        <v>51</v>
      </c>
      <c r="R523" s="21" t="s">
        <v>225</v>
      </c>
      <c r="S523" s="22" t="s">
        <v>130</v>
      </c>
      <c r="T523" s="22" t="s">
        <v>54</v>
      </c>
      <c r="U523" s="23" t="s">
        <v>226</v>
      </c>
      <c r="V523" s="24">
        <v>1</v>
      </c>
      <c r="W523" s="25">
        <v>1365</v>
      </c>
      <c r="X523" s="26">
        <v>1</v>
      </c>
      <c r="Y523" s="27">
        <v>12.97</v>
      </c>
      <c r="Z523" s="23">
        <v>5</v>
      </c>
      <c r="AA523" s="28">
        <v>2.5940000000000003</v>
      </c>
      <c r="AB523" s="24">
        <v>0.39850000000000008</v>
      </c>
      <c r="AC523" s="29">
        <v>-543.9525000000001</v>
      </c>
      <c r="AD523" s="30">
        <v>43571</v>
      </c>
      <c r="AE523" s="30">
        <v>43571</v>
      </c>
      <c r="AF523" s="23">
        <v>0</v>
      </c>
      <c r="AG523" s="25" t="s">
        <v>56</v>
      </c>
      <c r="AH523" s="24">
        <v>0</v>
      </c>
      <c r="AI523" s="31">
        <v>0</v>
      </c>
      <c r="AJ523" s="31">
        <v>0</v>
      </c>
      <c r="AK523" s="44">
        <f t="shared" si="16"/>
        <v>821.0474999999999</v>
      </c>
      <c r="AL523">
        <f>VLOOKUP(A523,'[1]prueba con 16mil datos'!$A$1:$AE$804,31,FALSE)</f>
        <v>1092</v>
      </c>
      <c r="AM523">
        <f t="shared" si="17"/>
        <v>0</v>
      </c>
      <c r="AO523">
        <f>VLOOKUP(A523,'[1]Prueba con 19mil datos'!$B$1:$AF$1228,31,FALSE)</f>
        <v>1092</v>
      </c>
    </row>
    <row r="524" spans="1:41" hidden="1" x14ac:dyDescent="0.25">
      <c r="A524" s="16" t="s">
        <v>940</v>
      </c>
      <c r="B524" s="15" t="s">
        <v>40</v>
      </c>
      <c r="C524" s="16">
        <v>1</v>
      </c>
      <c r="D524" s="16" t="s">
        <v>2112</v>
      </c>
      <c r="E524" s="17" t="s">
        <v>42</v>
      </c>
      <c r="F524" s="18" t="s">
        <v>1703</v>
      </c>
      <c r="G524" s="18" t="s">
        <v>2113</v>
      </c>
      <c r="H524" s="16" t="s">
        <v>1100</v>
      </c>
      <c r="I524" s="19" t="s">
        <v>3</v>
      </c>
      <c r="J524" s="16" t="s">
        <v>12</v>
      </c>
      <c r="K524" s="20" t="s">
        <v>1101</v>
      </c>
      <c r="L524" s="20" t="s">
        <v>1102</v>
      </c>
      <c r="M524" s="16" t="s">
        <v>367</v>
      </c>
      <c r="N524" s="16">
        <v>1</v>
      </c>
      <c r="O524" s="16" t="s">
        <v>50</v>
      </c>
      <c r="P524" s="20">
        <v>42</v>
      </c>
      <c r="Q524" s="20" t="s">
        <v>86</v>
      </c>
      <c r="R524" s="21" t="s">
        <v>148</v>
      </c>
      <c r="S524" s="22" t="s">
        <v>130</v>
      </c>
      <c r="T524" s="22" t="s">
        <v>54</v>
      </c>
      <c r="U524" s="23" t="s">
        <v>178</v>
      </c>
      <c r="V524" s="24">
        <v>1.05</v>
      </c>
      <c r="W524" s="25">
        <v>0</v>
      </c>
      <c r="X524" s="26">
        <v>1</v>
      </c>
      <c r="Y524" s="27">
        <v>0.26</v>
      </c>
      <c r="Z524" s="23">
        <v>5</v>
      </c>
      <c r="AA524" s="28">
        <v>5.2000000000000005E-2</v>
      </c>
      <c r="AB524" s="24">
        <v>0</v>
      </c>
      <c r="AC524" s="29">
        <v>0</v>
      </c>
      <c r="AD524" s="30">
        <v>43571</v>
      </c>
      <c r="AE524" s="30">
        <v>43571</v>
      </c>
      <c r="AF524" s="23">
        <v>0</v>
      </c>
      <c r="AG524" s="25" t="s">
        <v>56</v>
      </c>
      <c r="AH524" s="24">
        <v>0</v>
      </c>
      <c r="AI524" s="31">
        <v>0</v>
      </c>
      <c r="AJ524" s="31">
        <v>0</v>
      </c>
      <c r="AK524" s="44">
        <f t="shared" si="16"/>
        <v>0</v>
      </c>
      <c r="AL524">
        <f>VLOOKUP(A524,'[1]prueba con 16mil datos'!$A$1:$AE$804,31,FALSE)</f>
        <v>1258.4000000000001</v>
      </c>
      <c r="AM524">
        <f t="shared" si="17"/>
        <v>0</v>
      </c>
      <c r="AO524">
        <f>VLOOKUP(A524,'[1]Prueba con 19mil datos'!$B$1:$AF$1228,31,FALSE)</f>
        <v>1258.4000000000001</v>
      </c>
    </row>
    <row r="525" spans="1:41" hidden="1" x14ac:dyDescent="0.25">
      <c r="A525" s="16" t="s">
        <v>345</v>
      </c>
      <c r="B525" s="15" t="s">
        <v>40</v>
      </c>
      <c r="C525" s="16">
        <v>1</v>
      </c>
      <c r="D525" s="16" t="s">
        <v>2132</v>
      </c>
      <c r="E525" s="17" t="s">
        <v>42</v>
      </c>
      <c r="F525" s="18" t="s">
        <v>218</v>
      </c>
      <c r="G525" s="18" t="s">
        <v>2133</v>
      </c>
      <c r="H525" s="16" t="s">
        <v>540</v>
      </c>
      <c r="I525" s="19" t="s">
        <v>3</v>
      </c>
      <c r="J525" s="16" t="s">
        <v>12</v>
      </c>
      <c r="K525" s="20" t="s">
        <v>541</v>
      </c>
      <c r="L525" s="20" t="s">
        <v>542</v>
      </c>
      <c r="M525" s="16" t="s">
        <v>105</v>
      </c>
      <c r="N525" s="16">
        <v>1</v>
      </c>
      <c r="O525" s="16" t="s">
        <v>50</v>
      </c>
      <c r="P525" s="20">
        <v>30</v>
      </c>
      <c r="Q525" s="20" t="s">
        <v>119</v>
      </c>
      <c r="R525" s="21" t="s">
        <v>225</v>
      </c>
      <c r="S525" s="22" t="s">
        <v>130</v>
      </c>
      <c r="T525" s="22" t="s">
        <v>54</v>
      </c>
      <c r="U525" s="23" t="s">
        <v>164</v>
      </c>
      <c r="V525" s="24">
        <v>0.8</v>
      </c>
      <c r="W525" s="25">
        <v>0</v>
      </c>
      <c r="X525" s="26">
        <v>1</v>
      </c>
      <c r="Y525" s="27">
        <v>1.33</v>
      </c>
      <c r="Z525" s="23">
        <v>5</v>
      </c>
      <c r="AA525" s="28">
        <v>0.26600000000000001</v>
      </c>
      <c r="AB525" s="24">
        <v>0</v>
      </c>
      <c r="AC525" s="29">
        <v>0</v>
      </c>
      <c r="AD525" s="30">
        <v>43571</v>
      </c>
      <c r="AE525" s="30">
        <v>43571</v>
      </c>
      <c r="AF525" s="23">
        <v>0</v>
      </c>
      <c r="AG525" s="25" t="s">
        <v>56</v>
      </c>
      <c r="AH525" s="24">
        <v>0</v>
      </c>
      <c r="AI525" s="31">
        <v>0</v>
      </c>
      <c r="AJ525" s="31">
        <v>0</v>
      </c>
      <c r="AK525" s="44">
        <f t="shared" si="16"/>
        <v>0</v>
      </c>
      <c r="AL525">
        <f>VLOOKUP(A525,'[1]prueba con 16mil datos'!$A$1:$AE$804,31,FALSE)</f>
        <v>1258.4000000000001</v>
      </c>
      <c r="AM525">
        <f t="shared" si="17"/>
        <v>0</v>
      </c>
      <c r="AO525">
        <f>VLOOKUP(A525,'[1]Prueba con 19mil datos'!$B$1:$AF$1228,31,FALSE)</f>
        <v>943.8</v>
      </c>
    </row>
    <row r="526" spans="1:41" hidden="1" x14ac:dyDescent="0.25">
      <c r="A526" s="16" t="s">
        <v>345</v>
      </c>
      <c r="B526" s="15" t="s">
        <v>40</v>
      </c>
      <c r="C526" s="16">
        <v>1</v>
      </c>
      <c r="D526" s="16" t="s">
        <v>2142</v>
      </c>
      <c r="E526" s="17" t="s">
        <v>42</v>
      </c>
      <c r="F526" s="18" t="s">
        <v>90</v>
      </c>
      <c r="G526" s="18" t="s">
        <v>2143</v>
      </c>
      <c r="H526" s="16" t="s">
        <v>93</v>
      </c>
      <c r="I526" s="19" t="s">
        <v>3</v>
      </c>
      <c r="J526" s="16" t="s">
        <v>12</v>
      </c>
      <c r="K526" s="20" t="s">
        <v>116</v>
      </c>
      <c r="L526" s="20" t="s">
        <v>2145</v>
      </c>
      <c r="M526" s="16" t="s">
        <v>591</v>
      </c>
      <c r="N526" s="16">
        <v>1</v>
      </c>
      <c r="O526" s="16" t="s">
        <v>97</v>
      </c>
      <c r="P526" s="20">
        <v>32</v>
      </c>
      <c r="Q526" s="20" t="s">
        <v>86</v>
      </c>
      <c r="R526" s="21" t="s">
        <v>77</v>
      </c>
      <c r="S526" s="22" t="s">
        <v>53</v>
      </c>
      <c r="T526" s="22" t="s">
        <v>54</v>
      </c>
      <c r="U526" s="23" t="s">
        <v>88</v>
      </c>
      <c r="V526" s="24">
        <v>0.8</v>
      </c>
      <c r="W526" s="25">
        <v>0</v>
      </c>
      <c r="X526" s="26">
        <v>1</v>
      </c>
      <c r="Y526" s="27">
        <v>2.11</v>
      </c>
      <c r="Z526" s="23">
        <v>5</v>
      </c>
      <c r="AA526" s="28">
        <v>0.42199999999999999</v>
      </c>
      <c r="AB526" s="24">
        <v>0</v>
      </c>
      <c r="AC526" s="29">
        <v>0</v>
      </c>
      <c r="AD526" s="30">
        <v>43571</v>
      </c>
      <c r="AE526" s="30">
        <v>43571</v>
      </c>
      <c r="AF526" s="23">
        <v>0</v>
      </c>
      <c r="AG526" s="25" t="s">
        <v>56</v>
      </c>
      <c r="AH526" s="24">
        <v>0</v>
      </c>
      <c r="AI526" s="31">
        <v>0</v>
      </c>
      <c r="AJ526" s="31">
        <v>0</v>
      </c>
      <c r="AK526" s="44">
        <f t="shared" si="16"/>
        <v>0</v>
      </c>
      <c r="AL526">
        <f>VLOOKUP(A526,'[1]prueba con 16mil datos'!$A$1:$AE$804,31,FALSE)</f>
        <v>1258.4000000000001</v>
      </c>
      <c r="AM526">
        <f t="shared" si="17"/>
        <v>0</v>
      </c>
      <c r="AO526">
        <f>VLOOKUP(A526,'[1]Prueba con 19mil datos'!$B$1:$AF$1228,31,FALSE)</f>
        <v>943.8</v>
      </c>
    </row>
    <row r="527" spans="1:41" hidden="1" x14ac:dyDescent="0.25">
      <c r="A527" s="16" t="s">
        <v>2968</v>
      </c>
      <c r="B527" s="15" t="s">
        <v>40</v>
      </c>
      <c r="C527" s="16">
        <v>1</v>
      </c>
      <c r="D527" s="16" t="s">
        <v>2153</v>
      </c>
      <c r="E527" s="17" t="s">
        <v>42</v>
      </c>
      <c r="F527" s="18" t="s">
        <v>90</v>
      </c>
      <c r="G527" s="18" t="s">
        <v>2154</v>
      </c>
      <c r="H527" s="16" t="s">
        <v>1739</v>
      </c>
      <c r="I527" s="19" t="s">
        <v>3</v>
      </c>
      <c r="J527" s="16" t="s">
        <v>12</v>
      </c>
      <c r="K527" s="20" t="s">
        <v>94</v>
      </c>
      <c r="L527" s="20" t="s">
        <v>95</v>
      </c>
      <c r="M527" s="16" t="s">
        <v>96</v>
      </c>
      <c r="N527" s="16">
        <v>1</v>
      </c>
      <c r="O527" s="16" t="s">
        <v>97</v>
      </c>
      <c r="P527" s="20">
        <v>17</v>
      </c>
      <c r="Q527" s="20" t="s">
        <v>119</v>
      </c>
      <c r="R527" s="21" t="s">
        <v>77</v>
      </c>
      <c r="S527" s="22" t="s">
        <v>53</v>
      </c>
      <c r="T527" s="22" t="s">
        <v>54</v>
      </c>
      <c r="U527" s="23" t="s">
        <v>120</v>
      </c>
      <c r="V527" s="24">
        <v>0.6</v>
      </c>
      <c r="W527" s="25">
        <v>0</v>
      </c>
      <c r="X527" s="26">
        <v>1</v>
      </c>
      <c r="Y527" s="27">
        <v>1.39</v>
      </c>
      <c r="Z527" s="23">
        <v>5</v>
      </c>
      <c r="AA527" s="28">
        <v>0.27799999999999997</v>
      </c>
      <c r="AB527" s="24">
        <v>0</v>
      </c>
      <c r="AC527" s="29">
        <v>0</v>
      </c>
      <c r="AD527" s="30">
        <v>43571</v>
      </c>
      <c r="AE527" s="30">
        <v>43571</v>
      </c>
      <c r="AF527" s="23">
        <v>0</v>
      </c>
      <c r="AG527" s="25" t="s">
        <v>56</v>
      </c>
      <c r="AH527" s="24">
        <v>0</v>
      </c>
      <c r="AI527" s="31">
        <v>0</v>
      </c>
      <c r="AJ527" s="31">
        <v>0</v>
      </c>
      <c r="AK527" s="44">
        <f t="shared" si="16"/>
        <v>0</v>
      </c>
      <c r="AL527">
        <f>VLOOKUP(A527,'[1]prueba con 16mil datos'!$A$1:$AE$804,31,FALSE)</f>
        <v>715</v>
      </c>
      <c r="AM527">
        <f t="shared" si="17"/>
        <v>0</v>
      </c>
      <c r="AO527">
        <f>VLOOKUP(A527,'[1]Prueba con 19mil datos'!$B$1:$AF$1228,31,FALSE)</f>
        <v>715</v>
      </c>
    </row>
    <row r="528" spans="1:41" hidden="1" x14ac:dyDescent="0.25">
      <c r="A528" s="16" t="s">
        <v>3085</v>
      </c>
      <c r="B528" s="15" t="s">
        <v>40</v>
      </c>
      <c r="C528" s="16">
        <v>1</v>
      </c>
      <c r="D528" s="16" t="s">
        <v>2175</v>
      </c>
      <c r="E528" s="17" t="s">
        <v>42</v>
      </c>
      <c r="F528" s="18" t="s">
        <v>140</v>
      </c>
      <c r="G528" s="18" t="s">
        <v>2176</v>
      </c>
      <c r="H528" s="16" t="s">
        <v>93</v>
      </c>
      <c r="I528" s="19" t="s">
        <v>3</v>
      </c>
      <c r="J528" s="16" t="s">
        <v>12</v>
      </c>
      <c r="K528" s="20" t="s">
        <v>161</v>
      </c>
      <c r="L528" s="20" t="s">
        <v>590</v>
      </c>
      <c r="M528" s="16" t="s">
        <v>591</v>
      </c>
      <c r="N528" s="16">
        <v>1</v>
      </c>
      <c r="O528" s="16" t="s">
        <v>97</v>
      </c>
      <c r="P528" s="20">
        <v>28</v>
      </c>
      <c r="Q528" s="20" t="s">
        <v>119</v>
      </c>
      <c r="R528" s="21" t="s">
        <v>148</v>
      </c>
      <c r="S528" s="22" t="s">
        <v>130</v>
      </c>
      <c r="T528" s="22" t="s">
        <v>54</v>
      </c>
      <c r="U528" s="23" t="s">
        <v>164</v>
      </c>
      <c r="V528" s="24">
        <v>0.8</v>
      </c>
      <c r="W528" s="25">
        <v>0</v>
      </c>
      <c r="X528" s="26">
        <v>1</v>
      </c>
      <c r="Y528" s="27">
        <v>2.79</v>
      </c>
      <c r="Z528" s="23">
        <v>5</v>
      </c>
      <c r="AA528" s="28">
        <v>0.55800000000000005</v>
      </c>
      <c r="AB528" s="24">
        <v>0</v>
      </c>
      <c r="AC528" s="29">
        <v>0</v>
      </c>
      <c r="AD528" s="30">
        <v>43571</v>
      </c>
      <c r="AE528" s="30">
        <v>43571</v>
      </c>
      <c r="AF528" s="23">
        <v>0</v>
      </c>
      <c r="AG528" s="25" t="s">
        <v>56</v>
      </c>
      <c r="AH528" s="24">
        <v>0</v>
      </c>
      <c r="AI528" s="31">
        <v>0</v>
      </c>
      <c r="AJ528" s="31">
        <v>0</v>
      </c>
      <c r="AK528" s="44">
        <f t="shared" si="16"/>
        <v>0</v>
      </c>
      <c r="AL528">
        <f>VLOOKUP(A528,'[1]prueba con 16mil datos'!$A$1:$AE$804,31,FALSE)</f>
        <v>715</v>
      </c>
      <c r="AM528">
        <f t="shared" si="17"/>
        <v>0</v>
      </c>
      <c r="AO528">
        <f>VLOOKUP(A528,'[1]Prueba con 19mil datos'!$B$1:$AF$1228,31,FALSE)</f>
        <v>715</v>
      </c>
    </row>
    <row r="529" spans="1:44" x14ac:dyDescent="0.25">
      <c r="A529" s="16" t="s">
        <v>81</v>
      </c>
      <c r="B529" s="15" t="s">
        <v>40</v>
      </c>
      <c r="C529" s="16">
        <v>1</v>
      </c>
      <c r="D529" s="16" t="s">
        <v>2233</v>
      </c>
      <c r="E529" s="17" t="s">
        <v>42</v>
      </c>
      <c r="F529" s="18" t="s">
        <v>90</v>
      </c>
      <c r="G529" s="18" t="s">
        <v>2234</v>
      </c>
      <c r="H529" s="16" t="s">
        <v>440</v>
      </c>
      <c r="I529" s="19" t="s">
        <v>3</v>
      </c>
      <c r="J529" s="16" t="s">
        <v>12</v>
      </c>
      <c r="K529" s="20" t="s">
        <v>154</v>
      </c>
      <c r="L529" s="20" t="s">
        <v>2236</v>
      </c>
      <c r="M529" s="16" t="s">
        <v>64</v>
      </c>
      <c r="N529" s="16">
        <v>0</v>
      </c>
      <c r="O529" s="16" t="s">
        <v>50</v>
      </c>
      <c r="P529" s="20">
        <v>295</v>
      </c>
      <c r="Q529" s="20" t="s">
        <v>51</v>
      </c>
      <c r="R529" s="21" t="s">
        <v>77</v>
      </c>
      <c r="S529" s="22" t="s">
        <v>53</v>
      </c>
      <c r="T529" s="22" t="s">
        <v>54</v>
      </c>
      <c r="U529" s="23" t="s">
        <v>55</v>
      </c>
      <c r="V529" s="24">
        <v>1.05</v>
      </c>
      <c r="W529" s="25">
        <v>750.75000000000011</v>
      </c>
      <c r="X529" s="26">
        <v>1</v>
      </c>
      <c r="Y529" s="27">
        <v>1.33</v>
      </c>
      <c r="Z529" s="23">
        <v>5</v>
      </c>
      <c r="AA529" s="28">
        <v>0.26600000000000001</v>
      </c>
      <c r="AB529" s="24">
        <v>0</v>
      </c>
      <c r="AC529" s="29">
        <v>0</v>
      </c>
      <c r="AD529" s="30">
        <v>43572</v>
      </c>
      <c r="AE529" s="30">
        <v>43572</v>
      </c>
      <c r="AF529" s="23">
        <v>0</v>
      </c>
      <c r="AG529" s="25" t="s">
        <v>56</v>
      </c>
      <c r="AH529" s="24">
        <v>0</v>
      </c>
      <c r="AI529" s="31">
        <v>0</v>
      </c>
      <c r="AJ529" s="31">
        <v>0</v>
      </c>
      <c r="AK529" s="44">
        <f t="shared" si="16"/>
        <v>750.75000000000011</v>
      </c>
      <c r="AL529" t="e">
        <f>VLOOKUP(A529,'[1]prueba con 16mil datos'!$A$1:$AE$804,31,FALSE)</f>
        <v>#N/A</v>
      </c>
      <c r="AM529" t="e">
        <f t="shared" si="17"/>
        <v>#N/A</v>
      </c>
      <c r="AO529" t="e">
        <f>VLOOKUP(A529,'[1]Prueba con 19mil datos'!$B$1:$AF$1228,31,FALSE)</f>
        <v>#N/A</v>
      </c>
      <c r="AP529" t="s">
        <v>3211</v>
      </c>
      <c r="AQ529" s="48">
        <v>43553.5847222222</v>
      </c>
      <c r="AR529" t="s">
        <v>3209</v>
      </c>
    </row>
    <row r="530" spans="1:44" hidden="1" x14ac:dyDescent="0.25">
      <c r="A530" s="16" t="s">
        <v>717</v>
      </c>
      <c r="B530" s="15" t="s">
        <v>40</v>
      </c>
      <c r="C530" s="16">
        <v>1</v>
      </c>
      <c r="D530" s="16" t="s">
        <v>2291</v>
      </c>
      <c r="E530" s="17" t="s">
        <v>42</v>
      </c>
      <c r="F530" s="18" t="s">
        <v>90</v>
      </c>
      <c r="G530" s="18" t="s">
        <v>2292</v>
      </c>
      <c r="H530" s="16" t="s">
        <v>440</v>
      </c>
      <c r="I530" s="19" t="s">
        <v>3</v>
      </c>
      <c r="J530" s="16" t="s">
        <v>12</v>
      </c>
      <c r="K530" s="20" t="s">
        <v>622</v>
      </c>
      <c r="L530" s="20" t="s">
        <v>2294</v>
      </c>
      <c r="M530" s="16" t="s">
        <v>1044</v>
      </c>
      <c r="N530" s="16">
        <v>0</v>
      </c>
      <c r="O530" s="16" t="s">
        <v>50</v>
      </c>
      <c r="P530" s="20">
        <v>91</v>
      </c>
      <c r="Q530" s="20" t="s">
        <v>51</v>
      </c>
      <c r="R530" s="21" t="s">
        <v>77</v>
      </c>
      <c r="S530" s="22" t="s">
        <v>53</v>
      </c>
      <c r="T530" s="22" t="s">
        <v>157</v>
      </c>
      <c r="U530" s="23" t="s">
        <v>55</v>
      </c>
      <c r="V530" s="24">
        <v>1.05</v>
      </c>
      <c r="W530" s="25">
        <v>750.75000000000011</v>
      </c>
      <c r="X530" s="26">
        <v>1</v>
      </c>
      <c r="Y530" s="27">
        <v>4.2</v>
      </c>
      <c r="Z530" s="23">
        <v>9</v>
      </c>
      <c r="AA530" s="28">
        <v>0.46666666666666667</v>
      </c>
      <c r="AB530" s="24">
        <v>0</v>
      </c>
      <c r="AC530" s="29">
        <v>0</v>
      </c>
      <c r="AD530" s="30">
        <v>43572</v>
      </c>
      <c r="AE530" s="30">
        <v>43573</v>
      </c>
      <c r="AF530" s="23">
        <v>1</v>
      </c>
      <c r="AG530" s="25" t="s">
        <v>56</v>
      </c>
      <c r="AH530" s="24">
        <v>0</v>
      </c>
      <c r="AI530" s="31">
        <v>0</v>
      </c>
      <c r="AJ530" s="31">
        <v>0</v>
      </c>
      <c r="AK530" s="44">
        <f t="shared" si="16"/>
        <v>750.75000000000011</v>
      </c>
      <c r="AL530">
        <f>VLOOKUP(A530,'[1]prueba con 16mil datos'!$A$1:$AE$804,31,FALSE)</f>
        <v>750.75</v>
      </c>
      <c r="AM530">
        <f t="shared" si="17"/>
        <v>1</v>
      </c>
      <c r="AO530">
        <f>VLOOKUP(A530,'[1]Prueba con 19mil datos'!$B$1:$AF$1228,31,FALSE)</f>
        <v>0</v>
      </c>
    </row>
    <row r="531" spans="1:44" hidden="1" x14ac:dyDescent="0.25">
      <c r="A531" s="16" t="s">
        <v>1084</v>
      </c>
      <c r="B531" s="15" t="s">
        <v>40</v>
      </c>
      <c r="C531" s="16">
        <v>1</v>
      </c>
      <c r="D531" s="16" t="s">
        <v>2306</v>
      </c>
      <c r="E531" s="17" t="s">
        <v>42</v>
      </c>
      <c r="F531" s="18" t="s">
        <v>90</v>
      </c>
      <c r="G531" s="18" t="s">
        <v>2307</v>
      </c>
      <c r="H531" s="16" t="s">
        <v>207</v>
      </c>
      <c r="I531" s="19" t="s">
        <v>3</v>
      </c>
      <c r="J531" s="16" t="s">
        <v>12</v>
      </c>
      <c r="K531" s="20" t="s">
        <v>398</v>
      </c>
      <c r="L531" s="20" t="s">
        <v>2309</v>
      </c>
      <c r="M531" s="16" t="s">
        <v>111</v>
      </c>
      <c r="N531" s="16">
        <v>0</v>
      </c>
      <c r="O531" s="16" t="s">
        <v>50</v>
      </c>
      <c r="P531" s="20">
        <v>167</v>
      </c>
      <c r="Q531" s="20" t="s">
        <v>51</v>
      </c>
      <c r="R531" s="21" t="s">
        <v>77</v>
      </c>
      <c r="S531" s="22" t="s">
        <v>53</v>
      </c>
      <c r="T531" s="22" t="s">
        <v>54</v>
      </c>
      <c r="U531" s="23" t="s">
        <v>55</v>
      </c>
      <c r="V531" s="24">
        <v>1.05</v>
      </c>
      <c r="W531" s="25">
        <v>750.75000000000011</v>
      </c>
      <c r="X531" s="26">
        <v>1</v>
      </c>
      <c r="Y531" s="27">
        <v>0.99000000000000021</v>
      </c>
      <c r="Z531" s="23">
        <v>5</v>
      </c>
      <c r="AA531" s="28">
        <v>0.19800000000000004</v>
      </c>
      <c r="AB531" s="24">
        <v>0</v>
      </c>
      <c r="AC531" s="29">
        <v>0</v>
      </c>
      <c r="AD531" s="30">
        <v>43572</v>
      </c>
      <c r="AE531" s="30">
        <v>43573</v>
      </c>
      <c r="AF531" s="23">
        <v>1</v>
      </c>
      <c r="AG531" s="25" t="s">
        <v>56</v>
      </c>
      <c r="AH531" s="24">
        <v>0</v>
      </c>
      <c r="AI531" s="31">
        <v>0</v>
      </c>
      <c r="AJ531" s="31">
        <v>0</v>
      </c>
      <c r="AK531" s="44">
        <f t="shared" si="16"/>
        <v>750.75000000000011</v>
      </c>
      <c r="AL531">
        <f>VLOOKUP(A531,'[1]prueba con 16mil datos'!$A$1:$AE$804,31,FALSE)</f>
        <v>750.75</v>
      </c>
      <c r="AM531">
        <f t="shared" si="17"/>
        <v>1</v>
      </c>
      <c r="AO531">
        <f>VLOOKUP(A531,'[1]Prueba con 19mil datos'!$B$1:$AF$1228,31,FALSE)</f>
        <v>750.75</v>
      </c>
    </row>
    <row r="532" spans="1:44" hidden="1" x14ac:dyDescent="0.25">
      <c r="A532" s="16" t="s">
        <v>3153</v>
      </c>
      <c r="B532" s="15" t="s">
        <v>40</v>
      </c>
      <c r="C532" s="16">
        <v>1</v>
      </c>
      <c r="D532" s="16" t="s">
        <v>2246</v>
      </c>
      <c r="E532" s="17" t="s">
        <v>42</v>
      </c>
      <c r="F532" s="18" t="s">
        <v>99</v>
      </c>
      <c r="G532" s="18" t="s">
        <v>2247</v>
      </c>
      <c r="H532" s="16" t="s">
        <v>660</v>
      </c>
      <c r="I532" s="19" t="s">
        <v>3</v>
      </c>
      <c r="J532" s="16" t="s">
        <v>12</v>
      </c>
      <c r="K532" s="20" t="s">
        <v>294</v>
      </c>
      <c r="L532" s="20" t="s">
        <v>2249</v>
      </c>
      <c r="M532" s="16" t="s">
        <v>2250</v>
      </c>
      <c r="N532" s="16">
        <v>0</v>
      </c>
      <c r="O532" s="16" t="s">
        <v>50</v>
      </c>
      <c r="P532" s="20">
        <v>180</v>
      </c>
      <c r="Q532" s="20" t="s">
        <v>51</v>
      </c>
      <c r="R532" s="21" t="s">
        <v>77</v>
      </c>
      <c r="S532" s="22" t="s">
        <v>53</v>
      </c>
      <c r="T532" s="22" t="s">
        <v>54</v>
      </c>
      <c r="U532" s="23" t="s">
        <v>55</v>
      </c>
      <c r="V532" s="24">
        <v>1.05</v>
      </c>
      <c r="W532" s="25">
        <v>750.75000000000011</v>
      </c>
      <c r="X532" s="26">
        <v>1</v>
      </c>
      <c r="Y532" s="27">
        <v>4.3499999999999996</v>
      </c>
      <c r="Z532" s="23">
        <v>5</v>
      </c>
      <c r="AA532" s="28">
        <v>0.86999999999999988</v>
      </c>
      <c r="AB532" s="24">
        <v>0</v>
      </c>
      <c r="AC532" s="29">
        <v>0</v>
      </c>
      <c r="AD532" s="30">
        <v>43572</v>
      </c>
      <c r="AE532" s="30">
        <v>43572</v>
      </c>
      <c r="AF532" s="23">
        <v>0</v>
      </c>
      <c r="AG532" s="25" t="s">
        <v>56</v>
      </c>
      <c r="AH532" s="24">
        <v>0</v>
      </c>
      <c r="AI532" s="31">
        <v>0</v>
      </c>
      <c r="AJ532" s="31">
        <v>0</v>
      </c>
      <c r="AK532" s="44">
        <f t="shared" si="16"/>
        <v>750.75000000000011</v>
      </c>
      <c r="AL532">
        <f>VLOOKUP(A532,'[1]prueba con 16mil datos'!$A$1:$AE$804,31,FALSE)</f>
        <v>750.75</v>
      </c>
      <c r="AM532">
        <f t="shared" si="17"/>
        <v>1</v>
      </c>
      <c r="AO532">
        <f>VLOOKUP(A532,'[1]Prueba con 19mil datos'!$B$1:$AF$1228,31,FALSE)</f>
        <v>750.75</v>
      </c>
    </row>
    <row r="533" spans="1:44" hidden="1" x14ac:dyDescent="0.25">
      <c r="A533" s="16" t="s">
        <v>1796</v>
      </c>
      <c r="B533" s="15" t="s">
        <v>40</v>
      </c>
      <c r="C533" s="16">
        <v>1</v>
      </c>
      <c r="D533" s="16" t="s">
        <v>2268</v>
      </c>
      <c r="E533" s="17" t="s">
        <v>42</v>
      </c>
      <c r="F533" s="18" t="s">
        <v>228</v>
      </c>
      <c r="G533" s="18" t="s">
        <v>2269</v>
      </c>
      <c r="H533" s="16" t="s">
        <v>660</v>
      </c>
      <c r="I533" s="19" t="s">
        <v>3</v>
      </c>
      <c r="J533" s="16" t="s">
        <v>12</v>
      </c>
      <c r="K533" s="20" t="s">
        <v>294</v>
      </c>
      <c r="L533" s="20" t="s">
        <v>2271</v>
      </c>
      <c r="M533" s="16" t="s">
        <v>246</v>
      </c>
      <c r="N533" s="16">
        <v>0</v>
      </c>
      <c r="O533" s="16" t="s">
        <v>50</v>
      </c>
      <c r="P533" s="20">
        <v>560</v>
      </c>
      <c r="Q533" s="20" t="s">
        <v>51</v>
      </c>
      <c r="R533" s="21" t="s">
        <v>87</v>
      </c>
      <c r="S533" s="22" t="s">
        <v>53</v>
      </c>
      <c r="T533" s="22" t="s">
        <v>54</v>
      </c>
      <c r="U533" s="23" t="s">
        <v>55</v>
      </c>
      <c r="V533" s="24">
        <v>1.05</v>
      </c>
      <c r="W533" s="25">
        <v>750.75000000000011</v>
      </c>
      <c r="X533" s="26">
        <v>1</v>
      </c>
      <c r="Y533" s="27">
        <v>3.96</v>
      </c>
      <c r="Z533" s="23">
        <v>5</v>
      </c>
      <c r="AA533" s="28">
        <v>0.79200000000000004</v>
      </c>
      <c r="AB533" s="24">
        <v>0</v>
      </c>
      <c r="AC533" s="29">
        <v>0</v>
      </c>
      <c r="AD533" s="30">
        <v>43572</v>
      </c>
      <c r="AE533" s="30">
        <v>43573</v>
      </c>
      <c r="AF533" s="23">
        <v>1</v>
      </c>
      <c r="AG533" s="25" t="s">
        <v>56</v>
      </c>
      <c r="AH533" s="24">
        <v>0</v>
      </c>
      <c r="AI533" s="31">
        <v>0</v>
      </c>
      <c r="AJ533" s="31">
        <v>0</v>
      </c>
      <c r="AK533" s="44">
        <f t="shared" si="16"/>
        <v>750.75000000000011</v>
      </c>
      <c r="AL533">
        <f>VLOOKUP(A533,'[1]prueba con 16mil datos'!$A$1:$AE$804,31,FALSE)</f>
        <v>429</v>
      </c>
      <c r="AM533">
        <f t="shared" si="17"/>
        <v>0</v>
      </c>
      <c r="AO533">
        <f>VLOOKUP(A533,'[1]Prueba con 19mil datos'!$B$1:$AF$1228,31,FALSE)</f>
        <v>429</v>
      </c>
    </row>
    <row r="534" spans="1:44" hidden="1" x14ac:dyDescent="0.25">
      <c r="A534" s="16" t="s">
        <v>2855</v>
      </c>
      <c r="B534" s="15" t="s">
        <v>40</v>
      </c>
      <c r="C534" s="16">
        <v>1</v>
      </c>
      <c r="D534" s="16" t="s">
        <v>2280</v>
      </c>
      <c r="E534" s="17" t="s">
        <v>42</v>
      </c>
      <c r="F534" s="18" t="s">
        <v>228</v>
      </c>
      <c r="G534" s="18" t="s">
        <v>2281</v>
      </c>
      <c r="H534" s="16" t="s">
        <v>213</v>
      </c>
      <c r="I534" s="19" t="s">
        <v>3</v>
      </c>
      <c r="J534" s="16" t="s">
        <v>12</v>
      </c>
      <c r="K534" s="20" t="s">
        <v>198</v>
      </c>
      <c r="L534" s="20" t="s">
        <v>478</v>
      </c>
      <c r="M534" s="16" t="s">
        <v>479</v>
      </c>
      <c r="N534" s="16">
        <v>0</v>
      </c>
      <c r="O534" s="16" t="s">
        <v>50</v>
      </c>
      <c r="P534" s="20">
        <v>7</v>
      </c>
      <c r="Q534" s="20" t="s">
        <v>65</v>
      </c>
      <c r="R534" s="21" t="s">
        <v>87</v>
      </c>
      <c r="S534" s="22" t="s">
        <v>53</v>
      </c>
      <c r="T534" s="22" t="s">
        <v>54</v>
      </c>
      <c r="U534" s="23" t="s">
        <v>1008</v>
      </c>
      <c r="V534" s="24">
        <v>0</v>
      </c>
      <c r="W534" s="25">
        <v>0</v>
      </c>
      <c r="X534" s="26">
        <v>1</v>
      </c>
      <c r="Y534" s="27">
        <v>4.12</v>
      </c>
      <c r="Z534" s="23">
        <v>5</v>
      </c>
      <c r="AA534" s="28">
        <v>0.82400000000000007</v>
      </c>
      <c r="AB534" s="24">
        <v>0</v>
      </c>
      <c r="AC534" s="29">
        <v>0</v>
      </c>
      <c r="AD534" s="30">
        <v>43572</v>
      </c>
      <c r="AE534" s="30">
        <v>43573</v>
      </c>
      <c r="AF534" s="23">
        <v>1</v>
      </c>
      <c r="AG534" s="25" t="s">
        <v>56</v>
      </c>
      <c r="AH534" s="24">
        <v>0</v>
      </c>
      <c r="AI534" s="31">
        <v>0</v>
      </c>
      <c r="AJ534" s="31">
        <v>0</v>
      </c>
      <c r="AK534" s="44">
        <f t="shared" si="16"/>
        <v>0</v>
      </c>
      <c r="AL534">
        <f>VLOOKUP(A534,'[1]prueba con 16mil datos'!$A$1:$AE$804,31,FALSE)</f>
        <v>750.75</v>
      </c>
      <c r="AM534">
        <f t="shared" si="17"/>
        <v>0</v>
      </c>
      <c r="AO534">
        <f>VLOOKUP(A534,'[1]Prueba con 19mil datos'!$B$1:$AF$1228,31,FALSE)</f>
        <v>750.75</v>
      </c>
    </row>
    <row r="535" spans="1:44" hidden="1" x14ac:dyDescent="0.25">
      <c r="A535" s="16" t="s">
        <v>636</v>
      </c>
      <c r="B535" s="15" t="s">
        <v>40</v>
      </c>
      <c r="C535" s="16">
        <v>1</v>
      </c>
      <c r="D535" s="16" t="s">
        <v>2327</v>
      </c>
      <c r="E535" s="17" t="s">
        <v>42</v>
      </c>
      <c r="F535" s="18" t="s">
        <v>1286</v>
      </c>
      <c r="G535" s="18" t="s">
        <v>2328</v>
      </c>
      <c r="H535" s="16" t="s">
        <v>109</v>
      </c>
      <c r="I535" s="19" t="s">
        <v>3</v>
      </c>
      <c r="J535" s="16" t="s">
        <v>12</v>
      </c>
      <c r="K535" s="20" t="s">
        <v>564</v>
      </c>
      <c r="L535" s="20" t="s">
        <v>565</v>
      </c>
      <c r="M535" s="16" t="s">
        <v>566</v>
      </c>
      <c r="N535" s="16">
        <v>0</v>
      </c>
      <c r="O535" s="16" t="s">
        <v>50</v>
      </c>
      <c r="P535" s="20">
        <v>22</v>
      </c>
      <c r="Q535" s="20" t="s">
        <v>119</v>
      </c>
      <c r="R535" s="21" t="s">
        <v>52</v>
      </c>
      <c r="S535" s="22" t="s">
        <v>53</v>
      </c>
      <c r="T535" s="22" t="s">
        <v>54</v>
      </c>
      <c r="U535" s="23" t="s">
        <v>120</v>
      </c>
      <c r="V535" s="24">
        <v>0.6</v>
      </c>
      <c r="W535" s="25">
        <v>429.00000000000006</v>
      </c>
      <c r="X535" s="26">
        <v>1</v>
      </c>
      <c r="Y535" s="27">
        <v>1.23</v>
      </c>
      <c r="Z535" s="23">
        <v>5</v>
      </c>
      <c r="AA535" s="28">
        <v>0.246</v>
      </c>
      <c r="AB535" s="24">
        <v>0</v>
      </c>
      <c r="AC535" s="29">
        <v>0</v>
      </c>
      <c r="AD535" s="30">
        <v>43572</v>
      </c>
      <c r="AE535" s="30">
        <v>43573</v>
      </c>
      <c r="AF535" s="23">
        <v>1</v>
      </c>
      <c r="AG535" s="25" t="s">
        <v>56</v>
      </c>
      <c r="AH535" s="24">
        <v>0</v>
      </c>
      <c r="AI535" s="31">
        <v>0</v>
      </c>
      <c r="AJ535" s="31">
        <v>0</v>
      </c>
      <c r="AK535" s="44">
        <f t="shared" si="16"/>
        <v>429.00000000000006</v>
      </c>
      <c r="AL535">
        <f>VLOOKUP(A535,'[1]prueba con 16mil datos'!$A$1:$AE$804,31,FALSE)</f>
        <v>750.75</v>
      </c>
      <c r="AM535">
        <f t="shared" si="17"/>
        <v>0</v>
      </c>
      <c r="AO535">
        <f>VLOOKUP(A535,'[1]Prueba con 19mil datos'!$B$1:$AF$1228,31,FALSE)</f>
        <v>0</v>
      </c>
    </row>
    <row r="536" spans="1:44" hidden="1" x14ac:dyDescent="0.25">
      <c r="A536" s="16" t="s">
        <v>636</v>
      </c>
      <c r="B536" s="15" t="s">
        <v>40</v>
      </c>
      <c r="C536" s="16">
        <v>1</v>
      </c>
      <c r="D536" s="16" t="s">
        <v>2303</v>
      </c>
      <c r="E536" s="17" t="s">
        <v>42</v>
      </c>
      <c r="F536" s="18" t="s">
        <v>508</v>
      </c>
      <c r="G536" s="18" t="s">
        <v>2304</v>
      </c>
      <c r="H536" s="16" t="s">
        <v>125</v>
      </c>
      <c r="I536" s="19" t="s">
        <v>3</v>
      </c>
      <c r="J536" s="16" t="s">
        <v>12</v>
      </c>
      <c r="K536" s="20" t="s">
        <v>1432</v>
      </c>
      <c r="L536" s="20" t="s">
        <v>2300</v>
      </c>
      <c r="M536" s="16" t="s">
        <v>105</v>
      </c>
      <c r="N536" s="16">
        <v>0</v>
      </c>
      <c r="O536" s="16" t="s">
        <v>50</v>
      </c>
      <c r="P536" s="20">
        <v>324</v>
      </c>
      <c r="Q536" s="20" t="s">
        <v>51</v>
      </c>
      <c r="R536" s="21" t="s">
        <v>148</v>
      </c>
      <c r="S536" s="22" t="s">
        <v>130</v>
      </c>
      <c r="T536" s="22" t="s">
        <v>54</v>
      </c>
      <c r="U536" s="23" t="s">
        <v>226</v>
      </c>
      <c r="V536" s="24">
        <v>1.1000000000000001</v>
      </c>
      <c r="W536" s="25">
        <v>1501.5000000000002</v>
      </c>
      <c r="X536" s="26">
        <v>1</v>
      </c>
      <c r="Y536" s="27">
        <v>0.15</v>
      </c>
      <c r="Z536" s="23">
        <v>5</v>
      </c>
      <c r="AA536" s="28">
        <v>0.03</v>
      </c>
      <c r="AB536" s="24">
        <v>0</v>
      </c>
      <c r="AC536" s="29">
        <v>0</v>
      </c>
      <c r="AD536" s="30">
        <v>43572</v>
      </c>
      <c r="AE536" s="30">
        <v>43573</v>
      </c>
      <c r="AF536" s="23">
        <v>1</v>
      </c>
      <c r="AG536" s="25" t="s">
        <v>56</v>
      </c>
      <c r="AH536" s="24">
        <v>0</v>
      </c>
      <c r="AI536" s="31">
        <v>0</v>
      </c>
      <c r="AJ536" s="31">
        <v>0</v>
      </c>
      <c r="AK536" s="44">
        <f t="shared" si="16"/>
        <v>1501.5000000000002</v>
      </c>
      <c r="AL536">
        <f>VLOOKUP(A536,'[1]prueba con 16mil datos'!$A$1:$AE$804,31,FALSE)</f>
        <v>750.75</v>
      </c>
      <c r="AM536">
        <f t="shared" si="17"/>
        <v>0</v>
      </c>
      <c r="AO536">
        <f>VLOOKUP(A536,'[1]Prueba con 19mil datos'!$B$1:$AF$1228,31,FALSE)</f>
        <v>0</v>
      </c>
    </row>
    <row r="537" spans="1:44" hidden="1" x14ac:dyDescent="0.25">
      <c r="A537" s="16" t="s">
        <v>799</v>
      </c>
      <c r="B537" s="15" t="s">
        <v>40</v>
      </c>
      <c r="C537" s="16">
        <v>1</v>
      </c>
      <c r="D537" s="16" t="s">
        <v>2226</v>
      </c>
      <c r="E537" s="17" t="s">
        <v>42</v>
      </c>
      <c r="F537" s="18" t="s">
        <v>2075</v>
      </c>
      <c r="G537" s="18" t="s">
        <v>2227</v>
      </c>
      <c r="H537" s="16" t="s">
        <v>621</v>
      </c>
      <c r="I537" s="19" t="s">
        <v>3</v>
      </c>
      <c r="J537" s="16" t="s">
        <v>12</v>
      </c>
      <c r="K537" s="20" t="s">
        <v>154</v>
      </c>
      <c r="L537" s="20" t="s">
        <v>2229</v>
      </c>
      <c r="M537" s="16" t="s">
        <v>1379</v>
      </c>
      <c r="N537" s="16">
        <v>0</v>
      </c>
      <c r="O537" s="16" t="s">
        <v>50</v>
      </c>
      <c r="P537" s="20">
        <v>232</v>
      </c>
      <c r="Q537" s="20" t="s">
        <v>51</v>
      </c>
      <c r="R537" s="21" t="s">
        <v>287</v>
      </c>
      <c r="S537" s="22" t="s">
        <v>288</v>
      </c>
      <c r="T537" s="22" t="s">
        <v>54</v>
      </c>
      <c r="U537" s="23" t="s">
        <v>550</v>
      </c>
      <c r="V537" s="24">
        <v>1.1499999999999999</v>
      </c>
      <c r="W537" s="25">
        <v>1808.95</v>
      </c>
      <c r="X537" s="26">
        <v>1</v>
      </c>
      <c r="Y537" s="27">
        <v>2.85</v>
      </c>
      <c r="Z537" s="23">
        <v>4</v>
      </c>
      <c r="AA537" s="28">
        <v>0.71250000000000002</v>
      </c>
      <c r="AB537" s="24">
        <v>0</v>
      </c>
      <c r="AC537" s="29">
        <v>0</v>
      </c>
      <c r="AD537" s="30">
        <v>43572</v>
      </c>
      <c r="AE537" s="30">
        <v>43572</v>
      </c>
      <c r="AF537" s="23">
        <v>0</v>
      </c>
      <c r="AG537" s="25" t="s">
        <v>56</v>
      </c>
      <c r="AH537" s="24">
        <v>0</v>
      </c>
      <c r="AI537" s="31">
        <v>0</v>
      </c>
      <c r="AJ537" s="31">
        <v>0</v>
      </c>
      <c r="AK537" s="44">
        <f t="shared" si="16"/>
        <v>1808.95</v>
      </c>
      <c r="AL537">
        <f>VLOOKUP(A537,'[1]prueba con 16mil datos'!$A$1:$AE$804,31,FALSE)</f>
        <v>750.75</v>
      </c>
      <c r="AM537">
        <f t="shared" si="17"/>
        <v>0</v>
      </c>
      <c r="AO537">
        <f>VLOOKUP(A537,'[1]Prueba con 19mil datos'!$B$1:$AF$1228,31,FALSE)</f>
        <v>750.75</v>
      </c>
    </row>
    <row r="538" spans="1:44" hidden="1" x14ac:dyDescent="0.25">
      <c r="A538" s="16" t="s">
        <v>1570</v>
      </c>
      <c r="B538" s="15" t="s">
        <v>40</v>
      </c>
      <c r="C538" s="16">
        <v>1</v>
      </c>
      <c r="D538" s="16" t="s">
        <v>2295</v>
      </c>
      <c r="E538" s="17" t="s">
        <v>42</v>
      </c>
      <c r="F538" s="18" t="s">
        <v>449</v>
      </c>
      <c r="G538" s="18" t="s">
        <v>2296</v>
      </c>
      <c r="H538" s="16" t="s">
        <v>61</v>
      </c>
      <c r="I538" s="19" t="s">
        <v>3</v>
      </c>
      <c r="J538" s="16" t="s">
        <v>12</v>
      </c>
      <c r="K538" s="20" t="s">
        <v>1306</v>
      </c>
      <c r="L538" s="20" t="s">
        <v>1307</v>
      </c>
      <c r="M538" s="16" t="s">
        <v>118</v>
      </c>
      <c r="N538" s="16">
        <v>0</v>
      </c>
      <c r="O538" s="16" t="s">
        <v>50</v>
      </c>
      <c r="P538" s="20">
        <v>9</v>
      </c>
      <c r="Q538" s="20" t="s">
        <v>65</v>
      </c>
      <c r="R538" s="21" t="s">
        <v>186</v>
      </c>
      <c r="S538" s="22" t="s">
        <v>187</v>
      </c>
      <c r="T538" s="22" t="s">
        <v>54</v>
      </c>
      <c r="U538" s="23" t="s">
        <v>201</v>
      </c>
      <c r="V538" s="24">
        <v>0.8</v>
      </c>
      <c r="W538" s="25">
        <v>1258.4000000000003</v>
      </c>
      <c r="X538" s="26">
        <v>1</v>
      </c>
      <c r="Y538" s="27">
        <v>1.55</v>
      </c>
      <c r="Z538" s="23">
        <v>4</v>
      </c>
      <c r="AA538" s="28">
        <v>0.38750000000000001</v>
      </c>
      <c r="AB538" s="24">
        <v>0</v>
      </c>
      <c r="AC538" s="29">
        <v>0</v>
      </c>
      <c r="AD538" s="30">
        <v>43572</v>
      </c>
      <c r="AE538" s="30">
        <v>43573</v>
      </c>
      <c r="AF538" s="23">
        <v>1</v>
      </c>
      <c r="AG538" s="25" t="s">
        <v>56</v>
      </c>
      <c r="AH538" s="24">
        <v>0</v>
      </c>
      <c r="AI538" s="31">
        <v>0</v>
      </c>
      <c r="AJ538" s="31">
        <v>0</v>
      </c>
      <c r="AK538" s="44">
        <f t="shared" si="16"/>
        <v>1258.4000000000003</v>
      </c>
      <c r="AL538">
        <f>VLOOKUP(A538,'[1]prueba con 16mil datos'!$A$1:$AE$804,31,FALSE)</f>
        <v>347.75</v>
      </c>
      <c r="AM538">
        <f t="shared" si="17"/>
        <v>0</v>
      </c>
      <c r="AO538">
        <f>VLOOKUP(A538,'[1]Prueba con 19mil datos'!$B$1:$AF$1228,31,FALSE)</f>
        <v>0</v>
      </c>
    </row>
    <row r="539" spans="1:44" hidden="1" x14ac:dyDescent="0.25">
      <c r="A539" s="16" t="s">
        <v>358</v>
      </c>
      <c r="B539" s="15" t="s">
        <v>40</v>
      </c>
      <c r="C539" s="16">
        <v>1</v>
      </c>
      <c r="D539" s="16" t="s">
        <v>2255</v>
      </c>
      <c r="E539" s="17" t="s">
        <v>42</v>
      </c>
      <c r="F539" s="18" t="s">
        <v>233</v>
      </c>
      <c r="G539" s="18" t="s">
        <v>2256</v>
      </c>
      <c r="H539" s="16" t="s">
        <v>463</v>
      </c>
      <c r="I539" s="19" t="s">
        <v>3</v>
      </c>
      <c r="J539" s="16" t="s">
        <v>12</v>
      </c>
      <c r="K539" s="20" t="s">
        <v>74</v>
      </c>
      <c r="L539" s="20" t="s">
        <v>2258</v>
      </c>
      <c r="M539" s="16" t="s">
        <v>2259</v>
      </c>
      <c r="N539" s="16">
        <v>0</v>
      </c>
      <c r="O539" s="16" t="s">
        <v>50</v>
      </c>
      <c r="P539" s="20">
        <v>397</v>
      </c>
      <c r="Q539" s="20" t="s">
        <v>51</v>
      </c>
      <c r="R539" s="21" t="s">
        <v>77</v>
      </c>
      <c r="S539" s="22" t="s">
        <v>53</v>
      </c>
      <c r="T539" s="22" t="s">
        <v>54</v>
      </c>
      <c r="U539" s="23" t="s">
        <v>55</v>
      </c>
      <c r="V539" s="24">
        <v>1.05</v>
      </c>
      <c r="W539" s="25">
        <v>750.75000000000011</v>
      </c>
      <c r="X539" s="26">
        <v>1</v>
      </c>
      <c r="Y539" s="27">
        <v>2.33</v>
      </c>
      <c r="Z539" s="23">
        <v>5</v>
      </c>
      <c r="AA539" s="28">
        <v>0.46600000000000003</v>
      </c>
      <c r="AB539" s="24">
        <v>0</v>
      </c>
      <c r="AC539" s="29">
        <v>0</v>
      </c>
      <c r="AD539" s="30">
        <v>43572</v>
      </c>
      <c r="AE539" s="30">
        <v>43573</v>
      </c>
      <c r="AF539" s="23">
        <v>1</v>
      </c>
      <c r="AG539" s="25" t="s">
        <v>56</v>
      </c>
      <c r="AH539" s="24">
        <v>0</v>
      </c>
      <c r="AI539" s="31">
        <v>0</v>
      </c>
      <c r="AJ539" s="31">
        <v>0</v>
      </c>
      <c r="AK539" s="44">
        <f t="shared" si="16"/>
        <v>750.75000000000011</v>
      </c>
      <c r="AL539">
        <f>VLOOKUP(A539,'[1]prueba con 16mil datos'!$A$1:$AE$804,31,FALSE)</f>
        <v>0</v>
      </c>
      <c r="AM539">
        <f t="shared" si="17"/>
        <v>0</v>
      </c>
      <c r="AO539">
        <f>VLOOKUP(A539,'[1]Prueba con 19mil datos'!$B$1:$AF$1228,31,FALSE)</f>
        <v>0</v>
      </c>
    </row>
    <row r="540" spans="1:44" hidden="1" x14ac:dyDescent="0.25">
      <c r="A540" s="16" t="s">
        <v>358</v>
      </c>
      <c r="B540" s="15" t="s">
        <v>40</v>
      </c>
      <c r="C540" s="16">
        <v>1</v>
      </c>
      <c r="D540" s="16" t="s">
        <v>2277</v>
      </c>
      <c r="E540" s="17" t="s">
        <v>42</v>
      </c>
      <c r="F540" s="18" t="s">
        <v>733</v>
      </c>
      <c r="G540" s="18" t="s">
        <v>2278</v>
      </c>
      <c r="H540" s="16" t="s">
        <v>293</v>
      </c>
      <c r="I540" s="19" t="s">
        <v>3</v>
      </c>
      <c r="J540" s="16" t="s">
        <v>12</v>
      </c>
      <c r="K540" s="20" t="s">
        <v>126</v>
      </c>
      <c r="L540" s="20" t="s">
        <v>1142</v>
      </c>
      <c r="M540" s="16" t="s">
        <v>429</v>
      </c>
      <c r="N540" s="16">
        <v>0</v>
      </c>
      <c r="O540" s="16" t="s">
        <v>50</v>
      </c>
      <c r="P540" s="20">
        <v>18</v>
      </c>
      <c r="Q540" s="20" t="s">
        <v>119</v>
      </c>
      <c r="R540" s="21" t="s">
        <v>279</v>
      </c>
      <c r="S540" s="22" t="s">
        <v>187</v>
      </c>
      <c r="T540" s="22" t="s">
        <v>54</v>
      </c>
      <c r="U540" s="23" t="s">
        <v>269</v>
      </c>
      <c r="V540" s="24">
        <v>1.05</v>
      </c>
      <c r="W540" s="25">
        <v>1651.6500000000003</v>
      </c>
      <c r="X540" s="26">
        <v>1</v>
      </c>
      <c r="Y540" s="27">
        <v>1.57</v>
      </c>
      <c r="Z540" s="23">
        <v>4</v>
      </c>
      <c r="AA540" s="28">
        <v>0.39250000000000002</v>
      </c>
      <c r="AB540" s="24">
        <v>0</v>
      </c>
      <c r="AC540" s="29">
        <v>0</v>
      </c>
      <c r="AD540" s="30">
        <v>43572</v>
      </c>
      <c r="AE540" s="30">
        <v>43573</v>
      </c>
      <c r="AF540" s="23">
        <v>1</v>
      </c>
      <c r="AG540" s="25" t="s">
        <v>56</v>
      </c>
      <c r="AH540" s="24">
        <v>0</v>
      </c>
      <c r="AI540" s="31">
        <v>0</v>
      </c>
      <c r="AJ540" s="31">
        <v>0</v>
      </c>
      <c r="AK540" s="44">
        <f t="shared" si="16"/>
        <v>1651.6500000000003</v>
      </c>
      <c r="AL540">
        <f>VLOOKUP(A540,'[1]prueba con 16mil datos'!$A$1:$AE$804,31,FALSE)</f>
        <v>0</v>
      </c>
      <c r="AM540">
        <f t="shared" si="17"/>
        <v>0</v>
      </c>
      <c r="AO540">
        <f>VLOOKUP(A540,'[1]Prueba con 19mil datos'!$B$1:$AF$1228,31,FALSE)</f>
        <v>0</v>
      </c>
    </row>
    <row r="541" spans="1:44" hidden="1" x14ac:dyDescent="0.25">
      <c r="A541" s="16" t="s">
        <v>1016</v>
      </c>
      <c r="B541" s="15" t="s">
        <v>40</v>
      </c>
      <c r="C541" s="16">
        <v>1</v>
      </c>
      <c r="D541" s="16" t="s">
        <v>2301</v>
      </c>
      <c r="E541" s="17" t="s">
        <v>42</v>
      </c>
      <c r="F541" s="18" t="s">
        <v>275</v>
      </c>
      <c r="G541" s="18" t="s">
        <v>2302</v>
      </c>
      <c r="H541" s="16" t="s">
        <v>168</v>
      </c>
      <c r="I541" s="19" t="s">
        <v>3</v>
      </c>
      <c r="J541" s="16" t="s">
        <v>12</v>
      </c>
      <c r="K541" s="20" t="s">
        <v>126</v>
      </c>
      <c r="L541" s="20" t="s">
        <v>1506</v>
      </c>
      <c r="M541" s="16" t="s">
        <v>1507</v>
      </c>
      <c r="N541" s="16">
        <v>0</v>
      </c>
      <c r="O541" s="16" t="s">
        <v>50</v>
      </c>
      <c r="P541" s="20">
        <v>7</v>
      </c>
      <c r="Q541" s="20" t="s">
        <v>65</v>
      </c>
      <c r="R541" s="21" t="s">
        <v>279</v>
      </c>
      <c r="S541" s="22" t="s">
        <v>187</v>
      </c>
      <c r="T541" s="22" t="s">
        <v>54</v>
      </c>
      <c r="U541" s="23" t="s">
        <v>201</v>
      </c>
      <c r="V541" s="24">
        <v>0.8</v>
      </c>
      <c r="W541" s="25">
        <v>1258.4000000000003</v>
      </c>
      <c r="X541" s="26">
        <v>1</v>
      </c>
      <c r="Y541" s="27">
        <v>1.25</v>
      </c>
      <c r="Z541" s="23">
        <v>4</v>
      </c>
      <c r="AA541" s="28">
        <v>0.3125</v>
      </c>
      <c r="AB541" s="24">
        <v>0</v>
      </c>
      <c r="AC541" s="29">
        <v>0</v>
      </c>
      <c r="AD541" s="30">
        <v>43572</v>
      </c>
      <c r="AE541" s="30">
        <v>43573</v>
      </c>
      <c r="AF541" s="23">
        <v>1</v>
      </c>
      <c r="AG541" s="25" t="s">
        <v>56</v>
      </c>
      <c r="AH541" s="24">
        <v>0</v>
      </c>
      <c r="AI541" s="31">
        <v>0</v>
      </c>
      <c r="AJ541" s="31">
        <v>0</v>
      </c>
      <c r="AK541" s="44">
        <f t="shared" si="16"/>
        <v>1258.4000000000003</v>
      </c>
      <c r="AL541">
        <f>VLOOKUP(A541,'[1]prueba con 16mil datos'!$A$1:$AE$804,31,FALSE)</f>
        <v>1092</v>
      </c>
      <c r="AM541">
        <f t="shared" si="17"/>
        <v>0</v>
      </c>
      <c r="AO541">
        <f>VLOOKUP(A541,'[1]Prueba con 19mil datos'!$B$1:$AF$1228,31,FALSE)</f>
        <v>1092</v>
      </c>
    </row>
    <row r="542" spans="1:44" hidden="1" x14ac:dyDescent="0.25">
      <c r="A542" s="16" t="s">
        <v>1016</v>
      </c>
      <c r="B542" s="15" t="s">
        <v>40</v>
      </c>
      <c r="C542" s="16">
        <v>1</v>
      </c>
      <c r="D542" s="16" t="s">
        <v>2338</v>
      </c>
      <c r="E542" s="17" t="s">
        <v>42</v>
      </c>
      <c r="F542" s="18" t="s">
        <v>275</v>
      </c>
      <c r="G542" s="18" t="s">
        <v>2339</v>
      </c>
      <c r="H542" s="16" t="s">
        <v>621</v>
      </c>
      <c r="I542" s="19" t="s">
        <v>3</v>
      </c>
      <c r="J542" s="16" t="s">
        <v>12</v>
      </c>
      <c r="K542" s="20" t="s">
        <v>126</v>
      </c>
      <c r="L542" s="20" t="s">
        <v>1378</v>
      </c>
      <c r="M542" s="16" t="s">
        <v>1379</v>
      </c>
      <c r="N542" s="16">
        <v>0</v>
      </c>
      <c r="O542" s="16" t="s">
        <v>50</v>
      </c>
      <c r="P542" s="20">
        <v>43</v>
      </c>
      <c r="Q542" s="20" t="s">
        <v>86</v>
      </c>
      <c r="R542" s="21" t="s">
        <v>279</v>
      </c>
      <c r="S542" s="22" t="s">
        <v>187</v>
      </c>
      <c r="T542" s="22" t="s">
        <v>54</v>
      </c>
      <c r="U542" s="23" t="s">
        <v>188</v>
      </c>
      <c r="V542" s="24">
        <v>1.1000000000000001</v>
      </c>
      <c r="W542" s="25">
        <v>1730.3000000000004</v>
      </c>
      <c r="X542" s="26">
        <v>1</v>
      </c>
      <c r="Y542" s="27">
        <v>0.98</v>
      </c>
      <c r="Z542" s="23">
        <v>4</v>
      </c>
      <c r="AA542" s="28">
        <v>0.245</v>
      </c>
      <c r="AB542" s="24">
        <v>0</v>
      </c>
      <c r="AC542" s="29">
        <v>0</v>
      </c>
      <c r="AD542" s="30">
        <v>43572</v>
      </c>
      <c r="AE542" s="30">
        <v>43573</v>
      </c>
      <c r="AF542" s="23">
        <v>1</v>
      </c>
      <c r="AG542" s="25" t="s">
        <v>56</v>
      </c>
      <c r="AH542" s="24">
        <v>0</v>
      </c>
      <c r="AI542" s="31">
        <v>0</v>
      </c>
      <c r="AJ542" s="31">
        <v>0</v>
      </c>
      <c r="AK542" s="44">
        <f t="shared" si="16"/>
        <v>1730.3000000000004</v>
      </c>
      <c r="AL542">
        <f>VLOOKUP(A542,'[1]prueba con 16mil datos'!$A$1:$AE$804,31,FALSE)</f>
        <v>1092</v>
      </c>
      <c r="AM542">
        <f t="shared" si="17"/>
        <v>0</v>
      </c>
      <c r="AO542">
        <f>VLOOKUP(A542,'[1]Prueba con 19mil datos'!$B$1:$AF$1228,31,FALSE)</f>
        <v>1092</v>
      </c>
    </row>
    <row r="543" spans="1:44" hidden="1" x14ac:dyDescent="0.25">
      <c r="A543" s="16" t="s">
        <v>1683</v>
      </c>
      <c r="B543" s="15" t="s">
        <v>40</v>
      </c>
      <c r="C543" s="16">
        <v>1</v>
      </c>
      <c r="D543" s="16" t="s">
        <v>2251</v>
      </c>
      <c r="E543" s="17" t="s">
        <v>42</v>
      </c>
      <c r="F543" s="18" t="s">
        <v>275</v>
      </c>
      <c r="G543" s="18" t="s">
        <v>2252</v>
      </c>
      <c r="H543" s="16" t="s">
        <v>243</v>
      </c>
      <c r="I543" s="19" t="s">
        <v>3</v>
      </c>
      <c r="J543" s="16" t="s">
        <v>12</v>
      </c>
      <c r="K543" s="20" t="s">
        <v>126</v>
      </c>
      <c r="L543" s="20" t="s">
        <v>2254</v>
      </c>
      <c r="M543" s="16" t="s">
        <v>833</v>
      </c>
      <c r="N543" s="16">
        <v>0</v>
      </c>
      <c r="O543" s="16" t="s">
        <v>50</v>
      </c>
      <c r="P543" s="20">
        <v>50</v>
      </c>
      <c r="Q543" s="20" t="s">
        <v>86</v>
      </c>
      <c r="R543" s="21" t="s">
        <v>279</v>
      </c>
      <c r="S543" s="22" t="s">
        <v>187</v>
      </c>
      <c r="T543" s="22" t="s">
        <v>54</v>
      </c>
      <c r="U543" s="23" t="s">
        <v>188</v>
      </c>
      <c r="V543" s="24">
        <v>1.1000000000000001</v>
      </c>
      <c r="W543" s="25">
        <v>1730.3000000000004</v>
      </c>
      <c r="X543" s="26">
        <v>1</v>
      </c>
      <c r="Y543" s="27">
        <v>0</v>
      </c>
      <c r="Z543" s="23">
        <v>4</v>
      </c>
      <c r="AA543" s="28">
        <v>0</v>
      </c>
      <c r="AB543" s="24">
        <v>0</v>
      </c>
      <c r="AC543" s="29">
        <v>0</v>
      </c>
      <c r="AD543" s="30">
        <v>43572</v>
      </c>
      <c r="AE543" s="30">
        <v>43572</v>
      </c>
      <c r="AF543" s="23">
        <v>0</v>
      </c>
      <c r="AG543" s="25" t="s">
        <v>56</v>
      </c>
      <c r="AH543" s="24">
        <v>0</v>
      </c>
      <c r="AI543" s="31">
        <v>0</v>
      </c>
      <c r="AJ543" s="31">
        <v>0</v>
      </c>
      <c r="AK543" s="44">
        <f t="shared" si="16"/>
        <v>1730.3000000000004</v>
      </c>
      <c r="AL543">
        <f>VLOOKUP(A543,'[1]prueba con 16mil datos'!$A$1:$AE$804,31,FALSE)</f>
        <v>1433.25</v>
      </c>
      <c r="AM543">
        <f t="shared" si="17"/>
        <v>0</v>
      </c>
      <c r="AO543">
        <f>VLOOKUP(A543,'[1]Prueba con 19mil datos'!$B$1:$AF$1228,31,FALSE)</f>
        <v>1433.25</v>
      </c>
    </row>
    <row r="544" spans="1:44" hidden="1" x14ac:dyDescent="0.25">
      <c r="A544" s="16" t="s">
        <v>1683</v>
      </c>
      <c r="B544" s="15" t="s">
        <v>40</v>
      </c>
      <c r="C544" s="16">
        <v>1</v>
      </c>
      <c r="D544" s="16" t="s">
        <v>2319</v>
      </c>
      <c r="E544" s="17" t="s">
        <v>42</v>
      </c>
      <c r="F544" s="18" t="s">
        <v>913</v>
      </c>
      <c r="G544" s="18" t="s">
        <v>2320</v>
      </c>
      <c r="H544" s="16" t="s">
        <v>82</v>
      </c>
      <c r="I544" s="19" t="s">
        <v>3</v>
      </c>
      <c r="J544" s="16" t="s">
        <v>12</v>
      </c>
      <c r="K544" s="20" t="s">
        <v>83</v>
      </c>
      <c r="L544" s="20" t="s">
        <v>84</v>
      </c>
      <c r="M544" s="16" t="s">
        <v>85</v>
      </c>
      <c r="N544" s="16">
        <v>0</v>
      </c>
      <c r="O544" s="16" t="s">
        <v>50</v>
      </c>
      <c r="P544" s="20">
        <v>50</v>
      </c>
      <c r="Q544" s="20" t="s">
        <v>86</v>
      </c>
      <c r="R544" s="21" t="s">
        <v>87</v>
      </c>
      <c r="S544" s="22" t="s">
        <v>53</v>
      </c>
      <c r="T544" s="22" t="s">
        <v>54</v>
      </c>
      <c r="U544" s="23" t="s">
        <v>88</v>
      </c>
      <c r="V544" s="24">
        <v>0.8</v>
      </c>
      <c r="W544" s="25">
        <v>572.00000000000011</v>
      </c>
      <c r="X544" s="26">
        <v>1</v>
      </c>
      <c r="Y544" s="27">
        <v>0.52</v>
      </c>
      <c r="Z544" s="23">
        <v>5</v>
      </c>
      <c r="AA544" s="28">
        <v>0.10400000000000001</v>
      </c>
      <c r="AB544" s="24">
        <v>0</v>
      </c>
      <c r="AC544" s="29">
        <v>0</v>
      </c>
      <c r="AD544" s="30">
        <v>43572</v>
      </c>
      <c r="AE544" s="30">
        <v>43573</v>
      </c>
      <c r="AF544" s="23">
        <v>1</v>
      </c>
      <c r="AG544" s="25" t="s">
        <v>56</v>
      </c>
      <c r="AH544" s="24">
        <v>0</v>
      </c>
      <c r="AI544" s="31">
        <v>0</v>
      </c>
      <c r="AJ544" s="31">
        <v>0</v>
      </c>
      <c r="AK544" s="44">
        <f t="shared" si="16"/>
        <v>572.00000000000011</v>
      </c>
      <c r="AL544">
        <f>VLOOKUP(A544,'[1]prueba con 16mil datos'!$A$1:$AE$804,31,FALSE)</f>
        <v>1433.25</v>
      </c>
      <c r="AM544">
        <f t="shared" si="17"/>
        <v>0</v>
      </c>
      <c r="AO544">
        <f>VLOOKUP(A544,'[1]Prueba con 19mil datos'!$B$1:$AF$1228,31,FALSE)</f>
        <v>1433.25</v>
      </c>
    </row>
    <row r="545" spans="1:41" hidden="1" x14ac:dyDescent="0.25">
      <c r="A545" s="16" t="s">
        <v>2812</v>
      </c>
      <c r="B545" s="15" t="s">
        <v>40</v>
      </c>
      <c r="C545" s="16">
        <v>1</v>
      </c>
      <c r="D545" s="16" t="s">
        <v>2240</v>
      </c>
      <c r="E545" s="17" t="s">
        <v>42</v>
      </c>
      <c r="F545" s="18" t="s">
        <v>180</v>
      </c>
      <c r="G545" s="18" t="s">
        <v>2241</v>
      </c>
      <c r="H545" s="16" t="s">
        <v>693</v>
      </c>
      <c r="I545" s="19" t="s">
        <v>3</v>
      </c>
      <c r="J545" s="16" t="s">
        <v>12</v>
      </c>
      <c r="K545" s="20" t="s">
        <v>126</v>
      </c>
      <c r="L545" s="20" t="s">
        <v>694</v>
      </c>
      <c r="M545" s="16" t="s">
        <v>695</v>
      </c>
      <c r="N545" s="16">
        <v>0</v>
      </c>
      <c r="O545" s="16" t="s">
        <v>50</v>
      </c>
      <c r="P545" s="20">
        <v>36</v>
      </c>
      <c r="Q545" s="20" t="s">
        <v>86</v>
      </c>
      <c r="R545" s="21" t="s">
        <v>186</v>
      </c>
      <c r="S545" s="22" t="s">
        <v>187</v>
      </c>
      <c r="T545" s="22" t="s">
        <v>54</v>
      </c>
      <c r="U545" s="23" t="s">
        <v>188</v>
      </c>
      <c r="V545" s="24">
        <v>1.1000000000000001</v>
      </c>
      <c r="W545" s="25">
        <v>1730.3000000000004</v>
      </c>
      <c r="X545" s="26">
        <v>1</v>
      </c>
      <c r="Y545" s="27">
        <v>1.08</v>
      </c>
      <c r="Z545" s="23">
        <v>4</v>
      </c>
      <c r="AA545" s="28">
        <v>0.27</v>
      </c>
      <c r="AB545" s="24">
        <v>0</v>
      </c>
      <c r="AC545" s="29">
        <v>0</v>
      </c>
      <c r="AD545" s="30">
        <v>43572</v>
      </c>
      <c r="AE545" s="30">
        <v>43572</v>
      </c>
      <c r="AF545" s="23">
        <v>0</v>
      </c>
      <c r="AG545" s="25" t="s">
        <v>56</v>
      </c>
      <c r="AH545" s="24">
        <v>0</v>
      </c>
      <c r="AI545" s="31">
        <v>0</v>
      </c>
      <c r="AJ545" s="31">
        <v>0</v>
      </c>
      <c r="AK545" s="44">
        <f t="shared" si="16"/>
        <v>1730.3000000000004</v>
      </c>
      <c r="AL545" t="e">
        <f>VLOOKUP(A545,'[1]prueba con 16mil datos'!$A$1:$AE$804,31,FALSE)</f>
        <v>#N/A</v>
      </c>
      <c r="AM545" t="e">
        <f t="shared" si="17"/>
        <v>#N/A</v>
      </c>
      <c r="AO545">
        <f>VLOOKUP(A545,'[1]Prueba con 19mil datos'!$B$1:$AF$1228,31,FALSE)</f>
        <v>0</v>
      </c>
    </row>
    <row r="546" spans="1:41" hidden="1" x14ac:dyDescent="0.25">
      <c r="A546" s="16" t="s">
        <v>2727</v>
      </c>
      <c r="B546" s="15" t="s">
        <v>40</v>
      </c>
      <c r="C546" s="16">
        <v>1</v>
      </c>
      <c r="D546" s="16" t="s">
        <v>2310</v>
      </c>
      <c r="E546" s="17" t="s">
        <v>2311</v>
      </c>
      <c r="F546" s="18" t="s">
        <v>180</v>
      </c>
      <c r="G546" s="18" t="s">
        <v>2312</v>
      </c>
      <c r="H546" s="16" t="s">
        <v>207</v>
      </c>
      <c r="I546" s="19" t="s">
        <v>3</v>
      </c>
      <c r="J546" s="16" t="s">
        <v>12</v>
      </c>
      <c r="K546" s="20" t="s">
        <v>126</v>
      </c>
      <c r="L546" s="20" t="s">
        <v>2003</v>
      </c>
      <c r="M546" s="16" t="s">
        <v>111</v>
      </c>
      <c r="N546" s="16">
        <v>0</v>
      </c>
      <c r="O546" s="16" t="s">
        <v>50</v>
      </c>
      <c r="P546" s="20" t="s">
        <v>326</v>
      </c>
      <c r="Q546" s="20" t="s">
        <v>51</v>
      </c>
      <c r="R546" s="21" t="s">
        <v>186</v>
      </c>
      <c r="S546" s="22" t="s">
        <v>187</v>
      </c>
      <c r="T546" s="22" t="s">
        <v>54</v>
      </c>
      <c r="U546" s="23" t="s">
        <v>550</v>
      </c>
      <c r="V546" s="24">
        <v>1</v>
      </c>
      <c r="W546" s="25">
        <v>1573.0000000000002</v>
      </c>
      <c r="X546" s="26">
        <v>0</v>
      </c>
      <c r="Y546" s="27">
        <v>4</v>
      </c>
      <c r="Z546" s="23">
        <v>4</v>
      </c>
      <c r="AA546" s="28">
        <v>1</v>
      </c>
      <c r="AB546" s="24">
        <v>0</v>
      </c>
      <c r="AC546" s="29">
        <v>0</v>
      </c>
      <c r="AD546" s="30">
        <v>43572</v>
      </c>
      <c r="AE546" s="30">
        <v>43573</v>
      </c>
      <c r="AF546" s="23">
        <v>1</v>
      </c>
      <c r="AG546" s="25" t="s">
        <v>56</v>
      </c>
      <c r="AH546" s="24">
        <v>0</v>
      </c>
      <c r="AI546" s="31">
        <v>0</v>
      </c>
      <c r="AJ546" s="31">
        <v>0</v>
      </c>
      <c r="AK546" s="44">
        <f t="shared" si="16"/>
        <v>1573.0000000000002</v>
      </c>
      <c r="AL546">
        <f>VLOOKUP(A546,'[1]prueba con 16mil datos'!$A$1:$AE$804,31,FALSE)</f>
        <v>1501.5</v>
      </c>
      <c r="AM546">
        <f t="shared" si="17"/>
        <v>0</v>
      </c>
      <c r="AO546">
        <f>VLOOKUP(A546,'[1]Prueba con 19mil datos'!$B$1:$AF$1228,31,FALSE)</f>
        <v>1501.5</v>
      </c>
    </row>
    <row r="547" spans="1:41" hidden="1" x14ac:dyDescent="0.25">
      <c r="A547" s="16" t="s">
        <v>1094</v>
      </c>
      <c r="B547" s="15" t="s">
        <v>40</v>
      </c>
      <c r="C547" s="16">
        <v>1</v>
      </c>
      <c r="D547" s="16" t="s">
        <v>2285</v>
      </c>
      <c r="E547" s="17" t="s">
        <v>42</v>
      </c>
      <c r="F547" s="18" t="s">
        <v>180</v>
      </c>
      <c r="G547" s="18" t="s">
        <v>2286</v>
      </c>
      <c r="H547" s="16" t="s">
        <v>82</v>
      </c>
      <c r="I547" s="19" t="s">
        <v>3</v>
      </c>
      <c r="J547" s="16" t="s">
        <v>12</v>
      </c>
      <c r="K547" s="20" t="s">
        <v>126</v>
      </c>
      <c r="L547" s="20" t="s">
        <v>2078</v>
      </c>
      <c r="M547" s="16" t="s">
        <v>85</v>
      </c>
      <c r="N547" s="16">
        <v>0</v>
      </c>
      <c r="O547" s="16" t="s">
        <v>50</v>
      </c>
      <c r="P547" s="20">
        <v>43</v>
      </c>
      <c r="Q547" s="20" t="s">
        <v>86</v>
      </c>
      <c r="R547" s="21" t="s">
        <v>186</v>
      </c>
      <c r="S547" s="22" t="s">
        <v>187</v>
      </c>
      <c r="T547" s="22" t="s">
        <v>54</v>
      </c>
      <c r="U547" s="23" t="s">
        <v>188</v>
      </c>
      <c r="V547" s="24">
        <v>1.1000000000000001</v>
      </c>
      <c r="W547" s="25">
        <v>1730.3000000000004</v>
      </c>
      <c r="X547" s="26">
        <v>1</v>
      </c>
      <c r="Y547" s="27">
        <v>1.9</v>
      </c>
      <c r="Z547" s="23">
        <v>4</v>
      </c>
      <c r="AA547" s="28">
        <v>0.47499999999999998</v>
      </c>
      <c r="AB547" s="24">
        <v>0</v>
      </c>
      <c r="AC547" s="29">
        <v>0</v>
      </c>
      <c r="AD547" s="30">
        <v>43572</v>
      </c>
      <c r="AE547" s="30">
        <v>43573</v>
      </c>
      <c r="AF547" s="23">
        <v>1</v>
      </c>
      <c r="AG547" s="25" t="s">
        <v>56</v>
      </c>
      <c r="AH547" s="24">
        <v>0</v>
      </c>
      <c r="AI547" s="31">
        <v>0</v>
      </c>
      <c r="AJ547" s="31">
        <v>0</v>
      </c>
      <c r="AK547" s="44">
        <f t="shared" si="16"/>
        <v>1730.3000000000004</v>
      </c>
      <c r="AL547">
        <f>VLOOKUP(A547,'[1]prueba con 16mil datos'!$A$1:$AE$804,31,FALSE)</f>
        <v>1433.25</v>
      </c>
      <c r="AM547">
        <f t="shared" si="17"/>
        <v>0</v>
      </c>
      <c r="AO547">
        <f>VLOOKUP(A547,'[1]Prueba con 19mil datos'!$B$1:$AF$1228,31,FALSE)</f>
        <v>1433.25</v>
      </c>
    </row>
    <row r="548" spans="1:41" hidden="1" x14ac:dyDescent="0.25">
      <c r="A548" s="16" t="s">
        <v>2902</v>
      </c>
      <c r="B548" s="15" t="s">
        <v>40</v>
      </c>
      <c r="C548" s="16">
        <v>1</v>
      </c>
      <c r="D548" s="16" t="s">
        <v>2200</v>
      </c>
      <c r="E548" s="17" t="s">
        <v>42</v>
      </c>
      <c r="F548" s="18" t="s">
        <v>180</v>
      </c>
      <c r="G548" s="18" t="s">
        <v>2201</v>
      </c>
      <c r="H548" s="16" t="s">
        <v>61</v>
      </c>
      <c r="I548" s="19" t="s">
        <v>3</v>
      </c>
      <c r="J548" s="16" t="s">
        <v>12</v>
      </c>
      <c r="K548" s="20" t="s">
        <v>198</v>
      </c>
      <c r="L548" s="20" t="s">
        <v>586</v>
      </c>
      <c r="M548" s="16" t="s">
        <v>118</v>
      </c>
      <c r="N548" s="16">
        <v>0</v>
      </c>
      <c r="O548" s="16" t="s">
        <v>50</v>
      </c>
      <c r="P548" s="20">
        <v>10</v>
      </c>
      <c r="Q548" s="20" t="s">
        <v>65</v>
      </c>
      <c r="R548" s="21" t="s">
        <v>186</v>
      </c>
      <c r="S548" s="22" t="s">
        <v>187</v>
      </c>
      <c r="T548" s="22" t="s">
        <v>54</v>
      </c>
      <c r="U548" s="23" t="s">
        <v>201</v>
      </c>
      <c r="V548" s="24">
        <v>0.8</v>
      </c>
      <c r="W548" s="25">
        <v>1258.4000000000003</v>
      </c>
      <c r="X548" s="26">
        <v>1</v>
      </c>
      <c r="Y548" s="27">
        <v>0.45</v>
      </c>
      <c r="Z548" s="23">
        <v>4</v>
      </c>
      <c r="AA548" s="28">
        <v>0.1125</v>
      </c>
      <c r="AB548" s="24">
        <v>0</v>
      </c>
      <c r="AC548" s="29">
        <v>0</v>
      </c>
      <c r="AD548" s="30">
        <v>43572</v>
      </c>
      <c r="AE548" s="30">
        <v>43572</v>
      </c>
      <c r="AF548" s="23">
        <v>0</v>
      </c>
      <c r="AG548" s="25" t="s">
        <v>56</v>
      </c>
      <c r="AH548" s="24">
        <v>0</v>
      </c>
      <c r="AI548" s="31">
        <v>0</v>
      </c>
      <c r="AJ548" s="31">
        <v>0</v>
      </c>
      <c r="AK548" s="44">
        <f t="shared" si="16"/>
        <v>1258.4000000000003</v>
      </c>
      <c r="AL548">
        <f>VLOOKUP(A548,'[1]prueba con 16mil datos'!$A$1:$AE$804,31,FALSE)</f>
        <v>750.75</v>
      </c>
      <c r="AM548">
        <f t="shared" si="17"/>
        <v>0</v>
      </c>
      <c r="AO548">
        <f>VLOOKUP(A548,'[1]Prueba con 19mil datos'!$B$1:$AF$1228,31,FALSE)</f>
        <v>750.75</v>
      </c>
    </row>
    <row r="549" spans="1:41" hidden="1" x14ac:dyDescent="0.25">
      <c r="A549" s="16" t="s">
        <v>673</v>
      </c>
      <c r="B549" s="15" t="s">
        <v>40</v>
      </c>
      <c r="C549" s="16">
        <v>1</v>
      </c>
      <c r="D549" s="16" t="s">
        <v>2191</v>
      </c>
      <c r="E549" s="17" t="s">
        <v>42</v>
      </c>
      <c r="F549" s="18" t="s">
        <v>122</v>
      </c>
      <c r="G549" s="18" t="s">
        <v>2192</v>
      </c>
      <c r="H549" s="16" t="s">
        <v>192</v>
      </c>
      <c r="I549" s="19" t="s">
        <v>3</v>
      </c>
      <c r="J549" s="16" t="s">
        <v>12</v>
      </c>
      <c r="K549" s="20" t="s">
        <v>198</v>
      </c>
      <c r="L549" s="20" t="s">
        <v>2194</v>
      </c>
      <c r="M549" s="16" t="s">
        <v>1003</v>
      </c>
      <c r="N549" s="16">
        <v>0</v>
      </c>
      <c r="O549" s="16" t="s">
        <v>50</v>
      </c>
      <c r="P549" s="20">
        <v>15</v>
      </c>
      <c r="Q549" s="20" t="s">
        <v>65</v>
      </c>
      <c r="R549" s="21" t="s">
        <v>129</v>
      </c>
      <c r="S549" s="22" t="s">
        <v>130</v>
      </c>
      <c r="T549" s="22" t="s">
        <v>54</v>
      </c>
      <c r="U549" s="23" t="s">
        <v>131</v>
      </c>
      <c r="V549" s="24">
        <v>0.6</v>
      </c>
      <c r="W549" s="25">
        <v>819</v>
      </c>
      <c r="X549" s="26">
        <v>1</v>
      </c>
      <c r="Y549" s="27">
        <v>1.1200000000000001</v>
      </c>
      <c r="Z549" s="23">
        <v>5</v>
      </c>
      <c r="AA549" s="28">
        <v>0.22400000000000003</v>
      </c>
      <c r="AB549" s="24">
        <v>0</v>
      </c>
      <c r="AC549" s="29">
        <v>0</v>
      </c>
      <c r="AD549" s="30">
        <v>43572</v>
      </c>
      <c r="AE549" s="30">
        <v>43572</v>
      </c>
      <c r="AF549" s="23">
        <v>0</v>
      </c>
      <c r="AG549" s="25" t="s">
        <v>56</v>
      </c>
      <c r="AH549" s="24">
        <v>0</v>
      </c>
      <c r="AI549" s="31">
        <v>0</v>
      </c>
      <c r="AJ549" s="31">
        <v>0</v>
      </c>
      <c r="AK549" s="44">
        <f t="shared" si="16"/>
        <v>819</v>
      </c>
      <c r="AL549">
        <f>VLOOKUP(A549,'[1]prueba con 16mil datos'!$A$1:$AE$804,31,FALSE)</f>
        <v>1433.25</v>
      </c>
      <c r="AM549">
        <f t="shared" si="17"/>
        <v>0</v>
      </c>
      <c r="AO549">
        <f>VLOOKUP(A549,'[1]Prueba con 19mil datos'!$B$1:$AF$1228,31,FALSE)</f>
        <v>1092</v>
      </c>
    </row>
    <row r="550" spans="1:41" hidden="1" x14ac:dyDescent="0.25">
      <c r="A550" s="16" t="s">
        <v>673</v>
      </c>
      <c r="B550" s="15" t="s">
        <v>40</v>
      </c>
      <c r="C550" s="16">
        <v>1</v>
      </c>
      <c r="D550" s="16" t="s">
        <v>2215</v>
      </c>
      <c r="E550" s="17" t="s">
        <v>42</v>
      </c>
      <c r="F550" s="18" t="s">
        <v>122</v>
      </c>
      <c r="G550" s="18" t="s">
        <v>2216</v>
      </c>
      <c r="H550" s="16" t="s">
        <v>516</v>
      </c>
      <c r="I550" s="19" t="s">
        <v>3</v>
      </c>
      <c r="J550" s="16" t="s">
        <v>12</v>
      </c>
      <c r="K550" s="20" t="s">
        <v>198</v>
      </c>
      <c r="L550" s="20" t="s">
        <v>371</v>
      </c>
      <c r="M550" s="16" t="s">
        <v>372</v>
      </c>
      <c r="N550" s="16">
        <v>0</v>
      </c>
      <c r="O550" s="16" t="s">
        <v>50</v>
      </c>
      <c r="P550" s="20">
        <v>5</v>
      </c>
      <c r="Q550" s="20" t="s">
        <v>311</v>
      </c>
      <c r="R550" s="21" t="s">
        <v>129</v>
      </c>
      <c r="S550" s="22" t="s">
        <v>130</v>
      </c>
      <c r="T550" s="22" t="s">
        <v>54</v>
      </c>
      <c r="U550" s="23" t="s">
        <v>312</v>
      </c>
      <c r="V550" s="24">
        <v>0</v>
      </c>
      <c r="W550" s="25">
        <v>0</v>
      </c>
      <c r="X550" s="26">
        <v>1</v>
      </c>
      <c r="Y550" s="27">
        <v>1</v>
      </c>
      <c r="Z550" s="23">
        <v>5</v>
      </c>
      <c r="AA550" s="28">
        <v>0.2</v>
      </c>
      <c r="AB550" s="24">
        <v>0</v>
      </c>
      <c r="AC550" s="29">
        <v>0</v>
      </c>
      <c r="AD550" s="30">
        <v>43572</v>
      </c>
      <c r="AE550" s="30">
        <v>43572</v>
      </c>
      <c r="AF550" s="23">
        <v>0</v>
      </c>
      <c r="AG550" s="25" t="s">
        <v>56</v>
      </c>
      <c r="AH550" s="24">
        <v>0</v>
      </c>
      <c r="AI550" s="31">
        <v>0</v>
      </c>
      <c r="AJ550" s="31">
        <v>0</v>
      </c>
      <c r="AK550" s="44">
        <f t="shared" si="16"/>
        <v>0</v>
      </c>
      <c r="AL550">
        <f>VLOOKUP(A550,'[1]prueba con 16mil datos'!$A$1:$AE$804,31,FALSE)</f>
        <v>1433.25</v>
      </c>
      <c r="AM550">
        <f t="shared" si="17"/>
        <v>0</v>
      </c>
      <c r="AO550">
        <f>VLOOKUP(A550,'[1]Prueba con 19mil datos'!$B$1:$AF$1228,31,FALSE)</f>
        <v>1092</v>
      </c>
    </row>
    <row r="551" spans="1:41" hidden="1" x14ac:dyDescent="0.25">
      <c r="A551" s="16" t="s">
        <v>770</v>
      </c>
      <c r="B551" s="15" t="s">
        <v>40</v>
      </c>
      <c r="C551" s="16">
        <v>1</v>
      </c>
      <c r="D551" s="16" t="s">
        <v>2212</v>
      </c>
      <c r="E551" s="17" t="s">
        <v>321</v>
      </c>
      <c r="F551" s="18" t="s">
        <v>204</v>
      </c>
      <c r="G551" s="18" t="s">
        <v>2213</v>
      </c>
      <c r="H551" s="16" t="s">
        <v>377</v>
      </c>
      <c r="I551" s="19" t="s">
        <v>3</v>
      </c>
      <c r="J551" s="16" t="s">
        <v>12</v>
      </c>
      <c r="K551" s="20" t="s">
        <v>378</v>
      </c>
      <c r="L551" s="20" t="s">
        <v>1542</v>
      </c>
      <c r="M551" s="16" t="s">
        <v>105</v>
      </c>
      <c r="N551" s="16">
        <v>0</v>
      </c>
      <c r="O551" s="16" t="s">
        <v>50</v>
      </c>
      <c r="P551" s="20" t="s">
        <v>326</v>
      </c>
      <c r="Q551" s="20" t="s">
        <v>51</v>
      </c>
      <c r="R551" s="21" t="s">
        <v>129</v>
      </c>
      <c r="S551" s="22" t="s">
        <v>130</v>
      </c>
      <c r="T551" s="22" t="s">
        <v>54</v>
      </c>
      <c r="U551" s="23" t="s">
        <v>226</v>
      </c>
      <c r="V551" s="24">
        <v>1</v>
      </c>
      <c r="W551" s="25">
        <v>2047.5</v>
      </c>
      <c r="X551" s="26">
        <v>0</v>
      </c>
      <c r="Y551" s="27">
        <v>5</v>
      </c>
      <c r="Z551" s="23">
        <v>5</v>
      </c>
      <c r="AA551" s="28">
        <v>1</v>
      </c>
      <c r="AB551" s="24">
        <v>0</v>
      </c>
      <c r="AC551" s="29">
        <v>0</v>
      </c>
      <c r="AD551" s="30">
        <v>43572</v>
      </c>
      <c r="AE551" s="30">
        <v>43572</v>
      </c>
      <c r="AF551" s="23">
        <v>0</v>
      </c>
      <c r="AG551" s="25" t="s">
        <v>56</v>
      </c>
      <c r="AH551" s="24">
        <v>0</v>
      </c>
      <c r="AI551" s="31">
        <v>0</v>
      </c>
      <c r="AJ551" s="31">
        <v>0</v>
      </c>
      <c r="AK551" s="44">
        <f t="shared" si="16"/>
        <v>2047.5</v>
      </c>
      <c r="AL551">
        <f>VLOOKUP(A551,'[1]prueba con 16mil datos'!$A$1:$AE$804,31,FALSE)</f>
        <v>1501.5</v>
      </c>
      <c r="AM551">
        <f t="shared" si="17"/>
        <v>0</v>
      </c>
      <c r="AO551">
        <f>VLOOKUP(A551,'[1]Prueba con 19mil datos'!$B$1:$AF$1228,31,FALSE)</f>
        <v>1501.5</v>
      </c>
    </row>
    <row r="552" spans="1:41" hidden="1" x14ac:dyDescent="0.25">
      <c r="A552" s="16" t="s">
        <v>316</v>
      </c>
      <c r="B552" s="15" t="s">
        <v>40</v>
      </c>
      <c r="C552" s="16">
        <v>1</v>
      </c>
      <c r="D552" s="16" t="s">
        <v>2272</v>
      </c>
      <c r="E552" s="17" t="s">
        <v>42</v>
      </c>
      <c r="F552" s="18" t="s">
        <v>122</v>
      </c>
      <c r="G552" s="18" t="s">
        <v>2126</v>
      </c>
      <c r="H552" s="16" t="s">
        <v>61</v>
      </c>
      <c r="I552" s="19" t="s">
        <v>3</v>
      </c>
      <c r="J552" s="16" t="s">
        <v>12</v>
      </c>
      <c r="K552" s="20" t="s">
        <v>198</v>
      </c>
      <c r="L552" s="20" t="s">
        <v>1557</v>
      </c>
      <c r="M552" s="16" t="s">
        <v>469</v>
      </c>
      <c r="N552" s="16">
        <v>0</v>
      </c>
      <c r="O552" s="16" t="s">
        <v>50</v>
      </c>
      <c r="P552" s="20">
        <v>71</v>
      </c>
      <c r="Q552" s="20" t="s">
        <v>51</v>
      </c>
      <c r="R552" s="21" t="s">
        <v>129</v>
      </c>
      <c r="S552" s="22" t="s">
        <v>130</v>
      </c>
      <c r="T552" s="22" t="s">
        <v>54</v>
      </c>
      <c r="U552" s="23" t="s">
        <v>226</v>
      </c>
      <c r="V552" s="24">
        <v>1.1000000000000001</v>
      </c>
      <c r="W552" s="25">
        <v>1501.5000000000002</v>
      </c>
      <c r="X552" s="26">
        <v>1</v>
      </c>
      <c r="Y552" s="27">
        <v>1.75</v>
      </c>
      <c r="Z552" s="23">
        <v>5</v>
      </c>
      <c r="AA552" s="28">
        <v>0.35</v>
      </c>
      <c r="AB552" s="24">
        <v>0</v>
      </c>
      <c r="AC552" s="29">
        <v>0</v>
      </c>
      <c r="AD552" s="30">
        <v>43572</v>
      </c>
      <c r="AE552" s="30">
        <v>43573</v>
      </c>
      <c r="AF552" s="23">
        <v>1</v>
      </c>
      <c r="AG552" s="25" t="s">
        <v>56</v>
      </c>
      <c r="AH552" s="24">
        <v>0</v>
      </c>
      <c r="AI552" s="31">
        <v>0</v>
      </c>
      <c r="AJ552" s="31">
        <v>0</v>
      </c>
      <c r="AK552" s="44">
        <f t="shared" si="16"/>
        <v>1501.5000000000002</v>
      </c>
      <c r="AL552">
        <f>VLOOKUP(A552,'[1]prueba con 16mil datos'!$A$1:$AE$804,31,FALSE)</f>
        <v>1501.5</v>
      </c>
      <c r="AM552">
        <f t="shared" si="17"/>
        <v>1</v>
      </c>
      <c r="AO552">
        <f>VLOOKUP(A552,'[1]Prueba con 19mil datos'!$B$1:$AF$1228,31,FALSE)</f>
        <v>1501.5</v>
      </c>
    </row>
    <row r="553" spans="1:41" hidden="1" x14ac:dyDescent="0.25">
      <c r="A553" s="16" t="s">
        <v>2245</v>
      </c>
      <c r="B553" s="15" t="s">
        <v>40</v>
      </c>
      <c r="C553" s="16">
        <v>1</v>
      </c>
      <c r="D553" s="16" t="s">
        <v>2243</v>
      </c>
      <c r="E553" s="17" t="s">
        <v>42</v>
      </c>
      <c r="F553" s="18" t="s">
        <v>314</v>
      </c>
      <c r="G553" s="18" t="s">
        <v>2244</v>
      </c>
      <c r="H553" s="16" t="s">
        <v>516</v>
      </c>
      <c r="I553" s="19" t="s">
        <v>3</v>
      </c>
      <c r="J553" s="16" t="s">
        <v>12</v>
      </c>
      <c r="K553" s="20" t="s">
        <v>678</v>
      </c>
      <c r="L553" s="20" t="s">
        <v>679</v>
      </c>
      <c r="M553" s="16" t="s">
        <v>118</v>
      </c>
      <c r="N553" s="16">
        <v>0</v>
      </c>
      <c r="O553" s="16" t="s">
        <v>50</v>
      </c>
      <c r="P553" s="20">
        <v>224</v>
      </c>
      <c r="Q553" s="20" t="s">
        <v>51</v>
      </c>
      <c r="R553" s="21" t="s">
        <v>225</v>
      </c>
      <c r="S553" s="22" t="s">
        <v>130</v>
      </c>
      <c r="T553" s="22" t="s">
        <v>54</v>
      </c>
      <c r="U553" s="23" t="s">
        <v>226</v>
      </c>
      <c r="V553" s="24">
        <v>1.1000000000000001</v>
      </c>
      <c r="W553" s="25">
        <v>1501.5000000000002</v>
      </c>
      <c r="X553" s="26">
        <v>1</v>
      </c>
      <c r="Y553" s="27">
        <v>0.8</v>
      </c>
      <c r="Z553" s="23">
        <v>5</v>
      </c>
      <c r="AA553" s="28">
        <v>0.16</v>
      </c>
      <c r="AB553" s="24">
        <v>0</v>
      </c>
      <c r="AC553" s="29">
        <v>0</v>
      </c>
      <c r="AD553" s="30">
        <v>43572</v>
      </c>
      <c r="AE553" s="30">
        <v>43572</v>
      </c>
      <c r="AF553" s="23">
        <v>0</v>
      </c>
      <c r="AG553" s="25" t="s">
        <v>56</v>
      </c>
      <c r="AH553" s="24">
        <v>0</v>
      </c>
      <c r="AI553" s="31">
        <v>0</v>
      </c>
      <c r="AJ553" s="31">
        <v>0</v>
      </c>
      <c r="AK553" s="44">
        <f t="shared" si="16"/>
        <v>1501.5000000000002</v>
      </c>
      <c r="AL553">
        <f>VLOOKUP(A553,'[1]prueba con 16mil datos'!$A$1:$AE$804,31,FALSE)</f>
        <v>1501.5</v>
      </c>
      <c r="AM553">
        <f t="shared" si="17"/>
        <v>1</v>
      </c>
      <c r="AO553">
        <f>VLOOKUP(A553,'[1]Prueba con 19mil datos'!$B$1:$AF$1228,31,FALSE)</f>
        <v>1501.5</v>
      </c>
    </row>
    <row r="554" spans="1:41" hidden="1" x14ac:dyDescent="0.25">
      <c r="A554" s="16" t="s">
        <v>421</v>
      </c>
      <c r="B554" s="15" t="s">
        <v>40</v>
      </c>
      <c r="C554" s="16">
        <v>1</v>
      </c>
      <c r="D554" s="16" t="s">
        <v>2297</v>
      </c>
      <c r="E554" s="17" t="s">
        <v>42</v>
      </c>
      <c r="F554" s="18" t="s">
        <v>1429</v>
      </c>
      <c r="G554" s="18" t="s">
        <v>2298</v>
      </c>
      <c r="H554" s="16" t="s">
        <v>236</v>
      </c>
      <c r="I554" s="19" t="s">
        <v>3</v>
      </c>
      <c r="J554" s="16" t="s">
        <v>12</v>
      </c>
      <c r="K554" s="20" t="s">
        <v>1432</v>
      </c>
      <c r="L554" s="20" t="s">
        <v>2300</v>
      </c>
      <c r="M554" s="16" t="s">
        <v>105</v>
      </c>
      <c r="N554" s="16">
        <v>0</v>
      </c>
      <c r="O554" s="16" t="s">
        <v>50</v>
      </c>
      <c r="P554" s="20">
        <v>155</v>
      </c>
      <c r="Q554" s="20" t="s">
        <v>51</v>
      </c>
      <c r="R554" s="21" t="s">
        <v>225</v>
      </c>
      <c r="S554" s="22" t="s">
        <v>130</v>
      </c>
      <c r="T554" s="22" t="s">
        <v>54</v>
      </c>
      <c r="U554" s="23" t="s">
        <v>226</v>
      </c>
      <c r="V554" s="24">
        <v>1.1000000000000001</v>
      </c>
      <c r="W554" s="25">
        <v>1501.5000000000002</v>
      </c>
      <c r="X554" s="26">
        <v>1</v>
      </c>
      <c r="Y554" s="27">
        <v>1.69</v>
      </c>
      <c r="Z554" s="23">
        <v>5</v>
      </c>
      <c r="AA554" s="28">
        <v>0.33799999999999997</v>
      </c>
      <c r="AB554" s="24">
        <v>0</v>
      </c>
      <c r="AC554" s="29">
        <v>0</v>
      </c>
      <c r="AD554" s="30">
        <v>43572</v>
      </c>
      <c r="AE554" s="30">
        <v>43573</v>
      </c>
      <c r="AF554" s="23">
        <v>1</v>
      </c>
      <c r="AG554" s="25" t="s">
        <v>56</v>
      </c>
      <c r="AH554" s="24">
        <v>0</v>
      </c>
      <c r="AI554" s="31">
        <v>0</v>
      </c>
      <c r="AJ554" s="31">
        <v>0</v>
      </c>
      <c r="AK554" s="44">
        <f t="shared" si="16"/>
        <v>1501.5000000000002</v>
      </c>
      <c r="AL554">
        <f>VLOOKUP(A554,'[1]prueba con 16mil datos'!$A$1:$AE$804,31,FALSE)</f>
        <v>1501.5</v>
      </c>
      <c r="AM554">
        <f t="shared" si="17"/>
        <v>1</v>
      </c>
      <c r="AO554">
        <f>VLOOKUP(A554,'[1]Prueba con 19mil datos'!$B$1:$AF$1228,31,FALSE)</f>
        <v>0</v>
      </c>
    </row>
    <row r="555" spans="1:41" hidden="1" x14ac:dyDescent="0.25">
      <c r="A555" s="16" t="s">
        <v>421</v>
      </c>
      <c r="B555" s="15" t="s">
        <v>40</v>
      </c>
      <c r="C555" s="16">
        <v>1</v>
      </c>
      <c r="D555" s="16" t="s">
        <v>2282</v>
      </c>
      <c r="E555" s="17" t="s">
        <v>42</v>
      </c>
      <c r="F555" s="18" t="s">
        <v>745</v>
      </c>
      <c r="G555" s="18" t="s">
        <v>2283</v>
      </c>
      <c r="H555" s="16" t="s">
        <v>293</v>
      </c>
      <c r="I555" s="19" t="s">
        <v>3</v>
      </c>
      <c r="J555" s="16" t="s">
        <v>12</v>
      </c>
      <c r="K555" s="20" t="s">
        <v>126</v>
      </c>
      <c r="L555" s="20" t="s">
        <v>1142</v>
      </c>
      <c r="M555" s="16" t="s">
        <v>429</v>
      </c>
      <c r="N555" s="16">
        <v>0</v>
      </c>
      <c r="O555" s="16" t="s">
        <v>50</v>
      </c>
      <c r="P555" s="20">
        <v>34</v>
      </c>
      <c r="Q555" s="20" t="s">
        <v>86</v>
      </c>
      <c r="R555" s="21" t="s">
        <v>287</v>
      </c>
      <c r="S555" s="22" t="s">
        <v>288</v>
      </c>
      <c r="T555" s="22" t="s">
        <v>54</v>
      </c>
      <c r="U555" s="23" t="s">
        <v>188</v>
      </c>
      <c r="V555" s="24">
        <v>1.1000000000000001</v>
      </c>
      <c r="W555" s="25">
        <v>1730.3000000000004</v>
      </c>
      <c r="X555" s="26">
        <v>1</v>
      </c>
      <c r="Y555" s="27">
        <v>3.17</v>
      </c>
      <c r="Z555" s="23">
        <v>4</v>
      </c>
      <c r="AA555" s="28">
        <v>0.79249999999999998</v>
      </c>
      <c r="AB555" s="24">
        <v>0</v>
      </c>
      <c r="AC555" s="29">
        <v>0</v>
      </c>
      <c r="AD555" s="30">
        <v>43572</v>
      </c>
      <c r="AE555" s="30">
        <v>43573</v>
      </c>
      <c r="AF555" s="23">
        <v>1</v>
      </c>
      <c r="AG555" s="25" t="s">
        <v>56</v>
      </c>
      <c r="AH555" s="24">
        <v>0</v>
      </c>
      <c r="AI555" s="31">
        <v>0</v>
      </c>
      <c r="AJ555" s="31">
        <v>0</v>
      </c>
      <c r="AK555" s="44">
        <f t="shared" si="16"/>
        <v>1730.3000000000004</v>
      </c>
      <c r="AL555">
        <f>VLOOKUP(A555,'[1]prueba con 16mil datos'!$A$1:$AE$804,31,FALSE)</f>
        <v>1501.5</v>
      </c>
      <c r="AM555">
        <f t="shared" si="17"/>
        <v>0</v>
      </c>
      <c r="AO555">
        <f>VLOOKUP(A555,'[1]Prueba con 19mil datos'!$B$1:$AF$1228,31,FALSE)</f>
        <v>0</v>
      </c>
    </row>
    <row r="556" spans="1:41" hidden="1" x14ac:dyDescent="0.25">
      <c r="A556" s="16" t="s">
        <v>1478</v>
      </c>
      <c r="B556" s="15" t="s">
        <v>40</v>
      </c>
      <c r="C556" s="16">
        <v>1</v>
      </c>
      <c r="D556" s="16" t="s">
        <v>2195</v>
      </c>
      <c r="E556" s="17" t="s">
        <v>42</v>
      </c>
      <c r="F556" s="18" t="s">
        <v>424</v>
      </c>
      <c r="G556" s="18" t="s">
        <v>2196</v>
      </c>
      <c r="H556" s="16" t="s">
        <v>243</v>
      </c>
      <c r="I556" s="19" t="s">
        <v>3</v>
      </c>
      <c r="J556" s="16" t="s">
        <v>12</v>
      </c>
      <c r="K556" s="20" t="s">
        <v>427</v>
      </c>
      <c r="L556" s="20" t="s">
        <v>428</v>
      </c>
      <c r="M556" s="16" t="s">
        <v>429</v>
      </c>
      <c r="N556" s="16">
        <v>0</v>
      </c>
      <c r="O556" s="16" t="s">
        <v>50</v>
      </c>
      <c r="P556" s="20">
        <v>7</v>
      </c>
      <c r="Q556" s="20" t="s">
        <v>65</v>
      </c>
      <c r="R556" s="21" t="s">
        <v>430</v>
      </c>
      <c r="S556" s="22" t="s">
        <v>67</v>
      </c>
      <c r="T556" s="22" t="s">
        <v>54</v>
      </c>
      <c r="U556" s="23" t="s">
        <v>68</v>
      </c>
      <c r="V556" s="24">
        <v>1.05</v>
      </c>
      <c r="W556" s="25">
        <v>2252.25</v>
      </c>
      <c r="X556" s="26">
        <v>1</v>
      </c>
      <c r="Y556" s="27">
        <v>1.1499999999999999</v>
      </c>
      <c r="Z556" s="23">
        <v>3</v>
      </c>
      <c r="AA556" s="28">
        <v>0.3833333333333333</v>
      </c>
      <c r="AB556" s="24">
        <v>0</v>
      </c>
      <c r="AC556" s="29">
        <v>0</v>
      </c>
      <c r="AD556" s="30">
        <v>43572</v>
      </c>
      <c r="AE556" s="30">
        <v>43572</v>
      </c>
      <c r="AF556" s="23">
        <v>0</v>
      </c>
      <c r="AG556" s="25" t="s">
        <v>56</v>
      </c>
      <c r="AH556" s="24">
        <v>0</v>
      </c>
      <c r="AI556" s="31">
        <v>0</v>
      </c>
      <c r="AJ556" s="31">
        <v>0</v>
      </c>
      <c r="AK556" s="44">
        <f t="shared" si="16"/>
        <v>2252.25</v>
      </c>
      <c r="AL556">
        <f>VLOOKUP(A556,'[1]prueba con 16mil datos'!$A$1:$AE$804,31,FALSE)</f>
        <v>1433.25</v>
      </c>
      <c r="AM556">
        <f t="shared" si="17"/>
        <v>0</v>
      </c>
      <c r="AO556">
        <f>VLOOKUP(A556,'[1]Prueba con 19mil datos'!$B$1:$AF$1228,31,FALSE)</f>
        <v>1433.25</v>
      </c>
    </row>
    <row r="557" spans="1:41" hidden="1" x14ac:dyDescent="0.25">
      <c r="A557" s="16" t="s">
        <v>795</v>
      </c>
      <c r="B557" s="15" t="s">
        <v>40</v>
      </c>
      <c r="C557" s="16">
        <v>1</v>
      </c>
      <c r="D557" s="16" t="s">
        <v>2347</v>
      </c>
      <c r="E557" s="17" t="s">
        <v>42</v>
      </c>
      <c r="F557" s="18" t="s">
        <v>471</v>
      </c>
      <c r="G557" s="18" t="s">
        <v>2348</v>
      </c>
      <c r="H557" s="16" t="s">
        <v>301</v>
      </c>
      <c r="I557" s="19" t="s">
        <v>3</v>
      </c>
      <c r="J557" s="16" t="s">
        <v>12</v>
      </c>
      <c r="K557" s="20" t="s">
        <v>265</v>
      </c>
      <c r="L557" s="20" t="s">
        <v>474</v>
      </c>
      <c r="M557" s="16" t="s">
        <v>267</v>
      </c>
      <c r="N557" s="16">
        <v>0</v>
      </c>
      <c r="O557" s="16" t="s">
        <v>50</v>
      </c>
      <c r="P557" s="20">
        <v>0</v>
      </c>
      <c r="Q557" s="20" t="s">
        <v>147</v>
      </c>
      <c r="R557" s="21" t="s">
        <v>186</v>
      </c>
      <c r="S557" s="22" t="s">
        <v>187</v>
      </c>
      <c r="T557" s="22" t="s">
        <v>54</v>
      </c>
      <c r="U557" s="23" t="s">
        <v>389</v>
      </c>
      <c r="V557" s="24">
        <v>0</v>
      </c>
      <c r="W557" s="25">
        <v>0</v>
      </c>
      <c r="X557" s="26">
        <v>1</v>
      </c>
      <c r="Y557" s="27">
        <v>0</v>
      </c>
      <c r="Z557" s="23">
        <v>4</v>
      </c>
      <c r="AA557" s="28">
        <v>0</v>
      </c>
      <c r="AB557" s="24">
        <v>0</v>
      </c>
      <c r="AC557" s="29">
        <v>0</v>
      </c>
      <c r="AD557" s="30">
        <v>43572</v>
      </c>
      <c r="AE557" s="30">
        <v>43574</v>
      </c>
      <c r="AF557" s="23">
        <v>2</v>
      </c>
      <c r="AG557" s="25" t="s">
        <v>202</v>
      </c>
      <c r="AH557" s="24">
        <v>0.25</v>
      </c>
      <c r="AI557" s="31">
        <v>-393.25000000000006</v>
      </c>
      <c r="AJ557" s="31">
        <v>0</v>
      </c>
      <c r="AK557" s="44">
        <f t="shared" si="16"/>
        <v>0</v>
      </c>
      <c r="AL557">
        <f>VLOOKUP(A557,'[1]prueba con 16mil datos'!$A$1:$AE$804,31,FALSE)</f>
        <v>1501.5</v>
      </c>
      <c r="AM557">
        <f t="shared" si="17"/>
        <v>0</v>
      </c>
      <c r="AO557">
        <f>VLOOKUP(A557,'[1]Prueba con 19mil datos'!$B$1:$AF$1228,31,FALSE)</f>
        <v>1501.5</v>
      </c>
    </row>
    <row r="558" spans="1:41" hidden="1" x14ac:dyDescent="0.25">
      <c r="A558" s="16" t="s">
        <v>3095</v>
      </c>
      <c r="B558" s="15" t="s">
        <v>40</v>
      </c>
      <c r="C558" s="16">
        <v>1</v>
      </c>
      <c r="D558" s="16" t="s">
        <v>2288</v>
      </c>
      <c r="E558" s="17" t="s">
        <v>42</v>
      </c>
      <c r="F558" s="18" t="s">
        <v>290</v>
      </c>
      <c r="G558" s="18" t="s">
        <v>2289</v>
      </c>
      <c r="H558" s="16" t="s">
        <v>660</v>
      </c>
      <c r="I558" s="19" t="s">
        <v>3</v>
      </c>
      <c r="J558" s="16" t="s">
        <v>12</v>
      </c>
      <c r="K558" s="20" t="s">
        <v>294</v>
      </c>
      <c r="L558" s="20" t="s">
        <v>2271</v>
      </c>
      <c r="M558" s="16" t="s">
        <v>246</v>
      </c>
      <c r="N558" s="16">
        <v>0</v>
      </c>
      <c r="O558" s="16" t="s">
        <v>50</v>
      </c>
      <c r="P558" s="20">
        <v>180</v>
      </c>
      <c r="Q558" s="20" t="s">
        <v>51</v>
      </c>
      <c r="R558" s="21" t="s">
        <v>129</v>
      </c>
      <c r="S558" s="22" t="s">
        <v>130</v>
      </c>
      <c r="T558" s="22" t="s">
        <v>54</v>
      </c>
      <c r="U558" s="23" t="s">
        <v>226</v>
      </c>
      <c r="V558" s="24">
        <v>1.1000000000000001</v>
      </c>
      <c r="W558" s="25">
        <v>1501.5000000000002</v>
      </c>
      <c r="X558" s="26">
        <v>1</v>
      </c>
      <c r="Y558" s="27">
        <v>1.8</v>
      </c>
      <c r="Z558" s="23">
        <v>5</v>
      </c>
      <c r="AA558" s="28">
        <v>0.36</v>
      </c>
      <c r="AB558" s="24">
        <v>0</v>
      </c>
      <c r="AC558" s="29">
        <v>0</v>
      </c>
      <c r="AD558" s="30">
        <v>43572</v>
      </c>
      <c r="AE558" s="30">
        <v>43573</v>
      </c>
      <c r="AF558" s="23">
        <v>1</v>
      </c>
      <c r="AG558" s="25" t="s">
        <v>56</v>
      </c>
      <c r="AH558" s="24">
        <v>0</v>
      </c>
      <c r="AI558" s="31">
        <v>0</v>
      </c>
      <c r="AJ558" s="31">
        <v>0</v>
      </c>
      <c r="AK558" s="44">
        <f t="shared" si="16"/>
        <v>1501.5000000000002</v>
      </c>
      <c r="AL558" t="e">
        <f>VLOOKUP(A558,'[1]prueba con 16mil datos'!$A$1:$AE$804,31,FALSE)</f>
        <v>#N/A</v>
      </c>
      <c r="AM558" t="e">
        <f t="shared" si="17"/>
        <v>#N/A</v>
      </c>
      <c r="AO558">
        <f>VLOOKUP(A558,'[1]Prueba con 19mil datos'!$B$1:$AF$1228,31,FALSE)</f>
        <v>0</v>
      </c>
    </row>
    <row r="559" spans="1:41" hidden="1" x14ac:dyDescent="0.25">
      <c r="A559" s="16" t="s">
        <v>1547</v>
      </c>
      <c r="B559" s="15" t="s">
        <v>40</v>
      </c>
      <c r="C559" s="16">
        <v>1</v>
      </c>
      <c r="D559" s="16" t="s">
        <v>2237</v>
      </c>
      <c r="E559" s="17" t="s">
        <v>42</v>
      </c>
      <c r="F559" s="18" t="s">
        <v>290</v>
      </c>
      <c r="G559" s="18" t="s">
        <v>2238</v>
      </c>
      <c r="H559" s="16" t="s">
        <v>338</v>
      </c>
      <c r="I559" s="19" t="s">
        <v>3</v>
      </c>
      <c r="J559" s="16" t="s">
        <v>12</v>
      </c>
      <c r="K559" s="20" t="s">
        <v>1462</v>
      </c>
      <c r="L559" s="20" t="s">
        <v>1463</v>
      </c>
      <c r="M559" s="16" t="s">
        <v>340</v>
      </c>
      <c r="N559" s="16">
        <v>0</v>
      </c>
      <c r="O559" s="16" t="s">
        <v>50</v>
      </c>
      <c r="P559" s="20">
        <v>68</v>
      </c>
      <c r="Q559" s="20" t="s">
        <v>51</v>
      </c>
      <c r="R559" s="21" t="s">
        <v>129</v>
      </c>
      <c r="S559" s="22" t="s">
        <v>130</v>
      </c>
      <c r="T559" s="22" t="s">
        <v>54</v>
      </c>
      <c r="U559" s="23" t="s">
        <v>226</v>
      </c>
      <c r="V559" s="24">
        <v>1.1000000000000001</v>
      </c>
      <c r="W559" s="25">
        <v>1501.5000000000002</v>
      </c>
      <c r="X559" s="26">
        <v>1</v>
      </c>
      <c r="Y559" s="27">
        <v>1.0900000000000001</v>
      </c>
      <c r="Z559" s="23">
        <v>5</v>
      </c>
      <c r="AA559" s="28">
        <v>0.21800000000000003</v>
      </c>
      <c r="AB559" s="24">
        <v>0</v>
      </c>
      <c r="AC559" s="29">
        <v>0</v>
      </c>
      <c r="AD559" s="30">
        <v>43572</v>
      </c>
      <c r="AE559" s="30">
        <v>43572</v>
      </c>
      <c r="AF559" s="23">
        <v>0</v>
      </c>
      <c r="AG559" s="25" t="s">
        <v>56</v>
      </c>
      <c r="AH559" s="24">
        <v>0</v>
      </c>
      <c r="AI559" s="31">
        <v>0</v>
      </c>
      <c r="AJ559" s="31">
        <v>0</v>
      </c>
      <c r="AK559" s="44">
        <f t="shared" si="16"/>
        <v>1501.5000000000002</v>
      </c>
      <c r="AL559">
        <f>VLOOKUP(A559,'[1]prueba con 16mil datos'!$A$1:$AE$804,31,FALSE)</f>
        <v>1433.25</v>
      </c>
      <c r="AM559">
        <f t="shared" si="17"/>
        <v>0</v>
      </c>
      <c r="AO559">
        <f>VLOOKUP(A559,'[1]Prueba con 19mil datos'!$B$1:$AF$1228,31,FALSE)</f>
        <v>1433.25</v>
      </c>
    </row>
    <row r="560" spans="1:41" hidden="1" x14ac:dyDescent="0.25">
      <c r="A560" s="16" t="s">
        <v>1886</v>
      </c>
      <c r="B560" s="15" t="s">
        <v>40</v>
      </c>
      <c r="C560" s="16">
        <v>1</v>
      </c>
      <c r="D560" s="16" t="s">
        <v>2265</v>
      </c>
      <c r="E560" s="17" t="s">
        <v>42</v>
      </c>
      <c r="F560" s="18" t="s">
        <v>305</v>
      </c>
      <c r="G560" s="18" t="s">
        <v>2266</v>
      </c>
      <c r="H560" s="16" t="s">
        <v>377</v>
      </c>
      <c r="I560" s="19" t="s">
        <v>3</v>
      </c>
      <c r="J560" s="16" t="s">
        <v>12</v>
      </c>
      <c r="K560" s="20" t="s">
        <v>378</v>
      </c>
      <c r="L560" s="20" t="s">
        <v>1246</v>
      </c>
      <c r="M560" s="16" t="s">
        <v>105</v>
      </c>
      <c r="N560" s="16">
        <v>0</v>
      </c>
      <c r="O560" s="16" t="s">
        <v>50</v>
      </c>
      <c r="P560" s="20">
        <v>1258</v>
      </c>
      <c r="Q560" s="20" t="s">
        <v>51</v>
      </c>
      <c r="R560" s="21" t="s">
        <v>148</v>
      </c>
      <c r="S560" s="22" t="s">
        <v>130</v>
      </c>
      <c r="T560" s="22" t="s">
        <v>54</v>
      </c>
      <c r="U560" s="23" t="s">
        <v>226</v>
      </c>
      <c r="V560" s="24">
        <v>1.1000000000000001</v>
      </c>
      <c r="W560" s="25">
        <v>1501.5000000000002</v>
      </c>
      <c r="X560" s="26">
        <v>1</v>
      </c>
      <c r="Y560" s="27">
        <v>1.3</v>
      </c>
      <c r="Z560" s="23">
        <v>5</v>
      </c>
      <c r="AA560" s="28">
        <v>0.26</v>
      </c>
      <c r="AB560" s="24">
        <v>0</v>
      </c>
      <c r="AC560" s="29">
        <v>0</v>
      </c>
      <c r="AD560" s="30">
        <v>43572</v>
      </c>
      <c r="AE560" s="30">
        <v>43573</v>
      </c>
      <c r="AF560" s="23">
        <v>1</v>
      </c>
      <c r="AG560" s="25" t="s">
        <v>56</v>
      </c>
      <c r="AH560" s="24">
        <v>0</v>
      </c>
      <c r="AI560" s="31">
        <v>0</v>
      </c>
      <c r="AJ560" s="31">
        <v>0</v>
      </c>
      <c r="AK560" s="44">
        <f t="shared" si="16"/>
        <v>1501.5000000000002</v>
      </c>
      <c r="AL560">
        <f>VLOOKUP(A560,'[1]prueba con 16mil datos'!$A$1:$AE$804,31,FALSE)</f>
        <v>1433.25</v>
      </c>
      <c r="AM560">
        <f t="shared" si="17"/>
        <v>0</v>
      </c>
      <c r="AO560">
        <f>VLOOKUP(A560,'[1]Prueba con 19mil datos'!$B$1:$AF$1228,31,FALSE)</f>
        <v>1433.25</v>
      </c>
    </row>
    <row r="561" spans="1:41" hidden="1" x14ac:dyDescent="0.25">
      <c r="A561" s="16" t="s">
        <v>1566</v>
      </c>
      <c r="B561" s="15" t="s">
        <v>40</v>
      </c>
      <c r="C561" s="16">
        <v>1</v>
      </c>
      <c r="D561" s="16" t="s">
        <v>2197</v>
      </c>
      <c r="E561" s="17" t="s">
        <v>42</v>
      </c>
      <c r="F561" s="18" t="s">
        <v>759</v>
      </c>
      <c r="G561" s="18" t="s">
        <v>2198</v>
      </c>
      <c r="H561" s="16" t="s">
        <v>264</v>
      </c>
      <c r="I561" s="19" t="s">
        <v>3</v>
      </c>
      <c r="J561" s="16" t="s">
        <v>12</v>
      </c>
      <c r="K561" s="20" t="s">
        <v>378</v>
      </c>
      <c r="L561" s="20" t="s">
        <v>1684</v>
      </c>
      <c r="M561" s="16" t="s">
        <v>267</v>
      </c>
      <c r="N561" s="16">
        <v>0</v>
      </c>
      <c r="O561" s="16" t="s">
        <v>50</v>
      </c>
      <c r="P561" s="20">
        <v>178</v>
      </c>
      <c r="Q561" s="20" t="s">
        <v>51</v>
      </c>
      <c r="R561" s="21" t="s">
        <v>87</v>
      </c>
      <c r="S561" s="22" t="s">
        <v>53</v>
      </c>
      <c r="T561" s="22" t="s">
        <v>54</v>
      </c>
      <c r="U561" s="23" t="s">
        <v>55</v>
      </c>
      <c r="V561" s="24">
        <v>1.05</v>
      </c>
      <c r="W561" s="25">
        <v>750.75000000000011</v>
      </c>
      <c r="X561" s="26">
        <v>1</v>
      </c>
      <c r="Y561" s="27">
        <v>0</v>
      </c>
      <c r="Z561" s="23">
        <v>5</v>
      </c>
      <c r="AA561" s="28">
        <v>0</v>
      </c>
      <c r="AB561" s="24">
        <v>0</v>
      </c>
      <c r="AC561" s="29">
        <v>0</v>
      </c>
      <c r="AD561" s="30">
        <v>43572</v>
      </c>
      <c r="AE561" s="30">
        <v>43572</v>
      </c>
      <c r="AF561" s="23">
        <v>0</v>
      </c>
      <c r="AG561" s="25" t="s">
        <v>56</v>
      </c>
      <c r="AH561" s="24">
        <v>0</v>
      </c>
      <c r="AI561" s="31">
        <v>0</v>
      </c>
      <c r="AJ561" s="31">
        <v>0</v>
      </c>
      <c r="AK561" s="44">
        <f t="shared" si="16"/>
        <v>750.75000000000011</v>
      </c>
      <c r="AL561">
        <f>VLOOKUP(A561,'[1]prueba con 16mil datos'!$A$1:$AE$804,31,FALSE)</f>
        <v>1501.5</v>
      </c>
      <c r="AM561">
        <f t="shared" si="17"/>
        <v>0</v>
      </c>
      <c r="AO561">
        <f>VLOOKUP(A561,'[1]Prueba con 19mil datos'!$B$1:$AF$1228,31,FALSE)</f>
        <v>1501.5</v>
      </c>
    </row>
    <row r="562" spans="1:41" hidden="1" x14ac:dyDescent="0.25">
      <c r="A562" s="16" t="s">
        <v>1566</v>
      </c>
      <c r="B562" s="15" t="s">
        <v>40</v>
      </c>
      <c r="C562" s="16">
        <v>1</v>
      </c>
      <c r="D562" s="16" t="s">
        <v>2426</v>
      </c>
      <c r="E562" s="17" t="s">
        <v>42</v>
      </c>
      <c r="F562" s="18" t="s">
        <v>1088</v>
      </c>
      <c r="G562" s="18" t="s">
        <v>2427</v>
      </c>
      <c r="H562" s="16" t="s">
        <v>516</v>
      </c>
      <c r="I562" s="19" t="s">
        <v>3</v>
      </c>
      <c r="J562" s="16" t="s">
        <v>12</v>
      </c>
      <c r="K562" s="20" t="s">
        <v>198</v>
      </c>
      <c r="L562" s="20" t="s">
        <v>2429</v>
      </c>
      <c r="M562" s="16" t="s">
        <v>2430</v>
      </c>
      <c r="N562" s="16">
        <v>0</v>
      </c>
      <c r="O562" s="16" t="s">
        <v>50</v>
      </c>
      <c r="P562" s="20">
        <v>123</v>
      </c>
      <c r="Q562" s="20" t="s">
        <v>51</v>
      </c>
      <c r="R562" s="21" t="s">
        <v>186</v>
      </c>
      <c r="S562" s="22" t="s">
        <v>187</v>
      </c>
      <c r="T562" s="22" t="s">
        <v>54</v>
      </c>
      <c r="U562" s="23" t="s">
        <v>550</v>
      </c>
      <c r="V562" s="24">
        <v>1.1499999999999999</v>
      </c>
      <c r="W562" s="25">
        <v>1808.95</v>
      </c>
      <c r="X562" s="26">
        <v>1</v>
      </c>
      <c r="Y562" s="27">
        <v>0</v>
      </c>
      <c r="Z562" s="23">
        <v>4</v>
      </c>
      <c r="AA562" s="28">
        <v>0</v>
      </c>
      <c r="AB562" s="24">
        <v>0</v>
      </c>
      <c r="AC562" s="29">
        <v>0</v>
      </c>
      <c r="AD562" s="30">
        <v>43572</v>
      </c>
      <c r="AE562" s="30">
        <v>43577</v>
      </c>
      <c r="AF562" s="23">
        <v>3</v>
      </c>
      <c r="AG562" s="25" t="s">
        <v>202</v>
      </c>
      <c r="AH562" s="24">
        <v>0.25</v>
      </c>
      <c r="AI562" s="31">
        <v>-393.25000000000006</v>
      </c>
      <c r="AJ562" s="31">
        <v>0</v>
      </c>
      <c r="AK562" s="44">
        <f t="shared" si="16"/>
        <v>1808.95</v>
      </c>
      <c r="AL562">
        <f>VLOOKUP(A562,'[1]prueba con 16mil datos'!$A$1:$AE$804,31,FALSE)</f>
        <v>1501.5</v>
      </c>
      <c r="AM562">
        <f t="shared" si="17"/>
        <v>0</v>
      </c>
      <c r="AO562">
        <f>VLOOKUP(A562,'[1]Prueba con 19mil datos'!$B$1:$AF$1228,31,FALSE)</f>
        <v>1501.5</v>
      </c>
    </row>
    <row r="563" spans="1:41" hidden="1" x14ac:dyDescent="0.25">
      <c r="A563" s="16" t="s">
        <v>2399</v>
      </c>
      <c r="B563" s="15" t="s">
        <v>40</v>
      </c>
      <c r="C563" s="16">
        <v>1</v>
      </c>
      <c r="D563" s="16" t="s">
        <v>2202</v>
      </c>
      <c r="E563" s="17" t="s">
        <v>42</v>
      </c>
      <c r="F563" s="18" t="s">
        <v>140</v>
      </c>
      <c r="G563" s="18" t="s">
        <v>2203</v>
      </c>
      <c r="H563" s="16" t="s">
        <v>293</v>
      </c>
      <c r="I563" s="19" t="s">
        <v>3</v>
      </c>
      <c r="J563" s="16" t="s">
        <v>12</v>
      </c>
      <c r="K563" s="20" t="s">
        <v>1807</v>
      </c>
      <c r="L563" s="20" t="s">
        <v>1808</v>
      </c>
      <c r="M563" s="16" t="s">
        <v>414</v>
      </c>
      <c r="N563" s="16">
        <v>0</v>
      </c>
      <c r="O563" s="16" t="s">
        <v>50</v>
      </c>
      <c r="P563" s="20">
        <v>146</v>
      </c>
      <c r="Q563" s="20" t="s">
        <v>51</v>
      </c>
      <c r="R563" s="21" t="s">
        <v>148</v>
      </c>
      <c r="S563" s="22" t="s">
        <v>130</v>
      </c>
      <c r="T563" s="22" t="s">
        <v>54</v>
      </c>
      <c r="U563" s="23" t="s">
        <v>226</v>
      </c>
      <c r="V563" s="24">
        <v>1.1000000000000001</v>
      </c>
      <c r="W563" s="25">
        <v>1501.5000000000002</v>
      </c>
      <c r="X563" s="26">
        <v>1</v>
      </c>
      <c r="Y563" s="27">
        <v>1.6</v>
      </c>
      <c r="Z563" s="23">
        <v>5</v>
      </c>
      <c r="AA563" s="28">
        <v>0.32</v>
      </c>
      <c r="AB563" s="24">
        <v>0</v>
      </c>
      <c r="AC563" s="29">
        <v>0</v>
      </c>
      <c r="AD563" s="30">
        <v>43572</v>
      </c>
      <c r="AE563" s="30">
        <v>43572</v>
      </c>
      <c r="AF563" s="23">
        <v>0</v>
      </c>
      <c r="AG563" s="25" t="s">
        <v>56</v>
      </c>
      <c r="AH563" s="24">
        <v>0</v>
      </c>
      <c r="AI563" s="31">
        <v>0</v>
      </c>
      <c r="AJ563" s="31">
        <v>0</v>
      </c>
      <c r="AK563" s="44">
        <f t="shared" si="16"/>
        <v>1501.5000000000002</v>
      </c>
      <c r="AL563" t="e">
        <f>VLOOKUP(A563,'[1]prueba con 16mil datos'!$A$1:$AE$804,31,FALSE)</f>
        <v>#N/A</v>
      </c>
      <c r="AM563" t="e">
        <f t="shared" si="17"/>
        <v>#N/A</v>
      </c>
      <c r="AO563">
        <f>VLOOKUP(A563,'[1]Prueba con 19mil datos'!$B$1:$AF$1228,31,FALSE)</f>
        <v>0</v>
      </c>
    </row>
    <row r="564" spans="1:41" hidden="1" x14ac:dyDescent="0.25">
      <c r="A564" s="16" t="s">
        <v>2867</v>
      </c>
      <c r="B564" s="15" t="s">
        <v>40</v>
      </c>
      <c r="C564" s="16">
        <v>1</v>
      </c>
      <c r="D564" s="16" t="s">
        <v>2208</v>
      </c>
      <c r="E564" s="17" t="s">
        <v>42</v>
      </c>
      <c r="F564" s="18" t="s">
        <v>537</v>
      </c>
      <c r="G564" s="18" t="s">
        <v>2209</v>
      </c>
      <c r="H564" s="16" t="s">
        <v>660</v>
      </c>
      <c r="I564" s="19" t="s">
        <v>3</v>
      </c>
      <c r="J564" s="16" t="s">
        <v>12</v>
      </c>
      <c r="K564" s="20" t="s">
        <v>324</v>
      </c>
      <c r="L564" s="20" t="s">
        <v>2211</v>
      </c>
      <c r="M564" s="16" t="s">
        <v>833</v>
      </c>
      <c r="N564" s="16">
        <v>0</v>
      </c>
      <c r="O564" s="16" t="s">
        <v>50</v>
      </c>
      <c r="P564" s="20">
        <v>2693</v>
      </c>
      <c r="Q564" s="20" t="s">
        <v>51</v>
      </c>
      <c r="R564" s="21" t="s">
        <v>129</v>
      </c>
      <c r="S564" s="22" t="s">
        <v>130</v>
      </c>
      <c r="T564" s="22" t="s">
        <v>54</v>
      </c>
      <c r="U564" s="23" t="s">
        <v>226</v>
      </c>
      <c r="V564" s="24">
        <v>1.1000000000000001</v>
      </c>
      <c r="W564" s="25">
        <v>1501.5000000000002</v>
      </c>
      <c r="X564" s="26">
        <v>1</v>
      </c>
      <c r="Y564" s="27">
        <v>2.38</v>
      </c>
      <c r="Z564" s="23">
        <v>5</v>
      </c>
      <c r="AA564" s="28">
        <v>0.47599999999999998</v>
      </c>
      <c r="AB564" s="24">
        <v>0</v>
      </c>
      <c r="AC564" s="29">
        <v>0</v>
      </c>
      <c r="AD564" s="30">
        <v>43572</v>
      </c>
      <c r="AE564" s="30">
        <v>43572</v>
      </c>
      <c r="AF564" s="23">
        <v>0</v>
      </c>
      <c r="AG564" s="25" t="s">
        <v>56</v>
      </c>
      <c r="AH564" s="24">
        <v>0</v>
      </c>
      <c r="AI564" s="31">
        <v>0</v>
      </c>
      <c r="AJ564" s="31">
        <v>0</v>
      </c>
      <c r="AK564" s="44">
        <f t="shared" si="16"/>
        <v>1501.5000000000002</v>
      </c>
      <c r="AL564">
        <f>VLOOKUP(A564,'[1]prueba con 16mil datos'!$A$1:$AE$804,31,FALSE)</f>
        <v>1501.5</v>
      </c>
      <c r="AM564">
        <f t="shared" si="17"/>
        <v>1</v>
      </c>
      <c r="AO564">
        <f>VLOOKUP(A564,'[1]Prueba con 19mil datos'!$B$1:$AF$1228,31,FALSE)</f>
        <v>1501.5</v>
      </c>
    </row>
    <row r="565" spans="1:41" hidden="1" x14ac:dyDescent="0.25">
      <c r="A565" s="16" t="s">
        <v>1431</v>
      </c>
      <c r="B565" s="15" t="s">
        <v>40</v>
      </c>
      <c r="C565" s="16">
        <v>1</v>
      </c>
      <c r="D565" s="16" t="s">
        <v>2449</v>
      </c>
      <c r="E565" s="17" t="s">
        <v>42</v>
      </c>
      <c r="F565" s="18" t="s">
        <v>2450</v>
      </c>
      <c r="G565" s="18" t="s">
        <v>2451</v>
      </c>
      <c r="H565" s="16" t="s">
        <v>192</v>
      </c>
      <c r="I565" s="19" t="s">
        <v>3</v>
      </c>
      <c r="J565" s="16" t="s">
        <v>12</v>
      </c>
      <c r="K565" s="20" t="s">
        <v>2453</v>
      </c>
      <c r="L565" s="20" t="s">
        <v>2454</v>
      </c>
      <c r="M565" s="16" t="s">
        <v>2455</v>
      </c>
      <c r="N565" s="16">
        <v>0</v>
      </c>
      <c r="O565" s="16" t="s">
        <v>50</v>
      </c>
      <c r="P565" s="20">
        <v>33</v>
      </c>
      <c r="Q565" s="20" t="s">
        <v>86</v>
      </c>
      <c r="R565" s="21" t="s">
        <v>851</v>
      </c>
      <c r="S565" s="22" t="s">
        <v>53</v>
      </c>
      <c r="T565" s="22" t="s">
        <v>157</v>
      </c>
      <c r="U565" s="23" t="s">
        <v>88</v>
      </c>
      <c r="V565" s="24">
        <v>0.8</v>
      </c>
      <c r="W565" s="25">
        <v>572.00000000000011</v>
      </c>
      <c r="X565" s="26">
        <v>1</v>
      </c>
      <c r="Y565" s="27">
        <v>2</v>
      </c>
      <c r="Z565" s="23">
        <v>9</v>
      </c>
      <c r="AA565" s="28">
        <v>0.22222222222222221</v>
      </c>
      <c r="AB565" s="24">
        <v>0</v>
      </c>
      <c r="AC565" s="29">
        <v>0</v>
      </c>
      <c r="AD565" s="30">
        <v>43572</v>
      </c>
      <c r="AE565" s="30">
        <v>43577</v>
      </c>
      <c r="AF565" s="23">
        <v>3</v>
      </c>
      <c r="AG565" s="25" t="s">
        <v>202</v>
      </c>
      <c r="AH565" s="24">
        <v>0.25</v>
      </c>
      <c r="AI565" s="31">
        <v>-178.75000000000003</v>
      </c>
      <c r="AJ565" s="31">
        <v>0</v>
      </c>
      <c r="AK565" s="44">
        <f t="shared" si="16"/>
        <v>572.00000000000011</v>
      </c>
      <c r="AL565">
        <f>VLOOKUP(A565,'[1]prueba con 16mil datos'!$A$1:$AE$804,31,FALSE)</f>
        <v>1501.5</v>
      </c>
      <c r="AM565">
        <f t="shared" si="17"/>
        <v>0</v>
      </c>
      <c r="AO565">
        <f>VLOOKUP(A565,'[1]Prueba con 19mil datos'!$B$1:$AF$1228,31,FALSE)</f>
        <v>1501.5</v>
      </c>
    </row>
    <row r="566" spans="1:41" hidden="1" x14ac:dyDescent="0.25">
      <c r="A566" s="16" t="s">
        <v>2299</v>
      </c>
      <c r="B566" s="15" t="s">
        <v>40</v>
      </c>
      <c r="C566" s="16">
        <v>1</v>
      </c>
      <c r="D566" s="16" t="s">
        <v>2205</v>
      </c>
      <c r="E566" s="17" t="s">
        <v>42</v>
      </c>
      <c r="F566" s="18" t="s">
        <v>275</v>
      </c>
      <c r="G566" s="18" t="s">
        <v>2206</v>
      </c>
      <c r="H566" s="16" t="s">
        <v>183</v>
      </c>
      <c r="I566" s="19" t="s">
        <v>3</v>
      </c>
      <c r="J566" s="16" t="s">
        <v>12</v>
      </c>
      <c r="K566" s="20" t="s">
        <v>126</v>
      </c>
      <c r="L566" s="20" t="s">
        <v>184</v>
      </c>
      <c r="M566" s="16" t="s">
        <v>185</v>
      </c>
      <c r="N566" s="16">
        <v>1</v>
      </c>
      <c r="O566" s="16" t="s">
        <v>50</v>
      </c>
      <c r="P566" s="20">
        <v>32</v>
      </c>
      <c r="Q566" s="20" t="s">
        <v>86</v>
      </c>
      <c r="R566" s="21" t="s">
        <v>279</v>
      </c>
      <c r="S566" s="22" t="s">
        <v>187</v>
      </c>
      <c r="T566" s="22" t="s">
        <v>54</v>
      </c>
      <c r="U566" s="23" t="s">
        <v>188</v>
      </c>
      <c r="V566" s="24">
        <v>1.1000000000000001</v>
      </c>
      <c r="W566" s="25">
        <v>0</v>
      </c>
      <c r="X566" s="26">
        <v>1</v>
      </c>
      <c r="Y566" s="27">
        <v>4.6666666666666661</v>
      </c>
      <c r="Z566" s="23">
        <v>4</v>
      </c>
      <c r="AA566" s="28">
        <v>1.1666666666666665</v>
      </c>
      <c r="AB566" s="24">
        <v>4.166666666666663E-2</v>
      </c>
      <c r="AC566" s="29">
        <v>-65.541666666666615</v>
      </c>
      <c r="AD566" s="30">
        <v>43572</v>
      </c>
      <c r="AE566" s="30">
        <v>43572</v>
      </c>
      <c r="AF566" s="23">
        <v>0</v>
      </c>
      <c r="AG566" s="25" t="s">
        <v>56</v>
      </c>
      <c r="AH566" s="24">
        <v>0</v>
      </c>
      <c r="AI566" s="31">
        <v>0</v>
      </c>
      <c r="AJ566" s="31">
        <v>0</v>
      </c>
      <c r="AK566" s="44">
        <f t="shared" si="16"/>
        <v>-65.541666666666615</v>
      </c>
      <c r="AL566">
        <f>VLOOKUP(A566,'[1]prueba con 16mil datos'!$A$1:$AE$804,31,FALSE)</f>
        <v>1501.5</v>
      </c>
      <c r="AM566">
        <f t="shared" si="17"/>
        <v>0</v>
      </c>
      <c r="AO566">
        <f>VLOOKUP(A566,'[1]Prueba con 19mil datos'!$B$1:$AF$1228,31,FALSE)</f>
        <v>1501.5</v>
      </c>
    </row>
    <row r="567" spans="1:41" hidden="1" x14ac:dyDescent="0.25">
      <c r="A567" s="16" t="s">
        <v>3007</v>
      </c>
      <c r="B567" s="15" t="s">
        <v>40</v>
      </c>
      <c r="C567" s="16">
        <v>1</v>
      </c>
      <c r="D567" s="16" t="s">
        <v>2221</v>
      </c>
      <c r="E567" s="17" t="s">
        <v>42</v>
      </c>
      <c r="F567" s="18" t="s">
        <v>381</v>
      </c>
      <c r="G567" s="18" t="s">
        <v>2222</v>
      </c>
      <c r="H567" s="16" t="s">
        <v>183</v>
      </c>
      <c r="I567" s="19" t="s">
        <v>3</v>
      </c>
      <c r="J567" s="16" t="s">
        <v>12</v>
      </c>
      <c r="K567" s="20" t="s">
        <v>154</v>
      </c>
      <c r="L567" s="20" t="s">
        <v>2224</v>
      </c>
      <c r="M567" s="16" t="s">
        <v>2225</v>
      </c>
      <c r="N567" s="16">
        <v>1</v>
      </c>
      <c r="O567" s="16" t="s">
        <v>50</v>
      </c>
      <c r="P567" s="20">
        <v>240</v>
      </c>
      <c r="Q567" s="20" t="s">
        <v>51</v>
      </c>
      <c r="R567" s="21" t="s">
        <v>77</v>
      </c>
      <c r="S567" s="22" t="s">
        <v>53</v>
      </c>
      <c r="T567" s="22" t="s">
        <v>54</v>
      </c>
      <c r="U567" s="23" t="s">
        <v>55</v>
      </c>
      <c r="V567" s="24">
        <v>1.05</v>
      </c>
      <c r="W567" s="25">
        <v>0</v>
      </c>
      <c r="X567" s="26">
        <v>1</v>
      </c>
      <c r="Y567" s="27">
        <v>1.46</v>
      </c>
      <c r="Z567" s="23">
        <v>5</v>
      </c>
      <c r="AA567" s="28">
        <v>0.29199999999999998</v>
      </c>
      <c r="AB567" s="24">
        <v>0</v>
      </c>
      <c r="AC567" s="29">
        <v>0</v>
      </c>
      <c r="AD567" s="30">
        <v>43572</v>
      </c>
      <c r="AE567" s="30">
        <v>43572</v>
      </c>
      <c r="AF567" s="23">
        <v>0</v>
      </c>
      <c r="AG567" s="25" t="s">
        <v>56</v>
      </c>
      <c r="AH567" s="24">
        <v>0</v>
      </c>
      <c r="AI567" s="31">
        <v>0</v>
      </c>
      <c r="AJ567" s="31">
        <v>0</v>
      </c>
      <c r="AK567" s="44">
        <f t="shared" si="16"/>
        <v>0</v>
      </c>
      <c r="AL567">
        <f>VLOOKUP(A567,'[1]prueba con 16mil datos'!$A$1:$AE$804,31,FALSE)</f>
        <v>1808.95</v>
      </c>
      <c r="AM567">
        <f t="shared" si="17"/>
        <v>0</v>
      </c>
      <c r="AO567">
        <f>VLOOKUP(A567,'[1]Prueba con 19mil datos'!$B$1:$AF$1228,31,FALSE)</f>
        <v>1808.95</v>
      </c>
    </row>
    <row r="568" spans="1:41" hidden="1" x14ac:dyDescent="0.25">
      <c r="A568" s="16" t="s">
        <v>747</v>
      </c>
      <c r="B568" s="15" t="s">
        <v>40</v>
      </c>
      <c r="C568" s="16">
        <v>1</v>
      </c>
      <c r="D568" s="16" t="s">
        <v>2230</v>
      </c>
      <c r="E568" s="17" t="s">
        <v>42</v>
      </c>
      <c r="F568" s="18" t="s">
        <v>140</v>
      </c>
      <c r="G568" s="18" t="s">
        <v>2231</v>
      </c>
      <c r="H568" s="16" t="s">
        <v>135</v>
      </c>
      <c r="I568" s="19" t="s">
        <v>3</v>
      </c>
      <c r="J568" s="16" t="s">
        <v>12</v>
      </c>
      <c r="K568" s="20" t="s">
        <v>161</v>
      </c>
      <c r="L568" s="20" t="s">
        <v>162</v>
      </c>
      <c r="M568" s="16" t="s">
        <v>163</v>
      </c>
      <c r="N568" s="16">
        <v>1</v>
      </c>
      <c r="O568" s="16" t="s">
        <v>97</v>
      </c>
      <c r="P568" s="20">
        <v>34</v>
      </c>
      <c r="Q568" s="20" t="s">
        <v>86</v>
      </c>
      <c r="R568" s="21" t="s">
        <v>148</v>
      </c>
      <c r="S568" s="22" t="s">
        <v>130</v>
      </c>
      <c r="T568" s="22" t="s">
        <v>54</v>
      </c>
      <c r="U568" s="23" t="s">
        <v>178</v>
      </c>
      <c r="V568" s="24">
        <v>1.05</v>
      </c>
      <c r="W568" s="25">
        <v>0</v>
      </c>
      <c r="X568" s="26">
        <v>1</v>
      </c>
      <c r="Y568" s="27">
        <v>1.41</v>
      </c>
      <c r="Z568" s="23">
        <v>5</v>
      </c>
      <c r="AA568" s="28">
        <v>0.28199999999999997</v>
      </c>
      <c r="AB568" s="24">
        <v>0</v>
      </c>
      <c r="AC568" s="29">
        <v>0</v>
      </c>
      <c r="AD568" s="30">
        <v>43572</v>
      </c>
      <c r="AE568" s="30">
        <v>43572</v>
      </c>
      <c r="AF568" s="23">
        <v>0</v>
      </c>
      <c r="AG568" s="25" t="s">
        <v>56</v>
      </c>
      <c r="AH568" s="24">
        <v>0</v>
      </c>
      <c r="AI568" s="31">
        <v>0</v>
      </c>
      <c r="AJ568" s="31">
        <v>0</v>
      </c>
      <c r="AK568" s="44">
        <f t="shared" si="16"/>
        <v>0</v>
      </c>
      <c r="AL568">
        <f>VLOOKUP(A568,'[1]prueba con 16mil datos'!$A$1:$AE$804,31,FALSE)</f>
        <v>1573</v>
      </c>
      <c r="AM568">
        <f t="shared" si="17"/>
        <v>0</v>
      </c>
      <c r="AO568">
        <f>VLOOKUP(A568,'[1]Prueba con 19mil datos'!$B$1:$AF$1228,31,FALSE)</f>
        <v>1573</v>
      </c>
    </row>
    <row r="569" spans="1:41" hidden="1" x14ac:dyDescent="0.25">
      <c r="A569" s="16" t="s">
        <v>747</v>
      </c>
      <c r="B569" s="15" t="s">
        <v>40</v>
      </c>
      <c r="C569" s="16">
        <v>1</v>
      </c>
      <c r="D569" s="16" t="s">
        <v>2260</v>
      </c>
      <c r="E569" s="17" t="s">
        <v>42</v>
      </c>
      <c r="F569" s="18" t="s">
        <v>140</v>
      </c>
      <c r="G569" s="18" t="s">
        <v>2261</v>
      </c>
      <c r="H569" s="16" t="s">
        <v>93</v>
      </c>
      <c r="I569" s="19" t="s">
        <v>3</v>
      </c>
      <c r="J569" s="16" t="s">
        <v>12</v>
      </c>
      <c r="K569" s="20" t="s">
        <v>161</v>
      </c>
      <c r="L569" s="20" t="s">
        <v>590</v>
      </c>
      <c r="M569" s="16" t="s">
        <v>591</v>
      </c>
      <c r="N569" s="16">
        <v>1</v>
      </c>
      <c r="O569" s="16" t="s">
        <v>97</v>
      </c>
      <c r="P569" s="20">
        <v>63</v>
      </c>
      <c r="Q569" s="20" t="s">
        <v>51</v>
      </c>
      <c r="R569" s="21" t="s">
        <v>148</v>
      </c>
      <c r="S569" s="22" t="s">
        <v>130</v>
      </c>
      <c r="T569" s="22" t="s">
        <v>54</v>
      </c>
      <c r="U569" s="23" t="s">
        <v>226</v>
      </c>
      <c r="V569" s="24">
        <v>1.1000000000000001</v>
      </c>
      <c r="W569" s="25">
        <v>0</v>
      </c>
      <c r="X569" s="26">
        <v>1</v>
      </c>
      <c r="Y569" s="27">
        <v>1.38</v>
      </c>
      <c r="Z569" s="23">
        <v>5</v>
      </c>
      <c r="AA569" s="28">
        <v>0.27599999999999997</v>
      </c>
      <c r="AB569" s="24">
        <v>0</v>
      </c>
      <c r="AC569" s="29">
        <v>0</v>
      </c>
      <c r="AD569" s="30">
        <v>43572</v>
      </c>
      <c r="AE569" s="30">
        <v>43573</v>
      </c>
      <c r="AF569" s="23">
        <v>1</v>
      </c>
      <c r="AG569" s="25" t="s">
        <v>56</v>
      </c>
      <c r="AH569" s="24">
        <v>0</v>
      </c>
      <c r="AI569" s="31">
        <v>0</v>
      </c>
      <c r="AJ569" s="31">
        <v>0</v>
      </c>
      <c r="AK569" s="44">
        <f t="shared" si="16"/>
        <v>0</v>
      </c>
      <c r="AL569">
        <f>VLOOKUP(A569,'[1]prueba con 16mil datos'!$A$1:$AE$804,31,FALSE)</f>
        <v>1573</v>
      </c>
      <c r="AM569">
        <f t="shared" si="17"/>
        <v>0</v>
      </c>
      <c r="AO569">
        <f>VLOOKUP(A569,'[1]Prueba con 19mil datos'!$B$1:$AF$1228,31,FALSE)</f>
        <v>1573</v>
      </c>
    </row>
    <row r="570" spans="1:41" hidden="1" x14ac:dyDescent="0.25">
      <c r="A570" s="16" t="s">
        <v>1315</v>
      </c>
      <c r="B570" s="15" t="s">
        <v>40</v>
      </c>
      <c r="C570" s="16">
        <v>1</v>
      </c>
      <c r="D570" s="16" t="s">
        <v>2263</v>
      </c>
      <c r="E570" s="17" t="s">
        <v>42</v>
      </c>
      <c r="F570" s="18" t="s">
        <v>449</v>
      </c>
      <c r="G570" s="18" t="s">
        <v>2264</v>
      </c>
      <c r="H570" s="16" t="s">
        <v>331</v>
      </c>
      <c r="I570" s="19" t="s">
        <v>3</v>
      </c>
      <c r="J570" s="16" t="s">
        <v>12</v>
      </c>
      <c r="K570" s="20" t="s">
        <v>452</v>
      </c>
      <c r="L570" s="20" t="s">
        <v>453</v>
      </c>
      <c r="M570" s="16" t="s">
        <v>454</v>
      </c>
      <c r="N570" s="16">
        <v>1</v>
      </c>
      <c r="O570" s="16" t="s">
        <v>50</v>
      </c>
      <c r="P570" s="20">
        <v>9</v>
      </c>
      <c r="Q570" s="20" t="s">
        <v>65</v>
      </c>
      <c r="R570" s="21" t="s">
        <v>186</v>
      </c>
      <c r="S570" s="22" t="s">
        <v>187</v>
      </c>
      <c r="T570" s="22" t="s">
        <v>54</v>
      </c>
      <c r="U570" s="23" t="s">
        <v>201</v>
      </c>
      <c r="V570" s="24">
        <v>0.8</v>
      </c>
      <c r="W570" s="25">
        <v>0</v>
      </c>
      <c r="X570" s="26">
        <v>1</v>
      </c>
      <c r="Y570" s="27">
        <v>0.35</v>
      </c>
      <c r="Z570" s="23">
        <v>4</v>
      </c>
      <c r="AA570" s="28">
        <v>8.7499999999999994E-2</v>
      </c>
      <c r="AB570" s="24">
        <v>0</v>
      </c>
      <c r="AC570" s="29">
        <v>0</v>
      </c>
      <c r="AD570" s="30">
        <v>43572</v>
      </c>
      <c r="AE570" s="30">
        <v>43573</v>
      </c>
      <c r="AF570" s="23">
        <v>1</v>
      </c>
      <c r="AG570" s="25" t="s">
        <v>56</v>
      </c>
      <c r="AH570" s="24">
        <v>0</v>
      </c>
      <c r="AI570" s="31">
        <v>0</v>
      </c>
      <c r="AJ570" s="31">
        <v>0</v>
      </c>
      <c r="AK570" s="44">
        <f t="shared" si="16"/>
        <v>0</v>
      </c>
      <c r="AL570">
        <f>VLOOKUP(A570,'[1]prueba con 16mil datos'!$A$1:$AE$804,31,FALSE)</f>
        <v>1651.65</v>
      </c>
      <c r="AM570">
        <f t="shared" si="17"/>
        <v>0</v>
      </c>
      <c r="AO570">
        <f>VLOOKUP(A570,'[1]Prueba con 19mil datos'!$B$1:$AF$1228,31,FALSE)</f>
        <v>1651.65</v>
      </c>
    </row>
    <row r="571" spans="1:41" hidden="1" x14ac:dyDescent="0.25">
      <c r="A571" s="16" t="s">
        <v>1062</v>
      </c>
      <c r="B571" s="15" t="s">
        <v>40</v>
      </c>
      <c r="C571" s="16">
        <v>1</v>
      </c>
      <c r="D571" s="16" t="s">
        <v>2274</v>
      </c>
      <c r="E571" s="17" t="s">
        <v>42</v>
      </c>
      <c r="F571" s="18" t="s">
        <v>90</v>
      </c>
      <c r="G571" s="18" t="s">
        <v>2275</v>
      </c>
      <c r="H571" s="16" t="s">
        <v>1739</v>
      </c>
      <c r="I571" s="19" t="s">
        <v>3</v>
      </c>
      <c r="J571" s="16" t="s">
        <v>12</v>
      </c>
      <c r="K571" s="20" t="s">
        <v>94</v>
      </c>
      <c r="L571" s="20" t="s">
        <v>95</v>
      </c>
      <c r="M571" s="16" t="s">
        <v>96</v>
      </c>
      <c r="N571" s="16">
        <v>1</v>
      </c>
      <c r="O571" s="16" t="s">
        <v>97</v>
      </c>
      <c r="P571" s="20">
        <v>2693</v>
      </c>
      <c r="Q571" s="20" t="s">
        <v>51</v>
      </c>
      <c r="R571" s="21" t="s">
        <v>77</v>
      </c>
      <c r="S571" s="22" t="s">
        <v>53</v>
      </c>
      <c r="T571" s="22" t="s">
        <v>54</v>
      </c>
      <c r="U571" s="23" t="s">
        <v>55</v>
      </c>
      <c r="V571" s="24">
        <v>1.05</v>
      </c>
      <c r="W571" s="25">
        <v>0</v>
      </c>
      <c r="X571" s="26">
        <v>1</v>
      </c>
      <c r="Y571" s="27">
        <v>2.2200000000000002</v>
      </c>
      <c r="Z571" s="23">
        <v>5</v>
      </c>
      <c r="AA571" s="28">
        <v>0.44400000000000006</v>
      </c>
      <c r="AB571" s="24">
        <v>0</v>
      </c>
      <c r="AC571" s="29">
        <v>0</v>
      </c>
      <c r="AD571" s="30">
        <v>43572</v>
      </c>
      <c r="AE571" s="30">
        <v>43573</v>
      </c>
      <c r="AF571" s="23">
        <v>1</v>
      </c>
      <c r="AG571" s="25" t="s">
        <v>56</v>
      </c>
      <c r="AH571" s="24">
        <v>0</v>
      </c>
      <c r="AI571" s="31">
        <v>0</v>
      </c>
      <c r="AJ571" s="31">
        <v>0</v>
      </c>
      <c r="AK571" s="44">
        <f t="shared" si="16"/>
        <v>0</v>
      </c>
      <c r="AL571">
        <f>VLOOKUP(A571,'[1]prueba con 16mil datos'!$A$1:$AE$804,31,FALSE)</f>
        <v>1573</v>
      </c>
      <c r="AM571">
        <f t="shared" si="17"/>
        <v>0</v>
      </c>
      <c r="AO571">
        <f>VLOOKUP(A571,'[1]Prueba con 19mil datos'!$B$1:$AF$1228,31,FALSE)</f>
        <v>1573</v>
      </c>
    </row>
    <row r="572" spans="1:41" hidden="1" x14ac:dyDescent="0.25">
      <c r="A572" s="16" t="s">
        <v>1062</v>
      </c>
      <c r="B572" s="15" t="s">
        <v>40</v>
      </c>
      <c r="C572" s="16">
        <v>1</v>
      </c>
      <c r="D572" s="16" t="s">
        <v>2332</v>
      </c>
      <c r="E572" s="17" t="s">
        <v>42</v>
      </c>
      <c r="F572" s="18" t="s">
        <v>391</v>
      </c>
      <c r="G572" s="18" t="s">
        <v>2333</v>
      </c>
      <c r="H572" s="16" t="s">
        <v>243</v>
      </c>
      <c r="I572" s="19" t="s">
        <v>3</v>
      </c>
      <c r="J572" s="16" t="s">
        <v>12</v>
      </c>
      <c r="K572" s="20" t="s">
        <v>198</v>
      </c>
      <c r="L572" s="20" t="s">
        <v>2111</v>
      </c>
      <c r="M572" s="16" t="s">
        <v>429</v>
      </c>
      <c r="N572" s="16">
        <v>0</v>
      </c>
      <c r="O572" s="16" t="s">
        <v>50</v>
      </c>
      <c r="P572" s="20">
        <v>41</v>
      </c>
      <c r="Q572" s="20" t="s">
        <v>86</v>
      </c>
      <c r="R572" s="21" t="s">
        <v>129</v>
      </c>
      <c r="S572" s="22" t="s">
        <v>130</v>
      </c>
      <c r="T572" s="22" t="s">
        <v>54</v>
      </c>
      <c r="U572" s="23" t="s">
        <v>178</v>
      </c>
      <c r="V572" s="24">
        <v>1.05</v>
      </c>
      <c r="W572" s="25">
        <v>1433.25</v>
      </c>
      <c r="X572" s="26">
        <v>1</v>
      </c>
      <c r="Y572" s="27">
        <v>2.95</v>
      </c>
      <c r="Z572" s="23">
        <v>5</v>
      </c>
      <c r="AA572" s="28">
        <v>0.59000000000000008</v>
      </c>
      <c r="AB572" s="24">
        <v>0</v>
      </c>
      <c r="AC572" s="29">
        <v>0</v>
      </c>
      <c r="AD572" s="30">
        <v>43573</v>
      </c>
      <c r="AE572" s="30">
        <v>43573</v>
      </c>
      <c r="AF572" s="23">
        <v>0</v>
      </c>
      <c r="AG572" s="25" t="s">
        <v>56</v>
      </c>
      <c r="AH572" s="24">
        <v>0</v>
      </c>
      <c r="AI572" s="31">
        <v>0</v>
      </c>
      <c r="AJ572" s="31">
        <v>0</v>
      </c>
      <c r="AK572" s="44">
        <f t="shared" si="16"/>
        <v>1433.25</v>
      </c>
      <c r="AL572">
        <f>VLOOKUP(A572,'[1]prueba con 16mil datos'!$A$1:$AE$804,31,FALSE)</f>
        <v>1573</v>
      </c>
      <c r="AM572">
        <f t="shared" si="17"/>
        <v>0</v>
      </c>
      <c r="AO572">
        <f>VLOOKUP(A572,'[1]Prueba con 19mil datos'!$B$1:$AF$1228,31,FALSE)</f>
        <v>1573</v>
      </c>
    </row>
    <row r="573" spans="1:41" hidden="1" x14ac:dyDescent="0.25">
      <c r="A573" s="16" t="s">
        <v>2999</v>
      </c>
      <c r="B573" s="15" t="s">
        <v>40</v>
      </c>
      <c r="C573" s="16">
        <v>1</v>
      </c>
      <c r="D573" s="16" t="s">
        <v>2345</v>
      </c>
      <c r="E573" s="17" t="s">
        <v>42</v>
      </c>
      <c r="F573" s="18" t="s">
        <v>391</v>
      </c>
      <c r="G573" s="18" t="s">
        <v>2346</v>
      </c>
      <c r="H573" s="16" t="s">
        <v>243</v>
      </c>
      <c r="I573" s="19" t="s">
        <v>3</v>
      </c>
      <c r="J573" s="16" t="s">
        <v>12</v>
      </c>
      <c r="K573" s="20" t="s">
        <v>198</v>
      </c>
      <c r="L573" s="20" t="s">
        <v>860</v>
      </c>
      <c r="M573" s="16" t="s">
        <v>429</v>
      </c>
      <c r="N573" s="16">
        <v>0</v>
      </c>
      <c r="O573" s="16" t="s">
        <v>50</v>
      </c>
      <c r="P573" s="20">
        <v>3</v>
      </c>
      <c r="Q573" s="20" t="s">
        <v>147</v>
      </c>
      <c r="R573" s="21" t="s">
        <v>129</v>
      </c>
      <c r="S573" s="22" t="s">
        <v>130</v>
      </c>
      <c r="T573" s="22" t="s">
        <v>54</v>
      </c>
      <c r="U573" s="23" t="s">
        <v>149</v>
      </c>
      <c r="V573" s="24">
        <v>0</v>
      </c>
      <c r="W573" s="25">
        <v>0</v>
      </c>
      <c r="X573" s="26">
        <v>1</v>
      </c>
      <c r="Y573" s="27">
        <v>0</v>
      </c>
      <c r="Z573" s="23">
        <v>5</v>
      </c>
      <c r="AA573" s="28">
        <v>0</v>
      </c>
      <c r="AB573" s="24">
        <v>0</v>
      </c>
      <c r="AC573" s="29">
        <v>0</v>
      </c>
      <c r="AD573" s="30">
        <v>43573</v>
      </c>
      <c r="AE573" s="30">
        <v>43574</v>
      </c>
      <c r="AF573" s="23">
        <v>1</v>
      </c>
      <c r="AG573" s="25" t="s">
        <v>56</v>
      </c>
      <c r="AH573" s="24">
        <v>0</v>
      </c>
      <c r="AI573" s="31">
        <v>0</v>
      </c>
      <c r="AJ573" s="31">
        <v>0</v>
      </c>
      <c r="AK573" s="44">
        <f t="shared" si="16"/>
        <v>0</v>
      </c>
      <c r="AL573">
        <f>VLOOKUP(A573,'[1]prueba con 16mil datos'!$A$1:$AE$804,31,FALSE)</f>
        <v>1730.3</v>
      </c>
      <c r="AM573">
        <f t="shared" si="17"/>
        <v>0</v>
      </c>
      <c r="AO573">
        <f>VLOOKUP(A573,'[1]Prueba con 19mil datos'!$B$1:$AF$1228,31,FALSE)</f>
        <v>1651.65</v>
      </c>
    </row>
    <row r="574" spans="1:41" hidden="1" x14ac:dyDescent="0.25">
      <c r="A574" s="16" t="s">
        <v>1726</v>
      </c>
      <c r="B574" s="15" t="s">
        <v>40</v>
      </c>
      <c r="C574" s="16">
        <v>1</v>
      </c>
      <c r="D574" s="16" t="s">
        <v>2329</v>
      </c>
      <c r="E574" s="17" t="s">
        <v>42</v>
      </c>
      <c r="F574" s="18" t="s">
        <v>1774</v>
      </c>
      <c r="G574" s="18" t="s">
        <v>2330</v>
      </c>
      <c r="H574" s="16" t="s">
        <v>168</v>
      </c>
      <c r="I574" s="19" t="s">
        <v>3</v>
      </c>
      <c r="J574" s="16" t="s">
        <v>12</v>
      </c>
      <c r="K574" s="20" t="s">
        <v>83</v>
      </c>
      <c r="L574" s="20" t="s">
        <v>1028</v>
      </c>
      <c r="M574" s="16" t="s">
        <v>171</v>
      </c>
      <c r="N574" s="16">
        <v>0</v>
      </c>
      <c r="O574" s="16" t="s">
        <v>50</v>
      </c>
      <c r="P574" s="20">
        <v>63</v>
      </c>
      <c r="Q574" s="20" t="s">
        <v>51</v>
      </c>
      <c r="R574" s="21" t="s">
        <v>225</v>
      </c>
      <c r="S574" s="22" t="s">
        <v>130</v>
      </c>
      <c r="T574" s="22" t="s">
        <v>54</v>
      </c>
      <c r="U574" s="23" t="s">
        <v>226</v>
      </c>
      <c r="V574" s="24">
        <v>1.1000000000000001</v>
      </c>
      <c r="W574" s="25">
        <v>1501.5000000000002</v>
      </c>
      <c r="X574" s="26">
        <v>1</v>
      </c>
      <c r="Y574" s="27">
        <v>0.11</v>
      </c>
      <c r="Z574" s="23">
        <v>5</v>
      </c>
      <c r="AA574" s="28">
        <v>2.1999999999999999E-2</v>
      </c>
      <c r="AB574" s="24">
        <v>0</v>
      </c>
      <c r="AC574" s="29">
        <v>0</v>
      </c>
      <c r="AD574" s="30">
        <v>43573</v>
      </c>
      <c r="AE574" s="30">
        <v>43573</v>
      </c>
      <c r="AF574" s="23">
        <v>0</v>
      </c>
      <c r="AG574" s="25" t="s">
        <v>56</v>
      </c>
      <c r="AH574" s="24">
        <v>0</v>
      </c>
      <c r="AI574" s="31">
        <v>0</v>
      </c>
      <c r="AJ574" s="31">
        <v>0</v>
      </c>
      <c r="AK574" s="44">
        <f t="shared" si="16"/>
        <v>1501.5000000000002</v>
      </c>
      <c r="AL574">
        <f>VLOOKUP(A574,'[1]prueba con 16mil datos'!$A$1:$AE$804,31,FALSE)</f>
        <v>1808.95</v>
      </c>
      <c r="AM574">
        <f t="shared" si="17"/>
        <v>0</v>
      </c>
      <c r="AO574">
        <f>VLOOKUP(A574,'[1]Prueba con 19mil datos'!$B$1:$AF$1228,31,FALSE)</f>
        <v>1808.95</v>
      </c>
    </row>
    <row r="575" spans="1:41" hidden="1" x14ac:dyDescent="0.25">
      <c r="A575" s="16" t="s">
        <v>886</v>
      </c>
      <c r="B575" s="15" t="s">
        <v>40</v>
      </c>
      <c r="C575" s="16">
        <v>1</v>
      </c>
      <c r="D575" s="16" t="s">
        <v>2349</v>
      </c>
      <c r="E575" s="17" t="s">
        <v>42</v>
      </c>
      <c r="F575" s="18" t="s">
        <v>281</v>
      </c>
      <c r="G575" s="18" t="s">
        <v>2350</v>
      </c>
      <c r="H575" s="16" t="s">
        <v>821</v>
      </c>
      <c r="I575" s="19" t="s">
        <v>3</v>
      </c>
      <c r="J575" s="16" t="s">
        <v>12</v>
      </c>
      <c r="K575" s="20" t="s">
        <v>126</v>
      </c>
      <c r="L575" s="20" t="s">
        <v>2352</v>
      </c>
      <c r="M575" s="16" t="s">
        <v>993</v>
      </c>
      <c r="N575" s="16">
        <v>0</v>
      </c>
      <c r="O575" s="16" t="s">
        <v>50</v>
      </c>
      <c r="P575" s="20">
        <v>66</v>
      </c>
      <c r="Q575" s="20" t="s">
        <v>51</v>
      </c>
      <c r="R575" s="21" t="s">
        <v>287</v>
      </c>
      <c r="S575" s="22" t="s">
        <v>288</v>
      </c>
      <c r="T575" s="22" t="s">
        <v>54</v>
      </c>
      <c r="U575" s="23" t="s">
        <v>550</v>
      </c>
      <c r="V575" s="24">
        <v>1.1499999999999999</v>
      </c>
      <c r="W575" s="25">
        <v>1808.95</v>
      </c>
      <c r="X575" s="26">
        <v>1</v>
      </c>
      <c r="Y575" s="27">
        <v>3.32</v>
      </c>
      <c r="Z575" s="23">
        <v>4</v>
      </c>
      <c r="AA575" s="28">
        <v>0.83</v>
      </c>
      <c r="AB575" s="24">
        <v>0</v>
      </c>
      <c r="AC575" s="29">
        <v>0</v>
      </c>
      <c r="AD575" s="30">
        <v>43573</v>
      </c>
      <c r="AE575" s="30">
        <v>43574</v>
      </c>
      <c r="AF575" s="23">
        <v>1</v>
      </c>
      <c r="AG575" s="25" t="s">
        <v>56</v>
      </c>
      <c r="AH575" s="24">
        <v>0</v>
      </c>
      <c r="AI575" s="31">
        <v>0</v>
      </c>
      <c r="AJ575" s="31">
        <v>0</v>
      </c>
      <c r="AK575" s="44">
        <f t="shared" si="16"/>
        <v>1808.95</v>
      </c>
      <c r="AL575">
        <f>VLOOKUP(A575,'[1]prueba con 16mil datos'!$A$1:$AE$804,31,FALSE)</f>
        <v>1651.65</v>
      </c>
      <c r="AM575">
        <f t="shared" si="17"/>
        <v>0</v>
      </c>
      <c r="AO575">
        <f>VLOOKUP(A575,'[1]Prueba con 19mil datos'!$B$1:$AF$1228,31,FALSE)</f>
        <v>1258.4000000000001</v>
      </c>
    </row>
    <row r="576" spans="1:41" hidden="1" x14ac:dyDescent="0.25">
      <c r="A576" s="16" t="s">
        <v>2284</v>
      </c>
      <c r="B576" s="15" t="s">
        <v>40</v>
      </c>
      <c r="C576" s="16">
        <v>1</v>
      </c>
      <c r="D576" s="16" t="s">
        <v>2343</v>
      </c>
      <c r="E576" s="17" t="s">
        <v>42</v>
      </c>
      <c r="F576" s="18" t="s">
        <v>281</v>
      </c>
      <c r="G576" s="18" t="s">
        <v>2344</v>
      </c>
      <c r="H576" s="16" t="s">
        <v>621</v>
      </c>
      <c r="I576" s="19" t="s">
        <v>3</v>
      </c>
      <c r="J576" s="16" t="s">
        <v>12</v>
      </c>
      <c r="K576" s="20" t="s">
        <v>126</v>
      </c>
      <c r="L576" s="20" t="s">
        <v>1378</v>
      </c>
      <c r="M576" s="16" t="s">
        <v>1379</v>
      </c>
      <c r="N576" s="16">
        <v>0</v>
      </c>
      <c r="O576" s="16" t="s">
        <v>50</v>
      </c>
      <c r="P576" s="20">
        <v>8</v>
      </c>
      <c r="Q576" s="20" t="s">
        <v>65</v>
      </c>
      <c r="R576" s="21" t="s">
        <v>287</v>
      </c>
      <c r="S576" s="22" t="s">
        <v>288</v>
      </c>
      <c r="T576" s="22" t="s">
        <v>54</v>
      </c>
      <c r="U576" s="23" t="s">
        <v>201</v>
      </c>
      <c r="V576" s="24">
        <v>0.8</v>
      </c>
      <c r="W576" s="25">
        <v>1258.4000000000003</v>
      </c>
      <c r="X576" s="26">
        <v>1</v>
      </c>
      <c r="Y576" s="27">
        <v>4.4000000000000004</v>
      </c>
      <c r="Z576" s="23">
        <v>4</v>
      </c>
      <c r="AA576" s="28">
        <v>1.1000000000000001</v>
      </c>
      <c r="AB576" s="24">
        <v>2.5000000000000022E-2</v>
      </c>
      <c r="AC576" s="29">
        <v>-39.325000000000038</v>
      </c>
      <c r="AD576" s="30">
        <v>43573</v>
      </c>
      <c r="AE576" s="30">
        <v>43573</v>
      </c>
      <c r="AF576" s="23">
        <v>0</v>
      </c>
      <c r="AG576" s="25" t="s">
        <v>56</v>
      </c>
      <c r="AH576" s="24">
        <v>0</v>
      </c>
      <c r="AI576" s="31">
        <v>0</v>
      </c>
      <c r="AJ576" s="31">
        <v>0</v>
      </c>
      <c r="AK576" s="44">
        <f t="shared" si="16"/>
        <v>1219.0750000000003</v>
      </c>
      <c r="AL576">
        <f>VLOOKUP(A576,'[1]prueba con 16mil datos'!$A$1:$AE$804,31,FALSE)</f>
        <v>1573</v>
      </c>
      <c r="AM576">
        <f t="shared" si="17"/>
        <v>0</v>
      </c>
      <c r="AO576">
        <f>VLOOKUP(A576,'[1]Prueba con 19mil datos'!$B$1:$AF$1228,31,FALSE)</f>
        <v>1573</v>
      </c>
    </row>
    <row r="577" spans="1:41" hidden="1" x14ac:dyDescent="0.25">
      <c r="A577" s="16" t="s">
        <v>2945</v>
      </c>
      <c r="B577" s="15" t="s">
        <v>40</v>
      </c>
      <c r="C577" s="16">
        <v>1</v>
      </c>
      <c r="D577" s="16" t="s">
        <v>2433</v>
      </c>
      <c r="E577" s="17" t="s">
        <v>42</v>
      </c>
      <c r="F577" s="18" t="s">
        <v>733</v>
      </c>
      <c r="G577" s="18" t="s">
        <v>2434</v>
      </c>
      <c r="H577" s="16" t="s">
        <v>213</v>
      </c>
      <c r="I577" s="19" t="s">
        <v>3</v>
      </c>
      <c r="J577" s="16" t="s">
        <v>12</v>
      </c>
      <c r="K577" s="20" t="s">
        <v>126</v>
      </c>
      <c r="L577" s="20" t="s">
        <v>2436</v>
      </c>
      <c r="M577" s="16" t="s">
        <v>216</v>
      </c>
      <c r="N577" s="16">
        <v>0</v>
      </c>
      <c r="O577" s="16" t="s">
        <v>50</v>
      </c>
      <c r="P577" s="20">
        <v>16</v>
      </c>
      <c r="Q577" s="20" t="s">
        <v>119</v>
      </c>
      <c r="R577" s="21" t="s">
        <v>279</v>
      </c>
      <c r="S577" s="22" t="s">
        <v>187</v>
      </c>
      <c r="T577" s="22" t="s">
        <v>54</v>
      </c>
      <c r="U577" s="23" t="s">
        <v>269</v>
      </c>
      <c r="V577" s="24">
        <v>1.05</v>
      </c>
      <c r="W577" s="25">
        <v>1651.6500000000003</v>
      </c>
      <c r="X577" s="26">
        <v>1</v>
      </c>
      <c r="Y577" s="27">
        <v>5.26</v>
      </c>
      <c r="Z577" s="23">
        <v>4</v>
      </c>
      <c r="AA577" s="28">
        <v>1.3149999999999999</v>
      </c>
      <c r="AB577" s="24">
        <v>7.8749999999999987E-2</v>
      </c>
      <c r="AC577" s="29">
        <v>-123.87375</v>
      </c>
      <c r="AD577" s="30">
        <v>43573</v>
      </c>
      <c r="AE577" s="30">
        <v>43577</v>
      </c>
      <c r="AF577" s="23">
        <v>2</v>
      </c>
      <c r="AG577" s="25" t="s">
        <v>202</v>
      </c>
      <c r="AH577" s="24">
        <v>0.25</v>
      </c>
      <c r="AI577" s="31">
        <v>-393.25000000000006</v>
      </c>
      <c r="AJ577" s="31">
        <v>0</v>
      </c>
      <c r="AK577" s="44">
        <f t="shared" si="16"/>
        <v>1527.7762500000003</v>
      </c>
      <c r="AL577">
        <f>VLOOKUP(A577,'[1]prueba con 16mil datos'!$A$1:$AE$804,31,FALSE)</f>
        <v>715</v>
      </c>
      <c r="AM577">
        <f t="shared" si="17"/>
        <v>0</v>
      </c>
      <c r="AO577">
        <f>VLOOKUP(A577,'[1]Prueba con 19mil datos'!$B$1:$AF$1228,31,FALSE)</f>
        <v>715</v>
      </c>
    </row>
    <row r="578" spans="1:41" hidden="1" x14ac:dyDescent="0.25">
      <c r="A578" s="16" t="s">
        <v>677</v>
      </c>
      <c r="B578" s="15" t="s">
        <v>40</v>
      </c>
      <c r="C578" s="16">
        <v>1</v>
      </c>
      <c r="D578" s="16" t="s">
        <v>2360</v>
      </c>
      <c r="E578" s="17" t="s">
        <v>42</v>
      </c>
      <c r="F578" s="18" t="s">
        <v>275</v>
      </c>
      <c r="G578" s="18" t="s">
        <v>2361</v>
      </c>
      <c r="H578" s="16" t="s">
        <v>243</v>
      </c>
      <c r="I578" s="19" t="s">
        <v>3</v>
      </c>
      <c r="J578" s="16" t="s">
        <v>12</v>
      </c>
      <c r="K578" s="20" t="s">
        <v>126</v>
      </c>
      <c r="L578" s="20" t="s">
        <v>1577</v>
      </c>
      <c r="M578" s="16" t="s">
        <v>372</v>
      </c>
      <c r="N578" s="16">
        <v>0</v>
      </c>
      <c r="O578" s="16" t="s">
        <v>50</v>
      </c>
      <c r="P578" s="20">
        <v>8</v>
      </c>
      <c r="Q578" s="20" t="s">
        <v>65</v>
      </c>
      <c r="R578" s="21" t="s">
        <v>279</v>
      </c>
      <c r="S578" s="22" t="s">
        <v>187</v>
      </c>
      <c r="T578" s="22" t="s">
        <v>54</v>
      </c>
      <c r="U578" s="23" t="s">
        <v>201</v>
      </c>
      <c r="V578" s="24">
        <v>0.8</v>
      </c>
      <c r="W578" s="25">
        <v>1258.4000000000003</v>
      </c>
      <c r="X578" s="26">
        <v>1</v>
      </c>
      <c r="Y578" s="27">
        <v>2.0699999999999998</v>
      </c>
      <c r="Z578" s="23">
        <v>4</v>
      </c>
      <c r="AA578" s="28">
        <v>0.51749999999999996</v>
      </c>
      <c r="AB578" s="24">
        <v>0</v>
      </c>
      <c r="AC578" s="29">
        <v>0</v>
      </c>
      <c r="AD578" s="30">
        <v>43573</v>
      </c>
      <c r="AE578" s="30">
        <v>43574</v>
      </c>
      <c r="AF578" s="23">
        <v>1</v>
      </c>
      <c r="AG578" s="25" t="s">
        <v>56</v>
      </c>
      <c r="AH578" s="24">
        <v>0</v>
      </c>
      <c r="AI578" s="31">
        <v>0</v>
      </c>
      <c r="AJ578" s="31">
        <v>0</v>
      </c>
      <c r="AK578" s="44">
        <f t="shared" ref="AK578:AK641" si="18">+W578+AC578</f>
        <v>1258.4000000000003</v>
      </c>
      <c r="AL578">
        <f>VLOOKUP(A578,'[1]prueba con 16mil datos'!$A$1:$AE$804,31,FALSE)</f>
        <v>750.75</v>
      </c>
      <c r="AM578">
        <f t="shared" ref="AM578:AM641" si="19">IF(AK578=AL578,1,0)</f>
        <v>0</v>
      </c>
      <c r="AO578">
        <f>VLOOKUP(A578,'[1]Prueba con 19mil datos'!$B$1:$AF$1228,31,FALSE)</f>
        <v>750.75</v>
      </c>
    </row>
    <row r="579" spans="1:41" hidden="1" x14ac:dyDescent="0.25">
      <c r="A579" s="16" t="s">
        <v>2832</v>
      </c>
      <c r="B579" s="15" t="s">
        <v>40</v>
      </c>
      <c r="C579" s="16">
        <v>1</v>
      </c>
      <c r="D579" s="16" t="s">
        <v>2341</v>
      </c>
      <c r="E579" s="17" t="s">
        <v>42</v>
      </c>
      <c r="F579" s="18" t="s">
        <v>275</v>
      </c>
      <c r="G579" s="18" t="s">
        <v>2342</v>
      </c>
      <c r="H579" s="16" t="s">
        <v>621</v>
      </c>
      <c r="I579" s="19" t="s">
        <v>3</v>
      </c>
      <c r="J579" s="16" t="s">
        <v>12</v>
      </c>
      <c r="K579" s="20" t="s">
        <v>126</v>
      </c>
      <c r="L579" s="20" t="s">
        <v>1378</v>
      </c>
      <c r="M579" s="16" t="s">
        <v>1379</v>
      </c>
      <c r="N579" s="16">
        <v>0</v>
      </c>
      <c r="O579" s="16" t="s">
        <v>50</v>
      </c>
      <c r="P579" s="20">
        <v>9</v>
      </c>
      <c r="Q579" s="20" t="s">
        <v>65</v>
      </c>
      <c r="R579" s="21" t="s">
        <v>279</v>
      </c>
      <c r="S579" s="22" t="s">
        <v>187</v>
      </c>
      <c r="T579" s="22" t="s">
        <v>54</v>
      </c>
      <c r="U579" s="23" t="s">
        <v>201</v>
      </c>
      <c r="V579" s="24">
        <v>0.8</v>
      </c>
      <c r="W579" s="25">
        <v>1258.4000000000003</v>
      </c>
      <c r="X579" s="26">
        <v>1</v>
      </c>
      <c r="Y579" s="27">
        <v>2.4300000000000002</v>
      </c>
      <c r="Z579" s="23">
        <v>4</v>
      </c>
      <c r="AA579" s="28">
        <v>0.60750000000000004</v>
      </c>
      <c r="AB579" s="24">
        <v>0</v>
      </c>
      <c r="AC579" s="29">
        <v>0</v>
      </c>
      <c r="AD579" s="30">
        <v>43573</v>
      </c>
      <c r="AE579" s="30">
        <v>43573</v>
      </c>
      <c r="AF579" s="23">
        <v>0</v>
      </c>
      <c r="AG579" s="25" t="s">
        <v>56</v>
      </c>
      <c r="AH579" s="24">
        <v>0</v>
      </c>
      <c r="AI579" s="31">
        <v>0</v>
      </c>
      <c r="AJ579" s="31">
        <v>0</v>
      </c>
      <c r="AK579" s="44">
        <f t="shared" si="18"/>
        <v>1258.4000000000003</v>
      </c>
      <c r="AL579">
        <f>VLOOKUP(A579,'[1]prueba con 16mil datos'!$A$1:$AE$804,31,FALSE)</f>
        <v>572</v>
      </c>
      <c r="AM579">
        <f t="shared" si="19"/>
        <v>0</v>
      </c>
      <c r="AO579">
        <f>VLOOKUP(A579,'[1]Prueba con 19mil datos'!$B$1:$AF$1228,31,FALSE)</f>
        <v>572</v>
      </c>
    </row>
    <row r="580" spans="1:41" hidden="1" x14ac:dyDescent="0.25">
      <c r="A580" s="16" t="s">
        <v>1717</v>
      </c>
      <c r="B580" s="15" t="s">
        <v>40</v>
      </c>
      <c r="C580" s="16">
        <v>1</v>
      </c>
      <c r="D580" s="16" t="s">
        <v>2324</v>
      </c>
      <c r="E580" s="17" t="s">
        <v>42</v>
      </c>
      <c r="F580" s="18" t="s">
        <v>122</v>
      </c>
      <c r="G580" s="18" t="s">
        <v>2325</v>
      </c>
      <c r="H580" s="16" t="s">
        <v>463</v>
      </c>
      <c r="I580" s="19" t="s">
        <v>3</v>
      </c>
      <c r="J580" s="16" t="s">
        <v>12</v>
      </c>
      <c r="K580" s="20" t="s">
        <v>126</v>
      </c>
      <c r="L580" s="20" t="s">
        <v>464</v>
      </c>
      <c r="M580" s="16" t="s">
        <v>76</v>
      </c>
      <c r="N580" s="16">
        <v>0</v>
      </c>
      <c r="O580" s="16" t="s">
        <v>50</v>
      </c>
      <c r="P580" s="20">
        <v>36</v>
      </c>
      <c r="Q580" s="20" t="s">
        <v>86</v>
      </c>
      <c r="R580" s="21" t="s">
        <v>129</v>
      </c>
      <c r="S580" s="22" t="s">
        <v>130</v>
      </c>
      <c r="T580" s="22" t="s">
        <v>54</v>
      </c>
      <c r="U580" s="23" t="s">
        <v>178</v>
      </c>
      <c r="V580" s="24">
        <v>1.05</v>
      </c>
      <c r="W580" s="25">
        <v>1433.25</v>
      </c>
      <c r="X580" s="26">
        <v>1</v>
      </c>
      <c r="Y580" s="27">
        <v>2.4300000000000002</v>
      </c>
      <c r="Z580" s="23">
        <v>5</v>
      </c>
      <c r="AA580" s="28">
        <v>0.48600000000000004</v>
      </c>
      <c r="AB580" s="24">
        <v>0</v>
      </c>
      <c r="AC580" s="29">
        <v>0</v>
      </c>
      <c r="AD580" s="30">
        <v>43573</v>
      </c>
      <c r="AE580" s="30">
        <v>43573</v>
      </c>
      <c r="AF580" s="23">
        <v>0</v>
      </c>
      <c r="AG580" s="25" t="s">
        <v>56</v>
      </c>
      <c r="AH580" s="24">
        <v>0</v>
      </c>
      <c r="AI580" s="31">
        <v>0</v>
      </c>
      <c r="AJ580" s="31">
        <v>0</v>
      </c>
      <c r="AK580" s="44">
        <f t="shared" si="18"/>
        <v>1433.25</v>
      </c>
      <c r="AL580">
        <f>VLOOKUP(A580,'[1]prueba con 16mil datos'!$A$1:$AE$804,31,FALSE)</f>
        <v>715</v>
      </c>
      <c r="AM580">
        <f t="shared" si="19"/>
        <v>0</v>
      </c>
      <c r="AO580">
        <f>VLOOKUP(A580,'[1]Prueba con 19mil datos'!$B$1:$AF$1228,31,FALSE)</f>
        <v>715</v>
      </c>
    </row>
    <row r="581" spans="1:41" hidden="1" x14ac:dyDescent="0.25">
      <c r="A581" s="16" t="s">
        <v>1185</v>
      </c>
      <c r="B581" s="15" t="s">
        <v>40</v>
      </c>
      <c r="C581" s="16">
        <v>1</v>
      </c>
      <c r="D581" s="16" t="s">
        <v>2322</v>
      </c>
      <c r="E581" s="17" t="s">
        <v>42</v>
      </c>
      <c r="F581" s="18" t="s">
        <v>249</v>
      </c>
      <c r="G581" s="18" t="s">
        <v>2323</v>
      </c>
      <c r="H581" s="16" t="s">
        <v>143</v>
      </c>
      <c r="I581" s="19" t="s">
        <v>3</v>
      </c>
      <c r="J581" s="16" t="s">
        <v>12</v>
      </c>
      <c r="K581" s="20" t="s">
        <v>1492</v>
      </c>
      <c r="L581" s="20" t="s">
        <v>1493</v>
      </c>
      <c r="M581" s="16" t="s">
        <v>1494</v>
      </c>
      <c r="N581" s="16">
        <v>0</v>
      </c>
      <c r="O581" s="16" t="s">
        <v>50</v>
      </c>
      <c r="P581" s="20">
        <v>13</v>
      </c>
      <c r="Q581" s="20" t="s">
        <v>65</v>
      </c>
      <c r="R581" s="21" t="s">
        <v>77</v>
      </c>
      <c r="S581" s="22" t="s">
        <v>53</v>
      </c>
      <c r="T581" s="22" t="s">
        <v>157</v>
      </c>
      <c r="U581" s="23" t="s">
        <v>1008</v>
      </c>
      <c r="V581" s="24">
        <v>0</v>
      </c>
      <c r="W581" s="25">
        <v>0</v>
      </c>
      <c r="X581" s="26">
        <v>1</v>
      </c>
      <c r="Y581" s="27">
        <v>3.18</v>
      </c>
      <c r="Z581" s="23">
        <v>9</v>
      </c>
      <c r="AA581" s="28">
        <v>0.35333333333333333</v>
      </c>
      <c r="AB581" s="24">
        <v>0</v>
      </c>
      <c r="AC581" s="29">
        <v>0</v>
      </c>
      <c r="AD581" s="30">
        <v>43573</v>
      </c>
      <c r="AE581" s="30">
        <v>43573</v>
      </c>
      <c r="AF581" s="23">
        <v>0</v>
      </c>
      <c r="AG581" s="25" t="s">
        <v>56</v>
      </c>
      <c r="AH581" s="24">
        <v>0</v>
      </c>
      <c r="AI581" s="31">
        <v>0</v>
      </c>
      <c r="AJ581" s="31">
        <v>0</v>
      </c>
      <c r="AK581" s="44">
        <f t="shared" si="18"/>
        <v>0</v>
      </c>
      <c r="AL581">
        <f>VLOOKUP(A581,'[1]prueba con 16mil datos'!$A$1:$AE$804,31,FALSE)</f>
        <v>750.75</v>
      </c>
      <c r="AM581">
        <f t="shared" si="19"/>
        <v>0</v>
      </c>
      <c r="AO581">
        <f>VLOOKUP(A581,'[1]Prueba con 19mil datos'!$B$1:$AF$1228,31,FALSE)</f>
        <v>750.75</v>
      </c>
    </row>
    <row r="582" spans="1:41" hidden="1" x14ac:dyDescent="0.25">
      <c r="A582" s="16" t="s">
        <v>3121</v>
      </c>
      <c r="B582" s="15" t="s">
        <v>40</v>
      </c>
      <c r="C582" s="16">
        <v>1</v>
      </c>
      <c r="D582" s="16" t="s">
        <v>2313</v>
      </c>
      <c r="E582" s="17" t="s">
        <v>42</v>
      </c>
      <c r="F582" s="18" t="s">
        <v>90</v>
      </c>
      <c r="G582" s="18" t="s">
        <v>2314</v>
      </c>
      <c r="H582" s="16" t="s">
        <v>135</v>
      </c>
      <c r="I582" s="19" t="s">
        <v>3</v>
      </c>
      <c r="J582" s="16" t="s">
        <v>12</v>
      </c>
      <c r="K582" s="20" t="s">
        <v>2316</v>
      </c>
      <c r="L582" s="20" t="s">
        <v>2317</v>
      </c>
      <c r="M582" s="16" t="s">
        <v>2318</v>
      </c>
      <c r="N582" s="16">
        <v>1</v>
      </c>
      <c r="O582" s="16" t="s">
        <v>97</v>
      </c>
      <c r="P582" s="20">
        <v>36</v>
      </c>
      <c r="Q582" s="20" t="s">
        <v>86</v>
      </c>
      <c r="R582" s="21" t="s">
        <v>77</v>
      </c>
      <c r="S582" s="22" t="s">
        <v>53</v>
      </c>
      <c r="T582" s="22" t="s">
        <v>54</v>
      </c>
      <c r="U582" s="23" t="s">
        <v>88</v>
      </c>
      <c r="V582" s="24">
        <v>0.8</v>
      </c>
      <c r="W582" s="25">
        <v>0</v>
      </c>
      <c r="X582" s="26">
        <v>1</v>
      </c>
      <c r="Y582" s="27">
        <v>2.98</v>
      </c>
      <c r="Z582" s="23">
        <v>5</v>
      </c>
      <c r="AA582" s="28">
        <v>0.59599999999999997</v>
      </c>
      <c r="AB582" s="24">
        <v>0</v>
      </c>
      <c r="AC582" s="29">
        <v>0</v>
      </c>
      <c r="AD582" s="30">
        <v>43573</v>
      </c>
      <c r="AE582" s="30">
        <v>43573</v>
      </c>
      <c r="AF582" s="23">
        <v>0</v>
      </c>
      <c r="AG582" s="25" t="s">
        <v>56</v>
      </c>
      <c r="AH582" s="24">
        <v>0</v>
      </c>
      <c r="AI582" s="31">
        <v>0</v>
      </c>
      <c r="AJ582" s="31">
        <v>0</v>
      </c>
      <c r="AK582" s="44">
        <f t="shared" si="18"/>
        <v>0</v>
      </c>
      <c r="AL582" t="e">
        <f>VLOOKUP(A582,'[1]prueba con 16mil datos'!$A$1:$AE$804,31,FALSE)</f>
        <v>#N/A</v>
      </c>
      <c r="AM582" t="e">
        <f t="shared" si="19"/>
        <v>#N/A</v>
      </c>
      <c r="AO582">
        <f>VLOOKUP(A582,'[1]Prueba con 19mil datos'!$B$1:$AF$1228,31,FALSE)</f>
        <v>0</v>
      </c>
    </row>
    <row r="583" spans="1:41" hidden="1" x14ac:dyDescent="0.25">
      <c r="A583" s="16" t="s">
        <v>2852</v>
      </c>
      <c r="B583" s="15" t="s">
        <v>40</v>
      </c>
      <c r="C583" s="16">
        <v>1</v>
      </c>
      <c r="D583" s="16" t="s">
        <v>2335</v>
      </c>
      <c r="E583" s="17" t="s">
        <v>42</v>
      </c>
      <c r="F583" s="18" t="s">
        <v>140</v>
      </c>
      <c r="G583" s="18" t="s">
        <v>2336</v>
      </c>
      <c r="H583" s="16" t="s">
        <v>317</v>
      </c>
      <c r="I583" s="19" t="s">
        <v>3</v>
      </c>
      <c r="J583" s="16" t="s">
        <v>12</v>
      </c>
      <c r="K583" s="20" t="s">
        <v>83</v>
      </c>
      <c r="L583" s="20" t="s">
        <v>1803</v>
      </c>
      <c r="M583" s="16" t="s">
        <v>105</v>
      </c>
      <c r="N583" s="16">
        <v>1</v>
      </c>
      <c r="O583" s="16" t="s">
        <v>50</v>
      </c>
      <c r="P583" s="20">
        <v>70</v>
      </c>
      <c r="Q583" s="20" t="s">
        <v>51</v>
      </c>
      <c r="R583" s="21" t="s">
        <v>148</v>
      </c>
      <c r="S583" s="22" t="s">
        <v>130</v>
      </c>
      <c r="T583" s="22" t="s">
        <v>54</v>
      </c>
      <c r="U583" s="23" t="s">
        <v>226</v>
      </c>
      <c r="V583" s="24">
        <v>1.1000000000000001</v>
      </c>
      <c r="W583" s="25">
        <v>0</v>
      </c>
      <c r="X583" s="26">
        <v>1</v>
      </c>
      <c r="Y583" s="27">
        <v>0.4</v>
      </c>
      <c r="Z583" s="23">
        <v>5</v>
      </c>
      <c r="AA583" s="28">
        <v>0.08</v>
      </c>
      <c r="AB583" s="24">
        <v>0</v>
      </c>
      <c r="AC583" s="29">
        <v>0</v>
      </c>
      <c r="AD583" s="30">
        <v>43573</v>
      </c>
      <c r="AE583" s="30">
        <v>43573</v>
      </c>
      <c r="AF583" s="23">
        <v>0</v>
      </c>
      <c r="AG583" s="25" t="s">
        <v>56</v>
      </c>
      <c r="AH583" s="24">
        <v>0</v>
      </c>
      <c r="AI583" s="31">
        <v>0</v>
      </c>
      <c r="AJ583" s="31">
        <v>0</v>
      </c>
      <c r="AK583" s="44">
        <f t="shared" si="18"/>
        <v>0</v>
      </c>
      <c r="AL583">
        <f>VLOOKUP(A583,'[1]prueba con 16mil datos'!$A$1:$AE$804,31,FALSE)</f>
        <v>429</v>
      </c>
      <c r="AM583">
        <f t="shared" si="19"/>
        <v>0</v>
      </c>
      <c r="AO583">
        <f>VLOOKUP(A583,'[1]Prueba con 19mil datos'!$B$1:$AF$1228,31,FALSE)</f>
        <v>429</v>
      </c>
    </row>
    <row r="584" spans="1:41" hidden="1" x14ac:dyDescent="0.25">
      <c r="A584" s="16" t="s">
        <v>1588</v>
      </c>
      <c r="B584" s="15" t="s">
        <v>40</v>
      </c>
      <c r="C584" s="16">
        <v>1</v>
      </c>
      <c r="D584" s="16" t="s">
        <v>2353</v>
      </c>
      <c r="E584" s="17" t="s">
        <v>42</v>
      </c>
      <c r="F584" s="18" t="s">
        <v>772</v>
      </c>
      <c r="G584" s="18" t="s">
        <v>2354</v>
      </c>
      <c r="H584" s="16" t="s">
        <v>192</v>
      </c>
      <c r="I584" s="19" t="s">
        <v>3</v>
      </c>
      <c r="J584" s="16" t="s">
        <v>12</v>
      </c>
      <c r="K584" s="20" t="s">
        <v>622</v>
      </c>
      <c r="L584" s="20" t="s">
        <v>2356</v>
      </c>
      <c r="M584" s="16" t="s">
        <v>118</v>
      </c>
      <c r="N584" s="16">
        <v>0</v>
      </c>
      <c r="O584" s="16" t="s">
        <v>50</v>
      </c>
      <c r="P584" s="20">
        <v>126</v>
      </c>
      <c r="Q584" s="20" t="s">
        <v>51</v>
      </c>
      <c r="R584" s="21" t="s">
        <v>87</v>
      </c>
      <c r="S584" s="22" t="s">
        <v>53</v>
      </c>
      <c r="T584" s="22" t="s">
        <v>54</v>
      </c>
      <c r="U584" s="23" t="s">
        <v>55</v>
      </c>
      <c r="V584" s="24">
        <v>1.05</v>
      </c>
      <c r="W584" s="25">
        <v>750.75000000000011</v>
      </c>
      <c r="X584" s="26">
        <v>1</v>
      </c>
      <c r="Y584" s="27">
        <v>3.28</v>
      </c>
      <c r="Z584" s="23">
        <v>5</v>
      </c>
      <c r="AA584" s="28">
        <v>0.65599999999999992</v>
      </c>
      <c r="AB584" s="24">
        <v>0</v>
      </c>
      <c r="AC584" s="29">
        <v>0</v>
      </c>
      <c r="AD584" s="30">
        <v>43574</v>
      </c>
      <c r="AE584" s="30">
        <v>43574</v>
      </c>
      <c r="AF584" s="23">
        <v>0</v>
      </c>
      <c r="AG584" s="25" t="s">
        <v>56</v>
      </c>
      <c r="AH584" s="24">
        <v>0</v>
      </c>
      <c r="AI584" s="31">
        <v>0</v>
      </c>
      <c r="AJ584" s="31">
        <v>0</v>
      </c>
      <c r="AK584" s="44">
        <f t="shared" si="18"/>
        <v>750.75000000000011</v>
      </c>
      <c r="AL584">
        <f>VLOOKUP(A584,'[1]prueba con 16mil datos'!$A$1:$AE$804,31,FALSE)</f>
        <v>2252.25</v>
      </c>
      <c r="AM584">
        <f t="shared" si="19"/>
        <v>0</v>
      </c>
      <c r="AO584">
        <f>VLOOKUP(A584,'[1]Prueba con 19mil datos'!$B$1:$AF$1228,31,FALSE)</f>
        <v>1716</v>
      </c>
    </row>
    <row r="585" spans="1:41" hidden="1" x14ac:dyDescent="0.25">
      <c r="A585" s="16" t="s">
        <v>426</v>
      </c>
      <c r="B585" s="15" t="s">
        <v>40</v>
      </c>
      <c r="C585" s="16">
        <v>1</v>
      </c>
      <c r="D585" s="16" t="s">
        <v>2364</v>
      </c>
      <c r="E585" s="17" t="s">
        <v>42</v>
      </c>
      <c r="F585" s="18" t="s">
        <v>275</v>
      </c>
      <c r="G585" s="18" t="s">
        <v>2365</v>
      </c>
      <c r="H585" s="16" t="s">
        <v>243</v>
      </c>
      <c r="I585" s="19" t="s">
        <v>3</v>
      </c>
      <c r="J585" s="16" t="s">
        <v>12</v>
      </c>
      <c r="K585" s="20" t="s">
        <v>126</v>
      </c>
      <c r="L585" s="20" t="s">
        <v>2367</v>
      </c>
      <c r="M585" s="16" t="s">
        <v>296</v>
      </c>
      <c r="N585" s="16">
        <v>0</v>
      </c>
      <c r="O585" s="16" t="s">
        <v>50</v>
      </c>
      <c r="P585" s="20">
        <v>25</v>
      </c>
      <c r="Q585" s="20" t="s">
        <v>119</v>
      </c>
      <c r="R585" s="21" t="s">
        <v>279</v>
      </c>
      <c r="S585" s="22" t="s">
        <v>187</v>
      </c>
      <c r="T585" s="22" t="s">
        <v>54</v>
      </c>
      <c r="U585" s="23" t="s">
        <v>269</v>
      </c>
      <c r="V585" s="24">
        <v>1.05</v>
      </c>
      <c r="W585" s="25">
        <v>1651.6500000000003</v>
      </c>
      <c r="X585" s="26">
        <v>1</v>
      </c>
      <c r="Y585" s="27">
        <v>1.2</v>
      </c>
      <c r="Z585" s="23">
        <v>4</v>
      </c>
      <c r="AA585" s="28">
        <v>0.3</v>
      </c>
      <c r="AB585" s="24">
        <v>0</v>
      </c>
      <c r="AC585" s="29">
        <v>0</v>
      </c>
      <c r="AD585" s="30">
        <v>43574</v>
      </c>
      <c r="AE585" s="30">
        <v>43577</v>
      </c>
      <c r="AF585" s="23">
        <v>1</v>
      </c>
      <c r="AG585" s="25" t="s">
        <v>56</v>
      </c>
      <c r="AH585" s="24">
        <v>0</v>
      </c>
      <c r="AI585" s="31">
        <v>0</v>
      </c>
      <c r="AJ585" s="31">
        <v>0</v>
      </c>
      <c r="AK585" s="44">
        <f t="shared" si="18"/>
        <v>1651.6500000000003</v>
      </c>
      <c r="AL585">
        <f>VLOOKUP(A585,'[1]prueba con 16mil datos'!$A$1:$AE$804,31,FALSE)</f>
        <v>2466.75</v>
      </c>
      <c r="AM585">
        <f t="shared" si="19"/>
        <v>0</v>
      </c>
      <c r="AO585">
        <f>VLOOKUP(A585,'[1]Prueba con 19mil datos'!$B$1:$AF$1228,31,FALSE)</f>
        <v>2466.75</v>
      </c>
    </row>
    <row r="586" spans="1:41" hidden="1" x14ac:dyDescent="0.25">
      <c r="A586" s="16" t="s">
        <v>426</v>
      </c>
      <c r="B586" s="15" t="s">
        <v>40</v>
      </c>
      <c r="C586" s="16">
        <v>1</v>
      </c>
      <c r="D586" s="16" t="s">
        <v>2357</v>
      </c>
      <c r="E586" s="17" t="s">
        <v>42</v>
      </c>
      <c r="F586" s="18" t="s">
        <v>275</v>
      </c>
      <c r="G586" s="18" t="s">
        <v>2358</v>
      </c>
      <c r="H586" s="16" t="s">
        <v>61</v>
      </c>
      <c r="I586" s="19" t="s">
        <v>3</v>
      </c>
      <c r="J586" s="16" t="s">
        <v>12</v>
      </c>
      <c r="K586" s="20" t="s">
        <v>126</v>
      </c>
      <c r="L586" s="20" t="s">
        <v>1179</v>
      </c>
      <c r="M586" s="16" t="s">
        <v>64</v>
      </c>
      <c r="N586" s="16">
        <v>0</v>
      </c>
      <c r="O586" s="16" t="s">
        <v>50</v>
      </c>
      <c r="P586" s="20">
        <v>62</v>
      </c>
      <c r="Q586" s="20" t="s">
        <v>51</v>
      </c>
      <c r="R586" s="21" t="s">
        <v>279</v>
      </c>
      <c r="S586" s="22" t="s">
        <v>187</v>
      </c>
      <c r="T586" s="22" t="s">
        <v>54</v>
      </c>
      <c r="U586" s="23" t="s">
        <v>550</v>
      </c>
      <c r="V586" s="24">
        <v>1.1499999999999999</v>
      </c>
      <c r="W586" s="25">
        <v>1808.95</v>
      </c>
      <c r="X586" s="26">
        <v>1</v>
      </c>
      <c r="Y586" s="27">
        <v>2.48</v>
      </c>
      <c r="Z586" s="23">
        <v>4</v>
      </c>
      <c r="AA586" s="28">
        <v>0.62</v>
      </c>
      <c r="AB586" s="24">
        <v>0</v>
      </c>
      <c r="AC586" s="29">
        <v>0</v>
      </c>
      <c r="AD586" s="30">
        <v>43574</v>
      </c>
      <c r="AE586" s="30">
        <v>43574</v>
      </c>
      <c r="AF586" s="23">
        <v>0</v>
      </c>
      <c r="AG586" s="25" t="s">
        <v>56</v>
      </c>
      <c r="AH586" s="24">
        <v>0</v>
      </c>
      <c r="AI586" s="31">
        <v>0</v>
      </c>
      <c r="AJ586" s="31">
        <v>0</v>
      </c>
      <c r="AK586" s="44">
        <f t="shared" si="18"/>
        <v>1808.95</v>
      </c>
      <c r="AL586">
        <f>VLOOKUP(A586,'[1]prueba con 16mil datos'!$A$1:$AE$804,31,FALSE)</f>
        <v>2466.75</v>
      </c>
      <c r="AM586">
        <f t="shared" si="19"/>
        <v>0</v>
      </c>
      <c r="AO586">
        <f>VLOOKUP(A586,'[1]Prueba con 19mil datos'!$B$1:$AF$1228,31,FALSE)</f>
        <v>2466.75</v>
      </c>
    </row>
    <row r="587" spans="1:41" hidden="1" x14ac:dyDescent="0.25">
      <c r="A587" s="16" t="s">
        <v>426</v>
      </c>
      <c r="B587" s="15" t="s">
        <v>40</v>
      </c>
      <c r="C587" s="16">
        <v>1</v>
      </c>
      <c r="D587" s="16" t="s">
        <v>2362</v>
      </c>
      <c r="E587" s="17" t="s">
        <v>42</v>
      </c>
      <c r="F587" s="18" t="s">
        <v>180</v>
      </c>
      <c r="G587" s="18" t="s">
        <v>2363</v>
      </c>
      <c r="H587" s="16" t="s">
        <v>440</v>
      </c>
      <c r="I587" s="19" t="s">
        <v>3</v>
      </c>
      <c r="J587" s="16" t="s">
        <v>12</v>
      </c>
      <c r="K587" s="20" t="s">
        <v>198</v>
      </c>
      <c r="L587" s="20" t="s">
        <v>1557</v>
      </c>
      <c r="M587" s="16" t="s">
        <v>469</v>
      </c>
      <c r="N587" s="16">
        <v>0</v>
      </c>
      <c r="O587" s="16" t="s">
        <v>50</v>
      </c>
      <c r="P587" s="20">
        <v>9</v>
      </c>
      <c r="Q587" s="20" t="s">
        <v>65</v>
      </c>
      <c r="R587" s="21" t="s">
        <v>186</v>
      </c>
      <c r="S587" s="22" t="s">
        <v>187</v>
      </c>
      <c r="T587" s="22" t="s">
        <v>54</v>
      </c>
      <c r="U587" s="23" t="s">
        <v>201</v>
      </c>
      <c r="V587" s="24">
        <v>0.8</v>
      </c>
      <c r="W587" s="25">
        <v>1258.4000000000003</v>
      </c>
      <c r="X587" s="26">
        <v>1</v>
      </c>
      <c r="Y587" s="27">
        <v>3.17</v>
      </c>
      <c r="Z587" s="23">
        <v>4</v>
      </c>
      <c r="AA587" s="28">
        <v>0.79249999999999998</v>
      </c>
      <c r="AB587" s="24">
        <v>0</v>
      </c>
      <c r="AC587" s="29">
        <v>0</v>
      </c>
      <c r="AD587" s="30">
        <v>43574</v>
      </c>
      <c r="AE587" s="30">
        <v>43574</v>
      </c>
      <c r="AF587" s="23">
        <v>0</v>
      </c>
      <c r="AG587" s="25" t="s">
        <v>56</v>
      </c>
      <c r="AH587" s="24">
        <v>0</v>
      </c>
      <c r="AI587" s="31">
        <v>0</v>
      </c>
      <c r="AJ587" s="31">
        <v>0</v>
      </c>
      <c r="AK587" s="44">
        <f t="shared" si="18"/>
        <v>1258.4000000000003</v>
      </c>
      <c r="AL587">
        <f>VLOOKUP(A587,'[1]prueba con 16mil datos'!$A$1:$AE$804,31,FALSE)</f>
        <v>2466.75</v>
      </c>
      <c r="AM587">
        <f t="shared" si="19"/>
        <v>0</v>
      </c>
      <c r="AO587">
        <f>VLOOKUP(A587,'[1]Prueba con 19mil datos'!$B$1:$AF$1228,31,FALSE)</f>
        <v>2466.75</v>
      </c>
    </row>
    <row r="588" spans="1:41" hidden="1" x14ac:dyDescent="0.25">
      <c r="A588" s="16" t="s">
        <v>2442</v>
      </c>
      <c r="B588" s="15" t="s">
        <v>40</v>
      </c>
      <c r="C588" s="16">
        <v>1</v>
      </c>
      <c r="D588" s="16" t="s">
        <v>2368</v>
      </c>
      <c r="E588" s="17" t="s">
        <v>42</v>
      </c>
      <c r="F588" s="18" t="s">
        <v>271</v>
      </c>
      <c r="G588" s="18" t="s">
        <v>2369</v>
      </c>
      <c r="H588" s="16" t="s">
        <v>660</v>
      </c>
      <c r="I588" s="19" t="s">
        <v>3</v>
      </c>
      <c r="J588" s="16" t="s">
        <v>12</v>
      </c>
      <c r="K588" s="20" t="s">
        <v>126</v>
      </c>
      <c r="L588" s="20" t="s">
        <v>928</v>
      </c>
      <c r="M588" s="16" t="s">
        <v>372</v>
      </c>
      <c r="N588" s="16">
        <v>0</v>
      </c>
      <c r="O588" s="16" t="s">
        <v>50</v>
      </c>
      <c r="P588" s="20">
        <v>87</v>
      </c>
      <c r="Q588" s="20" t="s">
        <v>51</v>
      </c>
      <c r="R588" s="21" t="s">
        <v>186</v>
      </c>
      <c r="S588" s="22" t="s">
        <v>187</v>
      </c>
      <c r="T588" s="22" t="s">
        <v>54</v>
      </c>
      <c r="U588" s="23" t="s">
        <v>550</v>
      </c>
      <c r="V588" s="24">
        <v>1.1499999999999999</v>
      </c>
      <c r="W588" s="25">
        <v>1808.95</v>
      </c>
      <c r="X588" s="26">
        <v>1</v>
      </c>
      <c r="Y588" s="27">
        <v>0.45</v>
      </c>
      <c r="Z588" s="23">
        <v>4</v>
      </c>
      <c r="AA588" s="28">
        <v>0.1125</v>
      </c>
      <c r="AB588" s="24">
        <v>0</v>
      </c>
      <c r="AC588" s="29">
        <v>0</v>
      </c>
      <c r="AD588" s="30">
        <v>43574</v>
      </c>
      <c r="AE588" s="30">
        <v>43577</v>
      </c>
      <c r="AF588" s="23">
        <v>1</v>
      </c>
      <c r="AG588" s="25" t="s">
        <v>56</v>
      </c>
      <c r="AH588" s="24">
        <v>0</v>
      </c>
      <c r="AI588" s="31">
        <v>0</v>
      </c>
      <c r="AJ588" s="31">
        <v>0</v>
      </c>
      <c r="AK588" s="44">
        <f t="shared" si="18"/>
        <v>1808.95</v>
      </c>
      <c r="AL588">
        <f>VLOOKUP(A588,'[1]prueba con 16mil datos'!$A$1:$AE$804,31,FALSE)</f>
        <v>1802.39577375</v>
      </c>
      <c r="AM588">
        <f t="shared" si="19"/>
        <v>0</v>
      </c>
      <c r="AO588">
        <f>VLOOKUP(A588,'[1]Prueba con 19mil datos'!$B$1:$AF$1228,31,FALSE)</f>
        <v>1802.39577375</v>
      </c>
    </row>
    <row r="589" spans="1:41" hidden="1" x14ac:dyDescent="0.25">
      <c r="A589" s="16" t="s">
        <v>473</v>
      </c>
      <c r="B589" s="15" t="s">
        <v>40</v>
      </c>
      <c r="C589" s="16">
        <v>1</v>
      </c>
      <c r="D589" s="16" t="s">
        <v>2446</v>
      </c>
      <c r="E589" s="17" t="s">
        <v>42</v>
      </c>
      <c r="F589" s="18" t="s">
        <v>391</v>
      </c>
      <c r="G589" s="18" t="s">
        <v>2447</v>
      </c>
      <c r="H589" s="16" t="s">
        <v>693</v>
      </c>
      <c r="I589" s="19" t="s">
        <v>3</v>
      </c>
      <c r="J589" s="16" t="s">
        <v>12</v>
      </c>
      <c r="K589" s="20" t="s">
        <v>198</v>
      </c>
      <c r="L589" s="20" t="s">
        <v>1792</v>
      </c>
      <c r="M589" s="16" t="s">
        <v>1793</v>
      </c>
      <c r="N589" s="16">
        <v>0</v>
      </c>
      <c r="O589" s="16" t="s">
        <v>50</v>
      </c>
      <c r="P589" s="20">
        <v>40</v>
      </c>
      <c r="Q589" s="20" t="s">
        <v>86</v>
      </c>
      <c r="R589" s="21" t="s">
        <v>129</v>
      </c>
      <c r="S589" s="22" t="s">
        <v>130</v>
      </c>
      <c r="T589" s="22" t="s">
        <v>54</v>
      </c>
      <c r="U589" s="23" t="s">
        <v>178</v>
      </c>
      <c r="V589" s="24">
        <v>1.05</v>
      </c>
      <c r="W589" s="25">
        <v>1433.25</v>
      </c>
      <c r="X589" s="26">
        <v>1</v>
      </c>
      <c r="Y589" s="27">
        <v>1.78</v>
      </c>
      <c r="Z589" s="23">
        <v>5</v>
      </c>
      <c r="AA589" s="28">
        <v>0.35599999999999998</v>
      </c>
      <c r="AB589" s="24">
        <v>0</v>
      </c>
      <c r="AC589" s="29">
        <v>0</v>
      </c>
      <c r="AD589" s="30">
        <v>43577</v>
      </c>
      <c r="AE589" s="30">
        <v>43577</v>
      </c>
      <c r="AF589" s="23">
        <v>0</v>
      </c>
      <c r="AG589" s="25" t="s">
        <v>56</v>
      </c>
      <c r="AH589" s="24">
        <v>0</v>
      </c>
      <c r="AI589" s="31">
        <v>0</v>
      </c>
      <c r="AJ589" s="31">
        <v>0</v>
      </c>
      <c r="AK589" s="44">
        <f t="shared" si="18"/>
        <v>1433.25</v>
      </c>
      <c r="AL589">
        <f>VLOOKUP(A589,'[1]prueba con 16mil datos'!$A$1:$AE$804,31,FALSE)</f>
        <v>1258.4000000000001</v>
      </c>
      <c r="AM589">
        <f t="shared" si="19"/>
        <v>0</v>
      </c>
      <c r="AO589">
        <f>VLOOKUP(A589,'[1]Prueba con 19mil datos'!$B$1:$AF$1228,31,FALSE)</f>
        <v>1258.4000000000001</v>
      </c>
    </row>
    <row r="590" spans="1:41" hidden="1" x14ac:dyDescent="0.25">
      <c r="A590" s="16" t="s">
        <v>473</v>
      </c>
      <c r="B590" s="15" t="s">
        <v>40</v>
      </c>
      <c r="C590" s="16">
        <v>1</v>
      </c>
      <c r="D590" s="16" t="s">
        <v>2528</v>
      </c>
      <c r="E590" s="17" t="s">
        <v>42</v>
      </c>
      <c r="F590" s="18" t="s">
        <v>328</v>
      </c>
      <c r="G590" s="18" t="s">
        <v>2529</v>
      </c>
      <c r="H590" s="16" t="s">
        <v>693</v>
      </c>
      <c r="I590" s="19" t="s">
        <v>3</v>
      </c>
      <c r="J590" s="16" t="s">
        <v>12</v>
      </c>
      <c r="K590" s="20" t="s">
        <v>398</v>
      </c>
      <c r="L590" s="20" t="s">
        <v>2531</v>
      </c>
      <c r="M590" s="16" t="s">
        <v>695</v>
      </c>
      <c r="N590" s="16">
        <v>0</v>
      </c>
      <c r="O590" s="16" t="s">
        <v>50</v>
      </c>
      <c r="P590" s="20">
        <v>167</v>
      </c>
      <c r="Q590" s="20" t="s">
        <v>51</v>
      </c>
      <c r="R590" s="21" t="s">
        <v>148</v>
      </c>
      <c r="S590" s="22" t="s">
        <v>130</v>
      </c>
      <c r="T590" s="22" t="s">
        <v>54</v>
      </c>
      <c r="U590" s="23" t="s">
        <v>226</v>
      </c>
      <c r="V590" s="24">
        <v>1.1000000000000001</v>
      </c>
      <c r="W590" s="25">
        <v>1501.5000000000002</v>
      </c>
      <c r="X590" s="26">
        <v>1</v>
      </c>
      <c r="Y590" s="27">
        <v>4.22</v>
      </c>
      <c r="Z590" s="23">
        <v>5</v>
      </c>
      <c r="AA590" s="28">
        <v>0.84399999999999997</v>
      </c>
      <c r="AB590" s="24">
        <v>0</v>
      </c>
      <c r="AC590" s="29">
        <v>0</v>
      </c>
      <c r="AD590" s="30">
        <v>43577</v>
      </c>
      <c r="AE590" s="30">
        <v>43578</v>
      </c>
      <c r="AF590" s="23">
        <v>1</v>
      </c>
      <c r="AG590" s="25" t="s">
        <v>56</v>
      </c>
      <c r="AH590" s="24">
        <v>0</v>
      </c>
      <c r="AI590" s="31">
        <v>0</v>
      </c>
      <c r="AJ590" s="31">
        <v>0</v>
      </c>
      <c r="AK590" s="44">
        <f t="shared" si="18"/>
        <v>1501.5000000000002</v>
      </c>
      <c r="AL590">
        <f>VLOOKUP(A590,'[1]prueba con 16mil datos'!$A$1:$AE$804,31,FALSE)</f>
        <v>1258.4000000000001</v>
      </c>
      <c r="AM590">
        <f t="shared" si="19"/>
        <v>0</v>
      </c>
      <c r="AO590">
        <f>VLOOKUP(A590,'[1]Prueba con 19mil datos'!$B$1:$AF$1228,31,FALSE)</f>
        <v>1258.4000000000001</v>
      </c>
    </row>
    <row r="591" spans="1:41" hidden="1" x14ac:dyDescent="0.25">
      <c r="A591" s="16" t="s">
        <v>473</v>
      </c>
      <c r="B591" s="15" t="s">
        <v>40</v>
      </c>
      <c r="C591" s="16">
        <v>1</v>
      </c>
      <c r="D591" s="16" t="s">
        <v>2470</v>
      </c>
      <c r="E591" s="17" t="s">
        <v>42</v>
      </c>
      <c r="F591" s="18" t="s">
        <v>281</v>
      </c>
      <c r="G591" s="18" t="s">
        <v>2471</v>
      </c>
      <c r="H591" s="16" t="s">
        <v>621</v>
      </c>
      <c r="I591" s="19" t="s">
        <v>3</v>
      </c>
      <c r="J591" s="16" t="s">
        <v>12</v>
      </c>
      <c r="K591" s="20" t="s">
        <v>126</v>
      </c>
      <c r="L591" s="20" t="s">
        <v>1378</v>
      </c>
      <c r="M591" s="16" t="s">
        <v>1379</v>
      </c>
      <c r="N591" s="16">
        <v>0</v>
      </c>
      <c r="O591" s="16" t="s">
        <v>50</v>
      </c>
      <c r="P591" s="20">
        <v>5</v>
      </c>
      <c r="Q591" s="20" t="s">
        <v>311</v>
      </c>
      <c r="R591" s="21" t="s">
        <v>287</v>
      </c>
      <c r="S591" s="22" t="s">
        <v>288</v>
      </c>
      <c r="T591" s="22" t="s">
        <v>54</v>
      </c>
      <c r="U591" s="23" t="s">
        <v>362</v>
      </c>
      <c r="V591" s="24">
        <v>0.6</v>
      </c>
      <c r="W591" s="25">
        <v>943.80000000000007</v>
      </c>
      <c r="X591" s="26">
        <v>1</v>
      </c>
      <c r="Y591" s="27">
        <v>4.17</v>
      </c>
      <c r="Z591" s="23">
        <v>4</v>
      </c>
      <c r="AA591" s="28">
        <v>1.0425</v>
      </c>
      <c r="AB591" s="24">
        <v>1.0624999999999996E-2</v>
      </c>
      <c r="AC591" s="29">
        <v>-16.713124999999994</v>
      </c>
      <c r="AD591" s="30">
        <v>43577</v>
      </c>
      <c r="AE591" s="30">
        <v>43578</v>
      </c>
      <c r="AF591" s="23">
        <v>1</v>
      </c>
      <c r="AG591" s="25" t="s">
        <v>56</v>
      </c>
      <c r="AH591" s="24">
        <v>0</v>
      </c>
      <c r="AI591" s="31">
        <v>0</v>
      </c>
      <c r="AJ591" s="31">
        <v>0</v>
      </c>
      <c r="AK591" s="44">
        <f t="shared" si="18"/>
        <v>927.08687500000008</v>
      </c>
      <c r="AL591">
        <f>VLOOKUP(A591,'[1]prueba con 16mil datos'!$A$1:$AE$804,31,FALSE)</f>
        <v>1258.4000000000001</v>
      </c>
      <c r="AM591">
        <f t="shared" si="19"/>
        <v>0</v>
      </c>
      <c r="AO591">
        <f>VLOOKUP(A591,'[1]Prueba con 19mil datos'!$B$1:$AF$1228,31,FALSE)</f>
        <v>1258.4000000000001</v>
      </c>
    </row>
    <row r="592" spans="1:41" hidden="1" x14ac:dyDescent="0.25">
      <c r="A592" s="16" t="s">
        <v>473</v>
      </c>
      <c r="B592" s="15" t="s">
        <v>40</v>
      </c>
      <c r="C592" s="16">
        <v>1</v>
      </c>
      <c r="D592" s="16" t="s">
        <v>2373</v>
      </c>
      <c r="E592" s="17" t="s">
        <v>42</v>
      </c>
      <c r="F592" s="18" t="s">
        <v>99</v>
      </c>
      <c r="G592" s="18" t="s">
        <v>2374</v>
      </c>
      <c r="H592" s="16" t="s">
        <v>821</v>
      </c>
      <c r="I592" s="19" t="s">
        <v>3</v>
      </c>
      <c r="J592" s="16" t="s">
        <v>12</v>
      </c>
      <c r="K592" s="20" t="s">
        <v>214</v>
      </c>
      <c r="L592" s="20" t="s">
        <v>2376</v>
      </c>
      <c r="M592" s="16" t="s">
        <v>823</v>
      </c>
      <c r="N592" s="16">
        <v>0</v>
      </c>
      <c r="O592" s="16" t="s">
        <v>50</v>
      </c>
      <c r="P592" s="20">
        <v>1191</v>
      </c>
      <c r="Q592" s="20" t="s">
        <v>51</v>
      </c>
      <c r="R592" s="21" t="s">
        <v>77</v>
      </c>
      <c r="S592" s="22" t="s">
        <v>53</v>
      </c>
      <c r="T592" s="22" t="s">
        <v>54</v>
      </c>
      <c r="U592" s="23" t="s">
        <v>55</v>
      </c>
      <c r="V592" s="24">
        <v>1.05</v>
      </c>
      <c r="W592" s="25">
        <v>750.75000000000011</v>
      </c>
      <c r="X592" s="26">
        <v>1</v>
      </c>
      <c r="Y592" s="27">
        <v>1.66</v>
      </c>
      <c r="Z592" s="23">
        <v>5</v>
      </c>
      <c r="AA592" s="28">
        <v>0.33199999999999996</v>
      </c>
      <c r="AB592" s="24">
        <v>0</v>
      </c>
      <c r="AC592" s="29">
        <v>0</v>
      </c>
      <c r="AD592" s="30">
        <v>43577</v>
      </c>
      <c r="AE592" s="30">
        <v>43577</v>
      </c>
      <c r="AF592" s="23">
        <v>0</v>
      </c>
      <c r="AG592" s="25" t="s">
        <v>56</v>
      </c>
      <c r="AH592" s="24">
        <v>0</v>
      </c>
      <c r="AI592" s="31">
        <v>0</v>
      </c>
      <c r="AJ592" s="31">
        <v>0</v>
      </c>
      <c r="AK592" s="44">
        <f t="shared" si="18"/>
        <v>750.75000000000011</v>
      </c>
      <c r="AL592">
        <f>VLOOKUP(A592,'[1]prueba con 16mil datos'!$A$1:$AE$804,31,FALSE)</f>
        <v>1258.4000000000001</v>
      </c>
      <c r="AM592">
        <f t="shared" si="19"/>
        <v>0</v>
      </c>
      <c r="AO592">
        <f>VLOOKUP(A592,'[1]Prueba con 19mil datos'!$B$1:$AF$1228,31,FALSE)</f>
        <v>1258.4000000000001</v>
      </c>
    </row>
    <row r="593" spans="1:41" hidden="1" x14ac:dyDescent="0.25">
      <c r="A593" s="16" t="s">
        <v>300</v>
      </c>
      <c r="B593" s="15" t="s">
        <v>40</v>
      </c>
      <c r="C593" s="16">
        <v>1</v>
      </c>
      <c r="D593" s="16" t="s">
        <v>2437</v>
      </c>
      <c r="E593" s="17" t="s">
        <v>42</v>
      </c>
      <c r="F593" s="18" t="s">
        <v>228</v>
      </c>
      <c r="G593" s="18" t="s">
        <v>2438</v>
      </c>
      <c r="H593" s="16" t="s">
        <v>243</v>
      </c>
      <c r="I593" s="19" t="s">
        <v>3</v>
      </c>
      <c r="J593" s="16" t="s">
        <v>12</v>
      </c>
      <c r="K593" s="20" t="s">
        <v>791</v>
      </c>
      <c r="L593" s="20" t="s">
        <v>792</v>
      </c>
      <c r="M593" s="16" t="s">
        <v>429</v>
      </c>
      <c r="N593" s="16">
        <v>0</v>
      </c>
      <c r="O593" s="16" t="s">
        <v>50</v>
      </c>
      <c r="P593" s="20">
        <v>61</v>
      </c>
      <c r="Q593" s="20" t="s">
        <v>51</v>
      </c>
      <c r="R593" s="21" t="s">
        <v>87</v>
      </c>
      <c r="S593" s="22" t="s">
        <v>53</v>
      </c>
      <c r="T593" s="22" t="s">
        <v>54</v>
      </c>
      <c r="U593" s="23" t="s">
        <v>55</v>
      </c>
      <c r="V593" s="24">
        <v>1.05</v>
      </c>
      <c r="W593" s="25">
        <v>750.75000000000011</v>
      </c>
      <c r="X593" s="26">
        <v>1</v>
      </c>
      <c r="Y593" s="27">
        <v>2.44</v>
      </c>
      <c r="Z593" s="23">
        <v>5</v>
      </c>
      <c r="AA593" s="28">
        <v>0.48799999999999999</v>
      </c>
      <c r="AB593" s="24">
        <v>0</v>
      </c>
      <c r="AC593" s="29">
        <v>0</v>
      </c>
      <c r="AD593" s="30">
        <v>43577</v>
      </c>
      <c r="AE593" s="30">
        <v>43577</v>
      </c>
      <c r="AF593" s="23">
        <v>0</v>
      </c>
      <c r="AG593" s="25" t="s">
        <v>56</v>
      </c>
      <c r="AH593" s="24">
        <v>0</v>
      </c>
      <c r="AI593" s="31">
        <v>0</v>
      </c>
      <c r="AJ593" s="31">
        <v>0</v>
      </c>
      <c r="AK593" s="44">
        <f t="shared" si="18"/>
        <v>750.75000000000011</v>
      </c>
      <c r="AL593">
        <f>VLOOKUP(A593,'[1]prueba con 16mil datos'!$A$1:$AE$804,31,FALSE)</f>
        <v>819</v>
      </c>
      <c r="AM593">
        <f t="shared" si="19"/>
        <v>0</v>
      </c>
      <c r="AO593">
        <f>VLOOKUP(A593,'[1]Prueba con 19mil datos'!$B$1:$AF$1228,31,FALSE)</f>
        <v>819</v>
      </c>
    </row>
    <row r="594" spans="1:41" hidden="1" x14ac:dyDescent="0.25">
      <c r="A594" s="16" t="s">
        <v>300</v>
      </c>
      <c r="B594" s="15" t="s">
        <v>40</v>
      </c>
      <c r="C594" s="16">
        <v>1</v>
      </c>
      <c r="D594" s="16" t="s">
        <v>2402</v>
      </c>
      <c r="E594" s="17" t="s">
        <v>42</v>
      </c>
      <c r="F594" s="18" t="s">
        <v>2075</v>
      </c>
      <c r="G594" s="18" t="s">
        <v>2403</v>
      </c>
      <c r="H594" s="16" t="s">
        <v>293</v>
      </c>
      <c r="I594" s="19" t="s">
        <v>3</v>
      </c>
      <c r="J594" s="16" t="s">
        <v>12</v>
      </c>
      <c r="K594" s="20" t="s">
        <v>126</v>
      </c>
      <c r="L594" s="20" t="s">
        <v>1577</v>
      </c>
      <c r="M594" s="16" t="s">
        <v>372</v>
      </c>
      <c r="N594" s="16">
        <v>0</v>
      </c>
      <c r="O594" s="16" t="s">
        <v>50</v>
      </c>
      <c r="P594" s="20">
        <v>38</v>
      </c>
      <c r="Q594" s="20" t="s">
        <v>86</v>
      </c>
      <c r="R594" s="21" t="s">
        <v>287</v>
      </c>
      <c r="S594" s="22" t="s">
        <v>288</v>
      </c>
      <c r="T594" s="22" t="s">
        <v>54</v>
      </c>
      <c r="U594" s="23" t="s">
        <v>188</v>
      </c>
      <c r="V594" s="24">
        <v>1.1000000000000001</v>
      </c>
      <c r="W594" s="25">
        <v>1730.3000000000004</v>
      </c>
      <c r="X594" s="26">
        <v>1</v>
      </c>
      <c r="Y594" s="27">
        <v>1.53</v>
      </c>
      <c r="Z594" s="23">
        <v>4</v>
      </c>
      <c r="AA594" s="28">
        <v>0.38250000000000001</v>
      </c>
      <c r="AB594" s="24">
        <v>0</v>
      </c>
      <c r="AC594" s="29">
        <v>0</v>
      </c>
      <c r="AD594" s="30">
        <v>43577</v>
      </c>
      <c r="AE594" s="30">
        <v>43577</v>
      </c>
      <c r="AF594" s="23">
        <v>0</v>
      </c>
      <c r="AG594" s="25" t="s">
        <v>56</v>
      </c>
      <c r="AH594" s="24">
        <v>0</v>
      </c>
      <c r="AI594" s="31">
        <v>0</v>
      </c>
      <c r="AJ594" s="31">
        <v>0</v>
      </c>
      <c r="AK594" s="44">
        <f t="shared" si="18"/>
        <v>1730.3000000000004</v>
      </c>
      <c r="AL594">
        <f>VLOOKUP(A594,'[1]prueba con 16mil datos'!$A$1:$AE$804,31,FALSE)</f>
        <v>819</v>
      </c>
      <c r="AM594">
        <f t="shared" si="19"/>
        <v>0</v>
      </c>
      <c r="AO594">
        <f>VLOOKUP(A594,'[1]Prueba con 19mil datos'!$B$1:$AF$1228,31,FALSE)</f>
        <v>819</v>
      </c>
    </row>
    <row r="595" spans="1:41" hidden="1" x14ac:dyDescent="0.25">
      <c r="A595" s="16" t="s">
        <v>300</v>
      </c>
      <c r="B595" s="15" t="s">
        <v>40</v>
      </c>
      <c r="C595" s="16">
        <v>1</v>
      </c>
      <c r="D595" s="16" t="s">
        <v>2400</v>
      </c>
      <c r="E595" s="17" t="s">
        <v>42</v>
      </c>
      <c r="F595" s="18" t="s">
        <v>733</v>
      </c>
      <c r="G595" s="18" t="s">
        <v>2401</v>
      </c>
      <c r="H595" s="16" t="s">
        <v>61</v>
      </c>
      <c r="I595" s="19" t="s">
        <v>3</v>
      </c>
      <c r="J595" s="16" t="s">
        <v>12</v>
      </c>
      <c r="K595" s="20" t="s">
        <v>198</v>
      </c>
      <c r="L595" s="20" t="s">
        <v>586</v>
      </c>
      <c r="M595" s="16" t="s">
        <v>118</v>
      </c>
      <c r="N595" s="16">
        <v>0</v>
      </c>
      <c r="O595" s="16" t="s">
        <v>50</v>
      </c>
      <c r="P595" s="20">
        <v>7</v>
      </c>
      <c r="Q595" s="20" t="s">
        <v>65</v>
      </c>
      <c r="R595" s="21" t="s">
        <v>279</v>
      </c>
      <c r="S595" s="22" t="s">
        <v>187</v>
      </c>
      <c r="T595" s="22" t="s">
        <v>54</v>
      </c>
      <c r="U595" s="23" t="s">
        <v>201</v>
      </c>
      <c r="V595" s="24">
        <v>0.8</v>
      </c>
      <c r="W595" s="25">
        <v>1258.4000000000003</v>
      </c>
      <c r="X595" s="26">
        <v>1</v>
      </c>
      <c r="Y595" s="27">
        <v>4</v>
      </c>
      <c r="Z595" s="23">
        <v>4</v>
      </c>
      <c r="AA595" s="28">
        <v>1</v>
      </c>
      <c r="AB595" s="24">
        <v>0</v>
      </c>
      <c r="AC595" s="29">
        <v>0</v>
      </c>
      <c r="AD595" s="30">
        <v>43577</v>
      </c>
      <c r="AE595" s="30">
        <v>43577</v>
      </c>
      <c r="AF595" s="23">
        <v>0</v>
      </c>
      <c r="AG595" s="25" t="s">
        <v>56</v>
      </c>
      <c r="AH595" s="24">
        <v>0</v>
      </c>
      <c r="AI595" s="31">
        <v>0</v>
      </c>
      <c r="AJ595" s="31">
        <v>0</v>
      </c>
      <c r="AK595" s="44">
        <f t="shared" si="18"/>
        <v>1258.4000000000003</v>
      </c>
      <c r="AL595">
        <f>VLOOKUP(A595,'[1]prueba con 16mil datos'!$A$1:$AE$804,31,FALSE)</f>
        <v>819</v>
      </c>
      <c r="AM595">
        <f t="shared" si="19"/>
        <v>0</v>
      </c>
      <c r="AO595">
        <f>VLOOKUP(A595,'[1]Prueba con 19mil datos'!$B$1:$AF$1228,31,FALSE)</f>
        <v>819</v>
      </c>
    </row>
    <row r="596" spans="1:41" hidden="1" x14ac:dyDescent="0.25">
      <c r="A596" s="16" t="s">
        <v>300</v>
      </c>
      <c r="B596" s="15" t="s">
        <v>40</v>
      </c>
      <c r="C596" s="16">
        <v>1</v>
      </c>
      <c r="D596" s="16" t="s">
        <v>2466</v>
      </c>
      <c r="E596" s="17" t="s">
        <v>42</v>
      </c>
      <c r="F596" s="18" t="s">
        <v>275</v>
      </c>
      <c r="G596" s="18" t="s">
        <v>2467</v>
      </c>
      <c r="H596" s="16" t="s">
        <v>621</v>
      </c>
      <c r="I596" s="19" t="s">
        <v>3</v>
      </c>
      <c r="J596" s="16" t="s">
        <v>12</v>
      </c>
      <c r="K596" s="20" t="s">
        <v>126</v>
      </c>
      <c r="L596" s="20" t="s">
        <v>1378</v>
      </c>
      <c r="M596" s="16" t="s">
        <v>1379</v>
      </c>
      <c r="N596" s="16">
        <v>0</v>
      </c>
      <c r="O596" s="16" t="s">
        <v>50</v>
      </c>
      <c r="P596" s="20">
        <v>5</v>
      </c>
      <c r="Q596" s="20" t="s">
        <v>311</v>
      </c>
      <c r="R596" s="21" t="s">
        <v>279</v>
      </c>
      <c r="S596" s="22" t="s">
        <v>187</v>
      </c>
      <c r="T596" s="22" t="s">
        <v>54</v>
      </c>
      <c r="U596" s="23" t="s">
        <v>362</v>
      </c>
      <c r="V596" s="24">
        <v>0.6</v>
      </c>
      <c r="W596" s="25">
        <v>943.80000000000007</v>
      </c>
      <c r="X596" s="26">
        <v>1</v>
      </c>
      <c r="Y596" s="27">
        <v>2.36</v>
      </c>
      <c r="Z596" s="23">
        <v>4</v>
      </c>
      <c r="AA596" s="28">
        <v>0.59</v>
      </c>
      <c r="AB596" s="24">
        <v>0</v>
      </c>
      <c r="AC596" s="29">
        <v>0</v>
      </c>
      <c r="AD596" s="30">
        <v>43577</v>
      </c>
      <c r="AE596" s="30">
        <v>43578</v>
      </c>
      <c r="AF596" s="23">
        <v>1</v>
      </c>
      <c r="AG596" s="25" t="s">
        <v>56</v>
      </c>
      <c r="AH596" s="24">
        <v>0</v>
      </c>
      <c r="AI596" s="31">
        <v>0</v>
      </c>
      <c r="AJ596" s="31">
        <v>0</v>
      </c>
      <c r="AK596" s="44">
        <f t="shared" si="18"/>
        <v>943.80000000000007</v>
      </c>
      <c r="AL596">
        <f>VLOOKUP(A596,'[1]prueba con 16mil datos'!$A$1:$AE$804,31,FALSE)</f>
        <v>819</v>
      </c>
      <c r="AM596">
        <f t="shared" si="19"/>
        <v>0</v>
      </c>
      <c r="AO596">
        <f>VLOOKUP(A596,'[1]Prueba con 19mil datos'!$B$1:$AF$1228,31,FALSE)</f>
        <v>819</v>
      </c>
    </row>
    <row r="597" spans="1:41" hidden="1" x14ac:dyDescent="0.25">
      <c r="A597" s="16" t="s">
        <v>1446</v>
      </c>
      <c r="B597" s="15" t="s">
        <v>40</v>
      </c>
      <c r="C597" s="16">
        <v>1</v>
      </c>
      <c r="D597" s="16" t="s">
        <v>2391</v>
      </c>
      <c r="E597" s="17" t="s">
        <v>42</v>
      </c>
      <c r="F597" s="18" t="s">
        <v>275</v>
      </c>
      <c r="G597" s="18" t="s">
        <v>2392</v>
      </c>
      <c r="H597" s="16" t="s">
        <v>463</v>
      </c>
      <c r="I597" s="19" t="s">
        <v>3</v>
      </c>
      <c r="J597" s="16" t="s">
        <v>12</v>
      </c>
      <c r="K597" s="20" t="s">
        <v>126</v>
      </c>
      <c r="L597" s="20" t="s">
        <v>464</v>
      </c>
      <c r="M597" s="16" t="s">
        <v>76</v>
      </c>
      <c r="N597" s="16">
        <v>0</v>
      </c>
      <c r="O597" s="16" t="s">
        <v>50</v>
      </c>
      <c r="P597" s="20">
        <v>5</v>
      </c>
      <c r="Q597" s="20" t="s">
        <v>311</v>
      </c>
      <c r="R597" s="21" t="s">
        <v>279</v>
      </c>
      <c r="S597" s="22" t="s">
        <v>187</v>
      </c>
      <c r="T597" s="22" t="s">
        <v>54</v>
      </c>
      <c r="U597" s="23" t="s">
        <v>362</v>
      </c>
      <c r="V597" s="24">
        <v>0.6</v>
      </c>
      <c r="W597" s="25">
        <v>943.80000000000007</v>
      </c>
      <c r="X597" s="26">
        <v>1</v>
      </c>
      <c r="Y597" s="27">
        <v>9</v>
      </c>
      <c r="Z597" s="23">
        <v>4</v>
      </c>
      <c r="AA597" s="28">
        <v>2.25</v>
      </c>
      <c r="AB597" s="24">
        <v>0.3125</v>
      </c>
      <c r="AC597" s="29">
        <v>-491.56250000000006</v>
      </c>
      <c r="AD597" s="30">
        <v>43577</v>
      </c>
      <c r="AE597" s="30">
        <v>43577</v>
      </c>
      <c r="AF597" s="23">
        <v>0</v>
      </c>
      <c r="AG597" s="25" t="s">
        <v>56</v>
      </c>
      <c r="AH597" s="24">
        <v>0</v>
      </c>
      <c r="AI597" s="31">
        <v>0</v>
      </c>
      <c r="AJ597" s="31">
        <v>0</v>
      </c>
      <c r="AK597" s="44">
        <f t="shared" si="18"/>
        <v>452.23750000000001</v>
      </c>
      <c r="AL597">
        <f>VLOOKUP(A597,'[1]prueba con 16mil datos'!$A$1:$AE$804,31,FALSE)</f>
        <v>1092</v>
      </c>
      <c r="AM597">
        <f t="shared" si="19"/>
        <v>0</v>
      </c>
      <c r="AO597">
        <f>VLOOKUP(A597,'[1]Prueba con 19mil datos'!$B$1:$AF$1228,31,FALSE)</f>
        <v>819</v>
      </c>
    </row>
    <row r="598" spans="1:41" hidden="1" x14ac:dyDescent="0.25">
      <c r="A598" s="16" t="s">
        <v>1446</v>
      </c>
      <c r="B598" s="15" t="s">
        <v>40</v>
      </c>
      <c r="C598" s="16">
        <v>1</v>
      </c>
      <c r="D598" s="16" t="s">
        <v>2384</v>
      </c>
      <c r="E598" s="17" t="s">
        <v>42</v>
      </c>
      <c r="F598" s="18" t="s">
        <v>275</v>
      </c>
      <c r="G598" s="18" t="s">
        <v>2385</v>
      </c>
      <c r="H598" s="16" t="s">
        <v>73</v>
      </c>
      <c r="I598" s="19" t="s">
        <v>3</v>
      </c>
      <c r="J598" s="16" t="s">
        <v>12</v>
      </c>
      <c r="K598" s="20" t="s">
        <v>126</v>
      </c>
      <c r="L598" s="20" t="s">
        <v>2387</v>
      </c>
      <c r="M598" s="16" t="s">
        <v>596</v>
      </c>
      <c r="N598" s="16">
        <v>0</v>
      </c>
      <c r="O598" s="16" t="s">
        <v>50</v>
      </c>
      <c r="P598" s="20">
        <v>30</v>
      </c>
      <c r="Q598" s="20" t="s">
        <v>119</v>
      </c>
      <c r="R598" s="21" t="s">
        <v>279</v>
      </c>
      <c r="S598" s="22" t="s">
        <v>187</v>
      </c>
      <c r="T598" s="22" t="s">
        <v>54</v>
      </c>
      <c r="U598" s="23" t="s">
        <v>269</v>
      </c>
      <c r="V598" s="24">
        <v>1.05</v>
      </c>
      <c r="W598" s="25">
        <v>1651.6500000000003</v>
      </c>
      <c r="X598" s="26">
        <v>1</v>
      </c>
      <c r="Y598" s="27">
        <v>0</v>
      </c>
      <c r="Z598" s="23">
        <v>4</v>
      </c>
      <c r="AA598" s="28">
        <v>0</v>
      </c>
      <c r="AB598" s="24">
        <v>0</v>
      </c>
      <c r="AC598" s="29">
        <v>0</v>
      </c>
      <c r="AD598" s="30">
        <v>43577</v>
      </c>
      <c r="AE598" s="30">
        <v>43577</v>
      </c>
      <c r="AF598" s="23">
        <v>0</v>
      </c>
      <c r="AG598" s="25" t="s">
        <v>56</v>
      </c>
      <c r="AH598" s="24">
        <v>0</v>
      </c>
      <c r="AI598" s="31">
        <v>0</v>
      </c>
      <c r="AJ598" s="31">
        <v>0</v>
      </c>
      <c r="AK598" s="44">
        <f t="shared" si="18"/>
        <v>1651.6500000000003</v>
      </c>
      <c r="AL598">
        <f>VLOOKUP(A598,'[1]prueba con 16mil datos'!$A$1:$AE$804,31,FALSE)</f>
        <v>1092</v>
      </c>
      <c r="AM598">
        <f t="shared" si="19"/>
        <v>0</v>
      </c>
      <c r="AO598">
        <f>VLOOKUP(A598,'[1]Prueba con 19mil datos'!$B$1:$AF$1228,31,FALSE)</f>
        <v>819</v>
      </c>
    </row>
    <row r="599" spans="1:41" hidden="1" x14ac:dyDescent="0.25">
      <c r="A599" s="16" t="s">
        <v>1446</v>
      </c>
      <c r="B599" s="15" t="s">
        <v>40</v>
      </c>
      <c r="C599" s="16">
        <v>1</v>
      </c>
      <c r="D599" s="16" t="s">
        <v>2405</v>
      </c>
      <c r="E599" s="17" t="s">
        <v>42</v>
      </c>
      <c r="F599" s="18" t="s">
        <v>275</v>
      </c>
      <c r="G599" s="18" t="s">
        <v>2406</v>
      </c>
      <c r="H599" s="16" t="s">
        <v>143</v>
      </c>
      <c r="I599" s="19" t="s">
        <v>3</v>
      </c>
      <c r="J599" s="16" t="s">
        <v>12</v>
      </c>
      <c r="K599" s="20" t="s">
        <v>126</v>
      </c>
      <c r="L599" s="20" t="s">
        <v>1626</v>
      </c>
      <c r="M599" s="16" t="s">
        <v>367</v>
      </c>
      <c r="N599" s="16">
        <v>0</v>
      </c>
      <c r="O599" s="16" t="s">
        <v>50</v>
      </c>
      <c r="P599" s="20">
        <v>11</v>
      </c>
      <c r="Q599" s="20" t="s">
        <v>65</v>
      </c>
      <c r="R599" s="21" t="s">
        <v>279</v>
      </c>
      <c r="S599" s="22" t="s">
        <v>187</v>
      </c>
      <c r="T599" s="22" t="s">
        <v>54</v>
      </c>
      <c r="U599" s="23" t="s">
        <v>201</v>
      </c>
      <c r="V599" s="24">
        <v>0.8</v>
      </c>
      <c r="W599" s="25">
        <v>1258.4000000000003</v>
      </c>
      <c r="X599" s="26">
        <v>1</v>
      </c>
      <c r="Y599" s="27">
        <v>2.1800000000000002</v>
      </c>
      <c r="Z599" s="23">
        <v>4</v>
      </c>
      <c r="AA599" s="28">
        <v>0.54500000000000004</v>
      </c>
      <c r="AB599" s="24">
        <v>0</v>
      </c>
      <c r="AC599" s="29">
        <v>0</v>
      </c>
      <c r="AD599" s="30">
        <v>43577</v>
      </c>
      <c r="AE599" s="30">
        <v>43577</v>
      </c>
      <c r="AF599" s="23">
        <v>0</v>
      </c>
      <c r="AG599" s="25" t="s">
        <v>56</v>
      </c>
      <c r="AH599" s="24">
        <v>0</v>
      </c>
      <c r="AI599" s="31">
        <v>0</v>
      </c>
      <c r="AJ599" s="31">
        <v>0</v>
      </c>
      <c r="AK599" s="44">
        <f t="shared" si="18"/>
        <v>1258.4000000000003</v>
      </c>
      <c r="AL599">
        <f>VLOOKUP(A599,'[1]prueba con 16mil datos'!$A$1:$AE$804,31,FALSE)</f>
        <v>1092</v>
      </c>
      <c r="AM599">
        <f t="shared" si="19"/>
        <v>0</v>
      </c>
      <c r="AO599">
        <f>VLOOKUP(A599,'[1]Prueba con 19mil datos'!$B$1:$AF$1228,31,FALSE)</f>
        <v>819</v>
      </c>
    </row>
    <row r="600" spans="1:41" hidden="1" x14ac:dyDescent="0.25">
      <c r="A600" s="16" t="s">
        <v>60</v>
      </c>
      <c r="B600" s="15" t="s">
        <v>40</v>
      </c>
      <c r="C600" s="16">
        <v>1</v>
      </c>
      <c r="D600" s="16" t="s">
        <v>2472</v>
      </c>
      <c r="E600" s="17" t="s">
        <v>42</v>
      </c>
      <c r="F600" s="18" t="s">
        <v>275</v>
      </c>
      <c r="G600" s="18" t="s">
        <v>2473</v>
      </c>
      <c r="H600" s="16" t="s">
        <v>621</v>
      </c>
      <c r="I600" s="19" t="s">
        <v>3</v>
      </c>
      <c r="J600" s="16" t="s">
        <v>12</v>
      </c>
      <c r="K600" s="20" t="s">
        <v>126</v>
      </c>
      <c r="L600" s="20" t="s">
        <v>1378</v>
      </c>
      <c r="M600" s="16" t="s">
        <v>1379</v>
      </c>
      <c r="N600" s="16">
        <v>0</v>
      </c>
      <c r="O600" s="16" t="s">
        <v>50</v>
      </c>
      <c r="P600" s="20">
        <v>5</v>
      </c>
      <c r="Q600" s="20" t="s">
        <v>311</v>
      </c>
      <c r="R600" s="21" t="s">
        <v>279</v>
      </c>
      <c r="S600" s="22" t="s">
        <v>187</v>
      </c>
      <c r="T600" s="22" t="s">
        <v>54</v>
      </c>
      <c r="U600" s="23" t="s">
        <v>362</v>
      </c>
      <c r="V600" s="24">
        <v>0.6</v>
      </c>
      <c r="W600" s="25">
        <v>943.80000000000007</v>
      </c>
      <c r="X600" s="26">
        <v>1</v>
      </c>
      <c r="Y600" s="27">
        <v>4.22</v>
      </c>
      <c r="Z600" s="23">
        <v>4</v>
      </c>
      <c r="AA600" s="28">
        <v>1.0549999999999999</v>
      </c>
      <c r="AB600" s="24">
        <v>1.3749999999999984E-2</v>
      </c>
      <c r="AC600" s="29">
        <v>-21.628749999999979</v>
      </c>
      <c r="AD600" s="30">
        <v>43577</v>
      </c>
      <c r="AE600" s="30">
        <v>43578</v>
      </c>
      <c r="AF600" s="23">
        <v>1</v>
      </c>
      <c r="AG600" s="25" t="s">
        <v>56</v>
      </c>
      <c r="AH600" s="24">
        <v>0</v>
      </c>
      <c r="AI600" s="31">
        <v>0</v>
      </c>
      <c r="AJ600" s="31">
        <v>0</v>
      </c>
      <c r="AK600" s="44">
        <f t="shared" si="18"/>
        <v>922.1712500000001</v>
      </c>
      <c r="AL600">
        <f>VLOOKUP(A600,'[1]prueba con 16mil datos'!$A$1:$AE$804,31,FALSE)</f>
        <v>1716</v>
      </c>
      <c r="AM600">
        <f t="shared" si="19"/>
        <v>0</v>
      </c>
      <c r="AO600">
        <f>VLOOKUP(A600,'[1]Prueba con 19mil datos'!$B$1:$AF$1228,31,FALSE)</f>
        <v>1716</v>
      </c>
    </row>
    <row r="601" spans="1:41" hidden="1" x14ac:dyDescent="0.25">
      <c r="A601" s="16" t="s">
        <v>60</v>
      </c>
      <c r="B601" s="15" t="s">
        <v>40</v>
      </c>
      <c r="C601" s="16">
        <v>1</v>
      </c>
      <c r="D601" s="16" t="s">
        <v>2474</v>
      </c>
      <c r="E601" s="17" t="s">
        <v>42</v>
      </c>
      <c r="F601" s="18" t="s">
        <v>275</v>
      </c>
      <c r="G601" s="18" t="s">
        <v>2475</v>
      </c>
      <c r="H601" s="16" t="s">
        <v>346</v>
      </c>
      <c r="I601" s="19" t="s">
        <v>3</v>
      </c>
      <c r="J601" s="16" t="s">
        <v>12</v>
      </c>
      <c r="K601" s="20" t="s">
        <v>126</v>
      </c>
      <c r="L601" s="20" t="s">
        <v>2477</v>
      </c>
      <c r="M601" s="16" t="s">
        <v>459</v>
      </c>
      <c r="N601" s="16">
        <v>0</v>
      </c>
      <c r="O601" s="16" t="s">
        <v>50</v>
      </c>
      <c r="P601" s="20">
        <v>90</v>
      </c>
      <c r="Q601" s="20" t="s">
        <v>51</v>
      </c>
      <c r="R601" s="21" t="s">
        <v>279</v>
      </c>
      <c r="S601" s="22" t="s">
        <v>187</v>
      </c>
      <c r="T601" s="22" t="s">
        <v>54</v>
      </c>
      <c r="U601" s="23" t="s">
        <v>550</v>
      </c>
      <c r="V601" s="24">
        <v>1.1499999999999999</v>
      </c>
      <c r="W601" s="25">
        <v>1808.95</v>
      </c>
      <c r="X601" s="26">
        <v>1</v>
      </c>
      <c r="Y601" s="27">
        <v>1.85</v>
      </c>
      <c r="Z601" s="23">
        <v>4</v>
      </c>
      <c r="AA601" s="28">
        <v>0.46250000000000002</v>
      </c>
      <c r="AB601" s="24">
        <v>0</v>
      </c>
      <c r="AC601" s="29">
        <v>0</v>
      </c>
      <c r="AD601" s="30">
        <v>43577</v>
      </c>
      <c r="AE601" s="30">
        <v>43578</v>
      </c>
      <c r="AF601" s="23">
        <v>1</v>
      </c>
      <c r="AG601" s="25" t="s">
        <v>56</v>
      </c>
      <c r="AH601" s="24">
        <v>0</v>
      </c>
      <c r="AI601" s="31">
        <v>0</v>
      </c>
      <c r="AJ601" s="31">
        <v>0</v>
      </c>
      <c r="AK601" s="44">
        <f t="shared" si="18"/>
        <v>1808.95</v>
      </c>
      <c r="AL601">
        <f>VLOOKUP(A601,'[1]prueba con 16mil datos'!$A$1:$AE$804,31,FALSE)</f>
        <v>1716</v>
      </c>
      <c r="AM601">
        <f t="shared" si="19"/>
        <v>0</v>
      </c>
      <c r="AO601">
        <f>VLOOKUP(A601,'[1]Prueba con 19mil datos'!$B$1:$AF$1228,31,FALSE)</f>
        <v>1716</v>
      </c>
    </row>
    <row r="602" spans="1:41" hidden="1" x14ac:dyDescent="0.25">
      <c r="A602" s="16" t="s">
        <v>3129</v>
      </c>
      <c r="B602" s="15" t="s">
        <v>40</v>
      </c>
      <c r="C602" s="16">
        <v>1</v>
      </c>
      <c r="D602" s="16" t="s">
        <v>2515</v>
      </c>
      <c r="E602" s="17" t="s">
        <v>42</v>
      </c>
      <c r="F602" s="18" t="s">
        <v>275</v>
      </c>
      <c r="G602" s="18" t="s">
        <v>2516</v>
      </c>
      <c r="H602" s="16" t="s">
        <v>115</v>
      </c>
      <c r="I602" s="19" t="s">
        <v>3</v>
      </c>
      <c r="J602" s="16" t="s">
        <v>12</v>
      </c>
      <c r="K602" s="20" t="s">
        <v>126</v>
      </c>
      <c r="L602" s="20" t="s">
        <v>1152</v>
      </c>
      <c r="M602" s="16" t="s">
        <v>118</v>
      </c>
      <c r="N602" s="16">
        <v>0</v>
      </c>
      <c r="O602" s="16" t="s">
        <v>50</v>
      </c>
      <c r="P602" s="20">
        <v>27</v>
      </c>
      <c r="Q602" s="20" t="s">
        <v>119</v>
      </c>
      <c r="R602" s="21" t="s">
        <v>279</v>
      </c>
      <c r="S602" s="22" t="s">
        <v>187</v>
      </c>
      <c r="T602" s="22" t="s">
        <v>54</v>
      </c>
      <c r="U602" s="23" t="s">
        <v>269</v>
      </c>
      <c r="V602" s="24">
        <v>1.05</v>
      </c>
      <c r="W602" s="25">
        <v>1651.6500000000003</v>
      </c>
      <c r="X602" s="26">
        <v>1</v>
      </c>
      <c r="Y602" s="27">
        <v>1.56</v>
      </c>
      <c r="Z602" s="23">
        <v>4</v>
      </c>
      <c r="AA602" s="28">
        <v>0.39</v>
      </c>
      <c r="AB602" s="24">
        <v>0</v>
      </c>
      <c r="AC602" s="29">
        <v>0</v>
      </c>
      <c r="AD602" s="30">
        <v>43577</v>
      </c>
      <c r="AE602" s="30">
        <v>43578</v>
      </c>
      <c r="AF602" s="23">
        <v>1</v>
      </c>
      <c r="AG602" s="25" t="s">
        <v>56</v>
      </c>
      <c r="AH602" s="24">
        <v>0</v>
      </c>
      <c r="AI602" s="31">
        <v>0</v>
      </c>
      <c r="AJ602" s="31">
        <v>0</v>
      </c>
      <c r="AK602" s="44">
        <f t="shared" si="18"/>
        <v>1651.6500000000003</v>
      </c>
      <c r="AL602">
        <f>VLOOKUP(A602,'[1]prueba con 16mil datos'!$A$1:$AE$804,31,FALSE)</f>
        <v>1030.25</v>
      </c>
      <c r="AM602">
        <f t="shared" si="19"/>
        <v>0</v>
      </c>
      <c r="AO602">
        <f>VLOOKUP(A602,'[1]Prueba con 19mil datos'!$B$1:$AF$1228,31,FALSE)</f>
        <v>0</v>
      </c>
    </row>
    <row r="603" spans="1:41" hidden="1" x14ac:dyDescent="0.25">
      <c r="A603" s="16" t="s">
        <v>292</v>
      </c>
      <c r="B603" s="15" t="s">
        <v>40</v>
      </c>
      <c r="C603" s="16">
        <v>1</v>
      </c>
      <c r="D603" s="16" t="s">
        <v>2411</v>
      </c>
      <c r="E603" s="17" t="s">
        <v>42</v>
      </c>
      <c r="F603" s="18" t="s">
        <v>70</v>
      </c>
      <c r="G603" s="18" t="s">
        <v>2412</v>
      </c>
      <c r="H603" s="16" t="s">
        <v>82</v>
      </c>
      <c r="I603" s="19" t="s">
        <v>3</v>
      </c>
      <c r="J603" s="16" t="s">
        <v>12</v>
      </c>
      <c r="K603" s="20" t="s">
        <v>74</v>
      </c>
      <c r="L603" s="20" t="s">
        <v>2414</v>
      </c>
      <c r="M603" s="16" t="s">
        <v>85</v>
      </c>
      <c r="N603" s="16">
        <v>0</v>
      </c>
      <c r="O603" s="16" t="s">
        <v>50</v>
      </c>
      <c r="P603" s="20">
        <v>775</v>
      </c>
      <c r="Q603" s="20" t="s">
        <v>51</v>
      </c>
      <c r="R603" s="21" t="s">
        <v>77</v>
      </c>
      <c r="S603" s="22" t="s">
        <v>53</v>
      </c>
      <c r="T603" s="22" t="s">
        <v>54</v>
      </c>
      <c r="U603" s="23" t="s">
        <v>55</v>
      </c>
      <c r="V603" s="24">
        <v>1.05</v>
      </c>
      <c r="W603" s="25">
        <v>750.75000000000011</v>
      </c>
      <c r="X603" s="26">
        <v>1</v>
      </c>
      <c r="Y603" s="27">
        <v>0.93</v>
      </c>
      <c r="Z603" s="23">
        <v>5</v>
      </c>
      <c r="AA603" s="28">
        <v>0.186</v>
      </c>
      <c r="AB603" s="24">
        <v>0</v>
      </c>
      <c r="AC603" s="29">
        <v>0</v>
      </c>
      <c r="AD603" s="30">
        <v>43577</v>
      </c>
      <c r="AE603" s="30">
        <v>43577</v>
      </c>
      <c r="AF603" s="23">
        <v>0</v>
      </c>
      <c r="AG603" s="25" t="s">
        <v>56</v>
      </c>
      <c r="AH603" s="24">
        <v>0</v>
      </c>
      <c r="AI603" s="31">
        <v>0</v>
      </c>
      <c r="AJ603" s="31">
        <v>0</v>
      </c>
      <c r="AK603" s="44">
        <f t="shared" si="18"/>
        <v>750.75000000000011</v>
      </c>
      <c r="AL603">
        <f>VLOOKUP(A603,'[1]prueba con 16mil datos'!$A$1:$AE$804,31,FALSE)</f>
        <v>1501.5</v>
      </c>
      <c r="AM603">
        <f t="shared" si="19"/>
        <v>0</v>
      </c>
      <c r="AO603">
        <f>VLOOKUP(A603,'[1]Prueba con 19mil datos'!$B$1:$AF$1228,31,FALSE)</f>
        <v>1501.5</v>
      </c>
    </row>
    <row r="604" spans="1:41" hidden="1" x14ac:dyDescent="0.25">
      <c r="A604" s="16" t="s">
        <v>2290</v>
      </c>
      <c r="B604" s="15" t="s">
        <v>40</v>
      </c>
      <c r="C604" s="16">
        <v>1</v>
      </c>
      <c r="D604" s="16" t="s">
        <v>2422</v>
      </c>
      <c r="E604" s="17" t="s">
        <v>42</v>
      </c>
      <c r="F604" s="18" t="s">
        <v>70</v>
      </c>
      <c r="G604" s="18" t="s">
        <v>2423</v>
      </c>
      <c r="H604" s="16" t="s">
        <v>821</v>
      </c>
      <c r="I604" s="19" t="s">
        <v>3</v>
      </c>
      <c r="J604" s="16" t="s">
        <v>12</v>
      </c>
      <c r="K604" s="20" t="s">
        <v>47</v>
      </c>
      <c r="L604" s="20" t="s">
        <v>2425</v>
      </c>
      <c r="M604" s="16" t="s">
        <v>1054</v>
      </c>
      <c r="N604" s="16">
        <v>0</v>
      </c>
      <c r="O604" s="16" t="s">
        <v>50</v>
      </c>
      <c r="P604" s="20">
        <v>86</v>
      </c>
      <c r="Q604" s="20" t="s">
        <v>51</v>
      </c>
      <c r="R604" s="21" t="s">
        <v>77</v>
      </c>
      <c r="S604" s="22" t="s">
        <v>53</v>
      </c>
      <c r="T604" s="22" t="s">
        <v>54</v>
      </c>
      <c r="U604" s="23" t="s">
        <v>55</v>
      </c>
      <c r="V604" s="24">
        <v>1.05</v>
      </c>
      <c r="W604" s="25">
        <v>750.75000000000011</v>
      </c>
      <c r="X604" s="26">
        <v>1</v>
      </c>
      <c r="Y604" s="27">
        <v>1.82</v>
      </c>
      <c r="Z604" s="23">
        <v>5</v>
      </c>
      <c r="AA604" s="28">
        <v>0.36399999999999999</v>
      </c>
      <c r="AB604" s="24">
        <v>0</v>
      </c>
      <c r="AC604" s="29">
        <v>0</v>
      </c>
      <c r="AD604" s="30">
        <v>43577</v>
      </c>
      <c r="AE604" s="30">
        <v>43577</v>
      </c>
      <c r="AF604" s="23">
        <v>0</v>
      </c>
      <c r="AG604" s="25" t="s">
        <v>56</v>
      </c>
      <c r="AH604" s="24">
        <v>0</v>
      </c>
      <c r="AI604" s="31">
        <v>0</v>
      </c>
      <c r="AJ604" s="31">
        <v>0</v>
      </c>
      <c r="AK604" s="44">
        <f t="shared" si="18"/>
        <v>750.75000000000011</v>
      </c>
      <c r="AL604">
        <f>VLOOKUP(A604,'[1]prueba con 16mil datos'!$A$1:$AE$804,31,FALSE)</f>
        <v>1501.5</v>
      </c>
      <c r="AM604">
        <f t="shared" si="19"/>
        <v>0</v>
      </c>
      <c r="AO604">
        <f>VLOOKUP(A604,'[1]Prueba con 19mil datos'!$B$1:$AF$1228,31,FALSE)</f>
        <v>1501.5</v>
      </c>
    </row>
    <row r="605" spans="1:41" hidden="1" x14ac:dyDescent="0.25">
      <c r="A605" s="16" t="s">
        <v>2239</v>
      </c>
      <c r="B605" s="15" t="s">
        <v>40</v>
      </c>
      <c r="C605" s="16">
        <v>1</v>
      </c>
      <c r="D605" s="16" t="s">
        <v>2371</v>
      </c>
      <c r="E605" s="17" t="s">
        <v>42</v>
      </c>
      <c r="F605" s="18" t="s">
        <v>913</v>
      </c>
      <c r="G605" s="18" t="s">
        <v>2372</v>
      </c>
      <c r="H605" s="16" t="s">
        <v>115</v>
      </c>
      <c r="I605" s="19" t="s">
        <v>3</v>
      </c>
      <c r="J605" s="16" t="s">
        <v>12</v>
      </c>
      <c r="K605" s="20" t="s">
        <v>378</v>
      </c>
      <c r="L605" s="20" t="s">
        <v>1330</v>
      </c>
      <c r="M605" s="16" t="s">
        <v>485</v>
      </c>
      <c r="N605" s="16">
        <v>0</v>
      </c>
      <c r="O605" s="16" t="s">
        <v>50</v>
      </c>
      <c r="P605" s="20">
        <v>4</v>
      </c>
      <c r="Q605" s="20" t="s">
        <v>311</v>
      </c>
      <c r="R605" s="21" t="s">
        <v>87</v>
      </c>
      <c r="S605" s="22" t="s">
        <v>53</v>
      </c>
      <c r="T605" s="22" t="s">
        <v>157</v>
      </c>
      <c r="U605" s="23" t="s">
        <v>572</v>
      </c>
      <c r="V605" s="24">
        <v>0</v>
      </c>
      <c r="W605" s="25">
        <v>0</v>
      </c>
      <c r="X605" s="26">
        <v>1</v>
      </c>
      <c r="Y605" s="27">
        <v>0</v>
      </c>
      <c r="Z605" s="23">
        <v>9</v>
      </c>
      <c r="AA605" s="28">
        <v>0</v>
      </c>
      <c r="AB605" s="24">
        <v>0</v>
      </c>
      <c r="AC605" s="29">
        <v>0</v>
      </c>
      <c r="AD605" s="30">
        <v>43577</v>
      </c>
      <c r="AE605" s="30">
        <v>43577</v>
      </c>
      <c r="AF605" s="23">
        <v>0</v>
      </c>
      <c r="AG605" s="25" t="s">
        <v>56</v>
      </c>
      <c r="AH605" s="24">
        <v>0</v>
      </c>
      <c r="AI605" s="31">
        <v>0</v>
      </c>
      <c r="AJ605" s="31">
        <v>0</v>
      </c>
      <c r="AK605" s="44">
        <f t="shared" si="18"/>
        <v>0</v>
      </c>
      <c r="AL605">
        <f>VLOOKUP(A605,'[1]prueba con 16mil datos'!$A$1:$AE$804,31,FALSE)</f>
        <v>1501.5</v>
      </c>
      <c r="AM605">
        <f t="shared" si="19"/>
        <v>0</v>
      </c>
      <c r="AO605">
        <f>VLOOKUP(A605,'[1]Prueba con 19mil datos'!$B$1:$AF$1228,31,FALSE)</f>
        <v>1501.5</v>
      </c>
    </row>
    <row r="606" spans="1:41" hidden="1" x14ac:dyDescent="0.25">
      <c r="A606" s="16" t="s">
        <v>1916</v>
      </c>
      <c r="B606" s="15" t="s">
        <v>40</v>
      </c>
      <c r="C606" s="16">
        <v>1</v>
      </c>
      <c r="D606" s="16" t="s">
        <v>2379</v>
      </c>
      <c r="E606" s="17" t="s">
        <v>42</v>
      </c>
      <c r="F606" s="18" t="s">
        <v>180</v>
      </c>
      <c r="G606" s="18" t="s">
        <v>2380</v>
      </c>
      <c r="H606" s="16" t="s">
        <v>293</v>
      </c>
      <c r="I606" s="19" t="s">
        <v>3</v>
      </c>
      <c r="J606" s="16" t="s">
        <v>12</v>
      </c>
      <c r="K606" s="20" t="s">
        <v>198</v>
      </c>
      <c r="L606" s="20" t="s">
        <v>371</v>
      </c>
      <c r="M606" s="16" t="s">
        <v>372</v>
      </c>
      <c r="N606" s="16">
        <v>0</v>
      </c>
      <c r="O606" s="16" t="s">
        <v>50</v>
      </c>
      <c r="P606" s="20">
        <v>152</v>
      </c>
      <c r="Q606" s="20" t="s">
        <v>51</v>
      </c>
      <c r="R606" s="21" t="s">
        <v>186</v>
      </c>
      <c r="S606" s="22" t="s">
        <v>187</v>
      </c>
      <c r="T606" s="22" t="s">
        <v>54</v>
      </c>
      <c r="U606" s="23" t="s">
        <v>550</v>
      </c>
      <c r="V606" s="24">
        <v>1.1499999999999999</v>
      </c>
      <c r="W606" s="25">
        <v>1808.95</v>
      </c>
      <c r="X606" s="26">
        <v>1</v>
      </c>
      <c r="Y606" s="27">
        <v>2.37</v>
      </c>
      <c r="Z606" s="23">
        <v>4</v>
      </c>
      <c r="AA606" s="28">
        <v>0.59250000000000003</v>
      </c>
      <c r="AB606" s="24">
        <v>0</v>
      </c>
      <c r="AC606" s="29">
        <v>0</v>
      </c>
      <c r="AD606" s="30">
        <v>43577</v>
      </c>
      <c r="AE606" s="30">
        <v>43577</v>
      </c>
      <c r="AF606" s="23">
        <v>0</v>
      </c>
      <c r="AG606" s="25" t="s">
        <v>56</v>
      </c>
      <c r="AH606" s="24">
        <v>0</v>
      </c>
      <c r="AI606" s="31">
        <v>0</v>
      </c>
      <c r="AJ606" s="31">
        <v>0</v>
      </c>
      <c r="AK606" s="44">
        <f t="shared" si="18"/>
        <v>1808.95</v>
      </c>
      <c r="AL606">
        <f>VLOOKUP(A606,'[1]prueba con 16mil datos'!$A$1:$AE$804,31,FALSE)</f>
        <v>1501.5</v>
      </c>
      <c r="AM606">
        <f t="shared" si="19"/>
        <v>0</v>
      </c>
      <c r="AO606">
        <f>VLOOKUP(A606,'[1]Prueba con 19mil datos'!$B$1:$AF$1228,31,FALSE)</f>
        <v>1501.5</v>
      </c>
    </row>
    <row r="607" spans="1:41" hidden="1" x14ac:dyDescent="0.25">
      <c r="A607" s="16" t="s">
        <v>1916</v>
      </c>
      <c r="B607" s="15" t="s">
        <v>40</v>
      </c>
      <c r="C607" s="16">
        <v>1</v>
      </c>
      <c r="D607" s="16" t="s">
        <v>2393</v>
      </c>
      <c r="E607" s="17" t="s">
        <v>42</v>
      </c>
      <c r="F607" s="18" t="s">
        <v>180</v>
      </c>
      <c r="G607" s="18" t="s">
        <v>2394</v>
      </c>
      <c r="H607" s="16" t="s">
        <v>213</v>
      </c>
      <c r="I607" s="19" t="s">
        <v>3</v>
      </c>
      <c r="J607" s="16" t="s">
        <v>12</v>
      </c>
      <c r="K607" s="20" t="s">
        <v>126</v>
      </c>
      <c r="L607" s="20" t="s">
        <v>2396</v>
      </c>
      <c r="M607" s="16" t="s">
        <v>479</v>
      </c>
      <c r="N607" s="16">
        <v>0</v>
      </c>
      <c r="O607" s="16" t="s">
        <v>50</v>
      </c>
      <c r="P607" s="20">
        <v>130</v>
      </c>
      <c r="Q607" s="20" t="s">
        <v>51</v>
      </c>
      <c r="R607" s="21" t="s">
        <v>186</v>
      </c>
      <c r="S607" s="22" t="s">
        <v>187</v>
      </c>
      <c r="T607" s="22" t="s">
        <v>54</v>
      </c>
      <c r="U607" s="23" t="s">
        <v>550</v>
      </c>
      <c r="V607" s="24">
        <v>1.1499999999999999</v>
      </c>
      <c r="W607" s="25">
        <v>1808.95</v>
      </c>
      <c r="X607" s="26">
        <v>1</v>
      </c>
      <c r="Y607" s="27">
        <v>1.82</v>
      </c>
      <c r="Z607" s="23">
        <v>4</v>
      </c>
      <c r="AA607" s="28">
        <v>0.45500000000000002</v>
      </c>
      <c r="AB607" s="24">
        <v>0</v>
      </c>
      <c r="AC607" s="29">
        <v>0</v>
      </c>
      <c r="AD607" s="30">
        <v>43577</v>
      </c>
      <c r="AE607" s="30">
        <v>43577</v>
      </c>
      <c r="AF607" s="23">
        <v>0</v>
      </c>
      <c r="AG607" s="25" t="s">
        <v>56</v>
      </c>
      <c r="AH607" s="24">
        <v>0</v>
      </c>
      <c r="AI607" s="31">
        <v>0</v>
      </c>
      <c r="AJ607" s="31">
        <v>0</v>
      </c>
      <c r="AK607" s="44">
        <f t="shared" si="18"/>
        <v>1808.95</v>
      </c>
      <c r="AL607">
        <f>VLOOKUP(A607,'[1]prueba con 16mil datos'!$A$1:$AE$804,31,FALSE)</f>
        <v>1501.5</v>
      </c>
      <c r="AM607">
        <f t="shared" si="19"/>
        <v>0</v>
      </c>
      <c r="AO607">
        <f>VLOOKUP(A607,'[1]Prueba con 19mil datos'!$B$1:$AF$1228,31,FALSE)</f>
        <v>1501.5</v>
      </c>
    </row>
    <row r="608" spans="1:41" hidden="1" x14ac:dyDescent="0.25">
      <c r="A608" s="16" t="s">
        <v>2409</v>
      </c>
      <c r="B608" s="15" t="s">
        <v>40</v>
      </c>
      <c r="C608" s="16">
        <v>1</v>
      </c>
      <c r="D608" s="16" t="s">
        <v>2468</v>
      </c>
      <c r="E608" s="17" t="s">
        <v>2311</v>
      </c>
      <c r="F608" s="18" t="s">
        <v>180</v>
      </c>
      <c r="G608" s="18" t="s">
        <v>2469</v>
      </c>
      <c r="H608" s="16" t="s">
        <v>293</v>
      </c>
      <c r="I608" s="19" t="s">
        <v>3</v>
      </c>
      <c r="J608" s="16" t="s">
        <v>12</v>
      </c>
      <c r="K608" s="20" t="s">
        <v>198</v>
      </c>
      <c r="L608" s="20" t="s">
        <v>546</v>
      </c>
      <c r="M608" s="16" t="s">
        <v>372</v>
      </c>
      <c r="N608" s="16">
        <v>0</v>
      </c>
      <c r="O608" s="16" t="s">
        <v>50</v>
      </c>
      <c r="P608" s="20" t="s">
        <v>326</v>
      </c>
      <c r="Q608" s="20" t="s">
        <v>51</v>
      </c>
      <c r="R608" s="21" t="s">
        <v>186</v>
      </c>
      <c r="S608" s="22" t="s">
        <v>187</v>
      </c>
      <c r="T608" s="22" t="s">
        <v>54</v>
      </c>
      <c r="U608" s="23" t="s">
        <v>550</v>
      </c>
      <c r="V608" s="24">
        <v>1</v>
      </c>
      <c r="W608" s="25">
        <v>1573.0000000000002</v>
      </c>
      <c r="X608" s="26">
        <v>0</v>
      </c>
      <c r="Y608" s="27">
        <v>4</v>
      </c>
      <c r="Z608" s="23">
        <v>4</v>
      </c>
      <c r="AA608" s="28">
        <v>1</v>
      </c>
      <c r="AB608" s="24">
        <v>0</v>
      </c>
      <c r="AC608" s="29">
        <v>0</v>
      </c>
      <c r="AD608" s="30">
        <v>43577</v>
      </c>
      <c r="AE608" s="30">
        <v>43578</v>
      </c>
      <c r="AF608" s="23">
        <v>1</v>
      </c>
      <c r="AG608" s="25" t="s">
        <v>56</v>
      </c>
      <c r="AH608" s="24">
        <v>0</v>
      </c>
      <c r="AI608" s="31">
        <v>0</v>
      </c>
      <c r="AJ608" s="31">
        <v>0</v>
      </c>
      <c r="AK608" s="44">
        <f t="shared" si="18"/>
        <v>1573.0000000000002</v>
      </c>
      <c r="AL608">
        <f>VLOOKUP(A608,'[1]prueba con 16mil datos'!$A$1:$AE$804,31,FALSE)</f>
        <v>1501.5</v>
      </c>
      <c r="AM608">
        <f t="shared" si="19"/>
        <v>0</v>
      </c>
      <c r="AO608">
        <f>VLOOKUP(A608,'[1]Prueba con 19mil datos'!$B$1:$AF$1228,31,FALSE)</f>
        <v>1433.25</v>
      </c>
    </row>
    <row r="609" spans="1:41" hidden="1" x14ac:dyDescent="0.25">
      <c r="A609" s="16" t="s">
        <v>2122</v>
      </c>
      <c r="B609" s="15" t="s">
        <v>40</v>
      </c>
      <c r="C609" s="16">
        <v>1</v>
      </c>
      <c r="D609" s="16" t="s">
        <v>2418</v>
      </c>
      <c r="E609" s="17" t="s">
        <v>42</v>
      </c>
      <c r="F609" s="18" t="s">
        <v>122</v>
      </c>
      <c r="G609" s="18" t="s">
        <v>2419</v>
      </c>
      <c r="H609" s="16" t="s">
        <v>346</v>
      </c>
      <c r="I609" s="19" t="s">
        <v>3</v>
      </c>
      <c r="J609" s="16" t="s">
        <v>12</v>
      </c>
      <c r="K609" s="20" t="s">
        <v>198</v>
      </c>
      <c r="L609" s="20" t="s">
        <v>2421</v>
      </c>
      <c r="M609" s="16" t="s">
        <v>1494</v>
      </c>
      <c r="N609" s="16">
        <v>0</v>
      </c>
      <c r="O609" s="16" t="s">
        <v>50</v>
      </c>
      <c r="P609" s="20">
        <v>48</v>
      </c>
      <c r="Q609" s="20" t="s">
        <v>86</v>
      </c>
      <c r="R609" s="21" t="s">
        <v>129</v>
      </c>
      <c r="S609" s="22" t="s">
        <v>130</v>
      </c>
      <c r="T609" s="22" t="s">
        <v>157</v>
      </c>
      <c r="U609" s="23" t="s">
        <v>178</v>
      </c>
      <c r="V609" s="24">
        <v>1.05</v>
      </c>
      <c r="W609" s="25">
        <v>1433.25</v>
      </c>
      <c r="X609" s="26">
        <v>1</v>
      </c>
      <c r="Y609" s="27">
        <v>1.1499999999999999</v>
      </c>
      <c r="Z609" s="23">
        <v>9</v>
      </c>
      <c r="AA609" s="28">
        <v>0.12777777777777777</v>
      </c>
      <c r="AB609" s="24">
        <v>0</v>
      </c>
      <c r="AC609" s="29">
        <v>0</v>
      </c>
      <c r="AD609" s="30">
        <v>43577</v>
      </c>
      <c r="AE609" s="30">
        <v>43577</v>
      </c>
      <c r="AF609" s="23">
        <v>0</v>
      </c>
      <c r="AG609" s="25" t="s">
        <v>56</v>
      </c>
      <c r="AH609" s="24">
        <v>0</v>
      </c>
      <c r="AI609" s="31">
        <v>0</v>
      </c>
      <c r="AJ609" s="31">
        <v>0</v>
      </c>
      <c r="AK609" s="44">
        <f t="shared" si="18"/>
        <v>1433.25</v>
      </c>
      <c r="AL609">
        <f>VLOOKUP(A609,'[1]prueba con 16mil datos'!$A$1:$AE$804,31,FALSE)</f>
        <v>1433.25</v>
      </c>
      <c r="AM609">
        <f t="shared" si="19"/>
        <v>1</v>
      </c>
      <c r="AO609">
        <f>VLOOKUP(A609,'[1]Prueba con 19mil datos'!$B$1:$AF$1228,31,FALSE)</f>
        <v>1433.25</v>
      </c>
    </row>
    <row r="610" spans="1:41" hidden="1" x14ac:dyDescent="0.25">
      <c r="A610" s="16" t="s">
        <v>1607</v>
      </c>
      <c r="B610" s="15" t="s">
        <v>40</v>
      </c>
      <c r="C610" s="16">
        <v>1</v>
      </c>
      <c r="D610" s="16" t="s">
        <v>2431</v>
      </c>
      <c r="E610" s="17" t="s">
        <v>42</v>
      </c>
      <c r="F610" s="18" t="s">
        <v>122</v>
      </c>
      <c r="G610" s="18" t="s">
        <v>2432</v>
      </c>
      <c r="H610" s="16" t="s">
        <v>293</v>
      </c>
      <c r="I610" s="19" t="s">
        <v>3</v>
      </c>
      <c r="J610" s="16" t="s">
        <v>12</v>
      </c>
      <c r="K610" s="20" t="s">
        <v>198</v>
      </c>
      <c r="L610" s="20" t="s">
        <v>860</v>
      </c>
      <c r="M610" s="16" t="s">
        <v>429</v>
      </c>
      <c r="N610" s="16">
        <v>0</v>
      </c>
      <c r="O610" s="16" t="s">
        <v>50</v>
      </c>
      <c r="P610" s="20">
        <v>18</v>
      </c>
      <c r="Q610" s="20" t="s">
        <v>119</v>
      </c>
      <c r="R610" s="21" t="s">
        <v>129</v>
      </c>
      <c r="S610" s="22" t="s">
        <v>130</v>
      </c>
      <c r="T610" s="22" t="s">
        <v>54</v>
      </c>
      <c r="U610" s="23" t="s">
        <v>164</v>
      </c>
      <c r="V610" s="24">
        <v>0.8</v>
      </c>
      <c r="W610" s="25">
        <v>1092</v>
      </c>
      <c r="X610" s="26">
        <v>1</v>
      </c>
      <c r="Y610" s="27">
        <v>1.28</v>
      </c>
      <c r="Z610" s="23">
        <v>5</v>
      </c>
      <c r="AA610" s="28">
        <v>0.25600000000000001</v>
      </c>
      <c r="AB610" s="24">
        <v>0</v>
      </c>
      <c r="AC610" s="29">
        <v>0</v>
      </c>
      <c r="AD610" s="30">
        <v>43577</v>
      </c>
      <c r="AE610" s="30">
        <v>43577</v>
      </c>
      <c r="AF610" s="23">
        <v>0</v>
      </c>
      <c r="AG610" s="25" t="s">
        <v>56</v>
      </c>
      <c r="AH610" s="24">
        <v>0</v>
      </c>
      <c r="AI610" s="31">
        <v>0</v>
      </c>
      <c r="AJ610" s="31">
        <v>0</v>
      </c>
      <c r="AK610" s="44">
        <f t="shared" si="18"/>
        <v>1092</v>
      </c>
      <c r="AL610">
        <f>VLOOKUP(A610,'[1]prueba con 16mil datos'!$A$1:$AE$804,31,FALSE)</f>
        <v>1501.5</v>
      </c>
      <c r="AM610">
        <f t="shared" si="19"/>
        <v>0</v>
      </c>
      <c r="AO610">
        <f>VLOOKUP(A610,'[1]Prueba con 19mil datos'!$B$1:$AF$1228,31,FALSE)</f>
        <v>1501.5</v>
      </c>
    </row>
    <row r="611" spans="1:41" hidden="1" x14ac:dyDescent="0.25">
      <c r="A611" s="16" t="s">
        <v>1607</v>
      </c>
      <c r="B611" s="15" t="s">
        <v>40</v>
      </c>
      <c r="C611" s="16">
        <v>1</v>
      </c>
      <c r="D611" s="16" t="s">
        <v>2382</v>
      </c>
      <c r="E611" s="17" t="s">
        <v>42</v>
      </c>
      <c r="F611" s="18" t="s">
        <v>1429</v>
      </c>
      <c r="G611" s="18" t="s">
        <v>2383</v>
      </c>
      <c r="H611" s="16" t="s">
        <v>377</v>
      </c>
      <c r="I611" s="19" t="s">
        <v>3</v>
      </c>
      <c r="J611" s="16" t="s">
        <v>12</v>
      </c>
      <c r="K611" s="20" t="s">
        <v>378</v>
      </c>
      <c r="L611" s="20" t="s">
        <v>577</v>
      </c>
      <c r="M611" s="16" t="s">
        <v>128</v>
      </c>
      <c r="N611" s="16">
        <v>0</v>
      </c>
      <c r="O611" s="16" t="s">
        <v>50</v>
      </c>
      <c r="P611" s="20">
        <v>9</v>
      </c>
      <c r="Q611" s="20" t="s">
        <v>65</v>
      </c>
      <c r="R611" s="21" t="s">
        <v>225</v>
      </c>
      <c r="S611" s="22" t="s">
        <v>130</v>
      </c>
      <c r="T611" s="22" t="s">
        <v>54</v>
      </c>
      <c r="U611" s="23" t="s">
        <v>131</v>
      </c>
      <c r="V611" s="24">
        <v>0.6</v>
      </c>
      <c r="W611" s="25">
        <v>819</v>
      </c>
      <c r="X611" s="26">
        <v>1</v>
      </c>
      <c r="Y611" s="27">
        <v>1.48</v>
      </c>
      <c r="Z611" s="23">
        <v>5</v>
      </c>
      <c r="AA611" s="28">
        <v>0.29599999999999999</v>
      </c>
      <c r="AB611" s="24">
        <v>0</v>
      </c>
      <c r="AC611" s="29">
        <v>0</v>
      </c>
      <c r="AD611" s="30">
        <v>43577</v>
      </c>
      <c r="AE611" s="30">
        <v>43577</v>
      </c>
      <c r="AF611" s="23">
        <v>0</v>
      </c>
      <c r="AG611" s="25" t="s">
        <v>56</v>
      </c>
      <c r="AH611" s="24">
        <v>0</v>
      </c>
      <c r="AI611" s="31">
        <v>0</v>
      </c>
      <c r="AJ611" s="31">
        <v>0</v>
      </c>
      <c r="AK611" s="44">
        <f t="shared" si="18"/>
        <v>819</v>
      </c>
      <c r="AL611">
        <f>VLOOKUP(A611,'[1]prueba con 16mil datos'!$A$1:$AE$804,31,FALSE)</f>
        <v>1501.5</v>
      </c>
      <c r="AM611">
        <f t="shared" si="19"/>
        <v>0</v>
      </c>
      <c r="AO611">
        <f>VLOOKUP(A611,'[1]Prueba con 19mil datos'!$B$1:$AF$1228,31,FALSE)</f>
        <v>1501.5</v>
      </c>
    </row>
    <row r="612" spans="1:41" hidden="1" x14ac:dyDescent="0.25">
      <c r="A612" s="16" t="s">
        <v>2859</v>
      </c>
      <c r="B612" s="15" t="s">
        <v>40</v>
      </c>
      <c r="C612" s="16">
        <v>1</v>
      </c>
      <c r="D612" s="16" t="s">
        <v>2397</v>
      </c>
      <c r="E612" s="17" t="s">
        <v>42</v>
      </c>
      <c r="F612" s="18" t="s">
        <v>1429</v>
      </c>
      <c r="G612" s="18" t="s">
        <v>2398</v>
      </c>
      <c r="H612" s="16" t="s">
        <v>317</v>
      </c>
      <c r="I612" s="19" t="s">
        <v>3</v>
      </c>
      <c r="J612" s="16" t="s">
        <v>12</v>
      </c>
      <c r="K612" s="20" t="s">
        <v>378</v>
      </c>
      <c r="L612" s="20" t="s">
        <v>1542</v>
      </c>
      <c r="M612" s="16" t="s">
        <v>105</v>
      </c>
      <c r="N612" s="16">
        <v>0</v>
      </c>
      <c r="O612" s="16" t="s">
        <v>50</v>
      </c>
      <c r="P612" s="20">
        <v>2699</v>
      </c>
      <c r="Q612" s="20" t="s">
        <v>51</v>
      </c>
      <c r="R612" s="21" t="s">
        <v>225</v>
      </c>
      <c r="S612" s="22" t="s">
        <v>130</v>
      </c>
      <c r="T612" s="22" t="s">
        <v>54</v>
      </c>
      <c r="U612" s="23" t="s">
        <v>226</v>
      </c>
      <c r="V612" s="24">
        <v>1.1000000000000001</v>
      </c>
      <c r="W612" s="25">
        <v>1501.5000000000002</v>
      </c>
      <c r="X612" s="26">
        <v>1</v>
      </c>
      <c r="Y612" s="27">
        <v>0.2</v>
      </c>
      <c r="Z612" s="23">
        <v>5</v>
      </c>
      <c r="AA612" s="28">
        <v>0.04</v>
      </c>
      <c r="AB612" s="24">
        <v>0</v>
      </c>
      <c r="AC612" s="29">
        <v>0</v>
      </c>
      <c r="AD612" s="30">
        <v>43577</v>
      </c>
      <c r="AE612" s="30">
        <v>43577</v>
      </c>
      <c r="AF612" s="23">
        <v>0</v>
      </c>
      <c r="AG612" s="25" t="s">
        <v>56</v>
      </c>
      <c r="AH612" s="24">
        <v>0</v>
      </c>
      <c r="AI612" s="31">
        <v>0</v>
      </c>
      <c r="AJ612" s="31">
        <v>0</v>
      </c>
      <c r="AK612" s="44">
        <f t="shared" si="18"/>
        <v>1501.5000000000002</v>
      </c>
      <c r="AL612">
        <f>VLOOKUP(A612,'[1]prueba con 16mil datos'!$A$1:$AE$804,31,FALSE)</f>
        <v>1433.25</v>
      </c>
      <c r="AM612">
        <f t="shared" si="19"/>
        <v>0</v>
      </c>
      <c r="AO612">
        <f>VLOOKUP(A612,'[1]Prueba con 19mil datos'!$B$1:$AF$1228,31,FALSE)</f>
        <v>1433.25</v>
      </c>
    </row>
    <row r="613" spans="1:41" hidden="1" x14ac:dyDescent="0.25">
      <c r="A613" s="16" t="s">
        <v>1764</v>
      </c>
      <c r="B613" s="15" t="s">
        <v>40</v>
      </c>
      <c r="C613" s="16">
        <v>1</v>
      </c>
      <c r="D613" s="16" t="s">
        <v>2440</v>
      </c>
      <c r="E613" s="17" t="s">
        <v>42</v>
      </c>
      <c r="F613" s="18" t="s">
        <v>424</v>
      </c>
      <c r="G613" s="18" t="s">
        <v>2441</v>
      </c>
      <c r="H613" s="16" t="s">
        <v>243</v>
      </c>
      <c r="I613" s="19" t="s">
        <v>3</v>
      </c>
      <c r="J613" s="16" t="s">
        <v>12</v>
      </c>
      <c r="K613" s="20" t="s">
        <v>2443</v>
      </c>
      <c r="L613" s="20" t="s">
        <v>2444</v>
      </c>
      <c r="M613" s="16" t="s">
        <v>372</v>
      </c>
      <c r="N613" s="16">
        <v>0</v>
      </c>
      <c r="O613" s="16" t="s">
        <v>50</v>
      </c>
      <c r="P613" s="20">
        <v>68</v>
      </c>
      <c r="Q613" s="20" t="s">
        <v>51</v>
      </c>
      <c r="R613" s="21" t="s">
        <v>430</v>
      </c>
      <c r="S613" s="22" t="s">
        <v>67</v>
      </c>
      <c r="T613" s="22" t="s">
        <v>54</v>
      </c>
      <c r="U613" s="23" t="s">
        <v>2445</v>
      </c>
      <c r="V613" s="24">
        <v>1.2</v>
      </c>
      <c r="W613" s="25">
        <v>2574</v>
      </c>
      <c r="X613" s="26">
        <v>1</v>
      </c>
      <c r="Y613" s="27">
        <v>4.83</v>
      </c>
      <c r="Z613" s="23">
        <v>3</v>
      </c>
      <c r="AA613" s="28">
        <v>1.61</v>
      </c>
      <c r="AB613" s="24">
        <v>0.15250000000000002</v>
      </c>
      <c r="AC613" s="29">
        <v>-327.11250000000007</v>
      </c>
      <c r="AD613" s="30">
        <v>43577</v>
      </c>
      <c r="AE613" s="30">
        <v>43577</v>
      </c>
      <c r="AF613" s="23">
        <v>0</v>
      </c>
      <c r="AG613" s="25" t="s">
        <v>56</v>
      </c>
      <c r="AH613" s="24">
        <v>0</v>
      </c>
      <c r="AI613" s="31">
        <v>0</v>
      </c>
      <c r="AJ613" s="31">
        <v>0</v>
      </c>
      <c r="AK613" s="44">
        <f t="shared" si="18"/>
        <v>2246.8874999999998</v>
      </c>
      <c r="AL613">
        <f>VLOOKUP(A613,'[1]prueba con 16mil datos'!$A$1:$AE$804,31,FALSE)</f>
        <v>1501.5</v>
      </c>
      <c r="AM613">
        <f t="shared" si="19"/>
        <v>0</v>
      </c>
      <c r="AO613">
        <f>VLOOKUP(A613,'[1]Prueba con 19mil datos'!$B$1:$AF$1228,31,FALSE)</f>
        <v>1501.5</v>
      </c>
    </row>
    <row r="614" spans="1:41" hidden="1" x14ac:dyDescent="0.25">
      <c r="A614" s="16" t="s">
        <v>2503</v>
      </c>
      <c r="B614" s="15" t="s">
        <v>40</v>
      </c>
      <c r="C614" s="16">
        <v>1</v>
      </c>
      <c r="D614" s="16" t="s">
        <v>2407</v>
      </c>
      <c r="E614" s="17" t="s">
        <v>42</v>
      </c>
      <c r="F614" s="18" t="s">
        <v>290</v>
      </c>
      <c r="G614" s="18" t="s">
        <v>2408</v>
      </c>
      <c r="H614" s="16" t="s">
        <v>115</v>
      </c>
      <c r="I614" s="19" t="s">
        <v>3</v>
      </c>
      <c r="J614" s="16" t="s">
        <v>12</v>
      </c>
      <c r="K614" s="20" t="s">
        <v>2123</v>
      </c>
      <c r="L614" s="20" t="s">
        <v>2410</v>
      </c>
      <c r="M614" s="16" t="s">
        <v>469</v>
      </c>
      <c r="N614" s="16">
        <v>0</v>
      </c>
      <c r="O614" s="16" t="s">
        <v>50</v>
      </c>
      <c r="P614" s="20">
        <v>60</v>
      </c>
      <c r="Q614" s="20" t="s">
        <v>86</v>
      </c>
      <c r="R614" s="21" t="s">
        <v>129</v>
      </c>
      <c r="S614" s="22" t="s">
        <v>130</v>
      </c>
      <c r="T614" s="22" t="s">
        <v>54</v>
      </c>
      <c r="U614" s="23" t="s">
        <v>178</v>
      </c>
      <c r="V614" s="24">
        <v>1.05</v>
      </c>
      <c r="W614" s="25">
        <v>1433.25</v>
      </c>
      <c r="X614" s="26">
        <v>1</v>
      </c>
      <c r="Y614" s="27">
        <v>1.5</v>
      </c>
      <c r="Z614" s="23">
        <v>5</v>
      </c>
      <c r="AA614" s="28">
        <v>0.3</v>
      </c>
      <c r="AB614" s="24">
        <v>0</v>
      </c>
      <c r="AC614" s="29">
        <v>0</v>
      </c>
      <c r="AD614" s="30">
        <v>43577</v>
      </c>
      <c r="AE614" s="30">
        <v>43577</v>
      </c>
      <c r="AF614" s="23">
        <v>0</v>
      </c>
      <c r="AG614" s="25" t="s">
        <v>56</v>
      </c>
      <c r="AH614" s="24">
        <v>0</v>
      </c>
      <c r="AI614" s="31">
        <v>0</v>
      </c>
      <c r="AJ614" s="31">
        <v>0</v>
      </c>
      <c r="AK614" s="44">
        <f t="shared" si="18"/>
        <v>1433.25</v>
      </c>
      <c r="AL614">
        <f>VLOOKUP(A614,'[1]prueba con 16mil datos'!$A$1:$AE$804,31,FALSE)</f>
        <v>1501.5</v>
      </c>
      <c r="AM614">
        <f t="shared" si="19"/>
        <v>0</v>
      </c>
      <c r="AO614">
        <f>VLOOKUP(A614,'[1]Prueba con 19mil datos'!$B$1:$AF$1228,31,FALSE)</f>
        <v>1501.5</v>
      </c>
    </row>
    <row r="615" spans="1:41" hidden="1" x14ac:dyDescent="0.25">
      <c r="A615" s="16" t="s">
        <v>1073</v>
      </c>
      <c r="B615" s="15" t="s">
        <v>40</v>
      </c>
      <c r="C615" s="16">
        <v>1</v>
      </c>
      <c r="D615" s="16" t="s">
        <v>2388</v>
      </c>
      <c r="E615" s="17" t="s">
        <v>42</v>
      </c>
      <c r="F615" s="18" t="s">
        <v>290</v>
      </c>
      <c r="G615" s="18" t="s">
        <v>2389</v>
      </c>
      <c r="H615" s="16" t="s">
        <v>317</v>
      </c>
      <c r="I615" s="19" t="s">
        <v>3</v>
      </c>
      <c r="J615" s="16" t="s">
        <v>12</v>
      </c>
      <c r="K615" s="20" t="s">
        <v>318</v>
      </c>
      <c r="L615" s="20" t="s">
        <v>319</v>
      </c>
      <c r="M615" s="16" t="s">
        <v>105</v>
      </c>
      <c r="N615" s="16">
        <v>0</v>
      </c>
      <c r="O615" s="16" t="s">
        <v>50</v>
      </c>
      <c r="P615" s="20">
        <v>81</v>
      </c>
      <c r="Q615" s="20" t="s">
        <v>51</v>
      </c>
      <c r="R615" s="21" t="s">
        <v>129</v>
      </c>
      <c r="S615" s="22" t="s">
        <v>130</v>
      </c>
      <c r="T615" s="22" t="s">
        <v>54</v>
      </c>
      <c r="U615" s="23" t="s">
        <v>226</v>
      </c>
      <c r="V615" s="24">
        <v>1.1000000000000001</v>
      </c>
      <c r="W615" s="25">
        <v>1501.5000000000002</v>
      </c>
      <c r="X615" s="26">
        <v>1</v>
      </c>
      <c r="Y615" s="27">
        <v>0</v>
      </c>
      <c r="Z615" s="23">
        <v>5</v>
      </c>
      <c r="AA615" s="28">
        <v>0</v>
      </c>
      <c r="AB615" s="24">
        <v>0</v>
      </c>
      <c r="AC615" s="29">
        <v>0</v>
      </c>
      <c r="AD615" s="30">
        <v>43577</v>
      </c>
      <c r="AE615" s="30">
        <v>43577</v>
      </c>
      <c r="AF615" s="23">
        <v>0</v>
      </c>
      <c r="AG615" s="25" t="s">
        <v>56</v>
      </c>
      <c r="AH615" s="24">
        <v>0</v>
      </c>
      <c r="AI615" s="31">
        <v>0</v>
      </c>
      <c r="AJ615" s="31">
        <v>0</v>
      </c>
      <c r="AK615" s="44">
        <f t="shared" si="18"/>
        <v>1501.5000000000002</v>
      </c>
      <c r="AL615" t="e">
        <f>VLOOKUP(A615,'[1]prueba con 16mil datos'!$A$1:$AE$804,31,FALSE)</f>
        <v>#N/A</v>
      </c>
      <c r="AM615" t="e">
        <f t="shared" si="19"/>
        <v>#N/A</v>
      </c>
      <c r="AO615">
        <f>VLOOKUP(A615,'[1]Prueba con 19mil datos'!$B$1:$AF$1228,31,FALSE)</f>
        <v>0</v>
      </c>
    </row>
    <row r="616" spans="1:41" hidden="1" x14ac:dyDescent="0.25">
      <c r="A616" s="16" t="s">
        <v>2934</v>
      </c>
      <c r="B616" s="15" t="s">
        <v>40</v>
      </c>
      <c r="C616" s="16">
        <v>1</v>
      </c>
      <c r="D616" s="16" t="s">
        <v>2415</v>
      </c>
      <c r="E616" s="17" t="s">
        <v>42</v>
      </c>
      <c r="F616" s="18" t="s">
        <v>708</v>
      </c>
      <c r="G616" s="18" t="s">
        <v>2416</v>
      </c>
      <c r="H616" s="16" t="s">
        <v>377</v>
      </c>
      <c r="I616" s="19" t="s">
        <v>3</v>
      </c>
      <c r="J616" s="16" t="s">
        <v>12</v>
      </c>
      <c r="K616" s="20" t="s">
        <v>378</v>
      </c>
      <c r="L616" s="20" t="s">
        <v>1542</v>
      </c>
      <c r="M616" s="16" t="s">
        <v>128</v>
      </c>
      <c r="N616" s="16">
        <v>0</v>
      </c>
      <c r="O616" s="16" t="s">
        <v>50</v>
      </c>
      <c r="P616" s="20">
        <v>616</v>
      </c>
      <c r="Q616" s="20" t="s">
        <v>51</v>
      </c>
      <c r="R616" s="21" t="s">
        <v>148</v>
      </c>
      <c r="S616" s="22" t="s">
        <v>130</v>
      </c>
      <c r="T616" s="22" t="s">
        <v>54</v>
      </c>
      <c r="U616" s="23" t="s">
        <v>226</v>
      </c>
      <c r="V616" s="24">
        <v>1.1000000000000001</v>
      </c>
      <c r="W616" s="25">
        <v>1501.5000000000002</v>
      </c>
      <c r="X616" s="26">
        <v>1</v>
      </c>
      <c r="Y616" s="27">
        <v>1.1000000000000001</v>
      </c>
      <c r="Z616" s="23">
        <v>5</v>
      </c>
      <c r="AA616" s="28">
        <v>0.22000000000000003</v>
      </c>
      <c r="AB616" s="24">
        <v>0</v>
      </c>
      <c r="AC616" s="29">
        <v>0</v>
      </c>
      <c r="AD616" s="30">
        <v>43577</v>
      </c>
      <c r="AE616" s="30">
        <v>43577</v>
      </c>
      <c r="AF616" s="23">
        <v>0</v>
      </c>
      <c r="AG616" s="25" t="s">
        <v>56</v>
      </c>
      <c r="AH616" s="24">
        <v>0</v>
      </c>
      <c r="AI616" s="31">
        <v>0</v>
      </c>
      <c r="AJ616" s="31">
        <v>0</v>
      </c>
      <c r="AK616" s="44">
        <f t="shared" si="18"/>
        <v>1501.5000000000002</v>
      </c>
      <c r="AL616" t="e">
        <f>VLOOKUP(A616,'[1]prueba con 16mil datos'!$A$1:$AE$804,31,FALSE)</f>
        <v>#N/A</v>
      </c>
      <c r="AM616" t="e">
        <f t="shared" si="19"/>
        <v>#N/A</v>
      </c>
      <c r="AO616">
        <f>VLOOKUP(A616,'[1]Prueba con 19mil datos'!$B$1:$AF$1228,31,FALSE)</f>
        <v>1501.5</v>
      </c>
    </row>
    <row r="617" spans="1:41" hidden="1" x14ac:dyDescent="0.25">
      <c r="A617" s="16" t="s">
        <v>2185</v>
      </c>
      <c r="B617" s="15" t="s">
        <v>40</v>
      </c>
      <c r="C617" s="16">
        <v>1</v>
      </c>
      <c r="D617" s="16" t="s">
        <v>2377</v>
      </c>
      <c r="E617" s="17" t="s">
        <v>42</v>
      </c>
      <c r="F617" s="18" t="s">
        <v>271</v>
      </c>
      <c r="G617" s="18" t="s">
        <v>2378</v>
      </c>
      <c r="H617" s="16" t="s">
        <v>243</v>
      </c>
      <c r="I617" s="19" t="s">
        <v>3</v>
      </c>
      <c r="J617" s="16" t="s">
        <v>12</v>
      </c>
      <c r="K617" s="20" t="s">
        <v>126</v>
      </c>
      <c r="L617" s="20" t="s">
        <v>706</v>
      </c>
      <c r="M617" s="16" t="s">
        <v>372</v>
      </c>
      <c r="N617" s="16">
        <v>0</v>
      </c>
      <c r="O617" s="16" t="s">
        <v>50</v>
      </c>
      <c r="P617" s="20">
        <v>13</v>
      </c>
      <c r="Q617" s="20" t="s">
        <v>65</v>
      </c>
      <c r="R617" s="21" t="s">
        <v>186</v>
      </c>
      <c r="S617" s="22" t="s">
        <v>187</v>
      </c>
      <c r="T617" s="22" t="s">
        <v>54</v>
      </c>
      <c r="U617" s="23" t="s">
        <v>201</v>
      </c>
      <c r="V617" s="24">
        <v>0.8</v>
      </c>
      <c r="W617" s="25">
        <v>1258.4000000000003</v>
      </c>
      <c r="X617" s="26">
        <v>1</v>
      </c>
      <c r="Y617" s="27">
        <v>0</v>
      </c>
      <c r="Z617" s="23">
        <v>4</v>
      </c>
      <c r="AA617" s="28">
        <v>0</v>
      </c>
      <c r="AB617" s="24">
        <v>0</v>
      </c>
      <c r="AC617" s="29">
        <v>0</v>
      </c>
      <c r="AD617" s="30">
        <v>43577</v>
      </c>
      <c r="AE617" s="30">
        <v>43577</v>
      </c>
      <c r="AF617" s="23">
        <v>0</v>
      </c>
      <c r="AG617" s="25" t="s">
        <v>56</v>
      </c>
      <c r="AH617" s="24">
        <v>0</v>
      </c>
      <c r="AI617" s="31">
        <v>0</v>
      </c>
      <c r="AJ617" s="31">
        <v>0</v>
      </c>
      <c r="AK617" s="44">
        <f t="shared" si="18"/>
        <v>1258.4000000000003</v>
      </c>
      <c r="AL617" t="e">
        <f>VLOOKUP(A617,'[1]prueba con 16mil datos'!$A$1:$AE$804,31,FALSE)</f>
        <v>#N/A</v>
      </c>
      <c r="AM617" t="e">
        <f t="shared" si="19"/>
        <v>#N/A</v>
      </c>
      <c r="AO617">
        <f>VLOOKUP(A617,'[1]Prueba con 19mil datos'!$B$1:$AF$1228,31,FALSE)</f>
        <v>1501.5</v>
      </c>
    </row>
    <row r="618" spans="1:41" hidden="1" x14ac:dyDescent="0.25">
      <c r="A618" s="16" t="s">
        <v>726</v>
      </c>
      <c r="B618" s="15" t="s">
        <v>40</v>
      </c>
      <c r="C618" s="16">
        <v>1</v>
      </c>
      <c r="D618" s="16" t="s">
        <v>2456</v>
      </c>
      <c r="E618" s="17" t="s">
        <v>42</v>
      </c>
      <c r="F618" s="18" t="s">
        <v>1079</v>
      </c>
      <c r="G618" s="18" t="s">
        <v>2457</v>
      </c>
      <c r="H618" s="16" t="s">
        <v>331</v>
      </c>
      <c r="I618" s="19" t="s">
        <v>3</v>
      </c>
      <c r="J618" s="16" t="s">
        <v>12</v>
      </c>
      <c r="K618" s="20" t="s">
        <v>452</v>
      </c>
      <c r="L618" s="20" t="s">
        <v>453</v>
      </c>
      <c r="M618" s="16" t="s">
        <v>454</v>
      </c>
      <c r="N618" s="16">
        <v>1</v>
      </c>
      <c r="O618" s="16" t="s">
        <v>50</v>
      </c>
      <c r="P618" s="20">
        <v>3</v>
      </c>
      <c r="Q618" s="20" t="s">
        <v>147</v>
      </c>
      <c r="R618" s="21" t="s">
        <v>186</v>
      </c>
      <c r="S618" s="22" t="s">
        <v>187</v>
      </c>
      <c r="T618" s="22" t="s">
        <v>54</v>
      </c>
      <c r="U618" s="23" t="s">
        <v>389</v>
      </c>
      <c r="V618" s="24">
        <v>0</v>
      </c>
      <c r="W618" s="25">
        <v>0</v>
      </c>
      <c r="X618" s="26">
        <v>1</v>
      </c>
      <c r="Y618" s="27">
        <v>5.57</v>
      </c>
      <c r="Z618" s="23">
        <v>4</v>
      </c>
      <c r="AA618" s="28">
        <v>1.3925000000000001</v>
      </c>
      <c r="AB618" s="24">
        <v>9.8125000000000018E-2</v>
      </c>
      <c r="AC618" s="29">
        <v>-154.35062500000004</v>
      </c>
      <c r="AD618" s="30">
        <v>43577</v>
      </c>
      <c r="AE618" s="30">
        <v>43577</v>
      </c>
      <c r="AF618" s="23">
        <v>0</v>
      </c>
      <c r="AG618" s="25" t="s">
        <v>56</v>
      </c>
      <c r="AH618" s="24">
        <v>0</v>
      </c>
      <c r="AI618" s="31">
        <v>0</v>
      </c>
      <c r="AJ618" s="31">
        <v>0</v>
      </c>
      <c r="AK618" s="44">
        <f t="shared" si="18"/>
        <v>-154.35062500000004</v>
      </c>
      <c r="AL618">
        <f>VLOOKUP(A618,'[1]prueba con 16mil datos'!$A$1:$AE$804,31,FALSE)</f>
        <v>1433.25</v>
      </c>
      <c r="AM618">
        <f t="shared" si="19"/>
        <v>0</v>
      </c>
      <c r="AO618">
        <f>VLOOKUP(A618,'[1]Prueba con 19mil datos'!$B$1:$AF$1228,31,FALSE)</f>
        <v>1433.25</v>
      </c>
    </row>
    <row r="619" spans="1:41" hidden="1" x14ac:dyDescent="0.25">
      <c r="A619" s="16" t="s">
        <v>2390</v>
      </c>
      <c r="B619" s="15" t="s">
        <v>40</v>
      </c>
      <c r="C619" s="16">
        <v>1</v>
      </c>
      <c r="D619" s="16" t="s">
        <v>2464</v>
      </c>
      <c r="E619" s="17" t="s">
        <v>42</v>
      </c>
      <c r="F619" s="18" t="s">
        <v>449</v>
      </c>
      <c r="G619" s="18" t="s">
        <v>2465</v>
      </c>
      <c r="H619" s="16" t="s">
        <v>183</v>
      </c>
      <c r="I619" s="19" t="s">
        <v>3</v>
      </c>
      <c r="J619" s="16" t="s">
        <v>12</v>
      </c>
      <c r="K619" s="20" t="s">
        <v>452</v>
      </c>
      <c r="L619" s="20" t="s">
        <v>453</v>
      </c>
      <c r="M619" s="16" t="s">
        <v>454</v>
      </c>
      <c r="N619" s="16">
        <v>1</v>
      </c>
      <c r="O619" s="16" t="s">
        <v>50</v>
      </c>
      <c r="P619" s="20">
        <v>12</v>
      </c>
      <c r="Q619" s="20" t="s">
        <v>65</v>
      </c>
      <c r="R619" s="21" t="s">
        <v>186</v>
      </c>
      <c r="S619" s="22" t="s">
        <v>187</v>
      </c>
      <c r="T619" s="22" t="s">
        <v>54</v>
      </c>
      <c r="U619" s="23" t="s">
        <v>201</v>
      </c>
      <c r="V619" s="24">
        <v>0.8</v>
      </c>
      <c r="W619" s="25">
        <v>0</v>
      </c>
      <c r="X619" s="26">
        <v>1</v>
      </c>
      <c r="Y619" s="27">
        <v>0.38</v>
      </c>
      <c r="Z619" s="23">
        <v>4</v>
      </c>
      <c r="AA619" s="28">
        <v>9.5000000000000001E-2</v>
      </c>
      <c r="AB619" s="24">
        <v>0</v>
      </c>
      <c r="AC619" s="29">
        <v>0</v>
      </c>
      <c r="AD619" s="30">
        <v>43577</v>
      </c>
      <c r="AE619" s="30">
        <v>43578</v>
      </c>
      <c r="AF619" s="23">
        <v>1</v>
      </c>
      <c r="AG619" s="25" t="s">
        <v>56</v>
      </c>
      <c r="AH619" s="24">
        <v>0</v>
      </c>
      <c r="AI619" s="31">
        <v>0</v>
      </c>
      <c r="AJ619" s="31">
        <v>0</v>
      </c>
      <c r="AK619" s="44">
        <f t="shared" si="18"/>
        <v>0</v>
      </c>
      <c r="AL619">
        <f>VLOOKUP(A619,'[1]prueba con 16mil datos'!$A$1:$AE$804,31,FALSE)</f>
        <v>1501.5</v>
      </c>
      <c r="AM619">
        <f t="shared" si="19"/>
        <v>0</v>
      </c>
      <c r="AO619">
        <f>VLOOKUP(A619,'[1]Prueba con 19mil datos'!$B$1:$AF$1228,31,FALSE)</f>
        <v>1501.5</v>
      </c>
    </row>
    <row r="620" spans="1:41" hidden="1" x14ac:dyDescent="0.25">
      <c r="A620" s="16" t="s">
        <v>2687</v>
      </c>
      <c r="B620" s="15" t="s">
        <v>40</v>
      </c>
      <c r="C620" s="16">
        <v>1</v>
      </c>
      <c r="D620" s="16" t="s">
        <v>2553</v>
      </c>
      <c r="E620" s="17" t="s">
        <v>42</v>
      </c>
      <c r="F620" s="18" t="s">
        <v>275</v>
      </c>
      <c r="G620" s="18" t="s">
        <v>2554</v>
      </c>
      <c r="H620" s="16" t="s">
        <v>183</v>
      </c>
      <c r="I620" s="19" t="s">
        <v>3</v>
      </c>
      <c r="J620" s="16" t="s">
        <v>12</v>
      </c>
      <c r="K620" s="20" t="s">
        <v>126</v>
      </c>
      <c r="L620" s="20" t="s">
        <v>184</v>
      </c>
      <c r="M620" s="16" t="s">
        <v>185</v>
      </c>
      <c r="N620" s="16">
        <v>1</v>
      </c>
      <c r="O620" s="16" t="s">
        <v>50</v>
      </c>
      <c r="P620" s="20">
        <v>38</v>
      </c>
      <c r="Q620" s="20" t="s">
        <v>86</v>
      </c>
      <c r="R620" s="21" t="s">
        <v>279</v>
      </c>
      <c r="S620" s="22" t="s">
        <v>187</v>
      </c>
      <c r="T620" s="22" t="s">
        <v>54</v>
      </c>
      <c r="U620" s="23" t="s">
        <v>188</v>
      </c>
      <c r="V620" s="24">
        <v>1.1000000000000001</v>
      </c>
      <c r="W620" s="25">
        <v>0</v>
      </c>
      <c r="X620" s="26">
        <v>1</v>
      </c>
      <c r="Y620" s="27">
        <v>1.65</v>
      </c>
      <c r="Z620" s="23">
        <v>4</v>
      </c>
      <c r="AA620" s="28">
        <v>0.41249999999999998</v>
      </c>
      <c r="AB620" s="24">
        <v>0</v>
      </c>
      <c r="AC620" s="29">
        <v>0</v>
      </c>
      <c r="AD620" s="30">
        <v>43577</v>
      </c>
      <c r="AE620" s="30">
        <v>43578</v>
      </c>
      <c r="AF620" s="23">
        <v>1</v>
      </c>
      <c r="AG620" s="25" t="s">
        <v>56</v>
      </c>
      <c r="AH620" s="24">
        <v>0</v>
      </c>
      <c r="AI620" s="31">
        <v>0</v>
      </c>
      <c r="AJ620" s="31">
        <v>0</v>
      </c>
      <c r="AK620" s="44">
        <f t="shared" si="18"/>
        <v>0</v>
      </c>
      <c r="AL620">
        <f>VLOOKUP(A620,'[1]prueba con 16mil datos'!$A$1:$AE$804,31,FALSE)</f>
        <v>1501.5</v>
      </c>
      <c r="AM620">
        <f t="shared" si="19"/>
        <v>0</v>
      </c>
      <c r="AO620">
        <f>VLOOKUP(A620,'[1]Prueba con 19mil datos'!$B$1:$AF$1228,31,FALSE)</f>
        <v>1501.5</v>
      </c>
    </row>
    <row r="621" spans="1:41" hidden="1" x14ac:dyDescent="0.25">
      <c r="A621" s="16" t="s">
        <v>2100</v>
      </c>
      <c r="B621" s="15" t="s">
        <v>40</v>
      </c>
      <c r="C621" s="16">
        <v>1</v>
      </c>
      <c r="D621" s="16" t="s">
        <v>2584</v>
      </c>
      <c r="E621" s="17" t="s">
        <v>42</v>
      </c>
      <c r="F621" s="18" t="s">
        <v>391</v>
      </c>
      <c r="G621" s="18" t="s">
        <v>2585</v>
      </c>
      <c r="H621" s="16" t="s">
        <v>207</v>
      </c>
      <c r="I621" s="19" t="s">
        <v>3</v>
      </c>
      <c r="J621" s="16" t="s">
        <v>12</v>
      </c>
      <c r="K621" s="20" t="s">
        <v>198</v>
      </c>
      <c r="L621" s="20" t="s">
        <v>731</v>
      </c>
      <c r="M621" s="16" t="s">
        <v>200</v>
      </c>
      <c r="N621" s="16">
        <v>0</v>
      </c>
      <c r="O621" s="16" t="s">
        <v>50</v>
      </c>
      <c r="P621" s="20">
        <v>14</v>
      </c>
      <c r="Q621" s="20" t="s">
        <v>65</v>
      </c>
      <c r="R621" s="21" t="s">
        <v>129</v>
      </c>
      <c r="S621" s="22" t="s">
        <v>130</v>
      </c>
      <c r="T621" s="22" t="s">
        <v>54</v>
      </c>
      <c r="U621" s="23" t="s">
        <v>131</v>
      </c>
      <c r="V621" s="24">
        <v>0.6</v>
      </c>
      <c r="W621" s="25">
        <v>819</v>
      </c>
      <c r="X621" s="26">
        <v>1</v>
      </c>
      <c r="Y621" s="27">
        <v>0</v>
      </c>
      <c r="Z621" s="23">
        <v>5</v>
      </c>
      <c r="AA621" s="28">
        <v>0</v>
      </c>
      <c r="AB621" s="24">
        <v>0</v>
      </c>
      <c r="AC621" s="29">
        <v>0</v>
      </c>
      <c r="AD621" s="30">
        <v>43578</v>
      </c>
      <c r="AE621" s="30">
        <v>43578</v>
      </c>
      <c r="AF621" s="23">
        <v>0</v>
      </c>
      <c r="AG621" s="25" t="s">
        <v>56</v>
      </c>
      <c r="AH621" s="24">
        <v>0</v>
      </c>
      <c r="AI621" s="31">
        <v>0</v>
      </c>
      <c r="AJ621" s="31">
        <v>0</v>
      </c>
      <c r="AK621" s="44">
        <f t="shared" si="18"/>
        <v>819</v>
      </c>
      <c r="AL621">
        <f>VLOOKUP(A621,'[1]prueba con 16mil datos'!$A$1:$AE$804,31,FALSE)</f>
        <v>1433.25</v>
      </c>
      <c r="AM621">
        <f t="shared" si="19"/>
        <v>0</v>
      </c>
      <c r="AO621">
        <f>VLOOKUP(A621,'[1]Prueba con 19mil datos'!$B$1:$AF$1228,31,FALSE)</f>
        <v>1433.25</v>
      </c>
    </row>
    <row r="622" spans="1:41" hidden="1" x14ac:dyDescent="0.25">
      <c r="A622" s="16" t="s">
        <v>1148</v>
      </c>
      <c r="B622" s="15" t="s">
        <v>40</v>
      </c>
      <c r="C622" s="16">
        <v>1</v>
      </c>
      <c r="D622" s="16" t="s">
        <v>2548</v>
      </c>
      <c r="E622" s="17" t="s">
        <v>42</v>
      </c>
      <c r="F622" s="18" t="s">
        <v>772</v>
      </c>
      <c r="G622" s="18" t="s">
        <v>2549</v>
      </c>
      <c r="H622" s="16" t="s">
        <v>115</v>
      </c>
      <c r="I622" s="19" t="s">
        <v>3</v>
      </c>
      <c r="J622" s="16" t="s">
        <v>12</v>
      </c>
      <c r="K622" s="20" t="s">
        <v>622</v>
      </c>
      <c r="L622" s="20" t="s">
        <v>2356</v>
      </c>
      <c r="M622" s="16" t="s">
        <v>118</v>
      </c>
      <c r="N622" s="16">
        <v>0</v>
      </c>
      <c r="O622" s="16" t="s">
        <v>50</v>
      </c>
      <c r="P622" s="20">
        <v>6</v>
      </c>
      <c r="Q622" s="20" t="s">
        <v>311</v>
      </c>
      <c r="R622" s="21" t="s">
        <v>87</v>
      </c>
      <c r="S622" s="22" t="s">
        <v>53</v>
      </c>
      <c r="T622" s="22" t="s">
        <v>54</v>
      </c>
      <c r="U622" s="23" t="s">
        <v>572</v>
      </c>
      <c r="V622" s="24">
        <v>0</v>
      </c>
      <c r="W622" s="25">
        <v>0</v>
      </c>
      <c r="X622" s="26">
        <v>1</v>
      </c>
      <c r="Y622" s="27">
        <v>2.2999999999999989</v>
      </c>
      <c r="Z622" s="23">
        <v>5</v>
      </c>
      <c r="AA622" s="28">
        <v>0.4599999999999998</v>
      </c>
      <c r="AB622" s="24">
        <v>0</v>
      </c>
      <c r="AC622" s="29">
        <v>0</v>
      </c>
      <c r="AD622" s="30">
        <v>43578</v>
      </c>
      <c r="AE622" s="30">
        <v>43578</v>
      </c>
      <c r="AF622" s="23">
        <v>0</v>
      </c>
      <c r="AG622" s="25" t="s">
        <v>56</v>
      </c>
      <c r="AH622" s="24">
        <v>0</v>
      </c>
      <c r="AI622" s="31">
        <v>0</v>
      </c>
      <c r="AJ622" s="31">
        <v>0</v>
      </c>
      <c r="AK622" s="44">
        <f t="shared" si="18"/>
        <v>0</v>
      </c>
      <c r="AL622">
        <f>VLOOKUP(A622,'[1]prueba con 16mil datos'!$A$1:$AE$804,31,FALSE)</f>
        <v>1092</v>
      </c>
      <c r="AM622">
        <f t="shared" si="19"/>
        <v>0</v>
      </c>
      <c r="AO622">
        <f>VLOOKUP(A622,'[1]Prueba con 19mil datos'!$B$1:$AF$1228,31,FALSE)</f>
        <v>1092</v>
      </c>
    </row>
    <row r="623" spans="1:41" hidden="1" x14ac:dyDescent="0.25">
      <c r="A623" s="16" t="s">
        <v>2758</v>
      </c>
      <c r="B623" s="15" t="s">
        <v>40</v>
      </c>
      <c r="C623" s="16">
        <v>1</v>
      </c>
      <c r="D623" s="16" t="s">
        <v>2568</v>
      </c>
      <c r="E623" s="17" t="s">
        <v>42</v>
      </c>
      <c r="F623" s="18" t="s">
        <v>90</v>
      </c>
      <c r="G623" s="18" t="s">
        <v>2569</v>
      </c>
      <c r="H623" s="16" t="s">
        <v>61</v>
      </c>
      <c r="I623" s="19" t="s">
        <v>3</v>
      </c>
      <c r="J623" s="16" t="s">
        <v>12</v>
      </c>
      <c r="K623" s="20" t="s">
        <v>154</v>
      </c>
      <c r="L623" s="20" t="s">
        <v>2571</v>
      </c>
      <c r="M623" s="16" t="s">
        <v>526</v>
      </c>
      <c r="N623" s="16">
        <v>0</v>
      </c>
      <c r="O623" s="16" t="s">
        <v>50</v>
      </c>
      <c r="P623" s="20">
        <v>204</v>
      </c>
      <c r="Q623" s="20" t="s">
        <v>51</v>
      </c>
      <c r="R623" s="21" t="s">
        <v>77</v>
      </c>
      <c r="S623" s="22" t="s">
        <v>53</v>
      </c>
      <c r="T623" s="22" t="s">
        <v>54</v>
      </c>
      <c r="U623" s="23" t="s">
        <v>55</v>
      </c>
      <c r="V623" s="24">
        <v>1.05</v>
      </c>
      <c r="W623" s="25">
        <v>750.75000000000011</v>
      </c>
      <c r="X623" s="26">
        <v>1</v>
      </c>
      <c r="Y623" s="27">
        <v>0</v>
      </c>
      <c r="Z623" s="23">
        <v>5</v>
      </c>
      <c r="AA623" s="28">
        <v>0</v>
      </c>
      <c r="AB623" s="24">
        <v>0</v>
      </c>
      <c r="AC623" s="29">
        <v>0</v>
      </c>
      <c r="AD623" s="30">
        <v>43578</v>
      </c>
      <c r="AE623" s="30">
        <v>43578</v>
      </c>
      <c r="AF623" s="23">
        <v>0</v>
      </c>
      <c r="AG623" s="25" t="s">
        <v>56</v>
      </c>
      <c r="AH623" s="24">
        <v>0</v>
      </c>
      <c r="AI623" s="31">
        <v>0</v>
      </c>
      <c r="AJ623" s="31">
        <v>0</v>
      </c>
      <c r="AK623" s="44">
        <f t="shared" si="18"/>
        <v>750.75000000000011</v>
      </c>
      <c r="AL623">
        <f>VLOOKUP(A623,'[1]prueba con 16mil datos'!$A$1:$AE$804,31,FALSE)</f>
        <v>1501.5</v>
      </c>
      <c r="AM623">
        <f t="shared" si="19"/>
        <v>0</v>
      </c>
      <c r="AO623">
        <f>VLOOKUP(A623,'[1]Prueba con 19mil datos'!$B$1:$AF$1228,31,FALSE)</f>
        <v>1501.5</v>
      </c>
    </row>
    <row r="624" spans="1:41" hidden="1" x14ac:dyDescent="0.25">
      <c r="A624" s="16" t="s">
        <v>1669</v>
      </c>
      <c r="B624" s="15" t="s">
        <v>40</v>
      </c>
      <c r="C624" s="16">
        <v>1</v>
      </c>
      <c r="D624" s="16" t="s">
        <v>2579</v>
      </c>
      <c r="E624" s="17" t="s">
        <v>42</v>
      </c>
      <c r="F624" s="18" t="s">
        <v>281</v>
      </c>
      <c r="G624" s="18" t="s">
        <v>2580</v>
      </c>
      <c r="H624" s="16" t="s">
        <v>213</v>
      </c>
      <c r="I624" s="19" t="s">
        <v>3</v>
      </c>
      <c r="J624" s="16" t="s">
        <v>12</v>
      </c>
      <c r="K624" s="20" t="s">
        <v>126</v>
      </c>
      <c r="L624" s="20" t="s">
        <v>1401</v>
      </c>
      <c r="M624" s="16" t="s">
        <v>479</v>
      </c>
      <c r="N624" s="16">
        <v>0</v>
      </c>
      <c r="O624" s="16" t="s">
        <v>50</v>
      </c>
      <c r="P624" s="20">
        <v>337</v>
      </c>
      <c r="Q624" s="20" t="s">
        <v>51</v>
      </c>
      <c r="R624" s="21" t="s">
        <v>287</v>
      </c>
      <c r="S624" s="22" t="s">
        <v>288</v>
      </c>
      <c r="T624" s="22" t="s">
        <v>54</v>
      </c>
      <c r="U624" s="23" t="s">
        <v>550</v>
      </c>
      <c r="V624" s="24">
        <v>1.1499999999999999</v>
      </c>
      <c r="W624" s="25">
        <v>1808.95</v>
      </c>
      <c r="X624" s="26">
        <v>1</v>
      </c>
      <c r="Y624" s="27">
        <v>2.71</v>
      </c>
      <c r="Z624" s="23">
        <v>4</v>
      </c>
      <c r="AA624" s="28">
        <v>0.67749999999999999</v>
      </c>
      <c r="AB624" s="24">
        <v>0</v>
      </c>
      <c r="AC624" s="29">
        <v>0</v>
      </c>
      <c r="AD624" s="30">
        <v>43578</v>
      </c>
      <c r="AE624" s="30">
        <v>43578</v>
      </c>
      <c r="AF624" s="23">
        <v>0</v>
      </c>
      <c r="AG624" s="25" t="s">
        <v>56</v>
      </c>
      <c r="AH624" s="24">
        <v>0</v>
      </c>
      <c r="AI624" s="31">
        <v>0</v>
      </c>
      <c r="AJ624" s="31">
        <v>0</v>
      </c>
      <c r="AK624" s="44">
        <f t="shared" si="18"/>
        <v>1808.95</v>
      </c>
      <c r="AL624">
        <f>VLOOKUP(A624,'[1]prueba con 16mil datos'!$A$1:$AE$804,31,FALSE)</f>
        <v>1501.5</v>
      </c>
      <c r="AM624">
        <f t="shared" si="19"/>
        <v>0</v>
      </c>
      <c r="AO624">
        <f>VLOOKUP(A624,'[1]Prueba con 19mil datos'!$B$1:$AF$1228,31,FALSE)</f>
        <v>1501.5</v>
      </c>
    </row>
    <row r="625" spans="1:41" hidden="1" x14ac:dyDescent="0.25">
      <c r="A625" s="16" t="s">
        <v>1669</v>
      </c>
      <c r="B625" s="15" t="s">
        <v>40</v>
      </c>
      <c r="C625" s="16">
        <v>1</v>
      </c>
      <c r="D625" s="16" t="s">
        <v>2558</v>
      </c>
      <c r="E625" s="17" t="s">
        <v>42</v>
      </c>
      <c r="F625" s="18" t="s">
        <v>1786</v>
      </c>
      <c r="G625" s="18" t="s">
        <v>2559</v>
      </c>
      <c r="H625" s="16" t="s">
        <v>2561</v>
      </c>
      <c r="I625" s="19" t="s">
        <v>3</v>
      </c>
      <c r="J625" s="16" t="s">
        <v>12</v>
      </c>
      <c r="K625" s="20" t="s">
        <v>2101</v>
      </c>
      <c r="L625" s="20" t="s">
        <v>2562</v>
      </c>
      <c r="M625" s="16" t="s">
        <v>105</v>
      </c>
      <c r="N625" s="16">
        <v>0</v>
      </c>
      <c r="O625" s="16" t="s">
        <v>50</v>
      </c>
      <c r="P625" s="20">
        <v>2700</v>
      </c>
      <c r="Q625" s="20" t="s">
        <v>51</v>
      </c>
      <c r="R625" s="21" t="s">
        <v>77</v>
      </c>
      <c r="S625" s="22" t="s">
        <v>53</v>
      </c>
      <c r="T625" s="22" t="s">
        <v>54</v>
      </c>
      <c r="U625" s="23" t="s">
        <v>55</v>
      </c>
      <c r="V625" s="24">
        <v>1.05</v>
      </c>
      <c r="W625" s="25">
        <v>750.75000000000011</v>
      </c>
      <c r="X625" s="26">
        <v>1</v>
      </c>
      <c r="Y625" s="27">
        <v>1.83</v>
      </c>
      <c r="Z625" s="23">
        <v>5</v>
      </c>
      <c r="AA625" s="28">
        <v>0.36599999999999999</v>
      </c>
      <c r="AB625" s="24">
        <v>0</v>
      </c>
      <c r="AC625" s="29">
        <v>0</v>
      </c>
      <c r="AD625" s="30">
        <v>43578</v>
      </c>
      <c r="AE625" s="30">
        <v>43578</v>
      </c>
      <c r="AF625" s="23">
        <v>0</v>
      </c>
      <c r="AG625" s="25" t="s">
        <v>56</v>
      </c>
      <c r="AH625" s="24">
        <v>0</v>
      </c>
      <c r="AI625" s="31">
        <v>0</v>
      </c>
      <c r="AJ625" s="31">
        <v>0</v>
      </c>
      <c r="AK625" s="44">
        <f t="shared" si="18"/>
        <v>750.75000000000011</v>
      </c>
      <c r="AL625">
        <f>VLOOKUP(A625,'[1]prueba con 16mil datos'!$A$1:$AE$804,31,FALSE)</f>
        <v>1501.5</v>
      </c>
      <c r="AM625">
        <f t="shared" si="19"/>
        <v>0</v>
      </c>
      <c r="AO625">
        <f>VLOOKUP(A625,'[1]Prueba con 19mil datos'!$B$1:$AF$1228,31,FALSE)</f>
        <v>1501.5</v>
      </c>
    </row>
    <row r="626" spans="1:41" hidden="1" x14ac:dyDescent="0.25">
      <c r="A626" s="16" t="s">
        <v>2267</v>
      </c>
      <c r="B626" s="15" t="s">
        <v>40</v>
      </c>
      <c r="C626" s="16">
        <v>1</v>
      </c>
      <c r="D626" s="16" t="s">
        <v>2532</v>
      </c>
      <c r="E626" s="17" t="s">
        <v>42</v>
      </c>
      <c r="F626" s="18" t="s">
        <v>2533</v>
      </c>
      <c r="G626" s="18" t="s">
        <v>2534</v>
      </c>
      <c r="H626" s="16" t="s">
        <v>61</v>
      </c>
      <c r="I626" s="19" t="s">
        <v>3</v>
      </c>
      <c r="J626" s="16" t="s">
        <v>12</v>
      </c>
      <c r="K626" s="20" t="s">
        <v>2536</v>
      </c>
      <c r="L626" s="20" t="s">
        <v>2537</v>
      </c>
      <c r="M626" s="16" t="s">
        <v>118</v>
      </c>
      <c r="N626" s="16">
        <v>0</v>
      </c>
      <c r="O626" s="16" t="s">
        <v>50</v>
      </c>
      <c r="P626" s="20">
        <v>31</v>
      </c>
      <c r="Q626" s="20" t="s">
        <v>86</v>
      </c>
      <c r="R626" s="21" t="s">
        <v>268</v>
      </c>
      <c r="S626" s="22" t="s">
        <v>187</v>
      </c>
      <c r="T626" s="22" t="s">
        <v>54</v>
      </c>
      <c r="U626" s="23" t="s">
        <v>188</v>
      </c>
      <c r="V626" s="24">
        <v>1.1000000000000001</v>
      </c>
      <c r="W626" s="25">
        <v>1730.3000000000004</v>
      </c>
      <c r="X626" s="26">
        <v>1</v>
      </c>
      <c r="Y626" s="27">
        <v>0.65</v>
      </c>
      <c r="Z626" s="23">
        <v>4</v>
      </c>
      <c r="AA626" s="28">
        <v>0.16250000000000001</v>
      </c>
      <c r="AB626" s="24">
        <v>0</v>
      </c>
      <c r="AC626" s="29">
        <v>0</v>
      </c>
      <c r="AD626" s="30">
        <v>43578</v>
      </c>
      <c r="AE626" s="30">
        <v>43578</v>
      </c>
      <c r="AF626" s="23">
        <v>0</v>
      </c>
      <c r="AG626" s="25" t="s">
        <v>56</v>
      </c>
      <c r="AH626" s="24">
        <v>0</v>
      </c>
      <c r="AI626" s="31">
        <v>0</v>
      </c>
      <c r="AJ626" s="31">
        <v>0</v>
      </c>
      <c r="AK626" s="44">
        <f t="shared" si="18"/>
        <v>1730.3000000000004</v>
      </c>
      <c r="AL626" t="e">
        <f>VLOOKUP(A626,'[1]prueba con 16mil datos'!$A$1:$AE$804,31,FALSE)</f>
        <v>#N/A</v>
      </c>
      <c r="AM626" t="e">
        <f t="shared" si="19"/>
        <v>#N/A</v>
      </c>
      <c r="AO626">
        <f>VLOOKUP(A626,'[1]Prueba con 19mil datos'!$B$1:$AF$1228,31,FALSE)</f>
        <v>0</v>
      </c>
    </row>
    <row r="627" spans="1:41" hidden="1" x14ac:dyDescent="0.25">
      <c r="A627" s="16" t="s">
        <v>2864</v>
      </c>
      <c r="B627" s="15" t="s">
        <v>40</v>
      </c>
      <c r="C627" s="16">
        <v>1</v>
      </c>
      <c r="D627" s="16" t="s">
        <v>2512</v>
      </c>
      <c r="E627" s="17" t="s">
        <v>1522</v>
      </c>
      <c r="F627" s="18" t="s">
        <v>233</v>
      </c>
      <c r="G627" s="18" t="s">
        <v>2513</v>
      </c>
      <c r="H627" s="16" t="s">
        <v>264</v>
      </c>
      <c r="I627" s="19" t="s">
        <v>3</v>
      </c>
      <c r="J627" s="16" t="s">
        <v>12</v>
      </c>
      <c r="K627" s="20" t="s">
        <v>378</v>
      </c>
      <c r="L627" s="20" t="s">
        <v>1684</v>
      </c>
      <c r="M627" s="16" t="s">
        <v>267</v>
      </c>
      <c r="N627" s="16">
        <v>0</v>
      </c>
      <c r="O627" s="16" t="s">
        <v>50</v>
      </c>
      <c r="P627" s="20" t="s">
        <v>326</v>
      </c>
      <c r="Q627" s="20" t="s">
        <v>51</v>
      </c>
      <c r="R627" s="21" t="s">
        <v>77</v>
      </c>
      <c r="S627" s="22" t="s">
        <v>53</v>
      </c>
      <c r="T627" s="22" t="s">
        <v>54</v>
      </c>
      <c r="U627" s="23" t="s">
        <v>55</v>
      </c>
      <c r="V627" s="24">
        <v>1</v>
      </c>
      <c r="W627" s="25">
        <v>715.00000000000011</v>
      </c>
      <c r="X627" s="26">
        <v>0</v>
      </c>
      <c r="Y627" s="27">
        <v>5</v>
      </c>
      <c r="Z627" s="23">
        <v>5</v>
      </c>
      <c r="AA627" s="28">
        <v>1</v>
      </c>
      <c r="AB627" s="24">
        <v>0</v>
      </c>
      <c r="AC627" s="29">
        <v>0</v>
      </c>
      <c r="AD627" s="30">
        <v>43578</v>
      </c>
      <c r="AE627" s="30">
        <v>43578</v>
      </c>
      <c r="AF627" s="23">
        <v>0</v>
      </c>
      <c r="AG627" s="25" t="s">
        <v>56</v>
      </c>
      <c r="AH627" s="24">
        <v>0</v>
      </c>
      <c r="AI627" s="31">
        <v>0</v>
      </c>
      <c r="AJ627" s="31">
        <v>0</v>
      </c>
      <c r="AK627" s="44">
        <f t="shared" si="18"/>
        <v>715.00000000000011</v>
      </c>
      <c r="AL627" t="e">
        <f>VLOOKUP(A627,'[1]prueba con 16mil datos'!$A$1:$AE$804,31,FALSE)</f>
        <v>#N/A</v>
      </c>
      <c r="AM627" t="e">
        <f t="shared" si="19"/>
        <v>#N/A</v>
      </c>
      <c r="AO627">
        <f>VLOOKUP(A627,'[1]Prueba con 19mil datos'!$B$1:$AF$1228,31,FALSE)</f>
        <v>0</v>
      </c>
    </row>
    <row r="628" spans="1:41" hidden="1" x14ac:dyDescent="0.25">
      <c r="A628" s="16" t="s">
        <v>1245</v>
      </c>
      <c r="B628" s="15" t="s">
        <v>40</v>
      </c>
      <c r="C628" s="16">
        <v>1</v>
      </c>
      <c r="D628" s="16" t="s">
        <v>2525</v>
      </c>
      <c r="E628" s="17" t="s">
        <v>2311</v>
      </c>
      <c r="F628" s="18" t="s">
        <v>733</v>
      </c>
      <c r="G628" s="18" t="s">
        <v>2526</v>
      </c>
      <c r="H628" s="16" t="s">
        <v>243</v>
      </c>
      <c r="I628" s="19" t="s">
        <v>3</v>
      </c>
      <c r="J628" s="16" t="s">
        <v>12</v>
      </c>
      <c r="K628" s="20" t="s">
        <v>198</v>
      </c>
      <c r="L628" s="20" t="s">
        <v>683</v>
      </c>
      <c r="M628" s="16" t="s">
        <v>372</v>
      </c>
      <c r="N628" s="16">
        <v>0</v>
      </c>
      <c r="O628" s="16" t="s">
        <v>50</v>
      </c>
      <c r="P628" s="20" t="s">
        <v>326</v>
      </c>
      <c r="Q628" s="20" t="s">
        <v>51</v>
      </c>
      <c r="R628" s="21" t="s">
        <v>279</v>
      </c>
      <c r="S628" s="22" t="s">
        <v>187</v>
      </c>
      <c r="T628" s="22" t="s">
        <v>54</v>
      </c>
      <c r="U628" s="23" t="s">
        <v>550</v>
      </c>
      <c r="V628" s="24">
        <v>1</v>
      </c>
      <c r="W628" s="25">
        <v>1573.0000000000002</v>
      </c>
      <c r="X628" s="26">
        <v>0</v>
      </c>
      <c r="Y628" s="27">
        <v>4</v>
      </c>
      <c r="Z628" s="23">
        <v>4</v>
      </c>
      <c r="AA628" s="28">
        <v>1</v>
      </c>
      <c r="AB628" s="24">
        <v>0</v>
      </c>
      <c r="AC628" s="29">
        <v>0</v>
      </c>
      <c r="AD628" s="30">
        <v>43578</v>
      </c>
      <c r="AE628" s="30">
        <v>43578</v>
      </c>
      <c r="AF628" s="23">
        <v>0</v>
      </c>
      <c r="AG628" s="25" t="s">
        <v>56</v>
      </c>
      <c r="AH628" s="24">
        <v>0</v>
      </c>
      <c r="AI628" s="31">
        <v>0</v>
      </c>
      <c r="AJ628" s="31">
        <v>0</v>
      </c>
      <c r="AK628" s="44">
        <f t="shared" si="18"/>
        <v>1573.0000000000002</v>
      </c>
      <c r="AL628">
        <f>VLOOKUP(A628,'[1]prueba con 16mil datos'!$A$1:$AE$804,31,FALSE)</f>
        <v>1501.5</v>
      </c>
      <c r="AM628">
        <f t="shared" si="19"/>
        <v>0</v>
      </c>
      <c r="AO628">
        <f>VLOOKUP(A628,'[1]Prueba con 19mil datos'!$B$1:$AF$1228,31,FALSE)</f>
        <v>1501.5</v>
      </c>
    </row>
    <row r="629" spans="1:41" hidden="1" x14ac:dyDescent="0.25">
      <c r="A629" s="16" t="s">
        <v>2565</v>
      </c>
      <c r="B629" s="15" t="s">
        <v>40</v>
      </c>
      <c r="C629" s="16">
        <v>1</v>
      </c>
      <c r="D629" s="16" t="s">
        <v>2490</v>
      </c>
      <c r="E629" s="17" t="s">
        <v>42</v>
      </c>
      <c r="F629" s="18" t="s">
        <v>275</v>
      </c>
      <c r="G629" s="18" t="s">
        <v>2491</v>
      </c>
      <c r="H629" s="16" t="s">
        <v>293</v>
      </c>
      <c r="I629" s="19" t="s">
        <v>3</v>
      </c>
      <c r="J629" s="16" t="s">
        <v>12</v>
      </c>
      <c r="K629" s="20" t="s">
        <v>126</v>
      </c>
      <c r="L629" s="20" t="s">
        <v>1577</v>
      </c>
      <c r="M629" s="16" t="s">
        <v>372</v>
      </c>
      <c r="N629" s="16">
        <v>0</v>
      </c>
      <c r="O629" s="16" t="s">
        <v>50</v>
      </c>
      <c r="P629" s="20">
        <v>4</v>
      </c>
      <c r="Q629" s="20" t="s">
        <v>311</v>
      </c>
      <c r="R629" s="21" t="s">
        <v>279</v>
      </c>
      <c r="S629" s="22" t="s">
        <v>187</v>
      </c>
      <c r="T629" s="22" t="s">
        <v>54</v>
      </c>
      <c r="U629" s="23" t="s">
        <v>362</v>
      </c>
      <c r="V629" s="24">
        <v>0.6</v>
      </c>
      <c r="W629" s="25">
        <v>943.80000000000007</v>
      </c>
      <c r="X629" s="26">
        <v>1</v>
      </c>
      <c r="Y629" s="27">
        <v>1.77</v>
      </c>
      <c r="Z629" s="23">
        <v>4</v>
      </c>
      <c r="AA629" s="28">
        <v>0.4425</v>
      </c>
      <c r="AB629" s="24">
        <v>0</v>
      </c>
      <c r="AC629" s="29">
        <v>0</v>
      </c>
      <c r="AD629" s="30">
        <v>43578</v>
      </c>
      <c r="AE629" s="30">
        <v>43578</v>
      </c>
      <c r="AF629" s="23">
        <v>0</v>
      </c>
      <c r="AG629" s="25" t="s">
        <v>56</v>
      </c>
      <c r="AH629" s="24">
        <v>0</v>
      </c>
      <c r="AI629" s="31">
        <v>0</v>
      </c>
      <c r="AJ629" s="31">
        <v>0</v>
      </c>
      <c r="AK629" s="44">
        <f t="shared" si="18"/>
        <v>943.80000000000007</v>
      </c>
      <c r="AL629" t="e">
        <f>VLOOKUP(A629,'[1]prueba con 16mil datos'!$A$1:$AE$804,31,FALSE)</f>
        <v>#N/A</v>
      </c>
      <c r="AM629" t="e">
        <f t="shared" si="19"/>
        <v>#N/A</v>
      </c>
      <c r="AO629">
        <f>VLOOKUP(A629,'[1]Prueba con 19mil datos'!$B$1:$AF$1228,31,FALSE)</f>
        <v>0</v>
      </c>
    </row>
    <row r="630" spans="1:41" hidden="1" x14ac:dyDescent="0.25">
      <c r="A630" s="16" t="s">
        <v>653</v>
      </c>
      <c r="B630" s="15" t="s">
        <v>40</v>
      </c>
      <c r="C630" s="16">
        <v>1</v>
      </c>
      <c r="D630" s="16" t="s">
        <v>2543</v>
      </c>
      <c r="E630" s="17" t="s">
        <v>42</v>
      </c>
      <c r="F630" s="18" t="s">
        <v>275</v>
      </c>
      <c r="G630" s="18" t="s">
        <v>2544</v>
      </c>
      <c r="H630" s="16" t="s">
        <v>82</v>
      </c>
      <c r="I630" s="19" t="s">
        <v>3</v>
      </c>
      <c r="J630" s="16" t="s">
        <v>12</v>
      </c>
      <c r="K630" s="20" t="s">
        <v>126</v>
      </c>
      <c r="L630" s="20" t="s">
        <v>2078</v>
      </c>
      <c r="M630" s="16" t="s">
        <v>85</v>
      </c>
      <c r="N630" s="16">
        <v>0</v>
      </c>
      <c r="O630" s="16" t="s">
        <v>50</v>
      </c>
      <c r="P630" s="20">
        <v>146</v>
      </c>
      <c r="Q630" s="20" t="s">
        <v>51</v>
      </c>
      <c r="R630" s="21" t="s">
        <v>279</v>
      </c>
      <c r="S630" s="22" t="s">
        <v>187</v>
      </c>
      <c r="T630" s="22" t="s">
        <v>54</v>
      </c>
      <c r="U630" s="23" t="s">
        <v>550</v>
      </c>
      <c r="V630" s="24">
        <v>1.1499999999999999</v>
      </c>
      <c r="W630" s="25">
        <v>1808.95</v>
      </c>
      <c r="X630" s="26">
        <v>1</v>
      </c>
      <c r="Y630" s="27">
        <v>1.65</v>
      </c>
      <c r="Z630" s="23">
        <v>4</v>
      </c>
      <c r="AA630" s="28">
        <v>0.41249999999999998</v>
      </c>
      <c r="AB630" s="24">
        <v>0</v>
      </c>
      <c r="AC630" s="29">
        <v>0</v>
      </c>
      <c r="AD630" s="30">
        <v>43578</v>
      </c>
      <c r="AE630" s="30">
        <v>43578</v>
      </c>
      <c r="AF630" s="23">
        <v>0</v>
      </c>
      <c r="AG630" s="25" t="s">
        <v>56</v>
      </c>
      <c r="AH630" s="24">
        <v>0</v>
      </c>
      <c r="AI630" s="31">
        <v>0</v>
      </c>
      <c r="AJ630" s="31">
        <v>0</v>
      </c>
      <c r="AK630" s="44">
        <f t="shared" si="18"/>
        <v>1808.95</v>
      </c>
      <c r="AL630">
        <f>VLOOKUP(A630,'[1]prueba con 16mil datos'!$A$1:$AE$804,31,FALSE)</f>
        <v>0</v>
      </c>
      <c r="AM630">
        <f t="shared" si="19"/>
        <v>0</v>
      </c>
      <c r="AO630">
        <f>VLOOKUP(A630,'[1]Prueba con 19mil datos'!$B$1:$AF$1228,31,FALSE)</f>
        <v>0</v>
      </c>
    </row>
    <row r="631" spans="1:41" hidden="1" x14ac:dyDescent="0.25">
      <c r="A631" s="16" t="s">
        <v>1967</v>
      </c>
      <c r="B631" s="15" t="s">
        <v>40</v>
      </c>
      <c r="C631" s="16">
        <v>1</v>
      </c>
      <c r="D631" s="16" t="s">
        <v>2593</v>
      </c>
      <c r="E631" s="17" t="s">
        <v>42</v>
      </c>
      <c r="F631" s="18" t="s">
        <v>70</v>
      </c>
      <c r="G631" s="18" t="s">
        <v>2594</v>
      </c>
      <c r="H631" s="16" t="s">
        <v>73</v>
      </c>
      <c r="I631" s="19" t="s">
        <v>3</v>
      </c>
      <c r="J631" s="16" t="s">
        <v>12</v>
      </c>
      <c r="K631" s="20" t="s">
        <v>74</v>
      </c>
      <c r="L631" s="20" t="s">
        <v>2596</v>
      </c>
      <c r="M631" s="16" t="s">
        <v>993</v>
      </c>
      <c r="N631" s="16">
        <v>0</v>
      </c>
      <c r="O631" s="16" t="s">
        <v>50</v>
      </c>
      <c r="P631" s="20">
        <v>613</v>
      </c>
      <c r="Q631" s="20" t="s">
        <v>51</v>
      </c>
      <c r="R631" s="21" t="s">
        <v>77</v>
      </c>
      <c r="S631" s="22" t="s">
        <v>53</v>
      </c>
      <c r="T631" s="22" t="s">
        <v>54</v>
      </c>
      <c r="U631" s="23" t="s">
        <v>55</v>
      </c>
      <c r="V631" s="24">
        <v>1.05</v>
      </c>
      <c r="W631" s="25">
        <v>750.75000000000011</v>
      </c>
      <c r="X631" s="26">
        <v>1</v>
      </c>
      <c r="Y631" s="27">
        <v>4.47</v>
      </c>
      <c r="Z631" s="23">
        <v>5</v>
      </c>
      <c r="AA631" s="28">
        <v>0.89399999999999991</v>
      </c>
      <c r="AB631" s="24">
        <v>0</v>
      </c>
      <c r="AC631" s="29">
        <v>0</v>
      </c>
      <c r="AD631" s="30">
        <v>43578</v>
      </c>
      <c r="AE631" s="30">
        <v>43579</v>
      </c>
      <c r="AF631" s="23">
        <v>1</v>
      </c>
      <c r="AG631" s="25" t="s">
        <v>56</v>
      </c>
      <c r="AH631" s="24">
        <v>0</v>
      </c>
      <c r="AI631" s="31">
        <v>0</v>
      </c>
      <c r="AJ631" s="31">
        <v>0</v>
      </c>
      <c r="AK631" s="44">
        <f t="shared" si="18"/>
        <v>750.75000000000011</v>
      </c>
      <c r="AL631">
        <f>VLOOKUP(A631,'[1]prueba con 16mil datos'!$A$1:$AE$804,31,FALSE)</f>
        <v>1501.5</v>
      </c>
      <c r="AM631">
        <f t="shared" si="19"/>
        <v>0</v>
      </c>
      <c r="AO631">
        <f>VLOOKUP(A631,'[1]Prueba con 19mil datos'!$B$1:$AF$1228,31,FALSE)</f>
        <v>1501.5</v>
      </c>
    </row>
    <row r="632" spans="1:41" hidden="1" x14ac:dyDescent="0.25">
      <c r="A632" s="16" t="s">
        <v>2996</v>
      </c>
      <c r="B632" s="15" t="s">
        <v>40</v>
      </c>
      <c r="C632" s="16">
        <v>1</v>
      </c>
      <c r="D632" s="16" t="s">
        <v>2610</v>
      </c>
      <c r="E632" s="17" t="s">
        <v>42</v>
      </c>
      <c r="F632" s="18" t="s">
        <v>335</v>
      </c>
      <c r="G632" s="18" t="s">
        <v>2206</v>
      </c>
      <c r="H632" s="16" t="s">
        <v>46</v>
      </c>
      <c r="I632" s="19" t="s">
        <v>3</v>
      </c>
      <c r="J632" s="16" t="s">
        <v>12</v>
      </c>
      <c r="K632" s="20" t="s">
        <v>208</v>
      </c>
      <c r="L632" s="20" t="s">
        <v>1048</v>
      </c>
      <c r="M632" s="16" t="s">
        <v>49</v>
      </c>
      <c r="N632" s="16">
        <v>0</v>
      </c>
      <c r="O632" s="16" t="s">
        <v>50</v>
      </c>
      <c r="P632" s="20">
        <v>1086</v>
      </c>
      <c r="Q632" s="20" t="s">
        <v>51</v>
      </c>
      <c r="R632" s="21" t="s">
        <v>77</v>
      </c>
      <c r="S632" s="22" t="s">
        <v>53</v>
      </c>
      <c r="T632" s="22" t="s">
        <v>54</v>
      </c>
      <c r="U632" s="23" t="s">
        <v>55</v>
      </c>
      <c r="V632" s="24">
        <v>1.05</v>
      </c>
      <c r="W632" s="25">
        <v>750.75000000000011</v>
      </c>
      <c r="X632" s="26">
        <v>1</v>
      </c>
      <c r="Y632" s="27">
        <v>0</v>
      </c>
      <c r="Z632" s="23">
        <v>5</v>
      </c>
      <c r="AA632" s="28">
        <v>0</v>
      </c>
      <c r="AB632" s="24">
        <v>0</v>
      </c>
      <c r="AC632" s="29">
        <v>0</v>
      </c>
      <c r="AD632" s="30">
        <v>43578</v>
      </c>
      <c r="AE632" s="30">
        <v>43579</v>
      </c>
      <c r="AF632" s="23">
        <v>1</v>
      </c>
      <c r="AG632" s="25" t="s">
        <v>56</v>
      </c>
      <c r="AH632" s="24">
        <v>0</v>
      </c>
      <c r="AI632" s="31">
        <v>0</v>
      </c>
      <c r="AJ632" s="31">
        <v>0</v>
      </c>
      <c r="AK632" s="44">
        <f t="shared" si="18"/>
        <v>750.75000000000011</v>
      </c>
      <c r="AL632">
        <f>VLOOKUP(A632,'[1]prueba con 16mil datos'!$A$1:$AE$804,31,FALSE)</f>
        <v>1433.25</v>
      </c>
      <c r="AM632">
        <f t="shared" si="19"/>
        <v>0</v>
      </c>
      <c r="AO632">
        <f>VLOOKUP(A632,'[1]Prueba con 19mil datos'!$B$1:$AF$1228,31,FALSE)</f>
        <v>1433.25</v>
      </c>
    </row>
    <row r="633" spans="1:41" hidden="1" x14ac:dyDescent="0.25">
      <c r="A633" s="16" t="s">
        <v>2574</v>
      </c>
      <c r="B633" s="15" t="s">
        <v>40</v>
      </c>
      <c r="C633" s="16">
        <v>1</v>
      </c>
      <c r="D633" s="16" t="s">
        <v>2494</v>
      </c>
      <c r="E633" s="17" t="s">
        <v>42</v>
      </c>
      <c r="F633" s="18" t="s">
        <v>335</v>
      </c>
      <c r="G633" s="18" t="s">
        <v>2495</v>
      </c>
      <c r="H633" s="16" t="s">
        <v>109</v>
      </c>
      <c r="I633" s="19" t="s">
        <v>3</v>
      </c>
      <c r="J633" s="16" t="s">
        <v>12</v>
      </c>
      <c r="K633" s="20" t="s">
        <v>1608</v>
      </c>
      <c r="L633" s="20" t="s">
        <v>2497</v>
      </c>
      <c r="M633" s="16" t="s">
        <v>1610</v>
      </c>
      <c r="N633" s="16">
        <v>0</v>
      </c>
      <c r="O633" s="16" t="s">
        <v>50</v>
      </c>
      <c r="P633" s="20">
        <v>217</v>
      </c>
      <c r="Q633" s="20" t="s">
        <v>51</v>
      </c>
      <c r="R633" s="21" t="s">
        <v>77</v>
      </c>
      <c r="S633" s="22" t="s">
        <v>53</v>
      </c>
      <c r="T633" s="22" t="s">
        <v>54</v>
      </c>
      <c r="U633" s="23" t="s">
        <v>55</v>
      </c>
      <c r="V633" s="24">
        <v>1.05</v>
      </c>
      <c r="W633" s="25">
        <v>750.75000000000011</v>
      </c>
      <c r="X633" s="26">
        <v>1</v>
      </c>
      <c r="Y633" s="27">
        <v>0.4</v>
      </c>
      <c r="Z633" s="23">
        <v>5</v>
      </c>
      <c r="AA633" s="28">
        <v>0.08</v>
      </c>
      <c r="AB633" s="24">
        <v>0</v>
      </c>
      <c r="AC633" s="29">
        <v>0</v>
      </c>
      <c r="AD633" s="30">
        <v>43578</v>
      </c>
      <c r="AE633" s="30">
        <v>43578</v>
      </c>
      <c r="AF633" s="23">
        <v>0</v>
      </c>
      <c r="AG633" s="25" t="s">
        <v>56</v>
      </c>
      <c r="AH633" s="24">
        <v>0</v>
      </c>
      <c r="AI633" s="31">
        <v>0</v>
      </c>
      <c r="AJ633" s="31">
        <v>0</v>
      </c>
      <c r="AK633" s="44">
        <f t="shared" si="18"/>
        <v>750.75000000000011</v>
      </c>
      <c r="AL633">
        <f>VLOOKUP(A633,'[1]prueba con 16mil datos'!$A$1:$AE$804,31,FALSE)</f>
        <v>1433.25</v>
      </c>
      <c r="AM633">
        <f t="shared" si="19"/>
        <v>0</v>
      </c>
      <c r="AO633">
        <f>VLOOKUP(A633,'[1]Prueba con 19mil datos'!$B$1:$AF$1228,31,FALSE)</f>
        <v>1433.25</v>
      </c>
    </row>
    <row r="634" spans="1:41" hidden="1" x14ac:dyDescent="0.25">
      <c r="A634" s="16" t="s">
        <v>307</v>
      </c>
      <c r="B634" s="15" t="s">
        <v>40</v>
      </c>
      <c r="C634" s="16">
        <v>1</v>
      </c>
      <c r="D634" s="16" t="s">
        <v>2599</v>
      </c>
      <c r="E634" s="17" t="s">
        <v>42</v>
      </c>
      <c r="F634" s="18" t="s">
        <v>180</v>
      </c>
      <c r="G634" s="18" t="s">
        <v>2600</v>
      </c>
      <c r="H634" s="16" t="s">
        <v>346</v>
      </c>
      <c r="I634" s="19" t="s">
        <v>3</v>
      </c>
      <c r="J634" s="16" t="s">
        <v>12</v>
      </c>
      <c r="K634" s="20" t="s">
        <v>126</v>
      </c>
      <c r="L634" s="20" t="s">
        <v>2602</v>
      </c>
      <c r="M634" s="16" t="s">
        <v>2603</v>
      </c>
      <c r="N634" s="16">
        <v>0</v>
      </c>
      <c r="O634" s="16" t="s">
        <v>50</v>
      </c>
      <c r="P634" s="20">
        <v>387</v>
      </c>
      <c r="Q634" s="20" t="s">
        <v>51</v>
      </c>
      <c r="R634" s="21" t="s">
        <v>186</v>
      </c>
      <c r="S634" s="22" t="s">
        <v>187</v>
      </c>
      <c r="T634" s="22" t="s">
        <v>54</v>
      </c>
      <c r="U634" s="23" t="s">
        <v>550</v>
      </c>
      <c r="V634" s="24">
        <v>1.1499999999999999</v>
      </c>
      <c r="W634" s="25">
        <v>1808.95</v>
      </c>
      <c r="X634" s="26">
        <v>1</v>
      </c>
      <c r="Y634" s="27">
        <v>2.75</v>
      </c>
      <c r="Z634" s="23">
        <v>4</v>
      </c>
      <c r="AA634" s="28">
        <v>0.6875</v>
      </c>
      <c r="AB634" s="24">
        <v>0</v>
      </c>
      <c r="AC634" s="29">
        <v>0</v>
      </c>
      <c r="AD634" s="30">
        <v>43578</v>
      </c>
      <c r="AE634" s="30">
        <v>43579</v>
      </c>
      <c r="AF634" s="23">
        <v>1</v>
      </c>
      <c r="AG634" s="25" t="s">
        <v>56</v>
      </c>
      <c r="AH634" s="24">
        <v>0</v>
      </c>
      <c r="AI634" s="31">
        <v>0</v>
      </c>
      <c r="AJ634" s="31">
        <v>0</v>
      </c>
      <c r="AK634" s="44">
        <f t="shared" si="18"/>
        <v>1808.95</v>
      </c>
      <c r="AL634">
        <f>VLOOKUP(A634,'[1]prueba con 16mil datos'!$A$1:$AE$804,31,FALSE)</f>
        <v>0</v>
      </c>
      <c r="AM634">
        <f t="shared" si="19"/>
        <v>0</v>
      </c>
      <c r="AO634">
        <f>VLOOKUP(A634,'[1]Prueba con 19mil datos'!$B$1:$AF$1228,31,FALSE)</f>
        <v>0</v>
      </c>
    </row>
    <row r="635" spans="1:41" hidden="1" x14ac:dyDescent="0.25">
      <c r="A635" s="16" t="s">
        <v>1781</v>
      </c>
      <c r="B635" s="15" t="s">
        <v>40</v>
      </c>
      <c r="C635" s="16">
        <v>1</v>
      </c>
      <c r="D635" s="16" t="s">
        <v>2588</v>
      </c>
      <c r="E635" s="17" t="s">
        <v>42</v>
      </c>
      <c r="F635" s="18" t="s">
        <v>122</v>
      </c>
      <c r="G635" s="18" t="s">
        <v>2589</v>
      </c>
      <c r="H635" s="16" t="s">
        <v>115</v>
      </c>
      <c r="I635" s="19" t="s">
        <v>3</v>
      </c>
      <c r="J635" s="16" t="s">
        <v>12</v>
      </c>
      <c r="K635" s="20" t="s">
        <v>198</v>
      </c>
      <c r="L635" s="20" t="s">
        <v>2138</v>
      </c>
      <c r="M635" s="16" t="s">
        <v>1003</v>
      </c>
      <c r="N635" s="16">
        <v>0</v>
      </c>
      <c r="O635" s="16" t="s">
        <v>50</v>
      </c>
      <c r="P635" s="20">
        <v>32</v>
      </c>
      <c r="Q635" s="20" t="s">
        <v>86</v>
      </c>
      <c r="R635" s="21" t="s">
        <v>129</v>
      </c>
      <c r="S635" s="22" t="s">
        <v>130</v>
      </c>
      <c r="T635" s="22" t="s">
        <v>54</v>
      </c>
      <c r="U635" s="23" t="s">
        <v>178</v>
      </c>
      <c r="V635" s="24">
        <v>1.05</v>
      </c>
      <c r="W635" s="25">
        <v>1433.25</v>
      </c>
      <c r="X635" s="26">
        <v>1</v>
      </c>
      <c r="Y635" s="27">
        <v>2.93</v>
      </c>
      <c r="Z635" s="23">
        <v>5</v>
      </c>
      <c r="AA635" s="28">
        <v>0.58600000000000008</v>
      </c>
      <c r="AB635" s="24">
        <v>0</v>
      </c>
      <c r="AC635" s="29">
        <v>0</v>
      </c>
      <c r="AD635" s="30">
        <v>43578</v>
      </c>
      <c r="AE635" s="30">
        <v>43579</v>
      </c>
      <c r="AF635" s="23">
        <v>1</v>
      </c>
      <c r="AG635" s="25" t="s">
        <v>56</v>
      </c>
      <c r="AH635" s="24">
        <v>0</v>
      </c>
      <c r="AI635" s="31">
        <v>0</v>
      </c>
      <c r="AJ635" s="31">
        <v>0</v>
      </c>
      <c r="AK635" s="44">
        <f t="shared" si="18"/>
        <v>1433.25</v>
      </c>
      <c r="AL635">
        <f>VLOOKUP(A635,'[1]prueba con 16mil datos'!$A$1:$AE$804,31,FALSE)</f>
        <v>1501.5</v>
      </c>
      <c r="AM635">
        <f t="shared" si="19"/>
        <v>0</v>
      </c>
      <c r="AO635">
        <f>VLOOKUP(A635,'[1]Prueba con 19mil datos'!$B$1:$AF$1228,31,FALSE)</f>
        <v>1501.5</v>
      </c>
    </row>
    <row r="636" spans="1:41" hidden="1" x14ac:dyDescent="0.25">
      <c r="A636" s="16" t="s">
        <v>2641</v>
      </c>
      <c r="B636" s="15" t="s">
        <v>40</v>
      </c>
      <c r="C636" s="16">
        <v>1</v>
      </c>
      <c r="D636" s="16" t="s">
        <v>2591</v>
      </c>
      <c r="E636" s="17" t="s">
        <v>42</v>
      </c>
      <c r="F636" s="18" t="s">
        <v>122</v>
      </c>
      <c r="G636" s="18" t="s">
        <v>2592</v>
      </c>
      <c r="H636" s="16" t="s">
        <v>115</v>
      </c>
      <c r="I636" s="19" t="s">
        <v>3</v>
      </c>
      <c r="J636" s="16" t="s">
        <v>12</v>
      </c>
      <c r="K636" s="20" t="s">
        <v>198</v>
      </c>
      <c r="L636" s="20" t="s">
        <v>2138</v>
      </c>
      <c r="M636" s="16" t="s">
        <v>1003</v>
      </c>
      <c r="N636" s="16">
        <v>0</v>
      </c>
      <c r="O636" s="16" t="s">
        <v>50</v>
      </c>
      <c r="P636" s="20">
        <v>7</v>
      </c>
      <c r="Q636" s="20" t="s">
        <v>65</v>
      </c>
      <c r="R636" s="21" t="s">
        <v>129</v>
      </c>
      <c r="S636" s="22" t="s">
        <v>130</v>
      </c>
      <c r="T636" s="22" t="s">
        <v>54</v>
      </c>
      <c r="U636" s="23" t="s">
        <v>131</v>
      </c>
      <c r="V636" s="24">
        <v>0.6</v>
      </c>
      <c r="W636" s="25">
        <v>819</v>
      </c>
      <c r="X636" s="26">
        <v>1</v>
      </c>
      <c r="Y636" s="27">
        <v>3.55</v>
      </c>
      <c r="Z636" s="23">
        <v>5</v>
      </c>
      <c r="AA636" s="28">
        <v>0.71</v>
      </c>
      <c r="AB636" s="24">
        <v>0</v>
      </c>
      <c r="AC636" s="29">
        <v>0</v>
      </c>
      <c r="AD636" s="30">
        <v>43578</v>
      </c>
      <c r="AE636" s="30">
        <v>43579</v>
      </c>
      <c r="AF636" s="23">
        <v>1</v>
      </c>
      <c r="AG636" s="25" t="s">
        <v>56</v>
      </c>
      <c r="AH636" s="24">
        <v>0</v>
      </c>
      <c r="AI636" s="31">
        <v>0</v>
      </c>
      <c r="AJ636" s="31">
        <v>0</v>
      </c>
      <c r="AK636" s="44">
        <f t="shared" si="18"/>
        <v>819</v>
      </c>
      <c r="AL636">
        <f>VLOOKUP(A636,'[1]prueba con 16mil datos'!$A$1:$AE$804,31,FALSE)</f>
        <v>1092</v>
      </c>
      <c r="AM636">
        <f t="shared" si="19"/>
        <v>0</v>
      </c>
      <c r="AO636">
        <f>VLOOKUP(A636,'[1]Prueba con 19mil datos'!$B$1:$AF$1228,31,FALSE)</f>
        <v>1092</v>
      </c>
    </row>
    <row r="637" spans="1:41" hidden="1" x14ac:dyDescent="0.25">
      <c r="A637" s="16" t="s">
        <v>710</v>
      </c>
      <c r="B637" s="15" t="s">
        <v>40</v>
      </c>
      <c r="C637" s="16">
        <v>1</v>
      </c>
      <c r="D637" s="16" t="s">
        <v>2521</v>
      </c>
      <c r="E637" s="17" t="s">
        <v>42</v>
      </c>
      <c r="F637" s="18" t="s">
        <v>122</v>
      </c>
      <c r="G637" s="18" t="s">
        <v>2522</v>
      </c>
      <c r="H637" s="16" t="s">
        <v>115</v>
      </c>
      <c r="I637" s="19" t="s">
        <v>3</v>
      </c>
      <c r="J637" s="16" t="s">
        <v>12</v>
      </c>
      <c r="K637" s="20" t="s">
        <v>198</v>
      </c>
      <c r="L637" s="20" t="s">
        <v>2524</v>
      </c>
      <c r="M637" s="16" t="s">
        <v>64</v>
      </c>
      <c r="N637" s="16">
        <v>0</v>
      </c>
      <c r="O637" s="16" t="s">
        <v>50</v>
      </c>
      <c r="P637" s="20">
        <v>64</v>
      </c>
      <c r="Q637" s="20" t="s">
        <v>51</v>
      </c>
      <c r="R637" s="21" t="s">
        <v>129</v>
      </c>
      <c r="S637" s="22" t="s">
        <v>130</v>
      </c>
      <c r="T637" s="22" t="s">
        <v>54</v>
      </c>
      <c r="U637" s="23" t="s">
        <v>226</v>
      </c>
      <c r="V637" s="24">
        <v>1.1000000000000001</v>
      </c>
      <c r="W637" s="25">
        <v>1501.5000000000002</v>
      </c>
      <c r="X637" s="26">
        <v>1</v>
      </c>
      <c r="Y637" s="27">
        <v>2.08</v>
      </c>
      <c r="Z637" s="23">
        <v>5</v>
      </c>
      <c r="AA637" s="28">
        <v>0.41600000000000004</v>
      </c>
      <c r="AB637" s="24">
        <v>0</v>
      </c>
      <c r="AC637" s="29">
        <v>0</v>
      </c>
      <c r="AD637" s="30">
        <v>43578</v>
      </c>
      <c r="AE637" s="30">
        <v>43578</v>
      </c>
      <c r="AF637" s="23">
        <v>0</v>
      </c>
      <c r="AG637" s="25" t="s">
        <v>56</v>
      </c>
      <c r="AH637" s="24">
        <v>0</v>
      </c>
      <c r="AI637" s="31">
        <v>0</v>
      </c>
      <c r="AJ637" s="31">
        <v>0</v>
      </c>
      <c r="AK637" s="44">
        <f t="shared" si="18"/>
        <v>1501.5000000000002</v>
      </c>
      <c r="AL637">
        <f>VLOOKUP(A637,'[1]prueba con 16mil datos'!$A$1:$AE$804,31,FALSE)</f>
        <v>0</v>
      </c>
      <c r="AM637">
        <f t="shared" si="19"/>
        <v>0</v>
      </c>
      <c r="AO637">
        <f>VLOOKUP(A637,'[1]Prueba con 19mil datos'!$B$1:$AF$1228,31,FALSE)</f>
        <v>0</v>
      </c>
    </row>
    <row r="638" spans="1:41" hidden="1" x14ac:dyDescent="0.25">
      <c r="A638" s="16" t="s">
        <v>2417</v>
      </c>
      <c r="B638" s="15" t="s">
        <v>40</v>
      </c>
      <c r="C638" s="16">
        <v>1</v>
      </c>
      <c r="D638" s="16" t="s">
        <v>2597</v>
      </c>
      <c r="E638" s="17" t="s">
        <v>42</v>
      </c>
      <c r="F638" s="18" t="s">
        <v>122</v>
      </c>
      <c r="G638" s="18" t="s">
        <v>2598</v>
      </c>
      <c r="H638" s="16" t="s">
        <v>207</v>
      </c>
      <c r="I638" s="19" t="s">
        <v>3</v>
      </c>
      <c r="J638" s="16" t="s">
        <v>12</v>
      </c>
      <c r="K638" s="20" t="s">
        <v>198</v>
      </c>
      <c r="L638" s="20" t="s">
        <v>974</v>
      </c>
      <c r="M638" s="16" t="s">
        <v>200</v>
      </c>
      <c r="N638" s="16">
        <v>0</v>
      </c>
      <c r="O638" s="16" t="s">
        <v>50</v>
      </c>
      <c r="P638" s="20">
        <v>20</v>
      </c>
      <c r="Q638" s="20" t="s">
        <v>119</v>
      </c>
      <c r="R638" s="21" t="s">
        <v>129</v>
      </c>
      <c r="S638" s="22" t="s">
        <v>130</v>
      </c>
      <c r="T638" s="22" t="s">
        <v>54</v>
      </c>
      <c r="U638" s="23" t="s">
        <v>164</v>
      </c>
      <c r="V638" s="24">
        <v>0.8</v>
      </c>
      <c r="W638" s="25">
        <v>1092</v>
      </c>
      <c r="X638" s="26">
        <v>1</v>
      </c>
      <c r="Y638" s="27">
        <v>2.46</v>
      </c>
      <c r="Z638" s="23">
        <v>5</v>
      </c>
      <c r="AA638" s="28">
        <v>0.49199999999999999</v>
      </c>
      <c r="AB638" s="24">
        <v>0</v>
      </c>
      <c r="AC638" s="29">
        <v>0</v>
      </c>
      <c r="AD638" s="30">
        <v>43578</v>
      </c>
      <c r="AE638" s="30">
        <v>43579</v>
      </c>
      <c r="AF638" s="23">
        <v>1</v>
      </c>
      <c r="AG638" s="25" t="s">
        <v>56</v>
      </c>
      <c r="AH638" s="24">
        <v>0</v>
      </c>
      <c r="AI638" s="31">
        <v>0</v>
      </c>
      <c r="AJ638" s="31">
        <v>0</v>
      </c>
      <c r="AK638" s="44">
        <f t="shared" si="18"/>
        <v>1092</v>
      </c>
      <c r="AL638">
        <f>VLOOKUP(A638,'[1]prueba con 16mil datos'!$A$1:$AE$804,31,FALSE)</f>
        <v>1030.25</v>
      </c>
      <c r="AM638">
        <f t="shared" si="19"/>
        <v>0</v>
      </c>
      <c r="AO638">
        <f>VLOOKUP(A638,'[1]Prueba con 19mil datos'!$B$1:$AF$1228,31,FALSE)</f>
        <v>0</v>
      </c>
    </row>
    <row r="639" spans="1:41" hidden="1" x14ac:dyDescent="0.25">
      <c r="A639" s="16" t="s">
        <v>257</v>
      </c>
      <c r="B639" s="15" t="s">
        <v>40</v>
      </c>
      <c r="C639" s="16">
        <v>1</v>
      </c>
      <c r="D639" s="16" t="s">
        <v>2492</v>
      </c>
      <c r="E639" s="17" t="s">
        <v>42</v>
      </c>
      <c r="F639" s="18" t="s">
        <v>122</v>
      </c>
      <c r="G639" s="18" t="s">
        <v>2493</v>
      </c>
      <c r="H639" s="16" t="s">
        <v>221</v>
      </c>
      <c r="I639" s="19" t="s">
        <v>3</v>
      </c>
      <c r="J639" s="16" t="s">
        <v>12</v>
      </c>
      <c r="K639" s="20" t="s">
        <v>198</v>
      </c>
      <c r="L639" s="20" t="s">
        <v>353</v>
      </c>
      <c r="M639" s="16" t="s">
        <v>354</v>
      </c>
      <c r="N639" s="16">
        <v>0</v>
      </c>
      <c r="O639" s="16" t="s">
        <v>50</v>
      </c>
      <c r="P639" s="20">
        <v>8</v>
      </c>
      <c r="Q639" s="20" t="s">
        <v>65</v>
      </c>
      <c r="R639" s="21" t="s">
        <v>129</v>
      </c>
      <c r="S639" s="22" t="s">
        <v>130</v>
      </c>
      <c r="T639" s="22" t="s">
        <v>54</v>
      </c>
      <c r="U639" s="23" t="s">
        <v>131</v>
      </c>
      <c r="V639" s="24">
        <v>0.6</v>
      </c>
      <c r="W639" s="25">
        <v>819</v>
      </c>
      <c r="X639" s="26">
        <v>1</v>
      </c>
      <c r="Y639" s="27">
        <v>0.75</v>
      </c>
      <c r="Z639" s="23">
        <v>5</v>
      </c>
      <c r="AA639" s="28">
        <v>0.15</v>
      </c>
      <c r="AB639" s="24">
        <v>0</v>
      </c>
      <c r="AC639" s="29">
        <v>0</v>
      </c>
      <c r="AD639" s="30">
        <v>43578</v>
      </c>
      <c r="AE639" s="30">
        <v>43578</v>
      </c>
      <c r="AF639" s="23">
        <v>0</v>
      </c>
      <c r="AG639" s="25" t="s">
        <v>56</v>
      </c>
      <c r="AH639" s="24">
        <v>0</v>
      </c>
      <c r="AI639" s="31">
        <v>0</v>
      </c>
      <c r="AJ639" s="31">
        <v>0</v>
      </c>
      <c r="AK639" s="44">
        <f t="shared" si="18"/>
        <v>819</v>
      </c>
      <c r="AL639">
        <f>VLOOKUP(A639,'[1]prueba con 16mil datos'!$A$1:$AE$804,31,FALSE)</f>
        <v>1433.25</v>
      </c>
      <c r="AM639">
        <f t="shared" si="19"/>
        <v>0</v>
      </c>
      <c r="AO639">
        <f>VLOOKUP(A639,'[1]Prueba con 19mil datos'!$B$1:$AF$1228,31,FALSE)</f>
        <v>1433.25</v>
      </c>
    </row>
    <row r="640" spans="1:41" hidden="1" x14ac:dyDescent="0.25">
      <c r="A640" s="16" t="s">
        <v>1515</v>
      </c>
      <c r="B640" s="15" t="s">
        <v>40</v>
      </c>
      <c r="C640" s="16">
        <v>1</v>
      </c>
      <c r="D640" s="16" t="s">
        <v>2499</v>
      </c>
      <c r="E640" s="17" t="s">
        <v>42</v>
      </c>
      <c r="F640" s="18" t="s">
        <v>122</v>
      </c>
      <c r="G640" s="18" t="s">
        <v>2500</v>
      </c>
      <c r="H640" s="16" t="s">
        <v>125</v>
      </c>
      <c r="I640" s="19" t="s">
        <v>3</v>
      </c>
      <c r="J640" s="16" t="s">
        <v>12</v>
      </c>
      <c r="K640" s="20" t="s">
        <v>126</v>
      </c>
      <c r="L640" s="20" t="s">
        <v>127</v>
      </c>
      <c r="M640" s="16" t="s">
        <v>128</v>
      </c>
      <c r="N640" s="16">
        <v>0</v>
      </c>
      <c r="O640" s="16" t="s">
        <v>50</v>
      </c>
      <c r="P640" s="20">
        <v>25</v>
      </c>
      <c r="Q640" s="20" t="s">
        <v>119</v>
      </c>
      <c r="R640" s="21" t="s">
        <v>129</v>
      </c>
      <c r="S640" s="22" t="s">
        <v>130</v>
      </c>
      <c r="T640" s="22" t="s">
        <v>54</v>
      </c>
      <c r="U640" s="23" t="s">
        <v>164</v>
      </c>
      <c r="V640" s="24">
        <v>0.8</v>
      </c>
      <c r="W640" s="25">
        <v>1092</v>
      </c>
      <c r="X640" s="26">
        <v>1</v>
      </c>
      <c r="Y640" s="27">
        <v>0.87</v>
      </c>
      <c r="Z640" s="23">
        <v>5</v>
      </c>
      <c r="AA640" s="28">
        <v>0.17399999999999999</v>
      </c>
      <c r="AB640" s="24">
        <v>0</v>
      </c>
      <c r="AC640" s="29">
        <v>0</v>
      </c>
      <c r="AD640" s="30">
        <v>43578</v>
      </c>
      <c r="AE640" s="30">
        <v>43578</v>
      </c>
      <c r="AF640" s="23">
        <v>0</v>
      </c>
      <c r="AG640" s="25" t="s">
        <v>56</v>
      </c>
      <c r="AH640" s="24">
        <v>0</v>
      </c>
      <c r="AI640" s="31">
        <v>0</v>
      </c>
      <c r="AJ640" s="31">
        <v>0</v>
      </c>
      <c r="AK640" s="44">
        <f t="shared" si="18"/>
        <v>1092</v>
      </c>
      <c r="AL640">
        <f>VLOOKUP(A640,'[1]prueba con 16mil datos'!$A$1:$AE$804,31,FALSE)</f>
        <v>1501.5</v>
      </c>
      <c r="AM640">
        <f t="shared" si="19"/>
        <v>0</v>
      </c>
      <c r="AO640">
        <f>VLOOKUP(A640,'[1]Prueba con 19mil datos'!$B$1:$AF$1228,31,FALSE)</f>
        <v>1501.5</v>
      </c>
    </row>
    <row r="641" spans="1:41" hidden="1" x14ac:dyDescent="0.25">
      <c r="A641" s="16" t="s">
        <v>1515</v>
      </c>
      <c r="B641" s="15" t="s">
        <v>40</v>
      </c>
      <c r="C641" s="16">
        <v>1</v>
      </c>
      <c r="D641" s="16" t="s">
        <v>2577</v>
      </c>
      <c r="E641" s="17" t="s">
        <v>42</v>
      </c>
      <c r="F641" s="18" t="s">
        <v>204</v>
      </c>
      <c r="G641" s="18" t="s">
        <v>2578</v>
      </c>
      <c r="H641" s="16" t="s">
        <v>317</v>
      </c>
      <c r="I641" s="19" t="s">
        <v>3</v>
      </c>
      <c r="J641" s="16" t="s">
        <v>12</v>
      </c>
      <c r="K641" s="20" t="s">
        <v>378</v>
      </c>
      <c r="L641" s="20" t="s">
        <v>1542</v>
      </c>
      <c r="M641" s="16" t="s">
        <v>105</v>
      </c>
      <c r="N641" s="16">
        <v>0</v>
      </c>
      <c r="O641" s="16" t="s">
        <v>50</v>
      </c>
      <c r="P641" s="20">
        <v>5</v>
      </c>
      <c r="Q641" s="20" t="s">
        <v>311</v>
      </c>
      <c r="R641" s="21" t="s">
        <v>129</v>
      </c>
      <c r="S641" s="22" t="s">
        <v>130</v>
      </c>
      <c r="T641" s="22" t="s">
        <v>54</v>
      </c>
      <c r="U641" s="23" t="s">
        <v>312</v>
      </c>
      <c r="V641" s="24">
        <v>0</v>
      </c>
      <c r="W641" s="25">
        <v>0</v>
      </c>
      <c r="X641" s="26">
        <v>1</v>
      </c>
      <c r="Y641" s="27">
        <v>1.1299999999999999</v>
      </c>
      <c r="Z641" s="23">
        <v>5</v>
      </c>
      <c r="AA641" s="28">
        <v>0.22599999999999998</v>
      </c>
      <c r="AB641" s="24">
        <v>0</v>
      </c>
      <c r="AC641" s="29">
        <v>0</v>
      </c>
      <c r="AD641" s="30">
        <v>43578</v>
      </c>
      <c r="AE641" s="30">
        <v>43578</v>
      </c>
      <c r="AF641" s="23">
        <v>0</v>
      </c>
      <c r="AG641" s="25" t="s">
        <v>56</v>
      </c>
      <c r="AH641" s="24">
        <v>0</v>
      </c>
      <c r="AI641" s="31">
        <v>0</v>
      </c>
      <c r="AJ641" s="31">
        <v>0</v>
      </c>
      <c r="AK641" s="44">
        <f t="shared" si="18"/>
        <v>0</v>
      </c>
      <c r="AL641">
        <f>VLOOKUP(A641,'[1]prueba con 16mil datos'!$A$1:$AE$804,31,FALSE)</f>
        <v>1501.5</v>
      </c>
      <c r="AM641">
        <f t="shared" si="19"/>
        <v>0</v>
      </c>
      <c r="AO641">
        <f>VLOOKUP(A641,'[1]Prueba con 19mil datos'!$B$1:$AF$1228,31,FALSE)</f>
        <v>1501.5</v>
      </c>
    </row>
    <row r="642" spans="1:41" hidden="1" x14ac:dyDescent="0.25">
      <c r="A642" s="16" t="s">
        <v>503</v>
      </c>
      <c r="B642" s="15" t="s">
        <v>40</v>
      </c>
      <c r="C642" s="16">
        <v>1</v>
      </c>
      <c r="D642" s="16" t="s">
        <v>2586</v>
      </c>
      <c r="E642" s="17" t="s">
        <v>42</v>
      </c>
      <c r="F642" s="18" t="s">
        <v>122</v>
      </c>
      <c r="G642" s="18" t="s">
        <v>2587</v>
      </c>
      <c r="H642" s="16" t="s">
        <v>516</v>
      </c>
      <c r="I642" s="19" t="s">
        <v>3</v>
      </c>
      <c r="J642" s="16" t="s">
        <v>12</v>
      </c>
      <c r="K642" s="20" t="s">
        <v>198</v>
      </c>
      <c r="L642" s="20" t="s">
        <v>371</v>
      </c>
      <c r="M642" s="16" t="s">
        <v>372</v>
      </c>
      <c r="N642" s="16">
        <v>0</v>
      </c>
      <c r="O642" s="16" t="s">
        <v>50</v>
      </c>
      <c r="P642" s="20">
        <v>2</v>
      </c>
      <c r="Q642" s="20" t="s">
        <v>147</v>
      </c>
      <c r="R642" s="21" t="s">
        <v>129</v>
      </c>
      <c r="S642" s="22" t="s">
        <v>130</v>
      </c>
      <c r="T642" s="22" t="s">
        <v>54</v>
      </c>
      <c r="U642" s="23" t="s">
        <v>149</v>
      </c>
      <c r="V642" s="24">
        <v>0</v>
      </c>
      <c r="W642" s="25">
        <v>0</v>
      </c>
      <c r="X642" s="26">
        <v>1</v>
      </c>
      <c r="Y642" s="27">
        <v>0.19</v>
      </c>
      <c r="Z642" s="23">
        <v>5</v>
      </c>
      <c r="AA642" s="28">
        <v>3.7999999999999999E-2</v>
      </c>
      <c r="AB642" s="24">
        <v>0</v>
      </c>
      <c r="AC642" s="29">
        <v>0</v>
      </c>
      <c r="AD642" s="30">
        <v>43578</v>
      </c>
      <c r="AE642" s="30">
        <v>43578</v>
      </c>
      <c r="AF642" s="23">
        <v>0</v>
      </c>
      <c r="AG642" s="25" t="s">
        <v>56</v>
      </c>
      <c r="AH642" s="24">
        <v>0</v>
      </c>
      <c r="AI642" s="31">
        <v>0</v>
      </c>
      <c r="AJ642" s="31">
        <v>0</v>
      </c>
      <c r="AK642" s="44">
        <f t="shared" ref="AK642:AK705" si="20">+W642+AC642</f>
        <v>0</v>
      </c>
      <c r="AL642">
        <f>VLOOKUP(A642,'[1]prueba con 16mil datos'!$A$1:$AE$804,31,FALSE)</f>
        <v>1092</v>
      </c>
      <c r="AM642">
        <f t="shared" ref="AM642:AM705" si="21">IF(AK642=AL642,1,0)</f>
        <v>0</v>
      </c>
      <c r="AO642">
        <f>VLOOKUP(A642,'[1]Prueba con 19mil datos'!$B$1:$AF$1228,31,FALSE)</f>
        <v>819</v>
      </c>
    </row>
    <row r="643" spans="1:41" hidden="1" x14ac:dyDescent="0.25">
      <c r="A643" s="16" t="s">
        <v>503</v>
      </c>
      <c r="B643" s="15" t="s">
        <v>40</v>
      </c>
      <c r="C643" s="16">
        <v>1</v>
      </c>
      <c r="D643" s="16" t="s">
        <v>2510</v>
      </c>
      <c r="E643" s="17" t="s">
        <v>1522</v>
      </c>
      <c r="F643" s="18" t="s">
        <v>1681</v>
      </c>
      <c r="G643" s="18" t="s">
        <v>2511</v>
      </c>
      <c r="H643" s="16" t="s">
        <v>264</v>
      </c>
      <c r="I643" s="19" t="s">
        <v>3</v>
      </c>
      <c r="J643" s="16" t="s">
        <v>12</v>
      </c>
      <c r="K643" s="20" t="s">
        <v>378</v>
      </c>
      <c r="L643" s="20" t="s">
        <v>1684</v>
      </c>
      <c r="M643" s="16" t="s">
        <v>267</v>
      </c>
      <c r="N643" s="16">
        <v>0</v>
      </c>
      <c r="O643" s="16" t="s">
        <v>50</v>
      </c>
      <c r="P643" s="20" t="s">
        <v>326</v>
      </c>
      <c r="Q643" s="20" t="s">
        <v>51</v>
      </c>
      <c r="R643" s="21" t="s">
        <v>225</v>
      </c>
      <c r="S643" s="22" t="s">
        <v>130</v>
      </c>
      <c r="T643" s="22" t="s">
        <v>54</v>
      </c>
      <c r="U643" s="23" t="s">
        <v>226</v>
      </c>
      <c r="V643" s="24">
        <v>1</v>
      </c>
      <c r="W643" s="25">
        <v>1365</v>
      </c>
      <c r="X643" s="26">
        <v>0</v>
      </c>
      <c r="Y643" s="27">
        <v>5</v>
      </c>
      <c r="Z643" s="23">
        <v>5</v>
      </c>
      <c r="AA643" s="28">
        <v>1</v>
      </c>
      <c r="AB643" s="24">
        <v>0</v>
      </c>
      <c r="AC643" s="29">
        <v>0</v>
      </c>
      <c r="AD643" s="30">
        <v>43578</v>
      </c>
      <c r="AE643" s="30">
        <v>43578</v>
      </c>
      <c r="AF643" s="23">
        <v>0</v>
      </c>
      <c r="AG643" s="25" t="s">
        <v>56</v>
      </c>
      <c r="AH643" s="24">
        <v>0</v>
      </c>
      <c r="AI643" s="31">
        <v>0</v>
      </c>
      <c r="AJ643" s="31">
        <v>0</v>
      </c>
      <c r="AK643" s="44">
        <f t="shared" si="20"/>
        <v>1365</v>
      </c>
      <c r="AL643">
        <f>VLOOKUP(A643,'[1]prueba con 16mil datos'!$A$1:$AE$804,31,FALSE)</f>
        <v>1092</v>
      </c>
      <c r="AM643">
        <f t="shared" si="21"/>
        <v>0</v>
      </c>
      <c r="AO643">
        <f>VLOOKUP(A643,'[1]Prueba con 19mil datos'!$B$1:$AF$1228,31,FALSE)</f>
        <v>819</v>
      </c>
    </row>
    <row r="644" spans="1:41" hidden="1" x14ac:dyDescent="0.25">
      <c r="A644" s="16" t="s">
        <v>1791</v>
      </c>
      <c r="B644" s="15" t="s">
        <v>40</v>
      </c>
      <c r="C644" s="16">
        <v>1</v>
      </c>
      <c r="D644" s="16" t="s">
        <v>2541</v>
      </c>
      <c r="E644" s="17" t="s">
        <v>42</v>
      </c>
      <c r="F644" s="18" t="s">
        <v>419</v>
      </c>
      <c r="G644" s="18" t="s">
        <v>2542</v>
      </c>
      <c r="H644" s="16" t="s">
        <v>463</v>
      </c>
      <c r="I644" s="19" t="s">
        <v>3</v>
      </c>
      <c r="J644" s="16" t="s">
        <v>12</v>
      </c>
      <c r="K644" s="20" t="s">
        <v>126</v>
      </c>
      <c r="L644" s="20" t="s">
        <v>422</v>
      </c>
      <c r="M644" s="16" t="s">
        <v>76</v>
      </c>
      <c r="N644" s="16">
        <v>0</v>
      </c>
      <c r="O644" s="16" t="s">
        <v>50</v>
      </c>
      <c r="P644" s="20">
        <v>11</v>
      </c>
      <c r="Q644" s="20" t="s">
        <v>65</v>
      </c>
      <c r="R644" s="21" t="s">
        <v>225</v>
      </c>
      <c r="S644" s="22" t="s">
        <v>130</v>
      </c>
      <c r="T644" s="22" t="s">
        <v>54</v>
      </c>
      <c r="U644" s="23" t="s">
        <v>131</v>
      </c>
      <c r="V644" s="24">
        <v>0.6</v>
      </c>
      <c r="W644" s="25">
        <v>819</v>
      </c>
      <c r="X644" s="26">
        <v>1</v>
      </c>
      <c r="Y644" s="27">
        <v>0</v>
      </c>
      <c r="Z644" s="23">
        <v>5</v>
      </c>
      <c r="AA644" s="28">
        <v>0</v>
      </c>
      <c r="AB644" s="24">
        <v>0</v>
      </c>
      <c r="AC644" s="29">
        <v>0</v>
      </c>
      <c r="AD644" s="30">
        <v>43578</v>
      </c>
      <c r="AE644" s="30">
        <v>43578</v>
      </c>
      <c r="AF644" s="23">
        <v>0</v>
      </c>
      <c r="AG644" s="25" t="s">
        <v>56</v>
      </c>
      <c r="AH644" s="24">
        <v>0</v>
      </c>
      <c r="AI644" s="31">
        <v>0</v>
      </c>
      <c r="AJ644" s="31">
        <v>0</v>
      </c>
      <c r="AK644" s="44">
        <f t="shared" si="20"/>
        <v>819</v>
      </c>
      <c r="AL644">
        <f>VLOOKUP(A644,'[1]prueba con 16mil datos'!$A$1:$AE$804,31,FALSE)</f>
        <v>1092</v>
      </c>
      <c r="AM644">
        <f t="shared" si="21"/>
        <v>0</v>
      </c>
      <c r="AO644">
        <f>VLOOKUP(A644,'[1]Prueba con 19mil datos'!$B$1:$AF$1228,31,FALSE)</f>
        <v>1092</v>
      </c>
    </row>
    <row r="645" spans="1:41" hidden="1" x14ac:dyDescent="0.25">
      <c r="A645" s="16" t="s">
        <v>2926</v>
      </c>
      <c r="B645" s="15" t="s">
        <v>40</v>
      </c>
      <c r="C645" s="16">
        <v>1</v>
      </c>
      <c r="D645" s="16" t="s">
        <v>2566</v>
      </c>
      <c r="E645" s="17" t="s">
        <v>42</v>
      </c>
      <c r="F645" s="18" t="s">
        <v>298</v>
      </c>
      <c r="G645" s="18" t="s">
        <v>2567</v>
      </c>
      <c r="H645" s="16" t="s">
        <v>301</v>
      </c>
      <c r="I645" s="19" t="s">
        <v>3</v>
      </c>
      <c r="J645" s="16" t="s">
        <v>12</v>
      </c>
      <c r="K645" s="20" t="s">
        <v>265</v>
      </c>
      <c r="L645" s="20" t="s">
        <v>302</v>
      </c>
      <c r="M645" s="16" t="s">
        <v>267</v>
      </c>
      <c r="N645" s="16">
        <v>0</v>
      </c>
      <c r="O645" s="16" t="s">
        <v>50</v>
      </c>
      <c r="P645" s="20">
        <v>14</v>
      </c>
      <c r="Q645" s="20" t="s">
        <v>65</v>
      </c>
      <c r="R645" s="21" t="s">
        <v>303</v>
      </c>
      <c r="S645" s="22" t="s">
        <v>130</v>
      </c>
      <c r="T645" s="22" t="s">
        <v>54</v>
      </c>
      <c r="U645" s="23" t="s">
        <v>131</v>
      </c>
      <c r="V645" s="24">
        <v>0.6</v>
      </c>
      <c r="W645" s="25">
        <v>819</v>
      </c>
      <c r="X645" s="26">
        <v>1</v>
      </c>
      <c r="Y645" s="27">
        <v>0</v>
      </c>
      <c r="Z645" s="23">
        <v>5</v>
      </c>
      <c r="AA645" s="28">
        <v>0</v>
      </c>
      <c r="AB645" s="24">
        <v>0</v>
      </c>
      <c r="AC645" s="29">
        <v>0</v>
      </c>
      <c r="AD645" s="30">
        <v>43578</v>
      </c>
      <c r="AE645" s="30">
        <v>43578</v>
      </c>
      <c r="AF645" s="23">
        <v>0</v>
      </c>
      <c r="AG645" s="25" t="s">
        <v>56</v>
      </c>
      <c r="AH645" s="24">
        <v>0</v>
      </c>
      <c r="AI645" s="31">
        <v>0</v>
      </c>
      <c r="AJ645" s="31">
        <v>0</v>
      </c>
      <c r="AK645" s="44">
        <f t="shared" si="20"/>
        <v>819</v>
      </c>
      <c r="AL645">
        <f>VLOOKUP(A645,'[1]prueba con 16mil datos'!$A$1:$AE$804,31,FALSE)</f>
        <v>1365</v>
      </c>
      <c r="AM645">
        <f t="shared" si="21"/>
        <v>0</v>
      </c>
      <c r="AO645">
        <f>VLOOKUP(A645,'[1]Prueba con 19mil datos'!$B$1:$AF$1228,31,FALSE)</f>
        <v>1365</v>
      </c>
    </row>
    <row r="646" spans="1:41" hidden="1" x14ac:dyDescent="0.25">
      <c r="A646" s="16" t="s">
        <v>682</v>
      </c>
      <c r="B646" s="15" t="s">
        <v>40</v>
      </c>
      <c r="C646" s="16">
        <v>1</v>
      </c>
      <c r="D646" s="16" t="s">
        <v>2501</v>
      </c>
      <c r="E646" s="17" t="s">
        <v>42</v>
      </c>
      <c r="F646" s="18" t="s">
        <v>305</v>
      </c>
      <c r="G646" s="18" t="s">
        <v>2502</v>
      </c>
      <c r="H646" s="16" t="s">
        <v>317</v>
      </c>
      <c r="I646" s="19" t="s">
        <v>3</v>
      </c>
      <c r="J646" s="16" t="s">
        <v>12</v>
      </c>
      <c r="K646" s="20" t="s">
        <v>83</v>
      </c>
      <c r="L646" s="20" t="s">
        <v>1917</v>
      </c>
      <c r="M646" s="16" t="s">
        <v>128</v>
      </c>
      <c r="N646" s="16">
        <v>0</v>
      </c>
      <c r="O646" s="16" t="s">
        <v>50</v>
      </c>
      <c r="P646" s="20">
        <v>104</v>
      </c>
      <c r="Q646" s="20" t="s">
        <v>51</v>
      </c>
      <c r="R646" s="21" t="s">
        <v>148</v>
      </c>
      <c r="S646" s="22" t="s">
        <v>130</v>
      </c>
      <c r="T646" s="22" t="s">
        <v>54</v>
      </c>
      <c r="U646" s="23" t="s">
        <v>226</v>
      </c>
      <c r="V646" s="24">
        <v>1.1000000000000001</v>
      </c>
      <c r="W646" s="25">
        <v>1501.5000000000002</v>
      </c>
      <c r="X646" s="26">
        <v>1</v>
      </c>
      <c r="Y646" s="27">
        <v>0</v>
      </c>
      <c r="Z646" s="23">
        <v>5</v>
      </c>
      <c r="AA646" s="28">
        <v>0</v>
      </c>
      <c r="AB646" s="24">
        <v>0</v>
      </c>
      <c r="AC646" s="29">
        <v>0</v>
      </c>
      <c r="AD646" s="30">
        <v>43578</v>
      </c>
      <c r="AE646" s="30">
        <v>43578</v>
      </c>
      <c r="AF646" s="23">
        <v>0</v>
      </c>
      <c r="AG646" s="25" t="s">
        <v>56</v>
      </c>
      <c r="AH646" s="24">
        <v>0</v>
      </c>
      <c r="AI646" s="31">
        <v>0</v>
      </c>
      <c r="AJ646" s="31">
        <v>0</v>
      </c>
      <c r="AK646" s="44">
        <f t="shared" si="20"/>
        <v>1501.5000000000002</v>
      </c>
      <c r="AL646">
        <f>VLOOKUP(A646,'[1]prueba con 16mil datos'!$A$1:$AE$804,31,FALSE)</f>
        <v>819</v>
      </c>
      <c r="AM646">
        <f t="shared" si="21"/>
        <v>0</v>
      </c>
      <c r="AO646">
        <f>VLOOKUP(A646,'[1]Prueba con 19mil datos'!$B$1:$AF$1228,31,FALSE)</f>
        <v>819</v>
      </c>
    </row>
    <row r="647" spans="1:41" hidden="1" x14ac:dyDescent="0.25">
      <c r="A647" s="16" t="s">
        <v>417</v>
      </c>
      <c r="B647" s="15" t="s">
        <v>40</v>
      </c>
      <c r="C647" s="16">
        <v>1</v>
      </c>
      <c r="D647" s="16" t="s">
        <v>2563</v>
      </c>
      <c r="E647" s="17" t="s">
        <v>42</v>
      </c>
      <c r="F647" s="18" t="s">
        <v>305</v>
      </c>
      <c r="G647" s="18" t="s">
        <v>2564</v>
      </c>
      <c r="H647" s="16" t="s">
        <v>377</v>
      </c>
      <c r="I647" s="19" t="s">
        <v>3</v>
      </c>
      <c r="J647" s="16" t="s">
        <v>12</v>
      </c>
      <c r="K647" s="20" t="s">
        <v>378</v>
      </c>
      <c r="L647" s="20" t="s">
        <v>1542</v>
      </c>
      <c r="M647" s="16" t="s">
        <v>105</v>
      </c>
      <c r="N647" s="16">
        <v>0</v>
      </c>
      <c r="O647" s="16" t="s">
        <v>50</v>
      </c>
      <c r="P647" s="20">
        <v>287</v>
      </c>
      <c r="Q647" s="20" t="s">
        <v>51</v>
      </c>
      <c r="R647" s="21" t="s">
        <v>148</v>
      </c>
      <c r="S647" s="22" t="s">
        <v>130</v>
      </c>
      <c r="T647" s="22" t="s">
        <v>54</v>
      </c>
      <c r="U647" s="23" t="s">
        <v>226</v>
      </c>
      <c r="V647" s="24">
        <v>1.1000000000000001</v>
      </c>
      <c r="W647" s="25">
        <v>1501.5000000000002</v>
      </c>
      <c r="X647" s="26">
        <v>1</v>
      </c>
      <c r="Y647" s="27">
        <v>0</v>
      </c>
      <c r="Z647" s="23">
        <v>5</v>
      </c>
      <c r="AA647" s="28">
        <v>0</v>
      </c>
      <c r="AB647" s="24">
        <v>0</v>
      </c>
      <c r="AC647" s="29">
        <v>0</v>
      </c>
      <c r="AD647" s="30">
        <v>43578</v>
      </c>
      <c r="AE647" s="30">
        <v>43578</v>
      </c>
      <c r="AF647" s="23">
        <v>0</v>
      </c>
      <c r="AG647" s="25" t="s">
        <v>56</v>
      </c>
      <c r="AH647" s="24">
        <v>0</v>
      </c>
      <c r="AI647" s="31">
        <v>0</v>
      </c>
      <c r="AJ647" s="31">
        <v>0</v>
      </c>
      <c r="AK647" s="44">
        <f t="shared" si="20"/>
        <v>1501.5000000000002</v>
      </c>
      <c r="AL647">
        <f>VLOOKUP(A647,'[1]prueba con 16mil datos'!$A$1:$AE$804,31,FALSE)</f>
        <v>750.75</v>
      </c>
      <c r="AM647">
        <f t="shared" si="21"/>
        <v>0</v>
      </c>
      <c r="AO647">
        <f>VLOOKUP(A647,'[1]Prueba con 19mil datos'!$B$1:$AF$1228,31,FALSE)</f>
        <v>750.75</v>
      </c>
    </row>
    <row r="648" spans="1:41" hidden="1" x14ac:dyDescent="0.25">
      <c r="A648" s="16" t="s">
        <v>403</v>
      </c>
      <c r="B648" s="15" t="s">
        <v>40</v>
      </c>
      <c r="C648" s="16">
        <v>1</v>
      </c>
      <c r="D648" s="16" t="s">
        <v>2572</v>
      </c>
      <c r="E648" s="17" t="s">
        <v>42</v>
      </c>
      <c r="F648" s="18" t="s">
        <v>305</v>
      </c>
      <c r="G648" s="18" t="s">
        <v>2573</v>
      </c>
      <c r="H648" s="16" t="s">
        <v>82</v>
      </c>
      <c r="I648" s="19" t="s">
        <v>3</v>
      </c>
      <c r="J648" s="16" t="s">
        <v>12</v>
      </c>
      <c r="K648" s="20" t="s">
        <v>2575</v>
      </c>
      <c r="L648" s="20" t="s">
        <v>2576</v>
      </c>
      <c r="M648" s="16" t="s">
        <v>617</v>
      </c>
      <c r="N648" s="16">
        <v>0</v>
      </c>
      <c r="O648" s="16" t="s">
        <v>50</v>
      </c>
      <c r="P648" s="20">
        <v>48</v>
      </c>
      <c r="Q648" s="20" t="s">
        <v>86</v>
      </c>
      <c r="R648" s="21" t="s">
        <v>148</v>
      </c>
      <c r="S648" s="22" t="s">
        <v>130</v>
      </c>
      <c r="T648" s="22" t="s">
        <v>54</v>
      </c>
      <c r="U648" s="23" t="s">
        <v>178</v>
      </c>
      <c r="V648" s="24">
        <v>1.05</v>
      </c>
      <c r="W648" s="25">
        <v>1433.25</v>
      </c>
      <c r="X648" s="26">
        <v>1</v>
      </c>
      <c r="Y648" s="27">
        <v>1.3</v>
      </c>
      <c r="Z648" s="23">
        <v>5</v>
      </c>
      <c r="AA648" s="28">
        <v>0.26</v>
      </c>
      <c r="AB648" s="24">
        <v>0</v>
      </c>
      <c r="AC648" s="29">
        <v>0</v>
      </c>
      <c r="AD648" s="30">
        <v>43578</v>
      </c>
      <c r="AE648" s="30">
        <v>43578</v>
      </c>
      <c r="AF648" s="23">
        <v>0</v>
      </c>
      <c r="AG648" s="25" t="s">
        <v>56</v>
      </c>
      <c r="AH648" s="24">
        <v>0</v>
      </c>
      <c r="AI648" s="31">
        <v>0</v>
      </c>
      <c r="AJ648" s="31">
        <v>0</v>
      </c>
      <c r="AK648" s="44">
        <f t="shared" si="20"/>
        <v>1433.25</v>
      </c>
      <c r="AL648">
        <f>VLOOKUP(A648,'[1]prueba con 16mil datos'!$A$1:$AE$804,31,FALSE)</f>
        <v>429</v>
      </c>
      <c r="AM648">
        <f t="shared" si="21"/>
        <v>0</v>
      </c>
      <c r="AO648">
        <f>VLOOKUP(A648,'[1]Prueba con 19mil datos'!$B$1:$AF$1228,31,FALSE)</f>
        <v>429</v>
      </c>
    </row>
    <row r="649" spans="1:41" hidden="1" x14ac:dyDescent="0.25">
      <c r="A649" s="16" t="s">
        <v>2220</v>
      </c>
      <c r="B649" s="15" t="s">
        <v>40</v>
      </c>
      <c r="C649" s="16">
        <v>1</v>
      </c>
      <c r="D649" s="16" t="s">
        <v>2546</v>
      </c>
      <c r="E649" s="17" t="s">
        <v>42</v>
      </c>
      <c r="F649" s="18" t="s">
        <v>501</v>
      </c>
      <c r="G649" s="18" t="s">
        <v>2547</v>
      </c>
      <c r="H649" s="16" t="s">
        <v>213</v>
      </c>
      <c r="I649" s="19" t="s">
        <v>3</v>
      </c>
      <c r="J649" s="16" t="s">
        <v>12</v>
      </c>
      <c r="K649" s="20" t="s">
        <v>126</v>
      </c>
      <c r="L649" s="20" t="s">
        <v>1516</v>
      </c>
      <c r="M649" s="16" t="s">
        <v>216</v>
      </c>
      <c r="N649" s="16">
        <v>0</v>
      </c>
      <c r="O649" s="16" t="s">
        <v>50</v>
      </c>
      <c r="P649" s="20">
        <v>15</v>
      </c>
      <c r="Q649" s="20" t="s">
        <v>65</v>
      </c>
      <c r="R649" s="21" t="s">
        <v>129</v>
      </c>
      <c r="S649" s="22" t="s">
        <v>130</v>
      </c>
      <c r="T649" s="22" t="s">
        <v>54</v>
      </c>
      <c r="U649" s="23" t="s">
        <v>131</v>
      </c>
      <c r="V649" s="24">
        <v>0.6</v>
      </c>
      <c r="W649" s="25">
        <v>819</v>
      </c>
      <c r="X649" s="26">
        <v>1</v>
      </c>
      <c r="Y649" s="27">
        <v>0</v>
      </c>
      <c r="Z649" s="23">
        <v>5</v>
      </c>
      <c r="AA649" s="28">
        <v>0</v>
      </c>
      <c r="AB649" s="24">
        <v>0</v>
      </c>
      <c r="AC649" s="29">
        <v>0</v>
      </c>
      <c r="AD649" s="30">
        <v>43578</v>
      </c>
      <c r="AE649" s="30">
        <v>43578</v>
      </c>
      <c r="AF649" s="23">
        <v>0</v>
      </c>
      <c r="AG649" s="25" t="s">
        <v>56</v>
      </c>
      <c r="AH649" s="24">
        <v>0</v>
      </c>
      <c r="AI649" s="31">
        <v>0</v>
      </c>
      <c r="AJ649" s="31">
        <v>0</v>
      </c>
      <c r="AK649" s="44">
        <f t="shared" si="20"/>
        <v>819</v>
      </c>
      <c r="AL649">
        <f>VLOOKUP(A649,'[1]prueba con 16mil datos'!$A$1:$AE$804,31,FALSE)</f>
        <v>715</v>
      </c>
      <c r="AM649">
        <f t="shared" si="21"/>
        <v>0</v>
      </c>
      <c r="AO649">
        <f>VLOOKUP(A649,'[1]Prueba con 19mil datos'!$B$1:$AF$1228,31,FALSE)</f>
        <v>715</v>
      </c>
    </row>
    <row r="650" spans="1:41" hidden="1" x14ac:dyDescent="0.25">
      <c r="A650" s="16" t="s">
        <v>1977</v>
      </c>
      <c r="B650" s="15" t="s">
        <v>40</v>
      </c>
      <c r="C650" s="16">
        <v>1</v>
      </c>
      <c r="D650" s="16" t="s">
        <v>2556</v>
      </c>
      <c r="E650" s="17" t="s">
        <v>42</v>
      </c>
      <c r="F650" s="18" t="s">
        <v>501</v>
      </c>
      <c r="G650" s="18" t="s">
        <v>2557</v>
      </c>
      <c r="H650" s="16" t="s">
        <v>821</v>
      </c>
      <c r="I650" s="19" t="s">
        <v>3</v>
      </c>
      <c r="J650" s="16" t="s">
        <v>12</v>
      </c>
      <c r="K650" s="20" t="s">
        <v>126</v>
      </c>
      <c r="L650" s="20" t="s">
        <v>505</v>
      </c>
      <c r="M650" s="16" t="s">
        <v>506</v>
      </c>
      <c r="N650" s="16">
        <v>0</v>
      </c>
      <c r="O650" s="16" t="s">
        <v>50</v>
      </c>
      <c r="P650" s="20">
        <v>20</v>
      </c>
      <c r="Q650" s="20" t="s">
        <v>119</v>
      </c>
      <c r="R650" s="21" t="s">
        <v>129</v>
      </c>
      <c r="S650" s="22" t="s">
        <v>130</v>
      </c>
      <c r="T650" s="22" t="s">
        <v>157</v>
      </c>
      <c r="U650" s="23" t="s">
        <v>164</v>
      </c>
      <c r="V650" s="24">
        <v>0.8</v>
      </c>
      <c r="W650" s="25">
        <v>1092</v>
      </c>
      <c r="X650" s="26">
        <v>1</v>
      </c>
      <c r="Y650" s="27">
        <v>15.15</v>
      </c>
      <c r="Z650" s="23">
        <v>9</v>
      </c>
      <c r="AA650" s="28">
        <v>1.6833333333333333</v>
      </c>
      <c r="AB650" s="24">
        <v>0.17083333333333334</v>
      </c>
      <c r="AC650" s="29">
        <v>-233.1875</v>
      </c>
      <c r="AD650" s="30">
        <v>43578</v>
      </c>
      <c r="AE650" s="30">
        <v>43578</v>
      </c>
      <c r="AF650" s="23">
        <v>0</v>
      </c>
      <c r="AG650" s="25" t="s">
        <v>56</v>
      </c>
      <c r="AH650" s="24">
        <v>0</v>
      </c>
      <c r="AI650" s="31">
        <v>0</v>
      </c>
      <c r="AJ650" s="31">
        <v>0</v>
      </c>
      <c r="AK650" s="44">
        <f t="shared" si="20"/>
        <v>858.8125</v>
      </c>
      <c r="AL650">
        <f>VLOOKUP(A650,'[1]prueba con 16mil datos'!$A$1:$AE$804,31,FALSE)</f>
        <v>1501.5</v>
      </c>
      <c r="AM650">
        <f t="shared" si="21"/>
        <v>0</v>
      </c>
      <c r="AO650">
        <f>VLOOKUP(A650,'[1]Prueba con 19mil datos'!$B$1:$AF$1228,31,FALSE)</f>
        <v>1501.5</v>
      </c>
    </row>
    <row r="651" spans="1:41" hidden="1" x14ac:dyDescent="0.25">
      <c r="A651" s="16" t="s">
        <v>1032</v>
      </c>
      <c r="B651" s="15" t="s">
        <v>40</v>
      </c>
      <c r="C651" s="16">
        <v>1</v>
      </c>
      <c r="D651" s="16" t="s">
        <v>2550</v>
      </c>
      <c r="E651" s="17" t="s">
        <v>42</v>
      </c>
      <c r="F651" s="18" t="s">
        <v>953</v>
      </c>
      <c r="G651" s="18" t="s">
        <v>2551</v>
      </c>
      <c r="H651" s="16" t="s">
        <v>293</v>
      </c>
      <c r="I651" s="19" t="s">
        <v>3</v>
      </c>
      <c r="J651" s="16" t="s">
        <v>12</v>
      </c>
      <c r="K651" s="20" t="s">
        <v>198</v>
      </c>
      <c r="L651" s="20" t="s">
        <v>546</v>
      </c>
      <c r="M651" s="16" t="s">
        <v>372</v>
      </c>
      <c r="N651" s="16">
        <v>0</v>
      </c>
      <c r="O651" s="16" t="s">
        <v>50</v>
      </c>
      <c r="P651" s="20">
        <v>42</v>
      </c>
      <c r="Q651" s="20" t="s">
        <v>86</v>
      </c>
      <c r="R651" s="21" t="s">
        <v>186</v>
      </c>
      <c r="S651" s="22" t="s">
        <v>187</v>
      </c>
      <c r="T651" s="22" t="s">
        <v>54</v>
      </c>
      <c r="U651" s="23" t="s">
        <v>188</v>
      </c>
      <c r="V651" s="24">
        <v>1.1000000000000001</v>
      </c>
      <c r="W651" s="25">
        <v>1730.3000000000004</v>
      </c>
      <c r="X651" s="26">
        <v>1</v>
      </c>
      <c r="Y651" s="27">
        <v>0</v>
      </c>
      <c r="Z651" s="23">
        <v>4</v>
      </c>
      <c r="AA651" s="28">
        <v>0</v>
      </c>
      <c r="AB651" s="24">
        <v>0</v>
      </c>
      <c r="AC651" s="29">
        <v>0</v>
      </c>
      <c r="AD651" s="30">
        <v>43578</v>
      </c>
      <c r="AE651" s="30">
        <v>43578</v>
      </c>
      <c r="AF651" s="23">
        <v>0</v>
      </c>
      <c r="AG651" s="25" t="s">
        <v>56</v>
      </c>
      <c r="AH651" s="24">
        <v>0</v>
      </c>
      <c r="AI651" s="31">
        <v>0</v>
      </c>
      <c r="AJ651" s="31">
        <v>0</v>
      </c>
      <c r="AK651" s="44">
        <f t="shared" si="20"/>
        <v>1730.3000000000004</v>
      </c>
      <c r="AL651">
        <f>VLOOKUP(A651,'[1]prueba con 16mil datos'!$A$1:$AE$804,31,FALSE)</f>
        <v>750.75</v>
      </c>
      <c r="AM651">
        <f t="shared" si="21"/>
        <v>0</v>
      </c>
      <c r="AO651">
        <f>VLOOKUP(A651,'[1]Prueba con 19mil datos'!$B$1:$AF$1228,31,FALSE)</f>
        <v>750.75</v>
      </c>
    </row>
    <row r="652" spans="1:41" hidden="1" x14ac:dyDescent="0.25">
      <c r="A652" s="16" t="s">
        <v>2788</v>
      </c>
      <c r="B652" s="15" t="s">
        <v>40</v>
      </c>
      <c r="C652" s="16">
        <v>1</v>
      </c>
      <c r="D652" s="16" t="s">
        <v>2518</v>
      </c>
      <c r="E652" s="17" t="s">
        <v>42</v>
      </c>
      <c r="F652" s="18" t="s">
        <v>1088</v>
      </c>
      <c r="G652" s="18" t="s">
        <v>2519</v>
      </c>
      <c r="H652" s="16" t="s">
        <v>115</v>
      </c>
      <c r="I652" s="19" t="s">
        <v>3</v>
      </c>
      <c r="J652" s="16" t="s">
        <v>12</v>
      </c>
      <c r="K652" s="20" t="s">
        <v>198</v>
      </c>
      <c r="L652" s="20" t="s">
        <v>1353</v>
      </c>
      <c r="M652" s="16" t="s">
        <v>118</v>
      </c>
      <c r="N652" s="16">
        <v>0</v>
      </c>
      <c r="O652" s="16" t="s">
        <v>50</v>
      </c>
      <c r="P652" s="20">
        <v>68</v>
      </c>
      <c r="Q652" s="20" t="s">
        <v>51</v>
      </c>
      <c r="R652" s="21" t="s">
        <v>186</v>
      </c>
      <c r="S652" s="22" t="s">
        <v>187</v>
      </c>
      <c r="T652" s="22" t="s">
        <v>54</v>
      </c>
      <c r="U652" s="23" t="s">
        <v>550</v>
      </c>
      <c r="V652" s="24">
        <v>1.1499999999999999</v>
      </c>
      <c r="W652" s="25">
        <v>1808.95</v>
      </c>
      <c r="X652" s="26">
        <v>1</v>
      </c>
      <c r="Y652" s="27">
        <v>2.12</v>
      </c>
      <c r="Z652" s="23">
        <v>4</v>
      </c>
      <c r="AA652" s="28">
        <v>0.53</v>
      </c>
      <c r="AB652" s="24">
        <v>0</v>
      </c>
      <c r="AC652" s="29">
        <v>0</v>
      </c>
      <c r="AD652" s="30">
        <v>43578</v>
      </c>
      <c r="AE652" s="30">
        <v>43578</v>
      </c>
      <c r="AF652" s="23">
        <v>0</v>
      </c>
      <c r="AG652" s="25" t="s">
        <v>56</v>
      </c>
      <c r="AH652" s="24">
        <v>0</v>
      </c>
      <c r="AI652" s="31">
        <v>0</v>
      </c>
      <c r="AJ652" s="31">
        <v>0</v>
      </c>
      <c r="AK652" s="44">
        <f t="shared" si="20"/>
        <v>1808.95</v>
      </c>
      <c r="AL652">
        <f>VLOOKUP(A652,'[1]prueba con 16mil datos'!$A$1:$AE$804,31,FALSE)</f>
        <v>750.75</v>
      </c>
      <c r="AM652">
        <f t="shared" si="21"/>
        <v>0</v>
      </c>
      <c r="AO652">
        <f>VLOOKUP(A652,'[1]Prueba con 19mil datos'!$B$1:$AF$1228,31,FALSE)</f>
        <v>750.75</v>
      </c>
    </row>
    <row r="653" spans="1:41" hidden="1" x14ac:dyDescent="0.25">
      <c r="A653" s="16" t="s">
        <v>1859</v>
      </c>
      <c r="B653" s="15" t="s">
        <v>40</v>
      </c>
      <c r="C653" s="16">
        <v>1</v>
      </c>
      <c r="D653" s="16" t="s">
        <v>2484</v>
      </c>
      <c r="E653" s="17" t="s">
        <v>42</v>
      </c>
      <c r="F653" s="18" t="s">
        <v>2485</v>
      </c>
      <c r="G653" s="18" t="s">
        <v>2486</v>
      </c>
      <c r="H653" s="16" t="s">
        <v>73</v>
      </c>
      <c r="I653" s="19" t="s">
        <v>3</v>
      </c>
      <c r="J653" s="16" t="s">
        <v>12</v>
      </c>
      <c r="K653" s="20" t="s">
        <v>2488</v>
      </c>
      <c r="L653" s="20" t="s">
        <v>2489</v>
      </c>
      <c r="M653" s="16" t="s">
        <v>224</v>
      </c>
      <c r="N653" s="16">
        <v>0</v>
      </c>
      <c r="O653" s="16" t="s">
        <v>50</v>
      </c>
      <c r="P653" s="20">
        <v>73</v>
      </c>
      <c r="Q653" s="20" t="s">
        <v>51</v>
      </c>
      <c r="R653" s="21" t="s">
        <v>851</v>
      </c>
      <c r="S653" s="22" t="s">
        <v>53</v>
      </c>
      <c r="T653" s="22" t="s">
        <v>54</v>
      </c>
      <c r="U653" s="23" t="s">
        <v>55</v>
      </c>
      <c r="V653" s="24">
        <v>1.05</v>
      </c>
      <c r="W653" s="25">
        <v>750.75000000000011</v>
      </c>
      <c r="X653" s="26">
        <v>1</v>
      </c>
      <c r="Y653" s="27">
        <v>0.18</v>
      </c>
      <c r="Z653" s="23">
        <v>5</v>
      </c>
      <c r="AA653" s="28">
        <v>3.5999999999999997E-2</v>
      </c>
      <c r="AB653" s="24">
        <v>0</v>
      </c>
      <c r="AC653" s="29">
        <v>0</v>
      </c>
      <c r="AD653" s="30">
        <v>43578</v>
      </c>
      <c r="AE653" s="30">
        <v>43578</v>
      </c>
      <c r="AF653" s="23">
        <v>0</v>
      </c>
      <c r="AG653" s="25" t="s">
        <v>56</v>
      </c>
      <c r="AH653" s="24">
        <v>0</v>
      </c>
      <c r="AI653" s="31">
        <v>0</v>
      </c>
      <c r="AJ653" s="31">
        <v>0</v>
      </c>
      <c r="AK653" s="44">
        <f t="shared" si="20"/>
        <v>750.75000000000011</v>
      </c>
      <c r="AL653">
        <f>VLOOKUP(A653,'[1]prueba con 16mil datos'!$A$1:$AE$804,31,FALSE)</f>
        <v>750.75</v>
      </c>
      <c r="AM653">
        <f t="shared" si="21"/>
        <v>1</v>
      </c>
      <c r="AO653">
        <f>VLOOKUP(A653,'[1]Prueba con 19mil datos'!$B$1:$AF$1228,31,FALSE)</f>
        <v>750.75</v>
      </c>
    </row>
    <row r="654" spans="1:41" hidden="1" x14ac:dyDescent="0.25">
      <c r="A654" s="16" t="s">
        <v>1602</v>
      </c>
      <c r="B654" s="15" t="s">
        <v>40</v>
      </c>
      <c r="C654" s="16">
        <v>1</v>
      </c>
      <c r="D654" s="16" t="s">
        <v>2504</v>
      </c>
      <c r="E654" s="17" t="s">
        <v>42</v>
      </c>
      <c r="F654" s="18" t="s">
        <v>2505</v>
      </c>
      <c r="G654" s="18" t="s">
        <v>2506</v>
      </c>
      <c r="H654" s="16" t="s">
        <v>331</v>
      </c>
      <c r="I654" s="19" t="s">
        <v>3</v>
      </c>
      <c r="J654" s="16" t="s">
        <v>12</v>
      </c>
      <c r="K654" s="20" t="s">
        <v>2508</v>
      </c>
      <c r="L654" s="20" t="s">
        <v>2509</v>
      </c>
      <c r="M654" s="16" t="s">
        <v>833</v>
      </c>
      <c r="N654" s="16">
        <v>0</v>
      </c>
      <c r="O654" s="16" t="s">
        <v>50</v>
      </c>
      <c r="P654" s="20">
        <v>2699</v>
      </c>
      <c r="Q654" s="20" t="s">
        <v>51</v>
      </c>
      <c r="R654" s="21" t="s">
        <v>77</v>
      </c>
      <c r="S654" s="22" t="s">
        <v>53</v>
      </c>
      <c r="T654" s="22" t="s">
        <v>54</v>
      </c>
      <c r="U654" s="23" t="s">
        <v>55</v>
      </c>
      <c r="V654" s="24">
        <v>1.05</v>
      </c>
      <c r="W654" s="25">
        <v>750.75000000000011</v>
      </c>
      <c r="X654" s="26">
        <v>1</v>
      </c>
      <c r="Y654" s="27">
        <v>2.5499999999999998</v>
      </c>
      <c r="Z654" s="23">
        <v>5</v>
      </c>
      <c r="AA654" s="28">
        <v>0.51</v>
      </c>
      <c r="AB654" s="24">
        <v>0</v>
      </c>
      <c r="AC654" s="29">
        <v>0</v>
      </c>
      <c r="AD654" s="30">
        <v>43578</v>
      </c>
      <c r="AE654" s="30">
        <v>43578</v>
      </c>
      <c r="AF654" s="23">
        <v>0</v>
      </c>
      <c r="AG654" s="25" t="s">
        <v>56</v>
      </c>
      <c r="AH654" s="24">
        <v>0</v>
      </c>
      <c r="AI654" s="31">
        <v>0</v>
      </c>
      <c r="AJ654" s="31">
        <v>0</v>
      </c>
      <c r="AK654" s="44">
        <f t="shared" si="20"/>
        <v>750.75000000000011</v>
      </c>
      <c r="AL654">
        <f>VLOOKUP(A654,'[1]prueba con 16mil datos'!$A$1:$AE$804,31,FALSE)</f>
        <v>750.75</v>
      </c>
      <c r="AM654">
        <f t="shared" si="21"/>
        <v>1</v>
      </c>
      <c r="AO654">
        <f>VLOOKUP(A654,'[1]Prueba con 19mil datos'!$B$1:$AF$1228,31,FALSE)</f>
        <v>750.75</v>
      </c>
    </row>
    <row r="655" spans="1:41" hidden="1" x14ac:dyDescent="0.25">
      <c r="A655" s="16" t="s">
        <v>1602</v>
      </c>
      <c r="B655" s="15" t="s">
        <v>40</v>
      </c>
      <c r="C655" s="16">
        <v>1</v>
      </c>
      <c r="D655" s="16" t="s">
        <v>2481</v>
      </c>
      <c r="E655" s="17" t="s">
        <v>42</v>
      </c>
      <c r="F655" s="18" t="s">
        <v>90</v>
      </c>
      <c r="G655" s="18" t="s">
        <v>2482</v>
      </c>
      <c r="H655" s="16" t="s">
        <v>93</v>
      </c>
      <c r="I655" s="19" t="s">
        <v>3</v>
      </c>
      <c r="J655" s="16" t="s">
        <v>12</v>
      </c>
      <c r="K655" s="20" t="s">
        <v>161</v>
      </c>
      <c r="L655" s="20" t="s">
        <v>590</v>
      </c>
      <c r="M655" s="16" t="s">
        <v>591</v>
      </c>
      <c r="N655" s="16">
        <v>1</v>
      </c>
      <c r="O655" s="16" t="s">
        <v>97</v>
      </c>
      <c r="P655" s="20">
        <v>34</v>
      </c>
      <c r="Q655" s="20" t="s">
        <v>86</v>
      </c>
      <c r="R655" s="21" t="s">
        <v>77</v>
      </c>
      <c r="S655" s="22" t="s">
        <v>53</v>
      </c>
      <c r="T655" s="22" t="s">
        <v>54</v>
      </c>
      <c r="U655" s="23" t="s">
        <v>88</v>
      </c>
      <c r="V655" s="24">
        <v>0.8</v>
      </c>
      <c r="W655" s="25">
        <v>0</v>
      </c>
      <c r="X655" s="26">
        <v>1</v>
      </c>
      <c r="Y655" s="27">
        <v>1.48</v>
      </c>
      <c r="Z655" s="23">
        <v>5</v>
      </c>
      <c r="AA655" s="28">
        <v>0.29599999999999999</v>
      </c>
      <c r="AB655" s="24">
        <v>0</v>
      </c>
      <c r="AC655" s="29">
        <v>0</v>
      </c>
      <c r="AD655" s="30">
        <v>43578</v>
      </c>
      <c r="AE655" s="30">
        <v>43578</v>
      </c>
      <c r="AF655" s="23">
        <v>0</v>
      </c>
      <c r="AG655" s="25" t="s">
        <v>56</v>
      </c>
      <c r="AH655" s="24">
        <v>0</v>
      </c>
      <c r="AI655" s="31">
        <v>0</v>
      </c>
      <c r="AJ655" s="31">
        <v>0</v>
      </c>
      <c r="AK655" s="44">
        <f t="shared" si="20"/>
        <v>0</v>
      </c>
      <c r="AL655">
        <f>VLOOKUP(A655,'[1]prueba con 16mil datos'!$A$1:$AE$804,31,FALSE)</f>
        <v>750.75</v>
      </c>
      <c r="AM655">
        <f t="shared" si="21"/>
        <v>0</v>
      </c>
      <c r="AO655">
        <f>VLOOKUP(A655,'[1]Prueba con 19mil datos'!$B$1:$AF$1228,31,FALSE)</f>
        <v>750.75</v>
      </c>
    </row>
    <row r="656" spans="1:41" hidden="1" x14ac:dyDescent="0.25">
      <c r="A656" s="16" t="s">
        <v>1602</v>
      </c>
      <c r="B656" s="15" t="s">
        <v>40</v>
      </c>
      <c r="C656" s="16">
        <v>1</v>
      </c>
      <c r="D656" s="16" t="s">
        <v>2498</v>
      </c>
      <c r="E656" s="17" t="s">
        <v>42</v>
      </c>
      <c r="F656" s="18" t="s">
        <v>140</v>
      </c>
      <c r="G656" s="18" t="s">
        <v>2491</v>
      </c>
      <c r="H656" s="16" t="s">
        <v>135</v>
      </c>
      <c r="I656" s="19" t="s">
        <v>3</v>
      </c>
      <c r="J656" s="16" t="s">
        <v>12</v>
      </c>
      <c r="K656" s="20" t="s">
        <v>161</v>
      </c>
      <c r="L656" s="20" t="s">
        <v>162</v>
      </c>
      <c r="M656" s="16" t="s">
        <v>163</v>
      </c>
      <c r="N656" s="16">
        <v>1</v>
      </c>
      <c r="O656" s="16" t="s">
        <v>97</v>
      </c>
      <c r="P656" s="20">
        <v>5</v>
      </c>
      <c r="Q656" s="20" t="s">
        <v>311</v>
      </c>
      <c r="R656" s="21" t="s">
        <v>148</v>
      </c>
      <c r="S656" s="22" t="s">
        <v>130</v>
      </c>
      <c r="T656" s="22" t="s">
        <v>54</v>
      </c>
      <c r="U656" s="23" t="s">
        <v>312</v>
      </c>
      <c r="V656" s="24">
        <v>0</v>
      </c>
      <c r="W656" s="25">
        <v>0</v>
      </c>
      <c r="X656" s="26">
        <v>1</v>
      </c>
      <c r="Y656" s="27">
        <v>1.77</v>
      </c>
      <c r="Z656" s="23">
        <v>5</v>
      </c>
      <c r="AA656" s="28">
        <v>0.35399999999999998</v>
      </c>
      <c r="AB656" s="24">
        <v>0</v>
      </c>
      <c r="AC656" s="29">
        <v>0</v>
      </c>
      <c r="AD656" s="30">
        <v>43578</v>
      </c>
      <c r="AE656" s="30">
        <v>43578</v>
      </c>
      <c r="AF656" s="23">
        <v>0</v>
      </c>
      <c r="AG656" s="25" t="s">
        <v>56</v>
      </c>
      <c r="AH656" s="24">
        <v>0</v>
      </c>
      <c r="AI656" s="31">
        <v>0</v>
      </c>
      <c r="AJ656" s="31">
        <v>0</v>
      </c>
      <c r="AK656" s="44">
        <f t="shared" si="20"/>
        <v>0</v>
      </c>
      <c r="AL656">
        <f>VLOOKUP(A656,'[1]prueba con 16mil datos'!$A$1:$AE$804,31,FALSE)</f>
        <v>750.75</v>
      </c>
      <c r="AM656">
        <f t="shared" si="21"/>
        <v>0</v>
      </c>
      <c r="AO656">
        <f>VLOOKUP(A656,'[1]Prueba con 19mil datos'!$B$1:$AF$1228,31,FALSE)</f>
        <v>750.75</v>
      </c>
    </row>
    <row r="657" spans="1:41" hidden="1" x14ac:dyDescent="0.25">
      <c r="A657" s="16" t="s">
        <v>2923</v>
      </c>
      <c r="B657" s="15" t="s">
        <v>40</v>
      </c>
      <c r="C657" s="16">
        <v>1</v>
      </c>
      <c r="D657" s="16" t="s">
        <v>2538</v>
      </c>
      <c r="E657" s="17" t="s">
        <v>42</v>
      </c>
      <c r="F657" s="18" t="s">
        <v>335</v>
      </c>
      <c r="G657" s="18" t="s">
        <v>2539</v>
      </c>
      <c r="H657" s="16" t="s">
        <v>284</v>
      </c>
      <c r="I657" s="19" t="s">
        <v>3</v>
      </c>
      <c r="J657" s="16" t="s">
        <v>12</v>
      </c>
      <c r="K657" s="20" t="s">
        <v>308</v>
      </c>
      <c r="L657" s="20" t="s">
        <v>786</v>
      </c>
      <c r="M657" s="16" t="s">
        <v>105</v>
      </c>
      <c r="N657" s="16">
        <v>1</v>
      </c>
      <c r="O657" s="16" t="s">
        <v>50</v>
      </c>
      <c r="P657" s="20">
        <v>40</v>
      </c>
      <c r="Q657" s="20" t="s">
        <v>86</v>
      </c>
      <c r="R657" s="21" t="s">
        <v>77</v>
      </c>
      <c r="S657" s="22" t="s">
        <v>53</v>
      </c>
      <c r="T657" s="22" t="s">
        <v>54</v>
      </c>
      <c r="U657" s="23" t="s">
        <v>88</v>
      </c>
      <c r="V657" s="24">
        <v>0.8</v>
      </c>
      <c r="W657" s="25">
        <v>0</v>
      </c>
      <c r="X657" s="26">
        <v>1</v>
      </c>
      <c r="Y657" s="27">
        <v>4.55</v>
      </c>
      <c r="Z657" s="23">
        <v>5</v>
      </c>
      <c r="AA657" s="28">
        <v>0.90999999999999992</v>
      </c>
      <c r="AB657" s="24">
        <v>0</v>
      </c>
      <c r="AC657" s="29">
        <v>0</v>
      </c>
      <c r="AD657" s="30">
        <v>43578</v>
      </c>
      <c r="AE657" s="30">
        <v>43578</v>
      </c>
      <c r="AF657" s="23">
        <v>0</v>
      </c>
      <c r="AG657" s="25" t="s">
        <v>56</v>
      </c>
      <c r="AH657" s="24">
        <v>0</v>
      </c>
      <c r="AI657" s="31">
        <v>0</v>
      </c>
      <c r="AJ657" s="31">
        <v>0</v>
      </c>
      <c r="AK657" s="44">
        <f t="shared" si="20"/>
        <v>0</v>
      </c>
      <c r="AL657">
        <f>VLOOKUP(A657,'[1]prueba con 16mil datos'!$A$1:$AE$804,31,FALSE)</f>
        <v>715</v>
      </c>
      <c r="AM657">
        <f t="shared" si="21"/>
        <v>0</v>
      </c>
      <c r="AO657">
        <f>VLOOKUP(A657,'[1]Prueba con 19mil datos'!$B$1:$AF$1228,31,FALSE)</f>
        <v>715</v>
      </c>
    </row>
    <row r="658" spans="1:41" hidden="1" x14ac:dyDescent="0.25">
      <c r="A658" s="16" t="s">
        <v>760</v>
      </c>
      <c r="B658" s="15" t="s">
        <v>40</v>
      </c>
      <c r="C658" s="16">
        <v>1</v>
      </c>
      <c r="D658" s="16" t="s">
        <v>2582</v>
      </c>
      <c r="E658" s="17" t="s">
        <v>42</v>
      </c>
      <c r="F658" s="18" t="s">
        <v>275</v>
      </c>
      <c r="G658" s="18" t="s">
        <v>2583</v>
      </c>
      <c r="H658" s="16" t="s">
        <v>183</v>
      </c>
      <c r="I658" s="19" t="s">
        <v>3</v>
      </c>
      <c r="J658" s="16" t="s">
        <v>12</v>
      </c>
      <c r="K658" s="20" t="s">
        <v>126</v>
      </c>
      <c r="L658" s="20" t="s">
        <v>184</v>
      </c>
      <c r="M658" s="16" t="s">
        <v>185</v>
      </c>
      <c r="N658" s="16">
        <v>1</v>
      </c>
      <c r="O658" s="16" t="s">
        <v>50</v>
      </c>
      <c r="P658" s="20">
        <v>5</v>
      </c>
      <c r="Q658" s="20" t="s">
        <v>311</v>
      </c>
      <c r="R658" s="21" t="s">
        <v>279</v>
      </c>
      <c r="S658" s="22" t="s">
        <v>187</v>
      </c>
      <c r="T658" s="22" t="s">
        <v>54</v>
      </c>
      <c r="U658" s="23" t="s">
        <v>362</v>
      </c>
      <c r="V658" s="24">
        <v>0.6</v>
      </c>
      <c r="W658" s="25">
        <v>0</v>
      </c>
      <c r="X658" s="26">
        <v>1</v>
      </c>
      <c r="Y658" s="27">
        <v>0.63</v>
      </c>
      <c r="Z658" s="23">
        <v>4</v>
      </c>
      <c r="AA658" s="28">
        <v>0.1575</v>
      </c>
      <c r="AB658" s="24">
        <v>0</v>
      </c>
      <c r="AC658" s="29">
        <v>0</v>
      </c>
      <c r="AD658" s="30">
        <v>43578</v>
      </c>
      <c r="AE658" s="30">
        <v>43578</v>
      </c>
      <c r="AF658" s="23">
        <v>0</v>
      </c>
      <c r="AG658" s="25" t="s">
        <v>56</v>
      </c>
      <c r="AH658" s="24">
        <v>0</v>
      </c>
      <c r="AI658" s="31">
        <v>0</v>
      </c>
      <c r="AJ658" s="31">
        <v>0</v>
      </c>
      <c r="AK658" s="44">
        <f t="shared" si="20"/>
        <v>0</v>
      </c>
      <c r="AL658">
        <f>VLOOKUP(A658,'[1]prueba con 16mil datos'!$A$1:$AE$804,31,FALSE)</f>
        <v>572</v>
      </c>
      <c r="AM658">
        <f t="shared" si="21"/>
        <v>0</v>
      </c>
      <c r="AO658">
        <f>VLOOKUP(A658,'[1]Prueba con 19mil datos'!$B$1:$AF$1228,31,FALSE)</f>
        <v>572</v>
      </c>
    </row>
    <row r="659" spans="1:41" hidden="1" x14ac:dyDescent="0.25">
      <c r="A659" s="16" t="s">
        <v>3113</v>
      </c>
      <c r="B659" s="15" t="s">
        <v>40</v>
      </c>
      <c r="C659" s="16">
        <v>1</v>
      </c>
      <c r="D659" s="16" t="s">
        <v>2712</v>
      </c>
      <c r="E659" s="17" t="s">
        <v>42</v>
      </c>
      <c r="F659" s="18" t="s">
        <v>391</v>
      </c>
      <c r="G659" s="18" t="s">
        <v>2713</v>
      </c>
      <c r="H659" s="16" t="s">
        <v>317</v>
      </c>
      <c r="I659" s="19" t="s">
        <v>3</v>
      </c>
      <c r="J659" s="16" t="s">
        <v>12</v>
      </c>
      <c r="K659" s="20" t="s">
        <v>83</v>
      </c>
      <c r="L659" s="20" t="s">
        <v>1769</v>
      </c>
      <c r="M659" s="16" t="s">
        <v>105</v>
      </c>
      <c r="N659" s="16">
        <v>0</v>
      </c>
      <c r="O659" s="16" t="s">
        <v>50</v>
      </c>
      <c r="P659" s="20">
        <v>47</v>
      </c>
      <c r="Q659" s="20" t="s">
        <v>86</v>
      </c>
      <c r="R659" s="21" t="s">
        <v>129</v>
      </c>
      <c r="S659" s="22" t="s">
        <v>130</v>
      </c>
      <c r="T659" s="22" t="s">
        <v>54</v>
      </c>
      <c r="U659" s="23" t="s">
        <v>178</v>
      </c>
      <c r="V659" s="24">
        <v>1.05</v>
      </c>
      <c r="W659" s="25">
        <v>1433.25</v>
      </c>
      <c r="X659" s="26">
        <v>1</v>
      </c>
      <c r="Y659" s="27">
        <v>1.78</v>
      </c>
      <c r="Z659" s="23">
        <v>5</v>
      </c>
      <c r="AA659" s="28">
        <v>0.35599999999999998</v>
      </c>
      <c r="AB659" s="24">
        <v>0</v>
      </c>
      <c r="AC659" s="29">
        <v>0</v>
      </c>
      <c r="AD659" s="30">
        <v>43579</v>
      </c>
      <c r="AE659" s="30">
        <v>43579</v>
      </c>
      <c r="AF659" s="23">
        <v>0</v>
      </c>
      <c r="AG659" s="25" t="s">
        <v>56</v>
      </c>
      <c r="AH659" s="24">
        <v>0</v>
      </c>
      <c r="AI659" s="31">
        <v>0</v>
      </c>
      <c r="AJ659" s="31">
        <v>0</v>
      </c>
      <c r="AK659" s="44">
        <f t="shared" si="20"/>
        <v>1433.25</v>
      </c>
      <c r="AL659">
        <f>VLOOKUP(A659,'[1]prueba con 16mil datos'!$A$1:$AE$804,31,FALSE)</f>
        <v>715</v>
      </c>
      <c r="AM659">
        <f t="shared" si="21"/>
        <v>0</v>
      </c>
      <c r="AO659">
        <f>VLOOKUP(A659,'[1]Prueba con 19mil datos'!$B$1:$AF$1228,31,FALSE)</f>
        <v>715</v>
      </c>
    </row>
    <row r="660" spans="1:41" hidden="1" x14ac:dyDescent="0.25">
      <c r="A660" s="16" t="s">
        <v>3070</v>
      </c>
      <c r="B660" s="15" t="s">
        <v>40</v>
      </c>
      <c r="C660" s="16">
        <v>1</v>
      </c>
      <c r="D660" s="16" t="s">
        <v>2707</v>
      </c>
      <c r="E660" s="17" t="s">
        <v>42</v>
      </c>
      <c r="F660" s="18" t="s">
        <v>391</v>
      </c>
      <c r="G660" s="18" t="s">
        <v>2708</v>
      </c>
      <c r="H660" s="16" t="s">
        <v>46</v>
      </c>
      <c r="I660" s="19" t="s">
        <v>3</v>
      </c>
      <c r="J660" s="16" t="s">
        <v>12</v>
      </c>
      <c r="K660" s="20" t="s">
        <v>198</v>
      </c>
      <c r="L660" s="20" t="s">
        <v>1259</v>
      </c>
      <c r="M660" s="16" t="s">
        <v>49</v>
      </c>
      <c r="N660" s="16">
        <v>0</v>
      </c>
      <c r="O660" s="16" t="s">
        <v>50</v>
      </c>
      <c r="P660" s="20">
        <v>16</v>
      </c>
      <c r="Q660" s="20" t="s">
        <v>119</v>
      </c>
      <c r="R660" s="21" t="s">
        <v>129</v>
      </c>
      <c r="S660" s="22" t="s">
        <v>130</v>
      </c>
      <c r="T660" s="22" t="s">
        <v>54</v>
      </c>
      <c r="U660" s="23" t="s">
        <v>164</v>
      </c>
      <c r="V660" s="24">
        <v>0.8</v>
      </c>
      <c r="W660" s="25">
        <v>1092</v>
      </c>
      <c r="X660" s="26">
        <v>1</v>
      </c>
      <c r="Y660" s="27">
        <v>2.08</v>
      </c>
      <c r="Z660" s="23">
        <v>5</v>
      </c>
      <c r="AA660" s="28">
        <v>0.41600000000000004</v>
      </c>
      <c r="AB660" s="24">
        <v>0</v>
      </c>
      <c r="AC660" s="29">
        <v>0</v>
      </c>
      <c r="AD660" s="30">
        <v>43579</v>
      </c>
      <c r="AE660" s="30">
        <v>43579</v>
      </c>
      <c r="AF660" s="23">
        <v>0</v>
      </c>
      <c r="AG660" s="25" t="s">
        <v>56</v>
      </c>
      <c r="AH660" s="24">
        <v>0</v>
      </c>
      <c r="AI660" s="31">
        <v>0</v>
      </c>
      <c r="AJ660" s="31">
        <v>0</v>
      </c>
      <c r="AK660" s="44">
        <f t="shared" si="20"/>
        <v>1092</v>
      </c>
      <c r="AL660">
        <f>VLOOKUP(A660,'[1]prueba con 16mil datos'!$A$1:$AE$804,31,FALSE)</f>
        <v>715</v>
      </c>
      <c r="AM660">
        <f t="shared" si="21"/>
        <v>0</v>
      </c>
      <c r="AO660">
        <f>VLOOKUP(A660,'[1]Prueba con 19mil datos'!$B$1:$AF$1228,31,FALSE)</f>
        <v>715</v>
      </c>
    </row>
    <row r="661" spans="1:41" hidden="1" x14ac:dyDescent="0.25">
      <c r="A661" s="16" t="s">
        <v>2918</v>
      </c>
      <c r="B661" s="15" t="s">
        <v>40</v>
      </c>
      <c r="C661" s="16">
        <v>1</v>
      </c>
      <c r="D661" s="16" t="s">
        <v>2702</v>
      </c>
      <c r="E661" s="17" t="s">
        <v>42</v>
      </c>
      <c r="F661" s="18" t="s">
        <v>391</v>
      </c>
      <c r="G661" s="18" t="s">
        <v>2703</v>
      </c>
      <c r="H661" s="16" t="s">
        <v>243</v>
      </c>
      <c r="I661" s="19" t="s">
        <v>3</v>
      </c>
      <c r="J661" s="16" t="s">
        <v>12</v>
      </c>
      <c r="K661" s="20" t="s">
        <v>198</v>
      </c>
      <c r="L661" s="20" t="s">
        <v>546</v>
      </c>
      <c r="M661" s="16" t="s">
        <v>372</v>
      </c>
      <c r="N661" s="16">
        <v>0</v>
      </c>
      <c r="O661" s="16" t="s">
        <v>50</v>
      </c>
      <c r="P661" s="20">
        <v>78</v>
      </c>
      <c r="Q661" s="20" t="s">
        <v>51</v>
      </c>
      <c r="R661" s="21" t="s">
        <v>129</v>
      </c>
      <c r="S661" s="22" t="s">
        <v>130</v>
      </c>
      <c r="T661" s="22" t="s">
        <v>54</v>
      </c>
      <c r="U661" s="23" t="s">
        <v>226</v>
      </c>
      <c r="V661" s="24">
        <v>1.1000000000000001</v>
      </c>
      <c r="W661" s="25">
        <v>1501.5000000000002</v>
      </c>
      <c r="X661" s="26">
        <v>1</v>
      </c>
      <c r="Y661" s="27">
        <v>2.38</v>
      </c>
      <c r="Z661" s="23">
        <v>5</v>
      </c>
      <c r="AA661" s="28">
        <v>0.47599999999999998</v>
      </c>
      <c r="AB661" s="24">
        <v>0</v>
      </c>
      <c r="AC661" s="29">
        <v>0</v>
      </c>
      <c r="AD661" s="30">
        <v>43579</v>
      </c>
      <c r="AE661" s="30">
        <v>43579</v>
      </c>
      <c r="AF661" s="23">
        <v>0</v>
      </c>
      <c r="AG661" s="25" t="s">
        <v>56</v>
      </c>
      <c r="AH661" s="24">
        <v>0</v>
      </c>
      <c r="AI661" s="31">
        <v>0</v>
      </c>
      <c r="AJ661" s="31">
        <v>0</v>
      </c>
      <c r="AK661" s="44">
        <f t="shared" si="20"/>
        <v>1501.5000000000002</v>
      </c>
      <c r="AL661">
        <f>VLOOKUP(A661,'[1]prueba con 16mil datos'!$A$1:$AE$804,31,FALSE)</f>
        <v>715</v>
      </c>
      <c r="AM661">
        <f t="shared" si="21"/>
        <v>0</v>
      </c>
      <c r="AO661">
        <f>VLOOKUP(A661,'[1]Prueba con 19mil datos'!$B$1:$AF$1228,31,FALSE)</f>
        <v>0</v>
      </c>
    </row>
    <row r="662" spans="1:41" hidden="1" x14ac:dyDescent="0.25">
      <c r="A662" s="16" t="s">
        <v>1410</v>
      </c>
      <c r="B662" s="15" t="s">
        <v>40</v>
      </c>
      <c r="C662" s="16">
        <v>1</v>
      </c>
      <c r="D662" s="16" t="s">
        <v>2622</v>
      </c>
      <c r="E662" s="17" t="s">
        <v>42</v>
      </c>
      <c r="F662" s="18" t="s">
        <v>90</v>
      </c>
      <c r="G662" s="18" t="s">
        <v>2623</v>
      </c>
      <c r="H662" s="16" t="s">
        <v>621</v>
      </c>
      <c r="I662" s="19" t="s">
        <v>3</v>
      </c>
      <c r="J662" s="16" t="s">
        <v>12</v>
      </c>
      <c r="K662" s="20" t="s">
        <v>154</v>
      </c>
      <c r="L662" s="20" t="s">
        <v>2625</v>
      </c>
      <c r="M662" s="16" t="s">
        <v>1379</v>
      </c>
      <c r="N662" s="16">
        <v>0</v>
      </c>
      <c r="O662" s="16" t="s">
        <v>50</v>
      </c>
      <c r="P662" s="20">
        <v>601</v>
      </c>
      <c r="Q662" s="20" t="s">
        <v>51</v>
      </c>
      <c r="R662" s="21" t="s">
        <v>77</v>
      </c>
      <c r="S662" s="22" t="s">
        <v>53</v>
      </c>
      <c r="T662" s="22" t="s">
        <v>54</v>
      </c>
      <c r="U662" s="23" t="s">
        <v>55</v>
      </c>
      <c r="V662" s="24">
        <v>1.05</v>
      </c>
      <c r="W662" s="25">
        <v>750.75000000000011</v>
      </c>
      <c r="X662" s="26">
        <v>1</v>
      </c>
      <c r="Y662" s="27">
        <v>4.72</v>
      </c>
      <c r="Z662" s="23">
        <v>5</v>
      </c>
      <c r="AA662" s="28">
        <v>0.94399999999999995</v>
      </c>
      <c r="AB662" s="24">
        <v>0</v>
      </c>
      <c r="AC662" s="29">
        <v>0</v>
      </c>
      <c r="AD662" s="30">
        <v>43579</v>
      </c>
      <c r="AE662" s="30">
        <v>43579</v>
      </c>
      <c r="AF662" s="23">
        <v>0</v>
      </c>
      <c r="AG662" s="25" t="s">
        <v>56</v>
      </c>
      <c r="AH662" s="24">
        <v>0</v>
      </c>
      <c r="AI662" s="31">
        <v>0</v>
      </c>
      <c r="AJ662" s="31">
        <v>0</v>
      </c>
      <c r="AK662" s="44">
        <f t="shared" si="20"/>
        <v>750.75000000000011</v>
      </c>
      <c r="AL662">
        <f>VLOOKUP(A662,'[1]prueba con 16mil datos'!$A$1:$AE$804,31,FALSE)</f>
        <v>750.75</v>
      </c>
      <c r="AM662">
        <f t="shared" si="21"/>
        <v>1</v>
      </c>
      <c r="AO662">
        <f>VLOOKUP(A662,'[1]Prueba con 19mil datos'!$B$1:$AF$1228,31,FALSE)</f>
        <v>750.75</v>
      </c>
    </row>
    <row r="663" spans="1:41" hidden="1" x14ac:dyDescent="0.25">
      <c r="A663" s="16" t="s">
        <v>1410</v>
      </c>
      <c r="B663" s="15" t="s">
        <v>40</v>
      </c>
      <c r="C663" s="16">
        <v>1</v>
      </c>
      <c r="D663" s="16" t="s">
        <v>2680</v>
      </c>
      <c r="E663" s="17" t="s">
        <v>42</v>
      </c>
      <c r="F663" s="18" t="s">
        <v>90</v>
      </c>
      <c r="G663" s="18" t="s">
        <v>2681</v>
      </c>
      <c r="H663" s="16" t="s">
        <v>221</v>
      </c>
      <c r="I663" s="19" t="s">
        <v>3</v>
      </c>
      <c r="J663" s="16" t="s">
        <v>12</v>
      </c>
      <c r="K663" s="20" t="s">
        <v>324</v>
      </c>
      <c r="L663" s="20" t="s">
        <v>2683</v>
      </c>
      <c r="M663" s="16" t="s">
        <v>2259</v>
      </c>
      <c r="N663" s="16">
        <v>0</v>
      </c>
      <c r="O663" s="16" t="s">
        <v>50</v>
      </c>
      <c r="P663" s="20">
        <v>34</v>
      </c>
      <c r="Q663" s="20" t="s">
        <v>86</v>
      </c>
      <c r="R663" s="21" t="s">
        <v>77</v>
      </c>
      <c r="S663" s="22" t="s">
        <v>53</v>
      </c>
      <c r="T663" s="22" t="s">
        <v>54</v>
      </c>
      <c r="U663" s="23" t="s">
        <v>88</v>
      </c>
      <c r="V663" s="24">
        <v>0.8</v>
      </c>
      <c r="W663" s="25">
        <v>572.00000000000011</v>
      </c>
      <c r="X663" s="26">
        <v>1</v>
      </c>
      <c r="Y663" s="27">
        <v>1.08</v>
      </c>
      <c r="Z663" s="23">
        <v>5</v>
      </c>
      <c r="AA663" s="28">
        <v>0.21600000000000003</v>
      </c>
      <c r="AB663" s="24">
        <v>0</v>
      </c>
      <c r="AC663" s="29">
        <v>0</v>
      </c>
      <c r="AD663" s="30">
        <v>43579</v>
      </c>
      <c r="AE663" s="30">
        <v>43579</v>
      </c>
      <c r="AF663" s="23">
        <v>0</v>
      </c>
      <c r="AG663" s="25" t="s">
        <v>56</v>
      </c>
      <c r="AH663" s="24">
        <v>0</v>
      </c>
      <c r="AI663" s="31">
        <v>0</v>
      </c>
      <c r="AJ663" s="31">
        <v>0</v>
      </c>
      <c r="AK663" s="44">
        <f t="shared" si="20"/>
        <v>572.00000000000011</v>
      </c>
      <c r="AL663">
        <f>VLOOKUP(A663,'[1]prueba con 16mil datos'!$A$1:$AE$804,31,FALSE)</f>
        <v>750.75</v>
      </c>
      <c r="AM663">
        <f t="shared" si="21"/>
        <v>0</v>
      </c>
      <c r="AO663">
        <f>VLOOKUP(A663,'[1]Prueba con 19mil datos'!$B$1:$AF$1228,31,FALSE)</f>
        <v>750.75</v>
      </c>
    </row>
    <row r="664" spans="1:41" hidden="1" x14ac:dyDescent="0.25">
      <c r="A664" s="16" t="s">
        <v>1120</v>
      </c>
      <c r="B664" s="15" t="s">
        <v>40</v>
      </c>
      <c r="C664" s="16">
        <v>1</v>
      </c>
      <c r="D664" s="16" t="s">
        <v>2705</v>
      </c>
      <c r="E664" s="17" t="s">
        <v>42</v>
      </c>
      <c r="F664" s="18" t="s">
        <v>281</v>
      </c>
      <c r="G664" s="18" t="s">
        <v>2706</v>
      </c>
      <c r="H664" s="16" t="s">
        <v>504</v>
      </c>
      <c r="I664" s="19" t="s">
        <v>3</v>
      </c>
      <c r="J664" s="16" t="s">
        <v>12</v>
      </c>
      <c r="K664" s="20" t="s">
        <v>126</v>
      </c>
      <c r="L664" s="20" t="s">
        <v>2352</v>
      </c>
      <c r="M664" s="16" t="s">
        <v>993</v>
      </c>
      <c r="N664" s="16">
        <v>0</v>
      </c>
      <c r="O664" s="16" t="s">
        <v>50</v>
      </c>
      <c r="P664" s="20">
        <v>6</v>
      </c>
      <c r="Q664" s="20" t="s">
        <v>311</v>
      </c>
      <c r="R664" s="21" t="s">
        <v>287</v>
      </c>
      <c r="S664" s="22" t="s">
        <v>288</v>
      </c>
      <c r="T664" s="22" t="s">
        <v>54</v>
      </c>
      <c r="U664" s="23" t="s">
        <v>362</v>
      </c>
      <c r="V664" s="24">
        <v>0.6</v>
      </c>
      <c r="W664" s="25">
        <v>943.80000000000007</v>
      </c>
      <c r="X664" s="26">
        <v>1</v>
      </c>
      <c r="Y664" s="27">
        <v>2.15</v>
      </c>
      <c r="Z664" s="23">
        <v>4</v>
      </c>
      <c r="AA664" s="28">
        <v>0.53749999999999998</v>
      </c>
      <c r="AB664" s="24">
        <v>0</v>
      </c>
      <c r="AC664" s="29">
        <v>0</v>
      </c>
      <c r="AD664" s="30">
        <v>43579</v>
      </c>
      <c r="AE664" s="30">
        <v>43579</v>
      </c>
      <c r="AF664" s="23">
        <v>0</v>
      </c>
      <c r="AG664" s="25" t="s">
        <v>56</v>
      </c>
      <c r="AH664" s="24">
        <v>0</v>
      </c>
      <c r="AI664" s="31">
        <v>0</v>
      </c>
      <c r="AJ664" s="31">
        <v>0</v>
      </c>
      <c r="AK664" s="44">
        <f t="shared" si="20"/>
        <v>943.80000000000007</v>
      </c>
      <c r="AL664" t="e">
        <f>VLOOKUP(A664,'[1]prueba con 16mil datos'!$A$1:$AE$804,31,FALSE)</f>
        <v>#N/A</v>
      </c>
      <c r="AM664" t="e">
        <f t="shared" si="21"/>
        <v>#N/A</v>
      </c>
      <c r="AO664">
        <f>VLOOKUP(A664,'[1]Prueba con 19mil datos'!$B$1:$AF$1228,31,FALSE)</f>
        <v>0</v>
      </c>
    </row>
    <row r="665" spans="1:41" hidden="1" x14ac:dyDescent="0.25">
      <c r="A665" s="16" t="s">
        <v>2784</v>
      </c>
      <c r="B665" s="15" t="s">
        <v>40</v>
      </c>
      <c r="C665" s="16">
        <v>1</v>
      </c>
      <c r="D665" s="16" t="s">
        <v>2637</v>
      </c>
      <c r="E665" s="17" t="s">
        <v>42</v>
      </c>
      <c r="F665" s="18" t="s">
        <v>281</v>
      </c>
      <c r="G665" s="18" t="s">
        <v>2638</v>
      </c>
      <c r="H665" s="16" t="s">
        <v>73</v>
      </c>
      <c r="I665" s="19" t="s">
        <v>3</v>
      </c>
      <c r="J665" s="16" t="s">
        <v>12</v>
      </c>
      <c r="K665" s="20" t="s">
        <v>126</v>
      </c>
      <c r="L665" s="20" t="s">
        <v>464</v>
      </c>
      <c r="M665" s="16" t="s">
        <v>76</v>
      </c>
      <c r="N665" s="16">
        <v>0</v>
      </c>
      <c r="O665" s="16" t="s">
        <v>50</v>
      </c>
      <c r="P665" s="20">
        <v>8</v>
      </c>
      <c r="Q665" s="20" t="s">
        <v>65</v>
      </c>
      <c r="R665" s="21" t="s">
        <v>287</v>
      </c>
      <c r="S665" s="22" t="s">
        <v>288</v>
      </c>
      <c r="T665" s="22" t="s">
        <v>54</v>
      </c>
      <c r="U665" s="23" t="s">
        <v>201</v>
      </c>
      <c r="V665" s="24">
        <v>0.8</v>
      </c>
      <c r="W665" s="25">
        <v>1258.4000000000003</v>
      </c>
      <c r="X665" s="26">
        <v>1</v>
      </c>
      <c r="Y665" s="27">
        <v>1.07</v>
      </c>
      <c r="Z665" s="23">
        <v>4</v>
      </c>
      <c r="AA665" s="28">
        <v>0.26750000000000002</v>
      </c>
      <c r="AB665" s="24">
        <v>0</v>
      </c>
      <c r="AC665" s="29">
        <v>0</v>
      </c>
      <c r="AD665" s="30">
        <v>43579</v>
      </c>
      <c r="AE665" s="30">
        <v>43579</v>
      </c>
      <c r="AF665" s="23">
        <v>0</v>
      </c>
      <c r="AG665" s="25" t="s">
        <v>56</v>
      </c>
      <c r="AH665" s="24">
        <v>0</v>
      </c>
      <c r="AI665" s="31">
        <v>0</v>
      </c>
      <c r="AJ665" s="31">
        <v>0</v>
      </c>
      <c r="AK665" s="44">
        <f t="shared" si="20"/>
        <v>1258.4000000000003</v>
      </c>
      <c r="AL665">
        <f>VLOOKUP(A665,'[1]prueba con 16mil datos'!$A$1:$AE$804,31,FALSE)</f>
        <v>715</v>
      </c>
      <c r="AM665">
        <f t="shared" si="21"/>
        <v>0</v>
      </c>
      <c r="AO665">
        <f>VLOOKUP(A665,'[1]Prueba con 19mil datos'!$B$1:$AF$1228,31,FALSE)</f>
        <v>715</v>
      </c>
    </row>
    <row r="666" spans="1:41" hidden="1" x14ac:dyDescent="0.25">
      <c r="A666" s="16" t="s">
        <v>2767</v>
      </c>
      <c r="B666" s="15" t="s">
        <v>40</v>
      </c>
      <c r="C666" s="16">
        <v>1</v>
      </c>
      <c r="D666" s="16" t="s">
        <v>2736</v>
      </c>
      <c r="E666" s="17" t="s">
        <v>42</v>
      </c>
      <c r="F666" s="18" t="s">
        <v>281</v>
      </c>
      <c r="G666" s="18" t="s">
        <v>2737</v>
      </c>
      <c r="H666" s="16" t="s">
        <v>2161</v>
      </c>
      <c r="I666" s="19" t="s">
        <v>3</v>
      </c>
      <c r="J666" s="16" t="s">
        <v>12</v>
      </c>
      <c r="K666" s="20" t="s">
        <v>126</v>
      </c>
      <c r="L666" s="20" t="s">
        <v>748</v>
      </c>
      <c r="M666" s="16" t="s">
        <v>749</v>
      </c>
      <c r="N666" s="16">
        <v>0</v>
      </c>
      <c r="O666" s="16" t="s">
        <v>50</v>
      </c>
      <c r="P666" s="20">
        <v>50</v>
      </c>
      <c r="Q666" s="20" t="s">
        <v>86</v>
      </c>
      <c r="R666" s="21" t="s">
        <v>287</v>
      </c>
      <c r="S666" s="22" t="s">
        <v>288</v>
      </c>
      <c r="T666" s="22" t="s">
        <v>54</v>
      </c>
      <c r="U666" s="23" t="s">
        <v>188</v>
      </c>
      <c r="V666" s="24">
        <v>1.1000000000000001</v>
      </c>
      <c r="W666" s="25">
        <v>1730.3000000000004</v>
      </c>
      <c r="X666" s="26">
        <v>1</v>
      </c>
      <c r="Y666" s="27">
        <v>3.2</v>
      </c>
      <c r="Z666" s="23">
        <v>4</v>
      </c>
      <c r="AA666" s="28">
        <v>0.8</v>
      </c>
      <c r="AB666" s="24">
        <v>0</v>
      </c>
      <c r="AC666" s="29">
        <v>0</v>
      </c>
      <c r="AD666" s="30">
        <v>43579</v>
      </c>
      <c r="AE666" s="30">
        <v>43579</v>
      </c>
      <c r="AF666" s="23">
        <v>0</v>
      </c>
      <c r="AG666" s="25" t="s">
        <v>56</v>
      </c>
      <c r="AH666" s="24">
        <v>0</v>
      </c>
      <c r="AI666" s="31">
        <v>0</v>
      </c>
      <c r="AJ666" s="31">
        <v>0</v>
      </c>
      <c r="AK666" s="44">
        <f t="shared" si="20"/>
        <v>1730.3000000000004</v>
      </c>
      <c r="AL666">
        <f>VLOOKUP(A666,'[1]prueba con 16mil datos'!$A$1:$AE$804,31,FALSE)</f>
        <v>715</v>
      </c>
      <c r="AM666">
        <f t="shared" si="21"/>
        <v>0</v>
      </c>
      <c r="AO666">
        <f>VLOOKUP(A666,'[1]Prueba con 19mil datos'!$B$1:$AF$1228,31,FALSE)</f>
        <v>715</v>
      </c>
    </row>
    <row r="667" spans="1:41" hidden="1" x14ac:dyDescent="0.25">
      <c r="A667" s="16" t="s">
        <v>2199</v>
      </c>
      <c r="B667" s="15" t="s">
        <v>40</v>
      </c>
      <c r="C667" s="16">
        <v>1</v>
      </c>
      <c r="D667" s="16" t="s">
        <v>2646</v>
      </c>
      <c r="E667" s="17" t="s">
        <v>42</v>
      </c>
      <c r="F667" s="18" t="s">
        <v>281</v>
      </c>
      <c r="G667" s="18" t="s">
        <v>2647</v>
      </c>
      <c r="H667" s="16" t="s">
        <v>207</v>
      </c>
      <c r="I667" s="19" t="s">
        <v>3</v>
      </c>
      <c r="J667" s="16" t="s">
        <v>12</v>
      </c>
      <c r="K667" s="20" t="s">
        <v>126</v>
      </c>
      <c r="L667" s="20" t="s">
        <v>2649</v>
      </c>
      <c r="M667" s="16" t="s">
        <v>1553</v>
      </c>
      <c r="N667" s="16">
        <v>0</v>
      </c>
      <c r="O667" s="16" t="s">
        <v>50</v>
      </c>
      <c r="P667" s="20">
        <v>28</v>
      </c>
      <c r="Q667" s="20" t="s">
        <v>119</v>
      </c>
      <c r="R667" s="21" t="s">
        <v>287</v>
      </c>
      <c r="S667" s="22" t="s">
        <v>288</v>
      </c>
      <c r="T667" s="22" t="s">
        <v>54</v>
      </c>
      <c r="U667" s="23" t="s">
        <v>269</v>
      </c>
      <c r="V667" s="24">
        <v>1.05</v>
      </c>
      <c r="W667" s="25">
        <v>1651.6500000000003</v>
      </c>
      <c r="X667" s="26">
        <v>1</v>
      </c>
      <c r="Y667" s="27">
        <v>2.02</v>
      </c>
      <c r="Z667" s="23">
        <v>4</v>
      </c>
      <c r="AA667" s="28">
        <v>0.505</v>
      </c>
      <c r="AB667" s="24">
        <v>0</v>
      </c>
      <c r="AC667" s="29">
        <v>0</v>
      </c>
      <c r="AD667" s="30">
        <v>43579</v>
      </c>
      <c r="AE667" s="30">
        <v>43579</v>
      </c>
      <c r="AF667" s="23">
        <v>0</v>
      </c>
      <c r="AG667" s="25" t="s">
        <v>56</v>
      </c>
      <c r="AH667" s="24">
        <v>0</v>
      </c>
      <c r="AI667" s="31">
        <v>0</v>
      </c>
      <c r="AJ667" s="31">
        <v>0</v>
      </c>
      <c r="AK667" s="44">
        <f t="shared" si="20"/>
        <v>1651.6500000000003</v>
      </c>
      <c r="AL667">
        <f>VLOOKUP(A667,'[1]prueba con 16mil datos'!$A$1:$AE$804,31,FALSE)</f>
        <v>750.75</v>
      </c>
      <c r="AM667">
        <f t="shared" si="21"/>
        <v>0</v>
      </c>
      <c r="AO667">
        <f>VLOOKUP(A667,'[1]Prueba con 19mil datos'!$B$1:$AF$1228,31,FALSE)</f>
        <v>750.75</v>
      </c>
    </row>
    <row r="668" spans="1:41" hidden="1" x14ac:dyDescent="0.25">
      <c r="A668" s="16" t="s">
        <v>2747</v>
      </c>
      <c r="B668" s="15" t="s">
        <v>40</v>
      </c>
      <c r="C668" s="16">
        <v>1</v>
      </c>
      <c r="D668" s="16" t="s">
        <v>2759</v>
      </c>
      <c r="E668" s="17" t="s">
        <v>42</v>
      </c>
      <c r="F668" s="18" t="s">
        <v>99</v>
      </c>
      <c r="G668" s="18" t="s">
        <v>2760</v>
      </c>
      <c r="H668" s="16" t="s">
        <v>346</v>
      </c>
      <c r="I668" s="19" t="s">
        <v>3</v>
      </c>
      <c r="J668" s="16" t="s">
        <v>12</v>
      </c>
      <c r="K668" s="20" t="s">
        <v>2762</v>
      </c>
      <c r="L668" s="20" t="s">
        <v>2763</v>
      </c>
      <c r="M668" s="16" t="s">
        <v>2764</v>
      </c>
      <c r="N668" s="16">
        <v>0</v>
      </c>
      <c r="O668" s="16" t="s">
        <v>50</v>
      </c>
      <c r="P668" s="20">
        <v>907</v>
      </c>
      <c r="Q668" s="20" t="s">
        <v>51</v>
      </c>
      <c r="R668" s="21" t="s">
        <v>77</v>
      </c>
      <c r="S668" s="22" t="s">
        <v>53</v>
      </c>
      <c r="T668" s="22" t="s">
        <v>54</v>
      </c>
      <c r="U668" s="23" t="s">
        <v>55</v>
      </c>
      <c r="V668" s="24">
        <v>1.05</v>
      </c>
      <c r="W668" s="25">
        <v>750.75000000000011</v>
      </c>
      <c r="X668" s="26">
        <v>1</v>
      </c>
      <c r="Y668" s="27">
        <v>1.5166666666666675</v>
      </c>
      <c r="Z668" s="23">
        <v>5</v>
      </c>
      <c r="AA668" s="28">
        <v>0.30333333333333351</v>
      </c>
      <c r="AB668" s="24">
        <v>0</v>
      </c>
      <c r="AC668" s="29">
        <v>0</v>
      </c>
      <c r="AD668" s="30">
        <v>43579</v>
      </c>
      <c r="AE668" s="30">
        <v>43580</v>
      </c>
      <c r="AF668" s="23">
        <v>1</v>
      </c>
      <c r="AG668" s="25" t="s">
        <v>56</v>
      </c>
      <c r="AH668" s="24">
        <v>0</v>
      </c>
      <c r="AI668" s="31">
        <v>0</v>
      </c>
      <c r="AJ668" s="31">
        <v>0</v>
      </c>
      <c r="AK668" s="44">
        <f t="shared" si="20"/>
        <v>750.75000000000011</v>
      </c>
      <c r="AL668">
        <f>VLOOKUP(A668,'[1]prueba con 16mil datos'!$A$1:$AE$804,31,FALSE)</f>
        <v>750.75</v>
      </c>
      <c r="AM668">
        <f t="shared" si="21"/>
        <v>1</v>
      </c>
      <c r="AO668">
        <f>VLOOKUP(A668,'[1]Prueba con 19mil datos'!$B$1:$AF$1228,31,FALSE)</f>
        <v>750.75</v>
      </c>
    </row>
    <row r="669" spans="1:41" hidden="1" x14ac:dyDescent="0.25">
      <c r="A669" s="16" t="s">
        <v>919</v>
      </c>
      <c r="B669" s="15" t="s">
        <v>40</v>
      </c>
      <c r="C669" s="16">
        <v>1</v>
      </c>
      <c r="D669" s="16" t="s">
        <v>2789</v>
      </c>
      <c r="E669" s="17" t="s">
        <v>42</v>
      </c>
      <c r="F669" s="18" t="s">
        <v>99</v>
      </c>
      <c r="G669" s="18" t="s">
        <v>2790</v>
      </c>
      <c r="H669" s="16" t="s">
        <v>264</v>
      </c>
      <c r="I669" s="19" t="s">
        <v>3</v>
      </c>
      <c r="J669" s="16" t="s">
        <v>12</v>
      </c>
      <c r="K669" s="20" t="s">
        <v>378</v>
      </c>
      <c r="L669" s="20" t="s">
        <v>711</v>
      </c>
      <c r="M669" s="16" t="s">
        <v>267</v>
      </c>
      <c r="N669" s="16">
        <v>0</v>
      </c>
      <c r="O669" s="16" t="s">
        <v>50</v>
      </c>
      <c r="P669" s="20">
        <v>428</v>
      </c>
      <c r="Q669" s="20" t="s">
        <v>51</v>
      </c>
      <c r="R669" s="21" t="s">
        <v>77</v>
      </c>
      <c r="S669" s="22" t="s">
        <v>53</v>
      </c>
      <c r="T669" s="22" t="s">
        <v>54</v>
      </c>
      <c r="U669" s="23" t="s">
        <v>55</v>
      </c>
      <c r="V669" s="24">
        <v>1.05</v>
      </c>
      <c r="W669" s="25">
        <v>750.75000000000011</v>
      </c>
      <c r="X669" s="26">
        <v>1</v>
      </c>
      <c r="Y669" s="27">
        <v>0</v>
      </c>
      <c r="Z669" s="23">
        <v>5</v>
      </c>
      <c r="AA669" s="28">
        <v>0</v>
      </c>
      <c r="AB669" s="24">
        <v>0</v>
      </c>
      <c r="AC669" s="29">
        <v>0</v>
      </c>
      <c r="AD669" s="30">
        <v>43579</v>
      </c>
      <c r="AE669" s="30">
        <v>43580</v>
      </c>
      <c r="AF669" s="23">
        <v>1</v>
      </c>
      <c r="AG669" s="25" t="s">
        <v>56</v>
      </c>
      <c r="AH669" s="24">
        <v>0</v>
      </c>
      <c r="AI669" s="31">
        <v>0</v>
      </c>
      <c r="AJ669" s="31">
        <v>0</v>
      </c>
      <c r="AK669" s="44">
        <f t="shared" si="20"/>
        <v>750.75000000000011</v>
      </c>
      <c r="AL669">
        <f>VLOOKUP(A669,'[1]prueba con 16mil datos'!$A$1:$AE$804,31,FALSE)</f>
        <v>1433.25</v>
      </c>
      <c r="AM669">
        <f t="shared" si="21"/>
        <v>0</v>
      </c>
      <c r="AO669">
        <f>VLOOKUP(A669,'[1]Prueba con 19mil datos'!$B$1:$AF$1228,31,FALSE)</f>
        <v>1092</v>
      </c>
    </row>
    <row r="670" spans="1:41" hidden="1" x14ac:dyDescent="0.25">
      <c r="A670" s="16" t="s">
        <v>1219</v>
      </c>
      <c r="B670" s="15" t="s">
        <v>40</v>
      </c>
      <c r="C670" s="16">
        <v>1</v>
      </c>
      <c r="D670" s="16" t="s">
        <v>2626</v>
      </c>
      <c r="E670" s="17" t="s">
        <v>42</v>
      </c>
      <c r="F670" s="18" t="s">
        <v>2627</v>
      </c>
      <c r="G670" s="18" t="s">
        <v>2628</v>
      </c>
      <c r="H670" s="16" t="s">
        <v>377</v>
      </c>
      <c r="I670" s="19" t="s">
        <v>3</v>
      </c>
      <c r="J670" s="16" t="s">
        <v>12</v>
      </c>
      <c r="K670" s="20" t="s">
        <v>378</v>
      </c>
      <c r="L670" s="20" t="s">
        <v>577</v>
      </c>
      <c r="M670" s="16" t="s">
        <v>128</v>
      </c>
      <c r="N670" s="16">
        <v>0</v>
      </c>
      <c r="O670" s="16" t="s">
        <v>50</v>
      </c>
      <c r="P670" s="20">
        <v>85</v>
      </c>
      <c r="Q670" s="20" t="s">
        <v>51</v>
      </c>
      <c r="R670" s="21" t="s">
        <v>52</v>
      </c>
      <c r="S670" s="22" t="s">
        <v>53</v>
      </c>
      <c r="T670" s="22" t="s">
        <v>54</v>
      </c>
      <c r="U670" s="23" t="s">
        <v>55</v>
      </c>
      <c r="V670" s="24">
        <v>1.05</v>
      </c>
      <c r="W670" s="25">
        <v>750.75000000000011</v>
      </c>
      <c r="X670" s="26">
        <v>1</v>
      </c>
      <c r="Y670" s="27">
        <v>0</v>
      </c>
      <c r="Z670" s="23">
        <v>5</v>
      </c>
      <c r="AA670" s="28">
        <v>0</v>
      </c>
      <c r="AB670" s="24">
        <v>0</v>
      </c>
      <c r="AC670" s="29">
        <v>0</v>
      </c>
      <c r="AD670" s="30">
        <v>43579</v>
      </c>
      <c r="AE670" s="30">
        <v>43579</v>
      </c>
      <c r="AF670" s="23">
        <v>0</v>
      </c>
      <c r="AG670" s="25" t="s">
        <v>56</v>
      </c>
      <c r="AH670" s="24">
        <v>0</v>
      </c>
      <c r="AI670" s="31">
        <v>0</v>
      </c>
      <c r="AJ670" s="31">
        <v>0</v>
      </c>
      <c r="AK670" s="44">
        <f t="shared" si="20"/>
        <v>750.75000000000011</v>
      </c>
      <c r="AL670">
        <f>VLOOKUP(A670,'[1]prueba con 16mil datos'!$A$1:$AE$804,31,FALSE)</f>
        <v>1730.3</v>
      </c>
      <c r="AM670">
        <f t="shared" si="21"/>
        <v>0</v>
      </c>
      <c r="AO670">
        <f>VLOOKUP(A670,'[1]Prueba con 19mil datos'!$B$1:$AF$1228,31,FALSE)</f>
        <v>1730.3</v>
      </c>
    </row>
    <row r="671" spans="1:41" hidden="1" x14ac:dyDescent="0.25">
      <c r="A671" s="16" t="s">
        <v>549</v>
      </c>
      <c r="B671" s="15" t="s">
        <v>40</v>
      </c>
      <c r="C671" s="16">
        <v>1</v>
      </c>
      <c r="D671" s="16" t="s">
        <v>2676</v>
      </c>
      <c r="E671" s="17" t="s">
        <v>42</v>
      </c>
      <c r="F671" s="18" t="s">
        <v>2677</v>
      </c>
      <c r="G671" s="18" t="s">
        <v>2678</v>
      </c>
      <c r="H671" s="16" t="s">
        <v>264</v>
      </c>
      <c r="I671" s="19" t="s">
        <v>3</v>
      </c>
      <c r="J671" s="16" t="s">
        <v>12</v>
      </c>
      <c r="K671" s="20" t="s">
        <v>378</v>
      </c>
      <c r="L671" s="20" t="s">
        <v>1684</v>
      </c>
      <c r="M671" s="16" t="s">
        <v>267</v>
      </c>
      <c r="N671" s="16">
        <v>0</v>
      </c>
      <c r="O671" s="16" t="s">
        <v>50</v>
      </c>
      <c r="P671" s="20">
        <v>110</v>
      </c>
      <c r="Q671" s="20" t="s">
        <v>51</v>
      </c>
      <c r="R671" s="21" t="s">
        <v>148</v>
      </c>
      <c r="S671" s="22" t="s">
        <v>130</v>
      </c>
      <c r="T671" s="22" t="s">
        <v>54</v>
      </c>
      <c r="U671" s="23" t="s">
        <v>226</v>
      </c>
      <c r="V671" s="24">
        <v>1.1000000000000001</v>
      </c>
      <c r="W671" s="25">
        <v>1501.5000000000002</v>
      </c>
      <c r="X671" s="26">
        <v>1</v>
      </c>
      <c r="Y671" s="27">
        <v>0</v>
      </c>
      <c r="Z671" s="23">
        <v>5</v>
      </c>
      <c r="AA671" s="28">
        <v>0</v>
      </c>
      <c r="AB671" s="24">
        <v>0</v>
      </c>
      <c r="AC671" s="29">
        <v>0</v>
      </c>
      <c r="AD671" s="30">
        <v>43579</v>
      </c>
      <c r="AE671" s="30">
        <v>43579</v>
      </c>
      <c r="AF671" s="23">
        <v>0</v>
      </c>
      <c r="AG671" s="25" t="s">
        <v>56</v>
      </c>
      <c r="AH671" s="24">
        <v>0</v>
      </c>
      <c r="AI671" s="31">
        <v>0</v>
      </c>
      <c r="AJ671" s="31">
        <v>0</v>
      </c>
      <c r="AK671" s="44">
        <f t="shared" si="20"/>
        <v>1501.5000000000002</v>
      </c>
      <c r="AL671">
        <f>VLOOKUP(A671,'[1]prueba con 16mil datos'!$A$1:$AE$804,31,FALSE)</f>
        <v>1808.95</v>
      </c>
      <c r="AM671">
        <f t="shared" si="21"/>
        <v>0</v>
      </c>
      <c r="AO671">
        <f>VLOOKUP(A671,'[1]Prueba con 19mil datos'!$B$1:$AF$1228,31,FALSE)</f>
        <v>1808.95</v>
      </c>
    </row>
    <row r="672" spans="1:41" hidden="1" x14ac:dyDescent="0.25">
      <c r="A672" s="16" t="s">
        <v>549</v>
      </c>
      <c r="B672" s="15" t="s">
        <v>40</v>
      </c>
      <c r="C672" s="16">
        <v>1</v>
      </c>
      <c r="D672" s="16" t="s">
        <v>2652</v>
      </c>
      <c r="E672" s="17" t="s">
        <v>42</v>
      </c>
      <c r="F672" s="18" t="s">
        <v>2075</v>
      </c>
      <c r="G672" s="18" t="s">
        <v>2653</v>
      </c>
      <c r="H672" s="16" t="s">
        <v>93</v>
      </c>
      <c r="I672" s="19" t="s">
        <v>3</v>
      </c>
      <c r="J672" s="16" t="s">
        <v>12</v>
      </c>
      <c r="K672" s="20" t="s">
        <v>2655</v>
      </c>
      <c r="L672" s="20" t="s">
        <v>2656</v>
      </c>
      <c r="M672" s="16" t="s">
        <v>566</v>
      </c>
      <c r="N672" s="16">
        <v>0</v>
      </c>
      <c r="O672" s="16" t="s">
        <v>97</v>
      </c>
      <c r="P672" s="20">
        <v>230</v>
      </c>
      <c r="Q672" s="20" t="s">
        <v>51</v>
      </c>
      <c r="R672" s="21" t="s">
        <v>287</v>
      </c>
      <c r="S672" s="22" t="s">
        <v>288</v>
      </c>
      <c r="T672" s="22" t="s">
        <v>54</v>
      </c>
      <c r="U672" s="23" t="s">
        <v>550</v>
      </c>
      <c r="V672" s="24">
        <v>1.1499999999999999</v>
      </c>
      <c r="W672" s="25">
        <v>923.44999999999993</v>
      </c>
      <c r="X672" s="26">
        <v>1</v>
      </c>
      <c r="Y672" s="27">
        <v>2.72</v>
      </c>
      <c r="Z672" s="23">
        <v>4</v>
      </c>
      <c r="AA672" s="28">
        <v>0.68</v>
      </c>
      <c r="AB672" s="24">
        <v>0</v>
      </c>
      <c r="AC672" s="29">
        <v>0</v>
      </c>
      <c r="AD672" s="30">
        <v>43579</v>
      </c>
      <c r="AE672" s="30">
        <v>43579</v>
      </c>
      <c r="AF672" s="23">
        <v>0</v>
      </c>
      <c r="AG672" s="25" t="s">
        <v>56</v>
      </c>
      <c r="AH672" s="24">
        <v>0</v>
      </c>
      <c r="AI672" s="31">
        <v>0</v>
      </c>
      <c r="AJ672" s="31">
        <v>0</v>
      </c>
      <c r="AK672" s="44">
        <f t="shared" si="20"/>
        <v>923.44999999999993</v>
      </c>
      <c r="AL672">
        <f>VLOOKUP(A672,'[1]prueba con 16mil datos'!$A$1:$AE$804,31,FALSE)</f>
        <v>1808.95</v>
      </c>
      <c r="AM672">
        <f t="shared" si="21"/>
        <v>0</v>
      </c>
      <c r="AO672">
        <f>VLOOKUP(A672,'[1]Prueba con 19mil datos'!$B$1:$AF$1228,31,FALSE)</f>
        <v>1808.95</v>
      </c>
    </row>
    <row r="673" spans="1:41" hidden="1" x14ac:dyDescent="0.25">
      <c r="A673" s="16" t="s">
        <v>2370</v>
      </c>
      <c r="B673" s="15" t="s">
        <v>40</v>
      </c>
      <c r="C673" s="16">
        <v>1</v>
      </c>
      <c r="D673" s="16" t="s">
        <v>2739</v>
      </c>
      <c r="E673" s="17" t="s">
        <v>42</v>
      </c>
      <c r="F673" s="18" t="s">
        <v>2075</v>
      </c>
      <c r="G673" s="18" t="s">
        <v>2740</v>
      </c>
      <c r="H673" s="16" t="s">
        <v>293</v>
      </c>
      <c r="I673" s="19" t="s">
        <v>3</v>
      </c>
      <c r="J673" s="16" t="s">
        <v>12</v>
      </c>
      <c r="K673" s="20" t="s">
        <v>991</v>
      </c>
      <c r="L673" s="20" t="s">
        <v>2742</v>
      </c>
      <c r="M673" s="16" t="s">
        <v>833</v>
      </c>
      <c r="N673" s="16">
        <v>0</v>
      </c>
      <c r="O673" s="16" t="s">
        <v>50</v>
      </c>
      <c r="P673" s="20">
        <v>49</v>
      </c>
      <c r="Q673" s="20" t="s">
        <v>86</v>
      </c>
      <c r="R673" s="21" t="s">
        <v>287</v>
      </c>
      <c r="S673" s="22" t="s">
        <v>288</v>
      </c>
      <c r="T673" s="22" t="s">
        <v>54</v>
      </c>
      <c r="U673" s="23" t="s">
        <v>188</v>
      </c>
      <c r="V673" s="24">
        <v>1.1000000000000001</v>
      </c>
      <c r="W673" s="25">
        <v>1730.3000000000004</v>
      </c>
      <c r="X673" s="26">
        <v>1</v>
      </c>
      <c r="Y673" s="27">
        <v>0.68</v>
      </c>
      <c r="Z673" s="23">
        <v>4</v>
      </c>
      <c r="AA673" s="28">
        <v>0.17</v>
      </c>
      <c r="AB673" s="24">
        <v>0</v>
      </c>
      <c r="AC673" s="29">
        <v>0</v>
      </c>
      <c r="AD673" s="30">
        <v>43579</v>
      </c>
      <c r="AE673" s="30">
        <v>43579</v>
      </c>
      <c r="AF673" s="23">
        <v>0</v>
      </c>
      <c r="AG673" s="25" t="s">
        <v>56</v>
      </c>
      <c r="AH673" s="24">
        <v>0</v>
      </c>
      <c r="AI673" s="31">
        <v>0</v>
      </c>
      <c r="AJ673" s="31">
        <v>0</v>
      </c>
      <c r="AK673" s="44">
        <f t="shared" si="20"/>
        <v>1730.3000000000004</v>
      </c>
      <c r="AL673">
        <f>VLOOKUP(A673,'[1]prueba con 16mil datos'!$A$1:$AE$804,31,FALSE)</f>
        <v>1730.3</v>
      </c>
      <c r="AM673">
        <f t="shared" si="21"/>
        <v>1</v>
      </c>
      <c r="AO673">
        <f>VLOOKUP(A673,'[1]Prueba con 19mil datos'!$B$1:$AF$1228,31,FALSE)</f>
        <v>1730.3</v>
      </c>
    </row>
    <row r="674" spans="1:41" hidden="1" x14ac:dyDescent="0.25">
      <c r="A674" s="16" t="s">
        <v>2370</v>
      </c>
      <c r="B674" s="15" t="s">
        <v>40</v>
      </c>
      <c r="C674" s="16">
        <v>1</v>
      </c>
      <c r="D674" s="16" t="s">
        <v>2715</v>
      </c>
      <c r="E674" s="17" t="s">
        <v>42</v>
      </c>
      <c r="F674" s="18" t="s">
        <v>449</v>
      </c>
      <c r="G674" s="18" t="s">
        <v>2716</v>
      </c>
      <c r="H674" s="16" t="s">
        <v>61</v>
      </c>
      <c r="I674" s="19" t="s">
        <v>3</v>
      </c>
      <c r="J674" s="16" t="s">
        <v>12</v>
      </c>
      <c r="K674" s="20" t="s">
        <v>398</v>
      </c>
      <c r="L674" s="20" t="s">
        <v>399</v>
      </c>
      <c r="M674" s="16" t="s">
        <v>118</v>
      </c>
      <c r="N674" s="16">
        <v>0</v>
      </c>
      <c r="O674" s="16" t="s">
        <v>50</v>
      </c>
      <c r="P674" s="20">
        <v>22</v>
      </c>
      <c r="Q674" s="20" t="s">
        <v>119</v>
      </c>
      <c r="R674" s="21" t="s">
        <v>186</v>
      </c>
      <c r="S674" s="22" t="s">
        <v>187</v>
      </c>
      <c r="T674" s="22" t="s">
        <v>54</v>
      </c>
      <c r="U674" s="23" t="s">
        <v>269</v>
      </c>
      <c r="V674" s="24">
        <v>1.05</v>
      </c>
      <c r="W674" s="25">
        <v>1651.6500000000003</v>
      </c>
      <c r="X674" s="26">
        <v>1</v>
      </c>
      <c r="Y674" s="27">
        <v>4.05</v>
      </c>
      <c r="Z674" s="23">
        <v>4</v>
      </c>
      <c r="AA674" s="28">
        <v>1.0125</v>
      </c>
      <c r="AB674" s="24">
        <v>3.1249999999999889E-3</v>
      </c>
      <c r="AC674" s="29">
        <v>-4.9156249999999835</v>
      </c>
      <c r="AD674" s="30">
        <v>43579</v>
      </c>
      <c r="AE674" s="30">
        <v>43579</v>
      </c>
      <c r="AF674" s="23">
        <v>0</v>
      </c>
      <c r="AG674" s="25" t="s">
        <v>56</v>
      </c>
      <c r="AH674" s="24">
        <v>0</v>
      </c>
      <c r="AI674" s="31">
        <v>0</v>
      </c>
      <c r="AJ674" s="31">
        <v>0</v>
      </c>
      <c r="AK674" s="44">
        <f t="shared" si="20"/>
        <v>1646.7343750000002</v>
      </c>
      <c r="AL674">
        <f>VLOOKUP(A674,'[1]prueba con 16mil datos'!$A$1:$AE$804,31,FALSE)</f>
        <v>1730.3</v>
      </c>
      <c r="AM674">
        <f t="shared" si="21"/>
        <v>0</v>
      </c>
      <c r="AO674">
        <f>VLOOKUP(A674,'[1]Prueba con 19mil datos'!$B$1:$AF$1228,31,FALSE)</f>
        <v>1730.3</v>
      </c>
    </row>
    <row r="675" spans="1:41" hidden="1" x14ac:dyDescent="0.25">
      <c r="A675" s="16" t="s">
        <v>2552</v>
      </c>
      <c r="B675" s="15" t="s">
        <v>40</v>
      </c>
      <c r="C675" s="16">
        <v>1</v>
      </c>
      <c r="D675" s="16" t="s">
        <v>2728</v>
      </c>
      <c r="E675" s="17" t="s">
        <v>42</v>
      </c>
      <c r="F675" s="18" t="s">
        <v>2729</v>
      </c>
      <c r="G675" s="18" t="s">
        <v>2730</v>
      </c>
      <c r="H675" s="16" t="s">
        <v>125</v>
      </c>
      <c r="I675" s="19" t="s">
        <v>3</v>
      </c>
      <c r="J675" s="16" t="s">
        <v>12</v>
      </c>
      <c r="K675" s="20" t="s">
        <v>83</v>
      </c>
      <c r="L675" s="20" t="s">
        <v>810</v>
      </c>
      <c r="M675" s="16" t="s">
        <v>128</v>
      </c>
      <c r="N675" s="16">
        <v>0</v>
      </c>
      <c r="O675" s="16" t="s">
        <v>50</v>
      </c>
      <c r="P675" s="20">
        <v>39</v>
      </c>
      <c r="Q675" s="20" t="s">
        <v>86</v>
      </c>
      <c r="R675" s="21" t="s">
        <v>279</v>
      </c>
      <c r="S675" s="22" t="s">
        <v>187</v>
      </c>
      <c r="T675" s="22" t="s">
        <v>54</v>
      </c>
      <c r="U675" s="23" t="s">
        <v>188</v>
      </c>
      <c r="V675" s="24">
        <v>1.1000000000000001</v>
      </c>
      <c r="W675" s="25">
        <v>1730.3000000000004</v>
      </c>
      <c r="X675" s="26">
        <v>1</v>
      </c>
      <c r="Y675" s="27">
        <v>0.62</v>
      </c>
      <c r="Z675" s="23">
        <v>4</v>
      </c>
      <c r="AA675" s="28">
        <v>0.155</v>
      </c>
      <c r="AB675" s="24">
        <v>0</v>
      </c>
      <c r="AC675" s="29">
        <v>0</v>
      </c>
      <c r="AD675" s="30">
        <v>43579</v>
      </c>
      <c r="AE675" s="30">
        <v>43579</v>
      </c>
      <c r="AF675" s="23">
        <v>0</v>
      </c>
      <c r="AG675" s="25" t="s">
        <v>56</v>
      </c>
      <c r="AH675" s="24">
        <v>0</v>
      </c>
      <c r="AI675" s="31">
        <v>0</v>
      </c>
      <c r="AJ675" s="31">
        <v>0</v>
      </c>
      <c r="AK675" s="44">
        <f t="shared" si="20"/>
        <v>1730.3000000000004</v>
      </c>
      <c r="AL675">
        <f>VLOOKUP(A675,'[1]prueba con 16mil datos'!$A$1:$AE$804,31,FALSE)</f>
        <v>1730.3</v>
      </c>
      <c r="AM675">
        <f t="shared" si="21"/>
        <v>1</v>
      </c>
      <c r="AO675">
        <f>VLOOKUP(A675,'[1]Prueba con 19mil datos'!$B$1:$AF$1228,31,FALSE)</f>
        <v>1730.3</v>
      </c>
    </row>
    <row r="676" spans="1:41" hidden="1" x14ac:dyDescent="0.25">
      <c r="A676" s="16" t="s">
        <v>705</v>
      </c>
      <c r="B676" s="15" t="s">
        <v>40</v>
      </c>
      <c r="C676" s="16">
        <v>1</v>
      </c>
      <c r="D676" s="16" t="s">
        <v>2732</v>
      </c>
      <c r="E676" s="17" t="s">
        <v>42</v>
      </c>
      <c r="F676" s="18" t="s">
        <v>275</v>
      </c>
      <c r="G676" s="18" t="s">
        <v>2733</v>
      </c>
      <c r="H676" s="16" t="s">
        <v>236</v>
      </c>
      <c r="I676" s="19" t="s">
        <v>3</v>
      </c>
      <c r="J676" s="16" t="s">
        <v>12</v>
      </c>
      <c r="K676" s="20" t="s">
        <v>126</v>
      </c>
      <c r="L676" s="20" t="s">
        <v>2735</v>
      </c>
      <c r="M676" s="16" t="s">
        <v>128</v>
      </c>
      <c r="N676" s="16">
        <v>0</v>
      </c>
      <c r="O676" s="16" t="s">
        <v>50</v>
      </c>
      <c r="P676" s="20">
        <v>12</v>
      </c>
      <c r="Q676" s="20" t="s">
        <v>65</v>
      </c>
      <c r="R676" s="21" t="s">
        <v>279</v>
      </c>
      <c r="S676" s="22" t="s">
        <v>187</v>
      </c>
      <c r="T676" s="22" t="s">
        <v>54</v>
      </c>
      <c r="U676" s="23" t="s">
        <v>201</v>
      </c>
      <c r="V676" s="24">
        <v>0.8</v>
      </c>
      <c r="W676" s="25">
        <v>1258.4000000000003</v>
      </c>
      <c r="X676" s="26">
        <v>1</v>
      </c>
      <c r="Y676" s="27">
        <v>2.33</v>
      </c>
      <c r="Z676" s="23">
        <v>4</v>
      </c>
      <c r="AA676" s="28">
        <v>0.58250000000000002</v>
      </c>
      <c r="AB676" s="24">
        <v>0</v>
      </c>
      <c r="AC676" s="29">
        <v>0</v>
      </c>
      <c r="AD676" s="30">
        <v>43579</v>
      </c>
      <c r="AE676" s="30">
        <v>43579</v>
      </c>
      <c r="AF676" s="23">
        <v>0</v>
      </c>
      <c r="AG676" s="25" t="s">
        <v>56</v>
      </c>
      <c r="AH676" s="24">
        <v>0</v>
      </c>
      <c r="AI676" s="31">
        <v>0</v>
      </c>
      <c r="AJ676" s="31">
        <v>0</v>
      </c>
      <c r="AK676" s="44">
        <f t="shared" si="20"/>
        <v>1258.4000000000003</v>
      </c>
      <c r="AL676">
        <f>VLOOKUP(A676,'[1]prueba con 16mil datos'!$A$1:$AE$804,31,FALSE)</f>
        <v>943.8</v>
      </c>
      <c r="AM676">
        <f t="shared" si="21"/>
        <v>0</v>
      </c>
      <c r="AO676">
        <f>VLOOKUP(A676,'[1]Prueba con 19mil datos'!$B$1:$AF$1228,31,FALSE)</f>
        <v>943.8</v>
      </c>
    </row>
    <row r="677" spans="1:41" hidden="1" x14ac:dyDescent="0.25">
      <c r="A677" s="16" t="s">
        <v>705</v>
      </c>
      <c r="B677" s="15" t="s">
        <v>40</v>
      </c>
      <c r="C677" s="16">
        <v>1</v>
      </c>
      <c r="D677" s="16" t="s">
        <v>2630</v>
      </c>
      <c r="E677" s="17" t="s">
        <v>42</v>
      </c>
      <c r="F677" s="18" t="s">
        <v>275</v>
      </c>
      <c r="G677" s="18" t="s">
        <v>2631</v>
      </c>
      <c r="H677" s="16" t="s">
        <v>168</v>
      </c>
      <c r="I677" s="19" t="s">
        <v>3</v>
      </c>
      <c r="J677" s="16" t="s">
        <v>12</v>
      </c>
      <c r="K677" s="20" t="s">
        <v>126</v>
      </c>
      <c r="L677" s="20" t="s">
        <v>1506</v>
      </c>
      <c r="M677" s="16" t="s">
        <v>1507</v>
      </c>
      <c r="N677" s="16">
        <v>0</v>
      </c>
      <c r="O677" s="16" t="s">
        <v>50</v>
      </c>
      <c r="P677" s="20">
        <v>81</v>
      </c>
      <c r="Q677" s="20" t="s">
        <v>51</v>
      </c>
      <c r="R677" s="21" t="s">
        <v>279</v>
      </c>
      <c r="S677" s="22" t="s">
        <v>187</v>
      </c>
      <c r="T677" s="22" t="s">
        <v>54</v>
      </c>
      <c r="U677" s="23" t="s">
        <v>550</v>
      </c>
      <c r="V677" s="24">
        <v>1.1499999999999999</v>
      </c>
      <c r="W677" s="25">
        <v>1808.95</v>
      </c>
      <c r="X677" s="26">
        <v>1</v>
      </c>
      <c r="Y677" s="27">
        <v>3.14</v>
      </c>
      <c r="Z677" s="23">
        <v>4</v>
      </c>
      <c r="AA677" s="28">
        <v>0.78500000000000003</v>
      </c>
      <c r="AB677" s="24">
        <v>0</v>
      </c>
      <c r="AC677" s="29">
        <v>0</v>
      </c>
      <c r="AD677" s="30">
        <v>43579</v>
      </c>
      <c r="AE677" s="30">
        <v>43579</v>
      </c>
      <c r="AF677" s="23">
        <v>0</v>
      </c>
      <c r="AG677" s="25" t="s">
        <v>56</v>
      </c>
      <c r="AH677" s="24">
        <v>0</v>
      </c>
      <c r="AI677" s="31">
        <v>0</v>
      </c>
      <c r="AJ677" s="31">
        <v>0</v>
      </c>
      <c r="AK677" s="44">
        <f t="shared" si="20"/>
        <v>1808.95</v>
      </c>
      <c r="AL677">
        <f>VLOOKUP(A677,'[1]prueba con 16mil datos'!$A$1:$AE$804,31,FALSE)</f>
        <v>943.8</v>
      </c>
      <c r="AM677">
        <f t="shared" si="21"/>
        <v>0</v>
      </c>
      <c r="AO677">
        <f>VLOOKUP(A677,'[1]Prueba con 19mil datos'!$B$1:$AF$1228,31,FALSE)</f>
        <v>943.8</v>
      </c>
    </row>
    <row r="678" spans="1:41" hidden="1" x14ac:dyDescent="0.25">
      <c r="A678" s="16" t="s">
        <v>705</v>
      </c>
      <c r="B678" s="15" t="s">
        <v>40</v>
      </c>
      <c r="C678" s="16">
        <v>1</v>
      </c>
      <c r="D678" s="16" t="s">
        <v>2620</v>
      </c>
      <c r="E678" s="17" t="s">
        <v>42</v>
      </c>
      <c r="F678" s="18" t="s">
        <v>275</v>
      </c>
      <c r="G678" s="18" t="s">
        <v>2621</v>
      </c>
      <c r="H678" s="16" t="s">
        <v>463</v>
      </c>
      <c r="I678" s="19" t="s">
        <v>3</v>
      </c>
      <c r="J678" s="16" t="s">
        <v>12</v>
      </c>
      <c r="K678" s="20" t="s">
        <v>126</v>
      </c>
      <c r="L678" s="20" t="s">
        <v>464</v>
      </c>
      <c r="M678" s="16" t="s">
        <v>76</v>
      </c>
      <c r="N678" s="16">
        <v>0</v>
      </c>
      <c r="O678" s="16" t="s">
        <v>50</v>
      </c>
      <c r="P678" s="20">
        <v>8</v>
      </c>
      <c r="Q678" s="20" t="s">
        <v>65</v>
      </c>
      <c r="R678" s="21" t="s">
        <v>279</v>
      </c>
      <c r="S678" s="22" t="s">
        <v>187</v>
      </c>
      <c r="T678" s="22" t="s">
        <v>54</v>
      </c>
      <c r="U678" s="23" t="s">
        <v>201</v>
      </c>
      <c r="V678" s="24">
        <v>0.8</v>
      </c>
      <c r="W678" s="25">
        <v>1258.4000000000003</v>
      </c>
      <c r="X678" s="26">
        <v>1</v>
      </c>
      <c r="Y678" s="27">
        <v>1.1200000000000001</v>
      </c>
      <c r="Z678" s="23">
        <v>4</v>
      </c>
      <c r="AA678" s="28">
        <v>0.28000000000000003</v>
      </c>
      <c r="AB678" s="24">
        <v>0</v>
      </c>
      <c r="AC678" s="29">
        <v>0</v>
      </c>
      <c r="AD678" s="30">
        <v>43579</v>
      </c>
      <c r="AE678" s="30">
        <v>43579</v>
      </c>
      <c r="AF678" s="23">
        <v>0</v>
      </c>
      <c r="AG678" s="25" t="s">
        <v>56</v>
      </c>
      <c r="AH678" s="24">
        <v>0</v>
      </c>
      <c r="AI678" s="31">
        <v>0</v>
      </c>
      <c r="AJ678" s="31">
        <v>0</v>
      </c>
      <c r="AK678" s="44">
        <f t="shared" si="20"/>
        <v>1258.4000000000003</v>
      </c>
      <c r="AL678">
        <f>VLOOKUP(A678,'[1]prueba con 16mil datos'!$A$1:$AE$804,31,FALSE)</f>
        <v>943.8</v>
      </c>
      <c r="AM678">
        <f t="shared" si="21"/>
        <v>0</v>
      </c>
      <c r="AO678">
        <f>VLOOKUP(A678,'[1]Prueba con 19mil datos'!$B$1:$AF$1228,31,FALSE)</f>
        <v>943.8</v>
      </c>
    </row>
    <row r="679" spans="1:41" hidden="1" x14ac:dyDescent="0.25">
      <c r="A679" s="16" t="s">
        <v>955</v>
      </c>
      <c r="B679" s="15" t="s">
        <v>40</v>
      </c>
      <c r="C679" s="16">
        <v>1</v>
      </c>
      <c r="D679" s="16" t="s">
        <v>2657</v>
      </c>
      <c r="E679" s="17" t="s">
        <v>42</v>
      </c>
      <c r="F679" s="18" t="s">
        <v>275</v>
      </c>
      <c r="G679" s="18" t="s">
        <v>2658</v>
      </c>
      <c r="H679" s="16" t="s">
        <v>213</v>
      </c>
      <c r="I679" s="19" t="s">
        <v>3</v>
      </c>
      <c r="J679" s="16" t="s">
        <v>12</v>
      </c>
      <c r="K679" s="20" t="s">
        <v>126</v>
      </c>
      <c r="L679" s="20" t="s">
        <v>2645</v>
      </c>
      <c r="M679" s="16" t="s">
        <v>479</v>
      </c>
      <c r="N679" s="16">
        <v>0</v>
      </c>
      <c r="O679" s="16" t="s">
        <v>50</v>
      </c>
      <c r="P679" s="20">
        <v>125</v>
      </c>
      <c r="Q679" s="20" t="s">
        <v>51</v>
      </c>
      <c r="R679" s="21" t="s">
        <v>279</v>
      </c>
      <c r="S679" s="22" t="s">
        <v>187</v>
      </c>
      <c r="T679" s="22" t="s">
        <v>54</v>
      </c>
      <c r="U679" s="23" t="s">
        <v>550</v>
      </c>
      <c r="V679" s="24">
        <v>1.1499999999999999</v>
      </c>
      <c r="W679" s="25">
        <v>1808.95</v>
      </c>
      <c r="X679" s="26">
        <v>1</v>
      </c>
      <c r="Y679" s="27">
        <v>3.58</v>
      </c>
      <c r="Z679" s="23">
        <v>4</v>
      </c>
      <c r="AA679" s="28">
        <v>0.89500000000000002</v>
      </c>
      <c r="AB679" s="24">
        <v>0</v>
      </c>
      <c r="AC679" s="29">
        <v>0</v>
      </c>
      <c r="AD679" s="30">
        <v>43579</v>
      </c>
      <c r="AE679" s="30">
        <v>43579</v>
      </c>
      <c r="AF679" s="23">
        <v>0</v>
      </c>
      <c r="AG679" s="25" t="s">
        <v>56</v>
      </c>
      <c r="AH679" s="24">
        <v>0</v>
      </c>
      <c r="AI679" s="31">
        <v>0</v>
      </c>
      <c r="AJ679" s="31">
        <v>0</v>
      </c>
      <c r="AK679" s="44">
        <f t="shared" si="20"/>
        <v>1808.95</v>
      </c>
      <c r="AL679">
        <f>VLOOKUP(A679,'[1]prueba con 16mil datos'!$A$1:$AE$804,31,FALSE)</f>
        <v>1730.3</v>
      </c>
      <c r="AM679">
        <f t="shared" si="21"/>
        <v>0</v>
      </c>
      <c r="AO679">
        <f>VLOOKUP(A679,'[1]Prueba con 19mil datos'!$B$1:$AF$1228,31,FALSE)</f>
        <v>1651.65</v>
      </c>
    </row>
    <row r="680" spans="1:41" hidden="1" x14ac:dyDescent="0.25">
      <c r="A680" s="16" t="s">
        <v>955</v>
      </c>
      <c r="B680" s="15" t="s">
        <v>40</v>
      </c>
      <c r="C680" s="16">
        <v>1</v>
      </c>
      <c r="D680" s="16" t="s">
        <v>2674</v>
      </c>
      <c r="E680" s="17" t="s">
        <v>42</v>
      </c>
      <c r="F680" s="18" t="s">
        <v>275</v>
      </c>
      <c r="G680" s="18" t="s">
        <v>2675</v>
      </c>
      <c r="H680" s="16" t="s">
        <v>331</v>
      </c>
      <c r="I680" s="19" t="s">
        <v>3</v>
      </c>
      <c r="J680" s="16" t="s">
        <v>12</v>
      </c>
      <c r="K680" s="20" t="s">
        <v>126</v>
      </c>
      <c r="L680" s="20" t="s">
        <v>2254</v>
      </c>
      <c r="M680" s="16" t="s">
        <v>833</v>
      </c>
      <c r="N680" s="16">
        <v>0</v>
      </c>
      <c r="O680" s="16" t="s">
        <v>50</v>
      </c>
      <c r="P680" s="20">
        <v>10</v>
      </c>
      <c r="Q680" s="20" t="s">
        <v>65</v>
      </c>
      <c r="R680" s="21" t="s">
        <v>279</v>
      </c>
      <c r="S680" s="22" t="s">
        <v>187</v>
      </c>
      <c r="T680" s="22" t="s">
        <v>54</v>
      </c>
      <c r="U680" s="23" t="s">
        <v>201</v>
      </c>
      <c r="V680" s="24">
        <v>0.8</v>
      </c>
      <c r="W680" s="25">
        <v>1258.4000000000003</v>
      </c>
      <c r="X680" s="26">
        <v>1</v>
      </c>
      <c r="Y680" s="27">
        <v>2.89</v>
      </c>
      <c r="Z680" s="23">
        <v>4</v>
      </c>
      <c r="AA680" s="28">
        <v>0.72250000000000003</v>
      </c>
      <c r="AB680" s="24">
        <v>0</v>
      </c>
      <c r="AC680" s="29">
        <v>0</v>
      </c>
      <c r="AD680" s="30">
        <v>43579</v>
      </c>
      <c r="AE680" s="30">
        <v>43579</v>
      </c>
      <c r="AF680" s="23">
        <v>0</v>
      </c>
      <c r="AG680" s="25" t="s">
        <v>56</v>
      </c>
      <c r="AH680" s="24">
        <v>0</v>
      </c>
      <c r="AI680" s="31">
        <v>0</v>
      </c>
      <c r="AJ680" s="31">
        <v>0</v>
      </c>
      <c r="AK680" s="44">
        <f t="shared" si="20"/>
        <v>1258.4000000000003</v>
      </c>
      <c r="AL680">
        <f>VLOOKUP(A680,'[1]prueba con 16mil datos'!$A$1:$AE$804,31,FALSE)</f>
        <v>1730.3</v>
      </c>
      <c r="AM680">
        <f t="shared" si="21"/>
        <v>0</v>
      </c>
      <c r="AO680">
        <f>VLOOKUP(A680,'[1]Prueba con 19mil datos'!$B$1:$AF$1228,31,FALSE)</f>
        <v>1651.65</v>
      </c>
    </row>
    <row r="681" spans="1:41" hidden="1" x14ac:dyDescent="0.25">
      <c r="A681" s="16" t="s">
        <v>2190</v>
      </c>
      <c r="B681" s="15" t="s">
        <v>40</v>
      </c>
      <c r="C681" s="16">
        <v>1</v>
      </c>
      <c r="D681" s="16" t="s">
        <v>2743</v>
      </c>
      <c r="E681" s="17" t="s">
        <v>42</v>
      </c>
      <c r="F681" s="18" t="s">
        <v>240</v>
      </c>
      <c r="G681" s="18" t="s">
        <v>2744</v>
      </c>
      <c r="H681" s="16" t="s">
        <v>243</v>
      </c>
      <c r="I681" s="19" t="s">
        <v>3</v>
      </c>
      <c r="J681" s="16" t="s">
        <v>12</v>
      </c>
      <c r="K681" s="20" t="s">
        <v>244</v>
      </c>
      <c r="L681" s="20" t="s">
        <v>245</v>
      </c>
      <c r="M681" s="16" t="s">
        <v>246</v>
      </c>
      <c r="N681" s="16">
        <v>0</v>
      </c>
      <c r="O681" s="16" t="s">
        <v>50</v>
      </c>
      <c r="P681" s="20">
        <v>41</v>
      </c>
      <c r="Q681" s="20" t="s">
        <v>86</v>
      </c>
      <c r="R681" s="21" t="s">
        <v>247</v>
      </c>
      <c r="S681" s="22" t="s">
        <v>67</v>
      </c>
      <c r="T681" s="22" t="s">
        <v>54</v>
      </c>
      <c r="U681" s="23" t="s">
        <v>431</v>
      </c>
      <c r="V681" s="24">
        <v>1.1499999999999999</v>
      </c>
      <c r="W681" s="25">
        <v>2466.75</v>
      </c>
      <c r="X681" s="26">
        <v>1</v>
      </c>
      <c r="Y681" s="27">
        <v>5.2</v>
      </c>
      <c r="Z681" s="23">
        <v>3</v>
      </c>
      <c r="AA681" s="28">
        <v>1.7333333333333334</v>
      </c>
      <c r="AB681" s="24">
        <v>0.18333333333333335</v>
      </c>
      <c r="AC681" s="29">
        <v>-393.25000000000006</v>
      </c>
      <c r="AD681" s="30">
        <v>43579</v>
      </c>
      <c r="AE681" s="30">
        <v>43580</v>
      </c>
      <c r="AF681" s="23">
        <v>1</v>
      </c>
      <c r="AG681" s="25" t="s">
        <v>56</v>
      </c>
      <c r="AH681" s="24">
        <v>0</v>
      </c>
      <c r="AI681" s="31">
        <v>0</v>
      </c>
      <c r="AJ681" s="31">
        <v>0</v>
      </c>
      <c r="AK681" s="44">
        <f t="shared" si="20"/>
        <v>2073.5</v>
      </c>
      <c r="AL681">
        <f>VLOOKUP(A681,'[1]prueba con 16mil datos'!$A$1:$AE$804,31,FALSE)</f>
        <v>1808.95</v>
      </c>
      <c r="AM681">
        <f t="shared" si="21"/>
        <v>0</v>
      </c>
      <c r="AO681">
        <f>VLOOKUP(A681,'[1]Prueba con 19mil datos'!$B$1:$AF$1228,31,FALSE)</f>
        <v>1808.95</v>
      </c>
    </row>
    <row r="682" spans="1:41" hidden="1" x14ac:dyDescent="0.25">
      <c r="A682" s="16" t="s">
        <v>2095</v>
      </c>
      <c r="B682" s="15" t="s">
        <v>40</v>
      </c>
      <c r="C682" s="16">
        <v>1</v>
      </c>
      <c r="D682" s="16" t="s">
        <v>2691</v>
      </c>
      <c r="E682" s="17" t="s">
        <v>42</v>
      </c>
      <c r="F682" s="18" t="s">
        <v>70</v>
      </c>
      <c r="G682" s="18" t="s">
        <v>2692</v>
      </c>
      <c r="H682" s="16" t="s">
        <v>46</v>
      </c>
      <c r="I682" s="19" t="s">
        <v>3</v>
      </c>
      <c r="J682" s="16" t="s">
        <v>12</v>
      </c>
      <c r="K682" s="20" t="s">
        <v>47</v>
      </c>
      <c r="L682" s="20" t="s">
        <v>48</v>
      </c>
      <c r="M682" s="16" t="s">
        <v>49</v>
      </c>
      <c r="N682" s="16">
        <v>0</v>
      </c>
      <c r="O682" s="16" t="s">
        <v>50</v>
      </c>
      <c r="P682" s="20">
        <v>294</v>
      </c>
      <c r="Q682" s="20" t="s">
        <v>51</v>
      </c>
      <c r="R682" s="21" t="s">
        <v>77</v>
      </c>
      <c r="S682" s="22" t="s">
        <v>53</v>
      </c>
      <c r="T682" s="22" t="s">
        <v>54</v>
      </c>
      <c r="U682" s="23" t="s">
        <v>55</v>
      </c>
      <c r="V682" s="24">
        <v>1.05</v>
      </c>
      <c r="W682" s="25">
        <v>750.75000000000011</v>
      </c>
      <c r="X682" s="26">
        <v>1</v>
      </c>
      <c r="Y682" s="27">
        <v>0</v>
      </c>
      <c r="Z682" s="23">
        <v>5</v>
      </c>
      <c r="AA682" s="28">
        <v>0</v>
      </c>
      <c r="AB682" s="24">
        <v>0</v>
      </c>
      <c r="AC682" s="29">
        <v>0</v>
      </c>
      <c r="AD682" s="30">
        <v>43579</v>
      </c>
      <c r="AE682" s="30">
        <v>43579</v>
      </c>
      <c r="AF682" s="23">
        <v>0</v>
      </c>
      <c r="AG682" s="25" t="s">
        <v>56</v>
      </c>
      <c r="AH682" s="24">
        <v>0</v>
      </c>
      <c r="AI682" s="31">
        <v>0</v>
      </c>
      <c r="AJ682" s="31">
        <v>0</v>
      </c>
      <c r="AK682" s="44">
        <f t="shared" si="20"/>
        <v>750.75000000000011</v>
      </c>
      <c r="AL682">
        <f>VLOOKUP(A682,'[1]prueba con 16mil datos'!$A$1:$AE$804,31,FALSE)</f>
        <v>1808.95</v>
      </c>
      <c r="AM682">
        <f t="shared" si="21"/>
        <v>0</v>
      </c>
      <c r="AO682">
        <f>VLOOKUP(A682,'[1]Prueba con 19mil datos'!$B$1:$AF$1228,31,FALSE)</f>
        <v>1808.95</v>
      </c>
    </row>
    <row r="683" spans="1:41" hidden="1" x14ac:dyDescent="0.25">
      <c r="A683" s="16" t="s">
        <v>3099</v>
      </c>
      <c r="B683" s="15" t="s">
        <v>40</v>
      </c>
      <c r="C683" s="16">
        <v>1</v>
      </c>
      <c r="D683" s="16" t="s">
        <v>2717</v>
      </c>
      <c r="E683" s="17" t="s">
        <v>42</v>
      </c>
      <c r="F683" s="18" t="s">
        <v>70</v>
      </c>
      <c r="G683" s="18" t="s">
        <v>2718</v>
      </c>
      <c r="H683" s="16" t="s">
        <v>109</v>
      </c>
      <c r="I683" s="19" t="s">
        <v>3</v>
      </c>
      <c r="J683" s="16" t="s">
        <v>12</v>
      </c>
      <c r="K683" s="20" t="s">
        <v>74</v>
      </c>
      <c r="L683" s="20" t="s">
        <v>2720</v>
      </c>
      <c r="M683" s="16" t="s">
        <v>200</v>
      </c>
      <c r="N683" s="16">
        <v>0</v>
      </c>
      <c r="O683" s="16" t="s">
        <v>50</v>
      </c>
      <c r="P683" s="20">
        <v>93</v>
      </c>
      <c r="Q683" s="20" t="s">
        <v>51</v>
      </c>
      <c r="R683" s="21" t="s">
        <v>77</v>
      </c>
      <c r="S683" s="22" t="s">
        <v>53</v>
      </c>
      <c r="T683" s="22" t="s">
        <v>54</v>
      </c>
      <c r="U683" s="23" t="s">
        <v>55</v>
      </c>
      <c r="V683" s="24">
        <v>1.05</v>
      </c>
      <c r="W683" s="25">
        <v>750.75000000000011</v>
      </c>
      <c r="X683" s="26">
        <v>1</v>
      </c>
      <c r="Y683" s="27">
        <v>1</v>
      </c>
      <c r="Z683" s="23">
        <v>5</v>
      </c>
      <c r="AA683" s="28">
        <v>0.2</v>
      </c>
      <c r="AB683" s="24">
        <v>0</v>
      </c>
      <c r="AC683" s="29">
        <v>0</v>
      </c>
      <c r="AD683" s="30">
        <v>43579</v>
      </c>
      <c r="AE683" s="30">
        <v>43579</v>
      </c>
      <c r="AF683" s="23">
        <v>0</v>
      </c>
      <c r="AG683" s="25" t="s">
        <v>56</v>
      </c>
      <c r="AH683" s="24">
        <v>0</v>
      </c>
      <c r="AI683" s="31">
        <v>0</v>
      </c>
      <c r="AJ683" s="31">
        <v>0</v>
      </c>
      <c r="AK683" s="44">
        <f t="shared" si="20"/>
        <v>750.75000000000011</v>
      </c>
      <c r="AL683">
        <f>VLOOKUP(A683,'[1]prueba con 16mil datos'!$A$1:$AE$804,31,FALSE)</f>
        <v>1730.3</v>
      </c>
      <c r="AM683">
        <f t="shared" si="21"/>
        <v>0</v>
      </c>
      <c r="AO683">
        <f>VLOOKUP(A683,'[1]Prueba con 19mil datos'!$B$1:$AF$1228,31,FALSE)</f>
        <v>1730.3</v>
      </c>
    </row>
    <row r="684" spans="1:41" hidden="1" x14ac:dyDescent="0.25">
      <c r="A684" s="16" t="s">
        <v>1364</v>
      </c>
      <c r="B684" s="15" t="s">
        <v>40</v>
      </c>
      <c r="C684" s="16">
        <v>1</v>
      </c>
      <c r="D684" s="16" t="s">
        <v>2615</v>
      </c>
      <c r="E684" s="17" t="s">
        <v>42</v>
      </c>
      <c r="F684" s="18" t="s">
        <v>335</v>
      </c>
      <c r="G684" s="18" t="s">
        <v>2616</v>
      </c>
      <c r="H684" s="16" t="s">
        <v>243</v>
      </c>
      <c r="I684" s="19" t="s">
        <v>3</v>
      </c>
      <c r="J684" s="16" t="s">
        <v>12</v>
      </c>
      <c r="K684" s="20" t="s">
        <v>791</v>
      </c>
      <c r="L684" s="20" t="s">
        <v>792</v>
      </c>
      <c r="M684" s="16" t="s">
        <v>429</v>
      </c>
      <c r="N684" s="16">
        <v>0</v>
      </c>
      <c r="O684" s="16" t="s">
        <v>50</v>
      </c>
      <c r="P684" s="20">
        <v>83</v>
      </c>
      <c r="Q684" s="20" t="s">
        <v>51</v>
      </c>
      <c r="R684" s="21" t="s">
        <v>77</v>
      </c>
      <c r="S684" s="22" t="s">
        <v>53</v>
      </c>
      <c r="T684" s="22" t="s">
        <v>54</v>
      </c>
      <c r="U684" s="23" t="s">
        <v>55</v>
      </c>
      <c r="V684" s="24">
        <v>1.05</v>
      </c>
      <c r="W684" s="25">
        <v>750.75000000000011</v>
      </c>
      <c r="X684" s="26">
        <v>1</v>
      </c>
      <c r="Y684" s="27">
        <v>4.95</v>
      </c>
      <c r="Z684" s="23">
        <v>5</v>
      </c>
      <c r="AA684" s="28">
        <v>0.99</v>
      </c>
      <c r="AB684" s="24">
        <v>0</v>
      </c>
      <c r="AC684" s="29">
        <v>0</v>
      </c>
      <c r="AD684" s="30">
        <v>43579</v>
      </c>
      <c r="AE684" s="30">
        <v>43579</v>
      </c>
      <c r="AF684" s="23">
        <v>0</v>
      </c>
      <c r="AG684" s="25" t="s">
        <v>56</v>
      </c>
      <c r="AH684" s="24">
        <v>0</v>
      </c>
      <c r="AI684" s="31">
        <v>0</v>
      </c>
      <c r="AJ684" s="31">
        <v>0</v>
      </c>
      <c r="AK684" s="44">
        <f t="shared" si="20"/>
        <v>750.75000000000011</v>
      </c>
      <c r="AL684">
        <f>VLOOKUP(A684,'[1]prueba con 16mil datos'!$A$1:$AE$804,31,FALSE)</f>
        <v>1730.3</v>
      </c>
      <c r="AM684">
        <f t="shared" si="21"/>
        <v>0</v>
      </c>
      <c r="AO684">
        <f>VLOOKUP(A684,'[1]Prueba con 19mil datos'!$B$1:$AF$1228,31,FALSE)</f>
        <v>1730.3</v>
      </c>
    </row>
    <row r="685" spans="1:41" hidden="1" x14ac:dyDescent="0.25">
      <c r="A685" s="16" t="s">
        <v>2809</v>
      </c>
      <c r="B685" s="15" t="s">
        <v>40</v>
      </c>
      <c r="C685" s="16">
        <v>1</v>
      </c>
      <c r="D685" s="16" t="s">
        <v>2670</v>
      </c>
      <c r="E685" s="17" t="s">
        <v>42</v>
      </c>
      <c r="F685" s="18" t="s">
        <v>335</v>
      </c>
      <c r="G685" s="18" t="s">
        <v>2671</v>
      </c>
      <c r="H685" s="16" t="s">
        <v>463</v>
      </c>
      <c r="I685" s="19" t="s">
        <v>3</v>
      </c>
      <c r="J685" s="16" t="s">
        <v>12</v>
      </c>
      <c r="K685" s="20" t="s">
        <v>208</v>
      </c>
      <c r="L685" s="20" t="s">
        <v>2673</v>
      </c>
      <c r="M685" s="16" t="s">
        <v>596</v>
      </c>
      <c r="N685" s="16">
        <v>0</v>
      </c>
      <c r="O685" s="16" t="s">
        <v>50</v>
      </c>
      <c r="P685" s="20">
        <v>279</v>
      </c>
      <c r="Q685" s="20" t="s">
        <v>51</v>
      </c>
      <c r="R685" s="21" t="s">
        <v>77</v>
      </c>
      <c r="S685" s="22" t="s">
        <v>53</v>
      </c>
      <c r="T685" s="22" t="s">
        <v>54</v>
      </c>
      <c r="U685" s="23" t="s">
        <v>55</v>
      </c>
      <c r="V685" s="24">
        <v>1.05</v>
      </c>
      <c r="W685" s="25">
        <v>750.75000000000011</v>
      </c>
      <c r="X685" s="26">
        <v>1</v>
      </c>
      <c r="Y685" s="27">
        <v>0</v>
      </c>
      <c r="Z685" s="23">
        <v>5</v>
      </c>
      <c r="AA685" s="28">
        <v>0</v>
      </c>
      <c r="AB685" s="24">
        <v>0</v>
      </c>
      <c r="AC685" s="29">
        <v>0</v>
      </c>
      <c r="AD685" s="30">
        <v>43579</v>
      </c>
      <c r="AE685" s="30">
        <v>43579</v>
      </c>
      <c r="AF685" s="23">
        <v>0</v>
      </c>
      <c r="AG685" s="25" t="s">
        <v>56</v>
      </c>
      <c r="AH685" s="24">
        <v>0</v>
      </c>
      <c r="AI685" s="31">
        <v>0</v>
      </c>
      <c r="AJ685" s="31">
        <v>0</v>
      </c>
      <c r="AK685" s="44">
        <f t="shared" si="20"/>
        <v>750.75000000000011</v>
      </c>
      <c r="AL685">
        <f>VLOOKUP(A685,'[1]prueba con 16mil datos'!$A$1:$AE$804,31,FALSE)</f>
        <v>1730.3</v>
      </c>
      <c r="AM685">
        <f t="shared" si="21"/>
        <v>0</v>
      </c>
      <c r="AO685">
        <f>VLOOKUP(A685,'[1]Prueba con 19mil datos'!$B$1:$AF$1228,31,FALSE)</f>
        <v>1730.3</v>
      </c>
    </row>
    <row r="686" spans="1:41" hidden="1" x14ac:dyDescent="0.25">
      <c r="A686" s="16" t="s">
        <v>1922</v>
      </c>
      <c r="B686" s="15" t="s">
        <v>40</v>
      </c>
      <c r="C686" s="16">
        <v>1</v>
      </c>
      <c r="D686" s="16" t="s">
        <v>2612</v>
      </c>
      <c r="E686" s="17" t="s">
        <v>42</v>
      </c>
      <c r="F686" s="18" t="s">
        <v>913</v>
      </c>
      <c r="G686" s="18" t="s">
        <v>2613</v>
      </c>
      <c r="H686" s="16" t="s">
        <v>317</v>
      </c>
      <c r="I686" s="19" t="s">
        <v>3</v>
      </c>
      <c r="J686" s="16" t="s">
        <v>12</v>
      </c>
      <c r="K686" s="20" t="s">
        <v>2101</v>
      </c>
      <c r="L686" s="20" t="s">
        <v>2102</v>
      </c>
      <c r="M686" s="16" t="s">
        <v>105</v>
      </c>
      <c r="N686" s="16">
        <v>0</v>
      </c>
      <c r="O686" s="16" t="s">
        <v>50</v>
      </c>
      <c r="P686" s="20">
        <v>28</v>
      </c>
      <c r="Q686" s="20" t="s">
        <v>119</v>
      </c>
      <c r="R686" s="21" t="s">
        <v>87</v>
      </c>
      <c r="S686" s="22" t="s">
        <v>53</v>
      </c>
      <c r="T686" s="22" t="s">
        <v>54</v>
      </c>
      <c r="U686" s="23" t="s">
        <v>120</v>
      </c>
      <c r="V686" s="24">
        <v>0.6</v>
      </c>
      <c r="W686" s="25">
        <v>429.00000000000006</v>
      </c>
      <c r="X686" s="26">
        <v>1</v>
      </c>
      <c r="Y686" s="27">
        <v>0.7</v>
      </c>
      <c r="Z686" s="23">
        <v>5</v>
      </c>
      <c r="AA686" s="28">
        <v>0.13999999999999999</v>
      </c>
      <c r="AB686" s="24">
        <v>0</v>
      </c>
      <c r="AC686" s="29">
        <v>0</v>
      </c>
      <c r="AD686" s="30">
        <v>43579</v>
      </c>
      <c r="AE686" s="30">
        <v>43579</v>
      </c>
      <c r="AF686" s="23">
        <v>0</v>
      </c>
      <c r="AG686" s="25" t="s">
        <v>56</v>
      </c>
      <c r="AH686" s="24">
        <v>0</v>
      </c>
      <c r="AI686" s="31">
        <v>0</v>
      </c>
      <c r="AJ686" s="31">
        <v>0</v>
      </c>
      <c r="AK686" s="44">
        <f t="shared" si="20"/>
        <v>429.00000000000006</v>
      </c>
      <c r="AL686">
        <f>VLOOKUP(A686,'[1]prueba con 16mil datos'!$A$1:$AE$804,31,FALSE)</f>
        <v>1730.3</v>
      </c>
      <c r="AM686">
        <f t="shared" si="21"/>
        <v>0</v>
      </c>
      <c r="AO686">
        <f>VLOOKUP(A686,'[1]Prueba con 19mil datos'!$B$1:$AF$1228,31,FALSE)</f>
        <v>1730.3</v>
      </c>
    </row>
    <row r="687" spans="1:41" hidden="1" x14ac:dyDescent="0.25">
      <c r="A687" s="16" t="s">
        <v>1426</v>
      </c>
      <c r="B687" s="15" t="s">
        <v>40</v>
      </c>
      <c r="C687" s="16">
        <v>1</v>
      </c>
      <c r="D687" s="16" t="s">
        <v>2779</v>
      </c>
      <c r="E687" s="17" t="s">
        <v>42</v>
      </c>
      <c r="F687" s="18" t="s">
        <v>180</v>
      </c>
      <c r="G687" s="18" t="s">
        <v>2780</v>
      </c>
      <c r="H687" s="16" t="s">
        <v>73</v>
      </c>
      <c r="I687" s="19" t="s">
        <v>3</v>
      </c>
      <c r="J687" s="16" t="s">
        <v>12</v>
      </c>
      <c r="K687" s="20" t="s">
        <v>198</v>
      </c>
      <c r="L687" s="20" t="s">
        <v>670</v>
      </c>
      <c r="M687" s="16" t="s">
        <v>76</v>
      </c>
      <c r="N687" s="16">
        <v>0</v>
      </c>
      <c r="O687" s="16" t="s">
        <v>50</v>
      </c>
      <c r="P687" s="20">
        <v>43</v>
      </c>
      <c r="Q687" s="20" t="s">
        <v>86</v>
      </c>
      <c r="R687" s="21" t="s">
        <v>186</v>
      </c>
      <c r="S687" s="22" t="s">
        <v>187</v>
      </c>
      <c r="T687" s="22" t="s">
        <v>54</v>
      </c>
      <c r="U687" s="23" t="s">
        <v>188</v>
      </c>
      <c r="V687" s="24">
        <v>1.1000000000000001</v>
      </c>
      <c r="W687" s="25">
        <v>1730.3000000000004</v>
      </c>
      <c r="X687" s="26">
        <v>1</v>
      </c>
      <c r="Y687" s="27">
        <v>1.5</v>
      </c>
      <c r="Z687" s="23">
        <v>4</v>
      </c>
      <c r="AA687" s="28">
        <v>0.375</v>
      </c>
      <c r="AB687" s="24">
        <v>0</v>
      </c>
      <c r="AC687" s="29">
        <v>0</v>
      </c>
      <c r="AD687" s="30">
        <v>43579</v>
      </c>
      <c r="AE687" s="30">
        <v>43580</v>
      </c>
      <c r="AF687" s="23">
        <v>1</v>
      </c>
      <c r="AG687" s="25" t="s">
        <v>56</v>
      </c>
      <c r="AH687" s="24">
        <v>0</v>
      </c>
      <c r="AI687" s="31">
        <v>0</v>
      </c>
      <c r="AJ687" s="31">
        <v>0</v>
      </c>
      <c r="AK687" s="44">
        <f t="shared" si="20"/>
        <v>1730.3000000000004</v>
      </c>
      <c r="AL687">
        <f>VLOOKUP(A687,'[1]prueba con 16mil datos'!$A$1:$AE$804,31,FALSE)</f>
        <v>1730.3</v>
      </c>
      <c r="AM687">
        <f t="shared" si="21"/>
        <v>1</v>
      </c>
      <c r="AO687">
        <f>VLOOKUP(A687,'[1]Prueba con 19mil datos'!$B$1:$AF$1228,31,FALSE)</f>
        <v>1651.65</v>
      </c>
    </row>
    <row r="688" spans="1:41" hidden="1" x14ac:dyDescent="0.25">
      <c r="A688" s="16" t="s">
        <v>1272</v>
      </c>
      <c r="B688" s="15" t="s">
        <v>40</v>
      </c>
      <c r="C688" s="16">
        <v>1</v>
      </c>
      <c r="D688" s="16" t="s">
        <v>2709</v>
      </c>
      <c r="E688" s="17" t="s">
        <v>42</v>
      </c>
      <c r="F688" s="18" t="s">
        <v>122</v>
      </c>
      <c r="G688" s="18" t="s">
        <v>2710</v>
      </c>
      <c r="H688" s="16" t="s">
        <v>504</v>
      </c>
      <c r="I688" s="19" t="s">
        <v>3</v>
      </c>
      <c r="J688" s="16" t="s">
        <v>12</v>
      </c>
      <c r="K688" s="20" t="s">
        <v>126</v>
      </c>
      <c r="L688" s="20" t="s">
        <v>2352</v>
      </c>
      <c r="M688" s="16" t="s">
        <v>993</v>
      </c>
      <c r="N688" s="16">
        <v>0</v>
      </c>
      <c r="O688" s="16" t="s">
        <v>50</v>
      </c>
      <c r="P688" s="20">
        <v>49</v>
      </c>
      <c r="Q688" s="20" t="s">
        <v>86</v>
      </c>
      <c r="R688" s="21" t="s">
        <v>129</v>
      </c>
      <c r="S688" s="22" t="s">
        <v>130</v>
      </c>
      <c r="T688" s="22" t="s">
        <v>54</v>
      </c>
      <c r="U688" s="23" t="s">
        <v>178</v>
      </c>
      <c r="V688" s="24">
        <v>1.05</v>
      </c>
      <c r="W688" s="25">
        <v>1433.25</v>
      </c>
      <c r="X688" s="26">
        <v>1</v>
      </c>
      <c r="Y688" s="27">
        <v>3.18</v>
      </c>
      <c r="Z688" s="23">
        <v>5</v>
      </c>
      <c r="AA688" s="28">
        <v>0.63600000000000001</v>
      </c>
      <c r="AB688" s="24">
        <v>0</v>
      </c>
      <c r="AC688" s="29">
        <v>0</v>
      </c>
      <c r="AD688" s="30">
        <v>43579</v>
      </c>
      <c r="AE688" s="30">
        <v>43579</v>
      </c>
      <c r="AF688" s="23">
        <v>0</v>
      </c>
      <c r="AG688" s="25" t="s">
        <v>56</v>
      </c>
      <c r="AH688" s="24">
        <v>0</v>
      </c>
      <c r="AI688" s="31">
        <v>0</v>
      </c>
      <c r="AJ688" s="31">
        <v>0</v>
      </c>
      <c r="AK688" s="44">
        <f t="shared" si="20"/>
        <v>1433.25</v>
      </c>
      <c r="AL688">
        <f>VLOOKUP(A688,'[1]prueba con 16mil datos'!$A$1:$AE$804,31,FALSE)</f>
        <v>1651.65</v>
      </c>
      <c r="AM688">
        <f t="shared" si="21"/>
        <v>0</v>
      </c>
      <c r="AO688">
        <f>VLOOKUP(A688,'[1]Prueba con 19mil datos'!$B$1:$AF$1228,31,FALSE)</f>
        <v>1651.65</v>
      </c>
    </row>
    <row r="689" spans="1:41" hidden="1" x14ac:dyDescent="0.25">
      <c r="A689" s="16" t="s">
        <v>2699</v>
      </c>
      <c r="B689" s="15" t="s">
        <v>40</v>
      </c>
      <c r="C689" s="16">
        <v>1</v>
      </c>
      <c r="D689" s="16" t="s">
        <v>2650</v>
      </c>
      <c r="E689" s="17" t="s">
        <v>42</v>
      </c>
      <c r="F689" s="18" t="s">
        <v>561</v>
      </c>
      <c r="G689" s="18" t="s">
        <v>2651</v>
      </c>
      <c r="H689" s="16" t="s">
        <v>82</v>
      </c>
      <c r="I689" s="19" t="s">
        <v>3</v>
      </c>
      <c r="J689" s="16" t="s">
        <v>12</v>
      </c>
      <c r="K689" s="20" t="s">
        <v>564</v>
      </c>
      <c r="L689" s="20" t="s">
        <v>565</v>
      </c>
      <c r="M689" s="16" t="s">
        <v>566</v>
      </c>
      <c r="N689" s="16">
        <v>0</v>
      </c>
      <c r="O689" s="16" t="s">
        <v>50</v>
      </c>
      <c r="P689" s="20">
        <v>21</v>
      </c>
      <c r="Q689" s="20" t="s">
        <v>119</v>
      </c>
      <c r="R689" s="21" t="s">
        <v>129</v>
      </c>
      <c r="S689" s="22" t="s">
        <v>130</v>
      </c>
      <c r="T689" s="22" t="s">
        <v>54</v>
      </c>
      <c r="U689" s="23" t="s">
        <v>164</v>
      </c>
      <c r="V689" s="24">
        <v>0.8</v>
      </c>
      <c r="W689" s="25">
        <v>1092</v>
      </c>
      <c r="X689" s="26">
        <v>1</v>
      </c>
      <c r="Y689" s="27">
        <v>1.41</v>
      </c>
      <c r="Z689" s="23">
        <v>5</v>
      </c>
      <c r="AA689" s="28">
        <v>0.28199999999999997</v>
      </c>
      <c r="AB689" s="24">
        <v>0</v>
      </c>
      <c r="AC689" s="29">
        <v>0</v>
      </c>
      <c r="AD689" s="30">
        <v>43579</v>
      </c>
      <c r="AE689" s="30">
        <v>43579</v>
      </c>
      <c r="AF689" s="23">
        <v>0</v>
      </c>
      <c r="AG689" s="25" t="s">
        <v>56</v>
      </c>
      <c r="AH689" s="24">
        <v>0</v>
      </c>
      <c r="AI689" s="31">
        <v>0</v>
      </c>
      <c r="AJ689" s="31">
        <v>0</v>
      </c>
      <c r="AK689" s="44">
        <f t="shared" si="20"/>
        <v>1092</v>
      </c>
      <c r="AL689">
        <f>VLOOKUP(A689,'[1]prueba con 16mil datos'!$A$1:$AE$804,31,FALSE)</f>
        <v>1808.95</v>
      </c>
      <c r="AM689">
        <f t="shared" si="21"/>
        <v>0</v>
      </c>
      <c r="AO689">
        <f>VLOOKUP(A689,'[1]Prueba con 19mil datos'!$B$1:$AF$1228,31,FALSE)</f>
        <v>1808.95</v>
      </c>
    </row>
    <row r="690" spans="1:41" hidden="1" x14ac:dyDescent="0.25">
      <c r="A690" s="16" t="s">
        <v>752</v>
      </c>
      <c r="B690" s="15" t="s">
        <v>40</v>
      </c>
      <c r="C690" s="16">
        <v>1</v>
      </c>
      <c r="D690" s="16" t="s">
        <v>2886</v>
      </c>
      <c r="E690" s="17" t="s">
        <v>42</v>
      </c>
      <c r="F690" s="18" t="s">
        <v>122</v>
      </c>
      <c r="G690" s="18" t="s">
        <v>2887</v>
      </c>
      <c r="H690" s="16" t="s">
        <v>2161</v>
      </c>
      <c r="I690" s="19" t="s">
        <v>3</v>
      </c>
      <c r="J690" s="16" t="s">
        <v>12</v>
      </c>
      <c r="K690" s="20" t="s">
        <v>126</v>
      </c>
      <c r="L690" s="20" t="s">
        <v>176</v>
      </c>
      <c r="M690" s="16" t="s">
        <v>177</v>
      </c>
      <c r="N690" s="16">
        <v>0</v>
      </c>
      <c r="O690" s="16" t="s">
        <v>50</v>
      </c>
      <c r="P690" s="20">
        <v>25</v>
      </c>
      <c r="Q690" s="20" t="s">
        <v>119</v>
      </c>
      <c r="R690" s="21" t="s">
        <v>129</v>
      </c>
      <c r="S690" s="22" t="s">
        <v>130</v>
      </c>
      <c r="T690" s="22" t="s">
        <v>54</v>
      </c>
      <c r="U690" s="23" t="s">
        <v>164</v>
      </c>
      <c r="V690" s="24">
        <v>0.8</v>
      </c>
      <c r="W690" s="25">
        <v>1092</v>
      </c>
      <c r="X690" s="26">
        <v>1</v>
      </c>
      <c r="Y690" s="27">
        <v>0.98</v>
      </c>
      <c r="Z690" s="23">
        <v>5</v>
      </c>
      <c r="AA690" s="28">
        <v>0.19600000000000001</v>
      </c>
      <c r="AB690" s="24">
        <v>0</v>
      </c>
      <c r="AC690" s="29">
        <v>0</v>
      </c>
      <c r="AD690" s="30">
        <v>43579</v>
      </c>
      <c r="AE690" s="30">
        <v>43581</v>
      </c>
      <c r="AF690" s="23">
        <v>2</v>
      </c>
      <c r="AG690" s="25" t="s">
        <v>202</v>
      </c>
      <c r="AH690" s="24">
        <v>0.25</v>
      </c>
      <c r="AI690" s="31">
        <v>-341.25</v>
      </c>
      <c r="AJ690" s="31">
        <v>0</v>
      </c>
      <c r="AK690" s="44">
        <f t="shared" si="20"/>
        <v>1092</v>
      </c>
      <c r="AL690">
        <f>VLOOKUP(A690,'[1]prueba con 16mil datos'!$A$1:$AE$804,31,FALSE)</f>
        <v>1808.95</v>
      </c>
      <c r="AM690">
        <f t="shared" si="21"/>
        <v>0</v>
      </c>
      <c r="AO690">
        <f>VLOOKUP(A690,'[1]Prueba con 19mil datos'!$B$1:$AF$1228,31,FALSE)</f>
        <v>1808.95</v>
      </c>
    </row>
    <row r="691" spans="1:41" hidden="1" x14ac:dyDescent="0.25">
      <c r="A691" s="16" t="s">
        <v>273</v>
      </c>
      <c r="B691" s="15" t="s">
        <v>40</v>
      </c>
      <c r="C691" s="16">
        <v>1</v>
      </c>
      <c r="D691" s="16" t="s">
        <v>2725</v>
      </c>
      <c r="E691" s="17" t="s">
        <v>42</v>
      </c>
      <c r="F691" s="18" t="s">
        <v>1681</v>
      </c>
      <c r="G691" s="18" t="s">
        <v>2726</v>
      </c>
      <c r="H691" s="16" t="s">
        <v>236</v>
      </c>
      <c r="I691" s="19" t="s">
        <v>3</v>
      </c>
      <c r="J691" s="16" t="s">
        <v>12</v>
      </c>
      <c r="K691" s="20" t="s">
        <v>1432</v>
      </c>
      <c r="L691" s="20" t="s">
        <v>2300</v>
      </c>
      <c r="M691" s="16" t="s">
        <v>105</v>
      </c>
      <c r="N691" s="16">
        <v>0</v>
      </c>
      <c r="O691" s="16" t="s">
        <v>50</v>
      </c>
      <c r="P691" s="20">
        <v>155</v>
      </c>
      <c r="Q691" s="20" t="s">
        <v>51</v>
      </c>
      <c r="R691" s="21" t="s">
        <v>225</v>
      </c>
      <c r="S691" s="22" t="s">
        <v>130</v>
      </c>
      <c r="T691" s="22" t="s">
        <v>54</v>
      </c>
      <c r="U691" s="23" t="s">
        <v>226</v>
      </c>
      <c r="V691" s="24">
        <v>1.1000000000000001</v>
      </c>
      <c r="W691" s="25">
        <v>1501.5000000000002</v>
      </c>
      <c r="X691" s="26">
        <v>1</v>
      </c>
      <c r="Y691" s="27">
        <v>0.13</v>
      </c>
      <c r="Z691" s="23">
        <v>5</v>
      </c>
      <c r="AA691" s="28">
        <v>2.6000000000000002E-2</v>
      </c>
      <c r="AB691" s="24">
        <v>0</v>
      </c>
      <c r="AC691" s="29">
        <v>0</v>
      </c>
      <c r="AD691" s="30">
        <v>43579</v>
      </c>
      <c r="AE691" s="30">
        <v>43579</v>
      </c>
      <c r="AF691" s="23">
        <v>0</v>
      </c>
      <c r="AG691" s="25" t="s">
        <v>56</v>
      </c>
      <c r="AH691" s="24">
        <v>0</v>
      </c>
      <c r="AI691" s="31">
        <v>0</v>
      </c>
      <c r="AJ691" s="31">
        <v>0</v>
      </c>
      <c r="AK691" s="44">
        <f t="shared" si="20"/>
        <v>1501.5000000000002</v>
      </c>
      <c r="AL691">
        <f>VLOOKUP(A691,'[1]prueba con 16mil datos'!$A$1:$AE$804,31,FALSE)</f>
        <v>1258.4000000000001</v>
      </c>
      <c r="AM691">
        <f t="shared" si="21"/>
        <v>0</v>
      </c>
      <c r="AO691">
        <f>VLOOKUP(A691,'[1]Prueba con 19mil datos'!$B$1:$AF$1228,31,FALSE)</f>
        <v>1258.4000000000001</v>
      </c>
    </row>
    <row r="692" spans="1:41" hidden="1" x14ac:dyDescent="0.25">
      <c r="A692" s="16" t="s">
        <v>2644</v>
      </c>
      <c r="B692" s="15" t="s">
        <v>40</v>
      </c>
      <c r="C692" s="16">
        <v>1</v>
      </c>
      <c r="D692" s="16" t="s">
        <v>3114</v>
      </c>
      <c r="E692" s="17" t="s">
        <v>42</v>
      </c>
      <c r="F692" s="18" t="s">
        <v>305</v>
      </c>
      <c r="G692" s="18" t="s">
        <v>3115</v>
      </c>
      <c r="H692" s="16" t="s">
        <v>317</v>
      </c>
      <c r="I692" s="19" t="s">
        <v>3</v>
      </c>
      <c r="J692" s="16" t="s">
        <v>12</v>
      </c>
      <c r="K692" s="20" t="s">
        <v>83</v>
      </c>
      <c r="L692" s="20" t="s">
        <v>1917</v>
      </c>
      <c r="M692" s="16" t="s">
        <v>105</v>
      </c>
      <c r="N692" s="16">
        <v>0</v>
      </c>
      <c r="O692" s="16" t="s">
        <v>50</v>
      </c>
      <c r="P692" s="20">
        <v>10</v>
      </c>
      <c r="Q692" s="20" t="s">
        <v>65</v>
      </c>
      <c r="R692" s="21" t="s">
        <v>148</v>
      </c>
      <c r="S692" s="22" t="s">
        <v>130</v>
      </c>
      <c r="T692" s="22" t="s">
        <v>54</v>
      </c>
      <c r="U692" s="23" t="s">
        <v>131</v>
      </c>
      <c r="V692" s="24">
        <v>0.6</v>
      </c>
      <c r="W692" s="25">
        <v>819</v>
      </c>
      <c r="X692" s="26">
        <v>1</v>
      </c>
      <c r="Y692" s="27">
        <v>1.53</v>
      </c>
      <c r="Z692" s="23">
        <v>5</v>
      </c>
      <c r="AA692" s="28">
        <v>0.30599999999999999</v>
      </c>
      <c r="AB692" s="24">
        <v>0</v>
      </c>
      <c r="AC692" s="29">
        <v>0</v>
      </c>
      <c r="AD692" s="30">
        <v>43579</v>
      </c>
      <c r="AE692" s="30">
        <v>43585</v>
      </c>
      <c r="AF692" s="23">
        <v>4</v>
      </c>
      <c r="AG692" s="25" t="s">
        <v>1999</v>
      </c>
      <c r="AH692" s="24">
        <v>0.5</v>
      </c>
      <c r="AI692" s="31">
        <v>-682.5</v>
      </c>
      <c r="AJ692" s="31">
        <v>0</v>
      </c>
      <c r="AK692" s="44">
        <f t="shared" si="20"/>
        <v>819</v>
      </c>
      <c r="AL692">
        <f>VLOOKUP(A692,'[1]prueba con 16mil datos'!$A$1:$AE$804,31,FALSE)</f>
        <v>1651.65</v>
      </c>
      <c r="AM692">
        <f t="shared" si="21"/>
        <v>0</v>
      </c>
      <c r="AO692">
        <f>VLOOKUP(A692,'[1]Prueba con 19mil datos'!$B$1:$AF$1228,31,FALSE)</f>
        <v>1651.65</v>
      </c>
    </row>
    <row r="693" spans="1:41" hidden="1" x14ac:dyDescent="0.25">
      <c r="A693" s="16" t="s">
        <v>1457</v>
      </c>
      <c r="B693" s="15" t="s">
        <v>40</v>
      </c>
      <c r="C693" s="16">
        <v>1</v>
      </c>
      <c r="D693" s="16" t="s">
        <v>2684</v>
      </c>
      <c r="E693" s="17" t="s">
        <v>2685</v>
      </c>
      <c r="F693" s="18" t="s">
        <v>290</v>
      </c>
      <c r="G693" s="18" t="s">
        <v>2686</v>
      </c>
      <c r="H693" s="16" t="s">
        <v>2561</v>
      </c>
      <c r="I693" s="19" t="s">
        <v>3</v>
      </c>
      <c r="J693" s="16" t="s">
        <v>12</v>
      </c>
      <c r="K693" s="20" t="s">
        <v>405</v>
      </c>
      <c r="L693" s="20" t="s">
        <v>1357</v>
      </c>
      <c r="M693" s="16" t="s">
        <v>1358</v>
      </c>
      <c r="N693" s="16">
        <v>0</v>
      </c>
      <c r="O693" s="16" t="s">
        <v>50</v>
      </c>
      <c r="P693" s="20" t="s">
        <v>326</v>
      </c>
      <c r="Q693" s="20" t="s">
        <v>51</v>
      </c>
      <c r="R693" s="21" t="s">
        <v>129</v>
      </c>
      <c r="S693" s="22" t="s">
        <v>130</v>
      </c>
      <c r="T693" s="22" t="s">
        <v>157</v>
      </c>
      <c r="U693" s="23" t="s">
        <v>226</v>
      </c>
      <c r="V693" s="24">
        <v>1</v>
      </c>
      <c r="W693" s="25">
        <v>1365</v>
      </c>
      <c r="X693" s="26">
        <v>0</v>
      </c>
      <c r="Y693" s="27">
        <v>9</v>
      </c>
      <c r="Z693" s="23">
        <v>9</v>
      </c>
      <c r="AA693" s="28">
        <v>1</v>
      </c>
      <c r="AB693" s="24">
        <v>0</v>
      </c>
      <c r="AC693" s="29">
        <v>0</v>
      </c>
      <c r="AD693" s="30">
        <v>43579</v>
      </c>
      <c r="AE693" s="30">
        <v>43579</v>
      </c>
      <c r="AF693" s="23">
        <v>0</v>
      </c>
      <c r="AG693" s="25" t="s">
        <v>56</v>
      </c>
      <c r="AH693" s="24">
        <v>0</v>
      </c>
      <c r="AI693" s="31">
        <v>0</v>
      </c>
      <c r="AJ693" s="31">
        <v>0</v>
      </c>
      <c r="AK693" s="44">
        <f t="shared" si="20"/>
        <v>1365</v>
      </c>
      <c r="AL693">
        <f>VLOOKUP(A693,'[1]prueba con 16mil datos'!$A$1:$AE$804,31,FALSE)</f>
        <v>1258.4000000000001</v>
      </c>
      <c r="AM693">
        <f t="shared" si="21"/>
        <v>0</v>
      </c>
      <c r="AO693">
        <f>VLOOKUP(A693,'[1]Prueba con 19mil datos'!$B$1:$AF$1228,31,FALSE)</f>
        <v>1258.4000000000001</v>
      </c>
    </row>
    <row r="694" spans="1:41" hidden="1" x14ac:dyDescent="0.25">
      <c r="A694" s="16" t="s">
        <v>1457</v>
      </c>
      <c r="B694" s="15" t="s">
        <v>40</v>
      </c>
      <c r="C694" s="16">
        <v>1</v>
      </c>
      <c r="D694" s="16" t="s">
        <v>2639</v>
      </c>
      <c r="E694" s="17" t="s">
        <v>42</v>
      </c>
      <c r="F694" s="18" t="s">
        <v>305</v>
      </c>
      <c r="G694" s="18" t="s">
        <v>2640</v>
      </c>
      <c r="H694" s="16" t="s">
        <v>82</v>
      </c>
      <c r="I694" s="19" t="s">
        <v>3</v>
      </c>
      <c r="J694" s="16" t="s">
        <v>12</v>
      </c>
      <c r="K694" s="20" t="s">
        <v>83</v>
      </c>
      <c r="L694" s="20" t="s">
        <v>84</v>
      </c>
      <c r="M694" s="16" t="s">
        <v>85</v>
      </c>
      <c r="N694" s="16">
        <v>0</v>
      </c>
      <c r="O694" s="16" t="s">
        <v>50</v>
      </c>
      <c r="P694" s="20">
        <v>29</v>
      </c>
      <c r="Q694" s="20" t="s">
        <v>119</v>
      </c>
      <c r="R694" s="21" t="s">
        <v>148</v>
      </c>
      <c r="S694" s="22" t="s">
        <v>130</v>
      </c>
      <c r="T694" s="22" t="s">
        <v>54</v>
      </c>
      <c r="U694" s="23" t="s">
        <v>164</v>
      </c>
      <c r="V694" s="24">
        <v>0.8</v>
      </c>
      <c r="W694" s="25">
        <v>1092</v>
      </c>
      <c r="X694" s="26">
        <v>1</v>
      </c>
      <c r="Y694" s="27">
        <v>0.3</v>
      </c>
      <c r="Z694" s="23">
        <v>5</v>
      </c>
      <c r="AA694" s="28">
        <v>0.06</v>
      </c>
      <c r="AB694" s="24">
        <v>0</v>
      </c>
      <c r="AC694" s="29">
        <v>0</v>
      </c>
      <c r="AD694" s="30">
        <v>43579</v>
      </c>
      <c r="AE694" s="30">
        <v>43579</v>
      </c>
      <c r="AF694" s="23">
        <v>0</v>
      </c>
      <c r="AG694" s="25" t="s">
        <v>56</v>
      </c>
      <c r="AH694" s="24">
        <v>0</v>
      </c>
      <c r="AI694" s="31">
        <v>0</v>
      </c>
      <c r="AJ694" s="31">
        <v>0</v>
      </c>
      <c r="AK694" s="44">
        <f t="shared" si="20"/>
        <v>1092</v>
      </c>
      <c r="AL694">
        <f>VLOOKUP(A694,'[1]prueba con 16mil datos'!$A$1:$AE$804,31,FALSE)</f>
        <v>1258.4000000000001</v>
      </c>
      <c r="AM694">
        <f t="shared" si="21"/>
        <v>0</v>
      </c>
      <c r="AO694">
        <f>VLOOKUP(A694,'[1]Prueba con 19mil datos'!$B$1:$AF$1228,31,FALSE)</f>
        <v>1258.4000000000001</v>
      </c>
    </row>
    <row r="695" spans="1:41" hidden="1" x14ac:dyDescent="0.25">
      <c r="A695" s="16" t="s">
        <v>2520</v>
      </c>
      <c r="B695" s="15" t="s">
        <v>40</v>
      </c>
      <c r="C695" s="16">
        <v>1</v>
      </c>
      <c r="D695" s="16" t="s">
        <v>2618</v>
      </c>
      <c r="E695" s="17" t="s">
        <v>1522</v>
      </c>
      <c r="F695" s="18" t="s">
        <v>759</v>
      </c>
      <c r="G695" s="18" t="s">
        <v>2619</v>
      </c>
      <c r="H695" s="16" t="s">
        <v>377</v>
      </c>
      <c r="I695" s="19" t="s">
        <v>3</v>
      </c>
      <c r="J695" s="16" t="s">
        <v>12</v>
      </c>
      <c r="K695" s="20" t="s">
        <v>378</v>
      </c>
      <c r="L695" s="20" t="s">
        <v>577</v>
      </c>
      <c r="M695" s="16" t="s">
        <v>128</v>
      </c>
      <c r="N695" s="16">
        <v>0</v>
      </c>
      <c r="O695" s="16" t="s">
        <v>50</v>
      </c>
      <c r="P695" s="20" t="s">
        <v>326</v>
      </c>
      <c r="Q695" s="20" t="s">
        <v>51</v>
      </c>
      <c r="R695" s="21" t="s">
        <v>87</v>
      </c>
      <c r="S695" s="22" t="s">
        <v>53</v>
      </c>
      <c r="T695" s="22" t="s">
        <v>54</v>
      </c>
      <c r="U695" s="23" t="s">
        <v>55</v>
      </c>
      <c r="V695" s="24">
        <v>1</v>
      </c>
      <c r="W695" s="25">
        <v>715.00000000000011</v>
      </c>
      <c r="X695" s="26">
        <v>0</v>
      </c>
      <c r="Y695" s="27">
        <v>5</v>
      </c>
      <c r="Z695" s="23">
        <v>5</v>
      </c>
      <c r="AA695" s="28">
        <v>1</v>
      </c>
      <c r="AB695" s="24">
        <v>0</v>
      </c>
      <c r="AC695" s="29">
        <v>0</v>
      </c>
      <c r="AD695" s="30">
        <v>43579</v>
      </c>
      <c r="AE695" s="30">
        <v>43579</v>
      </c>
      <c r="AF695" s="23">
        <v>0</v>
      </c>
      <c r="AG695" s="25" t="s">
        <v>56</v>
      </c>
      <c r="AH695" s="24">
        <v>0</v>
      </c>
      <c r="AI695" s="31">
        <v>0</v>
      </c>
      <c r="AJ695" s="31">
        <v>0</v>
      </c>
      <c r="AK695" s="44">
        <f t="shared" si="20"/>
        <v>715.00000000000011</v>
      </c>
      <c r="AL695">
        <f>VLOOKUP(A695,'[1]prueba con 16mil datos'!$A$1:$AE$804,31,FALSE)</f>
        <v>1808.95</v>
      </c>
      <c r="AM695">
        <f t="shared" si="21"/>
        <v>0</v>
      </c>
      <c r="AO695">
        <f>VLOOKUP(A695,'[1]Prueba con 19mil datos'!$B$1:$AF$1228,31,FALSE)</f>
        <v>1808.95</v>
      </c>
    </row>
    <row r="696" spans="1:41" hidden="1" x14ac:dyDescent="0.25">
      <c r="A696" s="16" t="s">
        <v>2696</v>
      </c>
      <c r="B696" s="15" t="s">
        <v>40</v>
      </c>
      <c r="C696" s="16">
        <v>1</v>
      </c>
      <c r="D696" s="16" t="s">
        <v>2765</v>
      </c>
      <c r="E696" s="17" t="s">
        <v>1522</v>
      </c>
      <c r="F696" s="18" t="s">
        <v>759</v>
      </c>
      <c r="G696" s="18" t="s">
        <v>2766</v>
      </c>
      <c r="H696" s="16" t="s">
        <v>264</v>
      </c>
      <c r="I696" s="19" t="s">
        <v>3</v>
      </c>
      <c r="J696" s="16" t="s">
        <v>12</v>
      </c>
      <c r="K696" s="20" t="s">
        <v>378</v>
      </c>
      <c r="L696" s="20" t="s">
        <v>711</v>
      </c>
      <c r="M696" s="16" t="s">
        <v>267</v>
      </c>
      <c r="N696" s="16">
        <v>0</v>
      </c>
      <c r="O696" s="16" t="s">
        <v>50</v>
      </c>
      <c r="P696" s="20" t="s">
        <v>326</v>
      </c>
      <c r="Q696" s="20" t="s">
        <v>51</v>
      </c>
      <c r="R696" s="21" t="s">
        <v>87</v>
      </c>
      <c r="S696" s="22" t="s">
        <v>53</v>
      </c>
      <c r="T696" s="22" t="s">
        <v>54</v>
      </c>
      <c r="U696" s="23" t="s">
        <v>55</v>
      </c>
      <c r="V696" s="24">
        <v>1</v>
      </c>
      <c r="W696" s="25">
        <v>715.00000000000011</v>
      </c>
      <c r="X696" s="26">
        <v>0</v>
      </c>
      <c r="Y696" s="27">
        <v>5</v>
      </c>
      <c r="Z696" s="23">
        <v>5</v>
      </c>
      <c r="AA696" s="28">
        <v>1</v>
      </c>
      <c r="AB696" s="24">
        <v>0</v>
      </c>
      <c r="AC696" s="29">
        <v>0</v>
      </c>
      <c r="AD696" s="30">
        <v>43579</v>
      </c>
      <c r="AE696" s="30">
        <v>43580</v>
      </c>
      <c r="AF696" s="23">
        <v>1</v>
      </c>
      <c r="AG696" s="25" t="s">
        <v>56</v>
      </c>
      <c r="AH696" s="24">
        <v>0</v>
      </c>
      <c r="AI696" s="31">
        <v>0</v>
      </c>
      <c r="AJ696" s="31">
        <v>0</v>
      </c>
      <c r="AK696" s="44">
        <f t="shared" si="20"/>
        <v>715.00000000000011</v>
      </c>
      <c r="AL696">
        <f>VLOOKUP(A696,'[1]prueba con 16mil datos'!$A$1:$AE$804,31,FALSE)</f>
        <v>1808.95</v>
      </c>
      <c r="AM696">
        <f t="shared" si="21"/>
        <v>0</v>
      </c>
      <c r="AO696">
        <f>VLOOKUP(A696,'[1]Prueba con 19mil datos'!$B$1:$AF$1228,31,FALSE)</f>
        <v>1808.95</v>
      </c>
    </row>
    <row r="697" spans="1:41" hidden="1" x14ac:dyDescent="0.25">
      <c r="A697" s="16" t="s">
        <v>2428</v>
      </c>
      <c r="B697" s="15" t="s">
        <v>40</v>
      </c>
      <c r="C697" s="16">
        <v>1</v>
      </c>
      <c r="D697" s="16" t="s">
        <v>2745</v>
      </c>
      <c r="E697" s="17" t="s">
        <v>42</v>
      </c>
      <c r="F697" s="18" t="s">
        <v>759</v>
      </c>
      <c r="G697" s="18" t="s">
        <v>2746</v>
      </c>
      <c r="H697" s="16" t="s">
        <v>264</v>
      </c>
      <c r="I697" s="19" t="s">
        <v>3</v>
      </c>
      <c r="J697" s="16" t="s">
        <v>12</v>
      </c>
      <c r="K697" s="20" t="s">
        <v>378</v>
      </c>
      <c r="L697" s="20" t="s">
        <v>711</v>
      </c>
      <c r="M697" s="16" t="s">
        <v>267</v>
      </c>
      <c r="N697" s="16">
        <v>0</v>
      </c>
      <c r="O697" s="16" t="s">
        <v>50</v>
      </c>
      <c r="P697" s="20">
        <v>440</v>
      </c>
      <c r="Q697" s="20" t="s">
        <v>51</v>
      </c>
      <c r="R697" s="21" t="s">
        <v>87</v>
      </c>
      <c r="S697" s="22" t="s">
        <v>53</v>
      </c>
      <c r="T697" s="22" t="s">
        <v>54</v>
      </c>
      <c r="U697" s="23" t="s">
        <v>55</v>
      </c>
      <c r="V697" s="24">
        <v>1.05</v>
      </c>
      <c r="W697" s="25">
        <v>750.75000000000011</v>
      </c>
      <c r="X697" s="26">
        <v>1</v>
      </c>
      <c r="Y697" s="27">
        <v>0</v>
      </c>
      <c r="Z697" s="23">
        <v>5</v>
      </c>
      <c r="AA697" s="28">
        <v>0</v>
      </c>
      <c r="AB697" s="24">
        <v>0</v>
      </c>
      <c r="AC697" s="29">
        <v>0</v>
      </c>
      <c r="AD697" s="30">
        <v>43579</v>
      </c>
      <c r="AE697" s="30">
        <v>43580</v>
      </c>
      <c r="AF697" s="23">
        <v>1</v>
      </c>
      <c r="AG697" s="25" t="s">
        <v>56</v>
      </c>
      <c r="AH697" s="24">
        <v>0</v>
      </c>
      <c r="AI697" s="31">
        <v>0</v>
      </c>
      <c r="AJ697" s="31">
        <v>0</v>
      </c>
      <c r="AK697" s="44">
        <f t="shared" si="20"/>
        <v>750.75000000000011</v>
      </c>
      <c r="AL697">
        <f>VLOOKUP(A697,'[1]prueba con 16mil datos'!$A$1:$AE$804,31,FALSE)</f>
        <v>1651.65</v>
      </c>
      <c r="AM697">
        <f t="shared" si="21"/>
        <v>0</v>
      </c>
      <c r="AO697">
        <f>VLOOKUP(A697,'[1]Prueba con 19mil datos'!$B$1:$AF$1228,31,FALSE)</f>
        <v>1651.65</v>
      </c>
    </row>
    <row r="698" spans="1:41" hidden="1" x14ac:dyDescent="0.25">
      <c r="A698" s="16" t="s">
        <v>1090</v>
      </c>
      <c r="B698" s="15" t="s">
        <v>40</v>
      </c>
      <c r="C698" s="16">
        <v>1</v>
      </c>
      <c r="D698" s="16" t="s">
        <v>2697</v>
      </c>
      <c r="E698" s="17" t="s">
        <v>42</v>
      </c>
      <c r="F698" s="18" t="s">
        <v>271</v>
      </c>
      <c r="G698" s="18" t="s">
        <v>2698</v>
      </c>
      <c r="H698" s="16" t="s">
        <v>821</v>
      </c>
      <c r="I698" s="19" t="s">
        <v>3</v>
      </c>
      <c r="J698" s="16" t="s">
        <v>12</v>
      </c>
      <c r="K698" s="20" t="s">
        <v>126</v>
      </c>
      <c r="L698" s="20" t="s">
        <v>2700</v>
      </c>
      <c r="M698" s="16" t="s">
        <v>2701</v>
      </c>
      <c r="N698" s="16">
        <v>0</v>
      </c>
      <c r="O698" s="16" t="s">
        <v>50</v>
      </c>
      <c r="P698" s="20">
        <v>147</v>
      </c>
      <c r="Q698" s="20" t="s">
        <v>51</v>
      </c>
      <c r="R698" s="21" t="s">
        <v>186</v>
      </c>
      <c r="S698" s="22" t="s">
        <v>187</v>
      </c>
      <c r="T698" s="22" t="s">
        <v>54</v>
      </c>
      <c r="U698" s="23" t="s">
        <v>550</v>
      </c>
      <c r="V698" s="24">
        <v>1.1499999999999999</v>
      </c>
      <c r="W698" s="25">
        <v>1808.95</v>
      </c>
      <c r="X698" s="26">
        <v>1</v>
      </c>
      <c r="Y698" s="27">
        <v>4.2300000000000004</v>
      </c>
      <c r="Z698" s="23">
        <v>4</v>
      </c>
      <c r="AA698" s="28">
        <v>1.0575000000000001</v>
      </c>
      <c r="AB698" s="24">
        <v>1.4375000000000027E-2</v>
      </c>
      <c r="AC698" s="29">
        <v>-22.611875000000044</v>
      </c>
      <c r="AD698" s="30">
        <v>43579</v>
      </c>
      <c r="AE698" s="30">
        <v>43579</v>
      </c>
      <c r="AF698" s="23">
        <v>0</v>
      </c>
      <c r="AG698" s="25" t="s">
        <v>56</v>
      </c>
      <c r="AH698" s="24">
        <v>0</v>
      </c>
      <c r="AI698" s="31">
        <v>0</v>
      </c>
      <c r="AJ698" s="31">
        <v>0</v>
      </c>
      <c r="AK698" s="44">
        <f t="shared" si="20"/>
        <v>1786.338125</v>
      </c>
      <c r="AL698">
        <f>VLOOKUP(A698,'[1]prueba con 16mil datos'!$A$1:$AE$804,31,FALSE)</f>
        <v>1258.4000000000001</v>
      </c>
      <c r="AM698">
        <f t="shared" si="21"/>
        <v>0</v>
      </c>
      <c r="AO698">
        <f>VLOOKUP(A698,'[1]Prueba con 19mil datos'!$B$1:$AF$1228,31,FALSE)</f>
        <v>1258.4000000000001</v>
      </c>
    </row>
    <row r="699" spans="1:41" hidden="1" x14ac:dyDescent="0.25">
      <c r="A699" s="16" t="s">
        <v>1090</v>
      </c>
      <c r="B699" s="15" t="s">
        <v>40</v>
      </c>
      <c r="C699" s="16">
        <v>1</v>
      </c>
      <c r="D699" s="16" t="s">
        <v>2642</v>
      </c>
      <c r="E699" s="17" t="s">
        <v>42</v>
      </c>
      <c r="F699" s="18" t="s">
        <v>271</v>
      </c>
      <c r="G699" s="18" t="s">
        <v>2643</v>
      </c>
      <c r="H699" s="16" t="s">
        <v>213</v>
      </c>
      <c r="I699" s="19" t="s">
        <v>3</v>
      </c>
      <c r="J699" s="16" t="s">
        <v>12</v>
      </c>
      <c r="K699" s="20" t="s">
        <v>126</v>
      </c>
      <c r="L699" s="20" t="s">
        <v>2645</v>
      </c>
      <c r="M699" s="16" t="s">
        <v>479</v>
      </c>
      <c r="N699" s="16">
        <v>0</v>
      </c>
      <c r="O699" s="16" t="s">
        <v>50</v>
      </c>
      <c r="P699" s="20">
        <v>28</v>
      </c>
      <c r="Q699" s="20" t="s">
        <v>119</v>
      </c>
      <c r="R699" s="21" t="s">
        <v>186</v>
      </c>
      <c r="S699" s="22" t="s">
        <v>187</v>
      </c>
      <c r="T699" s="22" t="s">
        <v>54</v>
      </c>
      <c r="U699" s="23" t="s">
        <v>269</v>
      </c>
      <c r="V699" s="24">
        <v>1.05</v>
      </c>
      <c r="W699" s="25">
        <v>1651.6500000000003</v>
      </c>
      <c r="X699" s="26">
        <v>1</v>
      </c>
      <c r="Y699" s="27">
        <v>2.82</v>
      </c>
      <c r="Z699" s="23">
        <v>4</v>
      </c>
      <c r="AA699" s="28">
        <v>0.70499999999999996</v>
      </c>
      <c r="AB699" s="24">
        <v>0</v>
      </c>
      <c r="AC699" s="29">
        <v>0</v>
      </c>
      <c r="AD699" s="30">
        <v>43579</v>
      </c>
      <c r="AE699" s="30">
        <v>43579</v>
      </c>
      <c r="AF699" s="23">
        <v>0</v>
      </c>
      <c r="AG699" s="25" t="s">
        <v>56</v>
      </c>
      <c r="AH699" s="24">
        <v>0</v>
      </c>
      <c r="AI699" s="31">
        <v>0</v>
      </c>
      <c r="AJ699" s="31">
        <v>0</v>
      </c>
      <c r="AK699" s="44">
        <f t="shared" si="20"/>
        <v>1651.6500000000003</v>
      </c>
      <c r="AL699">
        <f>VLOOKUP(A699,'[1]prueba con 16mil datos'!$A$1:$AE$804,31,FALSE)</f>
        <v>1258.4000000000001</v>
      </c>
      <c r="AM699">
        <f t="shared" si="21"/>
        <v>0</v>
      </c>
      <c r="AO699">
        <f>VLOOKUP(A699,'[1]Prueba con 19mil datos'!$B$1:$AF$1228,31,FALSE)</f>
        <v>1258.4000000000001</v>
      </c>
    </row>
    <row r="700" spans="1:41" hidden="1" x14ac:dyDescent="0.25">
      <c r="A700" s="16" t="s">
        <v>698</v>
      </c>
      <c r="B700" s="15" t="s">
        <v>40</v>
      </c>
      <c r="C700" s="16">
        <v>1</v>
      </c>
      <c r="D700" s="16" t="s">
        <v>2694</v>
      </c>
      <c r="E700" s="17" t="s">
        <v>42</v>
      </c>
      <c r="F700" s="18" t="s">
        <v>1088</v>
      </c>
      <c r="G700" s="18" t="s">
        <v>2695</v>
      </c>
      <c r="H700" s="16" t="s">
        <v>693</v>
      </c>
      <c r="I700" s="19" t="s">
        <v>3</v>
      </c>
      <c r="J700" s="16" t="s">
        <v>12</v>
      </c>
      <c r="K700" s="20" t="s">
        <v>198</v>
      </c>
      <c r="L700" s="20" t="s">
        <v>1792</v>
      </c>
      <c r="M700" s="16" t="s">
        <v>1793</v>
      </c>
      <c r="N700" s="16">
        <v>0</v>
      </c>
      <c r="O700" s="16" t="s">
        <v>50</v>
      </c>
      <c r="P700" s="20">
        <v>40</v>
      </c>
      <c r="Q700" s="20" t="s">
        <v>86</v>
      </c>
      <c r="R700" s="21" t="s">
        <v>186</v>
      </c>
      <c r="S700" s="22" t="s">
        <v>187</v>
      </c>
      <c r="T700" s="22" t="s">
        <v>54</v>
      </c>
      <c r="U700" s="23" t="s">
        <v>188</v>
      </c>
      <c r="V700" s="24">
        <v>1.1000000000000001</v>
      </c>
      <c r="W700" s="25">
        <v>1730.3000000000004</v>
      </c>
      <c r="X700" s="26">
        <v>1</v>
      </c>
      <c r="Y700" s="27">
        <v>3.03</v>
      </c>
      <c r="Z700" s="23">
        <v>4</v>
      </c>
      <c r="AA700" s="28">
        <v>0.75749999999999995</v>
      </c>
      <c r="AB700" s="24">
        <v>0</v>
      </c>
      <c r="AC700" s="29">
        <v>0</v>
      </c>
      <c r="AD700" s="30">
        <v>43579</v>
      </c>
      <c r="AE700" s="30">
        <v>43579</v>
      </c>
      <c r="AF700" s="23">
        <v>0</v>
      </c>
      <c r="AG700" s="25" t="s">
        <v>56</v>
      </c>
      <c r="AH700" s="24">
        <v>0</v>
      </c>
      <c r="AI700" s="31">
        <v>0</v>
      </c>
      <c r="AJ700" s="31">
        <v>0</v>
      </c>
      <c r="AK700" s="44">
        <f t="shared" si="20"/>
        <v>1730.3000000000004</v>
      </c>
      <c r="AL700">
        <f>VLOOKUP(A700,'[1]prueba con 16mil datos'!$A$1:$AE$804,31,FALSE)</f>
        <v>1808.95</v>
      </c>
      <c r="AM700">
        <f t="shared" si="21"/>
        <v>0</v>
      </c>
      <c r="AO700">
        <f>VLOOKUP(A700,'[1]Prueba con 19mil datos'!$B$1:$AF$1228,31,FALSE)</f>
        <v>1808.95</v>
      </c>
    </row>
    <row r="701" spans="1:41" hidden="1" x14ac:dyDescent="0.25">
      <c r="A701" s="16" t="s">
        <v>2848</v>
      </c>
      <c r="B701" s="15" t="s">
        <v>40</v>
      </c>
      <c r="C701" s="16">
        <v>1</v>
      </c>
      <c r="D701" s="16" t="s">
        <v>2721</v>
      </c>
      <c r="E701" s="17" t="s">
        <v>42</v>
      </c>
      <c r="F701" s="18" t="s">
        <v>140</v>
      </c>
      <c r="G701" s="18" t="s">
        <v>2722</v>
      </c>
      <c r="H701" s="16" t="s">
        <v>301</v>
      </c>
      <c r="I701" s="19" t="s">
        <v>3</v>
      </c>
      <c r="J701" s="16" t="s">
        <v>12</v>
      </c>
      <c r="K701" s="20" t="s">
        <v>308</v>
      </c>
      <c r="L701" s="20" t="s">
        <v>2724</v>
      </c>
      <c r="M701" s="16" t="s">
        <v>49</v>
      </c>
      <c r="N701" s="16">
        <v>0</v>
      </c>
      <c r="O701" s="16" t="s">
        <v>50</v>
      </c>
      <c r="P701" s="20">
        <v>38</v>
      </c>
      <c r="Q701" s="20" t="s">
        <v>86</v>
      </c>
      <c r="R701" s="21" t="s">
        <v>148</v>
      </c>
      <c r="S701" s="22" t="s">
        <v>130</v>
      </c>
      <c r="T701" s="22" t="s">
        <v>54</v>
      </c>
      <c r="U701" s="23" t="s">
        <v>178</v>
      </c>
      <c r="V701" s="24">
        <v>1.05</v>
      </c>
      <c r="W701" s="25">
        <v>1433.25</v>
      </c>
      <c r="X701" s="26">
        <v>1</v>
      </c>
      <c r="Y701" s="27">
        <v>1.1200000000000001</v>
      </c>
      <c r="Z701" s="23">
        <v>5</v>
      </c>
      <c r="AA701" s="28">
        <v>0.22400000000000003</v>
      </c>
      <c r="AB701" s="24">
        <v>0</v>
      </c>
      <c r="AC701" s="29">
        <v>0</v>
      </c>
      <c r="AD701" s="30">
        <v>43579</v>
      </c>
      <c r="AE701" s="30">
        <v>43579</v>
      </c>
      <c r="AF701" s="23">
        <v>0</v>
      </c>
      <c r="AG701" s="25" t="s">
        <v>56</v>
      </c>
      <c r="AH701" s="24">
        <v>0</v>
      </c>
      <c r="AI701" s="31">
        <v>0</v>
      </c>
      <c r="AJ701" s="31">
        <v>0</v>
      </c>
      <c r="AK701" s="44">
        <f t="shared" si="20"/>
        <v>1433.25</v>
      </c>
      <c r="AL701">
        <f>VLOOKUP(A701,'[1]prueba con 16mil datos'!$A$1:$AE$804,31,FALSE)</f>
        <v>1433.25</v>
      </c>
      <c r="AM701">
        <f t="shared" si="21"/>
        <v>1</v>
      </c>
      <c r="AO701">
        <f>VLOOKUP(A701,'[1]Prueba con 19mil datos'!$B$1:$AF$1228,31,FALSE)</f>
        <v>1433.25</v>
      </c>
    </row>
    <row r="702" spans="1:41" hidden="1" x14ac:dyDescent="0.25">
      <c r="A702" s="16" t="s">
        <v>1758</v>
      </c>
      <c r="B702" s="15" t="s">
        <v>40</v>
      </c>
      <c r="C702" s="16">
        <v>1</v>
      </c>
      <c r="D702" s="16" t="s">
        <v>2660</v>
      </c>
      <c r="E702" s="17" t="s">
        <v>2661</v>
      </c>
      <c r="F702" s="18" t="s">
        <v>2662</v>
      </c>
      <c r="G702" s="18" t="s">
        <v>2663</v>
      </c>
      <c r="H702" s="16" t="s">
        <v>109</v>
      </c>
      <c r="I702" s="19" t="s">
        <v>3</v>
      </c>
      <c r="J702" s="16" t="s">
        <v>12</v>
      </c>
      <c r="K702" s="20" t="s">
        <v>2665</v>
      </c>
      <c r="L702" s="20" t="s">
        <v>2666</v>
      </c>
      <c r="M702" s="16" t="s">
        <v>111</v>
      </c>
      <c r="N702" s="16">
        <v>0</v>
      </c>
      <c r="O702" s="16" t="s">
        <v>50</v>
      </c>
      <c r="P702" s="20" t="s">
        <v>326</v>
      </c>
      <c r="Q702" s="20" t="s">
        <v>51</v>
      </c>
      <c r="R702" s="21" t="s">
        <v>851</v>
      </c>
      <c r="S702" s="22" t="s">
        <v>53</v>
      </c>
      <c r="T702" s="22" t="s">
        <v>54</v>
      </c>
      <c r="U702" s="23" t="s">
        <v>55</v>
      </c>
      <c r="V702" s="24">
        <v>1</v>
      </c>
      <c r="W702" s="25">
        <v>715.00000000000011</v>
      </c>
      <c r="X702" s="26">
        <v>1</v>
      </c>
      <c r="Y702" s="27">
        <v>4.03</v>
      </c>
      <c r="Z702" s="23">
        <v>5</v>
      </c>
      <c r="AA702" s="28">
        <v>0.80600000000000005</v>
      </c>
      <c r="AB702" s="24">
        <v>0</v>
      </c>
      <c r="AC702" s="29">
        <v>0</v>
      </c>
      <c r="AD702" s="30">
        <v>43579</v>
      </c>
      <c r="AE702" s="30">
        <v>43579</v>
      </c>
      <c r="AF702" s="23">
        <v>0</v>
      </c>
      <c r="AG702" s="25" t="s">
        <v>56</v>
      </c>
      <c r="AH702" s="24">
        <v>0</v>
      </c>
      <c r="AI702" s="31">
        <v>0</v>
      </c>
      <c r="AJ702" s="31">
        <v>0</v>
      </c>
      <c r="AK702" s="44">
        <f t="shared" si="20"/>
        <v>715.00000000000011</v>
      </c>
      <c r="AL702">
        <f>VLOOKUP(A702,'[1]prueba con 16mil datos'!$A$1:$AE$804,31,FALSE)</f>
        <v>1501.5</v>
      </c>
      <c r="AM702">
        <f t="shared" si="21"/>
        <v>0</v>
      </c>
      <c r="AO702">
        <f>VLOOKUP(A702,'[1]Prueba con 19mil datos'!$B$1:$AF$1228,31,FALSE)</f>
        <v>1501.5</v>
      </c>
    </row>
    <row r="703" spans="1:41" hidden="1" x14ac:dyDescent="0.25">
      <c r="A703" s="16" t="s">
        <v>521</v>
      </c>
      <c r="B703" s="15" t="s">
        <v>40</v>
      </c>
      <c r="C703" s="16">
        <v>1</v>
      </c>
      <c r="D703" s="16" t="s">
        <v>2604</v>
      </c>
      <c r="E703" s="17" t="s">
        <v>42</v>
      </c>
      <c r="F703" s="18" t="s">
        <v>90</v>
      </c>
      <c r="G703" s="18" t="s">
        <v>2605</v>
      </c>
      <c r="H703" s="16" t="s">
        <v>412</v>
      </c>
      <c r="I703" s="19" t="s">
        <v>3</v>
      </c>
      <c r="J703" s="16" t="s">
        <v>12</v>
      </c>
      <c r="K703" s="20" t="s">
        <v>161</v>
      </c>
      <c r="L703" s="20" t="s">
        <v>2607</v>
      </c>
      <c r="M703" s="16" t="s">
        <v>414</v>
      </c>
      <c r="N703" s="16">
        <v>1</v>
      </c>
      <c r="O703" s="16" t="s">
        <v>50</v>
      </c>
      <c r="P703" s="20">
        <v>97</v>
      </c>
      <c r="Q703" s="20" t="s">
        <v>51</v>
      </c>
      <c r="R703" s="21" t="s">
        <v>77</v>
      </c>
      <c r="S703" s="22" t="s">
        <v>53</v>
      </c>
      <c r="T703" s="22" t="s">
        <v>54</v>
      </c>
      <c r="U703" s="23" t="s">
        <v>55</v>
      </c>
      <c r="V703" s="24">
        <v>1.05</v>
      </c>
      <c r="W703" s="25">
        <v>0</v>
      </c>
      <c r="X703" s="26">
        <v>1</v>
      </c>
      <c r="Y703" s="27">
        <v>0</v>
      </c>
      <c r="Z703" s="23">
        <v>5</v>
      </c>
      <c r="AA703" s="28">
        <v>0</v>
      </c>
      <c r="AB703" s="24">
        <v>0</v>
      </c>
      <c r="AC703" s="29">
        <v>0</v>
      </c>
      <c r="AD703" s="30">
        <v>43579</v>
      </c>
      <c r="AE703" s="30">
        <v>43579</v>
      </c>
      <c r="AF703" s="23">
        <v>0</v>
      </c>
      <c r="AG703" s="25" t="s">
        <v>56</v>
      </c>
      <c r="AH703" s="24">
        <v>0</v>
      </c>
      <c r="AI703" s="31">
        <v>0</v>
      </c>
      <c r="AJ703" s="31">
        <v>0</v>
      </c>
      <c r="AK703" s="44">
        <f t="shared" si="20"/>
        <v>0</v>
      </c>
      <c r="AL703">
        <f>VLOOKUP(A703,'[1]prueba con 16mil datos'!$A$1:$AE$804,31,FALSE)</f>
        <v>819</v>
      </c>
      <c r="AM703">
        <f t="shared" si="21"/>
        <v>0</v>
      </c>
      <c r="AO703">
        <f>VLOOKUP(A703,'[1]Prueba con 19mil datos'!$B$1:$AF$1228,31,FALSE)</f>
        <v>819</v>
      </c>
    </row>
    <row r="704" spans="1:41" hidden="1" x14ac:dyDescent="0.25">
      <c r="A704" s="16" t="s">
        <v>1302</v>
      </c>
      <c r="B704" s="15" t="s">
        <v>40</v>
      </c>
      <c r="C704" s="16">
        <v>1</v>
      </c>
      <c r="D704" s="16" t="s">
        <v>2633</v>
      </c>
      <c r="E704" s="17" t="s">
        <v>42</v>
      </c>
      <c r="F704" s="18" t="s">
        <v>2634</v>
      </c>
      <c r="G704" s="18" t="s">
        <v>2635</v>
      </c>
      <c r="H704" s="16" t="s">
        <v>540</v>
      </c>
      <c r="I704" s="19" t="s">
        <v>3</v>
      </c>
      <c r="J704" s="16" t="s">
        <v>12</v>
      </c>
      <c r="K704" s="20" t="s">
        <v>541</v>
      </c>
      <c r="L704" s="20" t="s">
        <v>542</v>
      </c>
      <c r="M704" s="16" t="s">
        <v>105</v>
      </c>
      <c r="N704" s="16">
        <v>1</v>
      </c>
      <c r="O704" s="16" t="s">
        <v>50</v>
      </c>
      <c r="P704" s="20">
        <v>28</v>
      </c>
      <c r="Q704" s="20" t="s">
        <v>119</v>
      </c>
      <c r="R704" s="21" t="s">
        <v>129</v>
      </c>
      <c r="S704" s="22" t="s">
        <v>130</v>
      </c>
      <c r="T704" s="22" t="s">
        <v>54</v>
      </c>
      <c r="U704" s="23" t="s">
        <v>164</v>
      </c>
      <c r="V704" s="24">
        <v>0.8</v>
      </c>
      <c r="W704" s="25">
        <v>0</v>
      </c>
      <c r="X704" s="26">
        <v>1</v>
      </c>
      <c r="Y704" s="27">
        <v>0.33</v>
      </c>
      <c r="Z704" s="23">
        <v>5</v>
      </c>
      <c r="AA704" s="28">
        <v>6.6000000000000003E-2</v>
      </c>
      <c r="AB704" s="24">
        <v>0</v>
      </c>
      <c r="AC704" s="29">
        <v>0</v>
      </c>
      <c r="AD704" s="30">
        <v>43579</v>
      </c>
      <c r="AE704" s="30">
        <v>43579</v>
      </c>
      <c r="AF704" s="23">
        <v>0</v>
      </c>
      <c r="AG704" s="25" t="s">
        <v>56</v>
      </c>
      <c r="AH704" s="24">
        <v>0</v>
      </c>
      <c r="AI704" s="31">
        <v>0</v>
      </c>
      <c r="AJ704" s="31">
        <v>0</v>
      </c>
      <c r="AK704" s="44">
        <f t="shared" si="20"/>
        <v>0</v>
      </c>
      <c r="AL704">
        <f>VLOOKUP(A704,'[1]prueba con 16mil datos'!$A$1:$AE$804,31,FALSE)</f>
        <v>1433.25</v>
      </c>
      <c r="AM704">
        <f t="shared" si="21"/>
        <v>0</v>
      </c>
      <c r="AO704">
        <f>VLOOKUP(A704,'[1]Prueba con 19mil datos'!$B$1:$AF$1228,31,FALSE)</f>
        <v>1433.25</v>
      </c>
    </row>
    <row r="705" spans="1:44" hidden="1" x14ac:dyDescent="0.25">
      <c r="A705" s="16" t="s">
        <v>2723</v>
      </c>
      <c r="B705" s="15" t="s">
        <v>40</v>
      </c>
      <c r="C705" s="16">
        <v>1</v>
      </c>
      <c r="D705" s="16" t="s">
        <v>2688</v>
      </c>
      <c r="E705" s="17" t="s">
        <v>42</v>
      </c>
      <c r="F705" s="18" t="s">
        <v>537</v>
      </c>
      <c r="G705" s="18" t="s">
        <v>2689</v>
      </c>
      <c r="H705" s="16" t="s">
        <v>540</v>
      </c>
      <c r="I705" s="19" t="s">
        <v>3</v>
      </c>
      <c r="J705" s="16" t="s">
        <v>12</v>
      </c>
      <c r="K705" s="20" t="s">
        <v>541</v>
      </c>
      <c r="L705" s="20" t="s">
        <v>1235</v>
      </c>
      <c r="M705" s="16" t="s">
        <v>105</v>
      </c>
      <c r="N705" s="16">
        <v>1</v>
      </c>
      <c r="O705" s="16" t="s">
        <v>50</v>
      </c>
      <c r="P705" s="20">
        <v>160</v>
      </c>
      <c r="Q705" s="20" t="s">
        <v>51</v>
      </c>
      <c r="R705" s="21" t="s">
        <v>129</v>
      </c>
      <c r="S705" s="22" t="s">
        <v>130</v>
      </c>
      <c r="T705" s="22" t="s">
        <v>54</v>
      </c>
      <c r="U705" s="23" t="s">
        <v>226</v>
      </c>
      <c r="V705" s="24">
        <v>1.1000000000000001</v>
      </c>
      <c r="W705" s="25">
        <v>0</v>
      </c>
      <c r="X705" s="26">
        <v>1</v>
      </c>
      <c r="Y705" s="27">
        <v>0</v>
      </c>
      <c r="Z705" s="23">
        <v>5</v>
      </c>
      <c r="AA705" s="28">
        <v>0</v>
      </c>
      <c r="AB705" s="24">
        <v>0</v>
      </c>
      <c r="AC705" s="29">
        <v>0</v>
      </c>
      <c r="AD705" s="30">
        <v>43579</v>
      </c>
      <c r="AE705" s="30">
        <v>43579</v>
      </c>
      <c r="AF705" s="23">
        <v>0</v>
      </c>
      <c r="AG705" s="25" t="s">
        <v>56</v>
      </c>
      <c r="AH705" s="24">
        <v>0</v>
      </c>
      <c r="AI705" s="31">
        <v>0</v>
      </c>
      <c r="AJ705" s="31">
        <v>0</v>
      </c>
      <c r="AK705" s="44">
        <f t="shared" si="20"/>
        <v>0</v>
      </c>
      <c r="AL705">
        <f>VLOOKUP(A705,'[1]prueba con 16mil datos'!$A$1:$AE$804,31,FALSE)</f>
        <v>1433.25</v>
      </c>
      <c r="AM705">
        <f t="shared" si="21"/>
        <v>0</v>
      </c>
      <c r="AO705">
        <f>VLOOKUP(A705,'[1]Prueba con 19mil datos'!$B$1:$AF$1228,31,FALSE)</f>
        <v>1433.25</v>
      </c>
    </row>
    <row r="706" spans="1:44" hidden="1" x14ac:dyDescent="0.25">
      <c r="A706" s="16" t="s">
        <v>1768</v>
      </c>
      <c r="B706" s="15" t="s">
        <v>40</v>
      </c>
      <c r="C706" s="16">
        <v>1</v>
      </c>
      <c r="D706" s="16" t="s">
        <v>2835</v>
      </c>
      <c r="E706" s="17" t="s">
        <v>42</v>
      </c>
      <c r="F706" s="18" t="s">
        <v>391</v>
      </c>
      <c r="G706" s="18" t="s">
        <v>2836</v>
      </c>
      <c r="H706" s="16" t="s">
        <v>109</v>
      </c>
      <c r="I706" s="19" t="s">
        <v>3</v>
      </c>
      <c r="J706" s="16" t="s">
        <v>12</v>
      </c>
      <c r="K706" s="20" t="s">
        <v>198</v>
      </c>
      <c r="L706" s="20" t="s">
        <v>199</v>
      </c>
      <c r="M706" s="16" t="s">
        <v>200</v>
      </c>
      <c r="N706" s="16">
        <v>0</v>
      </c>
      <c r="O706" s="16" t="s">
        <v>50</v>
      </c>
      <c r="P706" s="20">
        <v>31</v>
      </c>
      <c r="Q706" s="20" t="s">
        <v>86</v>
      </c>
      <c r="R706" s="21" t="s">
        <v>129</v>
      </c>
      <c r="S706" s="22" t="s">
        <v>130</v>
      </c>
      <c r="T706" s="22" t="s">
        <v>54</v>
      </c>
      <c r="U706" s="23" t="s">
        <v>178</v>
      </c>
      <c r="V706" s="24">
        <v>1.05</v>
      </c>
      <c r="W706" s="25">
        <v>1433.25</v>
      </c>
      <c r="X706" s="26">
        <v>1</v>
      </c>
      <c r="Y706" s="27">
        <v>2</v>
      </c>
      <c r="Z706" s="23">
        <v>5</v>
      </c>
      <c r="AA706" s="28">
        <v>0.4</v>
      </c>
      <c r="AB706" s="24">
        <v>0</v>
      </c>
      <c r="AC706" s="29">
        <v>0</v>
      </c>
      <c r="AD706" s="30">
        <v>43580</v>
      </c>
      <c r="AE706" s="30">
        <v>43580</v>
      </c>
      <c r="AF706" s="23">
        <v>0</v>
      </c>
      <c r="AG706" s="25" t="s">
        <v>56</v>
      </c>
      <c r="AH706" s="24">
        <v>0</v>
      </c>
      <c r="AI706" s="31">
        <v>0</v>
      </c>
      <c r="AJ706" s="31">
        <v>0</v>
      </c>
      <c r="AK706" s="44">
        <f t="shared" ref="AK706:AK769" si="22">+W706+AC706</f>
        <v>1433.25</v>
      </c>
      <c r="AL706">
        <f>VLOOKUP(A706,'[1]prueba con 16mil datos'!$A$1:$AE$804,31,FALSE)</f>
        <v>1501.5</v>
      </c>
      <c r="AM706">
        <f t="shared" ref="AM706:AM769" si="23">IF(AK706=AL706,1,0)</f>
        <v>0</v>
      </c>
      <c r="AO706">
        <f>VLOOKUP(A706,'[1]Prueba con 19mil datos'!$B$1:$AF$1228,31,FALSE)</f>
        <v>1501.5</v>
      </c>
    </row>
    <row r="707" spans="1:44" hidden="1" x14ac:dyDescent="0.25">
      <c r="A707" s="16" t="s">
        <v>3164</v>
      </c>
      <c r="B707" s="15" t="s">
        <v>40</v>
      </c>
      <c r="C707" s="16">
        <v>1</v>
      </c>
      <c r="D707" s="16" t="s">
        <v>2881</v>
      </c>
      <c r="E707" s="17" t="s">
        <v>42</v>
      </c>
      <c r="F707" s="18" t="s">
        <v>391</v>
      </c>
      <c r="G707" s="18" t="s">
        <v>2882</v>
      </c>
      <c r="H707" s="16" t="s">
        <v>73</v>
      </c>
      <c r="I707" s="19" t="s">
        <v>3</v>
      </c>
      <c r="J707" s="16" t="s">
        <v>12</v>
      </c>
      <c r="K707" s="20" t="s">
        <v>198</v>
      </c>
      <c r="L707" s="20" t="s">
        <v>394</v>
      </c>
      <c r="M707" s="16" t="s">
        <v>76</v>
      </c>
      <c r="N707" s="16">
        <v>0</v>
      </c>
      <c r="O707" s="16" t="s">
        <v>50</v>
      </c>
      <c r="P707" s="20">
        <v>21</v>
      </c>
      <c r="Q707" s="20" t="s">
        <v>119</v>
      </c>
      <c r="R707" s="21" t="s">
        <v>129</v>
      </c>
      <c r="S707" s="22" t="s">
        <v>130</v>
      </c>
      <c r="T707" s="22" t="s">
        <v>54</v>
      </c>
      <c r="U707" s="23" t="s">
        <v>164</v>
      </c>
      <c r="V707" s="24">
        <v>0.8</v>
      </c>
      <c r="W707" s="25">
        <v>1092</v>
      </c>
      <c r="X707" s="26">
        <v>1</v>
      </c>
      <c r="Y707" s="27">
        <v>0.55000000000000004</v>
      </c>
      <c r="Z707" s="23">
        <v>5</v>
      </c>
      <c r="AA707" s="28">
        <v>0.11000000000000001</v>
      </c>
      <c r="AB707" s="24">
        <v>0</v>
      </c>
      <c r="AC707" s="29">
        <v>0</v>
      </c>
      <c r="AD707" s="30">
        <v>43580</v>
      </c>
      <c r="AE707" s="30">
        <v>43580</v>
      </c>
      <c r="AF707" s="23">
        <v>0</v>
      </c>
      <c r="AG707" s="25" t="s">
        <v>56</v>
      </c>
      <c r="AH707" s="24">
        <v>0</v>
      </c>
      <c r="AI707" s="31">
        <v>0</v>
      </c>
      <c r="AJ707" s="31">
        <v>0</v>
      </c>
      <c r="AK707" s="44">
        <f t="shared" si="22"/>
        <v>1092</v>
      </c>
      <c r="AL707">
        <f>VLOOKUP(A707,'[1]prueba con 16mil datos'!$A$1:$AE$804,31,FALSE)</f>
        <v>1501.5</v>
      </c>
      <c r="AM707">
        <f t="shared" si="23"/>
        <v>0</v>
      </c>
      <c r="AO707">
        <f>VLOOKUP(A707,'[1]Prueba con 19mil datos'!$B$1:$AF$1228,31,FALSE)</f>
        <v>1501.5</v>
      </c>
    </row>
    <row r="708" spans="1:44" x14ac:dyDescent="0.25">
      <c r="A708" s="16" t="s">
        <v>2204</v>
      </c>
      <c r="B708" s="15" t="s">
        <v>40</v>
      </c>
      <c r="C708" s="16">
        <v>1</v>
      </c>
      <c r="D708" s="16" t="s">
        <v>2774</v>
      </c>
      <c r="E708" s="17" t="s">
        <v>42</v>
      </c>
      <c r="F708" s="18" t="s">
        <v>90</v>
      </c>
      <c r="G708" s="18" t="s">
        <v>2775</v>
      </c>
      <c r="H708" s="16" t="s">
        <v>621</v>
      </c>
      <c r="I708" s="19" t="s">
        <v>3</v>
      </c>
      <c r="J708" s="16" t="s">
        <v>12</v>
      </c>
      <c r="K708" s="20" t="s">
        <v>622</v>
      </c>
      <c r="L708" s="20" t="s">
        <v>2777</v>
      </c>
      <c r="M708" s="16" t="s">
        <v>2778</v>
      </c>
      <c r="N708" s="16">
        <v>0</v>
      </c>
      <c r="O708" s="16" t="s">
        <v>50</v>
      </c>
      <c r="P708" s="20">
        <v>369</v>
      </c>
      <c r="Q708" s="20" t="s">
        <v>51</v>
      </c>
      <c r="R708" s="21" t="s">
        <v>77</v>
      </c>
      <c r="S708" s="22" t="s">
        <v>53</v>
      </c>
      <c r="T708" s="22" t="s">
        <v>157</v>
      </c>
      <c r="U708" s="23" t="s">
        <v>55</v>
      </c>
      <c r="V708" s="24">
        <v>1.05</v>
      </c>
      <c r="W708" s="25">
        <v>750.75000000000011</v>
      </c>
      <c r="X708" s="26">
        <v>1</v>
      </c>
      <c r="Y708" s="27">
        <v>5.0166666666666657</v>
      </c>
      <c r="Z708" s="23">
        <v>9</v>
      </c>
      <c r="AA708" s="28">
        <v>0.55740740740740735</v>
      </c>
      <c r="AB708" s="24">
        <v>0</v>
      </c>
      <c r="AC708" s="29">
        <v>0</v>
      </c>
      <c r="AD708" s="30">
        <v>43580</v>
      </c>
      <c r="AE708" s="30">
        <v>43580</v>
      </c>
      <c r="AF708" s="23">
        <v>0</v>
      </c>
      <c r="AG708" s="25" t="s">
        <v>56</v>
      </c>
      <c r="AH708" s="24">
        <v>0</v>
      </c>
      <c r="AI708" s="31">
        <v>0</v>
      </c>
      <c r="AJ708" s="31">
        <v>0</v>
      </c>
      <c r="AK708" s="44">
        <f t="shared" si="22"/>
        <v>750.75000000000011</v>
      </c>
      <c r="AL708" t="e">
        <f>VLOOKUP(A708,'[1]prueba con 16mil datos'!$A$1:$AE$804,31,FALSE)</f>
        <v>#N/A</v>
      </c>
      <c r="AM708" t="e">
        <f t="shared" si="23"/>
        <v>#N/A</v>
      </c>
      <c r="AO708" t="e">
        <f>VLOOKUP(A708,'[1]Prueba con 19mil datos'!$B$1:$AF$1228,31,FALSE)</f>
        <v>#N/A</v>
      </c>
      <c r="AP708" t="s">
        <v>3212</v>
      </c>
      <c r="AR708" t="s">
        <v>3213</v>
      </c>
    </row>
    <row r="709" spans="1:44" hidden="1" x14ac:dyDescent="0.25">
      <c r="A709" s="16" t="s">
        <v>1461</v>
      </c>
      <c r="B709" s="15" t="s">
        <v>40</v>
      </c>
      <c r="C709" s="16">
        <v>1</v>
      </c>
      <c r="D709" s="16" t="s">
        <v>2939</v>
      </c>
      <c r="E709" s="17" t="s">
        <v>42</v>
      </c>
      <c r="F709" s="18" t="s">
        <v>90</v>
      </c>
      <c r="G709" s="18" t="s">
        <v>2940</v>
      </c>
      <c r="H709" s="16" t="s">
        <v>516</v>
      </c>
      <c r="I709" s="19" t="s">
        <v>3</v>
      </c>
      <c r="J709" s="16" t="s">
        <v>12</v>
      </c>
      <c r="K709" s="20" t="s">
        <v>2942</v>
      </c>
      <c r="L709" s="20" t="s">
        <v>2943</v>
      </c>
      <c r="M709" s="16" t="s">
        <v>372</v>
      </c>
      <c r="N709" s="16">
        <v>0</v>
      </c>
      <c r="O709" s="16" t="s">
        <v>50</v>
      </c>
      <c r="P709" s="20">
        <v>2702</v>
      </c>
      <c r="Q709" s="20" t="s">
        <v>51</v>
      </c>
      <c r="R709" s="21" t="s">
        <v>77</v>
      </c>
      <c r="S709" s="22" t="s">
        <v>53</v>
      </c>
      <c r="T709" s="22" t="s">
        <v>54</v>
      </c>
      <c r="U709" s="23" t="s">
        <v>55</v>
      </c>
      <c r="V709" s="24">
        <v>1.05</v>
      </c>
      <c r="W709" s="25">
        <v>750.75000000000011</v>
      </c>
      <c r="X709" s="26">
        <v>1</v>
      </c>
      <c r="Y709" s="27">
        <v>3.15</v>
      </c>
      <c r="Z709" s="23">
        <v>5</v>
      </c>
      <c r="AA709" s="28">
        <v>0.63</v>
      </c>
      <c r="AB709" s="24">
        <v>0</v>
      </c>
      <c r="AC709" s="29">
        <v>0</v>
      </c>
      <c r="AD709" s="30">
        <v>43580</v>
      </c>
      <c r="AE709" s="30">
        <v>43581</v>
      </c>
      <c r="AF709" s="23">
        <v>1</v>
      </c>
      <c r="AG709" s="25" t="s">
        <v>56</v>
      </c>
      <c r="AH709" s="24">
        <v>0</v>
      </c>
      <c r="AI709" s="31">
        <v>0</v>
      </c>
      <c r="AJ709" s="31">
        <v>0</v>
      </c>
      <c r="AK709" s="44">
        <f t="shared" si="22"/>
        <v>750.75000000000011</v>
      </c>
      <c r="AL709">
        <f>VLOOKUP(A709,'[1]prueba con 16mil datos'!$A$1:$AE$804,31,FALSE)</f>
        <v>1433.25</v>
      </c>
      <c r="AM709">
        <f t="shared" si="23"/>
        <v>0</v>
      </c>
      <c r="AO709">
        <f>VLOOKUP(A709,'[1]Prueba con 19mil datos'!$B$1:$AF$1228,31,FALSE)</f>
        <v>1433.25</v>
      </c>
    </row>
    <row r="710" spans="1:44" hidden="1" x14ac:dyDescent="0.25">
      <c r="A710" s="16" t="s">
        <v>615</v>
      </c>
      <c r="B710" s="15" t="s">
        <v>40</v>
      </c>
      <c r="C710" s="16">
        <v>1</v>
      </c>
      <c r="D710" s="16" t="s">
        <v>2826</v>
      </c>
      <c r="E710" s="17" t="s">
        <v>42</v>
      </c>
      <c r="F710" s="18" t="s">
        <v>281</v>
      </c>
      <c r="G710" s="18" t="s">
        <v>2827</v>
      </c>
      <c r="H710" s="16" t="s">
        <v>301</v>
      </c>
      <c r="I710" s="19" t="s">
        <v>3</v>
      </c>
      <c r="J710" s="16" t="s">
        <v>12</v>
      </c>
      <c r="K710" s="20" t="s">
        <v>198</v>
      </c>
      <c r="L710" s="20" t="s">
        <v>2829</v>
      </c>
      <c r="M710" s="16" t="s">
        <v>49</v>
      </c>
      <c r="N710" s="16">
        <v>0</v>
      </c>
      <c r="O710" s="16" t="s">
        <v>50</v>
      </c>
      <c r="P710" s="20">
        <v>185</v>
      </c>
      <c r="Q710" s="20" t="s">
        <v>51</v>
      </c>
      <c r="R710" s="21" t="s">
        <v>287</v>
      </c>
      <c r="S710" s="22" t="s">
        <v>288</v>
      </c>
      <c r="T710" s="22" t="s">
        <v>54</v>
      </c>
      <c r="U710" s="23" t="s">
        <v>550</v>
      </c>
      <c r="V710" s="24">
        <v>1.1499999999999999</v>
      </c>
      <c r="W710" s="25">
        <v>1808.95</v>
      </c>
      <c r="X710" s="26">
        <v>1</v>
      </c>
      <c r="Y710" s="27">
        <v>2</v>
      </c>
      <c r="Z710" s="23">
        <v>4</v>
      </c>
      <c r="AA710" s="28">
        <v>0.5</v>
      </c>
      <c r="AB710" s="24">
        <v>0</v>
      </c>
      <c r="AC710" s="29">
        <v>0</v>
      </c>
      <c r="AD710" s="30">
        <v>43580</v>
      </c>
      <c r="AE710" s="30">
        <v>43580</v>
      </c>
      <c r="AF710" s="23">
        <v>0</v>
      </c>
      <c r="AG710" s="25" t="s">
        <v>56</v>
      </c>
      <c r="AH710" s="24">
        <v>0</v>
      </c>
      <c r="AI710" s="31">
        <v>0</v>
      </c>
      <c r="AJ710" s="31">
        <v>0</v>
      </c>
      <c r="AK710" s="44">
        <f t="shared" si="22"/>
        <v>1808.95</v>
      </c>
      <c r="AL710">
        <f>VLOOKUP(A710,'[1]prueba con 16mil datos'!$A$1:$AE$804,31,FALSE)</f>
        <v>1433.25</v>
      </c>
      <c r="AM710">
        <f t="shared" si="23"/>
        <v>0</v>
      </c>
      <c r="AO710">
        <f>VLOOKUP(A710,'[1]Prueba con 19mil datos'!$B$1:$AF$1228,31,FALSE)</f>
        <v>1433.25</v>
      </c>
    </row>
    <row r="711" spans="1:44" hidden="1" x14ac:dyDescent="0.25">
      <c r="A711" s="16" t="s">
        <v>1995</v>
      </c>
      <c r="B711" s="15" t="s">
        <v>40</v>
      </c>
      <c r="C711" s="16">
        <v>1</v>
      </c>
      <c r="D711" s="16" t="s">
        <v>2897</v>
      </c>
      <c r="E711" s="17" t="s">
        <v>1522</v>
      </c>
      <c r="F711" s="18" t="s">
        <v>99</v>
      </c>
      <c r="G711" s="18" t="s">
        <v>2898</v>
      </c>
      <c r="H711" s="16" t="s">
        <v>264</v>
      </c>
      <c r="I711" s="19" t="s">
        <v>3</v>
      </c>
      <c r="J711" s="16" t="s">
        <v>12</v>
      </c>
      <c r="K711" s="20" t="s">
        <v>378</v>
      </c>
      <c r="L711" s="20" t="s">
        <v>1714</v>
      </c>
      <c r="M711" s="16" t="s">
        <v>49</v>
      </c>
      <c r="N711" s="16">
        <v>0</v>
      </c>
      <c r="O711" s="16" t="s">
        <v>50</v>
      </c>
      <c r="P711" s="20" t="s">
        <v>326</v>
      </c>
      <c r="Q711" s="20" t="s">
        <v>51</v>
      </c>
      <c r="R711" s="21" t="s">
        <v>77</v>
      </c>
      <c r="S711" s="22" t="s">
        <v>53</v>
      </c>
      <c r="T711" s="22" t="s">
        <v>54</v>
      </c>
      <c r="U711" s="23" t="s">
        <v>55</v>
      </c>
      <c r="V711" s="24">
        <v>1</v>
      </c>
      <c r="W711" s="25">
        <v>715.00000000000011</v>
      </c>
      <c r="X711" s="26">
        <v>0</v>
      </c>
      <c r="Y711" s="27">
        <v>5</v>
      </c>
      <c r="Z711" s="23">
        <v>5</v>
      </c>
      <c r="AA711" s="28">
        <v>1</v>
      </c>
      <c r="AB711" s="24">
        <v>0</v>
      </c>
      <c r="AC711" s="29">
        <v>0</v>
      </c>
      <c r="AD711" s="30">
        <v>43580</v>
      </c>
      <c r="AE711" s="30">
        <v>43581</v>
      </c>
      <c r="AF711" s="23">
        <v>1</v>
      </c>
      <c r="AG711" s="25" t="s">
        <v>56</v>
      </c>
      <c r="AH711" s="24">
        <v>0</v>
      </c>
      <c r="AI711" s="31">
        <v>0</v>
      </c>
      <c r="AJ711" s="31">
        <v>0</v>
      </c>
      <c r="AK711" s="44">
        <f t="shared" si="22"/>
        <v>715.00000000000011</v>
      </c>
      <c r="AL711">
        <f>VLOOKUP(A711,'[1]prueba con 16mil datos'!$A$1:$AE$804,31,FALSE)</f>
        <v>1501.5</v>
      </c>
      <c r="AM711">
        <f t="shared" si="23"/>
        <v>0</v>
      </c>
      <c r="AO711">
        <f>VLOOKUP(A711,'[1]Prueba con 19mil datos'!$B$1:$AF$1228,31,FALSE)</f>
        <v>1501.5</v>
      </c>
    </row>
    <row r="712" spans="1:44" x14ac:dyDescent="0.25">
      <c r="A712" s="16" t="s">
        <v>1806</v>
      </c>
      <c r="B712" s="15" t="s">
        <v>40</v>
      </c>
      <c r="C712" s="16">
        <v>1</v>
      </c>
      <c r="D712" s="16" t="s">
        <v>2753</v>
      </c>
      <c r="E712" s="17" t="s">
        <v>42</v>
      </c>
      <c r="F712" s="18" t="s">
        <v>2729</v>
      </c>
      <c r="G712" s="18" t="s">
        <v>2754</v>
      </c>
      <c r="H712" s="16" t="s">
        <v>125</v>
      </c>
      <c r="I712" s="19" t="s">
        <v>3</v>
      </c>
      <c r="J712" s="16" t="s">
        <v>12</v>
      </c>
      <c r="K712" s="20" t="s">
        <v>2101</v>
      </c>
      <c r="L712" s="20" t="s">
        <v>2102</v>
      </c>
      <c r="M712" s="16" t="s">
        <v>105</v>
      </c>
      <c r="N712" s="16">
        <v>0</v>
      </c>
      <c r="O712" s="16" t="s">
        <v>50</v>
      </c>
      <c r="P712" s="20">
        <v>48</v>
      </c>
      <c r="Q712" s="20" t="s">
        <v>86</v>
      </c>
      <c r="R712" s="21" t="s">
        <v>279</v>
      </c>
      <c r="S712" s="22" t="s">
        <v>187</v>
      </c>
      <c r="T712" s="22" t="s">
        <v>54</v>
      </c>
      <c r="U712" s="23" t="s">
        <v>188</v>
      </c>
      <c r="V712" s="24">
        <v>1.1000000000000001</v>
      </c>
      <c r="W712" s="25">
        <v>1730.3000000000004</v>
      </c>
      <c r="X712" s="26">
        <v>1</v>
      </c>
      <c r="Y712" s="27">
        <v>0.77</v>
      </c>
      <c r="Z712" s="23">
        <v>4</v>
      </c>
      <c r="AA712" s="28">
        <v>0.1925</v>
      </c>
      <c r="AB712" s="24">
        <v>0</v>
      </c>
      <c r="AC712" s="29">
        <v>0</v>
      </c>
      <c r="AD712" s="30">
        <v>43580</v>
      </c>
      <c r="AE712" s="30">
        <v>43580</v>
      </c>
      <c r="AF712" s="23">
        <v>0</v>
      </c>
      <c r="AG712" s="25" t="s">
        <v>56</v>
      </c>
      <c r="AH712" s="24">
        <v>0</v>
      </c>
      <c r="AI712" s="31">
        <v>0</v>
      </c>
      <c r="AJ712" s="31">
        <v>0</v>
      </c>
      <c r="AK712" s="44">
        <f t="shared" si="22"/>
        <v>1730.3000000000004</v>
      </c>
      <c r="AL712" t="e">
        <f>VLOOKUP(A712,'[1]prueba con 16mil datos'!$A$1:$AE$804,31,FALSE)</f>
        <v>#N/A</v>
      </c>
      <c r="AM712" t="e">
        <f t="shared" si="23"/>
        <v>#N/A</v>
      </c>
      <c r="AO712" t="e">
        <f>VLOOKUP(A712,'[1]Prueba con 19mil datos'!$B$1:$AF$1228,31,FALSE)</f>
        <v>#N/A</v>
      </c>
      <c r="AP712" t="s">
        <v>3212</v>
      </c>
      <c r="AR712" t="s">
        <v>3213</v>
      </c>
    </row>
    <row r="713" spans="1:44" hidden="1" x14ac:dyDescent="0.25">
      <c r="A713" s="16" t="s">
        <v>142</v>
      </c>
      <c r="B713" s="15" t="s">
        <v>40</v>
      </c>
      <c r="C713" s="16">
        <v>1</v>
      </c>
      <c r="D713" s="16" t="s">
        <v>2795</v>
      </c>
      <c r="E713" s="17" t="s">
        <v>42</v>
      </c>
      <c r="F713" s="18" t="s">
        <v>275</v>
      </c>
      <c r="G713" s="18" t="s">
        <v>2796</v>
      </c>
      <c r="H713" s="16" t="s">
        <v>821</v>
      </c>
      <c r="I713" s="19" t="s">
        <v>3</v>
      </c>
      <c r="J713" s="16" t="s">
        <v>12</v>
      </c>
      <c r="K713" s="20" t="s">
        <v>126</v>
      </c>
      <c r="L713" s="20" t="s">
        <v>505</v>
      </c>
      <c r="M713" s="16" t="s">
        <v>506</v>
      </c>
      <c r="N713" s="16">
        <v>0</v>
      </c>
      <c r="O713" s="16" t="s">
        <v>50</v>
      </c>
      <c r="P713" s="20">
        <v>42</v>
      </c>
      <c r="Q713" s="20" t="s">
        <v>86</v>
      </c>
      <c r="R713" s="21" t="s">
        <v>279</v>
      </c>
      <c r="S713" s="22" t="s">
        <v>187</v>
      </c>
      <c r="T713" s="22" t="s">
        <v>157</v>
      </c>
      <c r="U713" s="23" t="s">
        <v>188</v>
      </c>
      <c r="V713" s="24">
        <v>1.1000000000000001</v>
      </c>
      <c r="W713" s="25">
        <v>1730.3000000000004</v>
      </c>
      <c r="X713" s="26">
        <v>1</v>
      </c>
      <c r="Y713" s="27">
        <v>11.53</v>
      </c>
      <c r="Z713" s="23">
        <v>6</v>
      </c>
      <c r="AA713" s="28">
        <v>1.9216666666666666</v>
      </c>
      <c r="AB713" s="24">
        <v>0.23041666666666666</v>
      </c>
      <c r="AC713" s="29">
        <v>-362.44541666666669</v>
      </c>
      <c r="AD713" s="30">
        <v>43580</v>
      </c>
      <c r="AE713" s="30">
        <v>43580</v>
      </c>
      <c r="AF713" s="23">
        <v>0</v>
      </c>
      <c r="AG713" s="25" t="s">
        <v>56</v>
      </c>
      <c r="AH713" s="24">
        <v>0</v>
      </c>
      <c r="AI713" s="31">
        <v>0</v>
      </c>
      <c r="AJ713" s="31">
        <v>0</v>
      </c>
      <c r="AK713" s="44">
        <f t="shared" si="22"/>
        <v>1367.8545833333337</v>
      </c>
      <c r="AL713">
        <f>VLOOKUP(A713,'[1]prueba con 16mil datos'!$A$1:$AE$804,31,FALSE)</f>
        <v>1092</v>
      </c>
      <c r="AM713">
        <f t="shared" si="23"/>
        <v>0</v>
      </c>
      <c r="AO713">
        <f>VLOOKUP(A713,'[1]Prueba con 19mil datos'!$B$1:$AF$1228,31,FALSE)</f>
        <v>819</v>
      </c>
    </row>
    <row r="714" spans="1:44" hidden="1" x14ac:dyDescent="0.25">
      <c r="A714" s="16" t="s">
        <v>142</v>
      </c>
      <c r="B714" s="15" t="s">
        <v>40</v>
      </c>
      <c r="C714" s="16">
        <v>1</v>
      </c>
      <c r="D714" s="16" t="s">
        <v>2868</v>
      </c>
      <c r="E714" s="17" t="s">
        <v>42</v>
      </c>
      <c r="F714" s="18" t="s">
        <v>275</v>
      </c>
      <c r="G714" s="18" t="s">
        <v>2869</v>
      </c>
      <c r="H714" s="16" t="s">
        <v>115</v>
      </c>
      <c r="I714" s="19" t="s">
        <v>3</v>
      </c>
      <c r="J714" s="16" t="s">
        <v>12</v>
      </c>
      <c r="K714" s="20" t="s">
        <v>126</v>
      </c>
      <c r="L714" s="20" t="s">
        <v>2871</v>
      </c>
      <c r="M714" s="16" t="s">
        <v>1003</v>
      </c>
      <c r="N714" s="16">
        <v>0</v>
      </c>
      <c r="O714" s="16" t="s">
        <v>50</v>
      </c>
      <c r="P714" s="20">
        <v>58</v>
      </c>
      <c r="Q714" s="20" t="s">
        <v>86</v>
      </c>
      <c r="R714" s="21" t="s">
        <v>279</v>
      </c>
      <c r="S714" s="22" t="s">
        <v>187</v>
      </c>
      <c r="T714" s="22" t="s">
        <v>54</v>
      </c>
      <c r="U714" s="23" t="s">
        <v>188</v>
      </c>
      <c r="V714" s="24">
        <v>1.1000000000000001</v>
      </c>
      <c r="W714" s="25">
        <v>1730.3000000000004</v>
      </c>
      <c r="X714" s="26">
        <v>1</v>
      </c>
      <c r="Y714" s="27">
        <v>1.85</v>
      </c>
      <c r="Z714" s="23">
        <v>4</v>
      </c>
      <c r="AA714" s="28">
        <v>0.46250000000000002</v>
      </c>
      <c r="AB714" s="24">
        <v>0</v>
      </c>
      <c r="AC714" s="29">
        <v>0</v>
      </c>
      <c r="AD714" s="30">
        <v>43580</v>
      </c>
      <c r="AE714" s="30">
        <v>43580</v>
      </c>
      <c r="AF714" s="23">
        <v>0</v>
      </c>
      <c r="AG714" s="25" t="s">
        <v>56</v>
      </c>
      <c r="AH714" s="24">
        <v>0</v>
      </c>
      <c r="AI714" s="31">
        <v>0</v>
      </c>
      <c r="AJ714" s="31">
        <v>0</v>
      </c>
      <c r="AK714" s="44">
        <f t="shared" si="22"/>
        <v>1730.3000000000004</v>
      </c>
      <c r="AL714">
        <f>VLOOKUP(A714,'[1]prueba con 16mil datos'!$A$1:$AE$804,31,FALSE)</f>
        <v>1092</v>
      </c>
      <c r="AM714">
        <f t="shared" si="23"/>
        <v>0</v>
      </c>
      <c r="AO714">
        <f>VLOOKUP(A714,'[1]Prueba con 19mil datos'!$B$1:$AF$1228,31,FALSE)</f>
        <v>819</v>
      </c>
    </row>
    <row r="715" spans="1:44" hidden="1" x14ac:dyDescent="0.25">
      <c r="A715" s="16" t="s">
        <v>2750</v>
      </c>
      <c r="B715" s="15" t="s">
        <v>40</v>
      </c>
      <c r="C715" s="16">
        <v>1</v>
      </c>
      <c r="D715" s="16" t="s">
        <v>2833</v>
      </c>
      <c r="E715" s="17" t="s">
        <v>42</v>
      </c>
      <c r="F715" s="18" t="s">
        <v>275</v>
      </c>
      <c r="G715" s="18" t="s">
        <v>2834</v>
      </c>
      <c r="H715" s="16" t="s">
        <v>221</v>
      </c>
      <c r="I715" s="19" t="s">
        <v>3</v>
      </c>
      <c r="J715" s="16" t="s">
        <v>12</v>
      </c>
      <c r="K715" s="20" t="s">
        <v>126</v>
      </c>
      <c r="L715" s="20" t="s">
        <v>1392</v>
      </c>
      <c r="M715" s="16" t="s">
        <v>490</v>
      </c>
      <c r="N715" s="16">
        <v>0</v>
      </c>
      <c r="O715" s="16" t="s">
        <v>50</v>
      </c>
      <c r="P715" s="20">
        <v>17</v>
      </c>
      <c r="Q715" s="20" t="s">
        <v>119</v>
      </c>
      <c r="R715" s="21" t="s">
        <v>279</v>
      </c>
      <c r="S715" s="22" t="s">
        <v>187</v>
      </c>
      <c r="T715" s="22" t="s">
        <v>54</v>
      </c>
      <c r="U715" s="23" t="s">
        <v>269</v>
      </c>
      <c r="V715" s="24">
        <v>1.05</v>
      </c>
      <c r="W715" s="25">
        <v>1651.6500000000003</v>
      </c>
      <c r="X715" s="26">
        <v>1</v>
      </c>
      <c r="Y715" s="27">
        <v>2.5</v>
      </c>
      <c r="Z715" s="23">
        <v>4</v>
      </c>
      <c r="AA715" s="28">
        <v>0.625</v>
      </c>
      <c r="AB715" s="24">
        <v>0</v>
      </c>
      <c r="AC715" s="29">
        <v>0</v>
      </c>
      <c r="AD715" s="30">
        <v>43580</v>
      </c>
      <c r="AE715" s="30">
        <v>43580</v>
      </c>
      <c r="AF715" s="23">
        <v>0</v>
      </c>
      <c r="AG715" s="25" t="s">
        <v>56</v>
      </c>
      <c r="AH715" s="24">
        <v>0</v>
      </c>
      <c r="AI715" s="31">
        <v>0</v>
      </c>
      <c r="AJ715" s="31">
        <v>0</v>
      </c>
      <c r="AK715" s="44">
        <f t="shared" si="22"/>
        <v>1651.6500000000003</v>
      </c>
      <c r="AL715">
        <f>VLOOKUP(A715,'[1]prueba con 16mil datos'!$A$1:$AE$804,31,FALSE)</f>
        <v>1501.5</v>
      </c>
      <c r="AM715">
        <f t="shared" si="23"/>
        <v>0</v>
      </c>
      <c r="AO715">
        <f>VLOOKUP(A715,'[1]Prueba con 19mil datos'!$B$1:$AF$1228,31,FALSE)</f>
        <v>1501.5</v>
      </c>
    </row>
    <row r="716" spans="1:44" hidden="1" x14ac:dyDescent="0.25">
      <c r="A716" s="16" t="s">
        <v>2105</v>
      </c>
      <c r="B716" s="15" t="s">
        <v>40</v>
      </c>
      <c r="C716" s="16">
        <v>1</v>
      </c>
      <c r="D716" s="16" t="s">
        <v>2798</v>
      </c>
      <c r="E716" s="17" t="s">
        <v>42</v>
      </c>
      <c r="F716" s="18" t="s">
        <v>275</v>
      </c>
      <c r="G716" s="18" t="s">
        <v>2799</v>
      </c>
      <c r="H716" s="16" t="s">
        <v>221</v>
      </c>
      <c r="I716" s="19" t="s">
        <v>3</v>
      </c>
      <c r="J716" s="16" t="s">
        <v>12</v>
      </c>
      <c r="K716" s="20" t="s">
        <v>1807</v>
      </c>
      <c r="L716" s="20" t="s">
        <v>2801</v>
      </c>
      <c r="M716" s="16" t="s">
        <v>828</v>
      </c>
      <c r="N716" s="16">
        <v>0</v>
      </c>
      <c r="O716" s="16" t="s">
        <v>50</v>
      </c>
      <c r="P716" s="20">
        <v>59</v>
      </c>
      <c r="Q716" s="20" t="s">
        <v>86</v>
      </c>
      <c r="R716" s="21" t="s">
        <v>279</v>
      </c>
      <c r="S716" s="22" t="s">
        <v>187</v>
      </c>
      <c r="T716" s="22" t="s">
        <v>54</v>
      </c>
      <c r="U716" s="23" t="s">
        <v>188</v>
      </c>
      <c r="V716" s="24">
        <v>1.1000000000000001</v>
      </c>
      <c r="W716" s="25">
        <v>1730.3000000000004</v>
      </c>
      <c r="X716" s="26">
        <v>1</v>
      </c>
      <c r="Y716" s="27">
        <v>1.2</v>
      </c>
      <c r="Z716" s="23">
        <v>4</v>
      </c>
      <c r="AA716" s="28">
        <v>0.3</v>
      </c>
      <c r="AB716" s="24">
        <v>0</v>
      </c>
      <c r="AC716" s="29">
        <v>0</v>
      </c>
      <c r="AD716" s="30">
        <v>43580</v>
      </c>
      <c r="AE716" s="30">
        <v>43580</v>
      </c>
      <c r="AF716" s="23">
        <v>0</v>
      </c>
      <c r="AG716" s="25" t="s">
        <v>56</v>
      </c>
      <c r="AH716" s="24">
        <v>0</v>
      </c>
      <c r="AI716" s="31">
        <v>0</v>
      </c>
      <c r="AJ716" s="31">
        <v>0</v>
      </c>
      <c r="AK716" s="44">
        <f t="shared" si="22"/>
        <v>1730.3000000000004</v>
      </c>
      <c r="AL716">
        <f>VLOOKUP(A716,'[1]prueba con 16mil datos'!$A$1:$AE$804,31,FALSE)</f>
        <v>1092</v>
      </c>
      <c r="AM716">
        <f t="shared" si="23"/>
        <v>0</v>
      </c>
      <c r="AO716">
        <f>VLOOKUP(A716,'[1]Prueba con 19mil datos'!$B$1:$AF$1228,31,FALSE)</f>
        <v>1092</v>
      </c>
    </row>
    <row r="717" spans="1:44" hidden="1" x14ac:dyDescent="0.25">
      <c r="A717" s="16" t="s">
        <v>768</v>
      </c>
      <c r="B717" s="15" t="s">
        <v>40</v>
      </c>
      <c r="C717" s="16">
        <v>1</v>
      </c>
      <c r="D717" s="16" t="s">
        <v>2875</v>
      </c>
      <c r="E717" s="17" t="s">
        <v>42</v>
      </c>
      <c r="F717" s="18" t="s">
        <v>335</v>
      </c>
      <c r="G717" s="18" t="s">
        <v>2876</v>
      </c>
      <c r="H717" s="16" t="s">
        <v>143</v>
      </c>
      <c r="I717" s="19" t="s">
        <v>3</v>
      </c>
      <c r="J717" s="16" t="s">
        <v>12</v>
      </c>
      <c r="K717" s="20" t="s">
        <v>1632</v>
      </c>
      <c r="L717" s="20" t="s">
        <v>1633</v>
      </c>
      <c r="M717" s="16" t="s">
        <v>850</v>
      </c>
      <c r="N717" s="16">
        <v>0</v>
      </c>
      <c r="O717" s="16" t="s">
        <v>50</v>
      </c>
      <c r="P717" s="20">
        <v>69</v>
      </c>
      <c r="Q717" s="20" t="s">
        <v>51</v>
      </c>
      <c r="R717" s="21" t="s">
        <v>77</v>
      </c>
      <c r="S717" s="22" t="s">
        <v>53</v>
      </c>
      <c r="T717" s="22" t="s">
        <v>54</v>
      </c>
      <c r="U717" s="23" t="s">
        <v>55</v>
      </c>
      <c r="V717" s="24">
        <v>1.05</v>
      </c>
      <c r="W717" s="25">
        <v>750.75000000000011</v>
      </c>
      <c r="X717" s="26">
        <v>1</v>
      </c>
      <c r="Y717" s="27">
        <v>2.5</v>
      </c>
      <c r="Z717" s="23">
        <v>5</v>
      </c>
      <c r="AA717" s="28">
        <v>0.5</v>
      </c>
      <c r="AB717" s="24">
        <v>0</v>
      </c>
      <c r="AC717" s="29">
        <v>0</v>
      </c>
      <c r="AD717" s="30">
        <v>43580</v>
      </c>
      <c r="AE717" s="30">
        <v>43580</v>
      </c>
      <c r="AF717" s="23">
        <v>0</v>
      </c>
      <c r="AG717" s="25" t="s">
        <v>56</v>
      </c>
      <c r="AH717" s="24">
        <v>0</v>
      </c>
      <c r="AI717" s="31">
        <v>0</v>
      </c>
      <c r="AJ717" s="31">
        <v>0</v>
      </c>
      <c r="AK717" s="44">
        <f t="shared" si="22"/>
        <v>750.75000000000011</v>
      </c>
      <c r="AL717" t="e">
        <f>VLOOKUP(A717,'[1]prueba con 16mil datos'!$A$1:$AE$804,31,FALSE)</f>
        <v>#N/A</v>
      </c>
      <c r="AM717" t="e">
        <f t="shared" si="23"/>
        <v>#N/A</v>
      </c>
      <c r="AO717">
        <f>VLOOKUP(A717,'[1]Prueba con 19mil datos'!$B$1:$AF$1228,31,FALSE)</f>
        <v>1501.5</v>
      </c>
    </row>
    <row r="718" spans="1:44" hidden="1" x14ac:dyDescent="0.25">
      <c r="A718" s="16" t="s">
        <v>763</v>
      </c>
      <c r="B718" s="15" t="s">
        <v>40</v>
      </c>
      <c r="C718" s="16">
        <v>1</v>
      </c>
      <c r="D718" s="16" t="s">
        <v>2872</v>
      </c>
      <c r="E718" s="17" t="s">
        <v>42</v>
      </c>
      <c r="F718" s="18" t="s">
        <v>335</v>
      </c>
      <c r="G718" s="18" t="s">
        <v>2873</v>
      </c>
      <c r="H718" s="16" t="s">
        <v>46</v>
      </c>
      <c r="I718" s="19" t="s">
        <v>3</v>
      </c>
      <c r="J718" s="16" t="s">
        <v>12</v>
      </c>
      <c r="K718" s="20" t="s">
        <v>208</v>
      </c>
      <c r="L718" s="20" t="s">
        <v>1048</v>
      </c>
      <c r="M718" s="16" t="s">
        <v>49</v>
      </c>
      <c r="N718" s="16">
        <v>0</v>
      </c>
      <c r="O718" s="16" t="s">
        <v>50</v>
      </c>
      <c r="P718" s="20">
        <v>85</v>
      </c>
      <c r="Q718" s="20" t="s">
        <v>51</v>
      </c>
      <c r="R718" s="21" t="s">
        <v>77</v>
      </c>
      <c r="S718" s="22" t="s">
        <v>53</v>
      </c>
      <c r="T718" s="22" t="s">
        <v>54</v>
      </c>
      <c r="U718" s="23" t="s">
        <v>55</v>
      </c>
      <c r="V718" s="24">
        <v>1.05</v>
      </c>
      <c r="W718" s="25">
        <v>750.75000000000011</v>
      </c>
      <c r="X718" s="26">
        <v>1</v>
      </c>
      <c r="Y718" s="27">
        <v>0.53</v>
      </c>
      <c r="Z718" s="23">
        <v>5</v>
      </c>
      <c r="AA718" s="28">
        <v>0.10600000000000001</v>
      </c>
      <c r="AB718" s="24">
        <v>0</v>
      </c>
      <c r="AC718" s="29">
        <v>0</v>
      </c>
      <c r="AD718" s="30">
        <v>43580</v>
      </c>
      <c r="AE718" s="30">
        <v>43580</v>
      </c>
      <c r="AF718" s="23">
        <v>0</v>
      </c>
      <c r="AG718" s="25" t="s">
        <v>56</v>
      </c>
      <c r="AH718" s="24">
        <v>0</v>
      </c>
      <c r="AI718" s="31">
        <v>0</v>
      </c>
      <c r="AJ718" s="31">
        <v>0</v>
      </c>
      <c r="AK718" s="44">
        <f t="shared" si="22"/>
        <v>750.75000000000011</v>
      </c>
      <c r="AL718">
        <f>VLOOKUP(A718,'[1]prueba con 16mil datos'!$A$1:$AE$804,31,FALSE)</f>
        <v>1501.5</v>
      </c>
      <c r="AM718">
        <f t="shared" si="23"/>
        <v>0</v>
      </c>
      <c r="AO718">
        <f>VLOOKUP(A718,'[1]Prueba con 19mil datos'!$B$1:$AF$1228,31,FALSE)</f>
        <v>1501.5</v>
      </c>
    </row>
    <row r="719" spans="1:44" hidden="1" x14ac:dyDescent="0.25">
      <c r="A719" s="16" t="s">
        <v>813</v>
      </c>
      <c r="B719" s="15" t="s">
        <v>40</v>
      </c>
      <c r="C719" s="16">
        <v>1</v>
      </c>
      <c r="D719" s="16" t="s">
        <v>2843</v>
      </c>
      <c r="E719" s="17" t="s">
        <v>42</v>
      </c>
      <c r="F719" s="18" t="s">
        <v>913</v>
      </c>
      <c r="G719" s="18" t="s">
        <v>2844</v>
      </c>
      <c r="H719" s="16" t="s">
        <v>377</v>
      </c>
      <c r="I719" s="19" t="s">
        <v>3</v>
      </c>
      <c r="J719" s="16" t="s">
        <v>12</v>
      </c>
      <c r="K719" s="20" t="s">
        <v>83</v>
      </c>
      <c r="L719" s="20" t="s">
        <v>810</v>
      </c>
      <c r="M719" s="16" t="s">
        <v>128</v>
      </c>
      <c r="N719" s="16">
        <v>0</v>
      </c>
      <c r="O719" s="16" t="s">
        <v>50</v>
      </c>
      <c r="P719" s="20">
        <v>336</v>
      </c>
      <c r="Q719" s="20" t="s">
        <v>51</v>
      </c>
      <c r="R719" s="21" t="s">
        <v>87</v>
      </c>
      <c r="S719" s="22" t="s">
        <v>53</v>
      </c>
      <c r="T719" s="22" t="s">
        <v>54</v>
      </c>
      <c r="U719" s="23" t="s">
        <v>55</v>
      </c>
      <c r="V719" s="24">
        <v>1.05</v>
      </c>
      <c r="W719" s="25">
        <v>750.75000000000011</v>
      </c>
      <c r="X719" s="26">
        <v>1</v>
      </c>
      <c r="Y719" s="27">
        <v>0</v>
      </c>
      <c r="Z719" s="23">
        <v>5</v>
      </c>
      <c r="AA719" s="28">
        <v>0</v>
      </c>
      <c r="AB719" s="24">
        <v>0</v>
      </c>
      <c r="AC719" s="29">
        <v>0</v>
      </c>
      <c r="AD719" s="30">
        <v>43580</v>
      </c>
      <c r="AE719" s="30">
        <v>43580</v>
      </c>
      <c r="AF719" s="23">
        <v>0</v>
      </c>
      <c r="AG719" s="25" t="s">
        <v>56</v>
      </c>
      <c r="AH719" s="24">
        <v>0</v>
      </c>
      <c r="AI719" s="31">
        <v>0</v>
      </c>
      <c r="AJ719" s="31">
        <v>0</v>
      </c>
      <c r="AK719" s="44">
        <f t="shared" si="22"/>
        <v>750.75000000000011</v>
      </c>
      <c r="AL719" t="e">
        <f>VLOOKUP(A719,'[1]prueba con 16mil datos'!$A$1:$AE$804,31,FALSE)</f>
        <v>#N/A</v>
      </c>
      <c r="AM719" t="e">
        <f t="shared" si="23"/>
        <v>#N/A</v>
      </c>
      <c r="AO719">
        <f>VLOOKUP(A719,'[1]Prueba con 19mil datos'!$B$1:$AF$1228,31,FALSE)</f>
        <v>0</v>
      </c>
    </row>
    <row r="720" spans="1:44" hidden="1" x14ac:dyDescent="0.25">
      <c r="A720" s="16" t="s">
        <v>813</v>
      </c>
      <c r="B720" s="15" t="s">
        <v>40</v>
      </c>
      <c r="C720" s="16">
        <v>1</v>
      </c>
      <c r="D720" s="16" t="s">
        <v>2878</v>
      </c>
      <c r="E720" s="17" t="s">
        <v>42</v>
      </c>
      <c r="F720" s="18" t="s">
        <v>180</v>
      </c>
      <c r="G720" s="18" t="s">
        <v>2879</v>
      </c>
      <c r="H720" s="16" t="s">
        <v>73</v>
      </c>
      <c r="I720" s="19" t="s">
        <v>3</v>
      </c>
      <c r="J720" s="16" t="s">
        <v>12</v>
      </c>
      <c r="K720" s="20" t="s">
        <v>198</v>
      </c>
      <c r="L720" s="20" t="s">
        <v>394</v>
      </c>
      <c r="M720" s="16" t="s">
        <v>76</v>
      </c>
      <c r="N720" s="16">
        <v>0</v>
      </c>
      <c r="O720" s="16" t="s">
        <v>50</v>
      </c>
      <c r="P720" s="20">
        <v>44</v>
      </c>
      <c r="Q720" s="20" t="s">
        <v>86</v>
      </c>
      <c r="R720" s="21" t="s">
        <v>186</v>
      </c>
      <c r="S720" s="22" t="s">
        <v>187</v>
      </c>
      <c r="T720" s="22" t="s">
        <v>54</v>
      </c>
      <c r="U720" s="23" t="s">
        <v>188</v>
      </c>
      <c r="V720" s="24">
        <v>1.1000000000000001</v>
      </c>
      <c r="W720" s="25">
        <v>1730.3000000000004</v>
      </c>
      <c r="X720" s="26">
        <v>1</v>
      </c>
      <c r="Y720" s="27">
        <v>1.1200000000000001</v>
      </c>
      <c r="Z720" s="23">
        <v>4</v>
      </c>
      <c r="AA720" s="28">
        <v>0.28000000000000003</v>
      </c>
      <c r="AB720" s="24">
        <v>0</v>
      </c>
      <c r="AC720" s="29">
        <v>0</v>
      </c>
      <c r="AD720" s="30">
        <v>43580</v>
      </c>
      <c r="AE720" s="30">
        <v>43580</v>
      </c>
      <c r="AF720" s="23">
        <v>0</v>
      </c>
      <c r="AG720" s="25" t="s">
        <v>56</v>
      </c>
      <c r="AH720" s="24">
        <v>0</v>
      </c>
      <c r="AI720" s="31">
        <v>0</v>
      </c>
      <c r="AJ720" s="31">
        <v>0</v>
      </c>
      <c r="AK720" s="44">
        <f t="shared" si="22"/>
        <v>1730.3000000000004</v>
      </c>
      <c r="AL720" t="e">
        <f>VLOOKUP(A720,'[1]prueba con 16mil datos'!$A$1:$AE$804,31,FALSE)</f>
        <v>#N/A</v>
      </c>
      <c r="AM720" t="e">
        <f t="shared" si="23"/>
        <v>#N/A</v>
      </c>
      <c r="AO720">
        <f>VLOOKUP(A720,'[1]Prueba con 19mil datos'!$B$1:$AF$1228,31,FALSE)</f>
        <v>0</v>
      </c>
    </row>
    <row r="721" spans="1:44" hidden="1" x14ac:dyDescent="0.25">
      <c r="A721" s="16" t="s">
        <v>2210</v>
      </c>
      <c r="B721" s="15" t="s">
        <v>40</v>
      </c>
      <c r="C721" s="16">
        <v>1</v>
      </c>
      <c r="D721" s="16" t="s">
        <v>2861</v>
      </c>
      <c r="E721" s="17" t="s">
        <v>42</v>
      </c>
      <c r="F721" s="18" t="s">
        <v>180</v>
      </c>
      <c r="G721" s="18" t="s">
        <v>2663</v>
      </c>
      <c r="H721" s="16" t="s">
        <v>243</v>
      </c>
      <c r="I721" s="19" t="s">
        <v>3</v>
      </c>
      <c r="J721" s="16" t="s">
        <v>12</v>
      </c>
      <c r="K721" s="20" t="s">
        <v>198</v>
      </c>
      <c r="L721" s="20" t="s">
        <v>546</v>
      </c>
      <c r="M721" s="16" t="s">
        <v>372</v>
      </c>
      <c r="N721" s="16">
        <v>0</v>
      </c>
      <c r="O721" s="16" t="s">
        <v>50</v>
      </c>
      <c r="P721" s="20">
        <v>7</v>
      </c>
      <c r="Q721" s="20" t="s">
        <v>65</v>
      </c>
      <c r="R721" s="21" t="s">
        <v>186</v>
      </c>
      <c r="S721" s="22" t="s">
        <v>187</v>
      </c>
      <c r="T721" s="22" t="s">
        <v>54</v>
      </c>
      <c r="U721" s="23" t="s">
        <v>201</v>
      </c>
      <c r="V721" s="24">
        <v>0.8</v>
      </c>
      <c r="W721" s="25">
        <v>1258.4000000000003</v>
      </c>
      <c r="X721" s="26">
        <v>1</v>
      </c>
      <c r="Y721" s="27">
        <v>3.28</v>
      </c>
      <c r="Z721" s="23">
        <v>4</v>
      </c>
      <c r="AA721" s="28">
        <v>0.82</v>
      </c>
      <c r="AB721" s="24">
        <v>0</v>
      </c>
      <c r="AC721" s="29">
        <v>0</v>
      </c>
      <c r="AD721" s="30">
        <v>43580</v>
      </c>
      <c r="AE721" s="30">
        <v>43580</v>
      </c>
      <c r="AF721" s="23">
        <v>0</v>
      </c>
      <c r="AG721" s="25" t="s">
        <v>56</v>
      </c>
      <c r="AH721" s="24">
        <v>0</v>
      </c>
      <c r="AI721" s="31">
        <v>0</v>
      </c>
      <c r="AJ721" s="31">
        <v>0</v>
      </c>
      <c r="AK721" s="44">
        <f t="shared" si="22"/>
        <v>1258.4000000000003</v>
      </c>
      <c r="AL721" t="e">
        <f>VLOOKUP(A721,'[1]prueba con 16mil datos'!$A$1:$AE$804,31,FALSE)</f>
        <v>#N/A</v>
      </c>
      <c r="AM721" t="e">
        <f t="shared" si="23"/>
        <v>#N/A</v>
      </c>
      <c r="AO721">
        <f>VLOOKUP(A721,'[1]Prueba con 19mil datos'!$B$1:$AF$1228,31,FALSE)</f>
        <v>0</v>
      </c>
    </row>
    <row r="722" spans="1:44" hidden="1" x14ac:dyDescent="0.25">
      <c r="A722" s="16" t="s">
        <v>1396</v>
      </c>
      <c r="B722" s="15" t="s">
        <v>40</v>
      </c>
      <c r="C722" s="16">
        <v>1</v>
      </c>
      <c r="D722" s="16" t="s">
        <v>2772</v>
      </c>
      <c r="E722" s="17" t="s">
        <v>1522</v>
      </c>
      <c r="F722" s="18" t="s">
        <v>574</v>
      </c>
      <c r="G722" s="18" t="s">
        <v>2773</v>
      </c>
      <c r="H722" s="16" t="s">
        <v>264</v>
      </c>
      <c r="I722" s="19" t="s">
        <v>3</v>
      </c>
      <c r="J722" s="16" t="s">
        <v>12</v>
      </c>
      <c r="K722" s="20" t="s">
        <v>378</v>
      </c>
      <c r="L722" s="20" t="s">
        <v>711</v>
      </c>
      <c r="M722" s="16" t="s">
        <v>267</v>
      </c>
      <c r="N722" s="16">
        <v>0</v>
      </c>
      <c r="O722" s="16" t="s">
        <v>50</v>
      </c>
      <c r="P722" s="20" t="s">
        <v>326</v>
      </c>
      <c r="Q722" s="20" t="s">
        <v>51</v>
      </c>
      <c r="R722" s="21" t="s">
        <v>148</v>
      </c>
      <c r="S722" s="22" t="s">
        <v>130</v>
      </c>
      <c r="T722" s="22" t="s">
        <v>54</v>
      </c>
      <c r="U722" s="23" t="s">
        <v>226</v>
      </c>
      <c r="V722" s="24">
        <v>1</v>
      </c>
      <c r="W722" s="25">
        <v>1365</v>
      </c>
      <c r="X722" s="26">
        <v>0</v>
      </c>
      <c r="Y722" s="27">
        <v>5</v>
      </c>
      <c r="Z722" s="23">
        <v>5</v>
      </c>
      <c r="AA722" s="28">
        <v>1</v>
      </c>
      <c r="AB722" s="24">
        <v>0</v>
      </c>
      <c r="AC722" s="29">
        <v>0</v>
      </c>
      <c r="AD722" s="30">
        <v>43580</v>
      </c>
      <c r="AE722" s="30">
        <v>43580</v>
      </c>
      <c r="AF722" s="23">
        <v>0</v>
      </c>
      <c r="AG722" s="25" t="s">
        <v>56</v>
      </c>
      <c r="AH722" s="24">
        <v>0</v>
      </c>
      <c r="AI722" s="31">
        <v>0</v>
      </c>
      <c r="AJ722" s="31">
        <v>0</v>
      </c>
      <c r="AK722" s="44">
        <f t="shared" si="22"/>
        <v>1365</v>
      </c>
      <c r="AL722">
        <f>VLOOKUP(A722,'[1]prueba con 16mil datos'!$A$1:$AE$804,31,FALSE)</f>
        <v>1501.5</v>
      </c>
      <c r="AM722">
        <f t="shared" si="23"/>
        <v>0</v>
      </c>
      <c r="AO722">
        <f>VLOOKUP(A722,'[1]Prueba con 19mil datos'!$B$1:$AF$1228,31,FALSE)</f>
        <v>1501.5</v>
      </c>
    </row>
    <row r="723" spans="1:44" x14ac:dyDescent="0.25">
      <c r="A723" s="16" t="s">
        <v>950</v>
      </c>
      <c r="B723" s="15" t="s">
        <v>40</v>
      </c>
      <c r="C723" s="16">
        <v>1</v>
      </c>
      <c r="D723" s="16" t="s">
        <v>2792</v>
      </c>
      <c r="E723" s="17" t="s">
        <v>42</v>
      </c>
      <c r="F723" s="18" t="s">
        <v>122</v>
      </c>
      <c r="G723" s="18" t="s">
        <v>2793</v>
      </c>
      <c r="H723" s="16" t="s">
        <v>109</v>
      </c>
      <c r="I723" s="19" t="s">
        <v>3</v>
      </c>
      <c r="J723" s="16" t="s">
        <v>12</v>
      </c>
      <c r="K723" s="20" t="s">
        <v>198</v>
      </c>
      <c r="L723" s="20" t="s">
        <v>199</v>
      </c>
      <c r="M723" s="16" t="s">
        <v>200</v>
      </c>
      <c r="N723" s="16">
        <v>0</v>
      </c>
      <c r="O723" s="16" t="s">
        <v>50</v>
      </c>
      <c r="P723" s="20">
        <v>35</v>
      </c>
      <c r="Q723" s="20" t="s">
        <v>86</v>
      </c>
      <c r="R723" s="21" t="s">
        <v>129</v>
      </c>
      <c r="S723" s="22" t="s">
        <v>130</v>
      </c>
      <c r="T723" s="22" t="s">
        <v>54</v>
      </c>
      <c r="U723" s="23" t="s">
        <v>178</v>
      </c>
      <c r="V723" s="24">
        <v>1.05</v>
      </c>
      <c r="W723" s="25">
        <v>1433.25</v>
      </c>
      <c r="X723" s="26">
        <v>1</v>
      </c>
      <c r="Y723" s="27">
        <v>1.33</v>
      </c>
      <c r="Z723" s="23">
        <v>5</v>
      </c>
      <c r="AA723" s="28">
        <v>0.26600000000000001</v>
      </c>
      <c r="AB723" s="24">
        <v>0</v>
      </c>
      <c r="AC723" s="29">
        <v>0</v>
      </c>
      <c r="AD723" s="30">
        <v>43580</v>
      </c>
      <c r="AE723" s="30">
        <v>43580</v>
      </c>
      <c r="AF723" s="23">
        <v>0</v>
      </c>
      <c r="AG723" s="25" t="s">
        <v>56</v>
      </c>
      <c r="AH723" s="24">
        <v>0</v>
      </c>
      <c r="AI723" s="31">
        <v>0</v>
      </c>
      <c r="AJ723" s="31">
        <v>0</v>
      </c>
      <c r="AK723" s="44">
        <f t="shared" si="22"/>
        <v>1433.25</v>
      </c>
      <c r="AL723" t="e">
        <f>VLOOKUP(A723,'[1]prueba con 16mil datos'!$A$1:$AE$804,31,FALSE)</f>
        <v>#N/A</v>
      </c>
      <c r="AM723" t="e">
        <f t="shared" si="23"/>
        <v>#N/A</v>
      </c>
      <c r="AO723" t="e">
        <f>VLOOKUP(A723,'[1]Prueba con 19mil datos'!$B$1:$AF$1228,31,FALSE)</f>
        <v>#N/A</v>
      </c>
      <c r="AP723" t="e">
        <v>#N/A</v>
      </c>
      <c r="AR723" t="s">
        <v>3205</v>
      </c>
    </row>
    <row r="724" spans="1:44" hidden="1" x14ac:dyDescent="0.25">
      <c r="A724" s="16" t="s">
        <v>2452</v>
      </c>
      <c r="B724" s="15" t="s">
        <v>40</v>
      </c>
      <c r="C724" s="16">
        <v>1</v>
      </c>
      <c r="D724" s="16" t="s">
        <v>2823</v>
      </c>
      <c r="E724" s="17" t="s">
        <v>42</v>
      </c>
      <c r="F724" s="18" t="s">
        <v>122</v>
      </c>
      <c r="G724" s="18" t="s">
        <v>2824</v>
      </c>
      <c r="H724" s="16" t="s">
        <v>153</v>
      </c>
      <c r="I724" s="19" t="s">
        <v>3</v>
      </c>
      <c r="J724" s="16" t="s">
        <v>12</v>
      </c>
      <c r="K724" s="20" t="s">
        <v>126</v>
      </c>
      <c r="L724" s="20" t="s">
        <v>278</v>
      </c>
      <c r="M724" s="16" t="s">
        <v>156</v>
      </c>
      <c r="N724" s="16">
        <v>0</v>
      </c>
      <c r="O724" s="16" t="s">
        <v>50</v>
      </c>
      <c r="P724" s="20">
        <v>102</v>
      </c>
      <c r="Q724" s="20" t="s">
        <v>51</v>
      </c>
      <c r="R724" s="21" t="s">
        <v>129</v>
      </c>
      <c r="S724" s="22" t="s">
        <v>130</v>
      </c>
      <c r="T724" s="22" t="s">
        <v>157</v>
      </c>
      <c r="U724" s="23" t="s">
        <v>226</v>
      </c>
      <c r="V724" s="24">
        <v>1.1000000000000001</v>
      </c>
      <c r="W724" s="25">
        <v>1501.5000000000002</v>
      </c>
      <c r="X724" s="26">
        <v>1</v>
      </c>
      <c r="Y724" s="27">
        <v>1.3</v>
      </c>
      <c r="Z724" s="23">
        <v>9</v>
      </c>
      <c r="AA724" s="28">
        <v>0.14444444444444446</v>
      </c>
      <c r="AB724" s="24">
        <v>0</v>
      </c>
      <c r="AC724" s="29">
        <v>0</v>
      </c>
      <c r="AD724" s="30">
        <v>43580</v>
      </c>
      <c r="AE724" s="30">
        <v>43580</v>
      </c>
      <c r="AF724" s="23">
        <v>0</v>
      </c>
      <c r="AG724" s="25" t="s">
        <v>56</v>
      </c>
      <c r="AH724" s="24">
        <v>0</v>
      </c>
      <c r="AI724" s="31">
        <v>0</v>
      </c>
      <c r="AJ724" s="31">
        <v>0</v>
      </c>
      <c r="AK724" s="44">
        <f t="shared" si="22"/>
        <v>1501.5000000000002</v>
      </c>
      <c r="AL724">
        <f>VLOOKUP(A724,'[1]prueba con 16mil datos'!$A$1:$AE$804,31,FALSE)</f>
        <v>572</v>
      </c>
      <c r="AM724">
        <f t="shared" si="23"/>
        <v>0</v>
      </c>
      <c r="AO724">
        <f>VLOOKUP(A724,'[1]Prueba con 19mil datos'!$B$1:$AF$1228,31,FALSE)</f>
        <v>572</v>
      </c>
    </row>
    <row r="725" spans="1:44" x14ac:dyDescent="0.25">
      <c r="A725" s="16" t="s">
        <v>1253</v>
      </c>
      <c r="B725" s="15" t="s">
        <v>40</v>
      </c>
      <c r="C725" s="16">
        <v>1</v>
      </c>
      <c r="D725" s="16" t="s">
        <v>2853</v>
      </c>
      <c r="E725" s="17" t="s">
        <v>42</v>
      </c>
      <c r="F725" s="18" t="s">
        <v>233</v>
      </c>
      <c r="G725" s="18" t="s">
        <v>2854</v>
      </c>
      <c r="H725" s="16" t="s">
        <v>207</v>
      </c>
      <c r="I725" s="19" t="s">
        <v>3</v>
      </c>
      <c r="J725" s="16" t="s">
        <v>12</v>
      </c>
      <c r="K725" s="20" t="s">
        <v>74</v>
      </c>
      <c r="L725" s="20" t="s">
        <v>2856</v>
      </c>
      <c r="M725" s="16" t="s">
        <v>200</v>
      </c>
      <c r="N725" s="16">
        <v>0</v>
      </c>
      <c r="O725" s="16" t="s">
        <v>50</v>
      </c>
      <c r="P725" s="20">
        <v>68</v>
      </c>
      <c r="Q725" s="20" t="s">
        <v>51</v>
      </c>
      <c r="R725" s="21" t="s">
        <v>77</v>
      </c>
      <c r="S725" s="22" t="s">
        <v>53</v>
      </c>
      <c r="T725" s="22" t="s">
        <v>54</v>
      </c>
      <c r="U725" s="23" t="s">
        <v>55</v>
      </c>
      <c r="V725" s="24">
        <v>1.05</v>
      </c>
      <c r="W725" s="25">
        <v>750.75000000000011</v>
      </c>
      <c r="X725" s="26">
        <v>1</v>
      </c>
      <c r="Y725" s="27">
        <v>2.0699999999999998</v>
      </c>
      <c r="Z725" s="23">
        <v>5</v>
      </c>
      <c r="AA725" s="28">
        <v>0.41399999999999998</v>
      </c>
      <c r="AB725" s="24">
        <v>0</v>
      </c>
      <c r="AC725" s="29">
        <v>0</v>
      </c>
      <c r="AD725" s="30">
        <v>43580</v>
      </c>
      <c r="AE725" s="30">
        <v>43580</v>
      </c>
      <c r="AF725" s="23">
        <v>0</v>
      </c>
      <c r="AG725" s="25" t="s">
        <v>56</v>
      </c>
      <c r="AH725" s="24">
        <v>0</v>
      </c>
      <c r="AI725" s="31">
        <v>0</v>
      </c>
      <c r="AJ725" s="31">
        <v>0</v>
      </c>
      <c r="AK725" s="44">
        <f t="shared" si="22"/>
        <v>750.75000000000011</v>
      </c>
      <c r="AL725" t="e">
        <f>VLOOKUP(A725,'[1]prueba con 16mil datos'!$A$1:$AE$804,31,FALSE)</f>
        <v>#N/A</v>
      </c>
      <c r="AM725" t="e">
        <f t="shared" si="23"/>
        <v>#N/A</v>
      </c>
      <c r="AO725" t="e">
        <f>VLOOKUP(A725,'[1]Prueba con 19mil datos'!$B$1:$AF$1228,31,FALSE)</f>
        <v>#N/A</v>
      </c>
      <c r="AP725" t="s">
        <v>3212</v>
      </c>
      <c r="AR725" t="s">
        <v>3213</v>
      </c>
    </row>
    <row r="726" spans="1:44" hidden="1" x14ac:dyDescent="0.25">
      <c r="A726" s="16" t="s">
        <v>3136</v>
      </c>
      <c r="B726" s="15" t="s">
        <v>40</v>
      </c>
      <c r="C726" s="16">
        <v>1</v>
      </c>
      <c r="D726" s="16" t="s">
        <v>2810</v>
      </c>
      <c r="E726" s="17" t="s">
        <v>42</v>
      </c>
      <c r="F726" s="18" t="s">
        <v>1681</v>
      </c>
      <c r="G726" s="18" t="s">
        <v>2811</v>
      </c>
      <c r="H726" s="16" t="s">
        <v>125</v>
      </c>
      <c r="I726" s="19" t="s">
        <v>3</v>
      </c>
      <c r="J726" s="16" t="s">
        <v>12</v>
      </c>
      <c r="K726" s="20" t="s">
        <v>1432</v>
      </c>
      <c r="L726" s="20" t="s">
        <v>2300</v>
      </c>
      <c r="M726" s="16" t="s">
        <v>105</v>
      </c>
      <c r="N726" s="16">
        <v>0</v>
      </c>
      <c r="O726" s="16" t="s">
        <v>50</v>
      </c>
      <c r="P726" s="20">
        <v>278</v>
      </c>
      <c r="Q726" s="20" t="s">
        <v>51</v>
      </c>
      <c r="R726" s="21" t="s">
        <v>225</v>
      </c>
      <c r="S726" s="22" t="s">
        <v>130</v>
      </c>
      <c r="T726" s="22" t="s">
        <v>54</v>
      </c>
      <c r="U726" s="23" t="s">
        <v>226</v>
      </c>
      <c r="V726" s="24">
        <v>1.1000000000000001</v>
      </c>
      <c r="W726" s="25">
        <v>1501.5000000000002</v>
      </c>
      <c r="X726" s="26">
        <v>1</v>
      </c>
      <c r="Y726" s="27">
        <v>1.83</v>
      </c>
      <c r="Z726" s="23">
        <v>5</v>
      </c>
      <c r="AA726" s="28">
        <v>0.36599999999999999</v>
      </c>
      <c r="AB726" s="24">
        <v>0</v>
      </c>
      <c r="AC726" s="29">
        <v>0</v>
      </c>
      <c r="AD726" s="30">
        <v>43580</v>
      </c>
      <c r="AE726" s="30">
        <v>43580</v>
      </c>
      <c r="AF726" s="23">
        <v>0</v>
      </c>
      <c r="AG726" s="25" t="s">
        <v>56</v>
      </c>
      <c r="AH726" s="24">
        <v>0</v>
      </c>
      <c r="AI726" s="31">
        <v>0</v>
      </c>
      <c r="AJ726" s="31">
        <v>0</v>
      </c>
      <c r="AK726" s="44">
        <f t="shared" si="22"/>
        <v>1501.5000000000002</v>
      </c>
      <c r="AL726" t="e">
        <f>VLOOKUP(A726,'[1]prueba con 16mil datos'!$A$1:$AE$804,31,FALSE)</f>
        <v>#N/A</v>
      </c>
      <c r="AM726" t="e">
        <f t="shared" si="23"/>
        <v>#N/A</v>
      </c>
      <c r="AO726">
        <f>VLOOKUP(A726,'[1]Prueba con 19mil datos'!$B$1:$AF$1228,31,FALSE)</f>
        <v>0</v>
      </c>
    </row>
    <row r="727" spans="1:44" x14ac:dyDescent="0.25">
      <c r="A727" s="16" t="s">
        <v>2664</v>
      </c>
      <c r="B727" s="15" t="s">
        <v>40</v>
      </c>
      <c r="C727" s="16">
        <v>1</v>
      </c>
      <c r="D727" s="16" t="s">
        <v>2865</v>
      </c>
      <c r="E727" s="17" t="s">
        <v>42</v>
      </c>
      <c r="F727" s="18" t="s">
        <v>1429</v>
      </c>
      <c r="G727" s="18" t="s">
        <v>2866</v>
      </c>
      <c r="H727" s="16" t="s">
        <v>317</v>
      </c>
      <c r="I727" s="19" t="s">
        <v>3</v>
      </c>
      <c r="J727" s="16" t="s">
        <v>12</v>
      </c>
      <c r="K727" s="20" t="s">
        <v>1432</v>
      </c>
      <c r="L727" s="20" t="s">
        <v>1433</v>
      </c>
      <c r="M727" s="16" t="s">
        <v>105</v>
      </c>
      <c r="N727" s="16">
        <v>0</v>
      </c>
      <c r="O727" s="16" t="s">
        <v>50</v>
      </c>
      <c r="P727" s="20">
        <v>185</v>
      </c>
      <c r="Q727" s="20" t="s">
        <v>51</v>
      </c>
      <c r="R727" s="21" t="s">
        <v>225</v>
      </c>
      <c r="S727" s="22" t="s">
        <v>130</v>
      </c>
      <c r="T727" s="22" t="s">
        <v>54</v>
      </c>
      <c r="U727" s="23" t="s">
        <v>226</v>
      </c>
      <c r="V727" s="24">
        <v>1.1000000000000001</v>
      </c>
      <c r="W727" s="25">
        <v>1501.5000000000002</v>
      </c>
      <c r="X727" s="26">
        <v>1</v>
      </c>
      <c r="Y727" s="27">
        <v>0.92</v>
      </c>
      <c r="Z727" s="23">
        <v>5</v>
      </c>
      <c r="AA727" s="28">
        <v>0.184</v>
      </c>
      <c r="AB727" s="24">
        <v>0</v>
      </c>
      <c r="AC727" s="29">
        <v>0</v>
      </c>
      <c r="AD727" s="30">
        <v>43580</v>
      </c>
      <c r="AE727" s="30">
        <v>43580</v>
      </c>
      <c r="AF727" s="23">
        <v>0</v>
      </c>
      <c r="AG727" s="25" t="s">
        <v>56</v>
      </c>
      <c r="AH727" s="24">
        <v>0</v>
      </c>
      <c r="AI727" s="31">
        <v>0</v>
      </c>
      <c r="AJ727" s="31">
        <v>0</v>
      </c>
      <c r="AK727" s="44">
        <f t="shared" si="22"/>
        <v>1501.5000000000002</v>
      </c>
      <c r="AL727" t="e">
        <f>VLOOKUP(A727,'[1]prueba con 16mil datos'!$A$1:$AE$804,31,FALSE)</f>
        <v>#N/A</v>
      </c>
      <c r="AM727" t="e">
        <f t="shared" si="23"/>
        <v>#N/A</v>
      </c>
      <c r="AO727" t="e">
        <f>VLOOKUP(A727,'[1]Prueba con 19mil datos'!$B$1:$AF$1228,31,FALSE)</f>
        <v>#N/A</v>
      </c>
      <c r="AP727" t="s">
        <v>3212</v>
      </c>
      <c r="AR727" t="s">
        <v>3213</v>
      </c>
    </row>
    <row r="728" spans="1:44" hidden="1" x14ac:dyDescent="0.25">
      <c r="A728" s="16" t="s">
        <v>2487</v>
      </c>
      <c r="B728" s="15" t="s">
        <v>40</v>
      </c>
      <c r="C728" s="16">
        <v>1</v>
      </c>
      <c r="D728" s="16" t="s">
        <v>2830</v>
      </c>
      <c r="E728" s="17" t="s">
        <v>42</v>
      </c>
      <c r="F728" s="18" t="s">
        <v>675</v>
      </c>
      <c r="G728" s="18" t="s">
        <v>2831</v>
      </c>
      <c r="H728" s="16" t="s">
        <v>82</v>
      </c>
      <c r="I728" s="19" t="s">
        <v>3</v>
      </c>
      <c r="J728" s="16" t="s">
        <v>12</v>
      </c>
      <c r="K728" s="20" t="s">
        <v>564</v>
      </c>
      <c r="L728" s="20" t="s">
        <v>565</v>
      </c>
      <c r="M728" s="16" t="s">
        <v>566</v>
      </c>
      <c r="N728" s="16">
        <v>0</v>
      </c>
      <c r="O728" s="16" t="s">
        <v>50</v>
      </c>
      <c r="P728" s="20">
        <v>55</v>
      </c>
      <c r="Q728" s="20" t="s">
        <v>86</v>
      </c>
      <c r="R728" s="21" t="s">
        <v>52</v>
      </c>
      <c r="S728" s="22" t="s">
        <v>53</v>
      </c>
      <c r="T728" s="22" t="s">
        <v>54</v>
      </c>
      <c r="U728" s="23" t="s">
        <v>88</v>
      </c>
      <c r="V728" s="24">
        <v>0.8</v>
      </c>
      <c r="W728" s="25">
        <v>572.00000000000011</v>
      </c>
      <c r="X728" s="26">
        <v>1</v>
      </c>
      <c r="Y728" s="27">
        <v>0.89</v>
      </c>
      <c r="Z728" s="23">
        <v>5</v>
      </c>
      <c r="AA728" s="28">
        <v>0.17799999999999999</v>
      </c>
      <c r="AB728" s="24">
        <v>0</v>
      </c>
      <c r="AC728" s="29">
        <v>0</v>
      </c>
      <c r="AD728" s="30">
        <v>43580</v>
      </c>
      <c r="AE728" s="30">
        <v>43580</v>
      </c>
      <c r="AF728" s="23">
        <v>0</v>
      </c>
      <c r="AG728" s="25" t="s">
        <v>56</v>
      </c>
      <c r="AH728" s="24">
        <v>0</v>
      </c>
      <c r="AI728" s="31">
        <v>0</v>
      </c>
      <c r="AJ728" s="31">
        <v>0</v>
      </c>
      <c r="AK728" s="44">
        <f t="shared" si="22"/>
        <v>572.00000000000011</v>
      </c>
      <c r="AL728">
        <f>VLOOKUP(A728,'[1]prueba con 16mil datos'!$A$1:$AE$804,31,FALSE)</f>
        <v>750.75</v>
      </c>
      <c r="AM728">
        <f t="shared" si="23"/>
        <v>0</v>
      </c>
      <c r="AO728">
        <f>VLOOKUP(A728,'[1]Prueba con 19mil datos'!$B$1:$AF$1228,31,FALSE)</f>
        <v>750.75</v>
      </c>
    </row>
    <row r="729" spans="1:44" hidden="1" x14ac:dyDescent="0.25">
      <c r="A729" s="16" t="s">
        <v>1012</v>
      </c>
      <c r="B729" s="15" t="s">
        <v>40</v>
      </c>
      <c r="C729" s="16">
        <v>1</v>
      </c>
      <c r="D729" s="16" t="s">
        <v>2849</v>
      </c>
      <c r="E729" s="17" t="s">
        <v>42</v>
      </c>
      <c r="F729" s="18" t="s">
        <v>2850</v>
      </c>
      <c r="G729" s="18" t="s">
        <v>2851</v>
      </c>
      <c r="H729" s="16" t="s">
        <v>516</v>
      </c>
      <c r="I729" s="19" t="s">
        <v>3</v>
      </c>
      <c r="J729" s="16" t="s">
        <v>12</v>
      </c>
      <c r="K729" s="20" t="s">
        <v>791</v>
      </c>
      <c r="L729" s="20" t="s">
        <v>792</v>
      </c>
      <c r="M729" s="16" t="s">
        <v>429</v>
      </c>
      <c r="N729" s="16">
        <v>0</v>
      </c>
      <c r="O729" s="16" t="s">
        <v>50</v>
      </c>
      <c r="P729" s="20">
        <v>28</v>
      </c>
      <c r="Q729" s="20" t="s">
        <v>119</v>
      </c>
      <c r="R729" s="21" t="s">
        <v>408</v>
      </c>
      <c r="S729" s="22" t="s">
        <v>53</v>
      </c>
      <c r="T729" s="22" t="s">
        <v>54</v>
      </c>
      <c r="U729" s="23" t="s">
        <v>120</v>
      </c>
      <c r="V729" s="24">
        <v>0.6</v>
      </c>
      <c r="W729" s="25">
        <v>429.00000000000006</v>
      </c>
      <c r="X729" s="26">
        <v>1</v>
      </c>
      <c r="Y729" s="27">
        <v>2.85</v>
      </c>
      <c r="Z729" s="23">
        <v>5</v>
      </c>
      <c r="AA729" s="28">
        <v>0.57000000000000006</v>
      </c>
      <c r="AB729" s="24">
        <v>0</v>
      </c>
      <c r="AC729" s="29">
        <v>0</v>
      </c>
      <c r="AD729" s="30">
        <v>43580</v>
      </c>
      <c r="AE729" s="30">
        <v>43580</v>
      </c>
      <c r="AF729" s="23">
        <v>0</v>
      </c>
      <c r="AG729" s="25" t="s">
        <v>56</v>
      </c>
      <c r="AH729" s="24">
        <v>0</v>
      </c>
      <c r="AI729" s="31">
        <v>0</v>
      </c>
      <c r="AJ729" s="31">
        <v>0</v>
      </c>
      <c r="AK729" s="44">
        <f t="shared" si="22"/>
        <v>429.00000000000006</v>
      </c>
      <c r="AL729">
        <f>VLOOKUP(A729,'[1]prueba con 16mil datos'!$A$1:$AE$804,31,FALSE)</f>
        <v>-0.59584525000000799</v>
      </c>
      <c r="AM729">
        <f t="shared" si="23"/>
        <v>0</v>
      </c>
      <c r="AO729">
        <f>VLOOKUP(A729,'[1]Prueba con 19mil datos'!$B$1:$AF$1228,31,FALSE)</f>
        <v>-0.59584525000000799</v>
      </c>
    </row>
    <row r="730" spans="1:44" hidden="1" x14ac:dyDescent="0.25">
      <c r="A730" s="16" t="s">
        <v>439</v>
      </c>
      <c r="B730" s="15" t="s">
        <v>40</v>
      </c>
      <c r="C730" s="16">
        <v>1</v>
      </c>
      <c r="D730" s="16" t="s">
        <v>2857</v>
      </c>
      <c r="E730" s="17" t="s">
        <v>42</v>
      </c>
      <c r="F730" s="18" t="s">
        <v>305</v>
      </c>
      <c r="G730" s="18" t="s">
        <v>2858</v>
      </c>
      <c r="H730" s="16" t="s">
        <v>168</v>
      </c>
      <c r="I730" s="19" t="s">
        <v>3</v>
      </c>
      <c r="J730" s="16" t="s">
        <v>12</v>
      </c>
      <c r="K730" s="20" t="s">
        <v>1027</v>
      </c>
      <c r="L730" s="20" t="s">
        <v>2860</v>
      </c>
      <c r="M730" s="16" t="s">
        <v>171</v>
      </c>
      <c r="N730" s="16">
        <v>0</v>
      </c>
      <c r="O730" s="16" t="s">
        <v>50</v>
      </c>
      <c r="P730" s="20">
        <v>42</v>
      </c>
      <c r="Q730" s="20" t="s">
        <v>86</v>
      </c>
      <c r="R730" s="21" t="s">
        <v>148</v>
      </c>
      <c r="S730" s="22" t="s">
        <v>130</v>
      </c>
      <c r="T730" s="22" t="s">
        <v>54</v>
      </c>
      <c r="U730" s="23" t="s">
        <v>178</v>
      </c>
      <c r="V730" s="24">
        <v>1.05</v>
      </c>
      <c r="W730" s="25">
        <v>1433.25</v>
      </c>
      <c r="X730" s="26">
        <v>1</v>
      </c>
      <c r="Y730" s="27">
        <v>2.15</v>
      </c>
      <c r="Z730" s="23">
        <v>5</v>
      </c>
      <c r="AA730" s="28">
        <v>0.43</v>
      </c>
      <c r="AB730" s="24">
        <v>0</v>
      </c>
      <c r="AC730" s="29">
        <v>0</v>
      </c>
      <c r="AD730" s="30">
        <v>43580</v>
      </c>
      <c r="AE730" s="30">
        <v>43580</v>
      </c>
      <c r="AF730" s="23">
        <v>0</v>
      </c>
      <c r="AG730" s="25" t="s">
        <v>56</v>
      </c>
      <c r="AH730" s="24">
        <v>0</v>
      </c>
      <c r="AI730" s="31">
        <v>0</v>
      </c>
      <c r="AJ730" s="31">
        <v>0</v>
      </c>
      <c r="AK730" s="44">
        <f t="shared" si="22"/>
        <v>1433.25</v>
      </c>
      <c r="AL730" t="e">
        <f>VLOOKUP(A730,'[1]prueba con 16mil datos'!$A$1:$AE$804,31,FALSE)</f>
        <v>#N/A</v>
      </c>
      <c r="AM730" t="e">
        <f t="shared" si="23"/>
        <v>#N/A</v>
      </c>
      <c r="AO730">
        <f>VLOOKUP(A730,'[1]Prueba con 19mil datos'!$B$1:$AF$1228,31,FALSE)</f>
        <v>0</v>
      </c>
    </row>
    <row r="731" spans="1:44" x14ac:dyDescent="0.25">
      <c r="A731" s="16" t="s">
        <v>2804</v>
      </c>
      <c r="B731" s="15" t="s">
        <v>40</v>
      </c>
      <c r="C731" s="16">
        <v>1</v>
      </c>
      <c r="D731" s="16" t="s">
        <v>2932</v>
      </c>
      <c r="E731" s="17" t="s">
        <v>42</v>
      </c>
      <c r="F731" s="18" t="s">
        <v>290</v>
      </c>
      <c r="G731" s="18" t="s">
        <v>2933</v>
      </c>
      <c r="H731" s="16" t="s">
        <v>516</v>
      </c>
      <c r="I731" s="19" t="s">
        <v>3</v>
      </c>
      <c r="J731" s="16" t="s">
        <v>12</v>
      </c>
      <c r="K731" s="20" t="s">
        <v>2186</v>
      </c>
      <c r="L731" s="20" t="s">
        <v>2187</v>
      </c>
      <c r="M731" s="16" t="s">
        <v>833</v>
      </c>
      <c r="N731" s="16">
        <v>0</v>
      </c>
      <c r="O731" s="16" t="s">
        <v>50</v>
      </c>
      <c r="P731" s="20">
        <v>220</v>
      </c>
      <c r="Q731" s="20" t="s">
        <v>51</v>
      </c>
      <c r="R731" s="21" t="s">
        <v>129</v>
      </c>
      <c r="S731" s="22" t="s">
        <v>130</v>
      </c>
      <c r="T731" s="22" t="s">
        <v>54</v>
      </c>
      <c r="U731" s="23" t="s">
        <v>226</v>
      </c>
      <c r="V731" s="24">
        <v>1.1000000000000001</v>
      </c>
      <c r="W731" s="25">
        <v>1501.5000000000002</v>
      </c>
      <c r="X731" s="26">
        <v>1</v>
      </c>
      <c r="Y731" s="27">
        <v>0.95</v>
      </c>
      <c r="Z731" s="23">
        <v>5</v>
      </c>
      <c r="AA731" s="28">
        <v>0.19</v>
      </c>
      <c r="AB731" s="24">
        <v>0</v>
      </c>
      <c r="AC731" s="29">
        <v>0</v>
      </c>
      <c r="AD731" s="30">
        <v>43580</v>
      </c>
      <c r="AE731" s="30">
        <v>43581</v>
      </c>
      <c r="AF731" s="23">
        <v>1</v>
      </c>
      <c r="AG731" s="25" t="s">
        <v>56</v>
      </c>
      <c r="AH731" s="24">
        <v>0</v>
      </c>
      <c r="AI731" s="31">
        <v>0</v>
      </c>
      <c r="AJ731" s="31">
        <v>0</v>
      </c>
      <c r="AK731" s="44">
        <f t="shared" si="22"/>
        <v>1501.5000000000002</v>
      </c>
      <c r="AL731" t="e">
        <f>VLOOKUP(A731,'[1]prueba con 16mil datos'!$A$1:$AE$804,31,FALSE)</f>
        <v>#N/A</v>
      </c>
      <c r="AM731" t="e">
        <f t="shared" si="23"/>
        <v>#N/A</v>
      </c>
      <c r="AO731" t="e">
        <f>VLOOKUP(A731,'[1]Prueba con 19mil datos'!$B$1:$AF$1228,31,FALSE)</f>
        <v>#N/A</v>
      </c>
      <c r="AP731" t="s">
        <v>3212</v>
      </c>
      <c r="AR731" t="s">
        <v>3213</v>
      </c>
    </row>
    <row r="732" spans="1:44" x14ac:dyDescent="0.25">
      <c r="A732" s="16" t="s">
        <v>1491</v>
      </c>
      <c r="B732" s="15" t="s">
        <v>40</v>
      </c>
      <c r="C732" s="16">
        <v>1</v>
      </c>
      <c r="D732" s="16" t="s">
        <v>2756</v>
      </c>
      <c r="E732" s="17" t="s">
        <v>1522</v>
      </c>
      <c r="F732" s="18" t="s">
        <v>305</v>
      </c>
      <c r="G732" s="18" t="s">
        <v>2757</v>
      </c>
      <c r="H732" s="16" t="s">
        <v>377</v>
      </c>
      <c r="I732" s="19" t="s">
        <v>3</v>
      </c>
      <c r="J732" s="16" t="s">
        <v>12</v>
      </c>
      <c r="K732" s="20" t="s">
        <v>378</v>
      </c>
      <c r="L732" s="20" t="s">
        <v>666</v>
      </c>
      <c r="M732" s="16" t="s">
        <v>128</v>
      </c>
      <c r="N732" s="16">
        <v>0</v>
      </c>
      <c r="O732" s="16" t="s">
        <v>50</v>
      </c>
      <c r="P732" s="20" t="s">
        <v>326</v>
      </c>
      <c r="Q732" s="20" t="s">
        <v>51</v>
      </c>
      <c r="R732" s="21" t="s">
        <v>148</v>
      </c>
      <c r="S732" s="22" t="s">
        <v>130</v>
      </c>
      <c r="T732" s="22" t="s">
        <v>54</v>
      </c>
      <c r="U732" s="23" t="s">
        <v>226</v>
      </c>
      <c r="V732" s="24">
        <v>1</v>
      </c>
      <c r="W732" s="25">
        <v>1365</v>
      </c>
      <c r="X732" s="26">
        <v>0</v>
      </c>
      <c r="Y732" s="27">
        <v>5</v>
      </c>
      <c r="Z732" s="23">
        <v>5</v>
      </c>
      <c r="AA732" s="28">
        <v>1</v>
      </c>
      <c r="AB732" s="24">
        <v>0</v>
      </c>
      <c r="AC732" s="29">
        <v>0</v>
      </c>
      <c r="AD732" s="30">
        <v>43580</v>
      </c>
      <c r="AE732" s="30">
        <v>43580</v>
      </c>
      <c r="AF732" s="23">
        <v>0</v>
      </c>
      <c r="AG732" s="25" t="s">
        <v>56</v>
      </c>
      <c r="AH732" s="24">
        <v>0</v>
      </c>
      <c r="AI732" s="31">
        <v>0</v>
      </c>
      <c r="AJ732" s="31">
        <v>0</v>
      </c>
      <c r="AK732" s="44">
        <f t="shared" si="22"/>
        <v>1365</v>
      </c>
      <c r="AL732" t="e">
        <f>VLOOKUP(A732,'[1]prueba con 16mil datos'!$A$1:$AE$804,31,FALSE)</f>
        <v>#N/A</v>
      </c>
      <c r="AM732" t="e">
        <f t="shared" si="23"/>
        <v>#N/A</v>
      </c>
      <c r="AO732" t="e">
        <f>VLOOKUP(A732,'[1]Prueba con 19mil datos'!$B$1:$AF$1228,31,FALSE)</f>
        <v>#N/A</v>
      </c>
      <c r="AP732" t="s">
        <v>3212</v>
      </c>
      <c r="AR732" t="s">
        <v>3213</v>
      </c>
    </row>
    <row r="733" spans="1:44" x14ac:dyDescent="0.25">
      <c r="A733" s="16" t="s">
        <v>1491</v>
      </c>
      <c r="B733" s="15" t="s">
        <v>40</v>
      </c>
      <c r="C733" s="16">
        <v>1</v>
      </c>
      <c r="D733" s="16" t="s">
        <v>2862</v>
      </c>
      <c r="E733" s="17" t="s">
        <v>42</v>
      </c>
      <c r="F733" s="18" t="s">
        <v>305</v>
      </c>
      <c r="G733" s="18" t="s">
        <v>2863</v>
      </c>
      <c r="H733" s="16" t="s">
        <v>377</v>
      </c>
      <c r="I733" s="19" t="s">
        <v>3</v>
      </c>
      <c r="J733" s="16" t="s">
        <v>12</v>
      </c>
      <c r="K733" s="20" t="s">
        <v>378</v>
      </c>
      <c r="L733" s="20" t="s">
        <v>1542</v>
      </c>
      <c r="M733" s="16" t="s">
        <v>105</v>
      </c>
      <c r="N733" s="16">
        <v>0</v>
      </c>
      <c r="O733" s="16" t="s">
        <v>50</v>
      </c>
      <c r="P733" s="20">
        <v>723</v>
      </c>
      <c r="Q733" s="20" t="s">
        <v>51</v>
      </c>
      <c r="R733" s="21" t="s">
        <v>148</v>
      </c>
      <c r="S733" s="22" t="s">
        <v>130</v>
      </c>
      <c r="T733" s="22" t="s">
        <v>54</v>
      </c>
      <c r="U733" s="23" t="s">
        <v>226</v>
      </c>
      <c r="V733" s="24">
        <v>1.1000000000000001</v>
      </c>
      <c r="W733" s="25">
        <v>1501.5000000000002</v>
      </c>
      <c r="X733" s="26">
        <v>1</v>
      </c>
      <c r="Y733" s="27">
        <v>0.75</v>
      </c>
      <c r="Z733" s="23">
        <v>5</v>
      </c>
      <c r="AA733" s="28">
        <v>0.15</v>
      </c>
      <c r="AB733" s="24">
        <v>0</v>
      </c>
      <c r="AC733" s="29">
        <v>0</v>
      </c>
      <c r="AD733" s="30">
        <v>43580</v>
      </c>
      <c r="AE733" s="30">
        <v>43580</v>
      </c>
      <c r="AF733" s="23">
        <v>0</v>
      </c>
      <c r="AG733" s="25" t="s">
        <v>56</v>
      </c>
      <c r="AH733" s="24">
        <v>0</v>
      </c>
      <c r="AI733" s="31">
        <v>0</v>
      </c>
      <c r="AJ733" s="31">
        <v>0</v>
      </c>
      <c r="AK733" s="44">
        <f t="shared" si="22"/>
        <v>1501.5000000000002</v>
      </c>
      <c r="AL733" t="e">
        <f>VLOOKUP(A733,'[1]prueba con 16mil datos'!$A$1:$AE$804,31,FALSE)</f>
        <v>#N/A</v>
      </c>
      <c r="AM733" t="e">
        <f t="shared" si="23"/>
        <v>#N/A</v>
      </c>
      <c r="AO733" t="e">
        <f>VLOOKUP(A733,'[1]Prueba con 19mil datos'!$B$1:$AF$1228,31,FALSE)</f>
        <v>#N/A</v>
      </c>
      <c r="AP733" t="s">
        <v>3212</v>
      </c>
      <c r="AR733" t="s">
        <v>3213</v>
      </c>
    </row>
    <row r="734" spans="1:44" x14ac:dyDescent="0.25">
      <c r="A734" s="16" t="s">
        <v>251</v>
      </c>
      <c r="B734" s="15" t="s">
        <v>40</v>
      </c>
      <c r="C734" s="16">
        <v>1</v>
      </c>
      <c r="D734" s="16" t="s">
        <v>2785</v>
      </c>
      <c r="E734" s="17" t="s">
        <v>42</v>
      </c>
      <c r="F734" s="18" t="s">
        <v>2786</v>
      </c>
      <c r="G734" s="18" t="s">
        <v>2787</v>
      </c>
      <c r="H734" s="16" t="s">
        <v>125</v>
      </c>
      <c r="I734" s="19" t="s">
        <v>3</v>
      </c>
      <c r="J734" s="16" t="s">
        <v>12</v>
      </c>
      <c r="K734" s="20" t="s">
        <v>2101</v>
      </c>
      <c r="L734" s="20" t="s">
        <v>2102</v>
      </c>
      <c r="M734" s="16" t="s">
        <v>105</v>
      </c>
      <c r="N734" s="16">
        <v>0</v>
      </c>
      <c r="O734" s="16" t="s">
        <v>50</v>
      </c>
      <c r="P734" s="20">
        <v>369</v>
      </c>
      <c r="Q734" s="20" t="s">
        <v>51</v>
      </c>
      <c r="R734" s="21" t="s">
        <v>851</v>
      </c>
      <c r="S734" s="22" t="s">
        <v>53</v>
      </c>
      <c r="T734" s="22" t="s">
        <v>54</v>
      </c>
      <c r="U734" s="23" t="s">
        <v>55</v>
      </c>
      <c r="V734" s="24">
        <v>1.05</v>
      </c>
      <c r="W734" s="25">
        <v>750.75000000000011</v>
      </c>
      <c r="X734" s="26">
        <v>1</v>
      </c>
      <c r="Y734" s="27">
        <v>0</v>
      </c>
      <c r="Z734" s="23">
        <v>5</v>
      </c>
      <c r="AA734" s="28">
        <v>0</v>
      </c>
      <c r="AB734" s="24">
        <v>0</v>
      </c>
      <c r="AC734" s="29">
        <v>0</v>
      </c>
      <c r="AD734" s="30">
        <v>43580</v>
      </c>
      <c r="AE734" s="30">
        <v>43580</v>
      </c>
      <c r="AF734" s="23">
        <v>0</v>
      </c>
      <c r="AG734" s="25" t="s">
        <v>56</v>
      </c>
      <c r="AH734" s="24">
        <v>0</v>
      </c>
      <c r="AI734" s="31">
        <v>0</v>
      </c>
      <c r="AJ734" s="31">
        <v>0</v>
      </c>
      <c r="AK734" s="44">
        <f t="shared" si="22"/>
        <v>750.75000000000011</v>
      </c>
      <c r="AL734" t="e">
        <f>VLOOKUP(A734,'[1]prueba con 16mil datos'!$A$1:$AE$804,31,FALSE)</f>
        <v>#N/A</v>
      </c>
      <c r="AM734" t="e">
        <f t="shared" si="23"/>
        <v>#N/A</v>
      </c>
      <c r="AO734" t="e">
        <f>VLOOKUP(A734,'[1]Prueba con 19mil datos'!$B$1:$AF$1228,31,FALSE)</f>
        <v>#N/A</v>
      </c>
      <c r="AP734" t="s">
        <v>3212</v>
      </c>
      <c r="AR734" t="s">
        <v>3213</v>
      </c>
    </row>
    <row r="735" spans="1:44" x14ac:dyDescent="0.25">
      <c r="A735" s="16" t="s">
        <v>2507</v>
      </c>
      <c r="B735" s="15" t="s">
        <v>40</v>
      </c>
      <c r="C735" s="16">
        <v>1</v>
      </c>
      <c r="D735" s="16" t="s">
        <v>2782</v>
      </c>
      <c r="E735" s="17" t="s">
        <v>1522</v>
      </c>
      <c r="F735" s="18" t="s">
        <v>759</v>
      </c>
      <c r="G735" s="18" t="s">
        <v>2783</v>
      </c>
      <c r="H735" s="16" t="s">
        <v>377</v>
      </c>
      <c r="I735" s="19" t="s">
        <v>3</v>
      </c>
      <c r="J735" s="16" t="s">
        <v>12</v>
      </c>
      <c r="K735" s="20" t="s">
        <v>378</v>
      </c>
      <c r="L735" s="20" t="s">
        <v>666</v>
      </c>
      <c r="M735" s="16" t="s">
        <v>128</v>
      </c>
      <c r="N735" s="16">
        <v>0</v>
      </c>
      <c r="O735" s="16" t="s">
        <v>50</v>
      </c>
      <c r="P735" s="20" t="s">
        <v>326</v>
      </c>
      <c r="Q735" s="20" t="s">
        <v>51</v>
      </c>
      <c r="R735" s="21" t="s">
        <v>87</v>
      </c>
      <c r="S735" s="22" t="s">
        <v>53</v>
      </c>
      <c r="T735" s="22" t="s">
        <v>54</v>
      </c>
      <c r="U735" s="23" t="s">
        <v>55</v>
      </c>
      <c r="V735" s="24">
        <v>1</v>
      </c>
      <c r="W735" s="25">
        <v>715.00000000000011</v>
      </c>
      <c r="X735" s="26">
        <v>0</v>
      </c>
      <c r="Y735" s="27">
        <v>5</v>
      </c>
      <c r="Z735" s="23">
        <v>5</v>
      </c>
      <c r="AA735" s="28">
        <v>1</v>
      </c>
      <c r="AB735" s="24">
        <v>0</v>
      </c>
      <c r="AC735" s="29">
        <v>0</v>
      </c>
      <c r="AD735" s="30">
        <v>43580</v>
      </c>
      <c r="AE735" s="30">
        <v>43580</v>
      </c>
      <c r="AF735" s="23">
        <v>0</v>
      </c>
      <c r="AG735" s="25" t="s">
        <v>56</v>
      </c>
      <c r="AH735" s="24">
        <v>0</v>
      </c>
      <c r="AI735" s="31">
        <v>0</v>
      </c>
      <c r="AJ735" s="31">
        <v>0</v>
      </c>
      <c r="AK735" s="44">
        <f t="shared" si="22"/>
        <v>715.00000000000011</v>
      </c>
      <c r="AL735" t="e">
        <f>VLOOKUP(A735,'[1]prueba con 16mil datos'!$A$1:$AE$804,31,FALSE)</f>
        <v>#N/A</v>
      </c>
      <c r="AM735" t="e">
        <f t="shared" si="23"/>
        <v>#N/A</v>
      </c>
      <c r="AO735" t="e">
        <f>VLOOKUP(A735,'[1]Prueba con 19mil datos'!$B$1:$AF$1228,31,FALSE)</f>
        <v>#N/A</v>
      </c>
      <c r="AP735" t="s">
        <v>3212</v>
      </c>
      <c r="AR735" t="s">
        <v>3213</v>
      </c>
    </row>
    <row r="736" spans="1:44" x14ac:dyDescent="0.25">
      <c r="A736" s="16" t="s">
        <v>330</v>
      </c>
      <c r="B736" s="15" t="s">
        <v>40</v>
      </c>
      <c r="C736" s="16">
        <v>1</v>
      </c>
      <c r="D736" s="16" t="s">
        <v>2807</v>
      </c>
      <c r="E736" s="17" t="s">
        <v>42</v>
      </c>
      <c r="F736" s="18" t="s">
        <v>271</v>
      </c>
      <c r="G736" s="18" t="s">
        <v>2808</v>
      </c>
      <c r="H736" s="16" t="s">
        <v>221</v>
      </c>
      <c r="I736" s="19" t="s">
        <v>3</v>
      </c>
      <c r="J736" s="16" t="s">
        <v>12</v>
      </c>
      <c r="K736" s="20" t="s">
        <v>126</v>
      </c>
      <c r="L736" s="20" t="s">
        <v>1392</v>
      </c>
      <c r="M736" s="16" t="s">
        <v>490</v>
      </c>
      <c r="N736" s="16">
        <v>0</v>
      </c>
      <c r="O736" s="16" t="s">
        <v>50</v>
      </c>
      <c r="P736" s="20">
        <v>59</v>
      </c>
      <c r="Q736" s="20" t="s">
        <v>86</v>
      </c>
      <c r="R736" s="21" t="s">
        <v>186</v>
      </c>
      <c r="S736" s="22" t="s">
        <v>187</v>
      </c>
      <c r="T736" s="22" t="s">
        <v>54</v>
      </c>
      <c r="U736" s="23" t="s">
        <v>188</v>
      </c>
      <c r="V736" s="24">
        <v>1.1000000000000001</v>
      </c>
      <c r="W736" s="25">
        <v>1730.3000000000004</v>
      </c>
      <c r="X736" s="26">
        <v>1</v>
      </c>
      <c r="Y736" s="27">
        <v>0.37</v>
      </c>
      <c r="Z736" s="23">
        <v>4</v>
      </c>
      <c r="AA736" s="28">
        <v>9.2499999999999999E-2</v>
      </c>
      <c r="AB736" s="24">
        <v>0</v>
      </c>
      <c r="AC736" s="29">
        <v>0</v>
      </c>
      <c r="AD736" s="30">
        <v>43580</v>
      </c>
      <c r="AE736" s="30">
        <v>43580</v>
      </c>
      <c r="AF736" s="23">
        <v>0</v>
      </c>
      <c r="AG736" s="25" t="s">
        <v>56</v>
      </c>
      <c r="AH736" s="24">
        <v>0</v>
      </c>
      <c r="AI736" s="31">
        <v>0</v>
      </c>
      <c r="AJ736" s="31">
        <v>0</v>
      </c>
      <c r="AK736" s="44">
        <f t="shared" si="22"/>
        <v>1730.3000000000004</v>
      </c>
      <c r="AL736" t="e">
        <f>VLOOKUP(A736,'[1]prueba con 16mil datos'!$A$1:$AE$804,31,FALSE)</f>
        <v>#N/A</v>
      </c>
      <c r="AM736" t="e">
        <f t="shared" si="23"/>
        <v>#N/A</v>
      </c>
      <c r="AO736" t="e">
        <f>VLOOKUP(A736,'[1]Prueba con 19mil datos'!$B$1:$AF$1228,31,FALSE)</f>
        <v>#N/A</v>
      </c>
      <c r="AP736" t="e">
        <v>#N/A</v>
      </c>
      <c r="AR736" t="s">
        <v>3214</v>
      </c>
    </row>
    <row r="737" spans="1:44" hidden="1" x14ac:dyDescent="0.25">
      <c r="A737" s="16" t="s">
        <v>2166</v>
      </c>
      <c r="B737" s="15" t="s">
        <v>40</v>
      </c>
      <c r="C737" s="16">
        <v>1</v>
      </c>
      <c r="D737" s="16" t="s">
        <v>2846</v>
      </c>
      <c r="E737" s="17" t="s">
        <v>42</v>
      </c>
      <c r="F737" s="18" t="s">
        <v>255</v>
      </c>
      <c r="G737" s="18" t="s">
        <v>2847</v>
      </c>
      <c r="H737" s="16" t="s">
        <v>46</v>
      </c>
      <c r="I737" s="19" t="s">
        <v>3</v>
      </c>
      <c r="J737" s="16" t="s">
        <v>12</v>
      </c>
      <c r="K737" s="20" t="s">
        <v>47</v>
      </c>
      <c r="L737" s="20" t="s">
        <v>48</v>
      </c>
      <c r="M737" s="16" t="s">
        <v>49</v>
      </c>
      <c r="N737" s="16">
        <v>0</v>
      </c>
      <c r="O737" s="16" t="s">
        <v>50</v>
      </c>
      <c r="P737" s="20">
        <v>42</v>
      </c>
      <c r="Q737" s="20" t="s">
        <v>86</v>
      </c>
      <c r="R737" s="21" t="s">
        <v>129</v>
      </c>
      <c r="S737" s="22" t="s">
        <v>130</v>
      </c>
      <c r="T737" s="22" t="s">
        <v>54</v>
      </c>
      <c r="U737" s="23" t="s">
        <v>178</v>
      </c>
      <c r="V737" s="24">
        <v>1.05</v>
      </c>
      <c r="W737" s="25">
        <v>1433.25</v>
      </c>
      <c r="X737" s="26">
        <v>1</v>
      </c>
      <c r="Y737" s="27">
        <v>0</v>
      </c>
      <c r="Z737" s="23">
        <v>5</v>
      </c>
      <c r="AA737" s="28">
        <v>0</v>
      </c>
      <c r="AB737" s="24">
        <v>0</v>
      </c>
      <c r="AC737" s="29">
        <v>0</v>
      </c>
      <c r="AD737" s="30">
        <v>43580</v>
      </c>
      <c r="AE737" s="30">
        <v>43580</v>
      </c>
      <c r="AF737" s="23">
        <v>0</v>
      </c>
      <c r="AG737" s="25" t="s">
        <v>56</v>
      </c>
      <c r="AH737" s="24">
        <v>0</v>
      </c>
      <c r="AI737" s="31">
        <v>0</v>
      </c>
      <c r="AJ737" s="31">
        <v>0</v>
      </c>
      <c r="AK737" s="44">
        <f t="shared" si="22"/>
        <v>1433.25</v>
      </c>
      <c r="AL737">
        <f>VLOOKUP(A737,'[1]prueba con 16mil datos'!$A$1:$AE$804,31,FALSE)</f>
        <v>1365</v>
      </c>
      <c r="AM737">
        <f t="shared" si="23"/>
        <v>0</v>
      </c>
      <c r="AO737">
        <f>VLOOKUP(A737,'[1]Prueba con 19mil datos'!$B$1:$AF$1228,31,FALSE)</f>
        <v>1365</v>
      </c>
    </row>
    <row r="738" spans="1:44" x14ac:dyDescent="0.25">
      <c r="A738" s="16" t="s">
        <v>220</v>
      </c>
      <c r="B738" s="15" t="s">
        <v>40</v>
      </c>
      <c r="C738" s="16">
        <v>1</v>
      </c>
      <c r="D738" s="16" t="s">
        <v>2748</v>
      </c>
      <c r="E738" s="17" t="s">
        <v>42</v>
      </c>
      <c r="F738" s="18" t="s">
        <v>140</v>
      </c>
      <c r="G738" s="18" t="s">
        <v>2749</v>
      </c>
      <c r="H738" s="16" t="s">
        <v>2561</v>
      </c>
      <c r="I738" s="19" t="s">
        <v>3</v>
      </c>
      <c r="J738" s="16" t="s">
        <v>12</v>
      </c>
      <c r="K738" s="20" t="s">
        <v>2751</v>
      </c>
      <c r="L738" s="20" t="s">
        <v>2752</v>
      </c>
      <c r="M738" s="16" t="s">
        <v>64</v>
      </c>
      <c r="N738" s="16">
        <v>0</v>
      </c>
      <c r="O738" s="16" t="s">
        <v>50</v>
      </c>
      <c r="P738" s="20">
        <v>252</v>
      </c>
      <c r="Q738" s="20" t="s">
        <v>51</v>
      </c>
      <c r="R738" s="21" t="s">
        <v>148</v>
      </c>
      <c r="S738" s="22" t="s">
        <v>130</v>
      </c>
      <c r="T738" s="22" t="s">
        <v>54</v>
      </c>
      <c r="U738" s="23" t="s">
        <v>226</v>
      </c>
      <c r="V738" s="24">
        <v>1.1000000000000001</v>
      </c>
      <c r="W738" s="25">
        <v>1501.5000000000002</v>
      </c>
      <c r="X738" s="26">
        <v>1</v>
      </c>
      <c r="Y738" s="27">
        <v>2.1</v>
      </c>
      <c r="Z738" s="23">
        <v>5</v>
      </c>
      <c r="AA738" s="28">
        <v>0.42000000000000004</v>
      </c>
      <c r="AB738" s="24">
        <v>0</v>
      </c>
      <c r="AC738" s="29">
        <v>0</v>
      </c>
      <c r="AD738" s="30">
        <v>43580</v>
      </c>
      <c r="AE738" s="30">
        <v>43580</v>
      </c>
      <c r="AF738" s="23">
        <v>0</v>
      </c>
      <c r="AG738" s="25" t="s">
        <v>56</v>
      </c>
      <c r="AH738" s="24">
        <v>0</v>
      </c>
      <c r="AI738" s="31">
        <v>0</v>
      </c>
      <c r="AJ738" s="31">
        <v>0</v>
      </c>
      <c r="AK738" s="44">
        <f t="shared" si="22"/>
        <v>1501.5000000000002</v>
      </c>
      <c r="AL738" t="e">
        <f>VLOOKUP(A738,'[1]prueba con 16mil datos'!$A$1:$AE$804,31,FALSE)</f>
        <v>#N/A</v>
      </c>
      <c r="AM738" t="e">
        <f t="shared" si="23"/>
        <v>#N/A</v>
      </c>
      <c r="AO738" t="e">
        <f>VLOOKUP(A738,'[1]Prueba con 19mil datos'!$B$1:$AF$1228,31,FALSE)</f>
        <v>#N/A</v>
      </c>
      <c r="AP738" t="s">
        <v>3212</v>
      </c>
      <c r="AR738" t="s">
        <v>3213</v>
      </c>
    </row>
    <row r="739" spans="1:44" hidden="1" x14ac:dyDescent="0.25">
      <c r="A739" s="16" t="s">
        <v>1582</v>
      </c>
      <c r="B739" s="15" t="s">
        <v>40</v>
      </c>
      <c r="C739" s="16">
        <v>1</v>
      </c>
      <c r="D739" s="16" t="s">
        <v>2802</v>
      </c>
      <c r="E739" s="17" t="s">
        <v>42</v>
      </c>
      <c r="F739" s="18" t="s">
        <v>437</v>
      </c>
      <c r="G739" s="18" t="s">
        <v>2803</v>
      </c>
      <c r="H739" s="16" t="s">
        <v>207</v>
      </c>
      <c r="I739" s="19" t="s">
        <v>3</v>
      </c>
      <c r="J739" s="16" t="s">
        <v>12</v>
      </c>
      <c r="K739" s="20" t="s">
        <v>2805</v>
      </c>
      <c r="L739" s="20" t="s">
        <v>2806</v>
      </c>
      <c r="M739" s="16" t="s">
        <v>111</v>
      </c>
      <c r="N739" s="16">
        <v>0</v>
      </c>
      <c r="O739" s="16" t="s">
        <v>50</v>
      </c>
      <c r="P739" s="20">
        <v>2701</v>
      </c>
      <c r="Q739" s="20" t="s">
        <v>51</v>
      </c>
      <c r="R739" s="21" t="s">
        <v>77</v>
      </c>
      <c r="S739" s="22" t="s">
        <v>53</v>
      </c>
      <c r="T739" s="22" t="s">
        <v>54</v>
      </c>
      <c r="U739" s="23" t="s">
        <v>55</v>
      </c>
      <c r="V739" s="24">
        <v>1.05</v>
      </c>
      <c r="W739" s="25">
        <v>750.75000000000011</v>
      </c>
      <c r="X739" s="26">
        <v>1</v>
      </c>
      <c r="Y739" s="27">
        <v>5.25</v>
      </c>
      <c r="Z739" s="23">
        <v>5</v>
      </c>
      <c r="AA739" s="28">
        <v>1.05</v>
      </c>
      <c r="AB739" s="24">
        <v>1.2500000000000011E-2</v>
      </c>
      <c r="AC739" s="29">
        <v>-8.9375000000000089</v>
      </c>
      <c r="AD739" s="30">
        <v>43580</v>
      </c>
      <c r="AE739" s="30">
        <v>43580</v>
      </c>
      <c r="AF739" s="23">
        <v>0</v>
      </c>
      <c r="AG739" s="25" t="s">
        <v>56</v>
      </c>
      <c r="AH739" s="24">
        <v>0</v>
      </c>
      <c r="AI739" s="31">
        <v>0</v>
      </c>
      <c r="AJ739" s="31">
        <v>0</v>
      </c>
      <c r="AK739" s="44">
        <f t="shared" si="22"/>
        <v>741.81250000000011</v>
      </c>
      <c r="AL739">
        <f>VLOOKUP(A739,'[1]prueba con 16mil datos'!$A$1:$AE$804,31,FALSE)</f>
        <v>750.75</v>
      </c>
      <c r="AM739">
        <f t="shared" si="23"/>
        <v>0</v>
      </c>
      <c r="AO739">
        <f>VLOOKUP(A739,'[1]Prueba con 19mil datos'!$B$1:$AF$1228,31,FALSE)</f>
        <v>750.75</v>
      </c>
    </row>
    <row r="740" spans="1:44" hidden="1" x14ac:dyDescent="0.25">
      <c r="A740" s="16" t="s">
        <v>1502</v>
      </c>
      <c r="B740" s="15" t="s">
        <v>40</v>
      </c>
      <c r="C740" s="16">
        <v>1</v>
      </c>
      <c r="D740" s="16" t="s">
        <v>2813</v>
      </c>
      <c r="E740" s="17" t="s">
        <v>42</v>
      </c>
      <c r="F740" s="18" t="s">
        <v>2814</v>
      </c>
      <c r="G740" s="18" t="s">
        <v>2815</v>
      </c>
      <c r="H740" s="16" t="s">
        <v>213</v>
      </c>
      <c r="I740" s="19" t="s">
        <v>3</v>
      </c>
      <c r="J740" s="16" t="s">
        <v>12</v>
      </c>
      <c r="K740" s="20" t="s">
        <v>2817</v>
      </c>
      <c r="L740" s="20" t="s">
        <v>2818</v>
      </c>
      <c r="M740" s="16" t="s">
        <v>216</v>
      </c>
      <c r="N740" s="16">
        <v>0</v>
      </c>
      <c r="O740" s="16" t="s">
        <v>50</v>
      </c>
      <c r="P740" s="20">
        <v>14</v>
      </c>
      <c r="Q740" s="20" t="s">
        <v>65</v>
      </c>
      <c r="R740" s="21" t="s">
        <v>851</v>
      </c>
      <c r="S740" s="22" t="s">
        <v>53</v>
      </c>
      <c r="T740" s="22" t="s">
        <v>54</v>
      </c>
      <c r="U740" s="23" t="s">
        <v>1008</v>
      </c>
      <c r="V740" s="24">
        <v>0</v>
      </c>
      <c r="W740" s="25">
        <v>0</v>
      </c>
      <c r="X740" s="26">
        <v>1</v>
      </c>
      <c r="Y740" s="27">
        <v>1.92</v>
      </c>
      <c r="Z740" s="23">
        <v>5</v>
      </c>
      <c r="AA740" s="28">
        <v>0.38400000000000001</v>
      </c>
      <c r="AB740" s="24">
        <v>0</v>
      </c>
      <c r="AC740" s="29">
        <v>0</v>
      </c>
      <c r="AD740" s="30">
        <v>43580</v>
      </c>
      <c r="AE740" s="30">
        <v>43580</v>
      </c>
      <c r="AF740" s="23">
        <v>0</v>
      </c>
      <c r="AG740" s="25" t="s">
        <v>56</v>
      </c>
      <c r="AH740" s="24">
        <v>0</v>
      </c>
      <c r="AI740" s="31">
        <v>0</v>
      </c>
      <c r="AJ740" s="31">
        <v>0</v>
      </c>
      <c r="AK740" s="44">
        <f t="shared" si="22"/>
        <v>0</v>
      </c>
      <c r="AL740" t="e">
        <f>VLOOKUP(A740,'[1]prueba con 16mil datos'!$A$1:$AE$804,31,FALSE)</f>
        <v>#N/A</v>
      </c>
      <c r="AM740" t="e">
        <f t="shared" si="23"/>
        <v>#N/A</v>
      </c>
      <c r="AO740">
        <f>VLOOKUP(A740,'[1]Prueba con 19mil datos'!$B$1:$AF$1228,31,FALSE)</f>
        <v>750.75</v>
      </c>
    </row>
    <row r="741" spans="1:44" x14ac:dyDescent="0.25">
      <c r="A741" s="16" t="s">
        <v>865</v>
      </c>
      <c r="B741" s="15" t="s">
        <v>40</v>
      </c>
      <c r="C741" s="16">
        <v>1</v>
      </c>
      <c r="D741" s="16" t="s">
        <v>2768</v>
      </c>
      <c r="E741" s="17" t="s">
        <v>42</v>
      </c>
      <c r="F741" s="18" t="s">
        <v>90</v>
      </c>
      <c r="G741" s="18" t="s">
        <v>2769</v>
      </c>
      <c r="H741" s="16" t="s">
        <v>412</v>
      </c>
      <c r="I741" s="19" t="s">
        <v>3</v>
      </c>
      <c r="J741" s="16" t="s">
        <v>12</v>
      </c>
      <c r="K741" s="20" t="s">
        <v>116</v>
      </c>
      <c r="L741" s="20" t="s">
        <v>2771</v>
      </c>
      <c r="M741" s="16" t="s">
        <v>833</v>
      </c>
      <c r="N741" s="16">
        <v>1</v>
      </c>
      <c r="O741" s="16" t="s">
        <v>50</v>
      </c>
      <c r="P741" s="20">
        <v>2702</v>
      </c>
      <c r="Q741" s="20" t="s">
        <v>51</v>
      </c>
      <c r="R741" s="21" t="s">
        <v>77</v>
      </c>
      <c r="S741" s="22" t="s">
        <v>53</v>
      </c>
      <c r="T741" s="22" t="s">
        <v>54</v>
      </c>
      <c r="U741" s="23" t="s">
        <v>55</v>
      </c>
      <c r="V741" s="24">
        <v>1.05</v>
      </c>
      <c r="W741" s="25">
        <v>0</v>
      </c>
      <c r="X741" s="26">
        <v>1</v>
      </c>
      <c r="Y741" s="27">
        <v>0</v>
      </c>
      <c r="Z741" s="23">
        <v>5</v>
      </c>
      <c r="AA741" s="28">
        <v>0</v>
      </c>
      <c r="AB741" s="24">
        <v>0</v>
      </c>
      <c r="AC741" s="29">
        <v>0</v>
      </c>
      <c r="AD741" s="30">
        <v>43580</v>
      </c>
      <c r="AE741" s="30">
        <v>43580</v>
      </c>
      <c r="AF741" s="23">
        <v>0</v>
      </c>
      <c r="AG741" s="25" t="s">
        <v>56</v>
      </c>
      <c r="AH741" s="24">
        <v>0</v>
      </c>
      <c r="AI741" s="31">
        <v>0</v>
      </c>
      <c r="AJ741" s="31">
        <v>0</v>
      </c>
      <c r="AK741" s="44">
        <f t="shared" si="22"/>
        <v>0</v>
      </c>
      <c r="AL741" t="e">
        <f>VLOOKUP(A741,'[1]prueba con 16mil datos'!$A$1:$AE$804,31,FALSE)</f>
        <v>#N/A</v>
      </c>
      <c r="AM741" t="e">
        <f t="shared" si="23"/>
        <v>#N/A</v>
      </c>
      <c r="AO741" t="e">
        <f>VLOOKUP(A741,'[1]Prueba con 19mil datos'!$B$1:$AF$1228,31,FALSE)</f>
        <v>#N/A</v>
      </c>
      <c r="AP741" t="s">
        <v>3212</v>
      </c>
      <c r="AR741" t="s">
        <v>3213</v>
      </c>
    </row>
    <row r="742" spans="1:44" x14ac:dyDescent="0.25">
      <c r="A742" s="16" t="s">
        <v>569</v>
      </c>
      <c r="B742" s="15" t="s">
        <v>40</v>
      </c>
      <c r="C742" s="16">
        <v>1</v>
      </c>
      <c r="D742" s="16" t="s">
        <v>2819</v>
      </c>
      <c r="E742" s="17" t="s">
        <v>42</v>
      </c>
      <c r="F742" s="18" t="s">
        <v>90</v>
      </c>
      <c r="G742" s="18" t="s">
        <v>2820</v>
      </c>
      <c r="H742" s="16" t="s">
        <v>463</v>
      </c>
      <c r="I742" s="19" t="s">
        <v>3</v>
      </c>
      <c r="J742" s="16" t="s">
        <v>12</v>
      </c>
      <c r="K742" s="20" t="s">
        <v>116</v>
      </c>
      <c r="L742" s="20" t="s">
        <v>2822</v>
      </c>
      <c r="M742" s="16" t="s">
        <v>596</v>
      </c>
      <c r="N742" s="16">
        <v>1</v>
      </c>
      <c r="O742" s="16" t="s">
        <v>50</v>
      </c>
      <c r="P742" s="20">
        <v>2700</v>
      </c>
      <c r="Q742" s="20" t="s">
        <v>51</v>
      </c>
      <c r="R742" s="21" t="s">
        <v>77</v>
      </c>
      <c r="S742" s="22" t="s">
        <v>53</v>
      </c>
      <c r="T742" s="22" t="s">
        <v>54</v>
      </c>
      <c r="U742" s="23" t="s">
        <v>55</v>
      </c>
      <c r="V742" s="24">
        <v>1.05</v>
      </c>
      <c r="W742" s="25">
        <v>0</v>
      </c>
      <c r="X742" s="26">
        <v>1</v>
      </c>
      <c r="Y742" s="27">
        <v>1.83</v>
      </c>
      <c r="Z742" s="23">
        <v>5</v>
      </c>
      <c r="AA742" s="28">
        <v>0.36599999999999999</v>
      </c>
      <c r="AB742" s="24">
        <v>0</v>
      </c>
      <c r="AC742" s="29">
        <v>0</v>
      </c>
      <c r="AD742" s="30">
        <v>43580</v>
      </c>
      <c r="AE742" s="30">
        <v>43580</v>
      </c>
      <c r="AF742" s="23">
        <v>0</v>
      </c>
      <c r="AG742" s="25" t="s">
        <v>56</v>
      </c>
      <c r="AH742" s="24">
        <v>0</v>
      </c>
      <c r="AI742" s="31">
        <v>0</v>
      </c>
      <c r="AJ742" s="31">
        <v>0</v>
      </c>
      <c r="AK742" s="44">
        <f t="shared" si="22"/>
        <v>0</v>
      </c>
      <c r="AL742" t="e">
        <f>VLOOKUP(A742,'[1]prueba con 16mil datos'!$A$1:$AE$804,31,FALSE)</f>
        <v>#N/A</v>
      </c>
      <c r="AM742" t="e">
        <f t="shared" si="23"/>
        <v>#N/A</v>
      </c>
      <c r="AO742" t="e">
        <f>VLOOKUP(A742,'[1]Prueba con 19mil datos'!$B$1:$AF$1228,31,FALSE)</f>
        <v>#N/A</v>
      </c>
      <c r="AP742" t="e">
        <v>#N/A</v>
      </c>
      <c r="AR742" t="s">
        <v>3205</v>
      </c>
    </row>
    <row r="743" spans="1:44" hidden="1" x14ac:dyDescent="0.25">
      <c r="A743" s="16" t="s">
        <v>1811</v>
      </c>
      <c r="B743" s="15" t="s">
        <v>40</v>
      </c>
      <c r="C743" s="16">
        <v>1</v>
      </c>
      <c r="D743" s="16" t="s">
        <v>2838</v>
      </c>
      <c r="E743" s="17" t="s">
        <v>42</v>
      </c>
      <c r="F743" s="18" t="s">
        <v>90</v>
      </c>
      <c r="G743" s="18" t="s">
        <v>2839</v>
      </c>
      <c r="H743" s="16" t="s">
        <v>516</v>
      </c>
      <c r="I743" s="19" t="s">
        <v>3</v>
      </c>
      <c r="J743" s="16" t="s">
        <v>12</v>
      </c>
      <c r="K743" s="20" t="s">
        <v>116</v>
      </c>
      <c r="L743" s="20" t="s">
        <v>2841</v>
      </c>
      <c r="M743" s="16" t="s">
        <v>2842</v>
      </c>
      <c r="N743" s="16">
        <v>1</v>
      </c>
      <c r="O743" s="16" t="s">
        <v>50</v>
      </c>
      <c r="P743" s="20">
        <v>71</v>
      </c>
      <c r="Q743" s="20" t="s">
        <v>51</v>
      </c>
      <c r="R743" s="21" t="s">
        <v>77</v>
      </c>
      <c r="S743" s="22" t="s">
        <v>53</v>
      </c>
      <c r="T743" s="22" t="s">
        <v>157</v>
      </c>
      <c r="U743" s="23" t="s">
        <v>55</v>
      </c>
      <c r="V743" s="24">
        <v>1.05</v>
      </c>
      <c r="W743" s="25">
        <v>0</v>
      </c>
      <c r="X743" s="26">
        <v>1</v>
      </c>
      <c r="Y743" s="27">
        <v>2.08</v>
      </c>
      <c r="Z743" s="23">
        <v>9</v>
      </c>
      <c r="AA743" s="28">
        <v>0.23111111111111113</v>
      </c>
      <c r="AB743" s="24">
        <v>0</v>
      </c>
      <c r="AC743" s="29">
        <v>0</v>
      </c>
      <c r="AD743" s="30">
        <v>43580</v>
      </c>
      <c r="AE743" s="30">
        <v>43580</v>
      </c>
      <c r="AF743" s="23">
        <v>0</v>
      </c>
      <c r="AG743" s="25" t="s">
        <v>56</v>
      </c>
      <c r="AH743" s="24">
        <v>0</v>
      </c>
      <c r="AI743" s="31">
        <v>0</v>
      </c>
      <c r="AJ743" s="31">
        <v>0</v>
      </c>
      <c r="AK743" s="44">
        <f t="shared" si="22"/>
        <v>0</v>
      </c>
      <c r="AL743" t="e">
        <f>VLOOKUP(A743,'[1]prueba con 16mil datos'!$A$1:$AE$804,31,FALSE)</f>
        <v>#N/A</v>
      </c>
      <c r="AM743" t="e">
        <f t="shared" si="23"/>
        <v>#N/A</v>
      </c>
      <c r="AO743">
        <f>VLOOKUP(A743,'[1]Prueba con 19mil datos'!$B$1:$AF$1228,31,FALSE)</f>
        <v>0</v>
      </c>
    </row>
    <row r="744" spans="1:44" hidden="1" x14ac:dyDescent="0.25">
      <c r="A744" s="16" t="s">
        <v>979</v>
      </c>
      <c r="B744" s="15" t="s">
        <v>40</v>
      </c>
      <c r="C744" s="16">
        <v>1</v>
      </c>
      <c r="D744" s="16" t="s">
        <v>3000</v>
      </c>
      <c r="E744" s="17" t="s">
        <v>42</v>
      </c>
      <c r="F744" s="18" t="s">
        <v>391</v>
      </c>
      <c r="G744" s="18" t="s">
        <v>3001</v>
      </c>
      <c r="H744" s="16" t="s">
        <v>73</v>
      </c>
      <c r="I744" s="19" t="s">
        <v>3</v>
      </c>
      <c r="J744" s="16" t="s">
        <v>12</v>
      </c>
      <c r="K744" s="20" t="s">
        <v>198</v>
      </c>
      <c r="L744" s="20" t="s">
        <v>670</v>
      </c>
      <c r="M744" s="16" t="s">
        <v>76</v>
      </c>
      <c r="N744" s="16">
        <v>0</v>
      </c>
      <c r="O744" s="16" t="s">
        <v>50</v>
      </c>
      <c r="P744" s="20">
        <v>88</v>
      </c>
      <c r="Q744" s="20" t="s">
        <v>51</v>
      </c>
      <c r="R744" s="21" t="s">
        <v>129</v>
      </c>
      <c r="S744" s="22" t="s">
        <v>130</v>
      </c>
      <c r="T744" s="22" t="s">
        <v>54</v>
      </c>
      <c r="U744" s="23" t="s">
        <v>226</v>
      </c>
      <c r="V744" s="24">
        <v>1.1000000000000001</v>
      </c>
      <c r="W744" s="25">
        <v>1501.5000000000002</v>
      </c>
      <c r="X744" s="26">
        <v>1</v>
      </c>
      <c r="Y744" s="27">
        <v>1.1000000000000001</v>
      </c>
      <c r="Z744" s="23">
        <v>5</v>
      </c>
      <c r="AA744" s="28">
        <v>0.22000000000000003</v>
      </c>
      <c r="AB744" s="24">
        <v>0</v>
      </c>
      <c r="AC744" s="29">
        <v>0</v>
      </c>
      <c r="AD744" s="30">
        <v>43581</v>
      </c>
      <c r="AE744" s="30">
        <v>43584</v>
      </c>
      <c r="AF744" s="23">
        <v>1</v>
      </c>
      <c r="AG744" s="25" t="s">
        <v>56</v>
      </c>
      <c r="AH744" s="24">
        <v>0</v>
      </c>
      <c r="AI744" s="31">
        <v>0</v>
      </c>
      <c r="AJ744" s="31">
        <v>0</v>
      </c>
      <c r="AK744" s="44">
        <f t="shared" si="22"/>
        <v>1501.5000000000002</v>
      </c>
      <c r="AL744">
        <f>VLOOKUP(A744,'[1]prueba con 16mil datos'!$A$1:$AE$804,31,FALSE)</f>
        <v>715</v>
      </c>
      <c r="AM744">
        <f t="shared" si="23"/>
        <v>0</v>
      </c>
      <c r="AO744">
        <f>VLOOKUP(A744,'[1]Prueba con 19mil datos'!$B$1:$AF$1228,31,FALSE)</f>
        <v>0</v>
      </c>
    </row>
    <row r="745" spans="1:44" hidden="1" x14ac:dyDescent="0.25">
      <c r="A745" s="16" t="s">
        <v>1041</v>
      </c>
      <c r="B745" s="15" t="s">
        <v>40</v>
      </c>
      <c r="C745" s="16">
        <v>1</v>
      </c>
      <c r="D745" s="16" t="s">
        <v>2993</v>
      </c>
      <c r="E745" s="17" t="s">
        <v>42</v>
      </c>
      <c r="F745" s="18" t="s">
        <v>391</v>
      </c>
      <c r="G745" s="18" t="s">
        <v>2994</v>
      </c>
      <c r="H745" s="16" t="s">
        <v>516</v>
      </c>
      <c r="I745" s="19" t="s">
        <v>3</v>
      </c>
      <c r="J745" s="16" t="s">
        <v>12</v>
      </c>
      <c r="K745" s="20" t="s">
        <v>198</v>
      </c>
      <c r="L745" s="20" t="s">
        <v>2111</v>
      </c>
      <c r="M745" s="16" t="s">
        <v>429</v>
      </c>
      <c r="N745" s="16">
        <v>0</v>
      </c>
      <c r="O745" s="16" t="s">
        <v>50</v>
      </c>
      <c r="P745" s="20">
        <v>11</v>
      </c>
      <c r="Q745" s="20" t="s">
        <v>65</v>
      </c>
      <c r="R745" s="21" t="s">
        <v>129</v>
      </c>
      <c r="S745" s="22" t="s">
        <v>130</v>
      </c>
      <c r="T745" s="22" t="s">
        <v>54</v>
      </c>
      <c r="U745" s="23" t="s">
        <v>131</v>
      </c>
      <c r="V745" s="24">
        <v>0.6</v>
      </c>
      <c r="W745" s="25">
        <v>819</v>
      </c>
      <c r="X745" s="26">
        <v>1</v>
      </c>
      <c r="Y745" s="27">
        <v>1.89</v>
      </c>
      <c r="Z745" s="23">
        <v>5</v>
      </c>
      <c r="AA745" s="28">
        <v>0.378</v>
      </c>
      <c r="AB745" s="24">
        <v>0</v>
      </c>
      <c r="AC745" s="29">
        <v>0</v>
      </c>
      <c r="AD745" s="30">
        <v>43581</v>
      </c>
      <c r="AE745" s="30">
        <v>43582</v>
      </c>
      <c r="AF745" s="23">
        <v>0</v>
      </c>
      <c r="AG745" s="25" t="s">
        <v>56</v>
      </c>
      <c r="AH745" s="24">
        <v>0</v>
      </c>
      <c r="AI745" s="31">
        <v>0</v>
      </c>
      <c r="AJ745" s="31">
        <v>0</v>
      </c>
      <c r="AK745" s="44">
        <f t="shared" si="22"/>
        <v>819</v>
      </c>
      <c r="AL745">
        <f>VLOOKUP(A745,'[1]prueba con 16mil datos'!$A$1:$AE$804,31,FALSE)</f>
        <v>572</v>
      </c>
      <c r="AM745">
        <f t="shared" si="23"/>
        <v>0</v>
      </c>
      <c r="AO745">
        <f>VLOOKUP(A745,'[1]Prueba con 19mil datos'!$B$1:$AF$1228,31,FALSE)</f>
        <v>572</v>
      </c>
    </row>
    <row r="746" spans="1:44" x14ac:dyDescent="0.25">
      <c r="A746" s="16" t="s">
        <v>323</v>
      </c>
      <c r="B746" s="15" t="s">
        <v>40</v>
      </c>
      <c r="C746" s="16">
        <v>1</v>
      </c>
      <c r="D746" s="16" t="s">
        <v>2976</v>
      </c>
      <c r="E746" s="17" t="s">
        <v>42</v>
      </c>
      <c r="F746" s="18" t="s">
        <v>90</v>
      </c>
      <c r="G746" s="18" t="s">
        <v>2977</v>
      </c>
      <c r="H746" s="16" t="s">
        <v>115</v>
      </c>
      <c r="I746" s="19" t="s">
        <v>3</v>
      </c>
      <c r="J746" s="16" t="s">
        <v>12</v>
      </c>
      <c r="K746" s="20" t="s">
        <v>154</v>
      </c>
      <c r="L746" s="20" t="s">
        <v>2571</v>
      </c>
      <c r="M746" s="16" t="s">
        <v>526</v>
      </c>
      <c r="N746" s="16">
        <v>0</v>
      </c>
      <c r="O746" s="16" t="s">
        <v>50</v>
      </c>
      <c r="P746" s="20">
        <v>3</v>
      </c>
      <c r="Q746" s="20" t="s">
        <v>147</v>
      </c>
      <c r="R746" s="21" t="s">
        <v>77</v>
      </c>
      <c r="S746" s="22" t="s">
        <v>53</v>
      </c>
      <c r="T746" s="22" t="s">
        <v>54</v>
      </c>
      <c r="U746" s="23" t="s">
        <v>341</v>
      </c>
      <c r="V746" s="24">
        <v>0</v>
      </c>
      <c r="W746" s="25">
        <v>0</v>
      </c>
      <c r="X746" s="26">
        <v>1</v>
      </c>
      <c r="Y746" s="27">
        <v>0.21</v>
      </c>
      <c r="Z746" s="23">
        <v>5</v>
      </c>
      <c r="AA746" s="28">
        <v>4.1999999999999996E-2</v>
      </c>
      <c r="AB746" s="24">
        <v>0</v>
      </c>
      <c r="AC746" s="29">
        <v>0</v>
      </c>
      <c r="AD746" s="30">
        <v>43581</v>
      </c>
      <c r="AE746" s="30">
        <v>43581</v>
      </c>
      <c r="AF746" s="23">
        <v>0</v>
      </c>
      <c r="AG746" s="25" t="s">
        <v>56</v>
      </c>
      <c r="AH746" s="24">
        <v>0</v>
      </c>
      <c r="AI746" s="31">
        <v>0</v>
      </c>
      <c r="AJ746" s="31">
        <v>0</v>
      </c>
      <c r="AK746" s="44">
        <f t="shared" si="22"/>
        <v>0</v>
      </c>
      <c r="AL746" t="e">
        <f>VLOOKUP(A746,'[1]prueba con 16mil datos'!$A$1:$AE$804,31,FALSE)</f>
        <v>#N/A</v>
      </c>
      <c r="AM746" t="e">
        <f t="shared" si="23"/>
        <v>#N/A</v>
      </c>
      <c r="AO746" t="e">
        <f>VLOOKUP(A746,'[1]Prueba con 19mil datos'!$B$1:$AF$1228,31,FALSE)</f>
        <v>#N/A</v>
      </c>
      <c r="AP746" t="e">
        <v>#N/A</v>
      </c>
      <c r="AR746" t="s">
        <v>3205</v>
      </c>
    </row>
    <row r="747" spans="1:44" x14ac:dyDescent="0.25">
      <c r="A747" s="16" t="s">
        <v>323</v>
      </c>
      <c r="B747" s="15" t="s">
        <v>40</v>
      </c>
      <c r="C747" s="16">
        <v>1</v>
      </c>
      <c r="D747" s="16" t="s">
        <v>2891</v>
      </c>
      <c r="E747" s="17" t="s">
        <v>42</v>
      </c>
      <c r="F747" s="18" t="s">
        <v>90</v>
      </c>
      <c r="G747" s="18" t="s">
        <v>2892</v>
      </c>
      <c r="H747" s="16" t="s">
        <v>115</v>
      </c>
      <c r="I747" s="19" t="s">
        <v>3</v>
      </c>
      <c r="J747" s="16" t="s">
        <v>12</v>
      </c>
      <c r="K747" s="20" t="s">
        <v>154</v>
      </c>
      <c r="L747" s="20" t="s">
        <v>2894</v>
      </c>
      <c r="M747" s="16" t="s">
        <v>64</v>
      </c>
      <c r="N747" s="16">
        <v>0</v>
      </c>
      <c r="O747" s="16" t="s">
        <v>50</v>
      </c>
      <c r="P747" s="20">
        <v>94</v>
      </c>
      <c r="Q747" s="20" t="s">
        <v>51</v>
      </c>
      <c r="R747" s="21" t="s">
        <v>77</v>
      </c>
      <c r="S747" s="22" t="s">
        <v>53</v>
      </c>
      <c r="T747" s="22" t="s">
        <v>54</v>
      </c>
      <c r="U747" s="23" t="s">
        <v>55</v>
      </c>
      <c r="V747" s="24">
        <v>1.05</v>
      </c>
      <c r="W747" s="25">
        <v>750.75000000000011</v>
      </c>
      <c r="X747" s="26">
        <v>1</v>
      </c>
      <c r="Y747" s="27">
        <v>1.1200000000000001</v>
      </c>
      <c r="Z747" s="23">
        <v>5</v>
      </c>
      <c r="AA747" s="28">
        <v>0.22400000000000003</v>
      </c>
      <c r="AB747" s="24">
        <v>0</v>
      </c>
      <c r="AC747" s="29">
        <v>0</v>
      </c>
      <c r="AD747" s="30">
        <v>43581</v>
      </c>
      <c r="AE747" s="30">
        <v>43581</v>
      </c>
      <c r="AF747" s="23">
        <v>0</v>
      </c>
      <c r="AG747" s="25" t="s">
        <v>56</v>
      </c>
      <c r="AH747" s="24">
        <v>0</v>
      </c>
      <c r="AI747" s="31">
        <v>0</v>
      </c>
      <c r="AJ747" s="31">
        <v>0</v>
      </c>
      <c r="AK747" s="44">
        <f t="shared" si="22"/>
        <v>750.75000000000011</v>
      </c>
      <c r="AL747" t="e">
        <f>VLOOKUP(A747,'[1]prueba con 16mil datos'!$A$1:$AE$804,31,FALSE)</f>
        <v>#N/A</v>
      </c>
      <c r="AM747" t="e">
        <f t="shared" si="23"/>
        <v>#N/A</v>
      </c>
      <c r="AO747" t="e">
        <f>VLOOKUP(A747,'[1]Prueba con 19mil datos'!$B$1:$AF$1228,31,FALSE)</f>
        <v>#N/A</v>
      </c>
      <c r="AP747" t="e">
        <v>#N/A</v>
      </c>
      <c r="AR747" t="s">
        <v>3205</v>
      </c>
    </row>
    <row r="748" spans="1:44" x14ac:dyDescent="0.25">
      <c r="A748" s="16" t="s">
        <v>323</v>
      </c>
      <c r="B748" s="15" t="s">
        <v>40</v>
      </c>
      <c r="C748" s="16">
        <v>1</v>
      </c>
      <c r="D748" s="16" t="s">
        <v>2903</v>
      </c>
      <c r="E748" s="17" t="s">
        <v>42</v>
      </c>
      <c r="F748" s="18" t="s">
        <v>90</v>
      </c>
      <c r="G748" s="18" t="s">
        <v>2904</v>
      </c>
      <c r="H748" s="16" t="s">
        <v>115</v>
      </c>
      <c r="I748" s="19" t="s">
        <v>3</v>
      </c>
      <c r="J748" s="16" t="s">
        <v>12</v>
      </c>
      <c r="K748" s="20" t="s">
        <v>154</v>
      </c>
      <c r="L748" s="20" t="s">
        <v>2906</v>
      </c>
      <c r="M748" s="16" t="s">
        <v>1480</v>
      </c>
      <c r="N748" s="16">
        <v>0</v>
      </c>
      <c r="O748" s="16" t="s">
        <v>50</v>
      </c>
      <c r="P748" s="20">
        <v>84</v>
      </c>
      <c r="Q748" s="20" t="s">
        <v>51</v>
      </c>
      <c r="R748" s="21" t="s">
        <v>77</v>
      </c>
      <c r="S748" s="22" t="s">
        <v>53</v>
      </c>
      <c r="T748" s="22" t="s">
        <v>54</v>
      </c>
      <c r="U748" s="23" t="s">
        <v>55</v>
      </c>
      <c r="V748" s="24">
        <v>1.05</v>
      </c>
      <c r="W748" s="25">
        <v>750.75000000000011</v>
      </c>
      <c r="X748" s="26">
        <v>1</v>
      </c>
      <c r="Y748" s="27">
        <v>0.09</v>
      </c>
      <c r="Z748" s="23">
        <v>5</v>
      </c>
      <c r="AA748" s="28">
        <v>1.7999999999999999E-2</v>
      </c>
      <c r="AB748" s="24">
        <v>0</v>
      </c>
      <c r="AC748" s="29">
        <v>0</v>
      </c>
      <c r="AD748" s="30">
        <v>43581</v>
      </c>
      <c r="AE748" s="30">
        <v>43581</v>
      </c>
      <c r="AF748" s="23">
        <v>0</v>
      </c>
      <c r="AG748" s="25" t="s">
        <v>56</v>
      </c>
      <c r="AH748" s="24">
        <v>0</v>
      </c>
      <c r="AI748" s="31">
        <v>0</v>
      </c>
      <c r="AJ748" s="31">
        <v>0</v>
      </c>
      <c r="AK748" s="44">
        <f t="shared" si="22"/>
        <v>750.75000000000011</v>
      </c>
      <c r="AL748" t="e">
        <f>VLOOKUP(A748,'[1]prueba con 16mil datos'!$A$1:$AE$804,31,FALSE)</f>
        <v>#N/A</v>
      </c>
      <c r="AM748" t="e">
        <f t="shared" si="23"/>
        <v>#N/A</v>
      </c>
      <c r="AO748" t="e">
        <f>VLOOKUP(A748,'[1]Prueba con 19mil datos'!$B$1:$AF$1228,31,FALSE)</f>
        <v>#N/A</v>
      </c>
      <c r="AP748" t="e">
        <v>#N/A</v>
      </c>
      <c r="AR748" t="s">
        <v>3205</v>
      </c>
    </row>
    <row r="749" spans="1:44" hidden="1" x14ac:dyDescent="0.25">
      <c r="A749" s="16" t="s">
        <v>3157</v>
      </c>
      <c r="B749" s="15" t="s">
        <v>40</v>
      </c>
      <c r="C749" s="16">
        <v>1</v>
      </c>
      <c r="D749" s="16" t="s">
        <v>2978</v>
      </c>
      <c r="E749" s="17" t="s">
        <v>42</v>
      </c>
      <c r="F749" s="18" t="s">
        <v>90</v>
      </c>
      <c r="G749" s="18" t="s">
        <v>2979</v>
      </c>
      <c r="H749" s="16" t="s">
        <v>143</v>
      </c>
      <c r="I749" s="19" t="s">
        <v>3</v>
      </c>
      <c r="J749" s="16" t="s">
        <v>12</v>
      </c>
      <c r="K749" s="20" t="s">
        <v>294</v>
      </c>
      <c r="L749" s="20" t="s">
        <v>2981</v>
      </c>
      <c r="M749" s="16" t="s">
        <v>146</v>
      </c>
      <c r="N749" s="16">
        <v>0</v>
      </c>
      <c r="O749" s="16" t="s">
        <v>50</v>
      </c>
      <c r="P749" s="20">
        <v>2703</v>
      </c>
      <c r="Q749" s="20" t="s">
        <v>51</v>
      </c>
      <c r="R749" s="21" t="s">
        <v>77</v>
      </c>
      <c r="S749" s="22" t="s">
        <v>53</v>
      </c>
      <c r="T749" s="22" t="s">
        <v>54</v>
      </c>
      <c r="U749" s="23" t="s">
        <v>55</v>
      </c>
      <c r="V749" s="24">
        <v>1.05</v>
      </c>
      <c r="W749" s="25">
        <v>750.75000000000011</v>
      </c>
      <c r="X749" s="26">
        <v>1</v>
      </c>
      <c r="Y749" s="27">
        <v>2.5499999999999998</v>
      </c>
      <c r="Z749" s="23">
        <v>5</v>
      </c>
      <c r="AA749" s="28">
        <v>0.51</v>
      </c>
      <c r="AB749" s="24">
        <v>0</v>
      </c>
      <c r="AC749" s="29">
        <v>0</v>
      </c>
      <c r="AD749" s="30">
        <v>43581</v>
      </c>
      <c r="AE749" s="30">
        <v>43581</v>
      </c>
      <c r="AF749" s="23">
        <v>0</v>
      </c>
      <c r="AG749" s="25" t="s">
        <v>56</v>
      </c>
      <c r="AH749" s="24">
        <v>0</v>
      </c>
      <c r="AI749" s="31">
        <v>0</v>
      </c>
      <c r="AJ749" s="31">
        <v>0</v>
      </c>
      <c r="AK749" s="44">
        <f t="shared" si="22"/>
        <v>750.75000000000011</v>
      </c>
      <c r="AL749" t="e">
        <f>VLOOKUP(A749,'[1]prueba con 16mil datos'!$A$1:$AE$804,31,FALSE)</f>
        <v>#N/A</v>
      </c>
      <c r="AM749" t="e">
        <f t="shared" si="23"/>
        <v>#N/A</v>
      </c>
      <c r="AO749">
        <f>VLOOKUP(A749,'[1]Prueba con 19mil datos'!$B$1:$AF$1228,31,FALSE)</f>
        <v>0</v>
      </c>
    </row>
    <row r="750" spans="1:44" hidden="1" x14ac:dyDescent="0.25">
      <c r="A750" s="16" t="s">
        <v>1051</v>
      </c>
      <c r="B750" s="15" t="s">
        <v>40</v>
      </c>
      <c r="C750" s="16">
        <v>1</v>
      </c>
      <c r="D750" s="16" t="s">
        <v>2907</v>
      </c>
      <c r="E750" s="17" t="s">
        <v>42</v>
      </c>
      <c r="F750" s="18" t="s">
        <v>90</v>
      </c>
      <c r="G750" s="18" t="s">
        <v>2908</v>
      </c>
      <c r="H750" s="16" t="s">
        <v>221</v>
      </c>
      <c r="I750" s="19" t="s">
        <v>3</v>
      </c>
      <c r="J750" s="16" t="s">
        <v>12</v>
      </c>
      <c r="K750" s="20" t="s">
        <v>324</v>
      </c>
      <c r="L750" s="20" t="s">
        <v>2683</v>
      </c>
      <c r="M750" s="16" t="s">
        <v>2259</v>
      </c>
      <c r="N750" s="16">
        <v>0</v>
      </c>
      <c r="O750" s="16" t="s">
        <v>50</v>
      </c>
      <c r="P750" s="20">
        <v>2</v>
      </c>
      <c r="Q750" s="20" t="s">
        <v>147</v>
      </c>
      <c r="R750" s="21" t="s">
        <v>77</v>
      </c>
      <c r="S750" s="22" t="s">
        <v>53</v>
      </c>
      <c r="T750" s="22" t="s">
        <v>54</v>
      </c>
      <c r="U750" s="23" t="s">
        <v>341</v>
      </c>
      <c r="V750" s="24">
        <v>0</v>
      </c>
      <c r="W750" s="25">
        <v>0</v>
      </c>
      <c r="X750" s="26">
        <v>1</v>
      </c>
      <c r="Y750" s="27">
        <v>0.63</v>
      </c>
      <c r="Z750" s="23">
        <v>5</v>
      </c>
      <c r="AA750" s="28">
        <v>0.126</v>
      </c>
      <c r="AB750" s="24">
        <v>0</v>
      </c>
      <c r="AC750" s="29">
        <v>0</v>
      </c>
      <c r="AD750" s="30">
        <v>43581</v>
      </c>
      <c r="AE750" s="30">
        <v>43581</v>
      </c>
      <c r="AF750" s="23">
        <v>0</v>
      </c>
      <c r="AG750" s="25" t="s">
        <v>56</v>
      </c>
      <c r="AH750" s="24">
        <v>0</v>
      </c>
      <c r="AI750" s="31">
        <v>0</v>
      </c>
      <c r="AJ750" s="31">
        <v>0</v>
      </c>
      <c r="AK750" s="44">
        <f t="shared" si="22"/>
        <v>0</v>
      </c>
      <c r="AL750">
        <f>VLOOKUP(A750,'[1]prueba con 16mil datos'!$A$1:$AE$804,31,FALSE)</f>
        <v>1092</v>
      </c>
      <c r="AM750">
        <f t="shared" si="23"/>
        <v>0</v>
      </c>
      <c r="AO750">
        <f>VLOOKUP(A750,'[1]Prueba con 19mil datos'!$B$1:$AF$1228,31,FALSE)</f>
        <v>1092</v>
      </c>
    </row>
    <row r="751" spans="1:44" hidden="1" x14ac:dyDescent="0.25">
      <c r="A751" s="16" t="s">
        <v>1051</v>
      </c>
      <c r="B751" s="15" t="s">
        <v>40</v>
      </c>
      <c r="C751" s="16">
        <v>1</v>
      </c>
      <c r="D751" s="16" t="s">
        <v>2883</v>
      </c>
      <c r="E751" s="17" t="s">
        <v>42</v>
      </c>
      <c r="F751" s="18" t="s">
        <v>281</v>
      </c>
      <c r="G751" s="18" t="s">
        <v>2884</v>
      </c>
      <c r="H751" s="16" t="s">
        <v>463</v>
      </c>
      <c r="I751" s="19" t="s">
        <v>3</v>
      </c>
      <c r="J751" s="16" t="s">
        <v>12</v>
      </c>
      <c r="K751" s="20" t="s">
        <v>198</v>
      </c>
      <c r="L751" s="20" t="s">
        <v>394</v>
      </c>
      <c r="M751" s="16" t="s">
        <v>76</v>
      </c>
      <c r="N751" s="16">
        <v>0</v>
      </c>
      <c r="O751" s="16" t="s">
        <v>50</v>
      </c>
      <c r="P751" s="20">
        <v>49</v>
      </c>
      <c r="Q751" s="20" t="s">
        <v>86</v>
      </c>
      <c r="R751" s="21" t="s">
        <v>287</v>
      </c>
      <c r="S751" s="22" t="s">
        <v>288</v>
      </c>
      <c r="T751" s="22" t="s">
        <v>54</v>
      </c>
      <c r="U751" s="23" t="s">
        <v>188</v>
      </c>
      <c r="V751" s="24">
        <v>1.1000000000000001</v>
      </c>
      <c r="W751" s="25">
        <v>1730.3000000000004</v>
      </c>
      <c r="X751" s="26">
        <v>1</v>
      </c>
      <c r="Y751" s="27">
        <v>1.4</v>
      </c>
      <c r="Z751" s="23">
        <v>4</v>
      </c>
      <c r="AA751" s="28">
        <v>0.35</v>
      </c>
      <c r="AB751" s="24">
        <v>0</v>
      </c>
      <c r="AC751" s="29">
        <v>0</v>
      </c>
      <c r="AD751" s="30">
        <v>43581</v>
      </c>
      <c r="AE751" s="30">
        <v>43581</v>
      </c>
      <c r="AF751" s="23">
        <v>0</v>
      </c>
      <c r="AG751" s="25" t="s">
        <v>56</v>
      </c>
      <c r="AH751" s="24">
        <v>0</v>
      </c>
      <c r="AI751" s="31">
        <v>0</v>
      </c>
      <c r="AJ751" s="31">
        <v>0</v>
      </c>
      <c r="AK751" s="44">
        <f t="shared" si="22"/>
        <v>1730.3000000000004</v>
      </c>
      <c r="AL751">
        <f>VLOOKUP(A751,'[1]prueba con 16mil datos'!$A$1:$AE$804,31,FALSE)</f>
        <v>1092</v>
      </c>
      <c r="AM751">
        <f t="shared" si="23"/>
        <v>0</v>
      </c>
      <c r="AO751">
        <f>VLOOKUP(A751,'[1]Prueba con 19mil datos'!$B$1:$AF$1228,31,FALSE)</f>
        <v>1092</v>
      </c>
    </row>
    <row r="752" spans="1:44" hidden="1" x14ac:dyDescent="0.25">
      <c r="A752" s="16" t="s">
        <v>1051</v>
      </c>
      <c r="B752" s="15" t="s">
        <v>40</v>
      </c>
      <c r="C752" s="16">
        <v>1</v>
      </c>
      <c r="D752" s="16" t="s">
        <v>2987</v>
      </c>
      <c r="E752" s="17" t="s">
        <v>42</v>
      </c>
      <c r="F752" s="18" t="s">
        <v>99</v>
      </c>
      <c r="G752" s="18" t="s">
        <v>2988</v>
      </c>
      <c r="H752" s="16" t="s">
        <v>243</v>
      </c>
      <c r="I752" s="19" t="s">
        <v>3</v>
      </c>
      <c r="J752" s="16" t="s">
        <v>12</v>
      </c>
      <c r="K752" s="20" t="s">
        <v>294</v>
      </c>
      <c r="L752" s="20" t="s">
        <v>295</v>
      </c>
      <c r="M752" s="16" t="s">
        <v>296</v>
      </c>
      <c r="N752" s="16">
        <v>0</v>
      </c>
      <c r="O752" s="16" t="s">
        <v>50</v>
      </c>
      <c r="P752" s="20">
        <v>330</v>
      </c>
      <c r="Q752" s="20" t="s">
        <v>51</v>
      </c>
      <c r="R752" s="21" t="s">
        <v>77</v>
      </c>
      <c r="S752" s="22" t="s">
        <v>53</v>
      </c>
      <c r="T752" s="22" t="s">
        <v>54</v>
      </c>
      <c r="U752" s="23" t="s">
        <v>55</v>
      </c>
      <c r="V752" s="24">
        <v>1.05</v>
      </c>
      <c r="W752" s="25">
        <v>750.75000000000011</v>
      </c>
      <c r="X752" s="26">
        <v>1</v>
      </c>
      <c r="Y752" s="27">
        <v>1.32</v>
      </c>
      <c r="Z752" s="23">
        <v>5</v>
      </c>
      <c r="AA752" s="28">
        <v>0.26400000000000001</v>
      </c>
      <c r="AB752" s="24">
        <v>0</v>
      </c>
      <c r="AC752" s="29">
        <v>0</v>
      </c>
      <c r="AD752" s="30">
        <v>43581</v>
      </c>
      <c r="AE752" s="30">
        <v>43582</v>
      </c>
      <c r="AF752" s="23">
        <v>0</v>
      </c>
      <c r="AG752" s="25" t="s">
        <v>56</v>
      </c>
      <c r="AH752" s="24">
        <v>0</v>
      </c>
      <c r="AI752" s="31">
        <v>0</v>
      </c>
      <c r="AJ752" s="31">
        <v>0</v>
      </c>
      <c r="AK752" s="44">
        <f t="shared" si="22"/>
        <v>750.75000000000011</v>
      </c>
      <c r="AL752">
        <f>VLOOKUP(A752,'[1]prueba con 16mil datos'!$A$1:$AE$804,31,FALSE)</f>
        <v>1092</v>
      </c>
      <c r="AM752">
        <f t="shared" si="23"/>
        <v>0</v>
      </c>
      <c r="AO752">
        <f>VLOOKUP(A752,'[1]Prueba con 19mil datos'!$B$1:$AF$1228,31,FALSE)</f>
        <v>1092</v>
      </c>
    </row>
    <row r="753" spans="1:44" x14ac:dyDescent="0.25">
      <c r="A753" s="16" t="s">
        <v>1105</v>
      </c>
      <c r="B753" s="15" t="s">
        <v>40</v>
      </c>
      <c r="C753" s="16">
        <v>1</v>
      </c>
      <c r="D753" s="16" t="s">
        <v>2962</v>
      </c>
      <c r="E753" s="17" t="s">
        <v>1522</v>
      </c>
      <c r="F753" s="18" t="s">
        <v>99</v>
      </c>
      <c r="G753" s="18" t="s">
        <v>2963</v>
      </c>
      <c r="H753" s="16" t="s">
        <v>264</v>
      </c>
      <c r="I753" s="19" t="s">
        <v>3</v>
      </c>
      <c r="J753" s="16" t="s">
        <v>12</v>
      </c>
      <c r="K753" s="20" t="s">
        <v>378</v>
      </c>
      <c r="L753" s="20" t="s">
        <v>711</v>
      </c>
      <c r="M753" s="16" t="s">
        <v>267</v>
      </c>
      <c r="N753" s="16">
        <v>0</v>
      </c>
      <c r="O753" s="16" t="s">
        <v>50</v>
      </c>
      <c r="P753" s="20" t="s">
        <v>326</v>
      </c>
      <c r="Q753" s="20" t="s">
        <v>51</v>
      </c>
      <c r="R753" s="21" t="s">
        <v>77</v>
      </c>
      <c r="S753" s="22" t="s">
        <v>53</v>
      </c>
      <c r="T753" s="22" t="s">
        <v>54</v>
      </c>
      <c r="U753" s="23" t="s">
        <v>55</v>
      </c>
      <c r="V753" s="24">
        <v>1</v>
      </c>
      <c r="W753" s="25">
        <v>715.00000000000011</v>
      </c>
      <c r="X753" s="26">
        <v>0</v>
      </c>
      <c r="Y753" s="27">
        <v>5</v>
      </c>
      <c r="Z753" s="23">
        <v>5</v>
      </c>
      <c r="AA753" s="28">
        <v>1</v>
      </c>
      <c r="AB753" s="24">
        <v>0</v>
      </c>
      <c r="AC753" s="29">
        <v>0</v>
      </c>
      <c r="AD753" s="30">
        <v>43581</v>
      </c>
      <c r="AE753" s="30">
        <v>43581</v>
      </c>
      <c r="AF753" s="23">
        <v>0</v>
      </c>
      <c r="AG753" s="25" t="s">
        <v>56</v>
      </c>
      <c r="AH753" s="24">
        <v>0</v>
      </c>
      <c r="AI753" s="31">
        <v>0</v>
      </c>
      <c r="AJ753" s="31">
        <v>0</v>
      </c>
      <c r="AK753" s="44">
        <f t="shared" si="22"/>
        <v>715.00000000000011</v>
      </c>
      <c r="AL753" t="e">
        <f>VLOOKUP(A753,'[1]prueba con 16mil datos'!$A$1:$AE$804,31,FALSE)</f>
        <v>#N/A</v>
      </c>
      <c r="AM753" t="e">
        <f t="shared" si="23"/>
        <v>#N/A</v>
      </c>
      <c r="AO753" t="e">
        <f>VLOOKUP(A753,'[1]Prueba con 19mil datos'!$B$1:$AF$1228,31,FALSE)</f>
        <v>#N/A</v>
      </c>
      <c r="AP753" t="s">
        <v>3212</v>
      </c>
      <c r="AR753" t="s">
        <v>3213</v>
      </c>
    </row>
    <row r="754" spans="1:44" x14ac:dyDescent="0.25">
      <c r="A754" s="16" t="s">
        <v>1105</v>
      </c>
      <c r="B754" s="15" t="s">
        <v>40</v>
      </c>
      <c r="C754" s="16">
        <v>1</v>
      </c>
      <c r="D754" s="16" t="s">
        <v>3071</v>
      </c>
      <c r="E754" s="17" t="s">
        <v>321</v>
      </c>
      <c r="F754" s="18" t="s">
        <v>1703</v>
      </c>
      <c r="G754" s="18" t="s">
        <v>3072</v>
      </c>
      <c r="H754" s="16" t="s">
        <v>213</v>
      </c>
      <c r="I754" s="19" t="s">
        <v>3</v>
      </c>
      <c r="J754" s="16" t="s">
        <v>12</v>
      </c>
      <c r="K754" s="20" t="s">
        <v>378</v>
      </c>
      <c r="L754" s="20" t="s">
        <v>1548</v>
      </c>
      <c r="M754" s="16" t="s">
        <v>216</v>
      </c>
      <c r="N754" s="16">
        <v>0</v>
      </c>
      <c r="O754" s="16" t="s">
        <v>50</v>
      </c>
      <c r="P754" s="20" t="s">
        <v>326</v>
      </c>
      <c r="Q754" s="20" t="s">
        <v>51</v>
      </c>
      <c r="R754" s="21" t="s">
        <v>148</v>
      </c>
      <c r="S754" s="22" t="s">
        <v>130</v>
      </c>
      <c r="T754" s="22" t="s">
        <v>54</v>
      </c>
      <c r="U754" s="23" t="s">
        <v>226</v>
      </c>
      <c r="V754" s="24">
        <v>1</v>
      </c>
      <c r="W754" s="25">
        <v>2047.5</v>
      </c>
      <c r="X754" s="26">
        <v>0</v>
      </c>
      <c r="Y754" s="27">
        <v>5</v>
      </c>
      <c r="Z754" s="23">
        <v>5</v>
      </c>
      <c r="AA754" s="28">
        <v>1</v>
      </c>
      <c r="AB754" s="24">
        <v>0</v>
      </c>
      <c r="AC754" s="29">
        <v>0</v>
      </c>
      <c r="AD754" s="30">
        <v>43581</v>
      </c>
      <c r="AE754" s="30">
        <v>43584</v>
      </c>
      <c r="AF754" s="23">
        <v>1</v>
      </c>
      <c r="AG754" s="25" t="s">
        <v>56</v>
      </c>
      <c r="AH754" s="24">
        <v>0</v>
      </c>
      <c r="AI754" s="31">
        <v>0</v>
      </c>
      <c r="AJ754" s="31">
        <v>0</v>
      </c>
      <c r="AK754" s="44">
        <f t="shared" si="22"/>
        <v>2047.5</v>
      </c>
      <c r="AL754" t="e">
        <f>VLOOKUP(A754,'[1]prueba con 16mil datos'!$A$1:$AE$804,31,FALSE)</f>
        <v>#N/A</v>
      </c>
      <c r="AM754" t="e">
        <f t="shared" si="23"/>
        <v>#N/A</v>
      </c>
      <c r="AO754" t="e">
        <f>VLOOKUP(A754,'[1]Prueba con 19mil datos'!$B$1:$AF$1228,31,FALSE)</f>
        <v>#N/A</v>
      </c>
      <c r="AP754" t="s">
        <v>3212</v>
      </c>
      <c r="AR754" t="s">
        <v>3213</v>
      </c>
    </row>
    <row r="755" spans="1:44" x14ac:dyDescent="0.25">
      <c r="A755" s="16" t="s">
        <v>530</v>
      </c>
      <c r="B755" s="15" t="s">
        <v>40</v>
      </c>
      <c r="C755" s="16">
        <v>1</v>
      </c>
      <c r="D755" s="16" t="s">
        <v>2927</v>
      </c>
      <c r="E755" s="17" t="s">
        <v>42</v>
      </c>
      <c r="F755" s="18" t="s">
        <v>233</v>
      </c>
      <c r="G755" s="18" t="s">
        <v>2928</v>
      </c>
      <c r="H755" s="16" t="s">
        <v>221</v>
      </c>
      <c r="I755" s="19" t="s">
        <v>3</v>
      </c>
      <c r="J755" s="16" t="s">
        <v>12</v>
      </c>
      <c r="K755" s="20" t="s">
        <v>74</v>
      </c>
      <c r="L755" s="20" t="s">
        <v>2930</v>
      </c>
      <c r="M755" s="16" t="s">
        <v>2931</v>
      </c>
      <c r="N755" s="16">
        <v>0</v>
      </c>
      <c r="O755" s="16" t="s">
        <v>50</v>
      </c>
      <c r="P755" s="20">
        <v>131</v>
      </c>
      <c r="Q755" s="20" t="s">
        <v>51</v>
      </c>
      <c r="R755" s="21" t="s">
        <v>77</v>
      </c>
      <c r="S755" s="22" t="s">
        <v>53</v>
      </c>
      <c r="T755" s="22" t="s">
        <v>54</v>
      </c>
      <c r="U755" s="23" t="s">
        <v>55</v>
      </c>
      <c r="V755" s="24">
        <v>1.05</v>
      </c>
      <c r="W755" s="25">
        <v>750.75000000000011</v>
      </c>
      <c r="X755" s="26">
        <v>1</v>
      </c>
      <c r="Y755" s="27">
        <v>2.58</v>
      </c>
      <c r="Z755" s="23">
        <v>5</v>
      </c>
      <c r="AA755" s="28">
        <v>0.51600000000000001</v>
      </c>
      <c r="AB755" s="24">
        <v>0</v>
      </c>
      <c r="AC755" s="29">
        <v>0</v>
      </c>
      <c r="AD755" s="30">
        <v>43581</v>
      </c>
      <c r="AE755" s="30">
        <v>43581</v>
      </c>
      <c r="AF755" s="23">
        <v>0</v>
      </c>
      <c r="AG755" s="25" t="s">
        <v>56</v>
      </c>
      <c r="AH755" s="24">
        <v>0</v>
      </c>
      <c r="AI755" s="31">
        <v>0</v>
      </c>
      <c r="AJ755" s="31">
        <v>0</v>
      </c>
      <c r="AK755" s="44">
        <f t="shared" si="22"/>
        <v>750.75000000000011</v>
      </c>
      <c r="AL755" t="e">
        <f>VLOOKUP(A755,'[1]prueba con 16mil datos'!$A$1:$AE$804,31,FALSE)</f>
        <v>#N/A</v>
      </c>
      <c r="AM755" t="e">
        <f t="shared" si="23"/>
        <v>#N/A</v>
      </c>
      <c r="AO755" t="e">
        <f>VLOOKUP(A755,'[1]Prueba con 19mil datos'!$B$1:$AF$1228,31,FALSE)</f>
        <v>#N/A</v>
      </c>
      <c r="AP755" t="s">
        <v>3212</v>
      </c>
      <c r="AR755" t="s">
        <v>3213</v>
      </c>
    </row>
    <row r="756" spans="1:44" x14ac:dyDescent="0.25">
      <c r="A756" s="16" t="s">
        <v>1323</v>
      </c>
      <c r="B756" s="15" t="s">
        <v>40</v>
      </c>
      <c r="C756" s="16">
        <v>1</v>
      </c>
      <c r="D756" s="16" t="s">
        <v>2982</v>
      </c>
      <c r="E756" s="17" t="s">
        <v>42</v>
      </c>
      <c r="F756" s="18" t="s">
        <v>1056</v>
      </c>
      <c r="G756" s="18" t="s">
        <v>2983</v>
      </c>
      <c r="H756" s="16" t="s">
        <v>404</v>
      </c>
      <c r="I756" s="19" t="s">
        <v>3</v>
      </c>
      <c r="J756" s="16" t="s">
        <v>12</v>
      </c>
      <c r="K756" s="20" t="s">
        <v>405</v>
      </c>
      <c r="L756" s="20" t="s">
        <v>1013</v>
      </c>
      <c r="M756" s="16" t="s">
        <v>407</v>
      </c>
      <c r="N756" s="16">
        <v>0</v>
      </c>
      <c r="O756" s="16" t="s">
        <v>50</v>
      </c>
      <c r="P756" s="20">
        <v>50</v>
      </c>
      <c r="Q756" s="20" t="s">
        <v>86</v>
      </c>
      <c r="R756" s="21" t="s">
        <v>279</v>
      </c>
      <c r="S756" s="22" t="s">
        <v>187</v>
      </c>
      <c r="T756" s="22" t="s">
        <v>54</v>
      </c>
      <c r="U756" s="23" t="s">
        <v>188</v>
      </c>
      <c r="V756" s="24">
        <v>1.1000000000000001</v>
      </c>
      <c r="W756" s="25">
        <v>1730.3000000000004</v>
      </c>
      <c r="X756" s="26">
        <v>1</v>
      </c>
      <c r="Y756" s="27">
        <v>2.0499999999999998</v>
      </c>
      <c r="Z756" s="23">
        <v>4</v>
      </c>
      <c r="AA756" s="28">
        <v>0.51249999999999996</v>
      </c>
      <c r="AB756" s="24">
        <v>0</v>
      </c>
      <c r="AC756" s="29">
        <v>0</v>
      </c>
      <c r="AD756" s="30">
        <v>43581</v>
      </c>
      <c r="AE756" s="30">
        <v>43581</v>
      </c>
      <c r="AF756" s="23">
        <v>0</v>
      </c>
      <c r="AG756" s="25" t="s">
        <v>56</v>
      </c>
      <c r="AH756" s="24">
        <v>0</v>
      </c>
      <c r="AI756" s="31">
        <v>0</v>
      </c>
      <c r="AJ756" s="31">
        <v>0</v>
      </c>
      <c r="AK756" s="44">
        <f t="shared" si="22"/>
        <v>1730.3000000000004</v>
      </c>
      <c r="AL756" t="e">
        <f>VLOOKUP(A756,'[1]prueba con 16mil datos'!$A$1:$AE$804,31,FALSE)</f>
        <v>#N/A</v>
      </c>
      <c r="AM756" t="e">
        <f t="shared" si="23"/>
        <v>#N/A</v>
      </c>
      <c r="AO756" t="e">
        <f>VLOOKUP(A756,'[1]Prueba con 19mil datos'!$B$1:$AF$1228,31,FALSE)</f>
        <v>#N/A</v>
      </c>
      <c r="AP756" t="s">
        <v>3212</v>
      </c>
      <c r="AR756" t="s">
        <v>3213</v>
      </c>
    </row>
    <row r="757" spans="1:44" hidden="1" x14ac:dyDescent="0.25">
      <c r="A757" s="16" t="s">
        <v>3035</v>
      </c>
      <c r="B757" s="15" t="s">
        <v>40</v>
      </c>
      <c r="C757" s="16">
        <v>1</v>
      </c>
      <c r="D757" s="16" t="s">
        <v>2985</v>
      </c>
      <c r="E757" s="17" t="s">
        <v>42</v>
      </c>
      <c r="F757" s="18" t="s">
        <v>275</v>
      </c>
      <c r="G757" s="18" t="s">
        <v>2986</v>
      </c>
      <c r="H757" s="16" t="s">
        <v>331</v>
      </c>
      <c r="I757" s="19" t="s">
        <v>3</v>
      </c>
      <c r="J757" s="16" t="s">
        <v>12</v>
      </c>
      <c r="K757" s="20" t="s">
        <v>126</v>
      </c>
      <c r="L757" s="20" t="s">
        <v>2367</v>
      </c>
      <c r="M757" s="16" t="s">
        <v>296</v>
      </c>
      <c r="N757" s="16">
        <v>0</v>
      </c>
      <c r="O757" s="16" t="s">
        <v>50</v>
      </c>
      <c r="P757" s="20">
        <v>7</v>
      </c>
      <c r="Q757" s="20" t="s">
        <v>65</v>
      </c>
      <c r="R757" s="21" t="s">
        <v>279</v>
      </c>
      <c r="S757" s="22" t="s">
        <v>187</v>
      </c>
      <c r="T757" s="22" t="s">
        <v>54</v>
      </c>
      <c r="U757" s="23" t="s">
        <v>201</v>
      </c>
      <c r="V757" s="24">
        <v>0.8</v>
      </c>
      <c r="W757" s="25">
        <v>1258.4000000000003</v>
      </c>
      <c r="X757" s="26">
        <v>1</v>
      </c>
      <c r="Y757" s="27">
        <v>4.75</v>
      </c>
      <c r="Z757" s="23">
        <v>4</v>
      </c>
      <c r="AA757" s="28">
        <v>1.1875</v>
      </c>
      <c r="AB757" s="24">
        <v>4.6875E-2</v>
      </c>
      <c r="AC757" s="29">
        <v>-73.734375000000014</v>
      </c>
      <c r="AD757" s="30">
        <v>43581</v>
      </c>
      <c r="AE757" s="30">
        <v>43582</v>
      </c>
      <c r="AF757" s="23">
        <v>0</v>
      </c>
      <c r="AG757" s="25" t="s">
        <v>56</v>
      </c>
      <c r="AH757" s="24">
        <v>0</v>
      </c>
      <c r="AI757" s="31">
        <v>0</v>
      </c>
      <c r="AJ757" s="31">
        <v>0</v>
      </c>
      <c r="AK757" s="44">
        <f t="shared" si="22"/>
        <v>1184.6656250000003</v>
      </c>
      <c r="AL757">
        <f>VLOOKUP(A757,'[1]prueba con 16mil datos'!$A$1:$AE$804,31,FALSE)</f>
        <v>750.75</v>
      </c>
      <c r="AM757">
        <f t="shared" si="23"/>
        <v>0</v>
      </c>
      <c r="AO757">
        <f>VLOOKUP(A757,'[1]Prueba con 19mil datos'!$B$1:$AF$1228,31,FALSE)</f>
        <v>750.75</v>
      </c>
    </row>
    <row r="758" spans="1:44" x14ac:dyDescent="0.25">
      <c r="A758" s="16" t="s">
        <v>1561</v>
      </c>
      <c r="B758" s="15" t="s">
        <v>40</v>
      </c>
      <c r="C758" s="16">
        <v>1</v>
      </c>
      <c r="D758" s="16" t="s">
        <v>2959</v>
      </c>
      <c r="E758" s="17" t="s">
        <v>42</v>
      </c>
      <c r="F758" s="18" t="s">
        <v>275</v>
      </c>
      <c r="G758" s="18" t="s">
        <v>2960</v>
      </c>
      <c r="H758" s="16" t="s">
        <v>73</v>
      </c>
      <c r="I758" s="19" t="s">
        <v>3</v>
      </c>
      <c r="J758" s="16" t="s">
        <v>12</v>
      </c>
      <c r="K758" s="20" t="s">
        <v>126</v>
      </c>
      <c r="L758" s="20" t="s">
        <v>595</v>
      </c>
      <c r="M758" s="16" t="s">
        <v>596</v>
      </c>
      <c r="N758" s="16">
        <v>0</v>
      </c>
      <c r="O758" s="16" t="s">
        <v>50</v>
      </c>
      <c r="P758" s="20">
        <v>31</v>
      </c>
      <c r="Q758" s="20" t="s">
        <v>86</v>
      </c>
      <c r="R758" s="21" t="s">
        <v>279</v>
      </c>
      <c r="S758" s="22" t="s">
        <v>187</v>
      </c>
      <c r="T758" s="22" t="s">
        <v>54</v>
      </c>
      <c r="U758" s="23" t="s">
        <v>188</v>
      </c>
      <c r="V758" s="24">
        <v>1.1000000000000001</v>
      </c>
      <c r="W758" s="25">
        <v>1730.3000000000004</v>
      </c>
      <c r="X758" s="26">
        <v>1</v>
      </c>
      <c r="Y758" s="27">
        <v>0.7</v>
      </c>
      <c r="Z758" s="23">
        <v>4</v>
      </c>
      <c r="AA758" s="28">
        <v>0.17499999999999999</v>
      </c>
      <c r="AB758" s="24">
        <v>0</v>
      </c>
      <c r="AC758" s="29">
        <v>0</v>
      </c>
      <c r="AD758" s="30">
        <v>43581</v>
      </c>
      <c r="AE758" s="30">
        <v>43581</v>
      </c>
      <c r="AF758" s="23">
        <v>0</v>
      </c>
      <c r="AG758" s="25" t="s">
        <v>56</v>
      </c>
      <c r="AH758" s="24">
        <v>0</v>
      </c>
      <c r="AI758" s="31">
        <v>0</v>
      </c>
      <c r="AJ758" s="31">
        <v>0</v>
      </c>
      <c r="AK758" s="44">
        <f t="shared" si="22"/>
        <v>1730.3000000000004</v>
      </c>
      <c r="AL758" t="e">
        <f>VLOOKUP(A758,'[1]prueba con 16mil datos'!$A$1:$AE$804,31,FALSE)</f>
        <v>#N/A</v>
      </c>
      <c r="AM758" t="e">
        <f t="shared" si="23"/>
        <v>#N/A</v>
      </c>
      <c r="AO758" t="e">
        <f>VLOOKUP(A758,'[1]Prueba con 19mil datos'!$B$1:$AF$1228,31,FALSE)</f>
        <v>#N/A</v>
      </c>
      <c r="AP758" t="s">
        <v>3212</v>
      </c>
      <c r="AR758" t="s">
        <v>3213</v>
      </c>
    </row>
    <row r="759" spans="1:44" x14ac:dyDescent="0.25">
      <c r="A759" s="16" t="s">
        <v>2816</v>
      </c>
      <c r="B759" s="15" t="s">
        <v>40</v>
      </c>
      <c r="C759" s="16">
        <v>1</v>
      </c>
      <c r="D759" s="16" t="s">
        <v>2888</v>
      </c>
      <c r="E759" s="17" t="s">
        <v>42</v>
      </c>
      <c r="F759" s="18" t="s">
        <v>275</v>
      </c>
      <c r="G759" s="18" t="s">
        <v>2889</v>
      </c>
      <c r="H759" s="16" t="s">
        <v>821</v>
      </c>
      <c r="I759" s="19" t="s">
        <v>3</v>
      </c>
      <c r="J759" s="16" t="s">
        <v>12</v>
      </c>
      <c r="K759" s="20" t="s">
        <v>126</v>
      </c>
      <c r="L759" s="20" t="s">
        <v>2352</v>
      </c>
      <c r="M759" s="16" t="s">
        <v>993</v>
      </c>
      <c r="N759" s="16">
        <v>0</v>
      </c>
      <c r="O759" s="16" t="s">
        <v>50</v>
      </c>
      <c r="P759" s="20">
        <v>70</v>
      </c>
      <c r="Q759" s="20" t="s">
        <v>51</v>
      </c>
      <c r="R759" s="21" t="s">
        <v>279</v>
      </c>
      <c r="S759" s="22" t="s">
        <v>187</v>
      </c>
      <c r="T759" s="22" t="s">
        <v>54</v>
      </c>
      <c r="U759" s="23" t="s">
        <v>550</v>
      </c>
      <c r="V759" s="24">
        <v>1.1499999999999999</v>
      </c>
      <c r="W759" s="25">
        <v>1808.95</v>
      </c>
      <c r="X759" s="26">
        <v>1</v>
      </c>
      <c r="Y759" s="27">
        <v>3.23</v>
      </c>
      <c r="Z759" s="23">
        <v>4</v>
      </c>
      <c r="AA759" s="28">
        <v>0.8075</v>
      </c>
      <c r="AB759" s="24">
        <v>0</v>
      </c>
      <c r="AC759" s="29">
        <v>0</v>
      </c>
      <c r="AD759" s="30">
        <v>43581</v>
      </c>
      <c r="AE759" s="30">
        <v>43581</v>
      </c>
      <c r="AF759" s="23">
        <v>0</v>
      </c>
      <c r="AG759" s="25" t="s">
        <v>56</v>
      </c>
      <c r="AH759" s="24">
        <v>0</v>
      </c>
      <c r="AI759" s="31">
        <v>0</v>
      </c>
      <c r="AJ759" s="31">
        <v>0</v>
      </c>
      <c r="AK759" s="44">
        <f t="shared" si="22"/>
        <v>1808.95</v>
      </c>
      <c r="AL759" t="e">
        <f>VLOOKUP(A759,'[1]prueba con 16mil datos'!$A$1:$AE$804,31,FALSE)</f>
        <v>#N/A</v>
      </c>
      <c r="AM759" t="e">
        <f t="shared" si="23"/>
        <v>#N/A</v>
      </c>
      <c r="AO759" t="e">
        <f>VLOOKUP(A759,'[1]Prueba con 19mil datos'!$B$1:$AF$1228,31,FALSE)</f>
        <v>#N/A</v>
      </c>
      <c r="AP759" t="s">
        <v>3212</v>
      </c>
      <c r="AR759" t="s">
        <v>3213</v>
      </c>
    </row>
    <row r="760" spans="1:44" x14ac:dyDescent="0.25">
      <c r="A760" s="16" t="s">
        <v>167</v>
      </c>
      <c r="B760" s="15" t="s">
        <v>40</v>
      </c>
      <c r="C760" s="16">
        <v>1</v>
      </c>
      <c r="D760" s="16" t="s">
        <v>2935</v>
      </c>
      <c r="E760" s="17" t="s">
        <v>42</v>
      </c>
      <c r="F760" s="18" t="s">
        <v>275</v>
      </c>
      <c r="G760" s="18" t="s">
        <v>2936</v>
      </c>
      <c r="H760" s="16" t="s">
        <v>243</v>
      </c>
      <c r="I760" s="19" t="s">
        <v>3</v>
      </c>
      <c r="J760" s="16" t="s">
        <v>12</v>
      </c>
      <c r="K760" s="20" t="s">
        <v>126</v>
      </c>
      <c r="L760" s="20" t="s">
        <v>2254</v>
      </c>
      <c r="M760" s="16" t="s">
        <v>833</v>
      </c>
      <c r="N760" s="16">
        <v>0</v>
      </c>
      <c r="O760" s="16" t="s">
        <v>50</v>
      </c>
      <c r="P760" s="20">
        <v>2</v>
      </c>
      <c r="Q760" s="20" t="s">
        <v>147</v>
      </c>
      <c r="R760" s="21" t="s">
        <v>279</v>
      </c>
      <c r="S760" s="22" t="s">
        <v>187</v>
      </c>
      <c r="T760" s="22" t="s">
        <v>54</v>
      </c>
      <c r="U760" s="23" t="s">
        <v>389</v>
      </c>
      <c r="V760" s="24">
        <v>0</v>
      </c>
      <c r="W760" s="25">
        <v>0</v>
      </c>
      <c r="X760" s="26">
        <v>1</v>
      </c>
      <c r="Y760" s="27">
        <v>2.2999999999999998</v>
      </c>
      <c r="Z760" s="23">
        <v>4</v>
      </c>
      <c r="AA760" s="28">
        <v>0.57499999999999996</v>
      </c>
      <c r="AB760" s="24">
        <v>0</v>
      </c>
      <c r="AC760" s="29">
        <v>0</v>
      </c>
      <c r="AD760" s="30">
        <v>43581</v>
      </c>
      <c r="AE760" s="30">
        <v>43581</v>
      </c>
      <c r="AF760" s="23">
        <v>0</v>
      </c>
      <c r="AG760" s="25" t="s">
        <v>56</v>
      </c>
      <c r="AH760" s="24">
        <v>0</v>
      </c>
      <c r="AI760" s="31">
        <v>0</v>
      </c>
      <c r="AJ760" s="31">
        <v>0</v>
      </c>
      <c r="AK760" s="44">
        <f t="shared" si="22"/>
        <v>0</v>
      </c>
      <c r="AL760" t="e">
        <f>VLOOKUP(A760,'[1]prueba con 16mil datos'!$A$1:$AE$804,31,FALSE)</f>
        <v>#N/A</v>
      </c>
      <c r="AM760" t="e">
        <f t="shared" si="23"/>
        <v>#N/A</v>
      </c>
      <c r="AO760" t="e">
        <f>VLOOKUP(A760,'[1]Prueba con 19mil datos'!$B$1:$AF$1228,31,FALSE)</f>
        <v>#N/A</v>
      </c>
      <c r="AP760" t="s">
        <v>3212</v>
      </c>
      <c r="AR760" t="s">
        <v>3213</v>
      </c>
    </row>
    <row r="761" spans="1:44" hidden="1" x14ac:dyDescent="0.25">
      <c r="A761" s="16" t="s">
        <v>782</v>
      </c>
      <c r="B761" s="15" t="s">
        <v>40</v>
      </c>
      <c r="C761" s="16">
        <v>1</v>
      </c>
      <c r="D761" s="16" t="s">
        <v>3027</v>
      </c>
      <c r="E761" s="17" t="s">
        <v>42</v>
      </c>
      <c r="F761" s="18" t="s">
        <v>275</v>
      </c>
      <c r="G761" s="18" t="s">
        <v>3028</v>
      </c>
      <c r="H761" s="16" t="s">
        <v>404</v>
      </c>
      <c r="I761" s="19" t="s">
        <v>3</v>
      </c>
      <c r="J761" s="16" t="s">
        <v>12</v>
      </c>
      <c r="K761" s="20" t="s">
        <v>126</v>
      </c>
      <c r="L761" s="20" t="s">
        <v>3008</v>
      </c>
      <c r="M761" s="16" t="s">
        <v>407</v>
      </c>
      <c r="N761" s="16">
        <v>0</v>
      </c>
      <c r="O761" s="16" t="s">
        <v>50</v>
      </c>
      <c r="P761" s="20">
        <v>36</v>
      </c>
      <c r="Q761" s="20" t="s">
        <v>86</v>
      </c>
      <c r="R761" s="21" t="s">
        <v>279</v>
      </c>
      <c r="S761" s="22" t="s">
        <v>187</v>
      </c>
      <c r="T761" s="22" t="s">
        <v>54</v>
      </c>
      <c r="U761" s="23" t="s">
        <v>188</v>
      </c>
      <c r="V761" s="24">
        <v>1.1000000000000001</v>
      </c>
      <c r="W761" s="25">
        <v>1730.3000000000004</v>
      </c>
      <c r="X761" s="26">
        <v>1</v>
      </c>
      <c r="Y761" s="27">
        <v>2.02</v>
      </c>
      <c r="Z761" s="23">
        <v>4</v>
      </c>
      <c r="AA761" s="28">
        <v>0.505</v>
      </c>
      <c r="AB761" s="24">
        <v>0</v>
      </c>
      <c r="AC761" s="29">
        <v>0</v>
      </c>
      <c r="AD761" s="30">
        <v>43581</v>
      </c>
      <c r="AE761" s="30">
        <v>43584</v>
      </c>
      <c r="AF761" s="23">
        <v>1</v>
      </c>
      <c r="AG761" s="25" t="s">
        <v>56</v>
      </c>
      <c r="AH761" s="24">
        <v>0</v>
      </c>
      <c r="AI761" s="31">
        <v>0</v>
      </c>
      <c r="AJ761" s="31">
        <v>0</v>
      </c>
      <c r="AK761" s="44">
        <f t="shared" si="22"/>
        <v>1730.3000000000004</v>
      </c>
      <c r="AL761">
        <f>VLOOKUP(A761,'[1]prueba con 16mil datos'!$A$1:$AE$804,31,FALSE)</f>
        <v>1501.5</v>
      </c>
      <c r="AM761">
        <f t="shared" si="23"/>
        <v>0</v>
      </c>
      <c r="AO761">
        <f>VLOOKUP(A761,'[1]Prueba con 19mil datos'!$B$1:$AF$1228,31,FALSE)</f>
        <v>1501.5</v>
      </c>
    </row>
    <row r="762" spans="1:44" hidden="1" x14ac:dyDescent="0.25">
      <c r="A762" s="16" t="s">
        <v>782</v>
      </c>
      <c r="B762" s="15" t="s">
        <v>40</v>
      </c>
      <c r="C762" s="16">
        <v>1</v>
      </c>
      <c r="D762" s="16" t="s">
        <v>3077</v>
      </c>
      <c r="E762" s="17" t="s">
        <v>42</v>
      </c>
      <c r="F762" s="18" t="s">
        <v>275</v>
      </c>
      <c r="G762" s="18" t="s">
        <v>3078</v>
      </c>
      <c r="H762" s="16" t="s">
        <v>82</v>
      </c>
      <c r="I762" s="19" t="s">
        <v>3</v>
      </c>
      <c r="J762" s="16" t="s">
        <v>12</v>
      </c>
      <c r="K762" s="20" t="s">
        <v>126</v>
      </c>
      <c r="L762" s="20" t="s">
        <v>2078</v>
      </c>
      <c r="M762" s="16" t="s">
        <v>85</v>
      </c>
      <c r="N762" s="16">
        <v>0</v>
      </c>
      <c r="O762" s="16" t="s">
        <v>50</v>
      </c>
      <c r="P762" s="20">
        <v>11</v>
      </c>
      <c r="Q762" s="20" t="s">
        <v>65</v>
      </c>
      <c r="R762" s="21" t="s">
        <v>279</v>
      </c>
      <c r="S762" s="22" t="s">
        <v>187</v>
      </c>
      <c r="T762" s="22" t="s">
        <v>54</v>
      </c>
      <c r="U762" s="23" t="s">
        <v>201</v>
      </c>
      <c r="V762" s="24">
        <v>0.8</v>
      </c>
      <c r="W762" s="25">
        <v>1258.4000000000003</v>
      </c>
      <c r="X762" s="26">
        <v>1</v>
      </c>
      <c r="Y762" s="27">
        <v>0.91</v>
      </c>
      <c r="Z762" s="23">
        <v>4</v>
      </c>
      <c r="AA762" s="28">
        <v>0.22750000000000001</v>
      </c>
      <c r="AB762" s="24">
        <v>0</v>
      </c>
      <c r="AC762" s="29">
        <v>0</v>
      </c>
      <c r="AD762" s="30">
        <v>43581</v>
      </c>
      <c r="AE762" s="30">
        <v>43584</v>
      </c>
      <c r="AF762" s="23">
        <v>1</v>
      </c>
      <c r="AG762" s="25" t="s">
        <v>56</v>
      </c>
      <c r="AH762" s="24">
        <v>0</v>
      </c>
      <c r="AI762" s="31">
        <v>0</v>
      </c>
      <c r="AJ762" s="31">
        <v>0</v>
      </c>
      <c r="AK762" s="44">
        <f t="shared" si="22"/>
        <v>1258.4000000000003</v>
      </c>
      <c r="AL762">
        <f>VLOOKUP(A762,'[1]prueba con 16mil datos'!$A$1:$AE$804,31,FALSE)</f>
        <v>1501.5</v>
      </c>
      <c r="AM762">
        <f t="shared" si="23"/>
        <v>0</v>
      </c>
      <c r="AO762">
        <f>VLOOKUP(A762,'[1]Prueba con 19mil datos'!$B$1:$AF$1228,31,FALSE)</f>
        <v>1501.5</v>
      </c>
    </row>
    <row r="763" spans="1:44" hidden="1" x14ac:dyDescent="0.25">
      <c r="A763" s="16" t="s">
        <v>92</v>
      </c>
      <c r="B763" s="15" t="s">
        <v>40</v>
      </c>
      <c r="C763" s="16">
        <v>1</v>
      </c>
      <c r="D763" s="16" t="s">
        <v>2957</v>
      </c>
      <c r="E763" s="17" t="s">
        <v>1522</v>
      </c>
      <c r="F763" s="18" t="s">
        <v>275</v>
      </c>
      <c r="G763" s="18" t="s">
        <v>2956</v>
      </c>
      <c r="H763" s="16" t="s">
        <v>109</v>
      </c>
      <c r="I763" s="19" t="s">
        <v>3</v>
      </c>
      <c r="J763" s="16" t="s">
        <v>12</v>
      </c>
      <c r="K763" s="20" t="s">
        <v>1608</v>
      </c>
      <c r="L763" s="20" t="s">
        <v>1609</v>
      </c>
      <c r="M763" s="16" t="s">
        <v>1610</v>
      </c>
      <c r="N763" s="16">
        <v>0</v>
      </c>
      <c r="O763" s="16" t="s">
        <v>50</v>
      </c>
      <c r="P763" s="20" t="s">
        <v>326</v>
      </c>
      <c r="Q763" s="20" t="s">
        <v>51</v>
      </c>
      <c r="R763" s="21" t="s">
        <v>279</v>
      </c>
      <c r="S763" s="22" t="s">
        <v>187</v>
      </c>
      <c r="T763" s="22" t="s">
        <v>54</v>
      </c>
      <c r="U763" s="23" t="s">
        <v>550</v>
      </c>
      <c r="V763" s="24">
        <v>1</v>
      </c>
      <c r="W763" s="25">
        <v>1573.0000000000002</v>
      </c>
      <c r="X763" s="26">
        <v>0</v>
      </c>
      <c r="Y763" s="27">
        <v>4</v>
      </c>
      <c r="Z763" s="23">
        <v>4</v>
      </c>
      <c r="AA763" s="28">
        <v>1</v>
      </c>
      <c r="AB763" s="24">
        <v>0</v>
      </c>
      <c r="AC763" s="29">
        <v>0</v>
      </c>
      <c r="AD763" s="30">
        <v>43581</v>
      </c>
      <c r="AE763" s="30">
        <v>43581</v>
      </c>
      <c r="AF763" s="23">
        <v>0</v>
      </c>
      <c r="AG763" s="25" t="s">
        <v>56</v>
      </c>
      <c r="AH763" s="24">
        <v>0</v>
      </c>
      <c r="AI763" s="31">
        <v>0</v>
      </c>
      <c r="AJ763" s="31">
        <v>0</v>
      </c>
      <c r="AK763" s="44">
        <f t="shared" si="22"/>
        <v>1573.0000000000002</v>
      </c>
      <c r="AL763" t="e">
        <f>VLOOKUP(A763,'[1]prueba con 16mil datos'!$A$1:$AE$804,31,FALSE)</f>
        <v>#N/A</v>
      </c>
      <c r="AM763" t="e">
        <f t="shared" si="23"/>
        <v>#N/A</v>
      </c>
      <c r="AO763">
        <f>VLOOKUP(A763,'[1]Prueba con 19mil datos'!$B$1:$AF$1228,31,FALSE)</f>
        <v>0</v>
      </c>
    </row>
    <row r="764" spans="1:44" x14ac:dyDescent="0.25">
      <c r="A764" s="16" t="s">
        <v>114</v>
      </c>
      <c r="B764" s="15" t="s">
        <v>40</v>
      </c>
      <c r="C764" s="16">
        <v>1</v>
      </c>
      <c r="D764" s="16" t="s">
        <v>3079</v>
      </c>
      <c r="E764" s="17" t="s">
        <v>42</v>
      </c>
      <c r="F764" s="18" t="s">
        <v>70</v>
      </c>
      <c r="G764" s="18" t="s">
        <v>3080</v>
      </c>
      <c r="H764" s="16" t="s">
        <v>207</v>
      </c>
      <c r="I764" s="19" t="s">
        <v>3</v>
      </c>
      <c r="J764" s="16" t="s">
        <v>12</v>
      </c>
      <c r="K764" s="20" t="s">
        <v>74</v>
      </c>
      <c r="L764" s="20" t="s">
        <v>3082</v>
      </c>
      <c r="M764" s="16" t="s">
        <v>200</v>
      </c>
      <c r="N764" s="16">
        <v>0</v>
      </c>
      <c r="O764" s="16" t="s">
        <v>50</v>
      </c>
      <c r="P764" s="20">
        <v>106</v>
      </c>
      <c r="Q764" s="20" t="s">
        <v>51</v>
      </c>
      <c r="R764" s="21" t="s">
        <v>77</v>
      </c>
      <c r="S764" s="22" t="s">
        <v>53</v>
      </c>
      <c r="T764" s="22" t="s">
        <v>54</v>
      </c>
      <c r="U764" s="23" t="s">
        <v>55</v>
      </c>
      <c r="V764" s="24">
        <v>1.05</v>
      </c>
      <c r="W764" s="25">
        <v>750.75000000000011</v>
      </c>
      <c r="X764" s="26">
        <v>1</v>
      </c>
      <c r="Y764" s="27">
        <v>3.27</v>
      </c>
      <c r="Z764" s="23">
        <v>5</v>
      </c>
      <c r="AA764" s="28">
        <v>0.65400000000000003</v>
      </c>
      <c r="AB764" s="24">
        <v>0</v>
      </c>
      <c r="AC764" s="29">
        <v>0</v>
      </c>
      <c r="AD764" s="30">
        <v>43581</v>
      </c>
      <c r="AE764" s="30">
        <v>43584</v>
      </c>
      <c r="AF764" s="23">
        <v>1</v>
      </c>
      <c r="AG764" s="25" t="s">
        <v>56</v>
      </c>
      <c r="AH764" s="24">
        <v>0</v>
      </c>
      <c r="AI764" s="31">
        <v>0</v>
      </c>
      <c r="AJ764" s="31">
        <v>0</v>
      </c>
      <c r="AK764" s="44">
        <f t="shared" si="22"/>
        <v>750.75000000000011</v>
      </c>
      <c r="AL764" t="e">
        <f>VLOOKUP(A764,'[1]prueba con 16mil datos'!$A$1:$AE$804,31,FALSE)</f>
        <v>#N/A</v>
      </c>
      <c r="AM764" t="e">
        <f t="shared" si="23"/>
        <v>#N/A</v>
      </c>
      <c r="AO764" t="e">
        <f>VLOOKUP(A764,'[1]Prueba con 19mil datos'!$B$1:$AF$1228,31,FALSE)</f>
        <v>#N/A</v>
      </c>
      <c r="AP764" t="s">
        <v>3211</v>
      </c>
      <c r="AQ764" s="48">
        <v>43595.697916666701</v>
      </c>
      <c r="AR764" t="s">
        <v>3209</v>
      </c>
    </row>
    <row r="765" spans="1:44" x14ac:dyDescent="0.25">
      <c r="A765" s="16" t="s">
        <v>134</v>
      </c>
      <c r="B765" s="15" t="s">
        <v>40</v>
      </c>
      <c r="C765" s="16">
        <v>1</v>
      </c>
      <c r="D765" s="16" t="s">
        <v>2914</v>
      </c>
      <c r="E765" s="17" t="s">
        <v>1522</v>
      </c>
      <c r="F765" s="18" t="s">
        <v>335</v>
      </c>
      <c r="G765" s="18" t="s">
        <v>2915</v>
      </c>
      <c r="H765" s="16" t="s">
        <v>109</v>
      </c>
      <c r="I765" s="19" t="s">
        <v>3</v>
      </c>
      <c r="J765" s="16" t="s">
        <v>12</v>
      </c>
      <c r="K765" s="20" t="s">
        <v>1608</v>
      </c>
      <c r="L765" s="20" t="s">
        <v>2497</v>
      </c>
      <c r="M765" s="16" t="s">
        <v>1610</v>
      </c>
      <c r="N765" s="16">
        <v>0</v>
      </c>
      <c r="O765" s="16" t="s">
        <v>50</v>
      </c>
      <c r="P765" s="20" t="s">
        <v>326</v>
      </c>
      <c r="Q765" s="20" t="s">
        <v>51</v>
      </c>
      <c r="R765" s="21" t="s">
        <v>77</v>
      </c>
      <c r="S765" s="22" t="s">
        <v>53</v>
      </c>
      <c r="T765" s="22" t="s">
        <v>54</v>
      </c>
      <c r="U765" s="23" t="s">
        <v>55</v>
      </c>
      <c r="V765" s="24">
        <v>1</v>
      </c>
      <c r="W765" s="25">
        <v>715.00000000000011</v>
      </c>
      <c r="X765" s="26">
        <v>0</v>
      </c>
      <c r="Y765" s="27">
        <v>5</v>
      </c>
      <c r="Z765" s="23">
        <v>5</v>
      </c>
      <c r="AA765" s="28">
        <v>1</v>
      </c>
      <c r="AB765" s="24">
        <v>0</v>
      </c>
      <c r="AC765" s="29">
        <v>0</v>
      </c>
      <c r="AD765" s="30">
        <v>43581</v>
      </c>
      <c r="AE765" s="30">
        <v>43581</v>
      </c>
      <c r="AF765" s="23">
        <v>0</v>
      </c>
      <c r="AG765" s="25" t="s">
        <v>56</v>
      </c>
      <c r="AH765" s="24">
        <v>0</v>
      </c>
      <c r="AI765" s="31">
        <v>0</v>
      </c>
      <c r="AJ765" s="31">
        <v>0</v>
      </c>
      <c r="AK765" s="44">
        <f t="shared" si="22"/>
        <v>715.00000000000011</v>
      </c>
      <c r="AL765" t="e">
        <f>VLOOKUP(A765,'[1]prueba con 16mil datos'!$A$1:$AE$804,31,FALSE)</f>
        <v>#N/A</v>
      </c>
      <c r="AM765" t="e">
        <f t="shared" si="23"/>
        <v>#N/A</v>
      </c>
      <c r="AO765" t="e">
        <f>VLOOKUP(A765,'[1]Prueba con 19mil datos'!$B$1:$AF$1228,31,FALSE)</f>
        <v>#N/A</v>
      </c>
      <c r="AP765" t="s">
        <v>3211</v>
      </c>
      <c r="AQ765" s="48">
        <v>43553.647916666698</v>
      </c>
      <c r="AR765" t="s">
        <v>3209</v>
      </c>
    </row>
    <row r="766" spans="1:44" hidden="1" x14ac:dyDescent="0.25">
      <c r="A766" s="16" t="s">
        <v>160</v>
      </c>
      <c r="B766" s="15" t="s">
        <v>40</v>
      </c>
      <c r="C766" s="16">
        <v>1</v>
      </c>
      <c r="D766" s="16" t="s">
        <v>2971</v>
      </c>
      <c r="E766" s="17" t="s">
        <v>42</v>
      </c>
      <c r="F766" s="18" t="s">
        <v>913</v>
      </c>
      <c r="G766" s="18" t="s">
        <v>2972</v>
      </c>
      <c r="H766" s="16" t="s">
        <v>317</v>
      </c>
      <c r="I766" s="19" t="s">
        <v>3</v>
      </c>
      <c r="J766" s="16" t="s">
        <v>12</v>
      </c>
      <c r="K766" s="20" t="s">
        <v>2101</v>
      </c>
      <c r="L766" s="20" t="s">
        <v>2102</v>
      </c>
      <c r="M766" s="16" t="s">
        <v>105</v>
      </c>
      <c r="N766" s="16">
        <v>0</v>
      </c>
      <c r="O766" s="16" t="s">
        <v>50</v>
      </c>
      <c r="P766" s="20">
        <v>2</v>
      </c>
      <c r="Q766" s="20" t="s">
        <v>147</v>
      </c>
      <c r="R766" s="21" t="s">
        <v>87</v>
      </c>
      <c r="S766" s="22" t="s">
        <v>53</v>
      </c>
      <c r="T766" s="22" t="s">
        <v>54</v>
      </c>
      <c r="U766" s="23" t="s">
        <v>341</v>
      </c>
      <c r="V766" s="24">
        <v>0</v>
      </c>
      <c r="W766" s="25">
        <v>0</v>
      </c>
      <c r="X766" s="26">
        <v>1</v>
      </c>
      <c r="Y766" s="27">
        <v>0</v>
      </c>
      <c r="Z766" s="23">
        <v>5</v>
      </c>
      <c r="AA766" s="28">
        <v>0</v>
      </c>
      <c r="AB766" s="24">
        <v>0</v>
      </c>
      <c r="AC766" s="29">
        <v>0</v>
      </c>
      <c r="AD766" s="30">
        <v>43581</v>
      </c>
      <c r="AE766" s="30">
        <v>43581</v>
      </c>
      <c r="AF766" s="23">
        <v>0</v>
      </c>
      <c r="AG766" s="25" t="s">
        <v>56</v>
      </c>
      <c r="AH766" s="24">
        <v>0</v>
      </c>
      <c r="AI766" s="31">
        <v>0</v>
      </c>
      <c r="AJ766" s="31">
        <v>0</v>
      </c>
      <c r="AK766" s="44">
        <f t="shared" si="22"/>
        <v>0</v>
      </c>
      <c r="AL766" t="e">
        <f>VLOOKUP(A766,'[1]prueba con 16mil datos'!$A$1:$AE$804,31,FALSE)</f>
        <v>#N/A</v>
      </c>
      <c r="AM766" t="e">
        <f t="shared" si="23"/>
        <v>#N/A</v>
      </c>
      <c r="AO766">
        <f>VLOOKUP(A766,'[1]Prueba con 19mil datos'!$B$1:$AF$1228,31,FALSE)</f>
        <v>0</v>
      </c>
    </row>
    <row r="767" spans="1:44" hidden="1" x14ac:dyDescent="0.25">
      <c r="A767" s="16" t="s">
        <v>182</v>
      </c>
      <c r="B767" s="15" t="s">
        <v>40</v>
      </c>
      <c r="C767" s="16">
        <v>1</v>
      </c>
      <c r="D767" s="16" t="s">
        <v>2952</v>
      </c>
      <c r="E767" s="17" t="s">
        <v>1522</v>
      </c>
      <c r="F767" s="18" t="s">
        <v>788</v>
      </c>
      <c r="G767" s="18" t="s">
        <v>2953</v>
      </c>
      <c r="H767" s="16" t="s">
        <v>109</v>
      </c>
      <c r="I767" s="19" t="s">
        <v>3</v>
      </c>
      <c r="J767" s="16" t="s">
        <v>12</v>
      </c>
      <c r="K767" s="20" t="s">
        <v>1608</v>
      </c>
      <c r="L767" s="20" t="s">
        <v>1609</v>
      </c>
      <c r="M767" s="16" t="s">
        <v>1610</v>
      </c>
      <c r="N767" s="16">
        <v>0</v>
      </c>
      <c r="O767" s="16" t="s">
        <v>50</v>
      </c>
      <c r="P767" s="20" t="s">
        <v>326</v>
      </c>
      <c r="Q767" s="20" t="s">
        <v>51</v>
      </c>
      <c r="R767" s="21" t="s">
        <v>87</v>
      </c>
      <c r="S767" s="22" t="s">
        <v>53</v>
      </c>
      <c r="T767" s="22" t="s">
        <v>54</v>
      </c>
      <c r="U767" s="23" t="s">
        <v>55</v>
      </c>
      <c r="V767" s="24">
        <v>1</v>
      </c>
      <c r="W767" s="25">
        <v>715.00000000000011</v>
      </c>
      <c r="X767" s="26">
        <v>0</v>
      </c>
      <c r="Y767" s="27">
        <v>5</v>
      </c>
      <c r="Z767" s="23">
        <v>5</v>
      </c>
      <c r="AA767" s="28">
        <v>1</v>
      </c>
      <c r="AB767" s="24">
        <v>0</v>
      </c>
      <c r="AC767" s="29">
        <v>0</v>
      </c>
      <c r="AD767" s="30">
        <v>43581</v>
      </c>
      <c r="AE767" s="30">
        <v>43581</v>
      </c>
      <c r="AF767" s="23">
        <v>0</v>
      </c>
      <c r="AG767" s="25" t="s">
        <v>56</v>
      </c>
      <c r="AH767" s="24">
        <v>0</v>
      </c>
      <c r="AI767" s="31">
        <v>0</v>
      </c>
      <c r="AJ767" s="31">
        <v>0</v>
      </c>
      <c r="AK767" s="44">
        <f t="shared" si="22"/>
        <v>715.00000000000011</v>
      </c>
      <c r="AL767" t="e">
        <f>VLOOKUP(A767,'[1]prueba con 16mil datos'!$A$1:$AE$804,31,FALSE)</f>
        <v>#N/A</v>
      </c>
      <c r="AM767" t="e">
        <f t="shared" si="23"/>
        <v>#N/A</v>
      </c>
      <c r="AO767">
        <f>VLOOKUP(A767,'[1]Prueba con 19mil datos'!$B$1:$AF$1228,31,FALSE)</f>
        <v>0</v>
      </c>
    </row>
    <row r="768" spans="1:44" hidden="1" x14ac:dyDescent="0.25">
      <c r="A768" s="16" t="s">
        <v>283</v>
      </c>
      <c r="B768" s="15" t="s">
        <v>40</v>
      </c>
      <c r="C768" s="16">
        <v>1</v>
      </c>
      <c r="D768" s="16" t="s">
        <v>2909</v>
      </c>
      <c r="E768" s="17" t="s">
        <v>42</v>
      </c>
      <c r="F768" s="18" t="s">
        <v>43</v>
      </c>
      <c r="G768" s="18" t="s">
        <v>2910</v>
      </c>
      <c r="H768" s="16" t="s">
        <v>109</v>
      </c>
      <c r="I768" s="19" t="s">
        <v>3</v>
      </c>
      <c r="J768" s="16" t="s">
        <v>12</v>
      </c>
      <c r="K768" s="20" t="s">
        <v>2912</v>
      </c>
      <c r="L768" s="20" t="s">
        <v>2913</v>
      </c>
      <c r="M768" s="16" t="s">
        <v>224</v>
      </c>
      <c r="N768" s="16">
        <v>0</v>
      </c>
      <c r="O768" s="16" t="s">
        <v>50</v>
      </c>
      <c r="P768" s="20">
        <v>190</v>
      </c>
      <c r="Q768" s="20" t="s">
        <v>51</v>
      </c>
      <c r="R768" s="21" t="s">
        <v>52</v>
      </c>
      <c r="S768" s="22" t="s">
        <v>53</v>
      </c>
      <c r="T768" s="22" t="s">
        <v>54</v>
      </c>
      <c r="U768" s="23" t="s">
        <v>55</v>
      </c>
      <c r="V768" s="24">
        <v>1.05</v>
      </c>
      <c r="W768" s="25">
        <v>750.75000000000011</v>
      </c>
      <c r="X768" s="26">
        <v>1</v>
      </c>
      <c r="Y768" s="27">
        <v>1.25</v>
      </c>
      <c r="Z768" s="23">
        <v>5</v>
      </c>
      <c r="AA768" s="28">
        <v>0.25</v>
      </c>
      <c r="AB768" s="24">
        <v>0</v>
      </c>
      <c r="AC768" s="29">
        <v>0</v>
      </c>
      <c r="AD768" s="30">
        <v>43581</v>
      </c>
      <c r="AE768" s="30">
        <v>43581</v>
      </c>
      <c r="AF768" s="23">
        <v>0</v>
      </c>
      <c r="AG768" s="25" t="s">
        <v>56</v>
      </c>
      <c r="AH768" s="24">
        <v>0</v>
      </c>
      <c r="AI768" s="31">
        <v>0</v>
      </c>
      <c r="AJ768" s="31">
        <v>0</v>
      </c>
      <c r="AK768" s="44">
        <f t="shared" si="22"/>
        <v>750.75000000000011</v>
      </c>
      <c r="AL768" t="e">
        <f>VLOOKUP(A768,'[1]prueba con 16mil datos'!$A$1:$AE$804,31,FALSE)</f>
        <v>#N/A</v>
      </c>
      <c r="AM768" t="e">
        <f t="shared" si="23"/>
        <v>#N/A</v>
      </c>
      <c r="AO768">
        <f>VLOOKUP(A768,'[1]Prueba con 19mil datos'!$B$1:$AF$1228,31,FALSE)</f>
        <v>0</v>
      </c>
    </row>
    <row r="769" spans="1:41" hidden="1" x14ac:dyDescent="0.25">
      <c r="A769" s="16" t="s">
        <v>411</v>
      </c>
      <c r="B769" s="15" t="s">
        <v>40</v>
      </c>
      <c r="C769" s="16">
        <v>1</v>
      </c>
      <c r="D769" s="16" t="s">
        <v>2973</v>
      </c>
      <c r="E769" s="17" t="s">
        <v>42</v>
      </c>
      <c r="F769" s="18" t="s">
        <v>180</v>
      </c>
      <c r="G769" s="18" t="s">
        <v>2974</v>
      </c>
      <c r="H769" s="16" t="s">
        <v>243</v>
      </c>
      <c r="I769" s="19" t="s">
        <v>3</v>
      </c>
      <c r="J769" s="16" t="s">
        <v>12</v>
      </c>
      <c r="K769" s="20" t="s">
        <v>198</v>
      </c>
      <c r="L769" s="20" t="s">
        <v>2111</v>
      </c>
      <c r="M769" s="16" t="s">
        <v>429</v>
      </c>
      <c r="N769" s="16">
        <v>0</v>
      </c>
      <c r="O769" s="16" t="s">
        <v>50</v>
      </c>
      <c r="P769" s="20">
        <v>44</v>
      </c>
      <c r="Q769" s="20" t="s">
        <v>86</v>
      </c>
      <c r="R769" s="21" t="s">
        <v>186</v>
      </c>
      <c r="S769" s="22" t="s">
        <v>187</v>
      </c>
      <c r="T769" s="22" t="s">
        <v>54</v>
      </c>
      <c r="U769" s="23" t="s">
        <v>188</v>
      </c>
      <c r="V769" s="24">
        <v>1.1000000000000001</v>
      </c>
      <c r="W769" s="25">
        <v>1730.3000000000004</v>
      </c>
      <c r="X769" s="26">
        <v>1</v>
      </c>
      <c r="Y769" s="27">
        <v>2.35</v>
      </c>
      <c r="Z769" s="23">
        <v>4</v>
      </c>
      <c r="AA769" s="28">
        <v>0.58750000000000002</v>
      </c>
      <c r="AB769" s="24">
        <v>0</v>
      </c>
      <c r="AC769" s="29">
        <v>0</v>
      </c>
      <c r="AD769" s="30">
        <v>43581</v>
      </c>
      <c r="AE769" s="30">
        <v>43581</v>
      </c>
      <c r="AF769" s="23">
        <v>0</v>
      </c>
      <c r="AG769" s="25" t="s">
        <v>56</v>
      </c>
      <c r="AH769" s="24">
        <v>0</v>
      </c>
      <c r="AI769" s="31">
        <v>0</v>
      </c>
      <c r="AJ769" s="31">
        <v>0</v>
      </c>
      <c r="AK769" s="44">
        <f t="shared" si="22"/>
        <v>1730.3000000000004</v>
      </c>
      <c r="AL769" t="e">
        <f>VLOOKUP(A769,'[1]prueba con 16mil datos'!$A$1:$AE$804,31,FALSE)</f>
        <v>#N/A</v>
      </c>
      <c r="AM769" t="e">
        <f t="shared" si="23"/>
        <v>#N/A</v>
      </c>
      <c r="AO769">
        <f>VLOOKUP(A769,'[1]Prueba con 19mil datos'!$B$1:$AF$1228,31,FALSE)</f>
        <v>0</v>
      </c>
    </row>
    <row r="770" spans="1:41" hidden="1" x14ac:dyDescent="0.25">
      <c r="A770" s="16" t="s">
        <v>451</v>
      </c>
      <c r="B770" s="15" t="s">
        <v>40</v>
      </c>
      <c r="C770" s="16">
        <v>1</v>
      </c>
      <c r="D770" s="16" t="s">
        <v>2895</v>
      </c>
      <c r="E770" s="17" t="s">
        <v>42</v>
      </c>
      <c r="F770" s="18" t="s">
        <v>122</v>
      </c>
      <c r="G770" s="18" t="s">
        <v>2896</v>
      </c>
      <c r="H770" s="16" t="s">
        <v>463</v>
      </c>
      <c r="I770" s="19" t="s">
        <v>3</v>
      </c>
      <c r="J770" s="16" t="s">
        <v>12</v>
      </c>
      <c r="K770" s="20" t="s">
        <v>198</v>
      </c>
      <c r="L770" s="20" t="s">
        <v>394</v>
      </c>
      <c r="M770" s="16" t="s">
        <v>76</v>
      </c>
      <c r="N770" s="16">
        <v>0</v>
      </c>
      <c r="O770" s="16" t="s">
        <v>50</v>
      </c>
      <c r="P770" s="20">
        <v>10</v>
      </c>
      <c r="Q770" s="20" t="s">
        <v>65</v>
      </c>
      <c r="R770" s="21" t="s">
        <v>129</v>
      </c>
      <c r="S770" s="22" t="s">
        <v>130</v>
      </c>
      <c r="T770" s="22" t="s">
        <v>54</v>
      </c>
      <c r="U770" s="23" t="s">
        <v>131</v>
      </c>
      <c r="V770" s="24">
        <v>0.6</v>
      </c>
      <c r="W770" s="25">
        <v>819</v>
      </c>
      <c r="X770" s="26">
        <v>1</v>
      </c>
      <c r="Y770" s="27">
        <v>1.48</v>
      </c>
      <c r="Z770" s="23">
        <v>5</v>
      </c>
      <c r="AA770" s="28">
        <v>0.29599999999999999</v>
      </c>
      <c r="AB770" s="24">
        <v>0</v>
      </c>
      <c r="AC770" s="29">
        <v>0</v>
      </c>
      <c r="AD770" s="30">
        <v>43581</v>
      </c>
      <c r="AE770" s="30">
        <v>43581</v>
      </c>
      <c r="AF770" s="23">
        <v>0</v>
      </c>
      <c r="AG770" s="25" t="s">
        <v>56</v>
      </c>
      <c r="AH770" s="24">
        <v>0</v>
      </c>
      <c r="AI770" s="31">
        <v>0</v>
      </c>
      <c r="AJ770" s="31">
        <v>0</v>
      </c>
      <c r="AK770" s="44">
        <f t="shared" ref="AK770:AK833" si="24">+W770+AC770</f>
        <v>819</v>
      </c>
      <c r="AL770" t="e">
        <f>VLOOKUP(A770,'[1]prueba con 16mil datos'!$A$1:$AE$804,31,FALSE)</f>
        <v>#N/A</v>
      </c>
      <c r="AM770" t="e">
        <f t="shared" ref="AM770:AM833" si="25">IF(AK770=AL770,1,0)</f>
        <v>#N/A</v>
      </c>
      <c r="AO770">
        <f>VLOOKUP(A770,'[1]Prueba con 19mil datos'!$B$1:$AF$1228,31,FALSE)</f>
        <v>0</v>
      </c>
    </row>
    <row r="771" spans="1:41" hidden="1" x14ac:dyDescent="0.25">
      <c r="A771" s="16" t="s">
        <v>539</v>
      </c>
      <c r="B771" s="15" t="s">
        <v>40</v>
      </c>
      <c r="C771" s="16">
        <v>1</v>
      </c>
      <c r="D771" s="16" t="s">
        <v>3003</v>
      </c>
      <c r="E771" s="17" t="s">
        <v>42</v>
      </c>
      <c r="F771" s="18" t="s">
        <v>122</v>
      </c>
      <c r="G771" s="18" t="s">
        <v>3004</v>
      </c>
      <c r="H771" s="16" t="s">
        <v>221</v>
      </c>
      <c r="I771" s="19" t="s">
        <v>3</v>
      </c>
      <c r="J771" s="16" t="s">
        <v>12</v>
      </c>
      <c r="K771" s="20" t="s">
        <v>198</v>
      </c>
      <c r="L771" s="20" t="s">
        <v>353</v>
      </c>
      <c r="M771" s="16" t="s">
        <v>354</v>
      </c>
      <c r="N771" s="16">
        <v>0</v>
      </c>
      <c r="O771" s="16" t="s">
        <v>50</v>
      </c>
      <c r="P771" s="20">
        <v>9</v>
      </c>
      <c r="Q771" s="20" t="s">
        <v>65</v>
      </c>
      <c r="R771" s="21" t="s">
        <v>129</v>
      </c>
      <c r="S771" s="22" t="s">
        <v>130</v>
      </c>
      <c r="T771" s="22" t="s">
        <v>54</v>
      </c>
      <c r="U771" s="23" t="s">
        <v>131</v>
      </c>
      <c r="V771" s="24">
        <v>0.6</v>
      </c>
      <c r="W771" s="25">
        <v>819</v>
      </c>
      <c r="X771" s="26">
        <v>1</v>
      </c>
      <c r="Y771" s="27">
        <v>1.03</v>
      </c>
      <c r="Z771" s="23">
        <v>5</v>
      </c>
      <c r="AA771" s="28">
        <v>0.20600000000000002</v>
      </c>
      <c r="AB771" s="24">
        <v>0</v>
      </c>
      <c r="AC771" s="29">
        <v>0</v>
      </c>
      <c r="AD771" s="30">
        <v>43581</v>
      </c>
      <c r="AE771" s="30">
        <v>43584</v>
      </c>
      <c r="AF771" s="23">
        <v>1</v>
      </c>
      <c r="AG771" s="25" t="s">
        <v>56</v>
      </c>
      <c r="AH771" s="24">
        <v>0</v>
      </c>
      <c r="AI771" s="31">
        <v>0</v>
      </c>
      <c r="AJ771" s="31">
        <v>0</v>
      </c>
      <c r="AK771" s="44">
        <f t="shared" si="24"/>
        <v>819</v>
      </c>
      <c r="AL771" t="e">
        <f>VLOOKUP(A771,'[1]prueba con 16mil datos'!$A$1:$AE$804,31,FALSE)</f>
        <v>#N/A</v>
      </c>
      <c r="AM771" t="e">
        <f t="shared" si="25"/>
        <v>#N/A</v>
      </c>
      <c r="AO771">
        <f>VLOOKUP(A771,'[1]Prueba con 19mil datos'!$B$1:$AF$1228,31,FALSE)</f>
        <v>0</v>
      </c>
    </row>
    <row r="772" spans="1:41" hidden="1" x14ac:dyDescent="0.25">
      <c r="A772" s="16" t="s">
        <v>589</v>
      </c>
      <c r="B772" s="15" t="s">
        <v>40</v>
      </c>
      <c r="C772" s="16">
        <v>1</v>
      </c>
      <c r="D772" s="16" t="s">
        <v>2964</v>
      </c>
      <c r="E772" s="17" t="s">
        <v>42</v>
      </c>
      <c r="F772" s="18" t="s">
        <v>122</v>
      </c>
      <c r="G772" s="18" t="s">
        <v>2965</v>
      </c>
      <c r="H772" s="16" t="s">
        <v>463</v>
      </c>
      <c r="I772" s="19" t="s">
        <v>3</v>
      </c>
      <c r="J772" s="16" t="s">
        <v>12</v>
      </c>
      <c r="K772" s="20" t="s">
        <v>126</v>
      </c>
      <c r="L772" s="20" t="s">
        <v>595</v>
      </c>
      <c r="M772" s="16" t="s">
        <v>596</v>
      </c>
      <c r="N772" s="16">
        <v>0</v>
      </c>
      <c r="O772" s="16" t="s">
        <v>50</v>
      </c>
      <c r="P772" s="20">
        <v>30</v>
      </c>
      <c r="Q772" s="20" t="s">
        <v>119</v>
      </c>
      <c r="R772" s="21" t="s">
        <v>129</v>
      </c>
      <c r="S772" s="22" t="s">
        <v>130</v>
      </c>
      <c r="T772" s="22" t="s">
        <v>54</v>
      </c>
      <c r="U772" s="23" t="s">
        <v>164</v>
      </c>
      <c r="V772" s="24">
        <v>0.8</v>
      </c>
      <c r="W772" s="25">
        <v>1092</v>
      </c>
      <c r="X772" s="26">
        <v>1</v>
      </c>
      <c r="Y772" s="27">
        <v>0.66</v>
      </c>
      <c r="Z772" s="23">
        <v>5</v>
      </c>
      <c r="AA772" s="28">
        <v>0.13200000000000001</v>
      </c>
      <c r="AB772" s="24">
        <v>0</v>
      </c>
      <c r="AC772" s="29">
        <v>0</v>
      </c>
      <c r="AD772" s="30">
        <v>43581</v>
      </c>
      <c r="AE772" s="30">
        <v>43581</v>
      </c>
      <c r="AF772" s="23">
        <v>0</v>
      </c>
      <c r="AG772" s="25" t="s">
        <v>56</v>
      </c>
      <c r="AH772" s="24">
        <v>0</v>
      </c>
      <c r="AI772" s="31">
        <v>0</v>
      </c>
      <c r="AJ772" s="31">
        <v>0</v>
      </c>
      <c r="AK772" s="44">
        <f t="shared" si="24"/>
        <v>1092</v>
      </c>
      <c r="AL772" t="e">
        <f>VLOOKUP(A772,'[1]prueba con 16mil datos'!$A$1:$AE$804,31,FALSE)</f>
        <v>#N/A</v>
      </c>
      <c r="AM772" t="e">
        <f t="shared" si="25"/>
        <v>#N/A</v>
      </c>
      <c r="AO772">
        <f>VLOOKUP(A772,'[1]Prueba con 19mil datos'!$B$1:$AF$1228,31,FALSE)</f>
        <v>0</v>
      </c>
    </row>
    <row r="773" spans="1:41" hidden="1" x14ac:dyDescent="0.25">
      <c r="A773" s="16" t="s">
        <v>604</v>
      </c>
      <c r="B773" s="15" t="s">
        <v>40</v>
      </c>
      <c r="C773" s="16">
        <v>1</v>
      </c>
      <c r="D773" s="16" t="s">
        <v>2966</v>
      </c>
      <c r="E773" s="17" t="s">
        <v>1522</v>
      </c>
      <c r="F773" s="18" t="s">
        <v>79</v>
      </c>
      <c r="G773" s="18" t="s">
        <v>2967</v>
      </c>
      <c r="H773" s="16" t="s">
        <v>264</v>
      </c>
      <c r="I773" s="19" t="s">
        <v>3</v>
      </c>
      <c r="J773" s="16" t="s">
        <v>12</v>
      </c>
      <c r="K773" s="20" t="s">
        <v>378</v>
      </c>
      <c r="L773" s="20" t="s">
        <v>711</v>
      </c>
      <c r="M773" s="16" t="s">
        <v>267</v>
      </c>
      <c r="N773" s="16">
        <v>0</v>
      </c>
      <c r="O773" s="16" t="s">
        <v>50</v>
      </c>
      <c r="P773" s="20" t="s">
        <v>326</v>
      </c>
      <c r="Q773" s="20" t="s">
        <v>51</v>
      </c>
      <c r="R773" s="21" t="s">
        <v>87</v>
      </c>
      <c r="S773" s="22" t="s">
        <v>53</v>
      </c>
      <c r="T773" s="22" t="s">
        <v>54</v>
      </c>
      <c r="U773" s="23" t="s">
        <v>55</v>
      </c>
      <c r="V773" s="24">
        <v>1</v>
      </c>
      <c r="W773" s="25">
        <v>715.00000000000011</v>
      </c>
      <c r="X773" s="26">
        <v>0</v>
      </c>
      <c r="Y773" s="27">
        <v>5</v>
      </c>
      <c r="Z773" s="23">
        <v>5</v>
      </c>
      <c r="AA773" s="28">
        <v>1</v>
      </c>
      <c r="AB773" s="24">
        <v>0</v>
      </c>
      <c r="AC773" s="29">
        <v>0</v>
      </c>
      <c r="AD773" s="30">
        <v>43581</v>
      </c>
      <c r="AE773" s="30">
        <v>43581</v>
      </c>
      <c r="AF773" s="23">
        <v>0</v>
      </c>
      <c r="AG773" s="25" t="s">
        <v>56</v>
      </c>
      <c r="AH773" s="24">
        <v>0</v>
      </c>
      <c r="AI773" s="31">
        <v>0</v>
      </c>
      <c r="AJ773" s="31">
        <v>0</v>
      </c>
      <c r="AK773" s="44">
        <f t="shared" si="24"/>
        <v>715.00000000000011</v>
      </c>
      <c r="AL773" t="e">
        <f>VLOOKUP(A773,'[1]prueba con 16mil datos'!$A$1:$AE$804,31,FALSE)</f>
        <v>#N/A</v>
      </c>
      <c r="AM773" t="e">
        <f t="shared" si="25"/>
        <v>#N/A</v>
      </c>
      <c r="AO773">
        <f>VLOOKUP(A773,'[1]Prueba con 19mil datos'!$B$1:$AF$1228,31,FALSE)</f>
        <v>1573</v>
      </c>
    </row>
    <row r="774" spans="1:41" hidden="1" x14ac:dyDescent="0.25">
      <c r="A774" s="16" t="s">
        <v>641</v>
      </c>
      <c r="B774" s="15" t="s">
        <v>40</v>
      </c>
      <c r="C774" s="16">
        <v>1</v>
      </c>
      <c r="D774" s="16" t="s">
        <v>2937</v>
      </c>
      <c r="E774" s="17" t="s">
        <v>42</v>
      </c>
      <c r="F774" s="18" t="s">
        <v>356</v>
      </c>
      <c r="G774" s="18" t="s">
        <v>2938</v>
      </c>
      <c r="H774" s="16" t="s">
        <v>125</v>
      </c>
      <c r="I774" s="19" t="s">
        <v>3</v>
      </c>
      <c r="J774" s="16" t="s">
        <v>12</v>
      </c>
      <c r="K774" s="20" t="s">
        <v>1017</v>
      </c>
      <c r="L774" s="20" t="s">
        <v>1018</v>
      </c>
      <c r="M774" s="16" t="s">
        <v>128</v>
      </c>
      <c r="N774" s="16">
        <v>0</v>
      </c>
      <c r="O774" s="16" t="s">
        <v>50</v>
      </c>
      <c r="P774" s="20">
        <v>32</v>
      </c>
      <c r="Q774" s="20" t="s">
        <v>86</v>
      </c>
      <c r="R774" s="21" t="s">
        <v>225</v>
      </c>
      <c r="S774" s="22" t="s">
        <v>130</v>
      </c>
      <c r="T774" s="22" t="s">
        <v>54</v>
      </c>
      <c r="U774" s="23" t="s">
        <v>178</v>
      </c>
      <c r="V774" s="24">
        <v>1.05</v>
      </c>
      <c r="W774" s="25">
        <v>1433.25</v>
      </c>
      <c r="X774" s="26">
        <v>1</v>
      </c>
      <c r="Y774" s="27">
        <v>2.7633333333333345</v>
      </c>
      <c r="Z774" s="23">
        <v>5</v>
      </c>
      <c r="AA774" s="28">
        <v>0.55266666666666686</v>
      </c>
      <c r="AB774" s="24">
        <v>0</v>
      </c>
      <c r="AC774" s="29">
        <v>0</v>
      </c>
      <c r="AD774" s="30">
        <v>43581</v>
      </c>
      <c r="AE774" s="30">
        <v>43581</v>
      </c>
      <c r="AF774" s="23">
        <v>0</v>
      </c>
      <c r="AG774" s="25" t="s">
        <v>56</v>
      </c>
      <c r="AH774" s="24">
        <v>0</v>
      </c>
      <c r="AI774" s="31">
        <v>0</v>
      </c>
      <c r="AJ774" s="31">
        <v>0</v>
      </c>
      <c r="AK774" s="44">
        <f t="shared" si="24"/>
        <v>1433.25</v>
      </c>
      <c r="AL774" t="e">
        <f>VLOOKUP(A774,'[1]prueba con 16mil datos'!$A$1:$AE$804,31,FALSE)</f>
        <v>#N/A</v>
      </c>
      <c r="AM774" t="e">
        <f t="shared" si="25"/>
        <v>#N/A</v>
      </c>
      <c r="AO774">
        <f>VLOOKUP(A774,'[1]Prueba con 19mil datos'!$B$1:$AF$1228,31,FALSE)</f>
        <v>0</v>
      </c>
    </row>
    <row r="775" spans="1:41" hidden="1" x14ac:dyDescent="0.25">
      <c r="A775" s="16" t="s">
        <v>721</v>
      </c>
      <c r="B775" s="15" t="s">
        <v>40</v>
      </c>
      <c r="C775" s="16">
        <v>1</v>
      </c>
      <c r="D775" s="16" t="s">
        <v>2899</v>
      </c>
      <c r="E775" s="17" t="s">
        <v>42</v>
      </c>
      <c r="F775" s="18" t="s">
        <v>2900</v>
      </c>
      <c r="G775" s="18" t="s">
        <v>2901</v>
      </c>
      <c r="H775" s="16" t="s">
        <v>207</v>
      </c>
      <c r="I775" s="19" t="s">
        <v>3</v>
      </c>
      <c r="J775" s="16" t="s">
        <v>12</v>
      </c>
      <c r="K775" s="20" t="s">
        <v>764</v>
      </c>
      <c r="L775" s="20" t="s">
        <v>887</v>
      </c>
      <c r="M775" s="16" t="s">
        <v>224</v>
      </c>
      <c r="N775" s="16">
        <v>0</v>
      </c>
      <c r="O775" s="16" t="s">
        <v>50</v>
      </c>
      <c r="P775" s="20">
        <v>108</v>
      </c>
      <c r="Q775" s="20" t="s">
        <v>51</v>
      </c>
      <c r="R775" s="21" t="s">
        <v>87</v>
      </c>
      <c r="S775" s="22" t="s">
        <v>53</v>
      </c>
      <c r="T775" s="22" t="s">
        <v>54</v>
      </c>
      <c r="U775" s="23" t="s">
        <v>55</v>
      </c>
      <c r="V775" s="24">
        <v>1.05</v>
      </c>
      <c r="W775" s="25">
        <v>750.75000000000011</v>
      </c>
      <c r="X775" s="26">
        <v>1</v>
      </c>
      <c r="Y775" s="27">
        <v>3.88</v>
      </c>
      <c r="Z775" s="23">
        <v>5</v>
      </c>
      <c r="AA775" s="28">
        <v>0.77600000000000002</v>
      </c>
      <c r="AB775" s="24">
        <v>0</v>
      </c>
      <c r="AC775" s="29">
        <v>0</v>
      </c>
      <c r="AD775" s="30">
        <v>43581</v>
      </c>
      <c r="AE775" s="30">
        <v>43581</v>
      </c>
      <c r="AF775" s="23">
        <v>0</v>
      </c>
      <c r="AG775" s="25" t="s">
        <v>56</v>
      </c>
      <c r="AH775" s="24">
        <v>0</v>
      </c>
      <c r="AI775" s="31">
        <v>0</v>
      </c>
      <c r="AJ775" s="31">
        <v>0</v>
      </c>
      <c r="AK775" s="44">
        <f t="shared" si="24"/>
        <v>750.75000000000011</v>
      </c>
      <c r="AL775" t="e">
        <f>VLOOKUP(A775,'[1]prueba con 16mil datos'!$A$1:$AE$804,31,FALSE)</f>
        <v>#N/A</v>
      </c>
      <c r="AM775" t="e">
        <f t="shared" si="25"/>
        <v>#N/A</v>
      </c>
      <c r="AO775">
        <f>VLOOKUP(A775,'[1]Prueba con 19mil datos'!$B$1:$AF$1228,31,FALSE)</f>
        <v>0</v>
      </c>
    </row>
    <row r="776" spans="1:41" hidden="1" x14ac:dyDescent="0.25">
      <c r="A776" s="16" t="s">
        <v>777</v>
      </c>
      <c r="B776" s="15" t="s">
        <v>40</v>
      </c>
      <c r="C776" s="16">
        <v>1</v>
      </c>
      <c r="D776" s="16" t="s">
        <v>2997</v>
      </c>
      <c r="E776" s="17" t="s">
        <v>42</v>
      </c>
      <c r="F776" s="18" t="s">
        <v>745</v>
      </c>
      <c r="G776" s="18" t="s">
        <v>2998</v>
      </c>
      <c r="H776" s="16" t="s">
        <v>243</v>
      </c>
      <c r="I776" s="19" t="s">
        <v>3</v>
      </c>
      <c r="J776" s="16" t="s">
        <v>12</v>
      </c>
      <c r="K776" s="20" t="s">
        <v>126</v>
      </c>
      <c r="L776" s="20" t="s">
        <v>956</v>
      </c>
      <c r="M776" s="16" t="s">
        <v>296</v>
      </c>
      <c r="N776" s="16">
        <v>0</v>
      </c>
      <c r="O776" s="16" t="s">
        <v>50</v>
      </c>
      <c r="P776" s="20">
        <v>31</v>
      </c>
      <c r="Q776" s="20" t="s">
        <v>86</v>
      </c>
      <c r="R776" s="21" t="s">
        <v>287</v>
      </c>
      <c r="S776" s="22" t="s">
        <v>288</v>
      </c>
      <c r="T776" s="22" t="s">
        <v>54</v>
      </c>
      <c r="U776" s="23" t="s">
        <v>188</v>
      </c>
      <c r="V776" s="24">
        <v>1.1000000000000001</v>
      </c>
      <c r="W776" s="25">
        <v>1730.3000000000004</v>
      </c>
      <c r="X776" s="26">
        <v>1</v>
      </c>
      <c r="Y776" s="27">
        <v>1</v>
      </c>
      <c r="Z776" s="23">
        <v>4</v>
      </c>
      <c r="AA776" s="28">
        <v>0.25</v>
      </c>
      <c r="AB776" s="24">
        <v>0</v>
      </c>
      <c r="AC776" s="29">
        <v>0</v>
      </c>
      <c r="AD776" s="30">
        <v>43581</v>
      </c>
      <c r="AE776" s="30">
        <v>43584</v>
      </c>
      <c r="AF776" s="23">
        <v>1</v>
      </c>
      <c r="AG776" s="25" t="s">
        <v>56</v>
      </c>
      <c r="AH776" s="24">
        <v>0</v>
      </c>
      <c r="AI776" s="31">
        <v>0</v>
      </c>
      <c r="AJ776" s="31">
        <v>0</v>
      </c>
      <c r="AK776" s="44">
        <f t="shared" si="24"/>
        <v>1730.3000000000004</v>
      </c>
      <c r="AL776" t="e">
        <f>VLOOKUP(A776,'[1]prueba con 16mil datos'!$A$1:$AE$804,31,FALSE)</f>
        <v>#N/A</v>
      </c>
      <c r="AM776" t="e">
        <f t="shared" si="25"/>
        <v>#N/A</v>
      </c>
      <c r="AO776">
        <f>VLOOKUP(A776,'[1]Prueba con 19mil datos'!$B$1:$AF$1228,31,FALSE)</f>
        <v>0</v>
      </c>
    </row>
    <row r="777" spans="1:41" hidden="1" x14ac:dyDescent="0.25">
      <c r="A777" s="16" t="s">
        <v>785</v>
      </c>
      <c r="B777" s="15" t="s">
        <v>40</v>
      </c>
      <c r="C777" s="16">
        <v>1</v>
      </c>
      <c r="D777" s="16" t="s">
        <v>2944</v>
      </c>
      <c r="E777" s="17" t="s">
        <v>1522</v>
      </c>
      <c r="F777" s="18" t="s">
        <v>1183</v>
      </c>
      <c r="G777" s="18" t="s">
        <v>2920</v>
      </c>
      <c r="H777" s="16" t="s">
        <v>264</v>
      </c>
      <c r="I777" s="19" t="s">
        <v>3</v>
      </c>
      <c r="J777" s="16" t="s">
        <v>12</v>
      </c>
      <c r="K777" s="20" t="s">
        <v>378</v>
      </c>
      <c r="L777" s="20" t="s">
        <v>711</v>
      </c>
      <c r="M777" s="16" t="s">
        <v>49</v>
      </c>
      <c r="N777" s="16">
        <v>0</v>
      </c>
      <c r="O777" s="16" t="s">
        <v>50</v>
      </c>
      <c r="P777" s="20" t="s">
        <v>326</v>
      </c>
      <c r="Q777" s="20" t="s">
        <v>51</v>
      </c>
      <c r="R777" s="21" t="s">
        <v>52</v>
      </c>
      <c r="S777" s="22" t="s">
        <v>53</v>
      </c>
      <c r="T777" s="22" t="s">
        <v>54</v>
      </c>
      <c r="U777" s="23" t="s">
        <v>55</v>
      </c>
      <c r="V777" s="24">
        <v>1</v>
      </c>
      <c r="W777" s="25">
        <v>715.00000000000011</v>
      </c>
      <c r="X777" s="26">
        <v>0</v>
      </c>
      <c r="Y777" s="27">
        <v>5</v>
      </c>
      <c r="Z777" s="23">
        <v>5</v>
      </c>
      <c r="AA777" s="28">
        <v>1</v>
      </c>
      <c r="AB777" s="24">
        <v>0</v>
      </c>
      <c r="AC777" s="29">
        <v>0</v>
      </c>
      <c r="AD777" s="30">
        <v>43581</v>
      </c>
      <c r="AE777" s="30">
        <v>43581</v>
      </c>
      <c r="AF777" s="23">
        <v>0</v>
      </c>
      <c r="AG777" s="25" t="s">
        <v>56</v>
      </c>
      <c r="AH777" s="24">
        <v>0</v>
      </c>
      <c r="AI777" s="31">
        <v>0</v>
      </c>
      <c r="AJ777" s="31">
        <v>0</v>
      </c>
      <c r="AK777" s="44">
        <f t="shared" si="24"/>
        <v>715.00000000000011</v>
      </c>
      <c r="AL777" t="e">
        <f>VLOOKUP(A777,'[1]prueba con 16mil datos'!$A$1:$AE$804,31,FALSE)</f>
        <v>#N/A</v>
      </c>
      <c r="AM777" t="e">
        <f t="shared" si="25"/>
        <v>#N/A</v>
      </c>
      <c r="AO777">
        <f>VLOOKUP(A777,'[1]Prueba con 19mil datos'!$B$1:$AF$1228,31,FALSE)</f>
        <v>0</v>
      </c>
    </row>
    <row r="778" spans="1:41" hidden="1" x14ac:dyDescent="0.25">
      <c r="A778" s="16" t="s">
        <v>840</v>
      </c>
      <c r="B778" s="15" t="s">
        <v>40</v>
      </c>
      <c r="C778" s="16">
        <v>1</v>
      </c>
      <c r="D778" s="16" t="s">
        <v>2969</v>
      </c>
      <c r="E778" s="17" t="s">
        <v>42</v>
      </c>
      <c r="F778" s="18" t="s">
        <v>58</v>
      </c>
      <c r="G778" s="18" t="s">
        <v>2970</v>
      </c>
      <c r="H778" s="16" t="s">
        <v>61</v>
      </c>
      <c r="I778" s="19" t="s">
        <v>3</v>
      </c>
      <c r="J778" s="16" t="s">
        <v>12</v>
      </c>
      <c r="K778" s="20" t="s">
        <v>62</v>
      </c>
      <c r="L778" s="20" t="s">
        <v>63</v>
      </c>
      <c r="M778" s="16" t="s">
        <v>64</v>
      </c>
      <c r="N778" s="16">
        <v>0</v>
      </c>
      <c r="O778" s="16" t="s">
        <v>50</v>
      </c>
      <c r="P778" s="20">
        <v>26</v>
      </c>
      <c r="Q778" s="20" t="s">
        <v>119</v>
      </c>
      <c r="R778" s="21" t="s">
        <v>66</v>
      </c>
      <c r="S778" s="22" t="s">
        <v>67</v>
      </c>
      <c r="T778" s="22" t="s">
        <v>54</v>
      </c>
      <c r="U778" s="23" t="s">
        <v>1423</v>
      </c>
      <c r="V778" s="24">
        <v>1.1000000000000001</v>
      </c>
      <c r="W778" s="25">
        <v>2359.5</v>
      </c>
      <c r="X778" s="26">
        <v>1</v>
      </c>
      <c r="Y778" s="27">
        <v>3.4</v>
      </c>
      <c r="Z778" s="23">
        <v>3</v>
      </c>
      <c r="AA778" s="28">
        <v>1.1333333333333333</v>
      </c>
      <c r="AB778" s="24">
        <v>3.3333333333333326E-2</v>
      </c>
      <c r="AC778" s="29">
        <v>-71.499999999999986</v>
      </c>
      <c r="AD778" s="30">
        <v>43581</v>
      </c>
      <c r="AE778" s="30">
        <v>43581</v>
      </c>
      <c r="AF778" s="23">
        <v>0</v>
      </c>
      <c r="AG778" s="25" t="s">
        <v>56</v>
      </c>
      <c r="AH778" s="24">
        <v>0</v>
      </c>
      <c r="AI778" s="31">
        <v>0</v>
      </c>
      <c r="AJ778" s="31">
        <v>0</v>
      </c>
      <c r="AK778" s="44">
        <f t="shared" si="24"/>
        <v>2288</v>
      </c>
      <c r="AL778" t="e">
        <f>VLOOKUP(A778,'[1]prueba con 16mil datos'!$A$1:$AE$804,31,FALSE)</f>
        <v>#N/A</v>
      </c>
      <c r="AM778" t="e">
        <f t="shared" si="25"/>
        <v>#N/A</v>
      </c>
      <c r="AO778">
        <f>VLOOKUP(A778,'[1]Prueba con 19mil datos'!$B$1:$AF$1228,31,FALSE)</f>
        <v>374.4</v>
      </c>
    </row>
    <row r="779" spans="1:41" hidden="1" x14ac:dyDescent="0.25">
      <c r="A779" s="16" t="s">
        <v>891</v>
      </c>
      <c r="B779" s="15" t="s">
        <v>40</v>
      </c>
      <c r="C779" s="16">
        <v>1</v>
      </c>
      <c r="D779" s="16" t="s">
        <v>2955</v>
      </c>
      <c r="E779" s="17" t="s">
        <v>1522</v>
      </c>
      <c r="F779" s="18" t="s">
        <v>305</v>
      </c>
      <c r="G779" s="18" t="s">
        <v>2956</v>
      </c>
      <c r="H779" s="16" t="s">
        <v>109</v>
      </c>
      <c r="I779" s="19" t="s">
        <v>3</v>
      </c>
      <c r="J779" s="16" t="s">
        <v>12</v>
      </c>
      <c r="K779" s="20" t="s">
        <v>1608</v>
      </c>
      <c r="L779" s="20" t="s">
        <v>1609</v>
      </c>
      <c r="M779" s="16" t="s">
        <v>1610</v>
      </c>
      <c r="N779" s="16">
        <v>0</v>
      </c>
      <c r="O779" s="16" t="s">
        <v>50</v>
      </c>
      <c r="P779" s="20" t="s">
        <v>326</v>
      </c>
      <c r="Q779" s="20" t="s">
        <v>51</v>
      </c>
      <c r="R779" s="21" t="s">
        <v>148</v>
      </c>
      <c r="S779" s="22" t="s">
        <v>130</v>
      </c>
      <c r="T779" s="22" t="s">
        <v>54</v>
      </c>
      <c r="U779" s="23" t="s">
        <v>226</v>
      </c>
      <c r="V779" s="24">
        <v>1</v>
      </c>
      <c r="W779" s="25">
        <v>1365</v>
      </c>
      <c r="X779" s="26">
        <v>0</v>
      </c>
      <c r="Y779" s="27">
        <v>5</v>
      </c>
      <c r="Z779" s="23">
        <v>5</v>
      </c>
      <c r="AA779" s="28">
        <v>1</v>
      </c>
      <c r="AB779" s="24">
        <v>0</v>
      </c>
      <c r="AC779" s="29">
        <v>0</v>
      </c>
      <c r="AD779" s="30">
        <v>43581</v>
      </c>
      <c r="AE779" s="30">
        <v>43581</v>
      </c>
      <c r="AF779" s="23">
        <v>0</v>
      </c>
      <c r="AG779" s="25" t="s">
        <v>56</v>
      </c>
      <c r="AH779" s="24">
        <v>0</v>
      </c>
      <c r="AI779" s="31">
        <v>0</v>
      </c>
      <c r="AJ779" s="31">
        <v>0</v>
      </c>
      <c r="AK779" s="44">
        <f t="shared" si="24"/>
        <v>1365</v>
      </c>
      <c r="AL779" t="e">
        <f>VLOOKUP(A779,'[1]prueba con 16mil datos'!$A$1:$AE$804,31,FALSE)</f>
        <v>#N/A</v>
      </c>
      <c r="AM779" t="e">
        <f t="shared" si="25"/>
        <v>#N/A</v>
      </c>
      <c r="AO779">
        <f>VLOOKUP(A779,'[1]Prueba con 19mil datos'!$B$1:$AF$1228,31,FALSE)</f>
        <v>0</v>
      </c>
    </row>
    <row r="780" spans="1:41" hidden="1" x14ac:dyDescent="0.25">
      <c r="A780" s="16" t="s">
        <v>910</v>
      </c>
      <c r="B780" s="15" t="s">
        <v>40</v>
      </c>
      <c r="C780" s="16">
        <v>1</v>
      </c>
      <c r="D780" s="16" t="s">
        <v>2995</v>
      </c>
      <c r="E780" s="17" t="s">
        <v>42</v>
      </c>
      <c r="F780" s="18" t="s">
        <v>305</v>
      </c>
      <c r="G780" s="18" t="s">
        <v>2718</v>
      </c>
      <c r="H780" s="16" t="s">
        <v>82</v>
      </c>
      <c r="I780" s="19" t="s">
        <v>3</v>
      </c>
      <c r="J780" s="16" t="s">
        <v>12</v>
      </c>
      <c r="K780" s="20" t="s">
        <v>83</v>
      </c>
      <c r="L780" s="20" t="s">
        <v>2576</v>
      </c>
      <c r="M780" s="16" t="s">
        <v>617</v>
      </c>
      <c r="N780" s="16">
        <v>0</v>
      </c>
      <c r="O780" s="16" t="s">
        <v>50</v>
      </c>
      <c r="P780" s="20">
        <v>47</v>
      </c>
      <c r="Q780" s="20" t="s">
        <v>86</v>
      </c>
      <c r="R780" s="21" t="s">
        <v>148</v>
      </c>
      <c r="S780" s="22" t="s">
        <v>130</v>
      </c>
      <c r="T780" s="22" t="s">
        <v>54</v>
      </c>
      <c r="U780" s="23" t="s">
        <v>178</v>
      </c>
      <c r="V780" s="24">
        <v>1.05</v>
      </c>
      <c r="W780" s="25">
        <v>1433.25</v>
      </c>
      <c r="X780" s="26">
        <v>1</v>
      </c>
      <c r="Y780" s="27">
        <v>4.08</v>
      </c>
      <c r="Z780" s="23">
        <v>5</v>
      </c>
      <c r="AA780" s="28">
        <v>0.81600000000000006</v>
      </c>
      <c r="AB780" s="24">
        <v>0</v>
      </c>
      <c r="AC780" s="29">
        <v>0</v>
      </c>
      <c r="AD780" s="30">
        <v>43581</v>
      </c>
      <c r="AE780" s="30">
        <v>43584</v>
      </c>
      <c r="AF780" s="23">
        <v>1</v>
      </c>
      <c r="AG780" s="25" t="s">
        <v>56</v>
      </c>
      <c r="AH780" s="24">
        <v>0</v>
      </c>
      <c r="AI780" s="31">
        <v>0</v>
      </c>
      <c r="AJ780" s="31">
        <v>0</v>
      </c>
      <c r="AK780" s="44">
        <f t="shared" si="24"/>
        <v>1433.25</v>
      </c>
      <c r="AL780" t="e">
        <f>VLOOKUP(A780,'[1]prueba con 16mil datos'!$A$1:$AE$804,31,FALSE)</f>
        <v>#N/A</v>
      </c>
      <c r="AM780" t="e">
        <f t="shared" si="25"/>
        <v>#N/A</v>
      </c>
      <c r="AO780">
        <f>VLOOKUP(A780,'[1]Prueba con 19mil datos'!$B$1:$AF$1228,31,FALSE)</f>
        <v>0</v>
      </c>
    </row>
    <row r="781" spans="1:41" hidden="1" x14ac:dyDescent="0.25">
      <c r="A781" s="16" t="s">
        <v>935</v>
      </c>
      <c r="B781" s="15" t="s">
        <v>40</v>
      </c>
      <c r="C781" s="16">
        <v>1</v>
      </c>
      <c r="D781" s="16" t="s">
        <v>2924</v>
      </c>
      <c r="E781" s="17" t="s">
        <v>42</v>
      </c>
      <c r="F781" s="18" t="s">
        <v>501</v>
      </c>
      <c r="G781" s="18" t="s">
        <v>2925</v>
      </c>
      <c r="H781" s="16" t="s">
        <v>293</v>
      </c>
      <c r="I781" s="19" t="s">
        <v>3</v>
      </c>
      <c r="J781" s="16" t="s">
        <v>12</v>
      </c>
      <c r="K781" s="20" t="s">
        <v>126</v>
      </c>
      <c r="L781" s="20" t="s">
        <v>706</v>
      </c>
      <c r="M781" s="16" t="s">
        <v>372</v>
      </c>
      <c r="N781" s="16">
        <v>0</v>
      </c>
      <c r="O781" s="16" t="s">
        <v>50</v>
      </c>
      <c r="P781" s="20">
        <v>34</v>
      </c>
      <c r="Q781" s="20" t="s">
        <v>86</v>
      </c>
      <c r="R781" s="21" t="s">
        <v>129</v>
      </c>
      <c r="S781" s="22" t="s">
        <v>130</v>
      </c>
      <c r="T781" s="22" t="s">
        <v>54</v>
      </c>
      <c r="U781" s="23" t="s">
        <v>178</v>
      </c>
      <c r="V781" s="24">
        <v>1.05</v>
      </c>
      <c r="W781" s="25">
        <v>1433.25</v>
      </c>
      <c r="X781" s="26">
        <v>1</v>
      </c>
      <c r="Y781" s="27">
        <v>0.5</v>
      </c>
      <c r="Z781" s="23">
        <v>5</v>
      </c>
      <c r="AA781" s="28">
        <v>0.1</v>
      </c>
      <c r="AB781" s="24">
        <v>0</v>
      </c>
      <c r="AC781" s="29">
        <v>0</v>
      </c>
      <c r="AD781" s="30">
        <v>43581</v>
      </c>
      <c r="AE781" s="30">
        <v>43581</v>
      </c>
      <c r="AF781" s="23">
        <v>0</v>
      </c>
      <c r="AG781" s="25" t="s">
        <v>56</v>
      </c>
      <c r="AH781" s="24">
        <v>0</v>
      </c>
      <c r="AI781" s="31">
        <v>0</v>
      </c>
      <c r="AJ781" s="31">
        <v>0</v>
      </c>
      <c r="AK781" s="44">
        <f t="shared" si="24"/>
        <v>1433.25</v>
      </c>
      <c r="AL781" t="e">
        <f>VLOOKUP(A781,'[1]prueba con 16mil datos'!$A$1:$AE$804,31,FALSE)</f>
        <v>#N/A</v>
      </c>
      <c r="AM781" t="e">
        <f t="shared" si="25"/>
        <v>#N/A</v>
      </c>
      <c r="AO781">
        <f>VLOOKUP(A781,'[1]Prueba con 19mil datos'!$B$1:$AF$1228,31,FALSE)</f>
        <v>0</v>
      </c>
    </row>
    <row r="782" spans="1:41" hidden="1" x14ac:dyDescent="0.25">
      <c r="A782" s="16" t="s">
        <v>589</v>
      </c>
      <c r="B782" s="15" t="s">
        <v>40</v>
      </c>
      <c r="C782" s="16">
        <v>1</v>
      </c>
      <c r="D782" s="16" t="s">
        <v>2921</v>
      </c>
      <c r="E782" s="17" t="s">
        <v>1522</v>
      </c>
      <c r="F782" s="18" t="s">
        <v>759</v>
      </c>
      <c r="G782" s="18" t="s">
        <v>2922</v>
      </c>
      <c r="H782" s="16" t="s">
        <v>377</v>
      </c>
      <c r="I782" s="19" t="s">
        <v>3</v>
      </c>
      <c r="J782" s="16" t="s">
        <v>12</v>
      </c>
      <c r="K782" s="20" t="s">
        <v>378</v>
      </c>
      <c r="L782" s="20" t="s">
        <v>1542</v>
      </c>
      <c r="M782" s="16" t="s">
        <v>128</v>
      </c>
      <c r="N782" s="16">
        <v>0</v>
      </c>
      <c r="O782" s="16" t="s">
        <v>50</v>
      </c>
      <c r="P782" s="20" t="s">
        <v>326</v>
      </c>
      <c r="Q782" s="20" t="s">
        <v>51</v>
      </c>
      <c r="R782" s="21" t="s">
        <v>87</v>
      </c>
      <c r="S782" s="22" t="s">
        <v>53</v>
      </c>
      <c r="T782" s="22" t="s">
        <v>54</v>
      </c>
      <c r="U782" s="23" t="s">
        <v>55</v>
      </c>
      <c r="V782" s="24">
        <v>1</v>
      </c>
      <c r="W782" s="25">
        <v>715.00000000000011</v>
      </c>
      <c r="X782" s="26">
        <v>0</v>
      </c>
      <c r="Y782" s="27">
        <v>5</v>
      </c>
      <c r="Z782" s="23">
        <v>5</v>
      </c>
      <c r="AA782" s="28">
        <v>1</v>
      </c>
      <c r="AB782" s="24">
        <v>0</v>
      </c>
      <c r="AC782" s="29">
        <v>0</v>
      </c>
      <c r="AD782" s="30">
        <v>43581</v>
      </c>
      <c r="AE782" s="30">
        <v>43581</v>
      </c>
      <c r="AF782" s="23">
        <v>0</v>
      </c>
      <c r="AG782" s="25" t="s">
        <v>56</v>
      </c>
      <c r="AH782" s="24">
        <v>0</v>
      </c>
      <c r="AI782" s="31">
        <v>0</v>
      </c>
      <c r="AJ782" s="31">
        <v>0</v>
      </c>
      <c r="AK782" s="44">
        <f t="shared" si="24"/>
        <v>715.00000000000011</v>
      </c>
      <c r="AL782" t="e">
        <f>VLOOKUP(A782,'[1]prueba con 16mil datos'!$A$1:$AE$804,31,FALSE)</f>
        <v>#N/A</v>
      </c>
      <c r="AM782" t="e">
        <f t="shared" si="25"/>
        <v>#N/A</v>
      </c>
      <c r="AO782">
        <f>VLOOKUP(A782,'[1]Prueba con 19mil datos'!$B$1:$AF$1228,31,FALSE)</f>
        <v>0</v>
      </c>
    </row>
    <row r="783" spans="1:41" hidden="1" x14ac:dyDescent="0.25">
      <c r="A783" s="16" t="s">
        <v>1081</v>
      </c>
      <c r="B783" s="15" t="s">
        <v>40</v>
      </c>
      <c r="C783" s="16">
        <v>1</v>
      </c>
      <c r="D783" s="16" t="s">
        <v>2916</v>
      </c>
      <c r="E783" s="17" t="s">
        <v>1522</v>
      </c>
      <c r="F783" s="18" t="s">
        <v>759</v>
      </c>
      <c r="G783" s="18" t="s">
        <v>2917</v>
      </c>
      <c r="H783" s="16" t="s">
        <v>264</v>
      </c>
      <c r="I783" s="19" t="s">
        <v>3</v>
      </c>
      <c r="J783" s="16" t="s">
        <v>12</v>
      </c>
      <c r="K783" s="20" t="s">
        <v>378</v>
      </c>
      <c r="L783" s="20" t="s">
        <v>711</v>
      </c>
      <c r="M783" s="16" t="s">
        <v>267</v>
      </c>
      <c r="N783" s="16">
        <v>0</v>
      </c>
      <c r="O783" s="16" t="s">
        <v>50</v>
      </c>
      <c r="P783" s="20" t="s">
        <v>326</v>
      </c>
      <c r="Q783" s="20" t="s">
        <v>51</v>
      </c>
      <c r="R783" s="21" t="s">
        <v>87</v>
      </c>
      <c r="S783" s="22" t="s">
        <v>53</v>
      </c>
      <c r="T783" s="22" t="s">
        <v>54</v>
      </c>
      <c r="U783" s="23" t="s">
        <v>55</v>
      </c>
      <c r="V783" s="24">
        <v>1</v>
      </c>
      <c r="W783" s="25">
        <v>715.00000000000011</v>
      </c>
      <c r="X783" s="26">
        <v>0</v>
      </c>
      <c r="Y783" s="27">
        <v>5</v>
      </c>
      <c r="Z783" s="23">
        <v>5</v>
      </c>
      <c r="AA783" s="28">
        <v>1</v>
      </c>
      <c r="AB783" s="24">
        <v>0</v>
      </c>
      <c r="AC783" s="29">
        <v>0</v>
      </c>
      <c r="AD783" s="30">
        <v>43581</v>
      </c>
      <c r="AE783" s="30">
        <v>43581</v>
      </c>
      <c r="AF783" s="23">
        <v>0</v>
      </c>
      <c r="AG783" s="25" t="s">
        <v>56</v>
      </c>
      <c r="AH783" s="24">
        <v>0</v>
      </c>
      <c r="AI783" s="31">
        <v>0</v>
      </c>
      <c r="AJ783" s="31">
        <v>0</v>
      </c>
      <c r="AK783" s="44">
        <f t="shared" si="24"/>
        <v>715.00000000000011</v>
      </c>
      <c r="AL783" t="e">
        <f>VLOOKUP(A783,'[1]prueba con 16mil datos'!$A$1:$AE$804,31,FALSE)</f>
        <v>#N/A</v>
      </c>
      <c r="AM783" t="e">
        <f t="shared" si="25"/>
        <v>#N/A</v>
      </c>
      <c r="AO783">
        <f>VLOOKUP(A783,'[1]Prueba con 19mil datos'!$B$1:$AF$1228,31,FALSE)</f>
        <v>0</v>
      </c>
    </row>
    <row r="784" spans="1:41" hidden="1" x14ac:dyDescent="0.25">
      <c r="A784" s="16" t="s">
        <v>1099</v>
      </c>
      <c r="B784" s="15" t="s">
        <v>40</v>
      </c>
      <c r="C784" s="16">
        <v>1</v>
      </c>
      <c r="D784" s="16" t="s">
        <v>2919</v>
      </c>
      <c r="E784" s="17" t="s">
        <v>1522</v>
      </c>
      <c r="F784" s="18" t="s">
        <v>759</v>
      </c>
      <c r="G784" s="18" t="s">
        <v>2920</v>
      </c>
      <c r="H784" s="16" t="s">
        <v>264</v>
      </c>
      <c r="I784" s="19" t="s">
        <v>3</v>
      </c>
      <c r="J784" s="16" t="s">
        <v>12</v>
      </c>
      <c r="K784" s="20" t="s">
        <v>378</v>
      </c>
      <c r="L784" s="20" t="s">
        <v>711</v>
      </c>
      <c r="M784" s="16" t="s">
        <v>267</v>
      </c>
      <c r="N784" s="16">
        <v>0</v>
      </c>
      <c r="O784" s="16" t="s">
        <v>50</v>
      </c>
      <c r="P784" s="20" t="s">
        <v>326</v>
      </c>
      <c r="Q784" s="20" t="s">
        <v>51</v>
      </c>
      <c r="R784" s="21" t="s">
        <v>87</v>
      </c>
      <c r="S784" s="22" t="s">
        <v>53</v>
      </c>
      <c r="T784" s="22" t="s">
        <v>54</v>
      </c>
      <c r="U784" s="23" t="s">
        <v>55</v>
      </c>
      <c r="V784" s="24">
        <v>1</v>
      </c>
      <c r="W784" s="25">
        <v>715.00000000000011</v>
      </c>
      <c r="X784" s="26">
        <v>0</v>
      </c>
      <c r="Y784" s="27">
        <v>5</v>
      </c>
      <c r="Z784" s="23">
        <v>5</v>
      </c>
      <c r="AA784" s="28">
        <v>1</v>
      </c>
      <c r="AB784" s="24">
        <v>0</v>
      </c>
      <c r="AC784" s="29">
        <v>0</v>
      </c>
      <c r="AD784" s="30">
        <v>43581</v>
      </c>
      <c r="AE784" s="30">
        <v>43581</v>
      </c>
      <c r="AF784" s="23">
        <v>0</v>
      </c>
      <c r="AG784" s="25" t="s">
        <v>56</v>
      </c>
      <c r="AH784" s="24">
        <v>0</v>
      </c>
      <c r="AI784" s="31">
        <v>0</v>
      </c>
      <c r="AJ784" s="31">
        <v>0</v>
      </c>
      <c r="AK784" s="44">
        <f t="shared" si="24"/>
        <v>715.00000000000011</v>
      </c>
      <c r="AL784" t="e">
        <f>VLOOKUP(A784,'[1]prueba con 16mil datos'!$A$1:$AE$804,31,FALSE)</f>
        <v>#N/A</v>
      </c>
      <c r="AM784" t="e">
        <f t="shared" si="25"/>
        <v>#N/A</v>
      </c>
      <c r="AO784">
        <f>VLOOKUP(A784,'[1]Prueba con 19mil datos'!$B$1:$AF$1228,31,FALSE)</f>
        <v>0</v>
      </c>
    </row>
    <row r="785" spans="1:44" hidden="1" x14ac:dyDescent="0.25">
      <c r="A785" s="16" t="s">
        <v>840</v>
      </c>
      <c r="B785" s="15" t="s">
        <v>40</v>
      </c>
      <c r="C785" s="16">
        <v>1</v>
      </c>
      <c r="D785" s="16" t="s">
        <v>2946</v>
      </c>
      <c r="E785" s="17" t="s">
        <v>42</v>
      </c>
      <c r="F785" s="18" t="s">
        <v>140</v>
      </c>
      <c r="G785" s="18" t="s">
        <v>2947</v>
      </c>
      <c r="H785" s="16" t="s">
        <v>135</v>
      </c>
      <c r="I785" s="19" t="s">
        <v>3</v>
      </c>
      <c r="J785" s="16" t="s">
        <v>12</v>
      </c>
      <c r="K785" s="20" t="s">
        <v>161</v>
      </c>
      <c r="L785" s="20" t="s">
        <v>590</v>
      </c>
      <c r="M785" s="16" t="s">
        <v>591</v>
      </c>
      <c r="N785" s="16">
        <v>1</v>
      </c>
      <c r="O785" s="16" t="s">
        <v>97</v>
      </c>
      <c r="P785" s="20">
        <v>58</v>
      </c>
      <c r="Q785" s="20" t="s">
        <v>86</v>
      </c>
      <c r="R785" s="21" t="s">
        <v>148</v>
      </c>
      <c r="S785" s="22" t="s">
        <v>130</v>
      </c>
      <c r="T785" s="22" t="s">
        <v>54</v>
      </c>
      <c r="U785" s="23" t="s">
        <v>178</v>
      </c>
      <c r="V785" s="24">
        <v>1.05</v>
      </c>
      <c r="W785" s="25">
        <v>0</v>
      </c>
      <c r="X785" s="26">
        <v>1</v>
      </c>
      <c r="Y785" s="27">
        <v>1.71</v>
      </c>
      <c r="Z785" s="23">
        <v>5</v>
      </c>
      <c r="AA785" s="28">
        <v>0.34199999999999997</v>
      </c>
      <c r="AB785" s="24">
        <v>0</v>
      </c>
      <c r="AC785" s="29">
        <v>0</v>
      </c>
      <c r="AD785" s="30">
        <v>43581</v>
      </c>
      <c r="AE785" s="30">
        <v>43581</v>
      </c>
      <c r="AF785" s="23">
        <v>0</v>
      </c>
      <c r="AG785" s="25" t="s">
        <v>56</v>
      </c>
      <c r="AH785" s="24">
        <v>0</v>
      </c>
      <c r="AI785" s="31">
        <v>0</v>
      </c>
      <c r="AJ785" s="31">
        <v>0</v>
      </c>
      <c r="AK785" s="44">
        <f t="shared" si="24"/>
        <v>0</v>
      </c>
      <c r="AL785" t="e">
        <f>VLOOKUP(A785,'[1]prueba con 16mil datos'!$A$1:$AE$804,31,FALSE)</f>
        <v>#N/A</v>
      </c>
      <c r="AM785" t="e">
        <f t="shared" si="25"/>
        <v>#N/A</v>
      </c>
      <c r="AO785">
        <f>VLOOKUP(A785,'[1]Prueba con 19mil datos'!$B$1:$AF$1228,31,FALSE)</f>
        <v>374.4</v>
      </c>
    </row>
    <row r="786" spans="1:44" x14ac:dyDescent="0.25">
      <c r="A786" s="16" t="s">
        <v>1190</v>
      </c>
      <c r="B786" s="15" t="s">
        <v>40</v>
      </c>
      <c r="C786" s="16">
        <v>1</v>
      </c>
      <c r="D786" s="16" t="s">
        <v>2949</v>
      </c>
      <c r="E786" s="17" t="s">
        <v>42</v>
      </c>
      <c r="F786" s="18" t="s">
        <v>90</v>
      </c>
      <c r="G786" s="18" t="s">
        <v>2950</v>
      </c>
      <c r="H786" s="16" t="s">
        <v>135</v>
      </c>
      <c r="I786" s="19" t="s">
        <v>3</v>
      </c>
      <c r="J786" s="16" t="s">
        <v>12</v>
      </c>
      <c r="K786" s="20" t="s">
        <v>161</v>
      </c>
      <c r="L786" s="20" t="s">
        <v>590</v>
      </c>
      <c r="M786" s="16" t="s">
        <v>591</v>
      </c>
      <c r="N786" s="16">
        <v>1</v>
      </c>
      <c r="O786" s="16" t="s">
        <v>97</v>
      </c>
      <c r="P786" s="20">
        <v>72</v>
      </c>
      <c r="Q786" s="20" t="s">
        <v>51</v>
      </c>
      <c r="R786" s="21" t="s">
        <v>77</v>
      </c>
      <c r="S786" s="22" t="s">
        <v>53</v>
      </c>
      <c r="T786" s="22" t="s">
        <v>54</v>
      </c>
      <c r="U786" s="23" t="s">
        <v>55</v>
      </c>
      <c r="V786" s="24">
        <v>1.05</v>
      </c>
      <c r="W786" s="25">
        <v>0</v>
      </c>
      <c r="X786" s="26">
        <v>1</v>
      </c>
      <c r="Y786" s="27">
        <v>2.86</v>
      </c>
      <c r="Z786" s="23">
        <v>5</v>
      </c>
      <c r="AA786" s="28">
        <v>0.57199999999999995</v>
      </c>
      <c r="AB786" s="24">
        <v>0</v>
      </c>
      <c r="AC786" s="29">
        <v>0</v>
      </c>
      <c r="AD786" s="30">
        <v>43581</v>
      </c>
      <c r="AE786" s="30">
        <v>43581</v>
      </c>
      <c r="AF786" s="23">
        <v>0</v>
      </c>
      <c r="AG786" s="25" t="s">
        <v>56</v>
      </c>
      <c r="AH786" s="24">
        <v>0</v>
      </c>
      <c r="AI786" s="31">
        <v>0</v>
      </c>
      <c r="AJ786" s="31">
        <v>0</v>
      </c>
      <c r="AK786" s="44">
        <f t="shared" si="24"/>
        <v>0</v>
      </c>
      <c r="AL786" t="e">
        <f>VLOOKUP(A786,'[1]prueba con 16mil datos'!$A$1:$AE$804,31,FALSE)</f>
        <v>#N/A</v>
      </c>
      <c r="AM786" t="e">
        <f t="shared" si="25"/>
        <v>#N/A</v>
      </c>
      <c r="AO786" t="e">
        <f>VLOOKUP(A786,'[1]Prueba con 19mil datos'!$B$1:$AF$1228,31,FALSE)</f>
        <v>#N/A</v>
      </c>
      <c r="AP786" t="s">
        <v>3211</v>
      </c>
      <c r="AQ786" s="48">
        <v>43592.503472222197</v>
      </c>
      <c r="AR786" t="s">
        <v>3209</v>
      </c>
    </row>
    <row r="787" spans="1:44" hidden="1" x14ac:dyDescent="0.25">
      <c r="A787" s="16" t="s">
        <v>1234</v>
      </c>
      <c r="B787" s="15" t="s">
        <v>40</v>
      </c>
      <c r="C787" s="16">
        <v>1</v>
      </c>
      <c r="D787" s="16" t="s">
        <v>2990</v>
      </c>
      <c r="E787" s="17" t="s">
        <v>42</v>
      </c>
      <c r="F787" s="18" t="s">
        <v>90</v>
      </c>
      <c r="G787" s="18" t="s">
        <v>2991</v>
      </c>
      <c r="H787" s="16" t="s">
        <v>540</v>
      </c>
      <c r="I787" s="19" t="s">
        <v>3</v>
      </c>
      <c r="J787" s="16" t="s">
        <v>12</v>
      </c>
      <c r="K787" s="20" t="s">
        <v>541</v>
      </c>
      <c r="L787" s="20" t="s">
        <v>1235</v>
      </c>
      <c r="M787" s="16" t="s">
        <v>105</v>
      </c>
      <c r="N787" s="16">
        <v>1</v>
      </c>
      <c r="O787" s="16" t="s">
        <v>50</v>
      </c>
      <c r="P787" s="20">
        <v>246</v>
      </c>
      <c r="Q787" s="20" t="s">
        <v>51</v>
      </c>
      <c r="R787" s="21" t="s">
        <v>77</v>
      </c>
      <c r="S787" s="22" t="s">
        <v>53</v>
      </c>
      <c r="T787" s="22" t="s">
        <v>54</v>
      </c>
      <c r="U787" s="23" t="s">
        <v>55</v>
      </c>
      <c r="V787" s="24">
        <v>1.05</v>
      </c>
      <c r="W787" s="25">
        <v>0</v>
      </c>
      <c r="X787" s="26">
        <v>1</v>
      </c>
      <c r="Y787" s="27">
        <v>0</v>
      </c>
      <c r="Z787" s="23">
        <v>5</v>
      </c>
      <c r="AA787" s="28">
        <v>0</v>
      </c>
      <c r="AB787" s="24">
        <v>0</v>
      </c>
      <c r="AC787" s="29">
        <v>0</v>
      </c>
      <c r="AD787" s="30">
        <v>43581</v>
      </c>
      <c r="AE787" s="30">
        <v>43582</v>
      </c>
      <c r="AF787" s="23">
        <v>0</v>
      </c>
      <c r="AG787" s="25" t="s">
        <v>56</v>
      </c>
      <c r="AH787" s="24">
        <v>0</v>
      </c>
      <c r="AI787" s="31">
        <v>0</v>
      </c>
      <c r="AJ787" s="31">
        <v>0</v>
      </c>
      <c r="AK787" s="44">
        <f t="shared" si="24"/>
        <v>0</v>
      </c>
      <c r="AL787" t="e">
        <f>VLOOKUP(A787,'[1]prueba con 16mil datos'!$A$1:$AE$804,31,FALSE)</f>
        <v>#N/A</v>
      </c>
      <c r="AM787" t="e">
        <f t="shared" si="25"/>
        <v>#N/A</v>
      </c>
      <c r="AO787">
        <f>VLOOKUP(A787,'[1]Prueba con 19mil datos'!$B$1:$AF$1228,31,FALSE)</f>
        <v>1501.5</v>
      </c>
    </row>
    <row r="788" spans="1:44" hidden="1" x14ac:dyDescent="0.25">
      <c r="A788" s="16" t="s">
        <v>1284</v>
      </c>
      <c r="B788" s="15" t="s">
        <v>40</v>
      </c>
      <c r="C788" s="16">
        <v>1</v>
      </c>
      <c r="D788" s="16" t="s">
        <v>3005</v>
      </c>
      <c r="E788" s="17" t="s">
        <v>42</v>
      </c>
      <c r="F788" s="18" t="s">
        <v>745</v>
      </c>
      <c r="G788" s="18" t="s">
        <v>3006</v>
      </c>
      <c r="H788" s="16" t="s">
        <v>404</v>
      </c>
      <c r="I788" s="19" t="s">
        <v>3</v>
      </c>
      <c r="J788" s="16" t="s">
        <v>12</v>
      </c>
      <c r="K788" s="20" t="s">
        <v>126</v>
      </c>
      <c r="L788" s="20" t="s">
        <v>3008</v>
      </c>
      <c r="M788" s="16" t="s">
        <v>3009</v>
      </c>
      <c r="N788" s="16">
        <v>0</v>
      </c>
      <c r="O788" s="16" t="s">
        <v>50</v>
      </c>
      <c r="P788" s="20">
        <v>98</v>
      </c>
      <c r="Q788" s="20" t="s">
        <v>51</v>
      </c>
      <c r="R788" s="21" t="s">
        <v>287</v>
      </c>
      <c r="S788" s="22" t="s">
        <v>288</v>
      </c>
      <c r="T788" s="22" t="s">
        <v>54</v>
      </c>
      <c r="U788" s="23" t="s">
        <v>550</v>
      </c>
      <c r="V788" s="24">
        <v>1.1499999999999999</v>
      </c>
      <c r="W788" s="25">
        <v>1808.95</v>
      </c>
      <c r="X788" s="26">
        <v>1</v>
      </c>
      <c r="Y788" s="27">
        <v>1.47</v>
      </c>
      <c r="Z788" s="23">
        <v>4</v>
      </c>
      <c r="AA788" s="28">
        <v>0.36749999999999999</v>
      </c>
      <c r="AB788" s="24">
        <v>0</v>
      </c>
      <c r="AC788" s="29">
        <v>0</v>
      </c>
      <c r="AD788" s="30">
        <v>43582</v>
      </c>
      <c r="AE788" s="30">
        <v>43584</v>
      </c>
      <c r="AF788" s="23">
        <v>0</v>
      </c>
      <c r="AG788" s="25" t="s">
        <v>56</v>
      </c>
      <c r="AH788" s="24">
        <v>0</v>
      </c>
      <c r="AI788" s="31">
        <v>0</v>
      </c>
      <c r="AJ788" s="31">
        <v>0</v>
      </c>
      <c r="AK788" s="44">
        <f t="shared" si="24"/>
        <v>1808.95</v>
      </c>
      <c r="AL788" t="e">
        <f>VLOOKUP(A788,'[1]prueba con 16mil datos'!$A$1:$AE$804,31,FALSE)</f>
        <v>#N/A</v>
      </c>
      <c r="AM788" t="e">
        <f t="shared" si="25"/>
        <v>#N/A</v>
      </c>
      <c r="AO788">
        <f>VLOOKUP(A788,'[1]Prueba con 19mil datos'!$B$1:$AF$1228,31,FALSE)</f>
        <v>0</v>
      </c>
    </row>
    <row r="789" spans="1:44" hidden="1" x14ac:dyDescent="0.25">
      <c r="A789" s="16" t="s">
        <v>1319</v>
      </c>
      <c r="B789" s="15" t="s">
        <v>40</v>
      </c>
      <c r="C789" s="16">
        <v>1</v>
      </c>
      <c r="D789" s="16" t="s">
        <v>3016</v>
      </c>
      <c r="E789" s="17" t="s">
        <v>42</v>
      </c>
      <c r="F789" s="18" t="s">
        <v>391</v>
      </c>
      <c r="G789" s="18" t="s">
        <v>3017</v>
      </c>
      <c r="H789" s="16" t="s">
        <v>207</v>
      </c>
      <c r="I789" s="19" t="s">
        <v>3</v>
      </c>
      <c r="J789" s="16" t="s">
        <v>12</v>
      </c>
      <c r="K789" s="20" t="s">
        <v>198</v>
      </c>
      <c r="L789" s="20" t="s">
        <v>731</v>
      </c>
      <c r="M789" s="16" t="s">
        <v>200</v>
      </c>
      <c r="N789" s="16">
        <v>0</v>
      </c>
      <c r="O789" s="16" t="s">
        <v>50</v>
      </c>
      <c r="P789" s="20">
        <v>3</v>
      </c>
      <c r="Q789" s="20" t="s">
        <v>147</v>
      </c>
      <c r="R789" s="21" t="s">
        <v>129</v>
      </c>
      <c r="S789" s="22" t="s">
        <v>130</v>
      </c>
      <c r="T789" s="22" t="s">
        <v>54</v>
      </c>
      <c r="U789" s="23" t="s">
        <v>149</v>
      </c>
      <c r="V789" s="24">
        <v>0</v>
      </c>
      <c r="W789" s="25">
        <v>0</v>
      </c>
      <c r="X789" s="26">
        <v>1</v>
      </c>
      <c r="Y789" s="27">
        <v>0</v>
      </c>
      <c r="Z789" s="23">
        <v>5</v>
      </c>
      <c r="AA789" s="28">
        <v>0</v>
      </c>
      <c r="AB789" s="24">
        <v>0</v>
      </c>
      <c r="AC789" s="29">
        <v>0</v>
      </c>
      <c r="AD789" s="30">
        <v>43584</v>
      </c>
      <c r="AE789" s="30">
        <v>43584</v>
      </c>
      <c r="AF789" s="23">
        <v>0</v>
      </c>
      <c r="AG789" s="25" t="s">
        <v>56</v>
      </c>
      <c r="AH789" s="24">
        <v>0</v>
      </c>
      <c r="AI789" s="31">
        <v>0</v>
      </c>
      <c r="AJ789" s="31">
        <v>0</v>
      </c>
      <c r="AK789" s="44">
        <f t="shared" si="24"/>
        <v>0</v>
      </c>
      <c r="AL789" t="e">
        <f>VLOOKUP(A789,'[1]prueba con 16mil datos'!$A$1:$AE$804,31,FALSE)</f>
        <v>#N/A</v>
      </c>
      <c r="AM789" t="e">
        <f t="shared" si="25"/>
        <v>#N/A</v>
      </c>
      <c r="AO789">
        <f>VLOOKUP(A789,'[1]Prueba con 19mil datos'!$B$1:$AF$1228,31,FALSE)</f>
        <v>0</v>
      </c>
    </row>
    <row r="790" spans="1:44" hidden="1" x14ac:dyDescent="0.25">
      <c r="A790" s="16" t="s">
        <v>1417</v>
      </c>
      <c r="B790" s="15" t="s">
        <v>40</v>
      </c>
      <c r="C790" s="16">
        <v>1</v>
      </c>
      <c r="D790" s="16" t="s">
        <v>3091</v>
      </c>
      <c r="E790" s="17" t="s">
        <v>42</v>
      </c>
      <c r="F790" s="18" t="s">
        <v>391</v>
      </c>
      <c r="G790" s="18" t="s">
        <v>3092</v>
      </c>
      <c r="H790" s="16" t="s">
        <v>73</v>
      </c>
      <c r="I790" s="19" t="s">
        <v>3</v>
      </c>
      <c r="J790" s="16" t="s">
        <v>12</v>
      </c>
      <c r="K790" s="20" t="s">
        <v>198</v>
      </c>
      <c r="L790" s="20" t="s">
        <v>394</v>
      </c>
      <c r="M790" s="16" t="s">
        <v>76</v>
      </c>
      <c r="N790" s="16">
        <v>0</v>
      </c>
      <c r="O790" s="16" t="s">
        <v>50</v>
      </c>
      <c r="P790" s="20">
        <v>4</v>
      </c>
      <c r="Q790" s="20" t="s">
        <v>311</v>
      </c>
      <c r="R790" s="21" t="s">
        <v>129</v>
      </c>
      <c r="S790" s="22" t="s">
        <v>130</v>
      </c>
      <c r="T790" s="22" t="s">
        <v>54</v>
      </c>
      <c r="U790" s="23" t="s">
        <v>312</v>
      </c>
      <c r="V790" s="24">
        <v>0</v>
      </c>
      <c r="W790" s="25">
        <v>0</v>
      </c>
      <c r="X790" s="26">
        <v>1</v>
      </c>
      <c r="Y790" s="27">
        <v>4.8600000000000003</v>
      </c>
      <c r="Z790" s="23">
        <v>5</v>
      </c>
      <c r="AA790" s="28">
        <v>0.97200000000000009</v>
      </c>
      <c r="AB790" s="24">
        <v>0</v>
      </c>
      <c r="AC790" s="29">
        <v>0</v>
      </c>
      <c r="AD790" s="30">
        <v>43584</v>
      </c>
      <c r="AE790" s="30">
        <v>43584</v>
      </c>
      <c r="AF790" s="23">
        <v>0</v>
      </c>
      <c r="AG790" s="25" t="s">
        <v>56</v>
      </c>
      <c r="AH790" s="24">
        <v>0</v>
      </c>
      <c r="AI790" s="31">
        <v>0</v>
      </c>
      <c r="AJ790" s="31">
        <v>0</v>
      </c>
      <c r="AK790" s="44">
        <f t="shared" si="24"/>
        <v>0</v>
      </c>
      <c r="AL790" t="e">
        <f>VLOOKUP(A790,'[1]prueba con 16mil datos'!$A$1:$AE$804,31,FALSE)</f>
        <v>#N/A</v>
      </c>
      <c r="AM790" t="e">
        <f t="shared" si="25"/>
        <v>#N/A</v>
      </c>
      <c r="AO790">
        <f>VLOOKUP(A790,'[1]Prueba con 19mil datos'!$B$1:$AF$1228,31,FALSE)</f>
        <v>0</v>
      </c>
    </row>
    <row r="791" spans="1:44" hidden="1" x14ac:dyDescent="0.25">
      <c r="A791" s="16" t="s">
        <v>1443</v>
      </c>
      <c r="B791" s="15" t="s">
        <v>40</v>
      </c>
      <c r="C791" s="16">
        <v>1</v>
      </c>
      <c r="D791" s="16" t="s">
        <v>3025</v>
      </c>
      <c r="E791" s="17" t="s">
        <v>42</v>
      </c>
      <c r="F791" s="18" t="s">
        <v>328</v>
      </c>
      <c r="G791" s="18" t="s">
        <v>3026</v>
      </c>
      <c r="H791" s="16" t="s">
        <v>693</v>
      </c>
      <c r="I791" s="19" t="s">
        <v>3</v>
      </c>
      <c r="J791" s="16" t="s">
        <v>12</v>
      </c>
      <c r="K791" s="20" t="s">
        <v>398</v>
      </c>
      <c r="L791" s="20" t="s">
        <v>2531</v>
      </c>
      <c r="M791" s="16" t="s">
        <v>695</v>
      </c>
      <c r="N791" s="16">
        <v>0</v>
      </c>
      <c r="O791" s="16" t="s">
        <v>50</v>
      </c>
      <c r="P791" s="20">
        <v>4</v>
      </c>
      <c r="Q791" s="20" t="s">
        <v>311</v>
      </c>
      <c r="R791" s="21" t="s">
        <v>148</v>
      </c>
      <c r="S791" s="22" t="s">
        <v>130</v>
      </c>
      <c r="T791" s="22" t="s">
        <v>54</v>
      </c>
      <c r="U791" s="23" t="s">
        <v>312</v>
      </c>
      <c r="V791" s="24">
        <v>0</v>
      </c>
      <c r="W791" s="25">
        <v>0</v>
      </c>
      <c r="X791" s="26">
        <v>1</v>
      </c>
      <c r="Y791" s="27">
        <v>0.33</v>
      </c>
      <c r="Z791" s="23">
        <v>5</v>
      </c>
      <c r="AA791" s="28">
        <v>6.6000000000000003E-2</v>
      </c>
      <c r="AB791" s="24">
        <v>0</v>
      </c>
      <c r="AC791" s="29">
        <v>0</v>
      </c>
      <c r="AD791" s="30">
        <v>43584</v>
      </c>
      <c r="AE791" s="30">
        <v>43584</v>
      </c>
      <c r="AF791" s="23">
        <v>0</v>
      </c>
      <c r="AG791" s="25" t="s">
        <v>56</v>
      </c>
      <c r="AH791" s="24">
        <v>0</v>
      </c>
      <c r="AI791" s="31">
        <v>0</v>
      </c>
      <c r="AJ791" s="31">
        <v>0</v>
      </c>
      <c r="AK791" s="44">
        <f t="shared" si="24"/>
        <v>0</v>
      </c>
      <c r="AL791" t="e">
        <f>VLOOKUP(A791,'[1]prueba con 16mil datos'!$A$1:$AE$804,31,FALSE)</f>
        <v>#N/A</v>
      </c>
      <c r="AM791" t="e">
        <f t="shared" si="25"/>
        <v>#N/A</v>
      </c>
      <c r="AO791">
        <f>VLOOKUP(A791,'[1]Prueba con 19mil datos'!$B$1:$AF$1228,31,FALSE)</f>
        <v>0</v>
      </c>
    </row>
    <row r="792" spans="1:44" hidden="1" x14ac:dyDescent="0.25">
      <c r="A792" s="16" t="s">
        <v>1510</v>
      </c>
      <c r="B792" s="15" t="s">
        <v>40</v>
      </c>
      <c r="C792" s="16">
        <v>1</v>
      </c>
      <c r="D792" s="16" t="s">
        <v>3040</v>
      </c>
      <c r="E792" s="17" t="s">
        <v>42</v>
      </c>
      <c r="F792" s="18" t="s">
        <v>228</v>
      </c>
      <c r="G792" s="18" t="s">
        <v>3041</v>
      </c>
      <c r="H792" s="16" t="s">
        <v>243</v>
      </c>
      <c r="I792" s="19" t="s">
        <v>3</v>
      </c>
      <c r="J792" s="16" t="s">
        <v>12</v>
      </c>
      <c r="K792" s="20" t="s">
        <v>198</v>
      </c>
      <c r="L792" s="20" t="s">
        <v>3043</v>
      </c>
      <c r="M792" s="16" t="s">
        <v>372</v>
      </c>
      <c r="N792" s="16">
        <v>0</v>
      </c>
      <c r="O792" s="16" t="s">
        <v>50</v>
      </c>
      <c r="P792" s="20">
        <v>179</v>
      </c>
      <c r="Q792" s="20" t="s">
        <v>51</v>
      </c>
      <c r="R792" s="21" t="s">
        <v>87</v>
      </c>
      <c r="S792" s="22" t="s">
        <v>53</v>
      </c>
      <c r="T792" s="22" t="s">
        <v>54</v>
      </c>
      <c r="U792" s="23" t="s">
        <v>55</v>
      </c>
      <c r="V792" s="24">
        <v>1.05</v>
      </c>
      <c r="W792" s="25">
        <v>750.75000000000011</v>
      </c>
      <c r="X792" s="26">
        <v>1</v>
      </c>
      <c r="Y792" s="27">
        <v>1.23</v>
      </c>
      <c r="Z792" s="23">
        <v>5</v>
      </c>
      <c r="AA792" s="28">
        <v>0.246</v>
      </c>
      <c r="AB792" s="24">
        <v>0</v>
      </c>
      <c r="AC792" s="29">
        <v>0</v>
      </c>
      <c r="AD792" s="30">
        <v>43584</v>
      </c>
      <c r="AE792" s="30">
        <v>43584</v>
      </c>
      <c r="AF792" s="23">
        <v>0</v>
      </c>
      <c r="AG792" s="25" t="s">
        <v>56</v>
      </c>
      <c r="AH792" s="24">
        <v>0</v>
      </c>
      <c r="AI792" s="31">
        <v>0</v>
      </c>
      <c r="AJ792" s="31">
        <v>0</v>
      </c>
      <c r="AK792" s="44">
        <f t="shared" si="24"/>
        <v>750.75000000000011</v>
      </c>
      <c r="AL792" t="e">
        <f>VLOOKUP(A792,'[1]prueba con 16mil datos'!$A$1:$AE$804,31,FALSE)</f>
        <v>#N/A</v>
      </c>
      <c r="AM792" t="e">
        <f t="shared" si="25"/>
        <v>#N/A</v>
      </c>
      <c r="AO792">
        <f>VLOOKUP(A792,'[1]Prueba con 19mil datos'!$B$1:$AF$1228,31,FALSE)</f>
        <v>0</v>
      </c>
    </row>
    <row r="793" spans="1:44" hidden="1" x14ac:dyDescent="0.25">
      <c r="A793" s="16" t="s">
        <v>1524</v>
      </c>
      <c r="B793" s="15" t="s">
        <v>40</v>
      </c>
      <c r="C793" s="16">
        <v>1</v>
      </c>
      <c r="D793" s="16" t="s">
        <v>3044</v>
      </c>
      <c r="E793" s="17" t="s">
        <v>42</v>
      </c>
      <c r="F793" s="18" t="s">
        <v>228</v>
      </c>
      <c r="G793" s="18" t="s">
        <v>3045</v>
      </c>
      <c r="H793" s="16" t="s">
        <v>243</v>
      </c>
      <c r="I793" s="19" t="s">
        <v>3</v>
      </c>
      <c r="J793" s="16" t="s">
        <v>12</v>
      </c>
      <c r="K793" s="20" t="s">
        <v>198</v>
      </c>
      <c r="L793" s="20" t="s">
        <v>3043</v>
      </c>
      <c r="M793" s="16" t="s">
        <v>372</v>
      </c>
      <c r="N793" s="16">
        <v>0</v>
      </c>
      <c r="O793" s="16" t="s">
        <v>50</v>
      </c>
      <c r="P793" s="20">
        <v>395</v>
      </c>
      <c r="Q793" s="20" t="s">
        <v>51</v>
      </c>
      <c r="R793" s="21" t="s">
        <v>87</v>
      </c>
      <c r="S793" s="22" t="s">
        <v>53</v>
      </c>
      <c r="T793" s="22" t="s">
        <v>54</v>
      </c>
      <c r="U793" s="23" t="s">
        <v>55</v>
      </c>
      <c r="V793" s="24">
        <v>1.05</v>
      </c>
      <c r="W793" s="25">
        <v>750.75000000000011</v>
      </c>
      <c r="X793" s="26">
        <v>1</v>
      </c>
      <c r="Y793" s="27">
        <v>2.3199999999999998</v>
      </c>
      <c r="Z793" s="23">
        <v>5</v>
      </c>
      <c r="AA793" s="28">
        <v>0.46399999999999997</v>
      </c>
      <c r="AB793" s="24">
        <v>0</v>
      </c>
      <c r="AC793" s="29">
        <v>0</v>
      </c>
      <c r="AD793" s="30">
        <v>43584</v>
      </c>
      <c r="AE793" s="30">
        <v>43584</v>
      </c>
      <c r="AF793" s="23">
        <v>0</v>
      </c>
      <c r="AG793" s="25" t="s">
        <v>56</v>
      </c>
      <c r="AH793" s="24">
        <v>0</v>
      </c>
      <c r="AI793" s="31">
        <v>0</v>
      </c>
      <c r="AJ793" s="31">
        <v>0</v>
      </c>
      <c r="AK793" s="44">
        <f t="shared" si="24"/>
        <v>750.75000000000011</v>
      </c>
      <c r="AL793" t="e">
        <f>VLOOKUP(A793,'[1]prueba con 16mil datos'!$A$1:$AE$804,31,FALSE)</f>
        <v>#N/A</v>
      </c>
      <c r="AM793" t="e">
        <f t="shared" si="25"/>
        <v>#N/A</v>
      </c>
      <c r="AO793">
        <f>VLOOKUP(A793,'[1]Prueba con 19mil datos'!$B$1:$AF$1228,31,FALSE)</f>
        <v>0</v>
      </c>
    </row>
    <row r="794" spans="1:44" hidden="1" x14ac:dyDescent="0.25">
      <c r="A794" s="16" t="s">
        <v>1530</v>
      </c>
      <c r="B794" s="15" t="s">
        <v>40</v>
      </c>
      <c r="C794" s="16">
        <v>1</v>
      </c>
      <c r="D794" s="16" t="s">
        <v>3018</v>
      </c>
      <c r="E794" s="17" t="s">
        <v>42</v>
      </c>
      <c r="F794" s="18" t="s">
        <v>3019</v>
      </c>
      <c r="G794" s="18" t="s">
        <v>3020</v>
      </c>
      <c r="H794" s="16" t="s">
        <v>504</v>
      </c>
      <c r="I794" s="19" t="s">
        <v>3</v>
      </c>
      <c r="J794" s="16" t="s">
        <v>12</v>
      </c>
      <c r="K794" s="20" t="s">
        <v>47</v>
      </c>
      <c r="L794" s="20" t="s">
        <v>3022</v>
      </c>
      <c r="M794" s="16" t="s">
        <v>1054</v>
      </c>
      <c r="N794" s="16">
        <v>0</v>
      </c>
      <c r="O794" s="16" t="s">
        <v>50</v>
      </c>
      <c r="P794" s="20">
        <v>101</v>
      </c>
      <c r="Q794" s="20" t="s">
        <v>51</v>
      </c>
      <c r="R794" s="21" t="s">
        <v>148</v>
      </c>
      <c r="S794" s="22" t="s">
        <v>130</v>
      </c>
      <c r="T794" s="22" t="s">
        <v>54</v>
      </c>
      <c r="U794" s="23" t="s">
        <v>226</v>
      </c>
      <c r="V794" s="24">
        <v>1.1000000000000001</v>
      </c>
      <c r="W794" s="25">
        <v>1501.5000000000002</v>
      </c>
      <c r="X794" s="26">
        <v>1</v>
      </c>
      <c r="Y794" s="27">
        <v>0.5</v>
      </c>
      <c r="Z794" s="23">
        <v>5</v>
      </c>
      <c r="AA794" s="28">
        <v>0.1</v>
      </c>
      <c r="AB794" s="24">
        <v>0</v>
      </c>
      <c r="AC794" s="29">
        <v>0</v>
      </c>
      <c r="AD794" s="30">
        <v>43584</v>
      </c>
      <c r="AE794" s="30">
        <v>43584</v>
      </c>
      <c r="AF794" s="23">
        <v>0</v>
      </c>
      <c r="AG794" s="25" t="s">
        <v>56</v>
      </c>
      <c r="AH794" s="24">
        <v>0</v>
      </c>
      <c r="AI794" s="31">
        <v>0</v>
      </c>
      <c r="AJ794" s="31">
        <v>0</v>
      </c>
      <c r="AK794" s="44">
        <f t="shared" si="24"/>
        <v>1501.5000000000002</v>
      </c>
      <c r="AL794" t="e">
        <f>VLOOKUP(A794,'[1]prueba con 16mil datos'!$A$1:$AE$804,31,FALSE)</f>
        <v>#N/A</v>
      </c>
      <c r="AM794" t="e">
        <f t="shared" si="25"/>
        <v>#N/A</v>
      </c>
      <c r="AO794">
        <f>VLOOKUP(A794,'[1]Prueba con 19mil datos'!$B$1:$AF$1228,31,FALSE)</f>
        <v>0</v>
      </c>
    </row>
    <row r="795" spans="1:44" hidden="1" x14ac:dyDescent="0.25">
      <c r="A795" s="16" t="s">
        <v>1593</v>
      </c>
      <c r="B795" s="15" t="s">
        <v>40</v>
      </c>
      <c r="C795" s="16">
        <v>1</v>
      </c>
      <c r="D795" s="16" t="s">
        <v>3047</v>
      </c>
      <c r="E795" s="17" t="s">
        <v>42</v>
      </c>
      <c r="F795" s="18" t="s">
        <v>733</v>
      </c>
      <c r="G795" s="18" t="s">
        <v>3048</v>
      </c>
      <c r="H795" s="16" t="s">
        <v>61</v>
      </c>
      <c r="I795" s="19" t="s">
        <v>3</v>
      </c>
      <c r="J795" s="16" t="s">
        <v>12</v>
      </c>
      <c r="K795" s="20" t="s">
        <v>198</v>
      </c>
      <c r="L795" s="20" t="s">
        <v>1353</v>
      </c>
      <c r="M795" s="16" t="s">
        <v>118</v>
      </c>
      <c r="N795" s="16">
        <v>0</v>
      </c>
      <c r="O795" s="16" t="s">
        <v>50</v>
      </c>
      <c r="P795" s="20">
        <v>25</v>
      </c>
      <c r="Q795" s="20" t="s">
        <v>119</v>
      </c>
      <c r="R795" s="21" t="s">
        <v>279</v>
      </c>
      <c r="S795" s="22" t="s">
        <v>187</v>
      </c>
      <c r="T795" s="22" t="s">
        <v>54</v>
      </c>
      <c r="U795" s="23" t="s">
        <v>269</v>
      </c>
      <c r="V795" s="24">
        <v>1.05</v>
      </c>
      <c r="W795" s="25">
        <v>1651.6500000000003</v>
      </c>
      <c r="X795" s="26">
        <v>1</v>
      </c>
      <c r="Y795" s="27">
        <v>2.64</v>
      </c>
      <c r="Z795" s="23">
        <v>4</v>
      </c>
      <c r="AA795" s="28">
        <v>0.66</v>
      </c>
      <c r="AB795" s="24">
        <v>0</v>
      </c>
      <c r="AC795" s="29">
        <v>0</v>
      </c>
      <c r="AD795" s="30">
        <v>43584</v>
      </c>
      <c r="AE795" s="30">
        <v>43584</v>
      </c>
      <c r="AF795" s="23">
        <v>0</v>
      </c>
      <c r="AG795" s="25" t="s">
        <v>56</v>
      </c>
      <c r="AH795" s="24">
        <v>0</v>
      </c>
      <c r="AI795" s="31">
        <v>0</v>
      </c>
      <c r="AJ795" s="31">
        <v>0</v>
      </c>
      <c r="AK795" s="44">
        <f t="shared" si="24"/>
        <v>1651.6500000000003</v>
      </c>
      <c r="AL795">
        <f>VLOOKUP(A795,'[1]prueba con 16mil datos'!$A$1:$AE$804,31,FALSE)</f>
        <v>1501.5</v>
      </c>
      <c r="AM795">
        <f t="shared" si="25"/>
        <v>0</v>
      </c>
      <c r="AO795">
        <f>VLOOKUP(A795,'[1]Prueba con 19mil datos'!$B$1:$AF$1228,31,FALSE)</f>
        <v>1501.5</v>
      </c>
    </row>
    <row r="796" spans="1:44" hidden="1" x14ac:dyDescent="0.25">
      <c r="A796" s="16" t="s">
        <v>160</v>
      </c>
      <c r="B796" s="15" t="s">
        <v>40</v>
      </c>
      <c r="C796" s="16">
        <v>1</v>
      </c>
      <c r="D796" s="16" t="s">
        <v>3089</v>
      </c>
      <c r="E796" s="17" t="s">
        <v>42</v>
      </c>
      <c r="F796" s="18" t="s">
        <v>275</v>
      </c>
      <c r="G796" s="18" t="s">
        <v>3090</v>
      </c>
      <c r="H796" s="16" t="s">
        <v>168</v>
      </c>
      <c r="I796" s="19" t="s">
        <v>3</v>
      </c>
      <c r="J796" s="16" t="s">
        <v>12</v>
      </c>
      <c r="K796" s="20" t="s">
        <v>126</v>
      </c>
      <c r="L796" s="20" t="s">
        <v>1506</v>
      </c>
      <c r="M796" s="16" t="s">
        <v>1507</v>
      </c>
      <c r="N796" s="16">
        <v>0</v>
      </c>
      <c r="O796" s="16" t="s">
        <v>50</v>
      </c>
      <c r="P796" s="20">
        <v>14</v>
      </c>
      <c r="Q796" s="20" t="s">
        <v>65</v>
      </c>
      <c r="R796" s="21" t="s">
        <v>279</v>
      </c>
      <c r="S796" s="22" t="s">
        <v>187</v>
      </c>
      <c r="T796" s="22" t="s">
        <v>54</v>
      </c>
      <c r="U796" s="23" t="s">
        <v>201</v>
      </c>
      <c r="V796" s="24">
        <v>0.8</v>
      </c>
      <c r="W796" s="25">
        <v>1258.4000000000003</v>
      </c>
      <c r="X796" s="26">
        <v>1</v>
      </c>
      <c r="Y796" s="27">
        <v>2.1800000000000002</v>
      </c>
      <c r="Z796" s="23">
        <v>4</v>
      </c>
      <c r="AA796" s="28">
        <v>0.54500000000000004</v>
      </c>
      <c r="AB796" s="24">
        <v>0</v>
      </c>
      <c r="AC796" s="29">
        <v>0</v>
      </c>
      <c r="AD796" s="30">
        <v>43584</v>
      </c>
      <c r="AE796" s="30">
        <v>43584</v>
      </c>
      <c r="AF796" s="23">
        <v>0</v>
      </c>
      <c r="AG796" s="25" t="s">
        <v>56</v>
      </c>
      <c r="AH796" s="24">
        <v>0</v>
      </c>
      <c r="AI796" s="31">
        <v>0</v>
      </c>
      <c r="AJ796" s="31">
        <v>0</v>
      </c>
      <c r="AK796" s="44">
        <f t="shared" si="24"/>
        <v>1258.4000000000003</v>
      </c>
      <c r="AL796" t="e">
        <f>VLOOKUP(A796,'[1]prueba con 16mil datos'!$A$1:$AE$804,31,FALSE)</f>
        <v>#N/A</v>
      </c>
      <c r="AM796" t="e">
        <f t="shared" si="25"/>
        <v>#N/A</v>
      </c>
      <c r="AO796">
        <f>VLOOKUP(A796,'[1]Prueba con 19mil datos'!$B$1:$AF$1228,31,FALSE)</f>
        <v>0</v>
      </c>
    </row>
    <row r="797" spans="1:44" hidden="1" x14ac:dyDescent="0.25">
      <c r="A797" s="16" t="s">
        <v>1622</v>
      </c>
      <c r="B797" s="15" t="s">
        <v>40</v>
      </c>
      <c r="C797" s="16">
        <v>1</v>
      </c>
      <c r="D797" s="16" t="s">
        <v>3053</v>
      </c>
      <c r="E797" s="17" t="s">
        <v>42</v>
      </c>
      <c r="F797" s="18" t="s">
        <v>275</v>
      </c>
      <c r="G797" s="18" t="s">
        <v>3054</v>
      </c>
      <c r="H797" s="16" t="s">
        <v>346</v>
      </c>
      <c r="I797" s="19" t="s">
        <v>3</v>
      </c>
      <c r="J797" s="16" t="s">
        <v>12</v>
      </c>
      <c r="K797" s="20" t="s">
        <v>126</v>
      </c>
      <c r="L797" s="20" t="s">
        <v>366</v>
      </c>
      <c r="M797" s="16" t="s">
        <v>367</v>
      </c>
      <c r="N797" s="16">
        <v>0</v>
      </c>
      <c r="O797" s="16" t="s">
        <v>50</v>
      </c>
      <c r="P797" s="20">
        <v>23</v>
      </c>
      <c r="Q797" s="20" t="s">
        <v>119</v>
      </c>
      <c r="R797" s="21" t="s">
        <v>279</v>
      </c>
      <c r="S797" s="22" t="s">
        <v>187</v>
      </c>
      <c r="T797" s="22" t="s">
        <v>54</v>
      </c>
      <c r="U797" s="23" t="s">
        <v>269</v>
      </c>
      <c r="V797" s="24">
        <v>1.05</v>
      </c>
      <c r="W797" s="25">
        <v>1651.6500000000003</v>
      </c>
      <c r="X797" s="26">
        <v>1</v>
      </c>
      <c r="Y797" s="27">
        <v>0.95</v>
      </c>
      <c r="Z797" s="23">
        <v>4</v>
      </c>
      <c r="AA797" s="28">
        <v>0.23749999999999999</v>
      </c>
      <c r="AB797" s="24">
        <v>0</v>
      </c>
      <c r="AC797" s="29">
        <v>0</v>
      </c>
      <c r="AD797" s="30">
        <v>43584</v>
      </c>
      <c r="AE797" s="30">
        <v>43584</v>
      </c>
      <c r="AF797" s="23">
        <v>0</v>
      </c>
      <c r="AG797" s="25" t="s">
        <v>56</v>
      </c>
      <c r="AH797" s="24">
        <v>0</v>
      </c>
      <c r="AI797" s="31">
        <v>0</v>
      </c>
      <c r="AJ797" s="31">
        <v>0</v>
      </c>
      <c r="AK797" s="44">
        <f t="shared" si="24"/>
        <v>1651.6500000000003</v>
      </c>
      <c r="AL797" t="e">
        <f>VLOOKUP(A797,'[1]prueba con 16mil datos'!$A$1:$AE$804,31,FALSE)</f>
        <v>#N/A</v>
      </c>
      <c r="AM797" t="e">
        <f t="shared" si="25"/>
        <v>#N/A</v>
      </c>
      <c r="AO797">
        <f>VLOOKUP(A797,'[1]Prueba con 19mil datos'!$B$1:$AF$1228,31,FALSE)</f>
        <v>0</v>
      </c>
    </row>
    <row r="798" spans="1:44" hidden="1" x14ac:dyDescent="0.25">
      <c r="A798" s="16" t="s">
        <v>1644</v>
      </c>
      <c r="B798" s="15" t="s">
        <v>40</v>
      </c>
      <c r="C798" s="16">
        <v>1</v>
      </c>
      <c r="D798" s="16" t="s">
        <v>3173</v>
      </c>
      <c r="E798" s="17" t="s">
        <v>42</v>
      </c>
      <c r="F798" s="18" t="s">
        <v>275</v>
      </c>
      <c r="G798" s="18" t="s">
        <v>3174</v>
      </c>
      <c r="H798" s="16" t="s">
        <v>404</v>
      </c>
      <c r="I798" s="19" t="s">
        <v>3</v>
      </c>
      <c r="J798" s="16" t="s">
        <v>12</v>
      </c>
      <c r="K798" s="20" t="s">
        <v>126</v>
      </c>
      <c r="L798" s="20" t="s">
        <v>3008</v>
      </c>
      <c r="M798" s="16" t="s">
        <v>407</v>
      </c>
      <c r="N798" s="16">
        <v>0</v>
      </c>
      <c r="O798" s="16" t="s">
        <v>50</v>
      </c>
      <c r="P798" s="20">
        <v>87</v>
      </c>
      <c r="Q798" s="20" t="s">
        <v>51</v>
      </c>
      <c r="R798" s="21" t="s">
        <v>279</v>
      </c>
      <c r="S798" s="22" t="s">
        <v>187</v>
      </c>
      <c r="T798" s="22" t="s">
        <v>54</v>
      </c>
      <c r="U798" s="23" t="s">
        <v>550</v>
      </c>
      <c r="V798" s="24">
        <v>1.1499999999999999</v>
      </c>
      <c r="W798" s="25">
        <v>1808.95</v>
      </c>
      <c r="X798" s="26">
        <v>1</v>
      </c>
      <c r="Y798" s="27">
        <v>1.17</v>
      </c>
      <c r="Z798" s="23">
        <v>4</v>
      </c>
      <c r="AA798" s="28">
        <v>0.29249999999999998</v>
      </c>
      <c r="AB798" s="24">
        <v>0</v>
      </c>
      <c r="AC798" s="29">
        <v>0</v>
      </c>
      <c r="AD798" s="30">
        <v>43584</v>
      </c>
      <c r="AE798" s="30">
        <v>43585</v>
      </c>
      <c r="AF798" s="23">
        <v>1</v>
      </c>
      <c r="AG798" s="25" t="s">
        <v>56</v>
      </c>
      <c r="AH798" s="24">
        <v>0</v>
      </c>
      <c r="AI798" s="31">
        <v>0</v>
      </c>
      <c r="AJ798" s="31">
        <v>0</v>
      </c>
      <c r="AK798" s="44">
        <f t="shared" si="24"/>
        <v>1808.95</v>
      </c>
      <c r="AL798" t="e">
        <f>VLOOKUP(A798,'[1]prueba con 16mil datos'!$A$1:$AE$804,31,FALSE)</f>
        <v>#N/A</v>
      </c>
      <c r="AM798" t="e">
        <f t="shared" si="25"/>
        <v>#N/A</v>
      </c>
      <c r="AO798">
        <f>VLOOKUP(A798,'[1]Prueba con 19mil datos'!$B$1:$AF$1228,31,FALSE)</f>
        <v>0</v>
      </c>
    </row>
    <row r="799" spans="1:44" hidden="1" x14ac:dyDescent="0.25">
      <c r="A799" s="16" t="s">
        <v>1649</v>
      </c>
      <c r="B799" s="15" t="s">
        <v>40</v>
      </c>
      <c r="C799" s="16">
        <v>1</v>
      </c>
      <c r="D799" s="16" t="s">
        <v>3030</v>
      </c>
      <c r="E799" s="17" t="s">
        <v>42</v>
      </c>
      <c r="F799" s="18" t="s">
        <v>335</v>
      </c>
      <c r="G799" s="18" t="s">
        <v>3031</v>
      </c>
      <c r="H799" s="16" t="s">
        <v>317</v>
      </c>
      <c r="I799" s="19" t="s">
        <v>3</v>
      </c>
      <c r="J799" s="16" t="s">
        <v>12</v>
      </c>
      <c r="K799" s="20" t="s">
        <v>83</v>
      </c>
      <c r="L799" s="20" t="s">
        <v>727</v>
      </c>
      <c r="M799" s="16" t="s">
        <v>128</v>
      </c>
      <c r="N799" s="16">
        <v>0</v>
      </c>
      <c r="O799" s="16" t="s">
        <v>50</v>
      </c>
      <c r="P799" s="20">
        <v>83</v>
      </c>
      <c r="Q799" s="20" t="s">
        <v>51</v>
      </c>
      <c r="R799" s="21" t="s">
        <v>77</v>
      </c>
      <c r="S799" s="22" t="s">
        <v>53</v>
      </c>
      <c r="T799" s="22" t="s">
        <v>54</v>
      </c>
      <c r="U799" s="23" t="s">
        <v>55</v>
      </c>
      <c r="V799" s="24">
        <v>1.05</v>
      </c>
      <c r="W799" s="25">
        <v>750.75000000000011</v>
      </c>
      <c r="X799" s="26">
        <v>1</v>
      </c>
      <c r="Y799" s="27">
        <v>0.3</v>
      </c>
      <c r="Z799" s="23">
        <v>5</v>
      </c>
      <c r="AA799" s="28">
        <v>0.06</v>
      </c>
      <c r="AB799" s="24">
        <v>0</v>
      </c>
      <c r="AC799" s="29">
        <v>0</v>
      </c>
      <c r="AD799" s="30">
        <v>43584</v>
      </c>
      <c r="AE799" s="30">
        <v>43584</v>
      </c>
      <c r="AF799" s="23">
        <v>0</v>
      </c>
      <c r="AG799" s="25" t="s">
        <v>56</v>
      </c>
      <c r="AH799" s="24">
        <v>0</v>
      </c>
      <c r="AI799" s="31">
        <v>0</v>
      </c>
      <c r="AJ799" s="31">
        <v>0</v>
      </c>
      <c r="AK799" s="44">
        <f t="shared" si="24"/>
        <v>750.75000000000011</v>
      </c>
      <c r="AL799" t="e">
        <f>VLOOKUP(A799,'[1]prueba con 16mil datos'!$A$1:$AE$804,31,FALSE)</f>
        <v>#N/A</v>
      </c>
      <c r="AM799" t="e">
        <f t="shared" si="25"/>
        <v>#N/A</v>
      </c>
      <c r="AO799">
        <f>VLOOKUP(A799,'[1]Prueba con 19mil datos'!$B$1:$AF$1228,31,FALSE)</f>
        <v>0</v>
      </c>
    </row>
    <row r="800" spans="1:44" hidden="1" x14ac:dyDescent="0.25">
      <c r="A800" s="16" t="s">
        <v>1661</v>
      </c>
      <c r="B800" s="15" t="s">
        <v>40</v>
      </c>
      <c r="C800" s="16">
        <v>1</v>
      </c>
      <c r="D800" s="16" t="s">
        <v>3074</v>
      </c>
      <c r="E800" s="17" t="s">
        <v>42</v>
      </c>
      <c r="F800" s="18" t="s">
        <v>913</v>
      </c>
      <c r="G800" s="18" t="s">
        <v>3075</v>
      </c>
      <c r="H800" s="16" t="s">
        <v>236</v>
      </c>
      <c r="I800" s="19" t="s">
        <v>3</v>
      </c>
      <c r="J800" s="16" t="s">
        <v>12</v>
      </c>
      <c r="K800" s="20" t="s">
        <v>378</v>
      </c>
      <c r="L800" s="20" t="s">
        <v>1542</v>
      </c>
      <c r="M800" s="16" t="s">
        <v>128</v>
      </c>
      <c r="N800" s="16">
        <v>0</v>
      </c>
      <c r="O800" s="16" t="s">
        <v>50</v>
      </c>
      <c r="P800" s="20">
        <v>32</v>
      </c>
      <c r="Q800" s="20" t="s">
        <v>86</v>
      </c>
      <c r="R800" s="21" t="s">
        <v>87</v>
      </c>
      <c r="S800" s="22" t="s">
        <v>53</v>
      </c>
      <c r="T800" s="22" t="s">
        <v>54</v>
      </c>
      <c r="U800" s="23" t="s">
        <v>88</v>
      </c>
      <c r="V800" s="24">
        <v>0.8</v>
      </c>
      <c r="W800" s="25">
        <v>572.00000000000011</v>
      </c>
      <c r="X800" s="26">
        <v>1</v>
      </c>
      <c r="Y800" s="27">
        <v>0</v>
      </c>
      <c r="Z800" s="23">
        <v>5</v>
      </c>
      <c r="AA800" s="28">
        <v>0</v>
      </c>
      <c r="AB800" s="24">
        <v>0</v>
      </c>
      <c r="AC800" s="29">
        <v>0</v>
      </c>
      <c r="AD800" s="30">
        <v>43584</v>
      </c>
      <c r="AE800" s="30">
        <v>43584</v>
      </c>
      <c r="AF800" s="23">
        <v>0</v>
      </c>
      <c r="AG800" s="25" t="s">
        <v>56</v>
      </c>
      <c r="AH800" s="24">
        <v>0</v>
      </c>
      <c r="AI800" s="31">
        <v>0</v>
      </c>
      <c r="AJ800" s="31">
        <v>0</v>
      </c>
      <c r="AK800" s="44">
        <f t="shared" si="24"/>
        <v>572.00000000000011</v>
      </c>
      <c r="AL800" t="e">
        <f>VLOOKUP(A800,'[1]prueba con 16mil datos'!$A$1:$AE$804,31,FALSE)</f>
        <v>#N/A</v>
      </c>
      <c r="AM800" t="e">
        <f t="shared" si="25"/>
        <v>#N/A</v>
      </c>
      <c r="AO800">
        <f>VLOOKUP(A800,'[1]Prueba con 19mil datos'!$B$1:$AF$1228,31,FALSE)</f>
        <v>0</v>
      </c>
    </row>
    <row r="801" spans="1:41" hidden="1" x14ac:dyDescent="0.25">
      <c r="A801" s="16" t="s">
        <v>1735</v>
      </c>
      <c r="B801" s="15" t="s">
        <v>40</v>
      </c>
      <c r="C801" s="16">
        <v>1</v>
      </c>
      <c r="D801" s="16" t="s">
        <v>3023</v>
      </c>
      <c r="E801" s="17" t="s">
        <v>42</v>
      </c>
      <c r="F801" s="18" t="s">
        <v>180</v>
      </c>
      <c r="G801" s="18" t="s">
        <v>3024</v>
      </c>
      <c r="H801" s="16" t="s">
        <v>331</v>
      </c>
      <c r="I801" s="19" t="s">
        <v>3</v>
      </c>
      <c r="J801" s="16" t="s">
        <v>12</v>
      </c>
      <c r="K801" s="20" t="s">
        <v>126</v>
      </c>
      <c r="L801" s="20" t="s">
        <v>554</v>
      </c>
      <c r="M801" s="16" t="s">
        <v>555</v>
      </c>
      <c r="N801" s="16">
        <v>0</v>
      </c>
      <c r="O801" s="16" t="s">
        <v>50</v>
      </c>
      <c r="P801" s="20">
        <v>24</v>
      </c>
      <c r="Q801" s="20" t="s">
        <v>119</v>
      </c>
      <c r="R801" s="21" t="s">
        <v>186</v>
      </c>
      <c r="S801" s="22" t="s">
        <v>187</v>
      </c>
      <c r="T801" s="22" t="s">
        <v>54</v>
      </c>
      <c r="U801" s="23" t="s">
        <v>269</v>
      </c>
      <c r="V801" s="24">
        <v>1.05</v>
      </c>
      <c r="W801" s="25">
        <v>1651.6500000000003</v>
      </c>
      <c r="X801" s="26">
        <v>1</v>
      </c>
      <c r="Y801" s="27">
        <v>2.0699999999999998</v>
      </c>
      <c r="Z801" s="23">
        <v>4</v>
      </c>
      <c r="AA801" s="28">
        <v>0.51749999999999996</v>
      </c>
      <c r="AB801" s="24">
        <v>0</v>
      </c>
      <c r="AC801" s="29">
        <v>0</v>
      </c>
      <c r="AD801" s="30">
        <v>43584</v>
      </c>
      <c r="AE801" s="30">
        <v>43584</v>
      </c>
      <c r="AF801" s="23">
        <v>0</v>
      </c>
      <c r="AG801" s="25" t="s">
        <v>56</v>
      </c>
      <c r="AH801" s="24">
        <v>0</v>
      </c>
      <c r="AI801" s="31">
        <v>0</v>
      </c>
      <c r="AJ801" s="31">
        <v>0</v>
      </c>
      <c r="AK801" s="44">
        <f t="shared" si="24"/>
        <v>1651.6500000000003</v>
      </c>
      <c r="AL801" t="e">
        <f>VLOOKUP(A801,'[1]prueba con 16mil datos'!$A$1:$AE$804,31,FALSE)</f>
        <v>#N/A</v>
      </c>
      <c r="AM801" t="e">
        <f t="shared" si="25"/>
        <v>#N/A</v>
      </c>
      <c r="AO801">
        <f>VLOOKUP(A801,'[1]Prueba con 19mil datos'!$B$1:$AF$1228,31,FALSE)</f>
        <v>1501.5</v>
      </c>
    </row>
    <row r="802" spans="1:41" hidden="1" x14ac:dyDescent="0.25">
      <c r="A802" s="16" t="s">
        <v>1738</v>
      </c>
      <c r="B802" s="15" t="s">
        <v>40</v>
      </c>
      <c r="C802" s="16">
        <v>1</v>
      </c>
      <c r="D802" s="16" t="s">
        <v>3049</v>
      </c>
      <c r="E802" s="17" t="s">
        <v>42</v>
      </c>
      <c r="F802" s="18" t="s">
        <v>953</v>
      </c>
      <c r="G802" s="18" t="s">
        <v>3050</v>
      </c>
      <c r="H802" s="16" t="s">
        <v>109</v>
      </c>
      <c r="I802" s="19" t="s">
        <v>3</v>
      </c>
      <c r="J802" s="16" t="s">
        <v>12</v>
      </c>
      <c r="K802" s="20" t="s">
        <v>2461</v>
      </c>
      <c r="L802" s="20" t="s">
        <v>2462</v>
      </c>
      <c r="M802" s="16" t="s">
        <v>2463</v>
      </c>
      <c r="N802" s="16">
        <v>0</v>
      </c>
      <c r="O802" s="16" t="s">
        <v>50</v>
      </c>
      <c r="P802" s="20">
        <v>18</v>
      </c>
      <c r="Q802" s="20" t="s">
        <v>119</v>
      </c>
      <c r="R802" s="21" t="s">
        <v>186</v>
      </c>
      <c r="S802" s="22" t="s">
        <v>187</v>
      </c>
      <c r="T802" s="22" t="s">
        <v>54</v>
      </c>
      <c r="U802" s="23" t="s">
        <v>269</v>
      </c>
      <c r="V802" s="24">
        <v>1.05</v>
      </c>
      <c r="W802" s="25">
        <v>1651.6500000000003</v>
      </c>
      <c r="X802" s="26">
        <v>1</v>
      </c>
      <c r="Y802" s="27">
        <v>2.72</v>
      </c>
      <c r="Z802" s="23">
        <v>4</v>
      </c>
      <c r="AA802" s="28">
        <v>0.68</v>
      </c>
      <c r="AB802" s="24">
        <v>0</v>
      </c>
      <c r="AC802" s="29">
        <v>0</v>
      </c>
      <c r="AD802" s="30">
        <v>43584</v>
      </c>
      <c r="AE802" s="30">
        <v>43584</v>
      </c>
      <c r="AF802" s="23">
        <v>0</v>
      </c>
      <c r="AG802" s="25" t="s">
        <v>56</v>
      </c>
      <c r="AH802" s="24">
        <v>0</v>
      </c>
      <c r="AI802" s="31">
        <v>0</v>
      </c>
      <c r="AJ802" s="31">
        <v>0</v>
      </c>
      <c r="AK802" s="44">
        <f t="shared" si="24"/>
        <v>1651.6500000000003</v>
      </c>
      <c r="AL802" t="e">
        <f>VLOOKUP(A802,'[1]prueba con 16mil datos'!$A$1:$AE$804,31,FALSE)</f>
        <v>#N/A</v>
      </c>
      <c r="AM802" t="e">
        <f t="shared" si="25"/>
        <v>#N/A</v>
      </c>
      <c r="AO802">
        <f>VLOOKUP(A802,'[1]Prueba con 19mil datos'!$B$1:$AF$1228,31,FALSE)</f>
        <v>0</v>
      </c>
    </row>
    <row r="803" spans="1:41" hidden="1" x14ac:dyDescent="0.25">
      <c r="A803" s="16" t="s">
        <v>1776</v>
      </c>
      <c r="B803" s="15" t="s">
        <v>40</v>
      </c>
      <c r="C803" s="16">
        <v>1</v>
      </c>
      <c r="D803" s="16" t="s">
        <v>3055</v>
      </c>
      <c r="E803" s="17" t="s">
        <v>42</v>
      </c>
      <c r="F803" s="18" t="s">
        <v>180</v>
      </c>
      <c r="G803" s="18" t="s">
        <v>3056</v>
      </c>
      <c r="H803" s="16" t="s">
        <v>192</v>
      </c>
      <c r="I803" s="19" t="s">
        <v>3</v>
      </c>
      <c r="J803" s="16" t="s">
        <v>12</v>
      </c>
      <c r="K803" s="20" t="s">
        <v>198</v>
      </c>
      <c r="L803" s="20" t="s">
        <v>1353</v>
      </c>
      <c r="M803" s="16" t="s">
        <v>118</v>
      </c>
      <c r="N803" s="16">
        <v>0</v>
      </c>
      <c r="O803" s="16" t="s">
        <v>50</v>
      </c>
      <c r="P803" s="20">
        <v>70</v>
      </c>
      <c r="Q803" s="20" t="s">
        <v>51</v>
      </c>
      <c r="R803" s="21" t="s">
        <v>186</v>
      </c>
      <c r="S803" s="22" t="s">
        <v>187</v>
      </c>
      <c r="T803" s="22" t="s">
        <v>54</v>
      </c>
      <c r="U803" s="23" t="s">
        <v>550</v>
      </c>
      <c r="V803" s="24">
        <v>1.1499999999999999</v>
      </c>
      <c r="W803" s="25">
        <v>1808.95</v>
      </c>
      <c r="X803" s="26">
        <v>1</v>
      </c>
      <c r="Y803" s="27">
        <v>2.69</v>
      </c>
      <c r="Z803" s="23">
        <v>4</v>
      </c>
      <c r="AA803" s="28">
        <v>0.67249999999999999</v>
      </c>
      <c r="AB803" s="24">
        <v>0</v>
      </c>
      <c r="AC803" s="29">
        <v>0</v>
      </c>
      <c r="AD803" s="30">
        <v>43584</v>
      </c>
      <c r="AE803" s="30">
        <v>43584</v>
      </c>
      <c r="AF803" s="23">
        <v>0</v>
      </c>
      <c r="AG803" s="25" t="s">
        <v>56</v>
      </c>
      <c r="AH803" s="24">
        <v>0</v>
      </c>
      <c r="AI803" s="31">
        <v>0</v>
      </c>
      <c r="AJ803" s="31">
        <v>0</v>
      </c>
      <c r="AK803" s="44">
        <f t="shared" si="24"/>
        <v>1808.95</v>
      </c>
      <c r="AL803" t="e">
        <f>VLOOKUP(A803,'[1]prueba con 16mil datos'!$A$1:$AE$804,31,FALSE)</f>
        <v>#N/A</v>
      </c>
      <c r="AM803" t="e">
        <f t="shared" si="25"/>
        <v>#N/A</v>
      </c>
      <c r="AO803">
        <f>VLOOKUP(A803,'[1]Prueba con 19mil datos'!$B$1:$AF$1228,31,FALSE)</f>
        <v>0</v>
      </c>
    </row>
    <row r="804" spans="1:41" hidden="1" x14ac:dyDescent="0.25">
      <c r="A804" s="16" t="s">
        <v>1802</v>
      </c>
      <c r="B804" s="15" t="s">
        <v>40</v>
      </c>
      <c r="C804" s="16">
        <v>1</v>
      </c>
      <c r="D804" s="16" t="s">
        <v>3012</v>
      </c>
      <c r="E804" s="17" t="s">
        <v>2685</v>
      </c>
      <c r="F804" s="18" t="s">
        <v>3013</v>
      </c>
      <c r="G804" s="18" t="s">
        <v>3014</v>
      </c>
      <c r="H804" s="16" t="s">
        <v>463</v>
      </c>
      <c r="I804" s="19" t="s">
        <v>3</v>
      </c>
      <c r="J804" s="16" t="s">
        <v>12</v>
      </c>
      <c r="K804" s="20" t="s">
        <v>126</v>
      </c>
      <c r="L804" s="20" t="s">
        <v>422</v>
      </c>
      <c r="M804" s="16" t="s">
        <v>76</v>
      </c>
      <c r="N804" s="16">
        <v>0</v>
      </c>
      <c r="O804" s="16" t="s">
        <v>50</v>
      </c>
      <c r="P804" s="20" t="s">
        <v>326</v>
      </c>
      <c r="Q804" s="20" t="s">
        <v>51</v>
      </c>
      <c r="R804" s="21" t="s">
        <v>303</v>
      </c>
      <c r="S804" s="22" t="s">
        <v>130</v>
      </c>
      <c r="T804" s="22" t="s">
        <v>54</v>
      </c>
      <c r="U804" s="23" t="s">
        <v>226</v>
      </c>
      <c r="V804" s="24">
        <v>1</v>
      </c>
      <c r="W804" s="25">
        <v>1365</v>
      </c>
      <c r="X804" s="26">
        <v>0</v>
      </c>
      <c r="Y804" s="27">
        <v>5</v>
      </c>
      <c r="Z804" s="23">
        <v>5</v>
      </c>
      <c r="AA804" s="28">
        <v>1</v>
      </c>
      <c r="AB804" s="24">
        <v>0</v>
      </c>
      <c r="AC804" s="29">
        <v>0</v>
      </c>
      <c r="AD804" s="30">
        <v>43584</v>
      </c>
      <c r="AE804" s="30">
        <v>43584</v>
      </c>
      <c r="AF804" s="23">
        <v>0</v>
      </c>
      <c r="AG804" s="25" t="s">
        <v>56</v>
      </c>
      <c r="AH804" s="24">
        <v>0</v>
      </c>
      <c r="AI804" s="31">
        <v>0</v>
      </c>
      <c r="AJ804" s="31">
        <v>0</v>
      </c>
      <c r="AK804" s="44">
        <f t="shared" si="24"/>
        <v>1365</v>
      </c>
      <c r="AL804" t="e">
        <f>VLOOKUP(A804,'[1]prueba con 16mil datos'!$A$1:$AE$804,31,FALSE)</f>
        <v>#N/A</v>
      </c>
      <c r="AM804" t="e">
        <f t="shared" si="25"/>
        <v>#N/A</v>
      </c>
      <c r="AO804">
        <f>VLOOKUP(A804,'[1]Prueba con 19mil datos'!$B$1:$AF$1228,31,FALSE)</f>
        <v>0</v>
      </c>
    </row>
    <row r="805" spans="1:41" hidden="1" x14ac:dyDescent="0.25">
      <c r="A805" s="16" t="s">
        <v>1834</v>
      </c>
      <c r="B805" s="15" t="s">
        <v>40</v>
      </c>
      <c r="C805" s="16">
        <v>1</v>
      </c>
      <c r="D805" s="16" t="s">
        <v>3066</v>
      </c>
      <c r="E805" s="17" t="s">
        <v>42</v>
      </c>
      <c r="F805" s="18" t="s">
        <v>561</v>
      </c>
      <c r="G805" s="18" t="s">
        <v>3067</v>
      </c>
      <c r="H805" s="16" t="s">
        <v>82</v>
      </c>
      <c r="I805" s="19" t="s">
        <v>3</v>
      </c>
      <c r="J805" s="16" t="s">
        <v>12</v>
      </c>
      <c r="K805" s="20" t="s">
        <v>564</v>
      </c>
      <c r="L805" s="20" t="s">
        <v>565</v>
      </c>
      <c r="M805" s="16" t="s">
        <v>566</v>
      </c>
      <c r="N805" s="16">
        <v>0</v>
      </c>
      <c r="O805" s="16" t="s">
        <v>50</v>
      </c>
      <c r="P805" s="20">
        <v>2</v>
      </c>
      <c r="Q805" s="20" t="s">
        <v>147</v>
      </c>
      <c r="R805" s="21" t="s">
        <v>129</v>
      </c>
      <c r="S805" s="22" t="s">
        <v>130</v>
      </c>
      <c r="T805" s="22" t="s">
        <v>54</v>
      </c>
      <c r="U805" s="23" t="s">
        <v>149</v>
      </c>
      <c r="V805" s="24">
        <v>0</v>
      </c>
      <c r="W805" s="25">
        <v>0</v>
      </c>
      <c r="X805" s="26">
        <v>1</v>
      </c>
      <c r="Y805" s="27">
        <v>0.23</v>
      </c>
      <c r="Z805" s="23">
        <v>5</v>
      </c>
      <c r="AA805" s="28">
        <v>4.5999999999999999E-2</v>
      </c>
      <c r="AB805" s="24">
        <v>0</v>
      </c>
      <c r="AC805" s="29">
        <v>0</v>
      </c>
      <c r="AD805" s="30">
        <v>43584</v>
      </c>
      <c r="AE805" s="30">
        <v>43584</v>
      </c>
      <c r="AF805" s="23">
        <v>0</v>
      </c>
      <c r="AG805" s="25" t="s">
        <v>56</v>
      </c>
      <c r="AH805" s="24">
        <v>0</v>
      </c>
      <c r="AI805" s="31">
        <v>0</v>
      </c>
      <c r="AJ805" s="31">
        <v>0</v>
      </c>
      <c r="AK805" s="44">
        <f t="shared" si="24"/>
        <v>0</v>
      </c>
      <c r="AL805" t="e">
        <f>VLOOKUP(A805,'[1]prueba con 16mil datos'!$A$1:$AE$804,31,FALSE)</f>
        <v>#N/A</v>
      </c>
      <c r="AM805" t="e">
        <f t="shared" si="25"/>
        <v>#N/A</v>
      </c>
      <c r="AO805">
        <f>VLOOKUP(A805,'[1]Prueba con 19mil datos'!$B$1:$AF$1228,31,FALSE)</f>
        <v>0</v>
      </c>
    </row>
    <row r="806" spans="1:41" hidden="1" x14ac:dyDescent="0.25">
      <c r="A806" s="16" t="s">
        <v>1936</v>
      </c>
      <c r="B806" s="15" t="s">
        <v>40</v>
      </c>
      <c r="C806" s="16">
        <v>1</v>
      </c>
      <c r="D806" s="16" t="s">
        <v>3086</v>
      </c>
      <c r="E806" s="17" t="s">
        <v>42</v>
      </c>
      <c r="F806" s="18" t="s">
        <v>122</v>
      </c>
      <c r="G806" s="18" t="s">
        <v>3087</v>
      </c>
      <c r="H806" s="16" t="s">
        <v>2561</v>
      </c>
      <c r="I806" s="19" t="s">
        <v>3</v>
      </c>
      <c r="J806" s="16" t="s">
        <v>12</v>
      </c>
      <c r="K806" s="20" t="s">
        <v>126</v>
      </c>
      <c r="L806" s="20" t="s">
        <v>803</v>
      </c>
      <c r="M806" s="16" t="s">
        <v>118</v>
      </c>
      <c r="N806" s="16">
        <v>0</v>
      </c>
      <c r="O806" s="16" t="s">
        <v>50</v>
      </c>
      <c r="P806" s="20">
        <v>187</v>
      </c>
      <c r="Q806" s="20" t="s">
        <v>51</v>
      </c>
      <c r="R806" s="21" t="s">
        <v>129</v>
      </c>
      <c r="S806" s="22" t="s">
        <v>130</v>
      </c>
      <c r="T806" s="22" t="s">
        <v>54</v>
      </c>
      <c r="U806" s="23" t="s">
        <v>226</v>
      </c>
      <c r="V806" s="24">
        <v>1.1000000000000001</v>
      </c>
      <c r="W806" s="25">
        <v>1501.5000000000002</v>
      </c>
      <c r="X806" s="26">
        <v>1</v>
      </c>
      <c r="Y806" s="27">
        <v>1.82</v>
      </c>
      <c r="Z806" s="23">
        <v>5</v>
      </c>
      <c r="AA806" s="28">
        <v>0.36399999999999999</v>
      </c>
      <c r="AB806" s="24">
        <v>0</v>
      </c>
      <c r="AC806" s="29">
        <v>0</v>
      </c>
      <c r="AD806" s="30">
        <v>43584</v>
      </c>
      <c r="AE806" s="30">
        <v>43584</v>
      </c>
      <c r="AF806" s="23">
        <v>0</v>
      </c>
      <c r="AG806" s="25" t="s">
        <v>56</v>
      </c>
      <c r="AH806" s="24">
        <v>0</v>
      </c>
      <c r="AI806" s="31">
        <v>0</v>
      </c>
      <c r="AJ806" s="31">
        <v>0</v>
      </c>
      <c r="AK806" s="44">
        <f t="shared" si="24"/>
        <v>1501.5000000000002</v>
      </c>
      <c r="AL806" t="e">
        <f>VLOOKUP(A806,'[1]prueba con 16mil datos'!$A$1:$AE$804,31,FALSE)</f>
        <v>#N/A</v>
      </c>
      <c r="AM806" t="e">
        <f t="shared" si="25"/>
        <v>#N/A</v>
      </c>
      <c r="AO806">
        <f>VLOOKUP(A806,'[1]Prueba con 19mil datos'!$B$1:$AF$1228,31,FALSE)</f>
        <v>0</v>
      </c>
    </row>
    <row r="807" spans="1:41" hidden="1" x14ac:dyDescent="0.25">
      <c r="A807" s="16" t="s">
        <v>2044</v>
      </c>
      <c r="B807" s="15" t="s">
        <v>40</v>
      </c>
      <c r="C807" s="16">
        <v>1</v>
      </c>
      <c r="D807" s="16" t="s">
        <v>3038</v>
      </c>
      <c r="E807" s="17" t="s">
        <v>42</v>
      </c>
      <c r="F807" s="18" t="s">
        <v>122</v>
      </c>
      <c r="G807" s="18" t="s">
        <v>3039</v>
      </c>
      <c r="H807" s="16" t="s">
        <v>192</v>
      </c>
      <c r="I807" s="19" t="s">
        <v>3</v>
      </c>
      <c r="J807" s="16" t="s">
        <v>12</v>
      </c>
      <c r="K807" s="20" t="s">
        <v>198</v>
      </c>
      <c r="L807" s="20" t="s">
        <v>2524</v>
      </c>
      <c r="M807" s="16" t="s">
        <v>64</v>
      </c>
      <c r="N807" s="16">
        <v>0</v>
      </c>
      <c r="O807" s="16" t="s">
        <v>50</v>
      </c>
      <c r="P807" s="20">
        <v>6</v>
      </c>
      <c r="Q807" s="20" t="s">
        <v>311</v>
      </c>
      <c r="R807" s="21" t="s">
        <v>129</v>
      </c>
      <c r="S807" s="22" t="s">
        <v>130</v>
      </c>
      <c r="T807" s="22" t="s">
        <v>54</v>
      </c>
      <c r="U807" s="23" t="s">
        <v>312</v>
      </c>
      <c r="V807" s="24">
        <v>0</v>
      </c>
      <c r="W807" s="25">
        <v>0</v>
      </c>
      <c r="X807" s="26">
        <v>1</v>
      </c>
      <c r="Y807" s="27">
        <v>1.58</v>
      </c>
      <c r="Z807" s="23">
        <v>5</v>
      </c>
      <c r="AA807" s="28">
        <v>0.316</v>
      </c>
      <c r="AB807" s="24">
        <v>0</v>
      </c>
      <c r="AC807" s="29">
        <v>0</v>
      </c>
      <c r="AD807" s="30">
        <v>43584</v>
      </c>
      <c r="AE807" s="30">
        <v>43584</v>
      </c>
      <c r="AF807" s="23">
        <v>0</v>
      </c>
      <c r="AG807" s="25" t="s">
        <v>56</v>
      </c>
      <c r="AH807" s="24">
        <v>0</v>
      </c>
      <c r="AI807" s="31">
        <v>0</v>
      </c>
      <c r="AJ807" s="31">
        <v>0</v>
      </c>
      <c r="AK807" s="44">
        <f t="shared" si="24"/>
        <v>0</v>
      </c>
      <c r="AL807" t="e">
        <f>VLOOKUP(A807,'[1]prueba con 16mil datos'!$A$1:$AE$804,31,FALSE)</f>
        <v>#N/A</v>
      </c>
      <c r="AM807" t="e">
        <f t="shared" si="25"/>
        <v>#N/A</v>
      </c>
      <c r="AO807">
        <f>VLOOKUP(A807,'[1]Prueba con 19mil datos'!$B$1:$AF$1228,31,FALSE)</f>
        <v>0</v>
      </c>
    </row>
    <row r="808" spans="1:41" hidden="1" x14ac:dyDescent="0.25">
      <c r="A808" s="16" t="s">
        <v>1443</v>
      </c>
      <c r="B808" s="15" t="s">
        <v>40</v>
      </c>
      <c r="C808" s="16">
        <v>1</v>
      </c>
      <c r="D808" s="16" t="s">
        <v>3083</v>
      </c>
      <c r="E808" s="17" t="s">
        <v>1522</v>
      </c>
      <c r="F808" s="18" t="s">
        <v>79</v>
      </c>
      <c r="G808" s="18" t="s">
        <v>3084</v>
      </c>
      <c r="H808" s="16" t="s">
        <v>264</v>
      </c>
      <c r="I808" s="19" t="s">
        <v>3</v>
      </c>
      <c r="J808" s="16" t="s">
        <v>12</v>
      </c>
      <c r="K808" s="20" t="s">
        <v>378</v>
      </c>
      <c r="L808" s="20" t="s">
        <v>711</v>
      </c>
      <c r="M808" s="16" t="s">
        <v>267</v>
      </c>
      <c r="N808" s="16">
        <v>0</v>
      </c>
      <c r="O808" s="16" t="s">
        <v>50</v>
      </c>
      <c r="P808" s="20" t="s">
        <v>326</v>
      </c>
      <c r="Q808" s="20" t="s">
        <v>51</v>
      </c>
      <c r="R808" s="21" t="s">
        <v>87</v>
      </c>
      <c r="S808" s="22" t="s">
        <v>53</v>
      </c>
      <c r="T808" s="22" t="s">
        <v>54</v>
      </c>
      <c r="U808" s="23" t="s">
        <v>55</v>
      </c>
      <c r="V808" s="24">
        <v>1</v>
      </c>
      <c r="W808" s="25">
        <v>715.00000000000011</v>
      </c>
      <c r="X808" s="26">
        <v>0</v>
      </c>
      <c r="Y808" s="27">
        <v>5</v>
      </c>
      <c r="Z808" s="23">
        <v>5</v>
      </c>
      <c r="AA808" s="28">
        <v>1</v>
      </c>
      <c r="AB808" s="24">
        <v>0</v>
      </c>
      <c r="AC808" s="29">
        <v>0</v>
      </c>
      <c r="AD808" s="30">
        <v>43584</v>
      </c>
      <c r="AE808" s="30">
        <v>43584</v>
      </c>
      <c r="AF808" s="23">
        <v>0</v>
      </c>
      <c r="AG808" s="25" t="s">
        <v>56</v>
      </c>
      <c r="AH808" s="24">
        <v>0</v>
      </c>
      <c r="AI808" s="31">
        <v>0</v>
      </c>
      <c r="AJ808" s="31">
        <v>0</v>
      </c>
      <c r="AK808" s="44">
        <f t="shared" si="24"/>
        <v>715.00000000000011</v>
      </c>
      <c r="AL808" t="e">
        <f>VLOOKUP(A808,'[1]prueba con 16mil datos'!$A$1:$AE$804,31,FALSE)</f>
        <v>#N/A</v>
      </c>
      <c r="AM808" t="e">
        <f t="shared" si="25"/>
        <v>#N/A</v>
      </c>
      <c r="AO808">
        <f>VLOOKUP(A808,'[1]Prueba con 19mil datos'!$B$1:$AF$1228,31,FALSE)</f>
        <v>0</v>
      </c>
    </row>
    <row r="809" spans="1:41" hidden="1" x14ac:dyDescent="0.25">
      <c r="A809" s="16" t="s">
        <v>2081</v>
      </c>
      <c r="B809" s="15" t="s">
        <v>40</v>
      </c>
      <c r="C809" s="16">
        <v>1</v>
      </c>
      <c r="D809" s="16" t="s">
        <v>3093</v>
      </c>
      <c r="E809" s="17" t="s">
        <v>42</v>
      </c>
      <c r="F809" s="18" t="s">
        <v>419</v>
      </c>
      <c r="G809" s="18" t="s">
        <v>3094</v>
      </c>
      <c r="H809" s="16" t="s">
        <v>516</v>
      </c>
      <c r="I809" s="19" t="s">
        <v>3</v>
      </c>
      <c r="J809" s="16" t="s">
        <v>12</v>
      </c>
      <c r="K809" s="20" t="s">
        <v>126</v>
      </c>
      <c r="L809" s="20" t="s">
        <v>3096</v>
      </c>
      <c r="M809" s="16" t="s">
        <v>833</v>
      </c>
      <c r="N809" s="16">
        <v>0</v>
      </c>
      <c r="O809" s="16" t="s">
        <v>50</v>
      </c>
      <c r="P809" s="20">
        <v>669</v>
      </c>
      <c r="Q809" s="20" t="s">
        <v>51</v>
      </c>
      <c r="R809" s="21" t="s">
        <v>225</v>
      </c>
      <c r="S809" s="22" t="s">
        <v>130</v>
      </c>
      <c r="T809" s="22" t="s">
        <v>54</v>
      </c>
      <c r="U809" s="23" t="s">
        <v>226</v>
      </c>
      <c r="V809" s="24">
        <v>1.1000000000000001</v>
      </c>
      <c r="W809" s="25">
        <v>1501.5000000000002</v>
      </c>
      <c r="X809" s="26">
        <v>1</v>
      </c>
      <c r="Y809" s="27">
        <v>2.4700000000000002</v>
      </c>
      <c r="Z809" s="23">
        <v>5</v>
      </c>
      <c r="AA809" s="28">
        <v>0.49400000000000005</v>
      </c>
      <c r="AB809" s="24">
        <v>0</v>
      </c>
      <c r="AC809" s="29">
        <v>0</v>
      </c>
      <c r="AD809" s="30">
        <v>43584</v>
      </c>
      <c r="AE809" s="30">
        <v>43584</v>
      </c>
      <c r="AF809" s="23">
        <v>0</v>
      </c>
      <c r="AG809" s="25" t="s">
        <v>56</v>
      </c>
      <c r="AH809" s="24">
        <v>0</v>
      </c>
      <c r="AI809" s="31">
        <v>0</v>
      </c>
      <c r="AJ809" s="31">
        <v>0</v>
      </c>
      <c r="AK809" s="44">
        <f t="shared" si="24"/>
        <v>1501.5000000000002</v>
      </c>
      <c r="AL809" t="e">
        <f>VLOOKUP(A809,'[1]prueba con 16mil datos'!$A$1:$AE$804,31,FALSE)</f>
        <v>#N/A</v>
      </c>
      <c r="AM809" t="e">
        <f t="shared" si="25"/>
        <v>#N/A</v>
      </c>
      <c r="AO809">
        <f>VLOOKUP(A809,'[1]Prueba con 19mil datos'!$B$1:$AF$1228,31,FALSE)</f>
        <v>0</v>
      </c>
    </row>
    <row r="810" spans="1:41" hidden="1" x14ac:dyDescent="0.25">
      <c r="A810" s="16" t="s">
        <v>2114</v>
      </c>
      <c r="B810" s="15" t="s">
        <v>40</v>
      </c>
      <c r="C810" s="16">
        <v>1</v>
      </c>
      <c r="D810" s="16" t="s">
        <v>3010</v>
      </c>
      <c r="E810" s="17" t="s">
        <v>42</v>
      </c>
      <c r="F810" s="18" t="s">
        <v>298</v>
      </c>
      <c r="G810" s="18" t="s">
        <v>3011</v>
      </c>
      <c r="H810" s="16" t="s">
        <v>301</v>
      </c>
      <c r="I810" s="19" t="s">
        <v>3</v>
      </c>
      <c r="J810" s="16" t="s">
        <v>12</v>
      </c>
      <c r="K810" s="20" t="s">
        <v>265</v>
      </c>
      <c r="L810" s="20" t="s">
        <v>1447</v>
      </c>
      <c r="M810" s="16" t="s">
        <v>267</v>
      </c>
      <c r="N810" s="16">
        <v>0</v>
      </c>
      <c r="O810" s="16" t="s">
        <v>50</v>
      </c>
      <c r="P810" s="20">
        <v>9</v>
      </c>
      <c r="Q810" s="20" t="s">
        <v>65</v>
      </c>
      <c r="R810" s="21" t="s">
        <v>303</v>
      </c>
      <c r="S810" s="22" t="s">
        <v>130</v>
      </c>
      <c r="T810" s="22" t="s">
        <v>54</v>
      </c>
      <c r="U810" s="23" t="s">
        <v>131</v>
      </c>
      <c r="V810" s="24">
        <v>0.6</v>
      </c>
      <c r="W810" s="25">
        <v>819</v>
      </c>
      <c r="X810" s="26">
        <v>1</v>
      </c>
      <c r="Y810" s="27">
        <v>0.73</v>
      </c>
      <c r="Z810" s="23">
        <v>5</v>
      </c>
      <c r="AA810" s="28">
        <v>0.14599999999999999</v>
      </c>
      <c r="AB810" s="24">
        <v>0</v>
      </c>
      <c r="AC810" s="29">
        <v>0</v>
      </c>
      <c r="AD810" s="30">
        <v>43584</v>
      </c>
      <c r="AE810" s="30">
        <v>43584</v>
      </c>
      <c r="AF810" s="23">
        <v>0</v>
      </c>
      <c r="AG810" s="25" t="s">
        <v>56</v>
      </c>
      <c r="AH810" s="24">
        <v>0</v>
      </c>
      <c r="AI810" s="31">
        <v>0</v>
      </c>
      <c r="AJ810" s="31">
        <v>0</v>
      </c>
      <c r="AK810" s="44">
        <f t="shared" si="24"/>
        <v>819</v>
      </c>
      <c r="AL810" t="e">
        <f>VLOOKUP(A810,'[1]prueba con 16mil datos'!$A$1:$AE$804,31,FALSE)</f>
        <v>#N/A</v>
      </c>
      <c r="AM810" t="e">
        <f t="shared" si="25"/>
        <v>#N/A</v>
      </c>
      <c r="AO810">
        <f>VLOOKUP(A810,'[1]Prueba con 19mil datos'!$B$1:$AF$1228,31,FALSE)</f>
        <v>0</v>
      </c>
    </row>
    <row r="811" spans="1:41" hidden="1" x14ac:dyDescent="0.25">
      <c r="A811" s="16" t="s">
        <v>2134</v>
      </c>
      <c r="B811" s="15" t="s">
        <v>40</v>
      </c>
      <c r="C811" s="16">
        <v>1</v>
      </c>
      <c r="D811" s="16" t="s">
        <v>3111</v>
      </c>
      <c r="E811" s="17" t="s">
        <v>1522</v>
      </c>
      <c r="F811" s="18" t="s">
        <v>759</v>
      </c>
      <c r="G811" s="18" t="s">
        <v>3112</v>
      </c>
      <c r="H811" s="16" t="s">
        <v>264</v>
      </c>
      <c r="I811" s="19" t="s">
        <v>3</v>
      </c>
      <c r="J811" s="16" t="s">
        <v>12</v>
      </c>
      <c r="K811" s="20" t="s">
        <v>378</v>
      </c>
      <c r="L811" s="20" t="s">
        <v>711</v>
      </c>
      <c r="M811" s="16" t="s">
        <v>267</v>
      </c>
      <c r="N811" s="16">
        <v>0</v>
      </c>
      <c r="O811" s="16" t="s">
        <v>50</v>
      </c>
      <c r="P811" s="20" t="s">
        <v>326</v>
      </c>
      <c r="Q811" s="20" t="s">
        <v>51</v>
      </c>
      <c r="R811" s="21" t="s">
        <v>87</v>
      </c>
      <c r="S811" s="22" t="s">
        <v>53</v>
      </c>
      <c r="T811" s="22" t="s">
        <v>54</v>
      </c>
      <c r="U811" s="23" t="s">
        <v>55</v>
      </c>
      <c r="V811" s="24">
        <v>1</v>
      </c>
      <c r="W811" s="25">
        <v>715.00000000000011</v>
      </c>
      <c r="X811" s="26">
        <v>0</v>
      </c>
      <c r="Y811" s="27">
        <v>5</v>
      </c>
      <c r="Z811" s="23">
        <v>5</v>
      </c>
      <c r="AA811" s="28">
        <v>1</v>
      </c>
      <c r="AB811" s="24">
        <v>0</v>
      </c>
      <c r="AC811" s="29">
        <v>0</v>
      </c>
      <c r="AD811" s="30">
        <v>43584</v>
      </c>
      <c r="AE811" s="30">
        <v>43585</v>
      </c>
      <c r="AF811" s="23">
        <v>1</v>
      </c>
      <c r="AG811" s="25" t="s">
        <v>56</v>
      </c>
      <c r="AH811" s="24">
        <v>0</v>
      </c>
      <c r="AI811" s="31">
        <v>0</v>
      </c>
      <c r="AJ811" s="31">
        <v>0</v>
      </c>
      <c r="AK811" s="44">
        <f t="shared" si="24"/>
        <v>715.00000000000011</v>
      </c>
      <c r="AL811" t="e">
        <f>VLOOKUP(A811,'[1]prueba con 16mil datos'!$A$1:$AE$804,31,FALSE)</f>
        <v>#N/A</v>
      </c>
      <c r="AM811" t="e">
        <f t="shared" si="25"/>
        <v>#N/A</v>
      </c>
      <c r="AO811">
        <f>VLOOKUP(A811,'[1]Prueba con 19mil datos'!$B$1:$AF$1228,31,FALSE)</f>
        <v>0</v>
      </c>
    </row>
    <row r="812" spans="1:41" hidden="1" x14ac:dyDescent="0.25">
      <c r="A812" s="16" t="s">
        <v>2144</v>
      </c>
      <c r="B812" s="15" t="s">
        <v>40</v>
      </c>
      <c r="C812" s="16">
        <v>1</v>
      </c>
      <c r="D812" s="16" t="s">
        <v>3068</v>
      </c>
      <c r="E812" s="17" t="s">
        <v>1522</v>
      </c>
      <c r="F812" s="18" t="s">
        <v>759</v>
      </c>
      <c r="G812" s="18" t="s">
        <v>3069</v>
      </c>
      <c r="H812" s="16" t="s">
        <v>264</v>
      </c>
      <c r="I812" s="19" t="s">
        <v>3</v>
      </c>
      <c r="J812" s="16" t="s">
        <v>12</v>
      </c>
      <c r="K812" s="20" t="s">
        <v>378</v>
      </c>
      <c r="L812" s="20" t="s">
        <v>711</v>
      </c>
      <c r="M812" s="16" t="s">
        <v>267</v>
      </c>
      <c r="N812" s="16">
        <v>0</v>
      </c>
      <c r="O812" s="16" t="s">
        <v>50</v>
      </c>
      <c r="P812" s="20" t="s">
        <v>326</v>
      </c>
      <c r="Q812" s="20" t="s">
        <v>51</v>
      </c>
      <c r="R812" s="21" t="s">
        <v>87</v>
      </c>
      <c r="S812" s="22" t="s">
        <v>53</v>
      </c>
      <c r="T812" s="22" t="s">
        <v>54</v>
      </c>
      <c r="U812" s="23" t="s">
        <v>55</v>
      </c>
      <c r="V812" s="24">
        <v>1</v>
      </c>
      <c r="W812" s="25">
        <v>715.00000000000011</v>
      </c>
      <c r="X812" s="26">
        <v>0</v>
      </c>
      <c r="Y812" s="27">
        <v>5</v>
      </c>
      <c r="Z812" s="23">
        <v>5</v>
      </c>
      <c r="AA812" s="28">
        <v>1</v>
      </c>
      <c r="AB812" s="24">
        <v>0</v>
      </c>
      <c r="AC812" s="29">
        <v>0</v>
      </c>
      <c r="AD812" s="30">
        <v>43584</v>
      </c>
      <c r="AE812" s="30">
        <v>43584</v>
      </c>
      <c r="AF812" s="23">
        <v>0</v>
      </c>
      <c r="AG812" s="25" t="s">
        <v>56</v>
      </c>
      <c r="AH812" s="24">
        <v>0</v>
      </c>
      <c r="AI812" s="31">
        <v>0</v>
      </c>
      <c r="AJ812" s="31">
        <v>0</v>
      </c>
      <c r="AK812" s="44">
        <f t="shared" si="24"/>
        <v>715.00000000000011</v>
      </c>
      <c r="AL812" t="e">
        <f>VLOOKUP(A812,'[1]prueba con 16mil datos'!$A$1:$AE$804,31,FALSE)</f>
        <v>#N/A</v>
      </c>
      <c r="AM812" t="e">
        <f t="shared" si="25"/>
        <v>#N/A</v>
      </c>
      <c r="AO812">
        <f>VLOOKUP(A812,'[1]Prueba con 19mil datos'!$B$1:$AF$1228,31,FALSE)</f>
        <v>0</v>
      </c>
    </row>
    <row r="813" spans="1:41" hidden="1" x14ac:dyDescent="0.25">
      <c r="A813" s="16" t="s">
        <v>92</v>
      </c>
      <c r="B813" s="15" t="s">
        <v>40</v>
      </c>
      <c r="C813" s="16">
        <v>1</v>
      </c>
      <c r="D813" s="16" t="s">
        <v>3180</v>
      </c>
      <c r="E813" s="17" t="s">
        <v>42</v>
      </c>
      <c r="F813" s="18" t="s">
        <v>271</v>
      </c>
      <c r="G813" s="18" t="s">
        <v>3181</v>
      </c>
      <c r="H813" s="16" t="s">
        <v>243</v>
      </c>
      <c r="I813" s="19" t="s">
        <v>3</v>
      </c>
      <c r="J813" s="16" t="s">
        <v>12</v>
      </c>
      <c r="K813" s="20" t="s">
        <v>126</v>
      </c>
      <c r="L813" s="20" t="s">
        <v>928</v>
      </c>
      <c r="M813" s="16" t="s">
        <v>372</v>
      </c>
      <c r="N813" s="16">
        <v>0</v>
      </c>
      <c r="O813" s="16" t="s">
        <v>50</v>
      </c>
      <c r="P813" s="20">
        <v>10</v>
      </c>
      <c r="Q813" s="20" t="s">
        <v>65</v>
      </c>
      <c r="R813" s="21" t="s">
        <v>186</v>
      </c>
      <c r="S813" s="22" t="s">
        <v>187</v>
      </c>
      <c r="T813" s="22" t="s">
        <v>54</v>
      </c>
      <c r="U813" s="23" t="s">
        <v>201</v>
      </c>
      <c r="V813" s="24">
        <v>0.8</v>
      </c>
      <c r="W813" s="25">
        <v>1258.4000000000003</v>
      </c>
      <c r="X813" s="26">
        <v>1</v>
      </c>
      <c r="Y813" s="27">
        <v>1.45</v>
      </c>
      <c r="Z813" s="23">
        <v>4</v>
      </c>
      <c r="AA813" s="28">
        <v>0.36249999999999999</v>
      </c>
      <c r="AB813" s="24">
        <v>0</v>
      </c>
      <c r="AC813" s="29">
        <v>0</v>
      </c>
      <c r="AD813" s="30">
        <v>43584</v>
      </c>
      <c r="AE813" s="30">
        <v>43585</v>
      </c>
      <c r="AF813" s="23">
        <v>1</v>
      </c>
      <c r="AG813" s="25" t="s">
        <v>56</v>
      </c>
      <c r="AH813" s="24">
        <v>0</v>
      </c>
      <c r="AI813" s="31">
        <v>0</v>
      </c>
      <c r="AJ813" s="31">
        <v>0</v>
      </c>
      <c r="AK813" s="44">
        <f t="shared" si="24"/>
        <v>1258.4000000000003</v>
      </c>
      <c r="AL813" t="e">
        <f>VLOOKUP(A813,'[1]prueba con 16mil datos'!$A$1:$AE$804,31,FALSE)</f>
        <v>#N/A</v>
      </c>
      <c r="AM813" t="e">
        <f t="shared" si="25"/>
        <v>#N/A</v>
      </c>
      <c r="AO813">
        <f>VLOOKUP(A813,'[1]Prueba con 19mil datos'!$B$1:$AF$1228,31,FALSE)</f>
        <v>0</v>
      </c>
    </row>
    <row r="814" spans="1:41" hidden="1" x14ac:dyDescent="0.25">
      <c r="A814" s="16" t="s">
        <v>2177</v>
      </c>
      <c r="B814" s="15" t="s">
        <v>40</v>
      </c>
      <c r="C814" s="16">
        <v>1</v>
      </c>
      <c r="D814" s="16" t="s">
        <v>3033</v>
      </c>
      <c r="E814" s="17" t="s">
        <v>42</v>
      </c>
      <c r="F814" s="18" t="s">
        <v>1559</v>
      </c>
      <c r="G814" s="18" t="s">
        <v>3034</v>
      </c>
      <c r="H814" s="16" t="s">
        <v>2561</v>
      </c>
      <c r="I814" s="19" t="s">
        <v>3</v>
      </c>
      <c r="J814" s="16" t="s">
        <v>12</v>
      </c>
      <c r="K814" s="20" t="s">
        <v>405</v>
      </c>
      <c r="L814" s="20" t="s">
        <v>3036</v>
      </c>
      <c r="M814" s="16" t="s">
        <v>3037</v>
      </c>
      <c r="N814" s="16">
        <v>0</v>
      </c>
      <c r="O814" s="16" t="s">
        <v>50</v>
      </c>
      <c r="P814" s="20">
        <v>362</v>
      </c>
      <c r="Q814" s="20" t="s">
        <v>51</v>
      </c>
      <c r="R814" s="21" t="s">
        <v>77</v>
      </c>
      <c r="S814" s="22" t="s">
        <v>53</v>
      </c>
      <c r="T814" s="22" t="s">
        <v>54</v>
      </c>
      <c r="U814" s="23" t="s">
        <v>55</v>
      </c>
      <c r="V814" s="24">
        <v>1.05</v>
      </c>
      <c r="W814" s="25">
        <v>750.75000000000011</v>
      </c>
      <c r="X814" s="26">
        <v>1</v>
      </c>
      <c r="Y814" s="27">
        <v>1.45</v>
      </c>
      <c r="Z814" s="23">
        <v>5</v>
      </c>
      <c r="AA814" s="28">
        <v>0.28999999999999998</v>
      </c>
      <c r="AB814" s="24">
        <v>0</v>
      </c>
      <c r="AC814" s="29">
        <v>0</v>
      </c>
      <c r="AD814" s="30">
        <v>43584</v>
      </c>
      <c r="AE814" s="30">
        <v>43584</v>
      </c>
      <c r="AF814" s="23">
        <v>0</v>
      </c>
      <c r="AG814" s="25" t="s">
        <v>56</v>
      </c>
      <c r="AH814" s="24">
        <v>0</v>
      </c>
      <c r="AI814" s="31">
        <v>0</v>
      </c>
      <c r="AJ814" s="31">
        <v>0</v>
      </c>
      <c r="AK814" s="44">
        <f t="shared" si="24"/>
        <v>750.75000000000011</v>
      </c>
      <c r="AL814" t="e">
        <f>VLOOKUP(A814,'[1]prueba con 16mil datos'!$A$1:$AE$804,31,FALSE)</f>
        <v>#N/A</v>
      </c>
      <c r="AM814" t="e">
        <f t="shared" si="25"/>
        <v>#N/A</v>
      </c>
      <c r="AO814">
        <f>VLOOKUP(A814,'[1]Prueba con 19mil datos'!$B$1:$AF$1228,31,FALSE)</f>
        <v>0</v>
      </c>
    </row>
    <row r="815" spans="1:41" hidden="1" x14ac:dyDescent="0.25">
      <c r="A815" s="16" t="s">
        <v>2207</v>
      </c>
      <c r="B815" s="15" t="s">
        <v>40</v>
      </c>
      <c r="C815" s="16">
        <v>1</v>
      </c>
      <c r="D815" s="16" t="s">
        <v>3051</v>
      </c>
      <c r="E815" s="17" t="s">
        <v>42</v>
      </c>
      <c r="F815" s="18" t="s">
        <v>140</v>
      </c>
      <c r="G815" s="18" t="s">
        <v>3052</v>
      </c>
      <c r="H815" s="16" t="s">
        <v>1739</v>
      </c>
      <c r="I815" s="19" t="s">
        <v>3</v>
      </c>
      <c r="J815" s="16" t="s">
        <v>12</v>
      </c>
      <c r="K815" s="20" t="s">
        <v>161</v>
      </c>
      <c r="L815" s="20" t="s">
        <v>162</v>
      </c>
      <c r="M815" s="16" t="s">
        <v>163</v>
      </c>
      <c r="N815" s="16">
        <v>1</v>
      </c>
      <c r="O815" s="16" t="s">
        <v>97</v>
      </c>
      <c r="P815" s="20">
        <v>7</v>
      </c>
      <c r="Q815" s="20" t="s">
        <v>65</v>
      </c>
      <c r="R815" s="21" t="s">
        <v>148</v>
      </c>
      <c r="S815" s="22" t="s">
        <v>130</v>
      </c>
      <c r="T815" s="22" t="s">
        <v>54</v>
      </c>
      <c r="U815" s="23" t="s">
        <v>131</v>
      </c>
      <c r="V815" s="24">
        <v>0.6</v>
      </c>
      <c r="W815" s="25">
        <v>0</v>
      </c>
      <c r="X815" s="26">
        <v>1</v>
      </c>
      <c r="Y815" s="27">
        <v>3.22</v>
      </c>
      <c r="Z815" s="23">
        <v>5</v>
      </c>
      <c r="AA815" s="28">
        <v>0.64400000000000002</v>
      </c>
      <c r="AB815" s="24">
        <v>0</v>
      </c>
      <c r="AC815" s="29">
        <v>0</v>
      </c>
      <c r="AD815" s="30">
        <v>43584</v>
      </c>
      <c r="AE815" s="30">
        <v>43584</v>
      </c>
      <c r="AF815" s="23">
        <v>0</v>
      </c>
      <c r="AG815" s="25" t="s">
        <v>56</v>
      </c>
      <c r="AH815" s="24">
        <v>0</v>
      </c>
      <c r="AI815" s="31">
        <v>0</v>
      </c>
      <c r="AJ815" s="31">
        <v>0</v>
      </c>
      <c r="AK815" s="44">
        <f t="shared" si="24"/>
        <v>0</v>
      </c>
      <c r="AL815" t="e">
        <f>VLOOKUP(A815,'[1]prueba con 16mil datos'!$A$1:$AE$804,31,FALSE)</f>
        <v>#N/A</v>
      </c>
      <c r="AM815" t="e">
        <f t="shared" si="25"/>
        <v>#N/A</v>
      </c>
      <c r="AO815">
        <f>VLOOKUP(A815,'[1]Prueba con 19mil datos'!$B$1:$AF$1228,31,FALSE)</f>
        <v>0</v>
      </c>
    </row>
    <row r="816" spans="1:41" hidden="1" x14ac:dyDescent="0.25">
      <c r="A816" s="16" t="s">
        <v>2223</v>
      </c>
      <c r="B816" s="15" t="s">
        <v>40</v>
      </c>
      <c r="C816" s="16">
        <v>1</v>
      </c>
      <c r="D816" s="16" t="s">
        <v>3058</v>
      </c>
      <c r="E816" s="17" t="s">
        <v>42</v>
      </c>
      <c r="F816" s="18" t="s">
        <v>574</v>
      </c>
      <c r="G816" s="18" t="s">
        <v>3059</v>
      </c>
      <c r="H816" s="16" t="s">
        <v>284</v>
      </c>
      <c r="I816" s="19" t="s">
        <v>3</v>
      </c>
      <c r="J816" s="16" t="s">
        <v>12</v>
      </c>
      <c r="K816" s="20" t="s">
        <v>936</v>
      </c>
      <c r="L816" s="20" t="s">
        <v>786</v>
      </c>
      <c r="M816" s="16" t="s">
        <v>105</v>
      </c>
      <c r="N816" s="16">
        <v>1</v>
      </c>
      <c r="O816" s="16" t="s">
        <v>50</v>
      </c>
      <c r="P816" s="20">
        <v>96</v>
      </c>
      <c r="Q816" s="20" t="s">
        <v>51</v>
      </c>
      <c r="R816" s="21" t="s">
        <v>148</v>
      </c>
      <c r="S816" s="22" t="s">
        <v>130</v>
      </c>
      <c r="T816" s="22" t="s">
        <v>54</v>
      </c>
      <c r="U816" s="23" t="s">
        <v>226</v>
      </c>
      <c r="V816" s="24">
        <v>1.1000000000000001</v>
      </c>
      <c r="W816" s="25">
        <v>0</v>
      </c>
      <c r="X816" s="26">
        <v>1</v>
      </c>
      <c r="Y816" s="27">
        <v>0</v>
      </c>
      <c r="Z816" s="23">
        <v>5</v>
      </c>
      <c r="AA816" s="28">
        <v>0</v>
      </c>
      <c r="AB816" s="24">
        <v>0</v>
      </c>
      <c r="AC816" s="29">
        <v>0</v>
      </c>
      <c r="AD816" s="30">
        <v>43584</v>
      </c>
      <c r="AE816" s="30">
        <v>43584</v>
      </c>
      <c r="AF816" s="23">
        <v>0</v>
      </c>
      <c r="AG816" s="25" t="s">
        <v>56</v>
      </c>
      <c r="AH816" s="24">
        <v>0</v>
      </c>
      <c r="AI816" s="31">
        <v>0</v>
      </c>
      <c r="AJ816" s="31">
        <v>0</v>
      </c>
      <c r="AK816" s="44">
        <f t="shared" si="24"/>
        <v>0</v>
      </c>
      <c r="AL816" t="e">
        <f>VLOOKUP(A816,'[1]prueba con 16mil datos'!$A$1:$AE$804,31,FALSE)</f>
        <v>#N/A</v>
      </c>
      <c r="AM816" t="e">
        <f t="shared" si="25"/>
        <v>#N/A</v>
      </c>
      <c r="AO816">
        <f>VLOOKUP(A816,'[1]Prueba con 19mil datos'!$B$1:$AF$1228,31,FALSE)</f>
        <v>0</v>
      </c>
    </row>
    <row r="817" spans="1:41" hidden="1" x14ac:dyDescent="0.25">
      <c r="A817" s="16" t="s">
        <v>2232</v>
      </c>
      <c r="B817" s="15" t="s">
        <v>40</v>
      </c>
      <c r="C817" s="16">
        <v>1</v>
      </c>
      <c r="D817" s="16" t="s">
        <v>3061</v>
      </c>
      <c r="E817" s="17" t="s">
        <v>2311</v>
      </c>
      <c r="F817" s="18" t="s">
        <v>90</v>
      </c>
      <c r="G817" s="18" t="s">
        <v>3062</v>
      </c>
      <c r="H817" s="16" t="s">
        <v>412</v>
      </c>
      <c r="I817" s="19" t="s">
        <v>3</v>
      </c>
      <c r="J817" s="16" t="s">
        <v>12</v>
      </c>
      <c r="K817" s="20" t="s">
        <v>3064</v>
      </c>
      <c r="L817" s="20" t="s">
        <v>3065</v>
      </c>
      <c r="M817" s="16" t="s">
        <v>118</v>
      </c>
      <c r="N817" s="16">
        <v>1</v>
      </c>
      <c r="O817" s="16" t="s">
        <v>50</v>
      </c>
      <c r="P817" s="20" t="s">
        <v>326</v>
      </c>
      <c r="Q817" s="20" t="s">
        <v>51</v>
      </c>
      <c r="R817" s="21" t="s">
        <v>77</v>
      </c>
      <c r="S817" s="22" t="s">
        <v>53</v>
      </c>
      <c r="T817" s="22" t="s">
        <v>54</v>
      </c>
      <c r="U817" s="23" t="s">
        <v>55</v>
      </c>
      <c r="V817" s="24">
        <v>1</v>
      </c>
      <c r="W817" s="25">
        <v>0</v>
      </c>
      <c r="X817" s="26">
        <v>0</v>
      </c>
      <c r="Y817" s="27">
        <v>5</v>
      </c>
      <c r="Z817" s="23">
        <v>5</v>
      </c>
      <c r="AA817" s="28">
        <v>1</v>
      </c>
      <c r="AB817" s="24">
        <v>0</v>
      </c>
      <c r="AC817" s="29">
        <v>0</v>
      </c>
      <c r="AD817" s="30">
        <v>43584</v>
      </c>
      <c r="AE817" s="30">
        <v>43584</v>
      </c>
      <c r="AF817" s="23">
        <v>0</v>
      </c>
      <c r="AG817" s="25" t="s">
        <v>56</v>
      </c>
      <c r="AH817" s="24">
        <v>0</v>
      </c>
      <c r="AI817" s="31">
        <v>0</v>
      </c>
      <c r="AJ817" s="31">
        <v>0</v>
      </c>
      <c r="AK817" s="44">
        <f t="shared" si="24"/>
        <v>0</v>
      </c>
      <c r="AL817" t="e">
        <f>VLOOKUP(A817,'[1]prueba con 16mil datos'!$A$1:$AE$804,31,FALSE)</f>
        <v>#N/A</v>
      </c>
      <c r="AM817" t="e">
        <f t="shared" si="25"/>
        <v>#N/A</v>
      </c>
      <c r="AO817">
        <f>VLOOKUP(A817,'[1]Prueba con 19mil datos'!$B$1:$AF$1228,31,FALSE)</f>
        <v>0</v>
      </c>
    </row>
    <row r="818" spans="1:41" hidden="1" x14ac:dyDescent="0.25">
      <c r="A818" s="16" t="s">
        <v>2262</v>
      </c>
      <c r="B818" s="15" t="s">
        <v>40</v>
      </c>
      <c r="C818" s="16">
        <v>1</v>
      </c>
      <c r="D818" s="16" t="s">
        <v>3145</v>
      </c>
      <c r="E818" s="17" t="s">
        <v>42</v>
      </c>
      <c r="F818" s="18" t="s">
        <v>391</v>
      </c>
      <c r="G818" s="18" t="s">
        <v>3146</v>
      </c>
      <c r="H818" s="16" t="s">
        <v>207</v>
      </c>
      <c r="I818" s="19" t="s">
        <v>3</v>
      </c>
      <c r="J818" s="16" t="s">
        <v>12</v>
      </c>
      <c r="K818" s="20" t="s">
        <v>198</v>
      </c>
      <c r="L818" s="20" t="s">
        <v>731</v>
      </c>
      <c r="M818" s="16" t="s">
        <v>200</v>
      </c>
      <c r="N818" s="16">
        <v>0</v>
      </c>
      <c r="O818" s="16" t="s">
        <v>50</v>
      </c>
      <c r="P818" s="20">
        <v>4</v>
      </c>
      <c r="Q818" s="20" t="s">
        <v>311</v>
      </c>
      <c r="R818" s="21" t="s">
        <v>129</v>
      </c>
      <c r="S818" s="22" t="s">
        <v>130</v>
      </c>
      <c r="T818" s="22" t="s">
        <v>54</v>
      </c>
      <c r="U818" s="23" t="s">
        <v>312</v>
      </c>
      <c r="V818" s="24">
        <v>0</v>
      </c>
      <c r="W818" s="25">
        <v>0</v>
      </c>
      <c r="X818" s="26">
        <v>1</v>
      </c>
      <c r="Y818" s="27">
        <v>1.5</v>
      </c>
      <c r="Z818" s="23">
        <v>5</v>
      </c>
      <c r="AA818" s="28">
        <v>0.3</v>
      </c>
      <c r="AB818" s="24">
        <v>0</v>
      </c>
      <c r="AC818" s="29">
        <v>0</v>
      </c>
      <c r="AD818" s="30">
        <v>43585</v>
      </c>
      <c r="AE818" s="30">
        <v>43585</v>
      </c>
      <c r="AF818" s="23">
        <v>0</v>
      </c>
      <c r="AG818" s="25" t="s">
        <v>56</v>
      </c>
      <c r="AH818" s="24">
        <v>0</v>
      </c>
      <c r="AI818" s="31">
        <v>0</v>
      </c>
      <c r="AJ818" s="31">
        <v>0</v>
      </c>
      <c r="AK818" s="44">
        <f t="shared" si="24"/>
        <v>0</v>
      </c>
      <c r="AL818" t="e">
        <f>VLOOKUP(A818,'[1]prueba con 16mil datos'!$A$1:$AE$804,31,FALSE)</f>
        <v>#N/A</v>
      </c>
      <c r="AM818" t="e">
        <f t="shared" si="25"/>
        <v>#N/A</v>
      </c>
      <c r="AO818">
        <f>VLOOKUP(A818,'[1]Prueba con 19mil datos'!$B$1:$AF$1228,31,FALSE)</f>
        <v>0</v>
      </c>
    </row>
    <row r="819" spans="1:41" hidden="1" x14ac:dyDescent="0.25">
      <c r="A819" s="16" t="s">
        <v>451</v>
      </c>
      <c r="B819" s="15" t="s">
        <v>40</v>
      </c>
      <c r="C819" s="16">
        <v>1</v>
      </c>
      <c r="D819" s="16" t="s">
        <v>3142</v>
      </c>
      <c r="E819" s="17" t="s">
        <v>42</v>
      </c>
      <c r="F819" s="18" t="s">
        <v>391</v>
      </c>
      <c r="G819" s="18" t="s">
        <v>3143</v>
      </c>
      <c r="H819" s="16" t="s">
        <v>192</v>
      </c>
      <c r="I819" s="19" t="s">
        <v>3</v>
      </c>
      <c r="J819" s="16" t="s">
        <v>12</v>
      </c>
      <c r="K819" s="20" t="s">
        <v>198</v>
      </c>
      <c r="L819" s="20" t="s">
        <v>1353</v>
      </c>
      <c r="M819" s="16" t="s">
        <v>118</v>
      </c>
      <c r="N819" s="16">
        <v>0</v>
      </c>
      <c r="O819" s="16" t="s">
        <v>50</v>
      </c>
      <c r="P819" s="20">
        <v>89</v>
      </c>
      <c r="Q819" s="20" t="s">
        <v>51</v>
      </c>
      <c r="R819" s="21" t="s">
        <v>129</v>
      </c>
      <c r="S819" s="22" t="s">
        <v>130</v>
      </c>
      <c r="T819" s="22" t="s">
        <v>54</v>
      </c>
      <c r="U819" s="23" t="s">
        <v>226</v>
      </c>
      <c r="V819" s="24">
        <v>1.1000000000000001</v>
      </c>
      <c r="W819" s="25">
        <v>1501.5000000000002</v>
      </c>
      <c r="X819" s="26">
        <v>1</v>
      </c>
      <c r="Y819" s="27">
        <v>1.43</v>
      </c>
      <c r="Z819" s="23">
        <v>5</v>
      </c>
      <c r="AA819" s="28">
        <v>0.28599999999999998</v>
      </c>
      <c r="AB819" s="24">
        <v>0</v>
      </c>
      <c r="AC819" s="29">
        <v>0</v>
      </c>
      <c r="AD819" s="30">
        <v>43585</v>
      </c>
      <c r="AE819" s="30">
        <v>43585</v>
      </c>
      <c r="AF819" s="23">
        <v>0</v>
      </c>
      <c r="AG819" s="25" t="s">
        <v>56</v>
      </c>
      <c r="AH819" s="24">
        <v>0</v>
      </c>
      <c r="AI819" s="31">
        <v>0</v>
      </c>
      <c r="AJ819" s="31">
        <v>0</v>
      </c>
      <c r="AK819" s="44">
        <f t="shared" si="24"/>
        <v>1501.5000000000002</v>
      </c>
      <c r="AL819" t="e">
        <f>VLOOKUP(A819,'[1]prueba con 16mil datos'!$A$1:$AE$804,31,FALSE)</f>
        <v>#N/A</v>
      </c>
      <c r="AM819" t="e">
        <f t="shared" si="25"/>
        <v>#N/A</v>
      </c>
      <c r="AO819">
        <f>VLOOKUP(A819,'[1]Prueba con 19mil datos'!$B$1:$AF$1228,31,FALSE)</f>
        <v>0</v>
      </c>
    </row>
    <row r="820" spans="1:41" hidden="1" x14ac:dyDescent="0.25">
      <c r="A820" s="16" t="s">
        <v>2276</v>
      </c>
      <c r="B820" s="15" t="s">
        <v>40</v>
      </c>
      <c r="C820" s="16">
        <v>1</v>
      </c>
      <c r="D820" s="16" t="s">
        <v>3102</v>
      </c>
      <c r="E820" s="17" t="s">
        <v>42</v>
      </c>
      <c r="F820" s="18" t="s">
        <v>381</v>
      </c>
      <c r="G820" s="18" t="s">
        <v>3103</v>
      </c>
      <c r="H820" s="16" t="s">
        <v>115</v>
      </c>
      <c r="I820" s="19" t="s">
        <v>3</v>
      </c>
      <c r="J820" s="16" t="s">
        <v>12</v>
      </c>
      <c r="K820" s="20" t="s">
        <v>3105</v>
      </c>
      <c r="L820" s="20" t="s">
        <v>3106</v>
      </c>
      <c r="M820" s="16" t="s">
        <v>469</v>
      </c>
      <c r="N820" s="16">
        <v>0</v>
      </c>
      <c r="O820" s="16" t="s">
        <v>50</v>
      </c>
      <c r="P820" s="20">
        <v>326</v>
      </c>
      <c r="Q820" s="20" t="s">
        <v>51</v>
      </c>
      <c r="R820" s="21" t="s">
        <v>77</v>
      </c>
      <c r="S820" s="22" t="s">
        <v>53</v>
      </c>
      <c r="T820" s="22" t="s">
        <v>54</v>
      </c>
      <c r="U820" s="23" t="s">
        <v>55</v>
      </c>
      <c r="V820" s="24">
        <v>1.05</v>
      </c>
      <c r="W820" s="25">
        <v>750.75000000000011</v>
      </c>
      <c r="X820" s="26">
        <v>1</v>
      </c>
      <c r="Y820" s="27">
        <v>3.6</v>
      </c>
      <c r="Z820" s="23">
        <v>5</v>
      </c>
      <c r="AA820" s="28">
        <v>0.72</v>
      </c>
      <c r="AB820" s="24">
        <v>0</v>
      </c>
      <c r="AC820" s="29">
        <v>0</v>
      </c>
      <c r="AD820" s="30">
        <v>43585</v>
      </c>
      <c r="AE820" s="30">
        <v>43585</v>
      </c>
      <c r="AF820" s="23">
        <v>0</v>
      </c>
      <c r="AG820" s="25" t="s">
        <v>56</v>
      </c>
      <c r="AH820" s="24">
        <v>0</v>
      </c>
      <c r="AI820" s="31">
        <v>0</v>
      </c>
      <c r="AJ820" s="31">
        <v>0</v>
      </c>
      <c r="AK820" s="44">
        <f t="shared" si="24"/>
        <v>750.75000000000011</v>
      </c>
      <c r="AL820" t="e">
        <f>VLOOKUP(A820,'[1]prueba con 16mil datos'!$A$1:$AE$804,31,FALSE)</f>
        <v>#N/A</v>
      </c>
      <c r="AM820" t="e">
        <f t="shared" si="25"/>
        <v>#N/A</v>
      </c>
      <c r="AO820">
        <f>VLOOKUP(A820,'[1]Prueba con 19mil datos'!$B$1:$AF$1228,31,FALSE)</f>
        <v>0</v>
      </c>
    </row>
    <row r="821" spans="1:41" hidden="1" x14ac:dyDescent="0.25">
      <c r="A821" s="16" t="s">
        <v>2315</v>
      </c>
      <c r="B821" s="15" t="s">
        <v>40</v>
      </c>
      <c r="C821" s="16">
        <v>1</v>
      </c>
      <c r="D821" s="16" t="s">
        <v>3100</v>
      </c>
      <c r="E821" s="17" t="s">
        <v>42</v>
      </c>
      <c r="F821" s="18" t="s">
        <v>90</v>
      </c>
      <c r="G821" s="18" t="s">
        <v>3101</v>
      </c>
      <c r="H821" s="16" t="s">
        <v>61</v>
      </c>
      <c r="I821" s="19" t="s">
        <v>3</v>
      </c>
      <c r="J821" s="16" t="s">
        <v>12</v>
      </c>
      <c r="K821" s="20" t="s">
        <v>398</v>
      </c>
      <c r="L821" s="20" t="s">
        <v>399</v>
      </c>
      <c r="M821" s="16" t="s">
        <v>118</v>
      </c>
      <c r="N821" s="16">
        <v>0</v>
      </c>
      <c r="O821" s="16" t="s">
        <v>50</v>
      </c>
      <c r="P821" s="20">
        <v>24</v>
      </c>
      <c r="Q821" s="20" t="s">
        <v>119</v>
      </c>
      <c r="R821" s="21" t="s">
        <v>77</v>
      </c>
      <c r="S821" s="22" t="s">
        <v>53</v>
      </c>
      <c r="T821" s="22" t="s">
        <v>54</v>
      </c>
      <c r="U821" s="23" t="s">
        <v>120</v>
      </c>
      <c r="V821" s="24">
        <v>0.6</v>
      </c>
      <c r="W821" s="25">
        <v>429.00000000000006</v>
      </c>
      <c r="X821" s="26">
        <v>1</v>
      </c>
      <c r="Y821" s="27">
        <v>0</v>
      </c>
      <c r="Z821" s="23">
        <v>5</v>
      </c>
      <c r="AA821" s="28">
        <v>0</v>
      </c>
      <c r="AB821" s="24">
        <v>0</v>
      </c>
      <c r="AC821" s="29">
        <v>0</v>
      </c>
      <c r="AD821" s="30">
        <v>43585</v>
      </c>
      <c r="AE821" s="30">
        <v>43585</v>
      </c>
      <c r="AF821" s="23">
        <v>0</v>
      </c>
      <c r="AG821" s="25" t="s">
        <v>56</v>
      </c>
      <c r="AH821" s="24">
        <v>0</v>
      </c>
      <c r="AI821" s="31">
        <v>0</v>
      </c>
      <c r="AJ821" s="31">
        <v>0</v>
      </c>
      <c r="AK821" s="44">
        <f t="shared" si="24"/>
        <v>429.00000000000006</v>
      </c>
      <c r="AL821" t="e">
        <f>VLOOKUP(A821,'[1]prueba con 16mil datos'!$A$1:$AE$804,31,FALSE)</f>
        <v>#N/A</v>
      </c>
      <c r="AM821" t="e">
        <f t="shared" si="25"/>
        <v>#N/A</v>
      </c>
      <c r="AO821">
        <f>VLOOKUP(A821,'[1]Prueba con 19mil datos'!$B$1:$AF$1228,31,FALSE)</f>
        <v>0</v>
      </c>
    </row>
    <row r="822" spans="1:41" hidden="1" x14ac:dyDescent="0.25">
      <c r="A822" s="16" t="s">
        <v>2337</v>
      </c>
      <c r="B822" s="15" t="s">
        <v>40</v>
      </c>
      <c r="C822" s="16">
        <v>1</v>
      </c>
      <c r="D822" s="16" t="s">
        <v>3131</v>
      </c>
      <c r="E822" s="17" t="s">
        <v>42</v>
      </c>
      <c r="F822" s="18" t="s">
        <v>281</v>
      </c>
      <c r="G822" s="18" t="s">
        <v>3132</v>
      </c>
      <c r="H822" s="16" t="s">
        <v>463</v>
      </c>
      <c r="I822" s="19" t="s">
        <v>3</v>
      </c>
      <c r="J822" s="16" t="s">
        <v>12</v>
      </c>
      <c r="K822" s="20" t="s">
        <v>126</v>
      </c>
      <c r="L822" s="20" t="s">
        <v>595</v>
      </c>
      <c r="M822" s="16" t="s">
        <v>596</v>
      </c>
      <c r="N822" s="16">
        <v>0</v>
      </c>
      <c r="O822" s="16" t="s">
        <v>50</v>
      </c>
      <c r="P822" s="20">
        <v>298</v>
      </c>
      <c r="Q822" s="20" t="s">
        <v>51</v>
      </c>
      <c r="R822" s="21" t="s">
        <v>287</v>
      </c>
      <c r="S822" s="22" t="s">
        <v>288</v>
      </c>
      <c r="T822" s="22" t="s">
        <v>54</v>
      </c>
      <c r="U822" s="23" t="s">
        <v>550</v>
      </c>
      <c r="V822" s="24">
        <v>1.1499999999999999</v>
      </c>
      <c r="W822" s="25">
        <v>1808.95</v>
      </c>
      <c r="X822" s="26">
        <v>1</v>
      </c>
      <c r="Y822" s="27">
        <v>2.2000000000000002</v>
      </c>
      <c r="Z822" s="23">
        <v>4</v>
      </c>
      <c r="AA822" s="28">
        <v>0.55000000000000004</v>
      </c>
      <c r="AB822" s="24">
        <v>0</v>
      </c>
      <c r="AC822" s="29">
        <v>0</v>
      </c>
      <c r="AD822" s="30">
        <v>43585</v>
      </c>
      <c r="AE822" s="30">
        <v>43585</v>
      </c>
      <c r="AF822" s="23">
        <v>0</v>
      </c>
      <c r="AG822" s="25" t="s">
        <v>56</v>
      </c>
      <c r="AH822" s="24">
        <v>0</v>
      </c>
      <c r="AI822" s="31">
        <v>0</v>
      </c>
      <c r="AJ822" s="31">
        <v>0</v>
      </c>
      <c r="AK822" s="44">
        <f t="shared" si="24"/>
        <v>1808.95</v>
      </c>
      <c r="AL822" t="e">
        <f>VLOOKUP(A822,'[1]prueba con 16mil datos'!$A$1:$AE$804,31,FALSE)</f>
        <v>#N/A</v>
      </c>
      <c r="AM822" t="e">
        <f t="shared" si="25"/>
        <v>#N/A</v>
      </c>
      <c r="AO822">
        <f>VLOOKUP(A822,'[1]Prueba con 19mil datos'!$B$1:$AF$1228,31,FALSE)</f>
        <v>0</v>
      </c>
    </row>
    <row r="823" spans="1:41" hidden="1" x14ac:dyDescent="0.25">
      <c r="A823" s="16" t="s">
        <v>1081</v>
      </c>
      <c r="B823" s="15" t="s">
        <v>40</v>
      </c>
      <c r="C823" s="16">
        <v>1</v>
      </c>
      <c r="D823" s="16" t="s">
        <v>3116</v>
      </c>
      <c r="E823" s="17" t="s">
        <v>42</v>
      </c>
      <c r="F823" s="18" t="s">
        <v>663</v>
      </c>
      <c r="G823" s="18" t="s">
        <v>3117</v>
      </c>
      <c r="H823" s="16" t="s">
        <v>377</v>
      </c>
      <c r="I823" s="19" t="s">
        <v>3</v>
      </c>
      <c r="J823" s="16" t="s">
        <v>12</v>
      </c>
      <c r="K823" s="20" t="s">
        <v>378</v>
      </c>
      <c r="L823" s="20" t="s">
        <v>379</v>
      </c>
      <c r="M823" s="16" t="s">
        <v>128</v>
      </c>
      <c r="N823" s="16">
        <v>0</v>
      </c>
      <c r="O823" s="16" t="s">
        <v>50</v>
      </c>
      <c r="P823" s="20">
        <v>84</v>
      </c>
      <c r="Q823" s="20" t="s">
        <v>51</v>
      </c>
      <c r="R823" s="21" t="s">
        <v>87</v>
      </c>
      <c r="S823" s="22" t="s">
        <v>53</v>
      </c>
      <c r="T823" s="22" t="s">
        <v>54</v>
      </c>
      <c r="U823" s="23" t="s">
        <v>55</v>
      </c>
      <c r="V823" s="24">
        <v>1.05</v>
      </c>
      <c r="W823" s="25">
        <v>750.75000000000011</v>
      </c>
      <c r="X823" s="26">
        <v>1</v>
      </c>
      <c r="Y823" s="27">
        <v>0</v>
      </c>
      <c r="Z823" s="23">
        <v>5</v>
      </c>
      <c r="AA823" s="28">
        <v>0</v>
      </c>
      <c r="AB823" s="24">
        <v>0</v>
      </c>
      <c r="AC823" s="29">
        <v>0</v>
      </c>
      <c r="AD823" s="30">
        <v>43585</v>
      </c>
      <c r="AE823" s="30">
        <v>43585</v>
      </c>
      <c r="AF823" s="23">
        <v>0</v>
      </c>
      <c r="AG823" s="25" t="s">
        <v>56</v>
      </c>
      <c r="AH823" s="24">
        <v>0</v>
      </c>
      <c r="AI823" s="31">
        <v>0</v>
      </c>
      <c r="AJ823" s="31">
        <v>0</v>
      </c>
      <c r="AK823" s="44">
        <f t="shared" si="24"/>
        <v>750.75000000000011</v>
      </c>
      <c r="AL823" t="e">
        <f>VLOOKUP(A823,'[1]prueba con 16mil datos'!$A$1:$AE$804,31,FALSE)</f>
        <v>#N/A</v>
      </c>
      <c r="AM823" t="e">
        <f t="shared" si="25"/>
        <v>#N/A</v>
      </c>
      <c r="AO823">
        <f>VLOOKUP(A823,'[1]Prueba con 19mil datos'!$B$1:$AF$1228,31,FALSE)</f>
        <v>0</v>
      </c>
    </row>
    <row r="824" spans="1:41" hidden="1" x14ac:dyDescent="0.25">
      <c r="A824" s="16" t="s">
        <v>451</v>
      </c>
      <c r="B824" s="15" t="s">
        <v>40</v>
      </c>
      <c r="C824" s="16">
        <v>1</v>
      </c>
      <c r="D824" s="16" t="s">
        <v>3168</v>
      </c>
      <c r="E824" s="17" t="s">
        <v>42</v>
      </c>
      <c r="F824" s="18" t="s">
        <v>508</v>
      </c>
      <c r="G824" s="18" t="s">
        <v>3169</v>
      </c>
      <c r="H824" s="16" t="s">
        <v>317</v>
      </c>
      <c r="I824" s="19" t="s">
        <v>3</v>
      </c>
      <c r="J824" s="16" t="s">
        <v>12</v>
      </c>
      <c r="K824" s="20" t="s">
        <v>1432</v>
      </c>
      <c r="L824" s="20" t="s">
        <v>1433</v>
      </c>
      <c r="M824" s="16" t="s">
        <v>105</v>
      </c>
      <c r="N824" s="16">
        <v>0</v>
      </c>
      <c r="O824" s="16" t="s">
        <v>50</v>
      </c>
      <c r="P824" s="20">
        <v>974</v>
      </c>
      <c r="Q824" s="20" t="s">
        <v>51</v>
      </c>
      <c r="R824" s="21" t="s">
        <v>148</v>
      </c>
      <c r="S824" s="22" t="s">
        <v>130</v>
      </c>
      <c r="T824" s="22" t="s">
        <v>54</v>
      </c>
      <c r="U824" s="23" t="s">
        <v>226</v>
      </c>
      <c r="V824" s="24">
        <v>1.1000000000000001</v>
      </c>
      <c r="W824" s="25">
        <v>1501.5000000000002</v>
      </c>
      <c r="X824" s="26">
        <v>1</v>
      </c>
      <c r="Y824" s="27">
        <v>0.47</v>
      </c>
      <c r="Z824" s="23">
        <v>5</v>
      </c>
      <c r="AA824" s="28">
        <v>9.4E-2</v>
      </c>
      <c r="AB824" s="24">
        <v>0</v>
      </c>
      <c r="AC824" s="29">
        <v>0</v>
      </c>
      <c r="AD824" s="30">
        <v>43585</v>
      </c>
      <c r="AE824" s="30">
        <v>43585</v>
      </c>
      <c r="AF824" s="23">
        <v>0</v>
      </c>
      <c r="AG824" s="25" t="s">
        <v>56</v>
      </c>
      <c r="AH824" s="24">
        <v>0</v>
      </c>
      <c r="AI824" s="31">
        <v>0</v>
      </c>
      <c r="AJ824" s="31">
        <v>0</v>
      </c>
      <c r="AK824" s="44">
        <f t="shared" si="24"/>
        <v>1501.5000000000002</v>
      </c>
      <c r="AL824" t="e">
        <f>VLOOKUP(A824,'[1]prueba con 16mil datos'!$A$1:$AE$804,31,FALSE)</f>
        <v>#N/A</v>
      </c>
      <c r="AM824" t="e">
        <f t="shared" si="25"/>
        <v>#N/A</v>
      </c>
      <c r="AO824">
        <f>VLOOKUP(A824,'[1]Prueba con 19mil datos'!$B$1:$AF$1228,31,FALSE)</f>
        <v>0</v>
      </c>
    </row>
    <row r="825" spans="1:41" hidden="1" x14ac:dyDescent="0.25">
      <c r="A825" s="16" t="s">
        <v>2483</v>
      </c>
      <c r="B825" s="15" t="s">
        <v>40</v>
      </c>
      <c r="C825" s="16">
        <v>1</v>
      </c>
      <c r="D825" s="16" t="s">
        <v>3149</v>
      </c>
      <c r="E825" s="17" t="s">
        <v>42</v>
      </c>
      <c r="F825" s="18" t="s">
        <v>233</v>
      </c>
      <c r="G825" s="18" t="s">
        <v>3150</v>
      </c>
      <c r="H825" s="16" t="s">
        <v>73</v>
      </c>
      <c r="I825" s="19" t="s">
        <v>3</v>
      </c>
      <c r="J825" s="16" t="s">
        <v>12</v>
      </c>
      <c r="K825" s="20" t="s">
        <v>74</v>
      </c>
      <c r="L825" s="20" t="s">
        <v>2930</v>
      </c>
      <c r="M825" s="16" t="s">
        <v>2931</v>
      </c>
      <c r="N825" s="16">
        <v>0</v>
      </c>
      <c r="O825" s="16" t="s">
        <v>50</v>
      </c>
      <c r="P825" s="20">
        <v>7</v>
      </c>
      <c r="Q825" s="20" t="s">
        <v>65</v>
      </c>
      <c r="R825" s="21" t="s">
        <v>77</v>
      </c>
      <c r="S825" s="22" t="s">
        <v>53</v>
      </c>
      <c r="T825" s="22" t="s">
        <v>54</v>
      </c>
      <c r="U825" s="23" t="s">
        <v>1008</v>
      </c>
      <c r="V825" s="24">
        <v>0</v>
      </c>
      <c r="W825" s="25">
        <v>0</v>
      </c>
      <c r="X825" s="26">
        <v>1</v>
      </c>
      <c r="Y825" s="27">
        <v>2.62</v>
      </c>
      <c r="Z825" s="23">
        <v>5</v>
      </c>
      <c r="AA825" s="28">
        <v>0.52400000000000002</v>
      </c>
      <c r="AB825" s="24">
        <v>0</v>
      </c>
      <c r="AC825" s="29">
        <v>0</v>
      </c>
      <c r="AD825" s="30">
        <v>43585</v>
      </c>
      <c r="AE825" s="30">
        <v>43585</v>
      </c>
      <c r="AF825" s="23">
        <v>0</v>
      </c>
      <c r="AG825" s="25" t="s">
        <v>56</v>
      </c>
      <c r="AH825" s="24">
        <v>0</v>
      </c>
      <c r="AI825" s="31">
        <v>0</v>
      </c>
      <c r="AJ825" s="31">
        <v>0</v>
      </c>
      <c r="AK825" s="44">
        <f t="shared" si="24"/>
        <v>0</v>
      </c>
      <c r="AL825" t="e">
        <f>VLOOKUP(A825,'[1]prueba con 16mil datos'!$A$1:$AE$804,31,FALSE)</f>
        <v>#N/A</v>
      </c>
      <c r="AM825" t="e">
        <f t="shared" si="25"/>
        <v>#N/A</v>
      </c>
      <c r="AO825">
        <f>VLOOKUP(A825,'[1]Prueba con 19mil datos'!$B$1:$AF$1228,31,FALSE)</f>
        <v>0</v>
      </c>
    </row>
    <row r="826" spans="1:41" hidden="1" x14ac:dyDescent="0.25">
      <c r="A826" s="16" t="s">
        <v>2232</v>
      </c>
      <c r="B826" s="15" t="s">
        <v>40</v>
      </c>
      <c r="C826" s="16">
        <v>1</v>
      </c>
      <c r="D826" s="16" t="s">
        <v>3107</v>
      </c>
      <c r="E826" s="17" t="s">
        <v>42</v>
      </c>
      <c r="F826" s="18" t="s">
        <v>70</v>
      </c>
      <c r="G826" s="18" t="s">
        <v>3108</v>
      </c>
      <c r="H826" s="16" t="s">
        <v>463</v>
      </c>
      <c r="I826" s="19" t="s">
        <v>3</v>
      </c>
      <c r="J826" s="16" t="s">
        <v>12</v>
      </c>
      <c r="K826" s="20" t="s">
        <v>441</v>
      </c>
      <c r="L826" s="20" t="s">
        <v>3110</v>
      </c>
      <c r="M826" s="16" t="s">
        <v>596</v>
      </c>
      <c r="N826" s="16">
        <v>0</v>
      </c>
      <c r="O826" s="16" t="s">
        <v>50</v>
      </c>
      <c r="P826" s="20">
        <v>103</v>
      </c>
      <c r="Q826" s="20" t="s">
        <v>51</v>
      </c>
      <c r="R826" s="21" t="s">
        <v>77</v>
      </c>
      <c r="S826" s="22" t="s">
        <v>53</v>
      </c>
      <c r="T826" s="22" t="s">
        <v>54</v>
      </c>
      <c r="U826" s="23" t="s">
        <v>55</v>
      </c>
      <c r="V826" s="24">
        <v>1.05</v>
      </c>
      <c r="W826" s="25">
        <v>750.75000000000011</v>
      </c>
      <c r="X826" s="26">
        <v>1</v>
      </c>
      <c r="Y826" s="27">
        <v>0</v>
      </c>
      <c r="Z826" s="23">
        <v>5</v>
      </c>
      <c r="AA826" s="28">
        <v>0</v>
      </c>
      <c r="AB826" s="24">
        <v>0</v>
      </c>
      <c r="AC826" s="29">
        <v>0</v>
      </c>
      <c r="AD826" s="30">
        <v>43585</v>
      </c>
      <c r="AE826" s="30">
        <v>43585</v>
      </c>
      <c r="AF826" s="23">
        <v>0</v>
      </c>
      <c r="AG826" s="25" t="s">
        <v>56</v>
      </c>
      <c r="AH826" s="24">
        <v>0</v>
      </c>
      <c r="AI826" s="31">
        <v>0</v>
      </c>
      <c r="AJ826" s="31">
        <v>0</v>
      </c>
      <c r="AK826" s="44">
        <f t="shared" si="24"/>
        <v>750.75000000000011</v>
      </c>
      <c r="AL826" t="e">
        <f>VLOOKUP(A826,'[1]prueba con 16mil datos'!$A$1:$AE$804,31,FALSE)</f>
        <v>#N/A</v>
      </c>
      <c r="AM826" t="e">
        <f t="shared" si="25"/>
        <v>#N/A</v>
      </c>
      <c r="AO826">
        <f>VLOOKUP(A826,'[1]Prueba con 19mil datos'!$B$1:$AF$1228,31,FALSE)</f>
        <v>0</v>
      </c>
    </row>
    <row r="827" spans="1:41" hidden="1" x14ac:dyDescent="0.25">
      <c r="A827" s="16" t="s">
        <v>2540</v>
      </c>
      <c r="B827" s="15" t="s">
        <v>40</v>
      </c>
      <c r="C827" s="16">
        <v>1</v>
      </c>
      <c r="D827" s="16" t="s">
        <v>3139</v>
      </c>
      <c r="E827" s="17" t="s">
        <v>42</v>
      </c>
      <c r="F827" s="18" t="s">
        <v>913</v>
      </c>
      <c r="G827" s="18" t="s">
        <v>3140</v>
      </c>
      <c r="H827" s="16" t="s">
        <v>377</v>
      </c>
      <c r="I827" s="19" t="s">
        <v>3</v>
      </c>
      <c r="J827" s="16" t="s">
        <v>12</v>
      </c>
      <c r="K827" s="20" t="s">
        <v>378</v>
      </c>
      <c r="L827" s="20" t="s">
        <v>1542</v>
      </c>
      <c r="M827" s="16" t="s">
        <v>128</v>
      </c>
      <c r="N827" s="16">
        <v>0</v>
      </c>
      <c r="O827" s="16" t="s">
        <v>50</v>
      </c>
      <c r="P827" s="20">
        <v>255</v>
      </c>
      <c r="Q827" s="20" t="s">
        <v>51</v>
      </c>
      <c r="R827" s="21" t="s">
        <v>87</v>
      </c>
      <c r="S827" s="22" t="s">
        <v>53</v>
      </c>
      <c r="T827" s="22" t="s">
        <v>54</v>
      </c>
      <c r="U827" s="23" t="s">
        <v>55</v>
      </c>
      <c r="V827" s="24">
        <v>1.05</v>
      </c>
      <c r="W827" s="25">
        <v>750.75000000000011</v>
      </c>
      <c r="X827" s="26">
        <v>1</v>
      </c>
      <c r="Y827" s="27">
        <v>0</v>
      </c>
      <c r="Z827" s="23">
        <v>5</v>
      </c>
      <c r="AA827" s="28">
        <v>0</v>
      </c>
      <c r="AB827" s="24">
        <v>0</v>
      </c>
      <c r="AC827" s="29">
        <v>0</v>
      </c>
      <c r="AD827" s="30">
        <v>43585</v>
      </c>
      <c r="AE827" s="30">
        <v>43585</v>
      </c>
      <c r="AF827" s="23">
        <v>0</v>
      </c>
      <c r="AG827" s="25" t="s">
        <v>56</v>
      </c>
      <c r="AH827" s="24">
        <v>0</v>
      </c>
      <c r="AI827" s="31">
        <v>0</v>
      </c>
      <c r="AJ827" s="31">
        <v>0</v>
      </c>
      <c r="AK827" s="44">
        <f t="shared" si="24"/>
        <v>750.75000000000011</v>
      </c>
      <c r="AL827" t="e">
        <f>VLOOKUP(A827,'[1]prueba con 16mil datos'!$A$1:$AE$804,31,FALSE)</f>
        <v>#N/A</v>
      </c>
      <c r="AM827" t="e">
        <f t="shared" si="25"/>
        <v>#N/A</v>
      </c>
      <c r="AO827">
        <f>VLOOKUP(A827,'[1]Prueba con 19mil datos'!$B$1:$AF$1228,31,FALSE)</f>
        <v>0</v>
      </c>
    </row>
    <row r="828" spans="1:41" hidden="1" x14ac:dyDescent="0.25">
      <c r="A828" s="16" t="s">
        <v>2555</v>
      </c>
      <c r="B828" s="15" t="s">
        <v>40</v>
      </c>
      <c r="C828" s="16">
        <v>1</v>
      </c>
      <c r="D828" s="16" t="s">
        <v>3176</v>
      </c>
      <c r="E828" s="17" t="s">
        <v>42</v>
      </c>
      <c r="F828" s="18" t="s">
        <v>180</v>
      </c>
      <c r="G828" s="18" t="s">
        <v>3177</v>
      </c>
      <c r="H828" s="16" t="s">
        <v>125</v>
      </c>
      <c r="I828" s="19" t="s">
        <v>3</v>
      </c>
      <c r="J828" s="16" t="s">
        <v>12</v>
      </c>
      <c r="K828" s="20" t="s">
        <v>126</v>
      </c>
      <c r="L828" s="20" t="s">
        <v>3179</v>
      </c>
      <c r="M828" s="16" t="s">
        <v>128</v>
      </c>
      <c r="N828" s="16">
        <v>0</v>
      </c>
      <c r="O828" s="16" t="s">
        <v>50</v>
      </c>
      <c r="P828" s="20">
        <v>49</v>
      </c>
      <c r="Q828" s="20" t="s">
        <v>86</v>
      </c>
      <c r="R828" s="21" t="s">
        <v>186</v>
      </c>
      <c r="S828" s="22" t="s">
        <v>187</v>
      </c>
      <c r="T828" s="22" t="s">
        <v>54</v>
      </c>
      <c r="U828" s="23" t="s">
        <v>188</v>
      </c>
      <c r="V828" s="24">
        <v>1.1000000000000001</v>
      </c>
      <c r="W828" s="25">
        <v>1730.3000000000004</v>
      </c>
      <c r="X828" s="26">
        <v>1</v>
      </c>
      <c r="Y828" s="27">
        <v>0</v>
      </c>
      <c r="Z828" s="23">
        <v>4</v>
      </c>
      <c r="AA828" s="28">
        <v>0</v>
      </c>
      <c r="AB828" s="24">
        <v>0</v>
      </c>
      <c r="AC828" s="29">
        <v>0</v>
      </c>
      <c r="AD828" s="30">
        <v>43585</v>
      </c>
      <c r="AE828" s="30">
        <v>43585</v>
      </c>
      <c r="AF828" s="23">
        <v>0</v>
      </c>
      <c r="AG828" s="25" t="s">
        <v>56</v>
      </c>
      <c r="AH828" s="24">
        <v>0</v>
      </c>
      <c r="AI828" s="31">
        <v>0</v>
      </c>
      <c r="AJ828" s="31">
        <v>0</v>
      </c>
      <c r="AK828" s="44">
        <f t="shared" si="24"/>
        <v>1730.3000000000004</v>
      </c>
      <c r="AL828" t="e">
        <f>VLOOKUP(A828,'[1]prueba con 16mil datos'!$A$1:$AE$804,31,FALSE)</f>
        <v>#N/A</v>
      </c>
      <c r="AM828" t="e">
        <f t="shared" si="25"/>
        <v>#N/A</v>
      </c>
      <c r="AO828">
        <f>VLOOKUP(A828,'[1]Prueba con 19mil datos'!$B$1:$AF$1228,31,FALSE)</f>
        <v>0</v>
      </c>
    </row>
    <row r="829" spans="1:41" hidden="1" x14ac:dyDescent="0.25">
      <c r="A829" s="16" t="s">
        <v>2207</v>
      </c>
      <c r="B829" s="15" t="s">
        <v>40</v>
      </c>
      <c r="C829" s="16">
        <v>1</v>
      </c>
      <c r="D829" s="16" t="s">
        <v>3122</v>
      </c>
      <c r="E829" s="17" t="s">
        <v>42</v>
      </c>
      <c r="F829" s="18" t="s">
        <v>122</v>
      </c>
      <c r="G829" s="18" t="s">
        <v>3123</v>
      </c>
      <c r="H829" s="16" t="s">
        <v>213</v>
      </c>
      <c r="I829" s="19" t="s">
        <v>3</v>
      </c>
      <c r="J829" s="16" t="s">
        <v>12</v>
      </c>
      <c r="K829" s="20" t="s">
        <v>198</v>
      </c>
      <c r="L829" s="20" t="s">
        <v>1641</v>
      </c>
      <c r="M829" s="16" t="s">
        <v>479</v>
      </c>
      <c r="N829" s="16">
        <v>0</v>
      </c>
      <c r="O829" s="16" t="s">
        <v>50</v>
      </c>
      <c r="P829" s="20">
        <v>19</v>
      </c>
      <c r="Q829" s="20" t="s">
        <v>119</v>
      </c>
      <c r="R829" s="21" t="s">
        <v>129</v>
      </c>
      <c r="S829" s="22" t="s">
        <v>130</v>
      </c>
      <c r="T829" s="22" t="s">
        <v>54</v>
      </c>
      <c r="U829" s="23" t="s">
        <v>164</v>
      </c>
      <c r="V829" s="24">
        <v>0.8</v>
      </c>
      <c r="W829" s="25">
        <v>1092</v>
      </c>
      <c r="X829" s="26">
        <v>1</v>
      </c>
      <c r="Y829" s="27">
        <v>3.05</v>
      </c>
      <c r="Z829" s="23">
        <v>5</v>
      </c>
      <c r="AA829" s="28">
        <v>0.61</v>
      </c>
      <c r="AB829" s="24">
        <v>0</v>
      </c>
      <c r="AC829" s="29">
        <v>0</v>
      </c>
      <c r="AD829" s="30">
        <v>43585</v>
      </c>
      <c r="AE829" s="30">
        <v>43585</v>
      </c>
      <c r="AF829" s="23">
        <v>0</v>
      </c>
      <c r="AG829" s="25" t="s">
        <v>56</v>
      </c>
      <c r="AH829" s="24">
        <v>0</v>
      </c>
      <c r="AI829" s="31">
        <v>0</v>
      </c>
      <c r="AJ829" s="31">
        <v>0</v>
      </c>
      <c r="AK829" s="44">
        <f t="shared" si="24"/>
        <v>1092</v>
      </c>
      <c r="AL829" t="e">
        <f>VLOOKUP(A829,'[1]prueba con 16mil datos'!$A$1:$AE$804,31,FALSE)</f>
        <v>#N/A</v>
      </c>
      <c r="AM829" t="e">
        <f t="shared" si="25"/>
        <v>#N/A</v>
      </c>
      <c r="AO829">
        <f>VLOOKUP(A829,'[1]Prueba con 19mil datos'!$B$1:$AF$1228,31,FALSE)</f>
        <v>0</v>
      </c>
    </row>
    <row r="830" spans="1:41" hidden="1" x14ac:dyDescent="0.25">
      <c r="A830" s="16" t="s">
        <v>2606</v>
      </c>
      <c r="B830" s="15" t="s">
        <v>40</v>
      </c>
      <c r="C830" s="16">
        <v>1</v>
      </c>
      <c r="D830" s="16" t="s">
        <v>3124</v>
      </c>
      <c r="E830" s="17" t="s">
        <v>42</v>
      </c>
      <c r="F830" s="18" t="s">
        <v>122</v>
      </c>
      <c r="G830" s="18" t="s">
        <v>3125</v>
      </c>
      <c r="H830" s="16" t="s">
        <v>3126</v>
      </c>
      <c r="I830" s="19" t="s">
        <v>3</v>
      </c>
      <c r="J830" s="16" t="s">
        <v>12</v>
      </c>
      <c r="K830" s="20" t="s">
        <v>198</v>
      </c>
      <c r="L830" s="20" t="s">
        <v>371</v>
      </c>
      <c r="M830" s="16" t="s">
        <v>372</v>
      </c>
      <c r="N830" s="16">
        <v>0</v>
      </c>
      <c r="O830" s="16" t="s">
        <v>50</v>
      </c>
      <c r="P830" s="20">
        <v>10</v>
      </c>
      <c r="Q830" s="20" t="s">
        <v>65</v>
      </c>
      <c r="R830" s="21" t="s">
        <v>129</v>
      </c>
      <c r="S830" s="22" t="s">
        <v>130</v>
      </c>
      <c r="T830" s="22" t="s">
        <v>54</v>
      </c>
      <c r="U830" s="23" t="s">
        <v>131</v>
      </c>
      <c r="V830" s="24">
        <v>0.6</v>
      </c>
      <c r="W830" s="25">
        <v>819</v>
      </c>
      <c r="X830" s="26">
        <v>1</v>
      </c>
      <c r="Y830" s="27">
        <v>1.5</v>
      </c>
      <c r="Z830" s="23">
        <v>5</v>
      </c>
      <c r="AA830" s="28">
        <v>0.3</v>
      </c>
      <c r="AB830" s="24">
        <v>0</v>
      </c>
      <c r="AC830" s="29">
        <v>0</v>
      </c>
      <c r="AD830" s="30">
        <v>43585</v>
      </c>
      <c r="AE830" s="30">
        <v>43585</v>
      </c>
      <c r="AF830" s="23">
        <v>0</v>
      </c>
      <c r="AG830" s="25" t="s">
        <v>56</v>
      </c>
      <c r="AH830" s="24">
        <v>0</v>
      </c>
      <c r="AI830" s="31">
        <v>0</v>
      </c>
      <c r="AJ830" s="31">
        <v>0</v>
      </c>
      <c r="AK830" s="44">
        <f t="shared" si="24"/>
        <v>819</v>
      </c>
      <c r="AL830" t="e">
        <f>VLOOKUP(A830,'[1]prueba con 16mil datos'!$A$1:$AE$804,31,FALSE)</f>
        <v>#N/A</v>
      </c>
      <c r="AM830" t="e">
        <f t="shared" si="25"/>
        <v>#N/A</v>
      </c>
      <c r="AO830">
        <f>VLOOKUP(A830,'[1]Prueba con 19mil datos'!$B$1:$AF$1228,31,FALSE)</f>
        <v>0</v>
      </c>
    </row>
    <row r="831" spans="1:41" hidden="1" x14ac:dyDescent="0.25">
      <c r="A831" s="16" t="s">
        <v>2636</v>
      </c>
      <c r="B831" s="15" t="s">
        <v>40</v>
      </c>
      <c r="C831" s="16">
        <v>1</v>
      </c>
      <c r="D831" s="16" t="s">
        <v>3151</v>
      </c>
      <c r="E831" s="17" t="s">
        <v>42</v>
      </c>
      <c r="F831" s="18" t="s">
        <v>715</v>
      </c>
      <c r="G831" s="18" t="s">
        <v>3152</v>
      </c>
      <c r="H831" s="16" t="s">
        <v>338</v>
      </c>
      <c r="I831" s="19" t="s">
        <v>3</v>
      </c>
      <c r="J831" s="16" t="s">
        <v>12</v>
      </c>
      <c r="K831" s="20" t="s">
        <v>154</v>
      </c>
      <c r="L831" s="20" t="s">
        <v>3154</v>
      </c>
      <c r="M831" s="16" t="s">
        <v>1793</v>
      </c>
      <c r="N831" s="16">
        <v>0</v>
      </c>
      <c r="O831" s="16" t="s">
        <v>50</v>
      </c>
      <c r="P831" s="20">
        <v>104</v>
      </c>
      <c r="Q831" s="20" t="s">
        <v>51</v>
      </c>
      <c r="R831" s="21" t="s">
        <v>77</v>
      </c>
      <c r="S831" s="22" t="s">
        <v>53</v>
      </c>
      <c r="T831" s="22" t="s">
        <v>54</v>
      </c>
      <c r="U831" s="23" t="s">
        <v>55</v>
      </c>
      <c r="V831" s="24">
        <v>1.05</v>
      </c>
      <c r="W831" s="25">
        <v>750.75000000000011</v>
      </c>
      <c r="X831" s="26">
        <v>1</v>
      </c>
      <c r="Y831" s="27">
        <v>2.92</v>
      </c>
      <c r="Z831" s="23">
        <v>5</v>
      </c>
      <c r="AA831" s="28">
        <v>0.58399999999999996</v>
      </c>
      <c r="AB831" s="24">
        <v>0</v>
      </c>
      <c r="AC831" s="29">
        <v>0</v>
      </c>
      <c r="AD831" s="30">
        <v>43585</v>
      </c>
      <c r="AE831" s="30">
        <v>43585</v>
      </c>
      <c r="AF831" s="23">
        <v>0</v>
      </c>
      <c r="AG831" s="25" t="s">
        <v>56</v>
      </c>
      <c r="AH831" s="24">
        <v>0</v>
      </c>
      <c r="AI831" s="31">
        <v>0</v>
      </c>
      <c r="AJ831" s="31">
        <v>0</v>
      </c>
      <c r="AK831" s="44">
        <f t="shared" si="24"/>
        <v>750.75000000000011</v>
      </c>
      <c r="AL831" t="e">
        <f>VLOOKUP(A831,'[1]prueba con 16mil datos'!$A$1:$AE$804,31,FALSE)</f>
        <v>#N/A</v>
      </c>
      <c r="AM831" t="e">
        <f t="shared" si="25"/>
        <v>#N/A</v>
      </c>
      <c r="AO831">
        <f>VLOOKUP(A831,'[1]Prueba con 19mil datos'!$B$1:$AF$1228,31,FALSE)</f>
        <v>0</v>
      </c>
    </row>
    <row r="832" spans="1:41" hidden="1" x14ac:dyDescent="0.25">
      <c r="A832" s="16" t="s">
        <v>2690</v>
      </c>
      <c r="B832" s="15" t="s">
        <v>40</v>
      </c>
      <c r="C832" s="16">
        <v>1</v>
      </c>
      <c r="D832" s="16" t="s">
        <v>3166</v>
      </c>
      <c r="E832" s="17" t="s">
        <v>42</v>
      </c>
      <c r="F832" s="18" t="s">
        <v>233</v>
      </c>
      <c r="G832" s="18" t="s">
        <v>3167</v>
      </c>
      <c r="H832" s="16" t="s">
        <v>243</v>
      </c>
      <c r="I832" s="19" t="s">
        <v>3</v>
      </c>
      <c r="J832" s="16" t="s">
        <v>12</v>
      </c>
      <c r="K832" s="20" t="s">
        <v>637</v>
      </c>
      <c r="L832" s="20" t="s">
        <v>638</v>
      </c>
      <c r="M832" s="16" t="s">
        <v>429</v>
      </c>
      <c r="N832" s="16">
        <v>0</v>
      </c>
      <c r="O832" s="16" t="s">
        <v>50</v>
      </c>
      <c r="P832" s="20">
        <v>34</v>
      </c>
      <c r="Q832" s="20" t="s">
        <v>86</v>
      </c>
      <c r="R832" s="21" t="s">
        <v>77</v>
      </c>
      <c r="S832" s="22" t="s">
        <v>53</v>
      </c>
      <c r="T832" s="22" t="s">
        <v>54</v>
      </c>
      <c r="U832" s="23" t="s">
        <v>88</v>
      </c>
      <c r="V832" s="24">
        <v>0.8</v>
      </c>
      <c r="W832" s="25">
        <v>572.00000000000011</v>
      </c>
      <c r="X832" s="26">
        <v>1</v>
      </c>
      <c r="Y832" s="27">
        <v>2.35</v>
      </c>
      <c r="Z832" s="23">
        <v>5</v>
      </c>
      <c r="AA832" s="28">
        <v>0.47000000000000003</v>
      </c>
      <c r="AB832" s="24">
        <v>0</v>
      </c>
      <c r="AC832" s="29">
        <v>0</v>
      </c>
      <c r="AD832" s="30">
        <v>43585</v>
      </c>
      <c r="AE832" s="30">
        <v>43585</v>
      </c>
      <c r="AF832" s="23">
        <v>0</v>
      </c>
      <c r="AG832" s="25" t="s">
        <v>56</v>
      </c>
      <c r="AH832" s="24">
        <v>0</v>
      </c>
      <c r="AI832" s="31">
        <v>0</v>
      </c>
      <c r="AJ832" s="31">
        <v>0</v>
      </c>
      <c r="AK832" s="44">
        <f t="shared" si="24"/>
        <v>572.00000000000011</v>
      </c>
      <c r="AL832">
        <f>VLOOKUP(A832,'[1]prueba con 16mil datos'!$A$1:$AE$804,31,FALSE)</f>
        <v>1501.5</v>
      </c>
      <c r="AM832">
        <f t="shared" si="25"/>
        <v>0</v>
      </c>
      <c r="AO832">
        <f>VLOOKUP(A832,'[1]Prueba con 19mil datos'!$B$1:$AF$1228,31,FALSE)</f>
        <v>1501.5</v>
      </c>
    </row>
    <row r="833" spans="1:44" hidden="1" x14ac:dyDescent="0.25">
      <c r="A833" s="16" t="s">
        <v>2770</v>
      </c>
      <c r="B833" s="15" t="s">
        <v>40</v>
      </c>
      <c r="C833" s="16">
        <v>1</v>
      </c>
      <c r="D833" s="16" t="s">
        <v>3119</v>
      </c>
      <c r="E833" s="17" t="s">
        <v>42</v>
      </c>
      <c r="F833" s="18" t="s">
        <v>2850</v>
      </c>
      <c r="G833" s="18" t="s">
        <v>3120</v>
      </c>
      <c r="H833" s="16" t="s">
        <v>331</v>
      </c>
      <c r="I833" s="19" t="s">
        <v>3</v>
      </c>
      <c r="J833" s="16" t="s">
        <v>12</v>
      </c>
      <c r="K833" s="20" t="s">
        <v>1709</v>
      </c>
      <c r="L833" s="20" t="s">
        <v>1710</v>
      </c>
      <c r="M833" s="16" t="s">
        <v>429</v>
      </c>
      <c r="N833" s="16">
        <v>0</v>
      </c>
      <c r="O833" s="16" t="s">
        <v>50</v>
      </c>
      <c r="P833" s="20">
        <v>2702</v>
      </c>
      <c r="Q833" s="20" t="s">
        <v>51</v>
      </c>
      <c r="R833" s="21" t="s">
        <v>408</v>
      </c>
      <c r="S833" s="22" t="s">
        <v>53</v>
      </c>
      <c r="T833" s="22" t="s">
        <v>54</v>
      </c>
      <c r="U833" s="23" t="s">
        <v>55</v>
      </c>
      <c r="V833" s="24">
        <v>1.05</v>
      </c>
      <c r="W833" s="25">
        <v>750.75000000000011</v>
      </c>
      <c r="X833" s="26">
        <v>1</v>
      </c>
      <c r="Y833" s="27">
        <v>1.25</v>
      </c>
      <c r="Z833" s="23">
        <v>5</v>
      </c>
      <c r="AA833" s="28">
        <v>0.25</v>
      </c>
      <c r="AB833" s="24">
        <v>0</v>
      </c>
      <c r="AC833" s="29">
        <v>0</v>
      </c>
      <c r="AD833" s="30">
        <v>43585</v>
      </c>
      <c r="AE833" s="30">
        <v>43585</v>
      </c>
      <c r="AF833" s="23">
        <v>0</v>
      </c>
      <c r="AG833" s="25" t="s">
        <v>56</v>
      </c>
      <c r="AH833" s="24">
        <v>0</v>
      </c>
      <c r="AI833" s="31">
        <v>0</v>
      </c>
      <c r="AJ833" s="31">
        <v>0</v>
      </c>
      <c r="AK833" s="44">
        <f t="shared" si="24"/>
        <v>750.75000000000011</v>
      </c>
      <c r="AL833" t="e">
        <f>VLOOKUP(A833,'[1]prueba con 16mil datos'!$A$1:$AE$804,31,FALSE)</f>
        <v>#N/A</v>
      </c>
      <c r="AM833" t="e">
        <f t="shared" si="25"/>
        <v>#N/A</v>
      </c>
      <c r="AO833">
        <f>VLOOKUP(A833,'[1]Prueba con 19mil datos'!$B$1:$AF$1228,31,FALSE)</f>
        <v>0</v>
      </c>
    </row>
    <row r="834" spans="1:44" hidden="1" x14ac:dyDescent="0.25">
      <c r="A834" s="16" t="s">
        <v>2821</v>
      </c>
      <c r="B834" s="15" t="s">
        <v>40</v>
      </c>
      <c r="C834" s="16">
        <v>1</v>
      </c>
      <c r="D834" s="16" t="s">
        <v>3171</v>
      </c>
      <c r="E834" s="17" t="s">
        <v>42</v>
      </c>
      <c r="F834" s="18" t="s">
        <v>471</v>
      </c>
      <c r="G834" s="18" t="s">
        <v>3172</v>
      </c>
      <c r="H834" s="16" t="s">
        <v>301</v>
      </c>
      <c r="I834" s="19" t="s">
        <v>3</v>
      </c>
      <c r="J834" s="16" t="s">
        <v>12</v>
      </c>
      <c r="K834" s="20" t="s">
        <v>265</v>
      </c>
      <c r="L834" s="20" t="s">
        <v>474</v>
      </c>
      <c r="M834" s="16" t="s">
        <v>267</v>
      </c>
      <c r="N834" s="16">
        <v>0</v>
      </c>
      <c r="O834" s="16" t="s">
        <v>50</v>
      </c>
      <c r="P834" s="20">
        <v>18</v>
      </c>
      <c r="Q834" s="20" t="s">
        <v>119</v>
      </c>
      <c r="R834" s="21" t="s">
        <v>186</v>
      </c>
      <c r="S834" s="22" t="s">
        <v>187</v>
      </c>
      <c r="T834" s="22" t="s">
        <v>54</v>
      </c>
      <c r="U834" s="23" t="s">
        <v>269</v>
      </c>
      <c r="V834" s="24">
        <v>1.05</v>
      </c>
      <c r="W834" s="25">
        <v>1651.6500000000003</v>
      </c>
      <c r="X834" s="26">
        <v>1</v>
      </c>
      <c r="Y834" s="27">
        <v>1.33</v>
      </c>
      <c r="Z834" s="23">
        <v>4</v>
      </c>
      <c r="AA834" s="28">
        <v>0.33250000000000002</v>
      </c>
      <c r="AB834" s="24">
        <v>0</v>
      </c>
      <c r="AC834" s="29">
        <v>0</v>
      </c>
      <c r="AD834" s="30">
        <v>43585</v>
      </c>
      <c r="AE834" s="30">
        <v>43585</v>
      </c>
      <c r="AF834" s="23">
        <v>0</v>
      </c>
      <c r="AG834" s="25" t="s">
        <v>56</v>
      </c>
      <c r="AH834" s="24">
        <v>0</v>
      </c>
      <c r="AI834" s="31">
        <v>0</v>
      </c>
      <c r="AJ834" s="31">
        <v>0</v>
      </c>
      <c r="AK834" s="44">
        <f t="shared" ref="AK834:AK841" si="26">+W834+AC834</f>
        <v>1651.6500000000003</v>
      </c>
      <c r="AL834" t="e">
        <f>VLOOKUP(A834,'[1]prueba con 16mil datos'!$A$1:$AE$804,31,FALSE)</f>
        <v>#N/A</v>
      </c>
      <c r="AM834" t="e">
        <f t="shared" ref="AM834:AM841" si="27">IF(AK834=AL834,1,0)</f>
        <v>#N/A</v>
      </c>
      <c r="AO834">
        <f>VLOOKUP(A834,'[1]Prueba con 19mil datos'!$B$1:$AF$1228,31,FALSE)</f>
        <v>0</v>
      </c>
    </row>
    <row r="835" spans="1:44" hidden="1" x14ac:dyDescent="0.25">
      <c r="A835" s="16" t="s">
        <v>2840</v>
      </c>
      <c r="B835" s="15" t="s">
        <v>40</v>
      </c>
      <c r="C835" s="16">
        <v>1</v>
      </c>
      <c r="D835" s="16" t="s">
        <v>3127</v>
      </c>
      <c r="E835" s="17" t="s">
        <v>42</v>
      </c>
      <c r="F835" s="18" t="s">
        <v>290</v>
      </c>
      <c r="G835" s="18" t="s">
        <v>3128</v>
      </c>
      <c r="H835" s="16" t="s">
        <v>660</v>
      </c>
      <c r="I835" s="19" t="s">
        <v>3</v>
      </c>
      <c r="J835" s="16" t="s">
        <v>12</v>
      </c>
      <c r="K835" s="20" t="s">
        <v>294</v>
      </c>
      <c r="L835" s="20" t="s">
        <v>3130</v>
      </c>
      <c r="M835" s="16" t="s">
        <v>555</v>
      </c>
      <c r="N835" s="16">
        <v>0</v>
      </c>
      <c r="O835" s="16" t="s">
        <v>50</v>
      </c>
      <c r="P835" s="20">
        <v>491</v>
      </c>
      <c r="Q835" s="20" t="s">
        <v>51</v>
      </c>
      <c r="R835" s="21" t="s">
        <v>129</v>
      </c>
      <c r="S835" s="22" t="s">
        <v>130</v>
      </c>
      <c r="T835" s="22" t="s">
        <v>54</v>
      </c>
      <c r="U835" s="23" t="s">
        <v>226</v>
      </c>
      <c r="V835" s="24">
        <v>1.1000000000000001</v>
      </c>
      <c r="W835" s="25">
        <v>1501.5000000000002</v>
      </c>
      <c r="X835" s="26">
        <v>1</v>
      </c>
      <c r="Y835" s="27">
        <v>2.1800000000000002</v>
      </c>
      <c r="Z835" s="23">
        <v>5</v>
      </c>
      <c r="AA835" s="28">
        <v>0.43600000000000005</v>
      </c>
      <c r="AB835" s="24">
        <v>0</v>
      </c>
      <c r="AC835" s="29">
        <v>0</v>
      </c>
      <c r="AD835" s="30">
        <v>43585</v>
      </c>
      <c r="AE835" s="30">
        <v>43585</v>
      </c>
      <c r="AF835" s="23">
        <v>0</v>
      </c>
      <c r="AG835" s="25" t="s">
        <v>56</v>
      </c>
      <c r="AH835" s="24">
        <v>0</v>
      </c>
      <c r="AI835" s="31">
        <v>0</v>
      </c>
      <c r="AJ835" s="31">
        <v>0</v>
      </c>
      <c r="AK835" s="44">
        <f t="shared" si="26"/>
        <v>1501.5000000000002</v>
      </c>
      <c r="AL835" t="e">
        <f>VLOOKUP(A835,'[1]prueba con 16mil datos'!$A$1:$AE$804,31,FALSE)</f>
        <v>#N/A</v>
      </c>
      <c r="AM835" t="e">
        <f t="shared" si="27"/>
        <v>#N/A</v>
      </c>
      <c r="AO835">
        <f>VLOOKUP(A835,'[1]Prueba con 19mil datos'!$B$1:$AF$1228,31,FALSE)</f>
        <v>0</v>
      </c>
    </row>
    <row r="836" spans="1:44" hidden="1" x14ac:dyDescent="0.25">
      <c r="A836" s="16" t="s">
        <v>2948</v>
      </c>
      <c r="B836" s="15" t="s">
        <v>40</v>
      </c>
      <c r="C836" s="16">
        <v>1</v>
      </c>
      <c r="D836" s="16" t="s">
        <v>3147</v>
      </c>
      <c r="E836" s="17" t="s">
        <v>42</v>
      </c>
      <c r="F836" s="18" t="s">
        <v>305</v>
      </c>
      <c r="G836" s="18" t="s">
        <v>3148</v>
      </c>
      <c r="H836" s="16" t="s">
        <v>236</v>
      </c>
      <c r="I836" s="19" t="s">
        <v>3</v>
      </c>
      <c r="J836" s="16" t="s">
        <v>12</v>
      </c>
      <c r="K836" s="20" t="s">
        <v>378</v>
      </c>
      <c r="L836" s="20" t="s">
        <v>1246</v>
      </c>
      <c r="M836" s="16" t="s">
        <v>105</v>
      </c>
      <c r="N836" s="16">
        <v>0</v>
      </c>
      <c r="O836" s="16" t="s">
        <v>50</v>
      </c>
      <c r="P836" s="20">
        <v>19</v>
      </c>
      <c r="Q836" s="20" t="s">
        <v>119</v>
      </c>
      <c r="R836" s="21" t="s">
        <v>148</v>
      </c>
      <c r="S836" s="22" t="s">
        <v>130</v>
      </c>
      <c r="T836" s="22" t="s">
        <v>54</v>
      </c>
      <c r="U836" s="23" t="s">
        <v>164</v>
      </c>
      <c r="V836" s="24">
        <v>0.8</v>
      </c>
      <c r="W836" s="25">
        <v>1092</v>
      </c>
      <c r="X836" s="26">
        <v>1</v>
      </c>
      <c r="Y836" s="27">
        <v>0.87</v>
      </c>
      <c r="Z836" s="23">
        <v>5</v>
      </c>
      <c r="AA836" s="28">
        <v>0.17399999999999999</v>
      </c>
      <c r="AB836" s="24">
        <v>0</v>
      </c>
      <c r="AC836" s="29">
        <v>0</v>
      </c>
      <c r="AD836" s="30">
        <v>43585</v>
      </c>
      <c r="AE836" s="30">
        <v>43585</v>
      </c>
      <c r="AF836" s="23">
        <v>0</v>
      </c>
      <c r="AG836" s="25" t="s">
        <v>56</v>
      </c>
      <c r="AH836" s="24">
        <v>0</v>
      </c>
      <c r="AI836" s="31">
        <v>0</v>
      </c>
      <c r="AJ836" s="31">
        <v>0</v>
      </c>
      <c r="AK836" s="44">
        <f t="shared" si="26"/>
        <v>1092</v>
      </c>
      <c r="AL836" t="e">
        <f>VLOOKUP(A836,'[1]prueba con 16mil datos'!$A$1:$AE$804,31,FALSE)</f>
        <v>#N/A</v>
      </c>
      <c r="AM836" t="e">
        <f t="shared" si="27"/>
        <v>#N/A</v>
      </c>
      <c r="AO836">
        <f>VLOOKUP(A836,'[1]Prueba con 19mil datos'!$B$1:$AF$1228,31,FALSE)</f>
        <v>0</v>
      </c>
    </row>
    <row r="837" spans="1:44" hidden="1" x14ac:dyDescent="0.25">
      <c r="A837" s="16" t="s">
        <v>2951</v>
      </c>
      <c r="B837" s="15" t="s">
        <v>40</v>
      </c>
      <c r="C837" s="16">
        <v>1</v>
      </c>
      <c r="D837" s="16" t="s">
        <v>3097</v>
      </c>
      <c r="E837" s="17" t="s">
        <v>42</v>
      </c>
      <c r="F837" s="18" t="s">
        <v>953</v>
      </c>
      <c r="G837" s="18" t="s">
        <v>3098</v>
      </c>
      <c r="H837" s="16" t="s">
        <v>243</v>
      </c>
      <c r="I837" s="19" t="s">
        <v>3</v>
      </c>
      <c r="J837" s="16" t="s">
        <v>12</v>
      </c>
      <c r="K837" s="20" t="s">
        <v>198</v>
      </c>
      <c r="L837" s="20" t="s">
        <v>683</v>
      </c>
      <c r="M837" s="16" t="s">
        <v>372</v>
      </c>
      <c r="N837" s="16">
        <v>0</v>
      </c>
      <c r="O837" s="16" t="s">
        <v>50</v>
      </c>
      <c r="P837" s="20">
        <v>56</v>
      </c>
      <c r="Q837" s="20" t="s">
        <v>86</v>
      </c>
      <c r="R837" s="21" t="s">
        <v>186</v>
      </c>
      <c r="S837" s="22" t="s">
        <v>187</v>
      </c>
      <c r="T837" s="22" t="s">
        <v>54</v>
      </c>
      <c r="U837" s="23" t="s">
        <v>188</v>
      </c>
      <c r="V837" s="24">
        <v>1.1000000000000001</v>
      </c>
      <c r="W837" s="25">
        <v>1730.3000000000004</v>
      </c>
      <c r="X837" s="26">
        <v>1</v>
      </c>
      <c r="Y837" s="27">
        <v>0.72</v>
      </c>
      <c r="Z837" s="23">
        <v>4</v>
      </c>
      <c r="AA837" s="28">
        <v>0.18</v>
      </c>
      <c r="AB837" s="24">
        <v>0</v>
      </c>
      <c r="AC837" s="29">
        <v>0</v>
      </c>
      <c r="AD837" s="30">
        <v>43585</v>
      </c>
      <c r="AE837" s="30">
        <v>43585</v>
      </c>
      <c r="AF837" s="23">
        <v>0</v>
      </c>
      <c r="AG837" s="25" t="s">
        <v>56</v>
      </c>
      <c r="AH837" s="24">
        <v>0</v>
      </c>
      <c r="AI837" s="31">
        <v>0</v>
      </c>
      <c r="AJ837" s="31">
        <v>0</v>
      </c>
      <c r="AK837" s="44">
        <f t="shared" si="26"/>
        <v>1730.3000000000004</v>
      </c>
      <c r="AL837" t="e">
        <f>VLOOKUP(A837,'[1]prueba con 16mil datos'!$A$1:$AE$804,31,FALSE)</f>
        <v>#N/A</v>
      </c>
      <c r="AM837" t="e">
        <f t="shared" si="27"/>
        <v>#N/A</v>
      </c>
      <c r="AO837">
        <f>VLOOKUP(A837,'[1]Prueba con 19mil datos'!$B$1:$AF$1228,31,FALSE)</f>
        <v>0</v>
      </c>
    </row>
    <row r="838" spans="1:44" hidden="1" x14ac:dyDescent="0.25">
      <c r="A838" s="16" t="s">
        <v>2992</v>
      </c>
      <c r="B838" s="15" t="s">
        <v>40</v>
      </c>
      <c r="C838" s="16">
        <v>1</v>
      </c>
      <c r="D838" s="16" t="s">
        <v>3162</v>
      </c>
      <c r="E838" s="17" t="s">
        <v>42</v>
      </c>
      <c r="F838" s="18" t="s">
        <v>140</v>
      </c>
      <c r="G838" s="18" t="s">
        <v>3163</v>
      </c>
      <c r="H838" s="16" t="s">
        <v>693</v>
      </c>
      <c r="I838" s="19" t="s">
        <v>3</v>
      </c>
      <c r="J838" s="16" t="s">
        <v>12</v>
      </c>
      <c r="K838" s="20" t="s">
        <v>308</v>
      </c>
      <c r="L838" s="20" t="s">
        <v>3165</v>
      </c>
      <c r="M838" s="16" t="s">
        <v>695</v>
      </c>
      <c r="N838" s="16">
        <v>0</v>
      </c>
      <c r="O838" s="16" t="s">
        <v>50</v>
      </c>
      <c r="P838" s="20">
        <v>69</v>
      </c>
      <c r="Q838" s="20" t="s">
        <v>51</v>
      </c>
      <c r="R838" s="21" t="s">
        <v>148</v>
      </c>
      <c r="S838" s="22" t="s">
        <v>130</v>
      </c>
      <c r="T838" s="22" t="s">
        <v>54</v>
      </c>
      <c r="U838" s="23" t="s">
        <v>226</v>
      </c>
      <c r="V838" s="24">
        <v>1.1000000000000001</v>
      </c>
      <c r="W838" s="25">
        <v>1501.5000000000002</v>
      </c>
      <c r="X838" s="26">
        <v>1</v>
      </c>
      <c r="Y838" s="27">
        <v>2.2000000000000002</v>
      </c>
      <c r="Z838" s="23">
        <v>5</v>
      </c>
      <c r="AA838" s="28">
        <v>0.44000000000000006</v>
      </c>
      <c r="AB838" s="24">
        <v>0</v>
      </c>
      <c r="AC838" s="29">
        <v>0</v>
      </c>
      <c r="AD838" s="30">
        <v>43585</v>
      </c>
      <c r="AE838" s="30">
        <v>43585</v>
      </c>
      <c r="AF838" s="23">
        <v>0</v>
      </c>
      <c r="AG838" s="25" t="s">
        <v>56</v>
      </c>
      <c r="AH838" s="24">
        <v>0</v>
      </c>
      <c r="AI838" s="31">
        <v>0</v>
      </c>
      <c r="AJ838" s="31">
        <v>0</v>
      </c>
      <c r="AK838" s="44">
        <f t="shared" si="26"/>
        <v>1501.5000000000002</v>
      </c>
      <c r="AL838" t="e">
        <f>VLOOKUP(A838,'[1]prueba con 16mil datos'!$A$1:$AE$804,31,FALSE)</f>
        <v>#N/A</v>
      </c>
      <c r="AM838" t="e">
        <f t="shared" si="27"/>
        <v>#N/A</v>
      </c>
      <c r="AO838">
        <f>VLOOKUP(A838,'[1]Prueba con 19mil datos'!$B$1:$AF$1228,31,FALSE)</f>
        <v>750.75</v>
      </c>
    </row>
    <row r="839" spans="1:44" hidden="1" x14ac:dyDescent="0.25">
      <c r="A839" s="16" t="s">
        <v>2232</v>
      </c>
      <c r="B839" s="15" t="s">
        <v>40</v>
      </c>
      <c r="C839" s="16">
        <v>1</v>
      </c>
      <c r="D839" s="16" t="s">
        <v>3134</v>
      </c>
      <c r="E839" s="17" t="s">
        <v>321</v>
      </c>
      <c r="F839" s="18" t="s">
        <v>2662</v>
      </c>
      <c r="G839" s="18" t="s">
        <v>3135</v>
      </c>
      <c r="H839" s="16" t="s">
        <v>153</v>
      </c>
      <c r="I839" s="19" t="s">
        <v>3</v>
      </c>
      <c r="J839" s="16" t="s">
        <v>12</v>
      </c>
      <c r="K839" s="20" t="s">
        <v>678</v>
      </c>
      <c r="L839" s="20" t="s">
        <v>3137</v>
      </c>
      <c r="M839" s="16" t="s">
        <v>3138</v>
      </c>
      <c r="N839" s="16">
        <v>0</v>
      </c>
      <c r="O839" s="16" t="s">
        <v>50</v>
      </c>
      <c r="P839" s="20" t="s">
        <v>326</v>
      </c>
      <c r="Q839" s="20" t="s">
        <v>51</v>
      </c>
      <c r="R839" s="21" t="s">
        <v>851</v>
      </c>
      <c r="S839" s="22" t="s">
        <v>53</v>
      </c>
      <c r="T839" s="22" t="s">
        <v>54</v>
      </c>
      <c r="U839" s="23" t="s">
        <v>55</v>
      </c>
      <c r="V839" s="24">
        <v>1</v>
      </c>
      <c r="W839" s="25">
        <v>1072.5000000000002</v>
      </c>
      <c r="X839" s="26">
        <v>0</v>
      </c>
      <c r="Y839" s="27">
        <v>5</v>
      </c>
      <c r="Z839" s="23">
        <v>5</v>
      </c>
      <c r="AA839" s="28">
        <v>1</v>
      </c>
      <c r="AB839" s="24">
        <v>0</v>
      </c>
      <c r="AC839" s="29">
        <v>0</v>
      </c>
      <c r="AD839" s="30">
        <v>43585</v>
      </c>
      <c r="AE839" s="30">
        <v>43585</v>
      </c>
      <c r="AF839" s="23">
        <v>0</v>
      </c>
      <c r="AG839" s="25" t="s">
        <v>56</v>
      </c>
      <c r="AH839" s="24">
        <v>0</v>
      </c>
      <c r="AI839" s="31">
        <v>0</v>
      </c>
      <c r="AJ839" s="31">
        <v>0</v>
      </c>
      <c r="AK839" s="44">
        <f t="shared" si="26"/>
        <v>1072.5000000000002</v>
      </c>
      <c r="AL839" t="e">
        <f>VLOOKUP(A839,'[1]prueba con 16mil datos'!$A$1:$AE$804,31,FALSE)</f>
        <v>#N/A</v>
      </c>
      <c r="AM839" t="e">
        <f t="shared" si="27"/>
        <v>#N/A</v>
      </c>
      <c r="AO839">
        <f>VLOOKUP(A839,'[1]Prueba con 19mil datos'!$B$1:$AF$1228,31,FALSE)</f>
        <v>0</v>
      </c>
    </row>
    <row r="840" spans="1:44" hidden="1" x14ac:dyDescent="0.25">
      <c r="A840" s="16" t="s">
        <v>3060</v>
      </c>
      <c r="B840" s="15" t="s">
        <v>40</v>
      </c>
      <c r="C840" s="16">
        <v>1</v>
      </c>
      <c r="D840" s="16" t="s">
        <v>3155</v>
      </c>
      <c r="E840" s="17" t="s">
        <v>42</v>
      </c>
      <c r="F840" s="18" t="s">
        <v>90</v>
      </c>
      <c r="G840" s="18" t="s">
        <v>3156</v>
      </c>
      <c r="H840" s="16" t="s">
        <v>621</v>
      </c>
      <c r="I840" s="19" t="s">
        <v>3</v>
      </c>
      <c r="J840" s="16" t="s">
        <v>12</v>
      </c>
      <c r="K840" s="20" t="s">
        <v>3158</v>
      </c>
      <c r="L840" s="20" t="s">
        <v>3159</v>
      </c>
      <c r="M840" s="16" t="s">
        <v>447</v>
      </c>
      <c r="N840" s="16">
        <v>0</v>
      </c>
      <c r="O840" s="16" t="s">
        <v>50</v>
      </c>
      <c r="P840" s="20">
        <v>2706</v>
      </c>
      <c r="Q840" s="20" t="s">
        <v>51</v>
      </c>
      <c r="R840" s="21" t="s">
        <v>77</v>
      </c>
      <c r="S840" s="22" t="s">
        <v>53</v>
      </c>
      <c r="T840" s="22" t="s">
        <v>54</v>
      </c>
      <c r="U840" s="23" t="s">
        <v>55</v>
      </c>
      <c r="V840" s="24">
        <v>1.05</v>
      </c>
      <c r="W840" s="25">
        <v>750.75000000000011</v>
      </c>
      <c r="X840" s="26">
        <v>1</v>
      </c>
      <c r="Y840" s="27">
        <v>1.65</v>
      </c>
      <c r="Z840" s="23">
        <v>5</v>
      </c>
      <c r="AA840" s="28">
        <v>0.32999999999999996</v>
      </c>
      <c r="AB840" s="24">
        <v>0</v>
      </c>
      <c r="AC840" s="29">
        <v>0</v>
      </c>
      <c r="AD840" s="30">
        <v>43585</v>
      </c>
      <c r="AE840" s="30">
        <v>43585</v>
      </c>
      <c r="AF840" s="23">
        <v>0</v>
      </c>
      <c r="AG840" s="25" t="s">
        <v>56</v>
      </c>
      <c r="AH840" s="24">
        <v>0</v>
      </c>
      <c r="AI840" s="31">
        <v>0</v>
      </c>
      <c r="AJ840" s="31">
        <v>0</v>
      </c>
      <c r="AK840" s="44">
        <f t="shared" si="26"/>
        <v>750.75000000000011</v>
      </c>
      <c r="AL840" t="e">
        <f>VLOOKUP(A840,'[1]prueba con 16mil datos'!$A$1:$AE$804,31,FALSE)</f>
        <v>#N/A</v>
      </c>
      <c r="AM840" t="e">
        <f t="shared" si="27"/>
        <v>#N/A</v>
      </c>
      <c r="AO840">
        <f>VLOOKUP(A840,'[1]Prueba con 19mil datos'!$B$1:$AF$1228,31,FALSE)</f>
        <v>0</v>
      </c>
    </row>
    <row r="841" spans="1:44" x14ac:dyDescent="0.25">
      <c r="A841" s="16" t="s">
        <v>3063</v>
      </c>
      <c r="B841" s="15" t="s">
        <v>40</v>
      </c>
      <c r="C841" s="16">
        <v>1</v>
      </c>
      <c r="D841" s="16" t="s">
        <v>3160</v>
      </c>
      <c r="E841" s="17" t="s">
        <v>42</v>
      </c>
      <c r="F841" s="18" t="s">
        <v>528</v>
      </c>
      <c r="G841" s="18" t="s">
        <v>3161</v>
      </c>
      <c r="H841" s="16" t="s">
        <v>821</v>
      </c>
      <c r="I841" s="19" t="s">
        <v>3</v>
      </c>
      <c r="J841" s="16" t="s">
        <v>12</v>
      </c>
      <c r="K841" s="20" t="s">
        <v>1052</v>
      </c>
      <c r="L841" s="20" t="s">
        <v>1053</v>
      </c>
      <c r="M841" s="16" t="s">
        <v>1054</v>
      </c>
      <c r="N841" s="16">
        <v>0</v>
      </c>
      <c r="O841" s="16" t="s">
        <v>50</v>
      </c>
      <c r="P841" s="20">
        <v>20</v>
      </c>
      <c r="Q841" s="20" t="s">
        <v>119</v>
      </c>
      <c r="R841" s="21" t="s">
        <v>148</v>
      </c>
      <c r="S841" s="22" t="s">
        <v>130</v>
      </c>
      <c r="T841" s="22" t="s">
        <v>54</v>
      </c>
      <c r="U841" s="23" t="s">
        <v>164</v>
      </c>
      <c r="V841" s="24">
        <v>0.8</v>
      </c>
      <c r="W841" s="25">
        <v>1092</v>
      </c>
      <c r="X841" s="26">
        <v>1</v>
      </c>
      <c r="Y841" s="27">
        <v>9.16</v>
      </c>
      <c r="Z841" s="23">
        <v>5</v>
      </c>
      <c r="AA841" s="28">
        <v>1.8320000000000001</v>
      </c>
      <c r="AB841" s="24">
        <v>0.20800000000000002</v>
      </c>
      <c r="AC841" s="29">
        <v>-283.92</v>
      </c>
      <c r="AD841" s="30">
        <v>43585</v>
      </c>
      <c r="AE841" s="30">
        <v>43585</v>
      </c>
      <c r="AF841" s="23">
        <v>0</v>
      </c>
      <c r="AG841" s="25" t="s">
        <v>56</v>
      </c>
      <c r="AH841" s="24">
        <v>0</v>
      </c>
      <c r="AI841" s="31">
        <v>0</v>
      </c>
      <c r="AJ841" s="31">
        <v>0</v>
      </c>
      <c r="AK841" s="44">
        <f t="shared" si="26"/>
        <v>808.07999999999993</v>
      </c>
      <c r="AL841" t="e">
        <f>VLOOKUP(A841,'[1]prueba con 16mil datos'!$A$1:$AE$804,31,FALSE)</f>
        <v>#N/A</v>
      </c>
      <c r="AM841" t="e">
        <f t="shared" si="27"/>
        <v>#N/A</v>
      </c>
      <c r="AO841" t="e">
        <f>VLOOKUP(A841,'[1]Prueba con 19mil datos'!$B$1:$AF$1228,31,FALSE)</f>
        <v>#N/A</v>
      </c>
      <c r="AP841" t="s">
        <v>3211</v>
      </c>
      <c r="AQ841" s="48">
        <v>43587.507638888899</v>
      </c>
      <c r="AR841" t="s">
        <v>3209</v>
      </c>
    </row>
  </sheetData>
  <autoFilter ref="A1:AR841" xr:uid="{936C5A6A-93BE-495A-9E28-93A293227859}">
    <filterColumn colId="40">
      <filters>
        <filter val="#N/A"/>
      </filters>
    </filterColumn>
  </autoFilter>
  <conditionalFormatting sqref="D2:D84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"/>
  <sheetViews>
    <sheetView workbookViewId="0">
      <selection activeCell="G9" sqref="G9"/>
    </sheetView>
  </sheetViews>
  <sheetFormatPr baseColWidth="10" defaultColWidth="8.85546875" defaultRowHeight="15" x14ac:dyDescent="0.25"/>
  <cols>
    <col min="3" max="3" width="14.140625" bestFit="1" customWidth="1"/>
    <col min="4" max="4" width="10.5703125" bestFit="1" customWidth="1"/>
    <col min="5" max="5" width="14.140625" bestFit="1" customWidth="1"/>
  </cols>
  <sheetData>
    <row r="1" spans="1:15" ht="51.75" thickBot="1" x14ac:dyDescent="0.3">
      <c r="A1" s="1" t="s">
        <v>12</v>
      </c>
      <c r="B1" s="1" t="s">
        <v>3182</v>
      </c>
      <c r="C1" s="32" t="s">
        <v>3183</v>
      </c>
      <c r="D1" s="32" t="s">
        <v>3184</v>
      </c>
      <c r="E1" s="32" t="s">
        <v>3185</v>
      </c>
      <c r="F1" s="32" t="s">
        <v>3186</v>
      </c>
      <c r="G1" s="32" t="s">
        <v>3187</v>
      </c>
      <c r="H1" s="32" t="s">
        <v>3188</v>
      </c>
      <c r="I1" s="32" t="s">
        <v>3189</v>
      </c>
      <c r="J1" s="32" t="s">
        <v>3190</v>
      </c>
      <c r="K1" s="32" t="s">
        <v>3191</v>
      </c>
      <c r="L1" s="32" t="s">
        <v>3192</v>
      </c>
      <c r="M1" s="33"/>
      <c r="N1" s="32" t="s">
        <v>3193</v>
      </c>
      <c r="O1" s="32" t="s">
        <v>3194</v>
      </c>
    </row>
    <row r="2" spans="1:15" x14ac:dyDescent="0.25">
      <c r="A2" s="34" t="s">
        <v>3</v>
      </c>
      <c r="B2" s="16">
        <v>840</v>
      </c>
      <c r="C2" s="35">
        <v>961123.90000000177</v>
      </c>
      <c r="D2" s="35">
        <v>34893.1912568306</v>
      </c>
      <c r="E2" s="35">
        <v>42148.432966666667</v>
      </c>
      <c r="F2" s="36">
        <v>0.7920728529404486</v>
      </c>
      <c r="G2" s="35">
        <v>-27569.918497377061</v>
      </c>
      <c r="H2" s="35">
        <v>-6190.1531249999998</v>
      </c>
      <c r="I2" s="35">
        <v>0</v>
      </c>
      <c r="J2" s="35">
        <v>-7601.75</v>
      </c>
      <c r="K2" s="35">
        <v>5718.3154166666654</v>
      </c>
      <c r="L2" s="35">
        <v>925480.39379429142</v>
      </c>
      <c r="M2" s="37"/>
      <c r="N2" s="35">
        <v>173000</v>
      </c>
      <c r="O2" s="35"/>
    </row>
    <row r="4" spans="1:15" x14ac:dyDescent="0.25">
      <c r="B4" t="s">
        <v>3197</v>
      </c>
      <c r="C4" s="42">
        <v>25000</v>
      </c>
    </row>
    <row r="5" spans="1:15" x14ac:dyDescent="0.25">
      <c r="B5" s="41" t="s">
        <v>3198</v>
      </c>
      <c r="C5" s="42">
        <f>437*175.9</f>
        <v>76868.3</v>
      </c>
    </row>
    <row r="6" spans="1:15" x14ac:dyDescent="0.25">
      <c r="D6" s="44"/>
    </row>
    <row r="7" spans="1:15" x14ac:dyDescent="0.25">
      <c r="C7" s="40">
        <f>+C2-C4-C5+H2</f>
        <v>853065.44687500177</v>
      </c>
      <c r="E7" s="45">
        <f>328500+C7</f>
        <v>1181565.4468750018</v>
      </c>
    </row>
    <row r="8" spans="1:15" x14ac:dyDescent="0.25">
      <c r="C8" s="42">
        <v>173000</v>
      </c>
    </row>
    <row r="9" spans="1:15" x14ac:dyDescent="0.25">
      <c r="C9" s="40">
        <f>+C4+C5+C7+C8</f>
        <v>1127933.7468750018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GASTO</vt:lpstr>
      <vt:lpstr>Hoja1</vt:lpstr>
      <vt:lpstr>DETALLE</vt:lpstr>
      <vt:lpstr>RESUMEN</vt:lpstr>
    </vt:vector>
  </TitlesOfParts>
  <Company>Xerox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Xerox Corporation</dc:creator>
  <cp:lastModifiedBy>Alfonso Aguilar Aguirre</cp:lastModifiedBy>
  <dcterms:created xsi:type="dcterms:W3CDTF">2019-05-15T23:55:44Z</dcterms:created>
  <dcterms:modified xsi:type="dcterms:W3CDTF">2019-06-03T16:14:36Z</dcterms:modified>
</cp:coreProperties>
</file>