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aguilar\Desktop\PITSS\PITSS\Cálculo estimado del pago xerox\"/>
    </mc:Choice>
  </mc:AlternateContent>
  <xr:revisionPtr revIDLastSave="0" documentId="13_ncr:1_{9ECA588A-6735-4AD9-BFCC-52B4E6129CF0}" xr6:coauthVersionLast="36" xr6:coauthVersionMax="43" xr10:uidLastSave="{00000000-0000-0000-0000-000000000000}"/>
  <bookViews>
    <workbookView xWindow="-20520" yWindow="6435" windowWidth="20640" windowHeight="11160" xr2:uid="{A35167E7-EF64-47FB-9894-7D099DF2BC1C}"/>
  </bookViews>
  <sheets>
    <sheet name="Matriz global" sheetId="1" r:id="rId1"/>
    <sheet name="Penalización TR" sheetId="4" r:id="rId2"/>
    <sheet name="Resumen serv. fijos" sheetId="3" r:id="rId3"/>
    <sheet name="Servicios fijos contratados" sheetId="2" r:id="rId4"/>
  </sheet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4" i="1" l="1"/>
  <c r="D3" i="4"/>
  <c r="E4" i="4" l="1"/>
  <c r="F17" i="2"/>
  <c r="F16" i="2"/>
  <c r="F15" i="2"/>
  <c r="F14" i="2"/>
  <c r="F20" i="2" l="1"/>
  <c r="F19" i="2"/>
  <c r="F12" i="2" l="1"/>
  <c r="I12" i="2"/>
  <c r="F11" i="2"/>
  <c r="I11" i="2"/>
  <c r="F10" i="2"/>
  <c r="I10" i="2"/>
  <c r="F9" i="2"/>
  <c r="I9" i="2"/>
  <c r="F8" i="2"/>
  <c r="I8" i="2"/>
  <c r="F7" i="2"/>
  <c r="I7" i="2"/>
  <c r="I3" i="2"/>
  <c r="I4" i="2"/>
  <c r="I5" i="2"/>
  <c r="I6" i="2"/>
  <c r="F6" i="2"/>
  <c r="F5" i="2"/>
  <c r="F4" i="2"/>
  <c r="F3" i="2"/>
  <c r="R5" i="1"/>
  <c r="R6" i="1"/>
  <c r="R7" i="1"/>
  <c r="R8" i="1"/>
  <c r="R9" i="1"/>
  <c r="R10" i="1"/>
  <c r="R11" i="1"/>
  <c r="R12" i="1"/>
  <c r="R13" i="1"/>
  <c r="R14" i="1"/>
  <c r="R15" i="1"/>
  <c r="R16" i="1"/>
  <c r="R18" i="1"/>
  <c r="R19" i="1"/>
  <c r="R20" i="1"/>
  <c r="R21" i="1"/>
  <c r="R22" i="1"/>
  <c r="F1" i="2" l="1"/>
</calcChain>
</file>

<file path=xl/sharedStrings.xml><?xml version="1.0" encoding="utf-8"?>
<sst xmlns="http://schemas.openxmlformats.org/spreadsheetml/2006/main" count="131" uniqueCount="75">
  <si>
    <t>Segmento</t>
  </si>
  <si>
    <t>División</t>
  </si>
  <si>
    <t>Familia</t>
  </si>
  <si>
    <t>OSG</t>
  </si>
  <si>
    <t>A4 Mono MFPs</t>
  </si>
  <si>
    <t>Entry Mono Printers</t>
  </si>
  <si>
    <t>Color Laser Printers</t>
  </si>
  <si>
    <t>A4 Color Laser MFPs</t>
  </si>
  <si>
    <t>Color Solid Ink Printers</t>
  </si>
  <si>
    <t>Office Copier Light Lens</t>
  </si>
  <si>
    <t>A4 Color Solid Ink MFPs</t>
  </si>
  <si>
    <t>Office Digital</t>
  </si>
  <si>
    <t>A3 Professional Color Laser MFPs</t>
  </si>
  <si>
    <t>A3 Office Color Laser MFPs</t>
  </si>
  <si>
    <t>A3 Color Solid Ink MFPs</t>
  </si>
  <si>
    <t>PSG</t>
  </si>
  <si>
    <t>Light Production Digital Business</t>
  </si>
  <si>
    <t>Entry Production Color Low/Mid</t>
  </si>
  <si>
    <t>WF Mono Systems and Legacy Color</t>
  </si>
  <si>
    <t>High End Cut Sheet</t>
  </si>
  <si>
    <t>Entry Production Color High</t>
  </si>
  <si>
    <t>Xerox Color Press</t>
  </si>
  <si>
    <t>Días</t>
  </si>
  <si>
    <t>Columna</t>
  </si>
  <si>
    <t>menos de 3 días</t>
  </si>
  <si>
    <t>entre 3 y 6 días</t>
  </si>
  <si>
    <t>entre 7 y 15 días</t>
  </si>
  <si>
    <t>entre 16 y 30 días</t>
  </si>
  <si>
    <t>entre 31 y 59 días</t>
  </si>
  <si>
    <t>60 días o más</t>
  </si>
  <si>
    <t>Pago Base CDMX y área metropolitana</t>
  </si>
  <si>
    <t>Pago Base Interior</t>
  </si>
  <si>
    <t>TR Ciudades principales</t>
  </si>
  <si>
    <t>TR Otras ciudades</t>
  </si>
  <si>
    <t>*Condiciones en vigor a partir del 10 de abril de 2018</t>
  </si>
  <si>
    <t>Fiabilidad (tiempo transcurrido desde la última OS)</t>
  </si>
  <si>
    <t>Acuerdo específico</t>
  </si>
  <si>
    <t>Inicio</t>
  </si>
  <si>
    <t>Cantidad</t>
  </si>
  <si>
    <t>Monto unitario</t>
  </si>
  <si>
    <t>Pago total</t>
  </si>
  <si>
    <t>Delphi Automotive Systems SA de CV</t>
  </si>
  <si>
    <t>Chrysler de México SA de CV (Toluca)</t>
  </si>
  <si>
    <t>Chrysler de México SA de CV (Planta Motores Saltillo)</t>
  </si>
  <si>
    <t>Vigencia (meses)</t>
  </si>
  <si>
    <t>fecha final</t>
  </si>
  <si>
    <t>Cambio en SLAs</t>
  </si>
  <si>
    <t>N/A</t>
  </si>
  <si>
    <t>Colima y zonas aledañas</t>
  </si>
  <si>
    <t>Localidad/Cliente</t>
  </si>
  <si>
    <t>Tipo</t>
  </si>
  <si>
    <t>Técnico residente</t>
  </si>
  <si>
    <t>Supervisor técnico</t>
  </si>
  <si>
    <t>Saltillo para Delphi y Chrysler</t>
  </si>
  <si>
    <t>Penalizaciones especiales</t>
  </si>
  <si>
    <t>Contrato Laboratorios Pisa</t>
  </si>
  <si>
    <t>Técnico operador</t>
  </si>
  <si>
    <t>PFM (pago fijo mensual por servicio)</t>
  </si>
  <si>
    <t>$2,000 por cada día que exceda de 48 hrs. El CST</t>
  </si>
  <si>
    <t>Etiquetas de fila</t>
  </si>
  <si>
    <t>Total general</t>
  </si>
  <si>
    <t>Suma de Pago total</t>
  </si>
  <si>
    <t>Janssen de México S de RL de CV</t>
  </si>
  <si>
    <t>0 a 25%</t>
  </si>
  <si>
    <t>25 a 50%</t>
  </si>
  <si>
    <t>más de 3</t>
  </si>
  <si>
    <t>entre 0 y 1</t>
  </si>
  <si>
    <t>Veces el objetivo</t>
  </si>
  <si>
    <t>% penalización</t>
  </si>
  <si>
    <t>entre 1 y 2</t>
  </si>
  <si>
    <t>entre 2 y 3</t>
  </si>
  <si>
    <t>Pisa</t>
  </si>
  <si>
    <t>Colima</t>
  </si>
  <si>
    <t>Departmental Digital</t>
  </si>
  <si>
    <t>Entry Production Color 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</si>
</sst>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1" fontId="0" fillId="0" borderId="0" xfId="1" applyNumberFormat="1" applyFont="1" applyAlignment="1">
      <alignment horizontal="center" vertical="center" wrapText="1"/>
    </xf>
    <xf numFmtId="44" fontId="0" fillId="0" borderId="0" xfId="2" applyFont="1"/>
    <xf numFmtId="164" fontId="0" fillId="0" borderId="0" xfId="2" applyNumberFormat="1" applyFont="1"/>
    <xf numFmtId="165" fontId="0" fillId="0" borderId="0" xfId="1" applyNumberFormat="1" applyFont="1"/>
    <xf numFmtId="0" fontId="0" fillId="0" borderId="0" xfId="0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3" fillId="0" borderId="0" xfId="0" applyFont="1"/>
    <xf numFmtId="1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44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1" fontId="2" fillId="2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22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numFmt numFmtId="22" formatCode="mmm\-yy"/>
    </dxf>
    <dxf>
      <numFmt numFmtId="164" formatCode="_-&quot;$&quot;* #,##0_-;\-&quot;$&quot;* #,##0_-;_-&quot;$&quot;* &quot;-&quot;??_-;_-@_-"/>
    </dxf>
    <dxf>
      <numFmt numFmtId="164" formatCode="_-&quot;$&quot;* #,##0_-;\-&quot;$&quot;* #,##0_-;_-&quot;$&quot;* &quot;-&quot;??_-;_-@_-"/>
    </dxf>
    <dxf>
      <numFmt numFmtId="165" formatCode="_-* #,##0_-;\-* #,##0_-;_-* &quot;-&quot;??_-;_-@_-"/>
    </dxf>
    <dxf>
      <numFmt numFmtId="164" formatCode="_-&quot;$&quot;* #,##0_-;\-&quot;$&quot;* #,##0_-;_-&quot;$&quot;* &quot;-&quot;??_-;_-@_-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_-;\-&quot;$&quot;* #,##0_-;_-&quot;$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Benavides Herrera" refreshedDate="43476.593490277781" createdVersion="6" refreshedVersion="6" minRefreshableVersion="3" recordCount="9" xr:uid="{B6659615-BD2E-41AF-86C2-C1926BED7568}">
  <cacheSource type="worksheet">
    <worksheetSource name="Tabla2"/>
  </cacheSource>
  <cacheFields count="11">
    <cacheField name="Acuerdo específico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ipo" numFmtId="0">
      <sharedItems count="4">
        <s v="Técnico residente"/>
        <s v="Supervisor técnico"/>
        <s v="Técnico operador"/>
        <s v="PFM (pago fijo mensual por servicio)"/>
      </sharedItems>
    </cacheField>
    <cacheField name="Localidad/Cliente" numFmtId="0">
      <sharedItems count="6">
        <s v="Chrysler de México SA de CV (Planta Motores Saltillo)"/>
        <s v="Chrysler de México SA de CV (Toluca)"/>
        <s v="Delphi Automotive Systems SA de CV"/>
        <s v="Saltillo para Delphi y Chrysler"/>
        <s v="Colima y zonas aledañas"/>
        <s v="Contrato Laboratorios Pisa"/>
      </sharedItems>
    </cacheField>
    <cacheField name="Cantidad" numFmtId="165">
      <sharedItems containsSemiMixedTypes="0" containsString="0" containsNumber="1" containsInteger="1" minValue="1" maxValue="2"/>
    </cacheField>
    <cacheField name="Monto unitario" numFmtId="164">
      <sharedItems containsSemiMixedTypes="0" containsString="0" containsNumber="1" containsInteger="1" minValue="12500" maxValue="73000"/>
    </cacheField>
    <cacheField name="Pago total" numFmtId="164">
      <sharedItems containsSemiMixedTypes="0" containsString="0" containsNumber="1" containsInteger="1" minValue="17000" maxValue="73000"/>
    </cacheField>
    <cacheField name="Inicio" numFmtId="17">
      <sharedItems containsSemiMixedTypes="0" containsNonDate="0" containsDate="1" containsString="0" minDate="2017-09-01T00:00:00" maxDate="2018-09-02T00:00:00"/>
    </cacheField>
    <cacheField name="Vigencia (meses)" numFmtId="0">
      <sharedItems containsSemiMixedTypes="0" containsString="0" containsNumber="1" containsInteger="1" minValue="22" maxValue="36"/>
    </cacheField>
    <cacheField name="fecha final" numFmtId="17">
      <sharedItems containsSemiMixedTypes="0" containsNonDate="0" containsDate="1" containsString="0" minDate="2019-07-01T00:00:00" maxDate="2021-09-02T00:00:00"/>
    </cacheField>
    <cacheField name="Cambio en SLAs" numFmtId="0">
      <sharedItems containsBlank="1"/>
    </cacheField>
    <cacheField name="Penalizaciones especial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1"/>
    <n v="17000"/>
    <n v="17000"/>
    <d v="2017-09-01T00:00:00"/>
    <n v="22"/>
    <d v="2019-07-01T00:00:00"/>
    <s v="N/A"/>
    <s v="N/A"/>
  </r>
  <r>
    <x v="0"/>
    <x v="0"/>
    <x v="1"/>
    <n v="1"/>
    <n v="17000"/>
    <n v="17000"/>
    <d v="2017-09-01T00:00:00"/>
    <n v="22"/>
    <d v="2019-07-01T00:00:00"/>
    <s v="N/A"/>
    <s v="N/A"/>
  </r>
  <r>
    <x v="0"/>
    <x v="0"/>
    <x v="2"/>
    <n v="1"/>
    <n v="17000"/>
    <n v="17000"/>
    <d v="2017-09-01T00:00:00"/>
    <n v="22"/>
    <d v="2019-07-01T00:00:00"/>
    <s v="N/A"/>
    <s v="N/A"/>
  </r>
  <r>
    <x v="0"/>
    <x v="1"/>
    <x v="3"/>
    <n v="1"/>
    <n v="27000"/>
    <n v="27000"/>
    <d v="2017-09-01T00:00:00"/>
    <n v="22"/>
    <d v="2019-07-01T00:00:00"/>
    <s v="N/A"/>
    <s v="N/A"/>
  </r>
  <r>
    <x v="1"/>
    <x v="0"/>
    <x v="4"/>
    <n v="1"/>
    <n v="25000"/>
    <n v="25000"/>
    <d v="2017-11-01T00:00:00"/>
    <n v="22"/>
    <d v="2019-09-01T00:00:00"/>
    <s v="N/A"/>
    <s v="N/A"/>
  </r>
  <r>
    <x v="2"/>
    <x v="0"/>
    <x v="0"/>
    <n v="1"/>
    <n v="17500"/>
    <n v="17500"/>
    <d v="2018-01-01T00:00:00"/>
    <n v="24"/>
    <d v="2020-01-01T00:00:00"/>
    <s v="N/A"/>
    <s v="N/A"/>
  </r>
  <r>
    <x v="3"/>
    <x v="1"/>
    <x v="5"/>
    <n v="1"/>
    <n v="27000"/>
    <n v="27000"/>
    <d v="2018-09-01T00:00:00"/>
    <n v="36"/>
    <d v="2021-09-01T00:00:00"/>
    <m/>
    <m/>
  </r>
  <r>
    <x v="3"/>
    <x v="2"/>
    <x v="5"/>
    <n v="2"/>
    <n v="12500"/>
    <n v="25000"/>
    <d v="2018-09-01T00:00:00"/>
    <n v="36"/>
    <d v="2021-09-01T00:00:00"/>
    <m/>
    <m/>
  </r>
  <r>
    <x v="3"/>
    <x v="3"/>
    <x v="5"/>
    <n v="1"/>
    <n v="73000"/>
    <n v="73000"/>
    <d v="2018-09-01T00:00:00"/>
    <n v="36"/>
    <d v="2021-09-01T00:00:00"/>
    <m/>
    <s v="$2,000 por cada día que exceda de 48 hrs. El C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6AC7F-EAF3-42E4-8866-6DF9BCA1E3D8}" name="TablaDinámica2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24" firstHeaderRow="1" firstDataRow="1" firstDataCol="1"/>
  <pivotFields count="11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axis="axisRow" showAll="0">
      <items count="7">
        <item x="0"/>
        <item x="1"/>
        <item x="4"/>
        <item x="5"/>
        <item x="2"/>
        <item x="3"/>
        <item t="default"/>
      </items>
    </pivotField>
    <pivotField numFmtId="165" showAll="0"/>
    <pivotField numFmtId="164" showAll="0"/>
    <pivotField dataField="1" numFmtId="164" showAll="0"/>
    <pivotField numFmtId="17" showAll="0"/>
    <pivotField showAll="0"/>
    <pivotField numFmtId="17" showAll="0"/>
    <pivotField showAll="0"/>
    <pivotField showAll="0"/>
  </pivotFields>
  <rowFields count="3">
    <field x="0"/>
    <field x="2"/>
    <field x="1"/>
  </rowFields>
  <rowItems count="21">
    <i>
      <x/>
    </i>
    <i r="1">
      <x/>
    </i>
    <i r="2">
      <x v="3"/>
    </i>
    <i r="1">
      <x v="1"/>
    </i>
    <i r="2">
      <x v="3"/>
    </i>
    <i r="1">
      <x v="4"/>
    </i>
    <i r="2">
      <x v="3"/>
    </i>
    <i r="1">
      <x v="5"/>
    </i>
    <i r="2">
      <x v="1"/>
    </i>
    <i>
      <x v="1"/>
    </i>
    <i r="1">
      <x v="2"/>
    </i>
    <i r="2">
      <x v="3"/>
    </i>
    <i>
      <x v="2"/>
    </i>
    <i r="1">
      <x/>
    </i>
    <i r="2">
      <x v="3"/>
    </i>
    <i>
      <x v="3"/>
    </i>
    <i r="1">
      <x v="3"/>
    </i>
    <i r="2">
      <x/>
    </i>
    <i r="2">
      <x v="1"/>
    </i>
    <i r="2">
      <x v="2"/>
    </i>
    <i t="grand">
      <x/>
    </i>
  </rowItems>
  <colItems count="1">
    <i/>
  </colItems>
  <dataFields count="1">
    <dataField name="Suma de Pago total" fld="5" baseField="0" baseItem="0" numFmtId="164"/>
  </dataFields>
  <formats count="1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25D229-9FFB-48D6-8D95-C544654B76B8}" name="Pagos.y.fiabilidad" displayName="Pagos.y.fiabilidad" ref="A3:M23" totalsRowShown="0" headerRowDxfId="21" dataDxfId="20">
  <autoFilter ref="A3:M23" xr:uid="{3A2D8084-F186-45CE-80C4-9C3F211FA6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05D1D0D-509E-4764-B42D-1C00D2A3A5AB}" name="Segmento" dataDxfId="19"/>
    <tableColumn id="2" xr3:uid="{68508EDF-21B1-4EDD-A09C-78DAC7FCAAA3}" name="División" dataDxfId="18"/>
    <tableColumn id="3" xr3:uid="{71FEB99C-6AF6-4171-8D43-57E01A857433}" name="Familia" dataDxfId="17"/>
    <tableColumn id="10" xr3:uid="{DFC593D6-ED61-434E-B151-939365E6D412}" name="Pago Base CDMX y área metropolitana" dataDxfId="16" dataCellStyle="Moneda"/>
    <tableColumn id="11" xr3:uid="{05E11830-C11E-416B-A34B-2DB3BFCDE309}" name="Pago Base Interior" dataDxfId="15" dataCellStyle="Moneda"/>
    <tableColumn id="12" xr3:uid="{6EBE77F4-2A72-4BBE-B4E0-4440F15A1561}" name="TR Ciudades principales" dataDxfId="14" dataCellStyle="Moneda"/>
    <tableColumn id="13" xr3:uid="{F8FA73C2-C030-47B4-991C-37AA3B09A1D8}" name="TR Otras ciudades" dataDxfId="13" dataCellStyle="Moneda"/>
    <tableColumn id="9" xr3:uid="{16535E20-25FD-4744-B476-92D6C3F9D72F}" name="menos de 3 días" dataDxfId="12" dataCellStyle="Porcentaje"/>
    <tableColumn id="8" xr3:uid="{C2181B48-33DE-4CD4-BDC1-D3534442319C}" name="entre 3 y 6 días" dataDxfId="11" dataCellStyle="Porcentaje"/>
    <tableColumn id="7" xr3:uid="{99D5C06E-AD95-4423-876E-F498EAE8B5A8}" name="entre 7 y 15 días" dataDxfId="10" dataCellStyle="Porcentaje"/>
    <tableColumn id="6" xr3:uid="{9E62920E-010D-4ECD-8BDE-2EF4EA7C44B1}" name="entre 16 y 30 días" dataDxfId="9" dataCellStyle="Porcentaje"/>
    <tableColumn id="5" xr3:uid="{ABB3F098-3BD7-4F40-8F94-687D6102A7A0}" name="entre 31 y 59 días" dataDxfId="8" dataCellStyle="Porcentaje"/>
    <tableColumn id="4" xr3:uid="{EF1E8BD0-0872-4BD2-AB63-22B9993686FE}" name="60 días o más" dataDxfId="7" dataCellStyle="Porcentaj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3F8C94-86F9-463C-8BBD-2FDFB5850128}" name="Tabla2" displayName="Tabla2" ref="A2:K12" totalsRowShown="0">
  <autoFilter ref="A2:K12" xr:uid="{920702BD-F0D4-4621-AFCF-442C7F05D5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7E6C4B6-A8EE-463B-9BC3-4DA87769B338}" name="Acuerdo específico"/>
    <tableColumn id="10" xr3:uid="{BD70D967-105F-41D8-A612-BD4D55233D43}" name="Tipo"/>
    <tableColumn id="2" xr3:uid="{41235D39-EFE8-4AFA-A596-EBB433C2866C}" name="Localidad/Cliente"/>
    <tableColumn id="6" xr3:uid="{62E9497B-23AB-44BB-8C1D-91EC64F1F370}" name="Cantidad" dataDxfId="5" dataCellStyle="Millares"/>
    <tableColumn id="3" xr3:uid="{A690F432-8502-4A59-880B-4C876E6C851A}" name="Monto unitario" dataDxfId="4" dataCellStyle="Moneda"/>
    <tableColumn id="7" xr3:uid="{12CF4FB7-9E18-406D-80CA-91D35ED87E18}" name="Pago total" dataDxfId="3" dataCellStyle="Moneda">
      <calculatedColumnFormula>+Tabla2[Cantidad]*Tabla2[Monto unitario]</calculatedColumnFormula>
    </tableColumn>
    <tableColumn id="4" xr3:uid="{723B5F11-20BB-42A2-8CCB-34A404458A56}" name="Inicio"/>
    <tableColumn id="5" xr3:uid="{3A09A9D2-558C-4807-B738-2D6C35FA14E2}" name="Vigencia (meses)"/>
    <tableColumn id="8" xr3:uid="{31029BDB-DB16-47B0-A5C3-30E931353FB3}" name="fecha final" dataDxfId="2">
      <calculatedColumnFormula>+EDATE(Tabla2[[#This Row],[Inicio]],Tabla2[[#This Row],[Vigencia (meses)]])</calculatedColumnFormula>
    </tableColumn>
    <tableColumn id="9" xr3:uid="{E3BC72A2-E107-47B3-93D4-D8BAACB07FFD}" name="Cambio en SLAs"/>
    <tableColumn id="11" xr3:uid="{A69B6C5C-D03A-46E2-BFFC-19CDC8967FF7}" name="Penalizaciones especi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1F7C-AFA9-4CB7-82FD-06C1FD4F2038}">
  <dimension ref="A1:R22"/>
  <sheetViews>
    <sheetView tabSelected="1" topLeftCell="A4" workbookViewId="0">
      <selection activeCell="C19" sqref="C19"/>
    </sheetView>
  </sheetViews>
  <sheetFormatPr baseColWidth="10" defaultRowHeight="15" x14ac:dyDescent="0.25"/>
  <cols>
    <col min="3" max="3" width="38.140625" customWidth="1"/>
    <col min="4" max="4" width="19.42578125" customWidth="1"/>
    <col min="5" max="7" width="9.42578125" customWidth="1"/>
  </cols>
  <sheetData>
    <row r="1" spans="1:18" x14ac:dyDescent="0.25">
      <c r="A1" s="10" t="s">
        <v>34</v>
      </c>
      <c r="H1">
        <v>2</v>
      </c>
      <c r="I1">
        <v>3</v>
      </c>
      <c r="J1">
        <v>7</v>
      </c>
      <c r="K1">
        <v>16</v>
      </c>
      <c r="L1">
        <v>31</v>
      </c>
      <c r="M1">
        <v>60</v>
      </c>
    </row>
    <row r="2" spans="1:18" x14ac:dyDescent="0.25">
      <c r="H2" s="20" t="s">
        <v>35</v>
      </c>
      <c r="I2" s="20"/>
      <c r="J2" s="20"/>
      <c r="K2" s="20"/>
      <c r="L2" s="20"/>
      <c r="M2" s="20"/>
    </row>
    <row r="3" spans="1:18" ht="60" x14ac:dyDescent="0.25">
      <c r="A3" s="1" t="s">
        <v>0</v>
      </c>
      <c r="B3" s="1" t="s">
        <v>1</v>
      </c>
      <c r="C3" s="1" t="s">
        <v>2</v>
      </c>
      <c r="D3" s="1" t="s">
        <v>30</v>
      </c>
      <c r="E3" s="1" t="s">
        <v>31</v>
      </c>
      <c r="F3" s="1" t="s">
        <v>32</v>
      </c>
      <c r="G3" s="1" t="s">
        <v>33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</row>
    <row r="4" spans="1:18" x14ac:dyDescent="0.25">
      <c r="A4" s="6">
        <v>1</v>
      </c>
      <c r="B4" s="6" t="s">
        <v>3</v>
      </c>
      <c r="C4" s="6" t="s">
        <v>4</v>
      </c>
      <c r="D4" s="7">
        <v>468</v>
      </c>
      <c r="E4" s="7">
        <v>715</v>
      </c>
      <c r="F4" s="8">
        <v>5</v>
      </c>
      <c r="G4" s="8">
        <v>9</v>
      </c>
      <c r="H4" s="9">
        <v>0</v>
      </c>
      <c r="I4" s="9">
        <v>0</v>
      </c>
      <c r="J4" s="9">
        <v>0</v>
      </c>
      <c r="K4" s="9">
        <v>0.6</v>
      </c>
      <c r="L4" s="9">
        <v>0.8</v>
      </c>
      <c r="M4" s="9">
        <v>1.05</v>
      </c>
      <c r="O4">
        <f>+Pagos.y.fiabilidad[[#This Row],[Pago Base Interior]]*Pagos.y.fiabilidad[[#This Row],[entre 16 y 30 días]]</f>
        <v>429</v>
      </c>
      <c r="Q4" t="s">
        <v>22</v>
      </c>
      <c r="R4" t="s">
        <v>23</v>
      </c>
    </row>
    <row r="5" spans="1:18" x14ac:dyDescent="0.25">
      <c r="A5" s="6">
        <v>1</v>
      </c>
      <c r="B5" s="6" t="s">
        <v>3</v>
      </c>
      <c r="C5" s="6" t="s">
        <v>5</v>
      </c>
      <c r="D5" s="7">
        <v>468</v>
      </c>
      <c r="E5" s="7">
        <v>715</v>
      </c>
      <c r="F5" s="8">
        <v>5</v>
      </c>
      <c r="G5" s="8">
        <v>9</v>
      </c>
      <c r="H5" s="9">
        <v>0</v>
      </c>
      <c r="I5" s="9">
        <v>0</v>
      </c>
      <c r="J5" s="9">
        <v>0</v>
      </c>
      <c r="K5" s="9">
        <v>0.6</v>
      </c>
      <c r="L5" s="9">
        <v>0.8</v>
      </c>
      <c r="M5" s="9">
        <v>1.05</v>
      </c>
      <c r="Q5">
        <v>61</v>
      </c>
      <c r="R5">
        <f>+IFERROR(MATCH(Q5,$H$1:$M$1,1),1)</f>
        <v>6</v>
      </c>
    </row>
    <row r="6" spans="1:18" x14ac:dyDescent="0.25">
      <c r="A6" s="6">
        <v>1</v>
      </c>
      <c r="B6" s="6" t="s">
        <v>3</v>
      </c>
      <c r="C6" s="6" t="s">
        <v>6</v>
      </c>
      <c r="D6" s="7">
        <v>468</v>
      </c>
      <c r="E6" s="7">
        <v>715</v>
      </c>
      <c r="F6" s="8">
        <v>5</v>
      </c>
      <c r="G6" s="8">
        <v>9</v>
      </c>
      <c r="H6" s="9">
        <v>0</v>
      </c>
      <c r="I6" s="9">
        <v>0</v>
      </c>
      <c r="J6" s="9">
        <v>0</v>
      </c>
      <c r="K6" s="9">
        <v>0.6</v>
      </c>
      <c r="L6" s="9">
        <v>0.8</v>
      </c>
      <c r="M6" s="9">
        <v>1.05</v>
      </c>
      <c r="Q6">
        <v>60</v>
      </c>
      <c r="R6">
        <f t="shared" ref="R6:R22" si="0">+IFERROR(MATCH(Q6,$H$1:$M$1,1),1)</f>
        <v>6</v>
      </c>
    </row>
    <row r="7" spans="1:18" x14ac:dyDescent="0.25">
      <c r="A7" s="6">
        <v>1</v>
      </c>
      <c r="B7" s="6" t="s">
        <v>3</v>
      </c>
      <c r="C7" s="6" t="s">
        <v>7</v>
      </c>
      <c r="D7" s="7">
        <v>468</v>
      </c>
      <c r="E7" s="7">
        <v>715</v>
      </c>
      <c r="F7" s="8">
        <v>5</v>
      </c>
      <c r="G7" s="8">
        <v>9</v>
      </c>
      <c r="H7" s="9">
        <v>0</v>
      </c>
      <c r="I7" s="9">
        <v>0</v>
      </c>
      <c r="J7" s="9">
        <v>0</v>
      </c>
      <c r="K7" s="9">
        <v>0.6</v>
      </c>
      <c r="L7" s="9">
        <v>0.8</v>
      </c>
      <c r="M7" s="9">
        <v>1.05</v>
      </c>
      <c r="Q7">
        <v>59</v>
      </c>
      <c r="R7">
        <f t="shared" si="0"/>
        <v>5</v>
      </c>
    </row>
    <row r="8" spans="1:18" x14ac:dyDescent="0.25">
      <c r="A8" s="6">
        <v>1</v>
      </c>
      <c r="B8" s="6" t="s">
        <v>3</v>
      </c>
      <c r="C8" s="6" t="s">
        <v>8</v>
      </c>
      <c r="D8" s="7">
        <v>468</v>
      </c>
      <c r="E8" s="7">
        <v>715</v>
      </c>
      <c r="F8" s="8">
        <v>5</v>
      </c>
      <c r="G8" s="8">
        <v>9</v>
      </c>
      <c r="H8" s="9">
        <v>0</v>
      </c>
      <c r="I8" s="9">
        <v>0</v>
      </c>
      <c r="J8" s="9">
        <v>0</v>
      </c>
      <c r="K8" s="9">
        <v>0.6</v>
      </c>
      <c r="L8" s="9">
        <v>0.8</v>
      </c>
      <c r="M8" s="9">
        <v>1.05</v>
      </c>
      <c r="Q8">
        <v>32</v>
      </c>
      <c r="R8">
        <f t="shared" si="0"/>
        <v>5</v>
      </c>
    </row>
    <row r="9" spans="1:18" x14ac:dyDescent="0.25">
      <c r="A9" s="6">
        <v>1</v>
      </c>
      <c r="B9" s="6" t="s">
        <v>3</v>
      </c>
      <c r="C9" s="6" t="s">
        <v>9</v>
      </c>
      <c r="D9" s="7">
        <v>468</v>
      </c>
      <c r="E9" s="7">
        <v>715</v>
      </c>
      <c r="F9" s="8">
        <v>5</v>
      </c>
      <c r="G9" s="8">
        <v>9</v>
      </c>
      <c r="H9" s="9">
        <v>0</v>
      </c>
      <c r="I9" s="9">
        <v>0</v>
      </c>
      <c r="J9" s="9">
        <v>0</v>
      </c>
      <c r="K9" s="9">
        <v>0.6</v>
      </c>
      <c r="L9" s="9">
        <v>0.8</v>
      </c>
      <c r="M9" s="9">
        <v>1.05</v>
      </c>
      <c r="Q9">
        <v>31</v>
      </c>
      <c r="R9">
        <f t="shared" si="0"/>
        <v>5</v>
      </c>
    </row>
    <row r="10" spans="1:18" x14ac:dyDescent="0.25">
      <c r="A10" s="6">
        <v>1</v>
      </c>
      <c r="B10" s="6" t="s">
        <v>3</v>
      </c>
      <c r="C10" s="6" t="s">
        <v>10</v>
      </c>
      <c r="D10" s="7">
        <v>468</v>
      </c>
      <c r="E10" s="7">
        <v>715</v>
      </c>
      <c r="F10" s="8">
        <v>5</v>
      </c>
      <c r="G10" s="8">
        <v>9</v>
      </c>
      <c r="H10" s="9">
        <v>0</v>
      </c>
      <c r="I10" s="9">
        <v>0</v>
      </c>
      <c r="J10" s="9">
        <v>0</v>
      </c>
      <c r="K10" s="9">
        <v>0.6</v>
      </c>
      <c r="L10" s="9">
        <v>0.8</v>
      </c>
      <c r="M10" s="9">
        <v>1.05</v>
      </c>
      <c r="Q10">
        <v>30</v>
      </c>
      <c r="R10">
        <f t="shared" si="0"/>
        <v>4</v>
      </c>
    </row>
    <row r="11" spans="1:18" x14ac:dyDescent="0.25">
      <c r="A11" s="6">
        <v>2</v>
      </c>
      <c r="B11" s="6" t="s">
        <v>3</v>
      </c>
      <c r="C11" s="6" t="s">
        <v>73</v>
      </c>
      <c r="D11" s="7">
        <v>655</v>
      </c>
      <c r="E11" s="7">
        <v>1365</v>
      </c>
      <c r="F11" s="8">
        <v>5</v>
      </c>
      <c r="G11" s="8">
        <v>9</v>
      </c>
      <c r="H11" s="9">
        <v>0</v>
      </c>
      <c r="I11" s="9">
        <v>0</v>
      </c>
      <c r="J11" s="9">
        <v>0.6</v>
      </c>
      <c r="K11" s="9">
        <v>0.8</v>
      </c>
      <c r="L11" s="9">
        <v>1.05</v>
      </c>
      <c r="M11" s="9">
        <v>1.1000000000000001</v>
      </c>
      <c r="Q11">
        <v>17</v>
      </c>
      <c r="R11">
        <f t="shared" si="0"/>
        <v>4</v>
      </c>
    </row>
    <row r="12" spans="1:18" x14ac:dyDescent="0.25">
      <c r="A12" s="6">
        <v>2</v>
      </c>
      <c r="B12" s="6" t="s">
        <v>3</v>
      </c>
      <c r="C12" s="6" t="s">
        <v>11</v>
      </c>
      <c r="D12" s="7">
        <v>655</v>
      </c>
      <c r="E12" s="7">
        <v>1365</v>
      </c>
      <c r="F12" s="8">
        <v>5</v>
      </c>
      <c r="G12" s="8">
        <v>9</v>
      </c>
      <c r="H12" s="9">
        <v>0</v>
      </c>
      <c r="I12" s="9">
        <v>0</v>
      </c>
      <c r="J12" s="9">
        <v>0.6</v>
      </c>
      <c r="K12" s="9">
        <v>0.8</v>
      </c>
      <c r="L12" s="9">
        <v>1.05</v>
      </c>
      <c r="M12" s="9">
        <v>1.1000000000000001</v>
      </c>
      <c r="Q12">
        <v>16</v>
      </c>
      <c r="R12">
        <f t="shared" si="0"/>
        <v>4</v>
      </c>
    </row>
    <row r="13" spans="1:18" x14ac:dyDescent="0.25">
      <c r="A13" s="6">
        <v>2</v>
      </c>
      <c r="B13" s="6" t="s">
        <v>3</v>
      </c>
      <c r="C13" s="6" t="s">
        <v>12</v>
      </c>
      <c r="D13" s="7">
        <v>655</v>
      </c>
      <c r="E13" s="7">
        <v>1365</v>
      </c>
      <c r="F13" s="8">
        <v>5</v>
      </c>
      <c r="G13" s="8">
        <v>9</v>
      </c>
      <c r="H13" s="9">
        <v>0</v>
      </c>
      <c r="I13" s="9">
        <v>0</v>
      </c>
      <c r="J13" s="9">
        <v>0.6</v>
      </c>
      <c r="K13" s="9">
        <v>0.8</v>
      </c>
      <c r="L13" s="9">
        <v>1.05</v>
      </c>
      <c r="M13" s="9">
        <v>1.1000000000000001</v>
      </c>
      <c r="Q13">
        <v>15</v>
      </c>
      <c r="R13">
        <f t="shared" si="0"/>
        <v>3</v>
      </c>
    </row>
    <row r="14" spans="1:18" x14ac:dyDescent="0.25">
      <c r="A14" s="6">
        <v>2</v>
      </c>
      <c r="B14" s="6" t="s">
        <v>3</v>
      </c>
      <c r="C14" s="6" t="s">
        <v>13</v>
      </c>
      <c r="D14" s="7">
        <v>655</v>
      </c>
      <c r="E14" s="7">
        <v>1365</v>
      </c>
      <c r="F14" s="8">
        <v>5</v>
      </c>
      <c r="G14" s="8">
        <v>9</v>
      </c>
      <c r="H14" s="9">
        <v>0</v>
      </c>
      <c r="I14" s="9">
        <v>0</v>
      </c>
      <c r="J14" s="9">
        <v>0.6</v>
      </c>
      <c r="K14" s="9">
        <v>0.8</v>
      </c>
      <c r="L14" s="9">
        <v>1.05</v>
      </c>
      <c r="M14" s="9">
        <v>1.1000000000000001</v>
      </c>
      <c r="Q14">
        <v>8</v>
      </c>
      <c r="R14">
        <f t="shared" si="0"/>
        <v>3</v>
      </c>
    </row>
    <row r="15" spans="1:18" x14ac:dyDescent="0.25">
      <c r="A15" s="6">
        <v>2</v>
      </c>
      <c r="B15" s="6" t="s">
        <v>3</v>
      </c>
      <c r="C15" s="6" t="s">
        <v>14</v>
      </c>
      <c r="D15" s="7">
        <v>655</v>
      </c>
      <c r="E15" s="7">
        <v>1365</v>
      </c>
      <c r="F15" s="8">
        <v>5</v>
      </c>
      <c r="G15" s="8">
        <v>9</v>
      </c>
      <c r="H15" s="9">
        <v>0</v>
      </c>
      <c r="I15" s="9">
        <v>0</v>
      </c>
      <c r="J15" s="9">
        <v>0.6</v>
      </c>
      <c r="K15" s="9">
        <v>0.8</v>
      </c>
      <c r="L15" s="9">
        <v>1.05</v>
      </c>
      <c r="M15" s="9">
        <v>1.1000000000000001</v>
      </c>
      <c r="Q15">
        <v>7</v>
      </c>
      <c r="R15">
        <f t="shared" si="0"/>
        <v>3</v>
      </c>
    </row>
    <row r="16" spans="1:18" x14ac:dyDescent="0.25">
      <c r="A16" s="6">
        <v>3</v>
      </c>
      <c r="B16" s="6" t="s">
        <v>15</v>
      </c>
      <c r="C16" s="6" t="s">
        <v>16</v>
      </c>
      <c r="D16" s="7">
        <v>803</v>
      </c>
      <c r="E16" s="7">
        <v>1573</v>
      </c>
      <c r="F16" s="8">
        <v>4</v>
      </c>
      <c r="G16" s="8">
        <v>6</v>
      </c>
      <c r="H16" s="9">
        <v>0.2</v>
      </c>
      <c r="I16" s="9">
        <v>0.6</v>
      </c>
      <c r="J16" s="9">
        <v>0.8</v>
      </c>
      <c r="K16" s="9">
        <v>1.05</v>
      </c>
      <c r="L16" s="9">
        <v>1.1000000000000001</v>
      </c>
      <c r="M16" s="9">
        <v>1.1499999999999999</v>
      </c>
      <c r="Q16">
        <v>6</v>
      </c>
      <c r="R16">
        <f t="shared" si="0"/>
        <v>2</v>
      </c>
    </row>
    <row r="17" spans="1:18" x14ac:dyDescent="0.25">
      <c r="A17" s="6">
        <v>3</v>
      </c>
      <c r="B17" s="6" t="s">
        <v>15</v>
      </c>
      <c r="C17" s="21" t="s">
        <v>74</v>
      </c>
      <c r="D17" s="7">
        <v>803</v>
      </c>
      <c r="E17" s="7">
        <v>1573</v>
      </c>
      <c r="F17" s="8">
        <v>4</v>
      </c>
      <c r="G17" s="8">
        <v>6</v>
      </c>
      <c r="H17" s="9">
        <v>0.2</v>
      </c>
      <c r="I17" s="9">
        <v>0.6</v>
      </c>
      <c r="J17" s="9">
        <v>0.8</v>
      </c>
      <c r="K17" s="9">
        <v>1.05</v>
      </c>
      <c r="L17" s="9">
        <v>1.1000000000000001</v>
      </c>
      <c r="M17" s="9">
        <v>1.1499999999999999</v>
      </c>
    </row>
    <row r="18" spans="1:18" x14ac:dyDescent="0.25">
      <c r="A18" s="6">
        <v>3</v>
      </c>
      <c r="B18" s="6" t="s">
        <v>15</v>
      </c>
      <c r="C18" s="6" t="s">
        <v>17</v>
      </c>
      <c r="D18" s="7">
        <v>803</v>
      </c>
      <c r="E18" s="7">
        <v>1573</v>
      </c>
      <c r="F18" s="8">
        <v>4</v>
      </c>
      <c r="G18" s="8">
        <v>6</v>
      </c>
      <c r="H18" s="9">
        <v>0.2</v>
      </c>
      <c r="I18" s="9">
        <v>0.6</v>
      </c>
      <c r="J18" s="9">
        <v>0.8</v>
      </c>
      <c r="K18" s="9">
        <v>1.05</v>
      </c>
      <c r="L18" s="9">
        <v>1.1000000000000001</v>
      </c>
      <c r="M18" s="9">
        <v>1.1499999999999999</v>
      </c>
      <c r="Q18">
        <v>4</v>
      </c>
      <c r="R18">
        <f t="shared" si="0"/>
        <v>2</v>
      </c>
    </row>
    <row r="19" spans="1:18" x14ac:dyDescent="0.25">
      <c r="A19" s="6">
        <v>3</v>
      </c>
      <c r="B19" s="6" t="s">
        <v>15</v>
      </c>
      <c r="C19" s="6" t="s">
        <v>18</v>
      </c>
      <c r="D19" s="7">
        <v>803</v>
      </c>
      <c r="E19" s="7">
        <v>1573</v>
      </c>
      <c r="F19" s="8">
        <v>4</v>
      </c>
      <c r="G19" s="8">
        <v>6</v>
      </c>
      <c r="H19" s="9">
        <v>0.2</v>
      </c>
      <c r="I19" s="9">
        <v>0.6</v>
      </c>
      <c r="J19" s="9">
        <v>0.8</v>
      </c>
      <c r="K19" s="9">
        <v>1.05</v>
      </c>
      <c r="L19" s="9">
        <v>1.1000000000000001</v>
      </c>
      <c r="M19" s="9">
        <v>1.1499999999999999</v>
      </c>
      <c r="Q19">
        <v>3</v>
      </c>
      <c r="R19">
        <f t="shared" si="0"/>
        <v>2</v>
      </c>
    </row>
    <row r="20" spans="1:18" x14ac:dyDescent="0.25">
      <c r="A20" s="6">
        <v>4</v>
      </c>
      <c r="B20" s="6" t="s">
        <v>15</v>
      </c>
      <c r="C20" s="6" t="s">
        <v>19</v>
      </c>
      <c r="D20" s="7">
        <v>1116</v>
      </c>
      <c r="E20" s="7">
        <v>2145</v>
      </c>
      <c r="F20" s="8">
        <v>3</v>
      </c>
      <c r="G20" s="8">
        <v>6</v>
      </c>
      <c r="H20" s="9">
        <v>0.6</v>
      </c>
      <c r="I20" s="9">
        <v>0.8</v>
      </c>
      <c r="J20" s="9">
        <v>1.05</v>
      </c>
      <c r="K20" s="9">
        <v>1.1000000000000001</v>
      </c>
      <c r="L20" s="9">
        <v>1.1499999999999999</v>
      </c>
      <c r="M20" s="9">
        <v>1.2</v>
      </c>
      <c r="Q20">
        <v>2</v>
      </c>
      <c r="R20">
        <f t="shared" si="0"/>
        <v>1</v>
      </c>
    </row>
    <row r="21" spans="1:18" x14ac:dyDescent="0.25">
      <c r="A21" s="6">
        <v>4</v>
      </c>
      <c r="B21" s="6" t="s">
        <v>15</v>
      </c>
      <c r="C21" s="6" t="s">
        <v>20</v>
      </c>
      <c r="D21" s="7">
        <v>1116</v>
      </c>
      <c r="E21" s="7">
        <v>2145</v>
      </c>
      <c r="F21" s="8">
        <v>4</v>
      </c>
      <c r="G21" s="8">
        <v>6</v>
      </c>
      <c r="H21" s="9">
        <v>0.6</v>
      </c>
      <c r="I21" s="9">
        <v>0.8</v>
      </c>
      <c r="J21" s="9">
        <v>1.05</v>
      </c>
      <c r="K21" s="9">
        <v>1.1000000000000001</v>
      </c>
      <c r="L21" s="9">
        <v>1.1499999999999999</v>
      </c>
      <c r="M21" s="9">
        <v>1.2</v>
      </c>
      <c r="Q21">
        <v>1</v>
      </c>
      <c r="R21">
        <f t="shared" si="0"/>
        <v>1</v>
      </c>
    </row>
    <row r="22" spans="1:18" x14ac:dyDescent="0.25">
      <c r="A22" s="6">
        <v>4</v>
      </c>
      <c r="B22" s="6" t="s">
        <v>15</v>
      </c>
      <c r="C22" s="6" t="s">
        <v>21</v>
      </c>
      <c r="D22" s="7">
        <v>1116</v>
      </c>
      <c r="E22" s="7">
        <v>2145</v>
      </c>
      <c r="F22" s="8">
        <v>4</v>
      </c>
      <c r="G22" s="8">
        <v>6</v>
      </c>
      <c r="H22" s="9">
        <v>0.6</v>
      </c>
      <c r="I22" s="9">
        <v>0.8</v>
      </c>
      <c r="J22" s="9">
        <v>1.05</v>
      </c>
      <c r="K22" s="9">
        <v>1.1000000000000001</v>
      </c>
      <c r="L22" s="9">
        <v>1.1499999999999999</v>
      </c>
      <c r="M22" s="9">
        <v>1.2</v>
      </c>
      <c r="Q22">
        <v>0</v>
      </c>
      <c r="R22">
        <f t="shared" si="0"/>
        <v>1</v>
      </c>
    </row>
  </sheetData>
  <mergeCells count="1">
    <mergeCell ref="H2:M2"/>
  </mergeCells>
  <conditionalFormatting sqref="A4:M22">
    <cfRule type="expression" dxfId="0" priority="1">
      <formula>OR($A4=1,$A4=3)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36252-AA98-4610-BD36-2887D6253B0C}">
  <dimension ref="A1:E5"/>
  <sheetViews>
    <sheetView workbookViewId="0">
      <selection activeCell="C9" sqref="C9"/>
    </sheetView>
  </sheetViews>
  <sheetFormatPr baseColWidth="10" defaultRowHeight="15" x14ac:dyDescent="0.25"/>
  <cols>
    <col min="1" max="1" width="15" bestFit="1" customWidth="1"/>
    <col min="2" max="2" width="12.42578125" bestFit="1" customWidth="1"/>
  </cols>
  <sheetData>
    <row r="1" spans="1:5" x14ac:dyDescent="0.25">
      <c r="A1" t="s">
        <v>67</v>
      </c>
      <c r="B1" t="s">
        <v>68</v>
      </c>
    </row>
    <row r="2" spans="1:5" x14ac:dyDescent="0.25">
      <c r="A2" t="s">
        <v>66</v>
      </c>
      <c r="B2" s="18">
        <v>0</v>
      </c>
    </row>
    <row r="3" spans="1:5" x14ac:dyDescent="0.25">
      <c r="A3" t="s">
        <v>69</v>
      </c>
      <c r="B3" s="19" t="s">
        <v>63</v>
      </c>
      <c r="D3">
        <f>0.25*'Matriz global'!E4</f>
        <v>178.75</v>
      </c>
    </row>
    <row r="4" spans="1:5" x14ac:dyDescent="0.25">
      <c r="A4" t="s">
        <v>70</v>
      </c>
      <c r="B4" s="19" t="s">
        <v>64</v>
      </c>
      <c r="E4">
        <f>+'Matriz global'!O4-'Penalización TR'!D3</f>
        <v>250.25</v>
      </c>
    </row>
    <row r="5" spans="1:5" x14ac:dyDescent="0.25">
      <c r="A5" t="s">
        <v>65</v>
      </c>
      <c r="B5" s="1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24C74-485D-4743-8B6B-41791A0023A2}">
  <dimension ref="A3:B24"/>
  <sheetViews>
    <sheetView workbookViewId="0">
      <selection activeCell="B20" sqref="B20"/>
    </sheetView>
  </sheetViews>
  <sheetFormatPr baseColWidth="10" defaultRowHeight="15" x14ac:dyDescent="0.25"/>
  <cols>
    <col min="1" max="1" width="50.5703125" bestFit="1" customWidth="1"/>
    <col min="2" max="3" width="16.5703125" bestFit="1" customWidth="1"/>
    <col min="4" max="4" width="16.42578125" bestFit="1" customWidth="1"/>
  </cols>
  <sheetData>
    <row r="3" spans="1:2" x14ac:dyDescent="0.25">
      <c r="A3" s="12" t="s">
        <v>59</v>
      </c>
      <c r="B3" t="s">
        <v>61</v>
      </c>
    </row>
    <row r="4" spans="1:2" x14ac:dyDescent="0.25">
      <c r="A4" s="13">
        <v>1</v>
      </c>
      <c r="B4" s="17">
        <v>78000</v>
      </c>
    </row>
    <row r="5" spans="1:2" x14ac:dyDescent="0.25">
      <c r="A5" s="14" t="s">
        <v>43</v>
      </c>
      <c r="B5" s="17">
        <v>17000</v>
      </c>
    </row>
    <row r="6" spans="1:2" x14ac:dyDescent="0.25">
      <c r="A6" s="15" t="s">
        <v>51</v>
      </c>
      <c r="B6" s="17">
        <v>17000</v>
      </c>
    </row>
    <row r="7" spans="1:2" x14ac:dyDescent="0.25">
      <c r="A7" s="14" t="s">
        <v>42</v>
      </c>
      <c r="B7" s="17">
        <v>17000</v>
      </c>
    </row>
    <row r="8" spans="1:2" x14ac:dyDescent="0.25">
      <c r="A8" s="15" t="s">
        <v>51</v>
      </c>
      <c r="B8" s="17">
        <v>17000</v>
      </c>
    </row>
    <row r="9" spans="1:2" x14ac:dyDescent="0.25">
      <c r="A9" s="14" t="s">
        <v>41</v>
      </c>
      <c r="B9" s="17">
        <v>17000</v>
      </c>
    </row>
    <row r="10" spans="1:2" x14ac:dyDescent="0.25">
      <c r="A10" s="15" t="s">
        <v>51</v>
      </c>
      <c r="B10" s="17">
        <v>17000</v>
      </c>
    </row>
    <row r="11" spans="1:2" x14ac:dyDescent="0.25">
      <c r="A11" s="14" t="s">
        <v>53</v>
      </c>
      <c r="B11" s="17">
        <v>27000</v>
      </c>
    </row>
    <row r="12" spans="1:2" x14ac:dyDescent="0.25">
      <c r="A12" s="15" t="s">
        <v>52</v>
      </c>
      <c r="B12" s="17">
        <v>27000</v>
      </c>
    </row>
    <row r="13" spans="1:2" x14ac:dyDescent="0.25">
      <c r="A13" s="13">
        <v>2</v>
      </c>
      <c r="B13" s="17">
        <v>25000</v>
      </c>
    </row>
    <row r="14" spans="1:2" x14ac:dyDescent="0.25">
      <c r="A14" s="14" t="s">
        <v>48</v>
      </c>
      <c r="B14" s="17">
        <v>25000</v>
      </c>
    </row>
    <row r="15" spans="1:2" x14ac:dyDescent="0.25">
      <c r="A15" s="15" t="s">
        <v>51</v>
      </c>
      <c r="B15" s="17">
        <v>25000</v>
      </c>
    </row>
    <row r="16" spans="1:2" x14ac:dyDescent="0.25">
      <c r="A16" s="13">
        <v>3</v>
      </c>
      <c r="B16" s="17">
        <v>17500</v>
      </c>
    </row>
    <row r="17" spans="1:2" x14ac:dyDescent="0.25">
      <c r="A17" s="14" t="s">
        <v>43</v>
      </c>
      <c r="B17" s="17">
        <v>17500</v>
      </c>
    </row>
    <row r="18" spans="1:2" x14ac:dyDescent="0.25">
      <c r="A18" s="15" t="s">
        <v>51</v>
      </c>
      <c r="B18" s="17">
        <v>17500</v>
      </c>
    </row>
    <row r="19" spans="1:2" x14ac:dyDescent="0.25">
      <c r="A19" s="13">
        <v>4</v>
      </c>
      <c r="B19" s="17">
        <v>125000</v>
      </c>
    </row>
    <row r="20" spans="1:2" x14ac:dyDescent="0.25">
      <c r="A20" s="14" t="s">
        <v>55</v>
      </c>
      <c r="B20" s="17">
        <v>125000</v>
      </c>
    </row>
    <row r="21" spans="1:2" x14ac:dyDescent="0.25">
      <c r="A21" s="15" t="s">
        <v>57</v>
      </c>
      <c r="B21" s="17">
        <v>73000</v>
      </c>
    </row>
    <row r="22" spans="1:2" x14ac:dyDescent="0.25">
      <c r="A22" s="15" t="s">
        <v>52</v>
      </c>
      <c r="B22" s="17">
        <v>27000</v>
      </c>
    </row>
    <row r="23" spans="1:2" x14ac:dyDescent="0.25">
      <c r="A23" s="15" t="s">
        <v>56</v>
      </c>
      <c r="B23" s="17">
        <v>25000</v>
      </c>
    </row>
    <row r="24" spans="1:2" x14ac:dyDescent="0.25">
      <c r="A24" s="13" t="s">
        <v>60</v>
      </c>
      <c r="B24" s="17">
        <v>245500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3D3E-98BC-4D22-BAA8-DCE02FF2525B}">
  <dimension ref="A1:K20"/>
  <sheetViews>
    <sheetView workbookViewId="0">
      <selection activeCell="F18" sqref="F18"/>
    </sheetView>
  </sheetViews>
  <sheetFormatPr baseColWidth="10" defaultRowHeight="15" x14ac:dyDescent="0.25"/>
  <cols>
    <col min="1" max="2" width="17.42578125" customWidth="1"/>
    <col min="3" max="3" width="43.42578125" bestFit="1" customWidth="1"/>
    <col min="4" max="4" width="8.42578125" bestFit="1" customWidth="1"/>
    <col min="5" max="5" width="13.140625" bestFit="1" customWidth="1"/>
    <col min="6" max="6" width="13.28515625" bestFit="1" customWidth="1"/>
    <col min="8" max="8" width="14.42578125" bestFit="1" customWidth="1"/>
    <col min="10" max="10" width="13.42578125" bestFit="1" customWidth="1"/>
  </cols>
  <sheetData>
    <row r="1" spans="1:11" x14ac:dyDescent="0.25">
      <c r="F1" s="3">
        <f>+SUM(Tabla2[Pago total])</f>
        <v>271000</v>
      </c>
    </row>
    <row r="2" spans="1:11" x14ac:dyDescent="0.25">
      <c r="A2" t="s">
        <v>36</v>
      </c>
      <c r="B2" t="s">
        <v>50</v>
      </c>
      <c r="C2" t="s">
        <v>49</v>
      </c>
      <c r="D2" t="s">
        <v>38</v>
      </c>
      <c r="E2" t="s">
        <v>39</v>
      </c>
      <c r="F2" t="s">
        <v>40</v>
      </c>
      <c r="G2" t="s">
        <v>37</v>
      </c>
      <c r="H2" t="s">
        <v>44</v>
      </c>
      <c r="I2" t="s">
        <v>45</v>
      </c>
      <c r="J2" t="s">
        <v>46</v>
      </c>
      <c r="K2" t="s">
        <v>54</v>
      </c>
    </row>
    <row r="3" spans="1:11" x14ac:dyDescent="0.25">
      <c r="A3">
        <v>1</v>
      </c>
      <c r="B3" t="s">
        <v>51</v>
      </c>
      <c r="C3" t="s">
        <v>43</v>
      </c>
      <c r="D3" s="5">
        <v>1</v>
      </c>
      <c r="E3" s="4">
        <v>17000</v>
      </c>
      <c r="F3" s="4">
        <f>+Tabla2[Cantidad]*Tabla2[Monto unitario]</f>
        <v>17000</v>
      </c>
      <c r="G3" s="11">
        <v>42979</v>
      </c>
      <c r="H3">
        <v>22</v>
      </c>
      <c r="I3" s="11">
        <f>+EDATE(Tabla2[[#This Row],[Inicio]],Tabla2[[#This Row],[Vigencia (meses)]])</f>
        <v>43647</v>
      </c>
      <c r="J3" t="s">
        <v>47</v>
      </c>
      <c r="K3" t="s">
        <v>47</v>
      </c>
    </row>
    <row r="4" spans="1:11" x14ac:dyDescent="0.25">
      <c r="A4">
        <v>1</v>
      </c>
      <c r="B4" t="s">
        <v>51</v>
      </c>
      <c r="C4" t="s">
        <v>42</v>
      </c>
      <c r="D4" s="5">
        <v>1</v>
      </c>
      <c r="E4" s="4">
        <v>17000</v>
      </c>
      <c r="F4" s="4">
        <f>+Tabla2[Cantidad]*Tabla2[Monto unitario]</f>
        <v>17000</v>
      </c>
      <c r="G4" s="11">
        <v>42979</v>
      </c>
      <c r="H4">
        <v>22</v>
      </c>
      <c r="I4" s="11">
        <f>+EDATE(Tabla2[[#This Row],[Inicio]],Tabla2[[#This Row],[Vigencia (meses)]])</f>
        <v>43647</v>
      </c>
      <c r="J4" t="s">
        <v>47</v>
      </c>
      <c r="K4" t="s">
        <v>47</v>
      </c>
    </row>
    <row r="5" spans="1:11" x14ac:dyDescent="0.25">
      <c r="A5">
        <v>1</v>
      </c>
      <c r="B5" t="s">
        <v>51</v>
      </c>
      <c r="C5" t="s">
        <v>41</v>
      </c>
      <c r="D5" s="5">
        <v>1</v>
      </c>
      <c r="E5" s="4">
        <v>17000</v>
      </c>
      <c r="F5" s="4">
        <f>+Tabla2[Cantidad]*Tabla2[Monto unitario]</f>
        <v>17000</v>
      </c>
      <c r="G5" s="11">
        <v>42979</v>
      </c>
      <c r="H5">
        <v>22</v>
      </c>
      <c r="I5" s="11">
        <f>+EDATE(Tabla2[[#This Row],[Inicio]],Tabla2[[#This Row],[Vigencia (meses)]])</f>
        <v>43647</v>
      </c>
      <c r="J5" t="s">
        <v>47</v>
      </c>
      <c r="K5" t="s">
        <v>47</v>
      </c>
    </row>
    <row r="6" spans="1:11" x14ac:dyDescent="0.25">
      <c r="A6">
        <v>1</v>
      </c>
      <c r="B6" t="s">
        <v>52</v>
      </c>
      <c r="C6" t="s">
        <v>53</v>
      </c>
      <c r="D6" s="5">
        <v>1</v>
      </c>
      <c r="E6" s="4">
        <v>27000</v>
      </c>
      <c r="F6" s="4">
        <f>+Tabla2[Cantidad]*Tabla2[Monto unitario]</f>
        <v>27000</v>
      </c>
      <c r="G6" s="11">
        <v>42979</v>
      </c>
      <c r="H6">
        <v>22</v>
      </c>
      <c r="I6" s="11">
        <f>+EDATE(Tabla2[[#This Row],[Inicio]],Tabla2[[#This Row],[Vigencia (meses)]])</f>
        <v>43647</v>
      </c>
      <c r="J6" t="s">
        <v>47</v>
      </c>
      <c r="K6" t="s">
        <v>47</v>
      </c>
    </row>
    <row r="7" spans="1:11" x14ac:dyDescent="0.25">
      <c r="A7">
        <v>2</v>
      </c>
      <c r="B7" t="s">
        <v>51</v>
      </c>
      <c r="C7" t="s">
        <v>48</v>
      </c>
      <c r="D7" s="5">
        <v>1</v>
      </c>
      <c r="E7" s="4">
        <v>25000</v>
      </c>
      <c r="F7" s="4">
        <f>+Tabla2[Cantidad]*Tabla2[Monto unitario]</f>
        <v>25000</v>
      </c>
      <c r="G7" s="11">
        <v>43040</v>
      </c>
      <c r="H7">
        <v>22</v>
      </c>
      <c r="I7" s="11">
        <f>+EDATE(Tabla2[[#This Row],[Inicio]],Tabla2[[#This Row],[Vigencia (meses)]])</f>
        <v>43709</v>
      </c>
      <c r="J7" t="s">
        <v>47</v>
      </c>
      <c r="K7" t="s">
        <v>47</v>
      </c>
    </row>
    <row r="8" spans="1:11" x14ac:dyDescent="0.25">
      <c r="A8">
        <v>3</v>
      </c>
      <c r="B8" t="s">
        <v>51</v>
      </c>
      <c r="C8" t="s">
        <v>43</v>
      </c>
      <c r="D8" s="5">
        <v>1</v>
      </c>
      <c r="E8" s="4">
        <v>17500</v>
      </c>
      <c r="F8" s="4">
        <f>+Tabla2[Cantidad]*Tabla2[Monto unitario]</f>
        <v>17500</v>
      </c>
      <c r="G8" s="11">
        <v>43101</v>
      </c>
      <c r="H8">
        <v>24</v>
      </c>
      <c r="I8" s="11">
        <f>+EDATE(Tabla2[[#This Row],[Inicio]],Tabla2[[#This Row],[Vigencia (meses)]])</f>
        <v>43831</v>
      </c>
      <c r="J8" t="s">
        <v>47</v>
      </c>
      <c r="K8" t="s">
        <v>47</v>
      </c>
    </row>
    <row r="9" spans="1:11" x14ac:dyDescent="0.25">
      <c r="A9">
        <v>4</v>
      </c>
      <c r="B9" t="s">
        <v>52</v>
      </c>
      <c r="C9" t="s">
        <v>55</v>
      </c>
      <c r="D9" s="5">
        <v>1</v>
      </c>
      <c r="E9" s="4">
        <v>27000</v>
      </c>
      <c r="F9" s="4">
        <f>+Tabla2[Cantidad]*Tabla2[Monto unitario]</f>
        <v>27000</v>
      </c>
      <c r="G9" s="11">
        <v>43344</v>
      </c>
      <c r="H9">
        <v>36</v>
      </c>
      <c r="I9" s="11">
        <f>+EDATE(Tabla2[[#This Row],[Inicio]],Tabla2[[#This Row],[Vigencia (meses)]])</f>
        <v>44440</v>
      </c>
      <c r="K9" t="s">
        <v>47</v>
      </c>
    </row>
    <row r="10" spans="1:11" x14ac:dyDescent="0.25">
      <c r="A10">
        <v>4</v>
      </c>
      <c r="B10" t="s">
        <v>56</v>
      </c>
      <c r="C10" t="s">
        <v>55</v>
      </c>
      <c r="D10" s="5">
        <v>2</v>
      </c>
      <c r="E10" s="4">
        <v>12500</v>
      </c>
      <c r="F10" s="4">
        <f>+Tabla2[Cantidad]*Tabla2[Monto unitario]</f>
        <v>25000</v>
      </c>
      <c r="G10" s="11">
        <v>43344</v>
      </c>
      <c r="H10">
        <v>36</v>
      </c>
      <c r="I10" s="11">
        <f>+EDATE(Tabla2[[#This Row],[Inicio]],Tabla2[[#This Row],[Vigencia (meses)]])</f>
        <v>44440</v>
      </c>
      <c r="K10" t="s">
        <v>47</v>
      </c>
    </row>
    <row r="11" spans="1:11" x14ac:dyDescent="0.25">
      <c r="A11">
        <v>4</v>
      </c>
      <c r="B11" t="s">
        <v>57</v>
      </c>
      <c r="C11" t="s">
        <v>55</v>
      </c>
      <c r="D11" s="5">
        <v>1</v>
      </c>
      <c r="E11" s="4">
        <v>73000</v>
      </c>
      <c r="F11" s="4">
        <f>+Tabla2[Cantidad]*Tabla2[Monto unitario]</f>
        <v>73000</v>
      </c>
      <c r="G11" s="11">
        <v>43344</v>
      </c>
      <c r="H11">
        <v>36</v>
      </c>
      <c r="I11" s="11">
        <f>+EDATE(Tabla2[[#This Row],[Inicio]],Tabla2[[#This Row],[Vigencia (meses)]])</f>
        <v>44440</v>
      </c>
      <c r="K11" t="s">
        <v>58</v>
      </c>
    </row>
    <row r="12" spans="1:11" x14ac:dyDescent="0.25">
      <c r="A12">
        <v>5</v>
      </c>
      <c r="B12" t="s">
        <v>51</v>
      </c>
      <c r="C12" t="s">
        <v>62</v>
      </c>
      <c r="D12" s="5">
        <v>1</v>
      </c>
      <c r="E12" s="4">
        <v>25500</v>
      </c>
      <c r="F12" s="4">
        <f>+Tabla2[Cantidad]*Tabla2[Monto unitario]</f>
        <v>25500</v>
      </c>
      <c r="G12" s="11">
        <v>43497</v>
      </c>
      <c r="H12">
        <v>48</v>
      </c>
      <c r="I12" s="11">
        <f>+EDATE(Tabla2[[#This Row],[Inicio]],Tabla2[[#This Row],[Vigencia (meses)]])</f>
        <v>44958</v>
      </c>
      <c r="K12" t="s">
        <v>47</v>
      </c>
    </row>
    <row r="14" spans="1:11" x14ac:dyDescent="0.25">
      <c r="E14" s="3"/>
      <c r="F14" s="3">
        <f>+SUM(Tabla2[Pago total])</f>
        <v>271000</v>
      </c>
    </row>
    <row r="15" spans="1:11" x14ac:dyDescent="0.25">
      <c r="E15" s="3" t="s">
        <v>71</v>
      </c>
      <c r="F15" s="17">
        <f>+F11</f>
        <v>73000</v>
      </c>
    </row>
    <row r="16" spans="1:11" x14ac:dyDescent="0.25">
      <c r="E16" s="16" t="s">
        <v>72</v>
      </c>
      <c r="F16" s="17">
        <f>+F7</f>
        <v>25000</v>
      </c>
    </row>
    <row r="17" spans="6:8" x14ac:dyDescent="0.25">
      <c r="F17" s="17">
        <f>+F14-SUM(F15:F16)</f>
        <v>173000</v>
      </c>
    </row>
    <row r="18" spans="6:8" x14ac:dyDescent="0.25">
      <c r="F18" s="3"/>
      <c r="H18" s="17"/>
    </row>
    <row r="19" spans="6:8" x14ac:dyDescent="0.25">
      <c r="F19" s="3">
        <f>1300000-125000</f>
        <v>1175000</v>
      </c>
    </row>
    <row r="20" spans="6:8" x14ac:dyDescent="0.25">
      <c r="F20" s="17">
        <f>+F19-F12-SUM(F3:F8)</f>
        <v>1029000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Matriz global</vt:lpstr>
      <vt:lpstr>Penalización TR</vt:lpstr>
      <vt:lpstr>Resumen serv. fijos</vt:lpstr>
      <vt:lpstr>Servicios fijos contratados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Benavides Herrera</dc:creator>
  <cp:lastModifiedBy>Alfonso Aguilar Aguirre</cp:lastModifiedBy>
  <dcterms:created xsi:type="dcterms:W3CDTF">2019-01-11T18:53:00Z</dcterms:created>
  <dcterms:modified xsi:type="dcterms:W3CDTF">2019-04-30T16:04:15Z</dcterms:modified>
</cp:coreProperties>
</file>