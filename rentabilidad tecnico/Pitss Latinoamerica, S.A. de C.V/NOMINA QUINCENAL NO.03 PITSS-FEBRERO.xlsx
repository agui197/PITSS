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Hg-servidor-pc\servidor hg\CONSULTORIA EN PROYECTOS\II-.- NOMINAS\NOMINAS 2019\SUELDOS Y SALARIOS\SEITON\02 FEBRERO\03\"/>
    </mc:Choice>
  </mc:AlternateContent>
  <bookViews>
    <workbookView xWindow="120" yWindow="2730" windowWidth="20370" windowHeight="4590" firstSheet="1" activeTab="6"/>
  </bookViews>
  <sheets>
    <sheet name="FACTURACION SINDICATO" sheetId="15" state="hidden" r:id="rId1"/>
    <sheet name="CPD" sheetId="17" r:id="rId2"/>
    <sheet name="FAC-CPD" sheetId="18" r:id="rId3"/>
    <sheet name="IP" sheetId="2" r:id="rId4"/>
    <sheet name="FAC-IP" sheetId="19" r:id="rId5"/>
    <sheet name="SINDICATO" sheetId="3" r:id="rId6"/>
    <sheet name="FAC-SINDICATO" sheetId="20" r:id="rId7"/>
    <sheet name="RESUMEN" sheetId="4" r:id="rId8"/>
    <sheet name="NETOS" sheetId="5" state="hidden" r:id="rId9"/>
    <sheet name="ABC" sheetId="7" state="hidden" r:id="rId10"/>
    <sheet name="Hoja4" sheetId="12" state="hidden" r:id="rId11"/>
  </sheets>
  <definedNames>
    <definedName name="_xlnm._FilterDatabase" localSheetId="1" hidden="1">CPD!$A$8:$AS$39</definedName>
    <definedName name="_xlnm._FilterDatabase" localSheetId="2" hidden="1">'FAC-CPD'!$B$8:$AT$41</definedName>
    <definedName name="_xlnm._FilterDatabase" localSheetId="4" hidden="1">'FAC-IP'!$B$8:$AP$136</definedName>
    <definedName name="_xlnm._FilterDatabase" localSheetId="6" hidden="1">'FAC-SINDICATO'!$B$6:$J$147</definedName>
    <definedName name="_xlnm._FilterDatabase" localSheetId="3" hidden="1">IP!$A$8:$AO$134</definedName>
    <definedName name="_xlnm._FilterDatabase" localSheetId="7" hidden="1">RESUMEN!$A$3:$AA$146</definedName>
    <definedName name="_xlnm._FilterDatabase" localSheetId="5" hidden="1">SINDICATO!$A$6:$N$145</definedName>
  </definedNames>
  <calcPr calcId="162913"/>
</workbook>
</file>

<file path=xl/calcChain.xml><?xml version="1.0" encoding="utf-8"?>
<calcChain xmlns="http://schemas.openxmlformats.org/spreadsheetml/2006/main">
  <c r="F146" i="20" l="1"/>
  <c r="G146" i="20"/>
  <c r="H146" i="20"/>
  <c r="E146" i="20"/>
  <c r="D89" i="19"/>
  <c r="D121" i="19" s="1"/>
  <c r="D119" i="19"/>
  <c r="E119" i="19"/>
  <c r="F119" i="19"/>
  <c r="G119" i="19"/>
  <c r="H119" i="19"/>
  <c r="I119" i="19"/>
  <c r="J119" i="19"/>
  <c r="K119" i="19"/>
  <c r="L119" i="19"/>
  <c r="M119" i="19"/>
  <c r="N119" i="19"/>
  <c r="O119" i="19"/>
  <c r="P119" i="19"/>
  <c r="Q119" i="19"/>
  <c r="R119" i="19"/>
  <c r="S119" i="19"/>
  <c r="T119" i="19"/>
  <c r="U119" i="19"/>
  <c r="V119" i="19"/>
  <c r="W119" i="19"/>
  <c r="X119" i="19"/>
  <c r="Y119" i="19"/>
  <c r="Z119" i="19"/>
  <c r="AA119" i="19"/>
  <c r="AB119" i="19"/>
  <c r="AC119" i="19"/>
  <c r="AD119" i="19"/>
  <c r="AE119" i="19"/>
  <c r="AF119" i="19"/>
  <c r="AG119" i="19"/>
  <c r="AH119" i="19"/>
  <c r="AI119" i="19"/>
  <c r="AJ119" i="19"/>
  <c r="AK119" i="19"/>
  <c r="AL119" i="19"/>
  <c r="AM119" i="19"/>
  <c r="AN119" i="19"/>
  <c r="I146" i="20" l="1"/>
  <c r="H160" i="20"/>
  <c r="D146" i="20"/>
  <c r="C146" i="20"/>
  <c r="B146" i="20"/>
  <c r="I108" i="20"/>
  <c r="H108" i="20"/>
  <c r="H147" i="20" s="1"/>
  <c r="G108" i="20"/>
  <c r="G147" i="20" s="1"/>
  <c r="F108" i="20"/>
  <c r="F147" i="20" s="1"/>
  <c r="E108" i="20"/>
  <c r="E147" i="20" s="1"/>
  <c r="D108" i="20"/>
  <c r="C108" i="20"/>
  <c r="B108" i="20"/>
  <c r="AO119" i="19"/>
  <c r="M139" i="19"/>
  <c r="M123" i="19"/>
  <c r="M127" i="19"/>
  <c r="M124" i="19"/>
  <c r="M126" i="19"/>
  <c r="M132" i="19"/>
  <c r="C119" i="19"/>
  <c r="B119" i="19"/>
  <c r="AO89" i="19"/>
  <c r="AO121" i="19" s="1"/>
  <c r="AN89" i="19"/>
  <c r="AN121" i="19" s="1"/>
  <c r="AM89" i="19"/>
  <c r="AM121" i="19" s="1"/>
  <c r="AL89" i="19"/>
  <c r="AL121" i="19" s="1"/>
  <c r="AK89" i="19"/>
  <c r="AK121" i="19" s="1"/>
  <c r="AJ89" i="19"/>
  <c r="AJ121" i="19" s="1"/>
  <c r="AI89" i="19"/>
  <c r="AI121" i="19" s="1"/>
  <c r="AH89" i="19"/>
  <c r="AH121" i="19" s="1"/>
  <c r="AG89" i="19"/>
  <c r="AG121" i="19" s="1"/>
  <c r="AF89" i="19"/>
  <c r="AE89" i="19"/>
  <c r="AE121" i="19" s="1"/>
  <c r="AD89" i="19"/>
  <c r="AD121" i="19" s="1"/>
  <c r="AC89" i="19"/>
  <c r="AC121" i="19" s="1"/>
  <c r="AB89" i="19"/>
  <c r="AB121" i="19" s="1"/>
  <c r="AA89" i="19"/>
  <c r="AA121" i="19" s="1"/>
  <c r="Z89" i="19"/>
  <c r="Z121" i="19" s="1"/>
  <c r="Y89" i="19"/>
  <c r="Y121" i="19" s="1"/>
  <c r="X89" i="19"/>
  <c r="X121" i="19" s="1"/>
  <c r="W89" i="19"/>
  <c r="K123" i="19" s="1"/>
  <c r="V89" i="19"/>
  <c r="V121" i="19" s="1"/>
  <c r="U89" i="19"/>
  <c r="U121" i="19" s="1"/>
  <c r="T89" i="19"/>
  <c r="T121" i="19" s="1"/>
  <c r="S89" i="19"/>
  <c r="K124" i="19" s="1"/>
  <c r="R89" i="19"/>
  <c r="K126" i="19" s="1"/>
  <c r="Q89" i="19"/>
  <c r="Q121" i="19" s="1"/>
  <c r="P89" i="19"/>
  <c r="P121" i="19" s="1"/>
  <c r="O89" i="19"/>
  <c r="O121" i="19" s="1"/>
  <c r="N89" i="19"/>
  <c r="M89" i="19"/>
  <c r="M121" i="19" s="1"/>
  <c r="L89" i="19"/>
  <c r="L121" i="19" s="1"/>
  <c r="K89" i="19"/>
  <c r="K132" i="19" s="1"/>
  <c r="J89" i="19"/>
  <c r="J121" i="19" s="1"/>
  <c r="I89" i="19"/>
  <c r="I121" i="19" s="1"/>
  <c r="H89" i="19"/>
  <c r="H121" i="19" s="1"/>
  <c r="G89" i="19"/>
  <c r="G121" i="19" s="1"/>
  <c r="F89" i="19"/>
  <c r="F121" i="19" s="1"/>
  <c r="E89" i="19"/>
  <c r="E121" i="19" s="1"/>
  <c r="C89" i="19"/>
  <c r="B89" i="19"/>
  <c r="B121" i="19" s="1"/>
  <c r="B126" i="19"/>
  <c r="M55" i="17"/>
  <c r="M54" i="17"/>
  <c r="M53" i="17"/>
  <c r="M52" i="17"/>
  <c r="M51" i="17"/>
  <c r="M50" i="17"/>
  <c r="M49" i="17"/>
  <c r="M48" i="17"/>
  <c r="M47" i="17"/>
  <c r="M46" i="17"/>
  <c r="M45" i="17"/>
  <c r="M44" i="17"/>
  <c r="AR39" i="18"/>
  <c r="AQ39" i="18"/>
  <c r="P57" i="18" s="1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P43" i="18" s="1"/>
  <c r="Y39" i="18"/>
  <c r="X39" i="18"/>
  <c r="W39" i="18"/>
  <c r="P44" i="18" s="1"/>
  <c r="V39" i="18"/>
  <c r="U39" i="18"/>
  <c r="T39" i="18"/>
  <c r="S39" i="18"/>
  <c r="R39" i="18"/>
  <c r="Q39" i="18"/>
  <c r="P39" i="18"/>
  <c r="O39" i="18"/>
  <c r="N39" i="18"/>
  <c r="P51" i="18" s="1"/>
  <c r="M39" i="18"/>
  <c r="L39" i="18"/>
  <c r="K39" i="18"/>
  <c r="J39" i="18"/>
  <c r="I39" i="18"/>
  <c r="H39" i="18"/>
  <c r="G39" i="18"/>
  <c r="F39" i="18"/>
  <c r="E39" i="18"/>
  <c r="D39" i="18"/>
  <c r="C39" i="18"/>
  <c r="B39" i="18"/>
  <c r="AR30" i="18"/>
  <c r="AQ30" i="18"/>
  <c r="N57" i="18" s="1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N43" i="18" s="1"/>
  <c r="Y30" i="18"/>
  <c r="X30" i="18"/>
  <c r="W30" i="18"/>
  <c r="N44" i="18" s="1"/>
  <c r="V30" i="18"/>
  <c r="N46" i="18" s="1"/>
  <c r="U30" i="18"/>
  <c r="T30" i="18"/>
  <c r="S30" i="18"/>
  <c r="R30" i="18"/>
  <c r="Q30" i="18"/>
  <c r="P30" i="18"/>
  <c r="O30" i="18"/>
  <c r="N30" i="18"/>
  <c r="N51" i="18" s="1"/>
  <c r="M30" i="18"/>
  <c r="L30" i="18"/>
  <c r="K30" i="18"/>
  <c r="J30" i="18"/>
  <c r="I30" i="18"/>
  <c r="H30" i="18"/>
  <c r="G30" i="18"/>
  <c r="F30" i="18"/>
  <c r="E30" i="18"/>
  <c r="D30" i="18"/>
  <c r="C30" i="18"/>
  <c r="B30" i="18"/>
  <c r="B46" i="18"/>
  <c r="C121" i="19" l="1"/>
  <c r="M131" i="19"/>
  <c r="AF121" i="19"/>
  <c r="M125" i="19"/>
  <c r="M128" i="19" s="1"/>
  <c r="S121" i="19"/>
  <c r="K121" i="19"/>
  <c r="K131" i="19"/>
  <c r="W121" i="19"/>
  <c r="K139" i="19"/>
  <c r="K142" i="19" s="1"/>
  <c r="M140" i="19"/>
  <c r="M141" i="19" s="1"/>
  <c r="R121" i="19"/>
  <c r="N121" i="19"/>
  <c r="K125" i="19"/>
  <c r="K127" i="19"/>
  <c r="E41" i="18"/>
  <c r="M41" i="18"/>
  <c r="U41" i="18"/>
  <c r="AC41" i="18"/>
  <c r="AK41" i="18"/>
  <c r="F41" i="18"/>
  <c r="R41" i="18"/>
  <c r="AD41" i="18"/>
  <c r="AH41" i="18"/>
  <c r="AL41" i="18"/>
  <c r="AP41" i="18"/>
  <c r="I41" i="18"/>
  <c r="Y41" i="18"/>
  <c r="AG41" i="18"/>
  <c r="AO41" i="18"/>
  <c r="B41" i="18"/>
  <c r="J41" i="18"/>
  <c r="N60" i="18"/>
  <c r="N58" i="18"/>
  <c r="N59" i="18" s="1"/>
  <c r="N61" i="18" s="1"/>
  <c r="N62" i="18" s="1"/>
  <c r="P60" i="18"/>
  <c r="P58" i="18"/>
  <c r="P59" i="18" s="1"/>
  <c r="P61" i="18" s="1"/>
  <c r="P50" i="18"/>
  <c r="H149" i="20"/>
  <c r="M142" i="19"/>
  <c r="D41" i="18"/>
  <c r="H41" i="18"/>
  <c r="L41" i="18"/>
  <c r="P41" i="18"/>
  <c r="T41" i="18"/>
  <c r="X41" i="18"/>
  <c r="AB41" i="18"/>
  <c r="AF41" i="18"/>
  <c r="AJ41" i="18"/>
  <c r="AN41" i="18"/>
  <c r="AR41" i="18"/>
  <c r="N50" i="18"/>
  <c r="G41" i="18"/>
  <c r="K41" i="18"/>
  <c r="O41" i="18"/>
  <c r="P45" i="18"/>
  <c r="AA41" i="18"/>
  <c r="AE41" i="18"/>
  <c r="AI41" i="18"/>
  <c r="AM41" i="18"/>
  <c r="AQ41" i="18"/>
  <c r="W41" i="18"/>
  <c r="Z41" i="18"/>
  <c r="V41" i="18"/>
  <c r="N41" i="18"/>
  <c r="N45" i="18"/>
  <c r="N47" i="18" s="1"/>
  <c r="P46" i="18"/>
  <c r="S41" i="18"/>
  <c r="Q41" i="18"/>
  <c r="C41" i="18"/>
  <c r="G30" i="3"/>
  <c r="K140" i="19" l="1"/>
  <c r="K141" i="19" s="1"/>
  <c r="K143" i="19"/>
  <c r="K144" i="19" s="1"/>
  <c r="K145" i="19" s="1"/>
  <c r="K128" i="19"/>
  <c r="K129" i="19" s="1"/>
  <c r="K130" i="19" s="1"/>
  <c r="K133" i="19" s="1"/>
  <c r="K135" i="19" s="1"/>
  <c r="K136" i="19" s="1"/>
  <c r="M143" i="19"/>
  <c r="M144" i="19" s="1"/>
  <c r="M145" i="19" s="1"/>
  <c r="M129" i="19"/>
  <c r="M130" i="19" s="1"/>
  <c r="M133" i="19" s="1"/>
  <c r="P62" i="18"/>
  <c r="P63" i="18" s="1"/>
  <c r="P47" i="18"/>
  <c r="P48" i="18" s="1"/>
  <c r="P49" i="18" s="1"/>
  <c r="P52" i="18" s="1"/>
  <c r="N48" i="18"/>
  <c r="N49" i="18" s="1"/>
  <c r="N52" i="18" s="1"/>
  <c r="N63" i="18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35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4" i="4"/>
  <c r="M135" i="19" l="1"/>
  <c r="M136" i="19" s="1"/>
  <c r="P53" i="18"/>
  <c r="P54" i="18" s="1"/>
  <c r="N53" i="18"/>
  <c r="F125" i="3"/>
  <c r="F124" i="3"/>
  <c r="F64" i="3"/>
  <c r="F44" i="3"/>
  <c r="K64" i="3"/>
  <c r="N54" i="18" l="1"/>
  <c r="AP39" i="17"/>
  <c r="AM119" i="2"/>
  <c r="H151" i="20" l="1"/>
  <c r="H152" i="20" s="1"/>
  <c r="H153" i="20" s="1"/>
  <c r="H156" i="20" s="1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35" i="4"/>
  <c r="H157" i="20" l="1"/>
  <c r="H158" i="20" s="1"/>
  <c r="H162" i="20" s="1"/>
  <c r="O143" i="4"/>
  <c r="Q143" i="4"/>
  <c r="R143" i="4"/>
  <c r="T143" i="4"/>
  <c r="U143" i="4"/>
  <c r="W143" i="4"/>
  <c r="M143" i="4"/>
  <c r="F144" i="4"/>
  <c r="G144" i="4"/>
  <c r="J144" i="4"/>
  <c r="N144" i="4"/>
  <c r="S144" i="4"/>
  <c r="V144" i="4"/>
  <c r="X144" i="4"/>
  <c r="AA144" i="4"/>
  <c r="E143" i="4"/>
  <c r="G145" i="3"/>
  <c r="G109" i="3"/>
  <c r="G44" i="3"/>
  <c r="G75" i="3"/>
  <c r="G126" i="3"/>
  <c r="G72" i="3"/>
  <c r="G120" i="3"/>
  <c r="G43" i="3"/>
  <c r="G99" i="3"/>
  <c r="G91" i="3"/>
  <c r="G68" i="3"/>
  <c r="G103" i="3"/>
  <c r="G112" i="3"/>
  <c r="G98" i="3"/>
  <c r="G65" i="3"/>
  <c r="G139" i="3"/>
  <c r="G63" i="3"/>
  <c r="G144" i="3"/>
  <c r="G100" i="3"/>
  <c r="G36" i="3"/>
  <c r="G61" i="3"/>
  <c r="F145" i="3"/>
  <c r="H141" i="3"/>
  <c r="H142" i="3"/>
  <c r="H143" i="3"/>
  <c r="H144" i="3"/>
  <c r="I144" i="3" s="1"/>
  <c r="G17" i="3"/>
  <c r="G11" i="3"/>
  <c r="M8" i="3"/>
  <c r="F114" i="3"/>
  <c r="F110" i="3"/>
  <c r="F86" i="3"/>
  <c r="H163" i="20" l="1"/>
  <c r="H164" i="20" s="1"/>
  <c r="H167" i="20" s="1"/>
  <c r="H168" i="20" s="1"/>
  <c r="H169" i="20" s="1"/>
  <c r="K143" i="4"/>
  <c r="P143" i="4"/>
  <c r="O142" i="4"/>
  <c r="Q142" i="4"/>
  <c r="R142" i="4"/>
  <c r="T142" i="4"/>
  <c r="U142" i="4"/>
  <c r="W142" i="4"/>
  <c r="M142" i="4"/>
  <c r="P142" i="4"/>
  <c r="E142" i="4"/>
  <c r="I143" i="3"/>
  <c r="J143" i="3"/>
  <c r="Y143" i="4" l="1"/>
  <c r="Z143" i="4" s="1"/>
  <c r="K142" i="4"/>
  <c r="Y142" i="4" s="1"/>
  <c r="Z142" i="4" s="1"/>
  <c r="O143" i="3" s="1"/>
  <c r="AB144" i="4" l="1"/>
  <c r="AC144" i="4"/>
  <c r="AD144" i="4"/>
  <c r="AE144" i="4"/>
  <c r="AK119" i="2"/>
  <c r="AL119" i="2"/>
  <c r="M103" i="3" l="1"/>
  <c r="O140" i="4"/>
  <c r="O141" i="4"/>
  <c r="O139" i="4"/>
  <c r="Q140" i="4"/>
  <c r="Q141" i="4"/>
  <c r="T140" i="4"/>
  <c r="U140" i="4"/>
  <c r="W140" i="4"/>
  <c r="T141" i="4"/>
  <c r="U141" i="4"/>
  <c r="W141" i="4"/>
  <c r="R140" i="4"/>
  <c r="R141" i="4"/>
  <c r="O55" i="3"/>
  <c r="O121" i="3"/>
  <c r="M140" i="4"/>
  <c r="M141" i="4"/>
  <c r="P140" i="4"/>
  <c r="P141" i="4"/>
  <c r="E137" i="4"/>
  <c r="E138" i="4"/>
  <c r="E139" i="4"/>
  <c r="E140" i="4"/>
  <c r="E141" i="4"/>
  <c r="I141" i="3"/>
  <c r="J141" i="3"/>
  <c r="I142" i="3"/>
  <c r="J142" i="3"/>
  <c r="K141" i="4" l="1"/>
  <c r="Y141" i="4" s="1"/>
  <c r="Z141" i="4" s="1"/>
  <c r="O142" i="3" s="1"/>
  <c r="K140" i="4"/>
  <c r="Y140" i="4" s="1"/>
  <c r="Z140" i="4" s="1"/>
  <c r="O141" i="3" s="1"/>
  <c r="A39" i="17" l="1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AG39" i="17"/>
  <c r="AH39" i="17"/>
  <c r="AI39" i="17"/>
  <c r="AJ39" i="17"/>
  <c r="AK39" i="17"/>
  <c r="AL39" i="17"/>
  <c r="AM39" i="17"/>
  <c r="AN39" i="17"/>
  <c r="W5" i="4" l="1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4" i="4"/>
  <c r="M35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7" i="3"/>
  <c r="J35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7" i="3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4" i="4"/>
  <c r="D33" i="4" l="1"/>
  <c r="A44" i="17"/>
  <c r="AO39" i="17"/>
  <c r="G25" i="4" l="1"/>
  <c r="E33" i="4"/>
  <c r="F33" i="4"/>
  <c r="J33" i="4"/>
  <c r="N33" i="4"/>
  <c r="U33" i="4"/>
  <c r="V33" i="4"/>
  <c r="X33" i="4"/>
  <c r="M32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6" i="4"/>
  <c r="G27" i="4"/>
  <c r="G28" i="4"/>
  <c r="G29" i="4"/>
  <c r="G30" i="4"/>
  <c r="G31" i="4"/>
  <c r="G32" i="4"/>
  <c r="G4" i="4"/>
  <c r="H135" i="3"/>
  <c r="H136" i="3"/>
  <c r="H137" i="3"/>
  <c r="H138" i="3"/>
  <c r="H139" i="3"/>
  <c r="H140" i="3"/>
  <c r="H33" i="3"/>
  <c r="H34" i="3"/>
  <c r="H35" i="3"/>
  <c r="I35" i="3" s="1"/>
  <c r="K32" i="4" l="1"/>
  <c r="Y32" i="4" s="1"/>
  <c r="Z32" i="4" s="1"/>
  <c r="O35" i="3" s="1"/>
  <c r="G33" i="4"/>
  <c r="E85" i="7"/>
  <c r="D85" i="7"/>
  <c r="C85" i="7"/>
  <c r="E13" i="7"/>
  <c r="D13" i="7"/>
  <c r="C13" i="7"/>
  <c r="G56" i="5"/>
  <c r="F56" i="5"/>
  <c r="E56" i="5"/>
  <c r="D56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AG144" i="4"/>
  <c r="AF144" i="4"/>
  <c r="W139" i="4"/>
  <c r="U139" i="4"/>
  <c r="T139" i="4"/>
  <c r="R139" i="4"/>
  <c r="Q139" i="4"/>
  <c r="P139" i="4"/>
  <c r="M139" i="4"/>
  <c r="W138" i="4"/>
  <c r="U138" i="4"/>
  <c r="T138" i="4"/>
  <c r="R138" i="4"/>
  <c r="Q138" i="4"/>
  <c r="P138" i="4"/>
  <c r="O138" i="4"/>
  <c r="M138" i="4"/>
  <c r="W137" i="4"/>
  <c r="U137" i="4"/>
  <c r="T137" i="4"/>
  <c r="R137" i="4"/>
  <c r="Q137" i="4"/>
  <c r="O137" i="4"/>
  <c r="M137" i="4"/>
  <c r="P137" i="4"/>
  <c r="W136" i="4"/>
  <c r="U136" i="4"/>
  <c r="T136" i="4"/>
  <c r="R136" i="4"/>
  <c r="Q136" i="4"/>
  <c r="O136" i="4"/>
  <c r="M136" i="4"/>
  <c r="E136" i="4"/>
  <c r="W135" i="4"/>
  <c r="U135" i="4"/>
  <c r="T135" i="4"/>
  <c r="R135" i="4"/>
  <c r="Q135" i="4"/>
  <c r="O135" i="4"/>
  <c r="M135" i="4"/>
  <c r="P135" i="4"/>
  <c r="E135" i="4"/>
  <c r="W134" i="4"/>
  <c r="U134" i="4"/>
  <c r="T134" i="4"/>
  <c r="R134" i="4"/>
  <c r="Q134" i="4"/>
  <c r="O134" i="4"/>
  <c r="M134" i="4"/>
  <c r="P134" i="4"/>
  <c r="E134" i="4"/>
  <c r="W133" i="4"/>
  <c r="U133" i="4"/>
  <c r="T133" i="4"/>
  <c r="R133" i="4"/>
  <c r="Q133" i="4"/>
  <c r="O133" i="4"/>
  <c r="M133" i="4"/>
  <c r="E133" i="4"/>
  <c r="W132" i="4"/>
  <c r="U132" i="4"/>
  <c r="T132" i="4"/>
  <c r="R132" i="4"/>
  <c r="Q132" i="4"/>
  <c r="O132" i="4"/>
  <c r="M132" i="4"/>
  <c r="E132" i="4"/>
  <c r="W131" i="4"/>
  <c r="U131" i="4"/>
  <c r="T131" i="4"/>
  <c r="R131" i="4"/>
  <c r="Q131" i="4"/>
  <c r="O131" i="4"/>
  <c r="M131" i="4"/>
  <c r="E131" i="4"/>
  <c r="W130" i="4"/>
  <c r="U130" i="4"/>
  <c r="T130" i="4"/>
  <c r="R130" i="4"/>
  <c r="Q130" i="4"/>
  <c r="O130" i="4"/>
  <c r="M130" i="4"/>
  <c r="E130" i="4"/>
  <c r="W129" i="4"/>
  <c r="U129" i="4"/>
  <c r="T129" i="4"/>
  <c r="R129" i="4"/>
  <c r="Q129" i="4"/>
  <c r="O129" i="4"/>
  <c r="M129" i="4"/>
  <c r="E129" i="4"/>
  <c r="W128" i="4"/>
  <c r="U128" i="4"/>
  <c r="T128" i="4"/>
  <c r="R128" i="4"/>
  <c r="Q128" i="4"/>
  <c r="O128" i="4"/>
  <c r="M128" i="4"/>
  <c r="E128" i="4"/>
  <c r="W127" i="4"/>
  <c r="U127" i="4"/>
  <c r="T127" i="4"/>
  <c r="R127" i="4"/>
  <c r="Q127" i="4"/>
  <c r="O127" i="4"/>
  <c r="M127" i="4"/>
  <c r="E127" i="4"/>
  <c r="W126" i="4"/>
  <c r="U126" i="4"/>
  <c r="T126" i="4"/>
  <c r="R126" i="4"/>
  <c r="Q126" i="4"/>
  <c r="O126" i="4"/>
  <c r="M126" i="4"/>
  <c r="E126" i="4"/>
  <c r="W125" i="4"/>
  <c r="U125" i="4"/>
  <c r="T125" i="4"/>
  <c r="R125" i="4"/>
  <c r="Q125" i="4"/>
  <c r="O125" i="4"/>
  <c r="M125" i="4"/>
  <c r="E125" i="4"/>
  <c r="W124" i="4"/>
  <c r="U124" i="4"/>
  <c r="T124" i="4"/>
  <c r="R124" i="4"/>
  <c r="Q124" i="4"/>
  <c r="O124" i="4"/>
  <c r="M124" i="4"/>
  <c r="E124" i="4"/>
  <c r="W123" i="4"/>
  <c r="U123" i="4"/>
  <c r="T123" i="4"/>
  <c r="R123" i="4"/>
  <c r="Q123" i="4"/>
  <c r="O123" i="4"/>
  <c r="M123" i="4"/>
  <c r="E123" i="4"/>
  <c r="U122" i="4"/>
  <c r="T122" i="4"/>
  <c r="R122" i="4"/>
  <c r="Q122" i="4"/>
  <c r="M122" i="4"/>
  <c r="E122" i="4"/>
  <c r="W121" i="4"/>
  <c r="U121" i="4"/>
  <c r="T121" i="4"/>
  <c r="R121" i="4"/>
  <c r="Q121" i="4"/>
  <c r="O121" i="4"/>
  <c r="M121" i="4"/>
  <c r="E121" i="4"/>
  <c r="W120" i="4"/>
  <c r="U120" i="4"/>
  <c r="T120" i="4"/>
  <c r="R120" i="4"/>
  <c r="Q120" i="4"/>
  <c r="O120" i="4"/>
  <c r="M120" i="4"/>
  <c r="E120" i="4"/>
  <c r="W119" i="4"/>
  <c r="U119" i="4"/>
  <c r="T119" i="4"/>
  <c r="R119" i="4"/>
  <c r="Q119" i="4"/>
  <c r="O119" i="4"/>
  <c r="M119" i="4"/>
  <c r="E119" i="4"/>
  <c r="W118" i="4"/>
  <c r="U118" i="4"/>
  <c r="T118" i="4"/>
  <c r="R118" i="4"/>
  <c r="Q118" i="4"/>
  <c r="O118" i="4"/>
  <c r="M118" i="4"/>
  <c r="E118" i="4"/>
  <c r="W117" i="4"/>
  <c r="U117" i="4"/>
  <c r="T117" i="4"/>
  <c r="R117" i="4"/>
  <c r="Q117" i="4"/>
  <c r="O117" i="4"/>
  <c r="M117" i="4"/>
  <c r="E117" i="4"/>
  <c r="W116" i="4"/>
  <c r="U116" i="4"/>
  <c r="T116" i="4"/>
  <c r="R116" i="4"/>
  <c r="Q116" i="4"/>
  <c r="O116" i="4"/>
  <c r="M116" i="4"/>
  <c r="E116" i="4"/>
  <c r="W115" i="4"/>
  <c r="U115" i="4"/>
  <c r="T115" i="4"/>
  <c r="R115" i="4"/>
  <c r="Q115" i="4"/>
  <c r="O115" i="4"/>
  <c r="M115" i="4"/>
  <c r="E115" i="4"/>
  <c r="W114" i="4"/>
  <c r="U114" i="4"/>
  <c r="T114" i="4"/>
  <c r="R114" i="4"/>
  <c r="Q114" i="4"/>
  <c r="O114" i="4"/>
  <c r="M114" i="4"/>
  <c r="E114" i="4"/>
  <c r="W113" i="4"/>
  <c r="U113" i="4"/>
  <c r="T113" i="4"/>
  <c r="R113" i="4"/>
  <c r="Q113" i="4"/>
  <c r="O113" i="4"/>
  <c r="M113" i="4"/>
  <c r="E113" i="4"/>
  <c r="W112" i="4"/>
  <c r="U112" i="4"/>
  <c r="T112" i="4"/>
  <c r="R112" i="4"/>
  <c r="Q112" i="4"/>
  <c r="O112" i="4"/>
  <c r="M112" i="4"/>
  <c r="E112" i="4"/>
  <c r="W111" i="4"/>
  <c r="U111" i="4"/>
  <c r="T111" i="4"/>
  <c r="R111" i="4"/>
  <c r="Q111" i="4"/>
  <c r="O111" i="4"/>
  <c r="M111" i="4"/>
  <c r="E111" i="4"/>
  <c r="W110" i="4"/>
  <c r="U110" i="4"/>
  <c r="T110" i="4"/>
  <c r="R110" i="4"/>
  <c r="Q110" i="4"/>
  <c r="O110" i="4"/>
  <c r="M110" i="4"/>
  <c r="E110" i="4"/>
  <c r="W109" i="4"/>
  <c r="U109" i="4"/>
  <c r="T109" i="4"/>
  <c r="R109" i="4"/>
  <c r="Q109" i="4"/>
  <c r="O109" i="4"/>
  <c r="M109" i="4"/>
  <c r="E109" i="4"/>
  <c r="W108" i="4"/>
  <c r="U108" i="4"/>
  <c r="T108" i="4"/>
  <c r="R108" i="4"/>
  <c r="Q108" i="4"/>
  <c r="O108" i="4"/>
  <c r="M108" i="4"/>
  <c r="E108" i="4"/>
  <c r="W107" i="4"/>
  <c r="U107" i="4"/>
  <c r="T107" i="4"/>
  <c r="R107" i="4"/>
  <c r="Q107" i="4"/>
  <c r="O107" i="4"/>
  <c r="M107" i="4"/>
  <c r="E107" i="4"/>
  <c r="W106" i="4"/>
  <c r="U106" i="4"/>
  <c r="T106" i="4"/>
  <c r="R106" i="4"/>
  <c r="Q106" i="4"/>
  <c r="O106" i="4"/>
  <c r="M106" i="4"/>
  <c r="E106" i="4"/>
  <c r="W105" i="4"/>
  <c r="U105" i="4"/>
  <c r="T105" i="4"/>
  <c r="R105" i="4"/>
  <c r="Q105" i="4"/>
  <c r="O105" i="4"/>
  <c r="M105" i="4"/>
  <c r="E105" i="4"/>
  <c r="W104" i="4"/>
  <c r="U104" i="4"/>
  <c r="T104" i="4"/>
  <c r="R104" i="4"/>
  <c r="Q104" i="4"/>
  <c r="O104" i="4"/>
  <c r="M104" i="4"/>
  <c r="E104" i="4"/>
  <c r="W103" i="4"/>
  <c r="U103" i="4"/>
  <c r="T103" i="4"/>
  <c r="R103" i="4"/>
  <c r="Q103" i="4"/>
  <c r="O103" i="4"/>
  <c r="M103" i="4"/>
  <c r="E103" i="4"/>
  <c r="W102" i="4"/>
  <c r="U102" i="4"/>
  <c r="T102" i="4"/>
  <c r="R102" i="4"/>
  <c r="Q102" i="4"/>
  <c r="O102" i="4"/>
  <c r="M102" i="4"/>
  <c r="E102" i="4"/>
  <c r="W101" i="4"/>
  <c r="U101" i="4"/>
  <c r="T101" i="4"/>
  <c r="R101" i="4"/>
  <c r="Q101" i="4"/>
  <c r="O101" i="4"/>
  <c r="M101" i="4"/>
  <c r="E101" i="4"/>
  <c r="W100" i="4"/>
  <c r="U100" i="4"/>
  <c r="T100" i="4"/>
  <c r="R100" i="4"/>
  <c r="Q100" i="4"/>
  <c r="O100" i="4"/>
  <c r="M100" i="4"/>
  <c r="E100" i="4"/>
  <c r="W99" i="4"/>
  <c r="U99" i="4"/>
  <c r="T99" i="4"/>
  <c r="R99" i="4"/>
  <c r="Q99" i="4"/>
  <c r="O99" i="4"/>
  <c r="L99" i="4"/>
  <c r="M99" i="4" s="1"/>
  <c r="E99" i="4"/>
  <c r="W98" i="4"/>
  <c r="U98" i="4"/>
  <c r="T98" i="4"/>
  <c r="R98" i="4"/>
  <c r="Q98" i="4"/>
  <c r="O98" i="4"/>
  <c r="L98" i="4"/>
  <c r="K37" i="3" s="1"/>
  <c r="E98" i="4"/>
  <c r="W97" i="4"/>
  <c r="U97" i="4"/>
  <c r="T97" i="4"/>
  <c r="R97" i="4"/>
  <c r="Q97" i="4"/>
  <c r="O97" i="4"/>
  <c r="L97" i="4"/>
  <c r="M97" i="4" s="1"/>
  <c r="E97" i="4"/>
  <c r="W96" i="4"/>
  <c r="U96" i="4"/>
  <c r="T96" i="4"/>
  <c r="R96" i="4"/>
  <c r="Q96" i="4"/>
  <c r="O96" i="4"/>
  <c r="M96" i="4"/>
  <c r="E96" i="4"/>
  <c r="W95" i="4"/>
  <c r="U95" i="4"/>
  <c r="T95" i="4"/>
  <c r="R95" i="4"/>
  <c r="Q95" i="4"/>
  <c r="O95" i="4"/>
  <c r="M95" i="4"/>
  <c r="E95" i="4"/>
  <c r="W94" i="4"/>
  <c r="U94" i="4"/>
  <c r="T94" i="4"/>
  <c r="R94" i="4"/>
  <c r="Q94" i="4"/>
  <c r="O94" i="4"/>
  <c r="M94" i="4"/>
  <c r="E94" i="4"/>
  <c r="W93" i="4"/>
  <c r="U93" i="4"/>
  <c r="T93" i="4"/>
  <c r="R93" i="4"/>
  <c r="Q93" i="4"/>
  <c r="O93" i="4"/>
  <c r="M93" i="4"/>
  <c r="E93" i="4"/>
  <c r="W92" i="4"/>
  <c r="U92" i="4"/>
  <c r="T92" i="4"/>
  <c r="R92" i="4"/>
  <c r="Q92" i="4"/>
  <c r="O92" i="4"/>
  <c r="M92" i="4"/>
  <c r="E92" i="4"/>
  <c r="W91" i="4"/>
  <c r="U91" i="4"/>
  <c r="T91" i="4"/>
  <c r="R91" i="4"/>
  <c r="Q91" i="4"/>
  <c r="O91" i="4"/>
  <c r="M91" i="4"/>
  <c r="E91" i="4"/>
  <c r="W90" i="4"/>
  <c r="U90" i="4"/>
  <c r="T90" i="4"/>
  <c r="R90" i="4"/>
  <c r="Q90" i="4"/>
  <c r="O90" i="4"/>
  <c r="M90" i="4"/>
  <c r="E90" i="4"/>
  <c r="W89" i="4"/>
  <c r="U89" i="4"/>
  <c r="T89" i="4"/>
  <c r="R89" i="4"/>
  <c r="Q89" i="4"/>
  <c r="O89" i="4"/>
  <c r="M89" i="4"/>
  <c r="E89" i="4"/>
  <c r="W88" i="4"/>
  <c r="U88" i="4"/>
  <c r="T88" i="4"/>
  <c r="R88" i="4"/>
  <c r="Q88" i="4"/>
  <c r="O88" i="4"/>
  <c r="M88" i="4"/>
  <c r="E88" i="4"/>
  <c r="W87" i="4"/>
  <c r="U87" i="4"/>
  <c r="T87" i="4"/>
  <c r="R87" i="4"/>
  <c r="Q87" i="4"/>
  <c r="O87" i="4"/>
  <c r="M87" i="4"/>
  <c r="E87" i="4"/>
  <c r="W86" i="4"/>
  <c r="U86" i="4"/>
  <c r="T86" i="4"/>
  <c r="R86" i="4"/>
  <c r="Q86" i="4"/>
  <c r="O86" i="4"/>
  <c r="M86" i="4"/>
  <c r="E86" i="4"/>
  <c r="W85" i="4"/>
  <c r="U85" i="4"/>
  <c r="T85" i="4"/>
  <c r="R85" i="4"/>
  <c r="Q85" i="4"/>
  <c r="O85" i="4"/>
  <c r="M85" i="4"/>
  <c r="E85" i="4"/>
  <c r="W84" i="4"/>
  <c r="U84" i="4"/>
  <c r="T84" i="4"/>
  <c r="R84" i="4"/>
  <c r="Q84" i="4"/>
  <c r="O84" i="4"/>
  <c r="M84" i="4"/>
  <c r="E84" i="4"/>
  <c r="W83" i="4"/>
  <c r="U83" i="4"/>
  <c r="T83" i="4"/>
  <c r="R83" i="4"/>
  <c r="Q83" i="4"/>
  <c r="O83" i="4"/>
  <c r="M83" i="4"/>
  <c r="E83" i="4"/>
  <c r="W82" i="4"/>
  <c r="U82" i="4"/>
  <c r="T82" i="4"/>
  <c r="R82" i="4"/>
  <c r="Q82" i="4"/>
  <c r="O82" i="4"/>
  <c r="M82" i="4"/>
  <c r="E82" i="4"/>
  <c r="W81" i="4"/>
  <c r="U81" i="4"/>
  <c r="T81" i="4"/>
  <c r="R81" i="4"/>
  <c r="Q81" i="4"/>
  <c r="O81" i="4"/>
  <c r="M81" i="4"/>
  <c r="E81" i="4"/>
  <c r="W80" i="4"/>
  <c r="U80" i="4"/>
  <c r="T80" i="4"/>
  <c r="R80" i="4"/>
  <c r="Q80" i="4"/>
  <c r="O80" i="4"/>
  <c r="M80" i="4"/>
  <c r="E80" i="4"/>
  <c r="W79" i="4"/>
  <c r="U79" i="4"/>
  <c r="T79" i="4"/>
  <c r="R79" i="4"/>
  <c r="Q79" i="4"/>
  <c r="O79" i="4"/>
  <c r="M79" i="4"/>
  <c r="E79" i="4"/>
  <c r="W78" i="4"/>
  <c r="U78" i="4"/>
  <c r="T78" i="4"/>
  <c r="R78" i="4"/>
  <c r="Q78" i="4"/>
  <c r="O78" i="4"/>
  <c r="M78" i="4"/>
  <c r="E78" i="4"/>
  <c r="W77" i="4"/>
  <c r="U77" i="4"/>
  <c r="T77" i="4"/>
  <c r="R77" i="4"/>
  <c r="Q77" i="4"/>
  <c r="O77" i="4"/>
  <c r="M77" i="4"/>
  <c r="E77" i="4"/>
  <c r="W76" i="4"/>
  <c r="U76" i="4"/>
  <c r="T76" i="4"/>
  <c r="R76" i="4"/>
  <c r="Q76" i="4"/>
  <c r="O76" i="4"/>
  <c r="M76" i="4"/>
  <c r="E76" i="4"/>
  <c r="W75" i="4"/>
  <c r="U75" i="4"/>
  <c r="T75" i="4"/>
  <c r="R75" i="4"/>
  <c r="Q75" i="4"/>
  <c r="O75" i="4"/>
  <c r="M75" i="4"/>
  <c r="E75" i="4"/>
  <c r="W74" i="4"/>
  <c r="U74" i="4"/>
  <c r="T74" i="4"/>
  <c r="R74" i="4"/>
  <c r="Q74" i="4"/>
  <c r="O74" i="4"/>
  <c r="M74" i="4"/>
  <c r="E74" i="4"/>
  <c r="W73" i="4"/>
  <c r="U73" i="4"/>
  <c r="T73" i="4"/>
  <c r="R73" i="4"/>
  <c r="Q73" i="4"/>
  <c r="O73" i="4"/>
  <c r="M73" i="4"/>
  <c r="E73" i="4"/>
  <c r="W72" i="4"/>
  <c r="U72" i="4"/>
  <c r="T72" i="4"/>
  <c r="R72" i="4"/>
  <c r="Q72" i="4"/>
  <c r="O72" i="4"/>
  <c r="M72" i="4"/>
  <c r="E72" i="4"/>
  <c r="W71" i="4"/>
  <c r="U71" i="4"/>
  <c r="T71" i="4"/>
  <c r="R71" i="4"/>
  <c r="Q71" i="4"/>
  <c r="O71" i="4"/>
  <c r="M71" i="4"/>
  <c r="E71" i="4"/>
  <c r="W70" i="4"/>
  <c r="U70" i="4"/>
  <c r="T70" i="4"/>
  <c r="R70" i="4"/>
  <c r="Q70" i="4"/>
  <c r="O70" i="4"/>
  <c r="M70" i="4"/>
  <c r="E70" i="4"/>
  <c r="W69" i="4"/>
  <c r="U69" i="4"/>
  <c r="T69" i="4"/>
  <c r="R69" i="4"/>
  <c r="Q69" i="4"/>
  <c r="O69" i="4"/>
  <c r="M69" i="4"/>
  <c r="E69" i="4"/>
  <c r="W68" i="4"/>
  <c r="U68" i="4"/>
  <c r="T68" i="4"/>
  <c r="R68" i="4"/>
  <c r="Q68" i="4"/>
  <c r="O68" i="4"/>
  <c r="M68" i="4"/>
  <c r="E68" i="4"/>
  <c r="W67" i="4"/>
  <c r="U67" i="4"/>
  <c r="T67" i="4"/>
  <c r="R67" i="4"/>
  <c r="Q67" i="4"/>
  <c r="O67" i="4"/>
  <c r="M67" i="4"/>
  <c r="E67" i="4"/>
  <c r="W66" i="4"/>
  <c r="U66" i="4"/>
  <c r="T66" i="4"/>
  <c r="R66" i="4"/>
  <c r="Q66" i="4"/>
  <c r="O66" i="4"/>
  <c r="M66" i="4"/>
  <c r="E66" i="4"/>
  <c r="W65" i="4"/>
  <c r="U65" i="4"/>
  <c r="T65" i="4"/>
  <c r="R65" i="4"/>
  <c r="Q65" i="4"/>
  <c r="O65" i="4"/>
  <c r="M65" i="4"/>
  <c r="E65" i="4"/>
  <c r="W64" i="4"/>
  <c r="U64" i="4"/>
  <c r="T64" i="4"/>
  <c r="R64" i="4"/>
  <c r="Q64" i="4"/>
  <c r="O64" i="4"/>
  <c r="M64" i="4"/>
  <c r="E64" i="4"/>
  <c r="W63" i="4"/>
  <c r="U63" i="4"/>
  <c r="T63" i="4"/>
  <c r="R63" i="4"/>
  <c r="Q63" i="4"/>
  <c r="O63" i="4"/>
  <c r="M63" i="4"/>
  <c r="E63" i="4"/>
  <c r="W62" i="4"/>
  <c r="U62" i="4"/>
  <c r="T62" i="4"/>
  <c r="R62" i="4"/>
  <c r="Q62" i="4"/>
  <c r="O62" i="4"/>
  <c r="M62" i="4"/>
  <c r="E62" i="4"/>
  <c r="W61" i="4"/>
  <c r="U61" i="4"/>
  <c r="T61" i="4"/>
  <c r="R61" i="4"/>
  <c r="Q61" i="4"/>
  <c r="O61" i="4"/>
  <c r="L61" i="4"/>
  <c r="M61" i="4" s="1"/>
  <c r="E61" i="4"/>
  <c r="W60" i="4"/>
  <c r="U60" i="4"/>
  <c r="T60" i="4"/>
  <c r="R60" i="4"/>
  <c r="Q60" i="4"/>
  <c r="O60" i="4"/>
  <c r="M60" i="4"/>
  <c r="E60" i="4"/>
  <c r="W59" i="4"/>
  <c r="U59" i="4"/>
  <c r="T59" i="4"/>
  <c r="R59" i="4"/>
  <c r="Q59" i="4"/>
  <c r="O59" i="4"/>
  <c r="L59" i="4"/>
  <c r="M59" i="4" s="1"/>
  <c r="E59" i="4"/>
  <c r="W58" i="4"/>
  <c r="U58" i="4"/>
  <c r="T58" i="4"/>
  <c r="R58" i="4"/>
  <c r="Q58" i="4"/>
  <c r="O58" i="4"/>
  <c r="M58" i="4"/>
  <c r="E58" i="4"/>
  <c r="W57" i="4"/>
  <c r="U57" i="4"/>
  <c r="T57" i="4"/>
  <c r="R57" i="4"/>
  <c r="Q57" i="4"/>
  <c r="O57" i="4"/>
  <c r="L57" i="4"/>
  <c r="M57" i="4" s="1"/>
  <c r="E57" i="4"/>
  <c r="W56" i="4"/>
  <c r="U56" i="4"/>
  <c r="T56" i="4"/>
  <c r="R56" i="4"/>
  <c r="Q56" i="4"/>
  <c r="O56" i="4"/>
  <c r="M56" i="4"/>
  <c r="E56" i="4"/>
  <c r="W55" i="4"/>
  <c r="U55" i="4"/>
  <c r="T55" i="4"/>
  <c r="R55" i="4"/>
  <c r="Q55" i="4"/>
  <c r="O55" i="4"/>
  <c r="L55" i="4"/>
  <c r="M55" i="4" s="1"/>
  <c r="E55" i="4"/>
  <c r="W54" i="4"/>
  <c r="U54" i="4"/>
  <c r="T54" i="4"/>
  <c r="R54" i="4"/>
  <c r="Q54" i="4"/>
  <c r="O54" i="4"/>
  <c r="L54" i="4"/>
  <c r="M54" i="4" s="1"/>
  <c r="E54" i="4"/>
  <c r="W53" i="4"/>
  <c r="U53" i="4"/>
  <c r="T53" i="4"/>
  <c r="R53" i="4"/>
  <c r="Q53" i="4"/>
  <c r="O53" i="4"/>
  <c r="M53" i="4"/>
  <c r="E53" i="4"/>
  <c r="W52" i="4"/>
  <c r="U52" i="4"/>
  <c r="T52" i="4"/>
  <c r="R52" i="4"/>
  <c r="Q52" i="4"/>
  <c r="O52" i="4"/>
  <c r="L52" i="4"/>
  <c r="M52" i="4" s="1"/>
  <c r="E52" i="4"/>
  <c r="W51" i="4"/>
  <c r="U51" i="4"/>
  <c r="T51" i="4"/>
  <c r="R51" i="4"/>
  <c r="Q51" i="4"/>
  <c r="O51" i="4"/>
  <c r="L51" i="4"/>
  <c r="K76" i="3" s="1"/>
  <c r="E51" i="4"/>
  <c r="W50" i="4"/>
  <c r="U50" i="4"/>
  <c r="T50" i="4"/>
  <c r="R50" i="4"/>
  <c r="Q50" i="4"/>
  <c r="O50" i="4"/>
  <c r="L50" i="4"/>
  <c r="M50" i="4" s="1"/>
  <c r="E50" i="4"/>
  <c r="W49" i="4"/>
  <c r="U49" i="4"/>
  <c r="T49" i="4"/>
  <c r="R49" i="4"/>
  <c r="Q49" i="4"/>
  <c r="O49" i="4"/>
  <c r="L49" i="4"/>
  <c r="M49" i="4" s="1"/>
  <c r="E49" i="4"/>
  <c r="W48" i="4"/>
  <c r="U48" i="4"/>
  <c r="T48" i="4"/>
  <c r="R48" i="4"/>
  <c r="Q48" i="4"/>
  <c r="O48" i="4"/>
  <c r="M48" i="4"/>
  <c r="E48" i="4"/>
  <c r="W47" i="4"/>
  <c r="U47" i="4"/>
  <c r="T47" i="4"/>
  <c r="R47" i="4"/>
  <c r="Q47" i="4"/>
  <c r="O47" i="4"/>
  <c r="M47" i="4"/>
  <c r="E47" i="4"/>
  <c r="W46" i="4"/>
  <c r="U46" i="4"/>
  <c r="T46" i="4"/>
  <c r="R46" i="4"/>
  <c r="Q46" i="4"/>
  <c r="O46" i="4"/>
  <c r="L46" i="4"/>
  <c r="K60" i="3" s="1"/>
  <c r="E46" i="4"/>
  <c r="W45" i="4"/>
  <c r="U45" i="4"/>
  <c r="T45" i="4"/>
  <c r="R45" i="4"/>
  <c r="Q45" i="4"/>
  <c r="O45" i="4"/>
  <c r="L45" i="4"/>
  <c r="M45" i="4" s="1"/>
  <c r="E45" i="4"/>
  <c r="W44" i="4"/>
  <c r="U44" i="4"/>
  <c r="T44" i="4"/>
  <c r="R44" i="4"/>
  <c r="Q44" i="4"/>
  <c r="O44" i="4"/>
  <c r="L44" i="4"/>
  <c r="M44" i="4" s="1"/>
  <c r="E44" i="4"/>
  <c r="W43" i="4"/>
  <c r="U43" i="4"/>
  <c r="T43" i="4"/>
  <c r="R43" i="4"/>
  <c r="Q43" i="4"/>
  <c r="O43" i="4"/>
  <c r="L43" i="4"/>
  <c r="M43" i="4" s="1"/>
  <c r="E43" i="4"/>
  <c r="W42" i="4"/>
  <c r="U42" i="4"/>
  <c r="T42" i="4"/>
  <c r="R42" i="4"/>
  <c r="Q42" i="4"/>
  <c r="O42" i="4"/>
  <c r="M42" i="4"/>
  <c r="E42" i="4"/>
  <c r="W41" i="4"/>
  <c r="U41" i="4"/>
  <c r="T41" i="4"/>
  <c r="R41" i="4"/>
  <c r="Q41" i="4"/>
  <c r="O41" i="4"/>
  <c r="M41" i="4"/>
  <c r="E41" i="4"/>
  <c r="W40" i="4"/>
  <c r="U40" i="4"/>
  <c r="T40" i="4"/>
  <c r="R40" i="4"/>
  <c r="Q40" i="4"/>
  <c r="O40" i="4"/>
  <c r="L40" i="4"/>
  <c r="M40" i="4" s="1"/>
  <c r="E40" i="4"/>
  <c r="W39" i="4"/>
  <c r="U39" i="4"/>
  <c r="T39" i="4"/>
  <c r="R39" i="4"/>
  <c r="Q39" i="4"/>
  <c r="O39" i="4"/>
  <c r="L39" i="4"/>
  <c r="M39" i="4" s="1"/>
  <c r="E39" i="4"/>
  <c r="W38" i="4"/>
  <c r="U38" i="4"/>
  <c r="T38" i="4"/>
  <c r="R38" i="4"/>
  <c r="Q38" i="4"/>
  <c r="O38" i="4"/>
  <c r="L38" i="4"/>
  <c r="M38" i="4" s="1"/>
  <c r="E38" i="4"/>
  <c r="W37" i="4"/>
  <c r="U37" i="4"/>
  <c r="T37" i="4"/>
  <c r="R37" i="4"/>
  <c r="Q37" i="4"/>
  <c r="O37" i="4"/>
  <c r="L37" i="4"/>
  <c r="M37" i="4" s="1"/>
  <c r="E37" i="4"/>
  <c r="W36" i="4"/>
  <c r="U36" i="4"/>
  <c r="T36" i="4"/>
  <c r="R36" i="4"/>
  <c r="Q36" i="4"/>
  <c r="O36" i="4"/>
  <c r="M36" i="4"/>
  <c r="E36" i="4"/>
  <c r="W35" i="4"/>
  <c r="U35" i="4"/>
  <c r="T35" i="4"/>
  <c r="R35" i="4"/>
  <c r="Q35" i="4"/>
  <c r="O35" i="4"/>
  <c r="L35" i="4"/>
  <c r="E35" i="4"/>
  <c r="K34" i="4"/>
  <c r="AK33" i="4"/>
  <c r="AK144" i="4" s="1"/>
  <c r="AJ33" i="4"/>
  <c r="AJ144" i="4" s="1"/>
  <c r="AI33" i="4"/>
  <c r="AI144" i="4" s="1"/>
  <c r="AH33" i="4"/>
  <c r="AH144" i="4" s="1"/>
  <c r="AG33" i="4"/>
  <c r="AF33" i="4"/>
  <c r="AE33" i="4"/>
  <c r="AD33" i="4"/>
  <c r="AC33" i="4"/>
  <c r="AB33" i="4"/>
  <c r="AA33" i="4"/>
  <c r="M31" i="4"/>
  <c r="I31" i="4"/>
  <c r="M30" i="4"/>
  <c r="I30" i="4"/>
  <c r="M29" i="4"/>
  <c r="M28" i="4"/>
  <c r="M27" i="4"/>
  <c r="M26" i="4"/>
  <c r="L25" i="4"/>
  <c r="K11" i="3" s="1"/>
  <c r="L24" i="4"/>
  <c r="M24" i="4" s="1"/>
  <c r="L23" i="4"/>
  <c r="M23" i="4" s="1"/>
  <c r="M22" i="4"/>
  <c r="M21" i="4"/>
  <c r="L20" i="4"/>
  <c r="K23" i="3" s="1"/>
  <c r="M19" i="4"/>
  <c r="L18" i="4"/>
  <c r="K19" i="3" s="1"/>
  <c r="M17" i="4"/>
  <c r="L16" i="4"/>
  <c r="M16" i="4" s="1"/>
  <c r="M15" i="4"/>
  <c r="L14" i="4"/>
  <c r="M14" i="4" s="1"/>
  <c r="L13" i="4"/>
  <c r="M13" i="4" s="1"/>
  <c r="L12" i="4"/>
  <c r="M12" i="4" s="1"/>
  <c r="L11" i="4"/>
  <c r="M11" i="4" s="1"/>
  <c r="L10" i="4"/>
  <c r="M10" i="4" s="1"/>
  <c r="L9" i="4"/>
  <c r="K27" i="3" s="1"/>
  <c r="M8" i="4"/>
  <c r="M7" i="4"/>
  <c r="L6" i="4"/>
  <c r="L5" i="4"/>
  <c r="M5" i="4" s="1"/>
  <c r="L4" i="4"/>
  <c r="K18" i="3" s="1"/>
  <c r="Q145" i="3"/>
  <c r="E145" i="3"/>
  <c r="M140" i="3"/>
  <c r="J140" i="3"/>
  <c r="I140" i="3"/>
  <c r="M139" i="3"/>
  <c r="J139" i="3"/>
  <c r="I139" i="3"/>
  <c r="M138" i="3"/>
  <c r="K138" i="3"/>
  <c r="J138" i="3"/>
  <c r="I138" i="3"/>
  <c r="M137" i="3"/>
  <c r="K137" i="3"/>
  <c r="J137" i="3"/>
  <c r="I137" i="3"/>
  <c r="M136" i="3"/>
  <c r="K136" i="3"/>
  <c r="J136" i="3"/>
  <c r="I136" i="3"/>
  <c r="M135" i="3"/>
  <c r="K135" i="3"/>
  <c r="J135" i="3"/>
  <c r="I135" i="3"/>
  <c r="M134" i="3"/>
  <c r="K134" i="3"/>
  <c r="J134" i="3"/>
  <c r="M133" i="3"/>
  <c r="K133" i="3"/>
  <c r="J133" i="3"/>
  <c r="M132" i="3"/>
  <c r="K132" i="3"/>
  <c r="J132" i="3"/>
  <c r="M131" i="3"/>
  <c r="K131" i="3"/>
  <c r="J131" i="3"/>
  <c r="M130" i="3"/>
  <c r="K130" i="3"/>
  <c r="J130" i="3"/>
  <c r="M129" i="3"/>
  <c r="K129" i="3"/>
  <c r="J129" i="3"/>
  <c r="M128" i="3"/>
  <c r="K128" i="3"/>
  <c r="J128" i="3"/>
  <c r="M127" i="3"/>
  <c r="K127" i="3"/>
  <c r="J127" i="3"/>
  <c r="M126" i="3"/>
  <c r="K126" i="3"/>
  <c r="J126" i="3"/>
  <c r="M125" i="3"/>
  <c r="K125" i="3"/>
  <c r="J125" i="3"/>
  <c r="M124" i="3"/>
  <c r="K124" i="3"/>
  <c r="J124" i="3"/>
  <c r="M123" i="3"/>
  <c r="K123" i="3"/>
  <c r="J123" i="3"/>
  <c r="M122" i="3"/>
  <c r="K122" i="3"/>
  <c r="J122" i="3"/>
  <c r="M121" i="3"/>
  <c r="K121" i="3"/>
  <c r="J121" i="3"/>
  <c r="M120" i="3"/>
  <c r="K120" i="3"/>
  <c r="J120" i="3"/>
  <c r="M119" i="3"/>
  <c r="K119" i="3"/>
  <c r="J119" i="3"/>
  <c r="M118" i="3"/>
  <c r="K118" i="3"/>
  <c r="J118" i="3"/>
  <c r="M117" i="3"/>
  <c r="K117" i="3"/>
  <c r="J117" i="3"/>
  <c r="M116" i="3"/>
  <c r="K116" i="3"/>
  <c r="J116" i="3"/>
  <c r="M115" i="3"/>
  <c r="K115" i="3"/>
  <c r="J115" i="3"/>
  <c r="M114" i="3"/>
  <c r="K114" i="3"/>
  <c r="J114" i="3"/>
  <c r="M113" i="3"/>
  <c r="K113" i="3"/>
  <c r="J113" i="3"/>
  <c r="M112" i="3"/>
  <c r="K112" i="3"/>
  <c r="J112" i="3"/>
  <c r="M111" i="3"/>
  <c r="K111" i="3"/>
  <c r="J111" i="3"/>
  <c r="M110" i="3"/>
  <c r="K110" i="3"/>
  <c r="J110" i="3"/>
  <c r="M109" i="3"/>
  <c r="K109" i="3"/>
  <c r="J109" i="3"/>
  <c r="M108" i="3"/>
  <c r="K108" i="3"/>
  <c r="J108" i="3"/>
  <c r="M107" i="3"/>
  <c r="K107" i="3"/>
  <c r="J107" i="3"/>
  <c r="M106" i="3"/>
  <c r="K106" i="3"/>
  <c r="J106" i="3"/>
  <c r="M105" i="3"/>
  <c r="K105" i="3"/>
  <c r="J105" i="3"/>
  <c r="M104" i="3"/>
  <c r="K104" i="3"/>
  <c r="J104" i="3"/>
  <c r="K103" i="3"/>
  <c r="J103" i="3"/>
  <c r="M102" i="3"/>
  <c r="K102" i="3"/>
  <c r="J102" i="3"/>
  <c r="M101" i="3"/>
  <c r="K101" i="3"/>
  <c r="M100" i="3"/>
  <c r="K100" i="3"/>
  <c r="J100" i="3"/>
  <c r="M99" i="3"/>
  <c r="K99" i="3"/>
  <c r="J99" i="3"/>
  <c r="M98" i="3"/>
  <c r="K98" i="3"/>
  <c r="J98" i="3"/>
  <c r="M97" i="3"/>
  <c r="K97" i="3"/>
  <c r="J97" i="3"/>
  <c r="M96" i="3"/>
  <c r="K96" i="3"/>
  <c r="J96" i="3"/>
  <c r="M95" i="3"/>
  <c r="K95" i="3"/>
  <c r="J95" i="3"/>
  <c r="M94" i="3"/>
  <c r="K94" i="3"/>
  <c r="J94" i="3"/>
  <c r="M93" i="3"/>
  <c r="K93" i="3"/>
  <c r="J93" i="3"/>
  <c r="M92" i="3"/>
  <c r="K92" i="3"/>
  <c r="J92" i="3"/>
  <c r="M91" i="3"/>
  <c r="K91" i="3"/>
  <c r="J91" i="3"/>
  <c r="M90" i="3"/>
  <c r="K90" i="3"/>
  <c r="J90" i="3"/>
  <c r="M89" i="3"/>
  <c r="K89" i="3"/>
  <c r="J89" i="3"/>
  <c r="M88" i="3"/>
  <c r="K88" i="3"/>
  <c r="J88" i="3"/>
  <c r="M87" i="3"/>
  <c r="K87" i="3"/>
  <c r="M86" i="3"/>
  <c r="K86" i="3"/>
  <c r="J86" i="3"/>
  <c r="M85" i="3"/>
  <c r="K85" i="3"/>
  <c r="J85" i="3"/>
  <c r="M84" i="3"/>
  <c r="K84" i="3"/>
  <c r="J84" i="3"/>
  <c r="M83" i="3"/>
  <c r="K83" i="3"/>
  <c r="J83" i="3"/>
  <c r="M82" i="3"/>
  <c r="K82" i="3"/>
  <c r="J82" i="3"/>
  <c r="M81" i="3"/>
  <c r="J81" i="3"/>
  <c r="M80" i="3"/>
  <c r="J80" i="3"/>
  <c r="M79" i="3"/>
  <c r="J79" i="3"/>
  <c r="M78" i="3"/>
  <c r="K78" i="3"/>
  <c r="J78" i="3"/>
  <c r="M77" i="3"/>
  <c r="J77" i="3"/>
  <c r="M76" i="3"/>
  <c r="J76" i="3"/>
  <c r="M75" i="3"/>
  <c r="J75" i="3"/>
  <c r="M74" i="3"/>
  <c r="J74" i="3"/>
  <c r="M73" i="3"/>
  <c r="K73" i="3"/>
  <c r="J73" i="3"/>
  <c r="M72" i="3"/>
  <c r="J72" i="3"/>
  <c r="M71" i="3"/>
  <c r="J71" i="3"/>
  <c r="M70" i="3"/>
  <c r="K70" i="3"/>
  <c r="J70" i="3"/>
  <c r="M69" i="3"/>
  <c r="K69" i="3"/>
  <c r="J69" i="3"/>
  <c r="M68" i="3"/>
  <c r="K68" i="3"/>
  <c r="J68" i="3"/>
  <c r="M67" i="3"/>
  <c r="J67" i="3"/>
  <c r="M66" i="3"/>
  <c r="J66" i="3"/>
  <c r="M65" i="3"/>
  <c r="J65" i="3"/>
  <c r="M64" i="3"/>
  <c r="J64" i="3"/>
  <c r="M63" i="3"/>
  <c r="J63" i="3"/>
  <c r="M62" i="3"/>
  <c r="J62" i="3"/>
  <c r="M61" i="3"/>
  <c r="K61" i="3"/>
  <c r="J61" i="3"/>
  <c r="M60" i="3"/>
  <c r="J60" i="3"/>
  <c r="M59" i="3"/>
  <c r="K59" i="3"/>
  <c r="J59" i="3"/>
  <c r="M58" i="3"/>
  <c r="K58" i="3"/>
  <c r="J58" i="3"/>
  <c r="M57" i="3"/>
  <c r="J57" i="3"/>
  <c r="M56" i="3"/>
  <c r="K56" i="3"/>
  <c r="J56" i="3"/>
  <c r="M55" i="3"/>
  <c r="K55" i="3"/>
  <c r="J55" i="3"/>
  <c r="M54" i="3"/>
  <c r="K54" i="3"/>
  <c r="J54" i="3"/>
  <c r="M53" i="3"/>
  <c r="K53" i="3"/>
  <c r="J53" i="3"/>
  <c r="M52" i="3"/>
  <c r="K52" i="3"/>
  <c r="J52" i="3"/>
  <c r="M51" i="3"/>
  <c r="K51" i="3"/>
  <c r="J51" i="3"/>
  <c r="M50" i="3"/>
  <c r="K50" i="3"/>
  <c r="J50" i="3"/>
  <c r="M49" i="3"/>
  <c r="K49" i="3"/>
  <c r="J49" i="3"/>
  <c r="M48" i="3"/>
  <c r="K48" i="3"/>
  <c r="J48" i="3"/>
  <c r="M47" i="3"/>
  <c r="K47" i="3"/>
  <c r="M46" i="3"/>
  <c r="K46" i="3"/>
  <c r="J46" i="3"/>
  <c r="M45" i="3"/>
  <c r="K45" i="3"/>
  <c r="J45" i="3"/>
  <c r="M44" i="3"/>
  <c r="K44" i="3"/>
  <c r="J44" i="3"/>
  <c r="M43" i="3"/>
  <c r="K43" i="3"/>
  <c r="J43" i="3"/>
  <c r="M42" i="3"/>
  <c r="K42" i="3"/>
  <c r="J42" i="3"/>
  <c r="M41" i="3"/>
  <c r="K41" i="3"/>
  <c r="J41" i="3"/>
  <c r="M40" i="3"/>
  <c r="K40" i="3"/>
  <c r="J40" i="3"/>
  <c r="M39" i="3"/>
  <c r="K39" i="3"/>
  <c r="J39" i="3"/>
  <c r="M38" i="3"/>
  <c r="K38" i="3"/>
  <c r="J38" i="3"/>
  <c r="M37" i="3"/>
  <c r="J37" i="3"/>
  <c r="M36" i="3"/>
  <c r="J36" i="3"/>
  <c r="I34" i="3"/>
  <c r="I33" i="3"/>
  <c r="K32" i="3"/>
  <c r="K31" i="3"/>
  <c r="K30" i="3"/>
  <c r="K28" i="3"/>
  <c r="K26" i="3"/>
  <c r="K25" i="3"/>
  <c r="K21" i="3"/>
  <c r="K20" i="3"/>
  <c r="L16" i="3"/>
  <c r="K15" i="3"/>
  <c r="K9" i="3"/>
  <c r="A124" i="2"/>
  <c r="AJ119" i="2"/>
  <c r="AI119" i="2"/>
  <c r="AH119" i="2"/>
  <c r="AG119" i="2"/>
  <c r="AF119" i="2"/>
  <c r="AE119" i="2"/>
  <c r="AD119" i="2"/>
  <c r="AC119" i="2"/>
  <c r="AA119" i="2"/>
  <c r="Z119" i="2"/>
  <c r="Y119" i="2"/>
  <c r="X119" i="2"/>
  <c r="W119" i="2"/>
  <c r="V119" i="2"/>
  <c r="J121" i="2" s="1"/>
  <c r="U119" i="2"/>
  <c r="T119" i="2"/>
  <c r="S119" i="2"/>
  <c r="J125" i="2" s="1"/>
  <c r="R119" i="2"/>
  <c r="J122" i="2" s="1"/>
  <c r="Q119" i="2"/>
  <c r="J124" i="2" s="1"/>
  <c r="P119" i="2"/>
  <c r="O119" i="2"/>
  <c r="N119" i="2"/>
  <c r="M119" i="2"/>
  <c r="L119" i="2"/>
  <c r="K119" i="2"/>
  <c r="J119" i="2"/>
  <c r="J130" i="2" s="1"/>
  <c r="I119" i="2"/>
  <c r="H119" i="2"/>
  <c r="G119" i="2"/>
  <c r="F119" i="2"/>
  <c r="E119" i="2"/>
  <c r="D119" i="2"/>
  <c r="C119" i="2"/>
  <c r="B119" i="2"/>
  <c r="A119" i="2"/>
  <c r="J173" i="15"/>
  <c r="H173" i="15"/>
  <c r="H172" i="15"/>
  <c r="H171" i="15"/>
  <c r="H168" i="15"/>
  <c r="H167" i="15"/>
  <c r="H166" i="15"/>
  <c r="H164" i="15"/>
  <c r="H161" i="15"/>
  <c r="H160" i="15"/>
  <c r="H159" i="15"/>
  <c r="H156" i="15"/>
  <c r="H155" i="15"/>
  <c r="H154" i="15"/>
  <c r="H152" i="15"/>
  <c r="H149" i="15"/>
  <c r="H148" i="15"/>
  <c r="H147" i="15"/>
  <c r="H144" i="15"/>
  <c r="H143" i="15"/>
  <c r="H142" i="15"/>
  <c r="H140" i="15"/>
  <c r="H135" i="15"/>
  <c r="G135" i="15"/>
  <c r="F135" i="15"/>
  <c r="E135" i="15"/>
  <c r="I134" i="15"/>
  <c r="H134" i="15"/>
  <c r="G134" i="15"/>
  <c r="F134" i="15"/>
  <c r="E134" i="15"/>
  <c r="D134" i="15"/>
  <c r="C134" i="15"/>
  <c r="B134" i="15"/>
  <c r="I121" i="15"/>
  <c r="H121" i="15"/>
  <c r="G121" i="15"/>
  <c r="F121" i="15"/>
  <c r="E121" i="15"/>
  <c r="D121" i="15"/>
  <c r="C121" i="15"/>
  <c r="B121" i="15"/>
  <c r="I117" i="15"/>
  <c r="H117" i="15"/>
  <c r="G117" i="15"/>
  <c r="F117" i="15"/>
  <c r="E117" i="15"/>
  <c r="D117" i="15"/>
  <c r="C117" i="15"/>
  <c r="B117" i="15"/>
  <c r="L144" i="4" l="1"/>
  <c r="T144" i="4"/>
  <c r="K36" i="3"/>
  <c r="L36" i="3" s="1"/>
  <c r="N36" i="3" s="1"/>
  <c r="H36" i="3" s="1"/>
  <c r="I99" i="4" s="1"/>
  <c r="P99" i="4" s="1"/>
  <c r="J145" i="3"/>
  <c r="U144" i="4"/>
  <c r="E144" i="4"/>
  <c r="Q144" i="4"/>
  <c r="W144" i="4"/>
  <c r="O144" i="4"/>
  <c r="M145" i="3"/>
  <c r="R144" i="4"/>
  <c r="H144" i="4"/>
  <c r="K29" i="3"/>
  <c r="L29" i="3" s="1"/>
  <c r="N29" i="3" s="1"/>
  <c r="L103" i="3"/>
  <c r="N103" i="3" s="1"/>
  <c r="K12" i="3"/>
  <c r="L12" i="3" s="1"/>
  <c r="N12" i="3" s="1"/>
  <c r="H12" i="3" s="1"/>
  <c r="I12" i="3" s="1"/>
  <c r="K14" i="3"/>
  <c r="L14" i="3" s="1"/>
  <c r="N14" i="3" s="1"/>
  <c r="H14" i="3" s="1"/>
  <c r="I14" i="3" s="1"/>
  <c r="L64" i="3"/>
  <c r="N64" i="3" s="1"/>
  <c r="H64" i="3" s="1"/>
  <c r="I64" i="3" s="1"/>
  <c r="K63" i="3"/>
  <c r="L63" i="3" s="1"/>
  <c r="N63" i="3" s="1"/>
  <c r="H63" i="3" s="1"/>
  <c r="I63" i="3" s="1"/>
  <c r="K66" i="3"/>
  <c r="L66" i="3" s="1"/>
  <c r="N66" i="3" s="1"/>
  <c r="H66" i="3" s="1"/>
  <c r="I66" i="3" s="1"/>
  <c r="K72" i="3"/>
  <c r="L72" i="3" s="1"/>
  <c r="N72" i="3" s="1"/>
  <c r="H72" i="3" s="1"/>
  <c r="K22" i="3"/>
  <c r="L22" i="3" s="1"/>
  <c r="N22" i="3" s="1"/>
  <c r="H22" i="3" s="1"/>
  <c r="K139" i="4"/>
  <c r="Y139" i="4" s="1"/>
  <c r="Z139" i="4" s="1"/>
  <c r="O140" i="3" s="1"/>
  <c r="K7" i="3"/>
  <c r="K10" i="3"/>
  <c r="L10" i="3" s="1"/>
  <c r="N10" i="3" s="1"/>
  <c r="H10" i="3" s="1"/>
  <c r="I10" i="3" s="1"/>
  <c r="K80" i="3"/>
  <c r="L80" i="3" s="1"/>
  <c r="N80" i="3" s="1"/>
  <c r="H80" i="3" s="1"/>
  <c r="I54" i="4" s="1"/>
  <c r="K54" i="4" s="1"/>
  <c r="N16" i="3"/>
  <c r="H16" i="3" s="1"/>
  <c r="I17" i="4" s="1"/>
  <c r="K17" i="4" s="1"/>
  <c r="J123" i="2"/>
  <c r="L39" i="3"/>
  <c r="N39" i="3" s="1"/>
  <c r="H39" i="3" s="1"/>
  <c r="I39" i="3" s="1"/>
  <c r="L43" i="3"/>
  <c r="N43" i="3" s="1"/>
  <c r="H43" i="3" s="1"/>
  <c r="I103" i="4" s="1"/>
  <c r="L47" i="3"/>
  <c r="N47" i="3" s="1"/>
  <c r="H47" i="3" s="1"/>
  <c r="I107" i="4" s="1"/>
  <c r="K107" i="4" s="1"/>
  <c r="L51" i="3"/>
  <c r="N51" i="3" s="1"/>
  <c r="H51" i="3" s="1"/>
  <c r="I111" i="4" s="1"/>
  <c r="K111" i="4" s="1"/>
  <c r="M20" i="4"/>
  <c r="K77" i="3"/>
  <c r="L77" i="3" s="1"/>
  <c r="N77" i="3" s="1"/>
  <c r="M51" i="4"/>
  <c r="M4" i="4"/>
  <c r="S33" i="4"/>
  <c r="K67" i="3"/>
  <c r="L67" i="3" s="1"/>
  <c r="N67" i="3" s="1"/>
  <c r="H67" i="3" s="1"/>
  <c r="I57" i="4" s="1"/>
  <c r="P57" i="4" s="1"/>
  <c r="K71" i="3"/>
  <c r="L71" i="3" s="1"/>
  <c r="N71" i="3" s="1"/>
  <c r="H71" i="3" s="1"/>
  <c r="I38" i="4" s="1"/>
  <c r="K38" i="4" s="1"/>
  <c r="K75" i="3"/>
  <c r="L75" i="3" s="1"/>
  <c r="N75" i="3" s="1"/>
  <c r="H75" i="3" s="1"/>
  <c r="I75" i="3" s="1"/>
  <c r="K79" i="3"/>
  <c r="L79" i="3" s="1"/>
  <c r="N79" i="3" s="1"/>
  <c r="H79" i="3" s="1"/>
  <c r="O33" i="4"/>
  <c r="T33" i="4"/>
  <c r="M9" i="4"/>
  <c r="M18" i="4"/>
  <c r="M98" i="4"/>
  <c r="Q33" i="4"/>
  <c r="W33" i="4"/>
  <c r="K74" i="3"/>
  <c r="L74" i="3" s="1"/>
  <c r="N74" i="3" s="1"/>
  <c r="K13" i="3"/>
  <c r="L13" i="3" s="1"/>
  <c r="N13" i="3" s="1"/>
  <c r="H13" i="3" s="1"/>
  <c r="I5" i="4" s="1"/>
  <c r="P5" i="4" s="1"/>
  <c r="K62" i="3"/>
  <c r="L62" i="3" s="1"/>
  <c r="N62" i="3" s="1"/>
  <c r="H62" i="3" s="1"/>
  <c r="I62" i="3" s="1"/>
  <c r="L33" i="4"/>
  <c r="R33" i="4"/>
  <c r="H33" i="4"/>
  <c r="L104" i="3"/>
  <c r="N104" i="3" s="1"/>
  <c r="H104" i="3" s="1"/>
  <c r="I104" i="3" s="1"/>
  <c r="L112" i="3"/>
  <c r="N112" i="3" s="1"/>
  <c r="H112" i="3" s="1"/>
  <c r="I112" i="3" s="1"/>
  <c r="L52" i="3"/>
  <c r="N52" i="3" s="1"/>
  <c r="H52" i="3" s="1"/>
  <c r="I52" i="3" s="1"/>
  <c r="L108" i="3"/>
  <c r="N108" i="3" s="1"/>
  <c r="H108" i="3" s="1"/>
  <c r="I108" i="3" s="1"/>
  <c r="L61" i="3"/>
  <c r="N61" i="3" s="1"/>
  <c r="H61" i="3" s="1"/>
  <c r="I62" i="4" s="1"/>
  <c r="K62" i="4" s="1"/>
  <c r="L83" i="3"/>
  <c r="N83" i="3" s="1"/>
  <c r="H83" i="3" s="1"/>
  <c r="I83" i="3" s="1"/>
  <c r="L95" i="3"/>
  <c r="N95" i="3" s="1"/>
  <c r="H95" i="3" s="1"/>
  <c r="I75" i="4" s="1"/>
  <c r="K75" i="4" s="1"/>
  <c r="L119" i="3"/>
  <c r="N119" i="3" s="1"/>
  <c r="H119" i="3" s="1"/>
  <c r="I118" i="4" s="1"/>
  <c r="L41" i="3"/>
  <c r="N41" i="3" s="1"/>
  <c r="H41" i="3" s="1"/>
  <c r="L54" i="3"/>
  <c r="N54" i="3" s="1"/>
  <c r="H54" i="3" s="1"/>
  <c r="L82" i="3"/>
  <c r="N82" i="3" s="1"/>
  <c r="H82" i="3" s="1"/>
  <c r="I82" i="3" s="1"/>
  <c r="L102" i="3"/>
  <c r="N102" i="3" s="1"/>
  <c r="H102" i="3" s="1"/>
  <c r="I102" i="3" s="1"/>
  <c r="L106" i="3"/>
  <c r="N106" i="3" s="1"/>
  <c r="H106" i="3" s="1"/>
  <c r="I106" i="3" s="1"/>
  <c r="L110" i="3"/>
  <c r="N110" i="3" s="1"/>
  <c r="H110" i="3" s="1"/>
  <c r="I90" i="4" s="1"/>
  <c r="L114" i="3"/>
  <c r="N114" i="3" s="1"/>
  <c r="H114" i="3" s="1"/>
  <c r="I94" i="4" s="1"/>
  <c r="L56" i="3"/>
  <c r="N56" i="3" s="1"/>
  <c r="I53" i="4" s="1"/>
  <c r="K53" i="4" s="1"/>
  <c r="L59" i="3"/>
  <c r="N59" i="3" s="1"/>
  <c r="H59" i="3" s="1"/>
  <c r="I59" i="3" s="1"/>
  <c r="L87" i="3"/>
  <c r="N87" i="3" s="1"/>
  <c r="H87" i="3" s="1"/>
  <c r="I65" i="4" s="1"/>
  <c r="L91" i="3"/>
  <c r="N91" i="3" s="1"/>
  <c r="H91" i="3" s="1"/>
  <c r="I91" i="3" s="1"/>
  <c r="L99" i="3"/>
  <c r="N99" i="3" s="1"/>
  <c r="H99" i="3" s="1"/>
  <c r="I79" i="4" s="1"/>
  <c r="L37" i="3"/>
  <c r="N37" i="3" s="1"/>
  <c r="H37" i="3" s="1"/>
  <c r="I37" i="3" s="1"/>
  <c r="L45" i="3"/>
  <c r="N45" i="3" s="1"/>
  <c r="H45" i="3" s="1"/>
  <c r="I45" i="3" s="1"/>
  <c r="L53" i="3"/>
  <c r="N53" i="3" s="1"/>
  <c r="H53" i="3" s="1"/>
  <c r="I113" i="4" s="1"/>
  <c r="P113" i="4" s="1"/>
  <c r="L78" i="3"/>
  <c r="N78" i="3" s="1"/>
  <c r="H78" i="3" s="1"/>
  <c r="I58" i="4" s="1"/>
  <c r="P58" i="4" s="1"/>
  <c r="L85" i="3"/>
  <c r="N85" i="3" s="1"/>
  <c r="H85" i="3" s="1"/>
  <c r="I66" i="4" s="1"/>
  <c r="K66" i="4" s="1"/>
  <c r="L89" i="3"/>
  <c r="N89" i="3" s="1"/>
  <c r="H89" i="3" s="1"/>
  <c r="I89" i="3" s="1"/>
  <c r="L93" i="3"/>
  <c r="N93" i="3" s="1"/>
  <c r="H93" i="3" s="1"/>
  <c r="I93" i="3" s="1"/>
  <c r="L97" i="3"/>
  <c r="N97" i="3" s="1"/>
  <c r="H97" i="3" s="1"/>
  <c r="I97" i="3" s="1"/>
  <c r="L101" i="3"/>
  <c r="N101" i="3" s="1"/>
  <c r="H101" i="3" s="1"/>
  <c r="I101" i="3" s="1"/>
  <c r="L117" i="3"/>
  <c r="N117" i="3" s="1"/>
  <c r="H117" i="3" s="1"/>
  <c r="I117" i="3" s="1"/>
  <c r="L121" i="3"/>
  <c r="N121" i="3" s="1"/>
  <c r="H121" i="3" s="1"/>
  <c r="I121" i="3" s="1"/>
  <c r="L122" i="3"/>
  <c r="N122" i="3" s="1"/>
  <c r="H122" i="3" s="1"/>
  <c r="I122" i="3" s="1"/>
  <c r="L128" i="3"/>
  <c r="N128" i="3" s="1"/>
  <c r="H128" i="3" s="1"/>
  <c r="I127" i="4" s="1"/>
  <c r="L132" i="3"/>
  <c r="N132" i="3" s="1"/>
  <c r="H132" i="3" s="1"/>
  <c r="I131" i="4" s="1"/>
  <c r="L60" i="3"/>
  <c r="N60" i="3" s="1"/>
  <c r="H60" i="3" s="1"/>
  <c r="L94" i="3"/>
  <c r="N94" i="3" s="1"/>
  <c r="H94" i="3" s="1"/>
  <c r="I94" i="3" s="1"/>
  <c r="J129" i="2"/>
  <c r="J126" i="2"/>
  <c r="L38" i="3"/>
  <c r="N38" i="3" s="1"/>
  <c r="L42" i="3"/>
  <c r="N42" i="3" s="1"/>
  <c r="L58" i="3"/>
  <c r="N58" i="3" s="1"/>
  <c r="L86" i="3"/>
  <c r="N86" i="3" s="1"/>
  <c r="H86" i="3" s="1"/>
  <c r="I67" i="4" s="1"/>
  <c r="K67" i="4" s="1"/>
  <c r="L90" i="3"/>
  <c r="N90" i="3" s="1"/>
  <c r="L96" i="3"/>
  <c r="N96" i="3" s="1"/>
  <c r="L100" i="3"/>
  <c r="N100" i="3" s="1"/>
  <c r="H100" i="3" s="1"/>
  <c r="I100" i="3" s="1"/>
  <c r="L105" i="3"/>
  <c r="N105" i="3" s="1"/>
  <c r="H105" i="3" s="1"/>
  <c r="I105" i="3" s="1"/>
  <c r="L109" i="3"/>
  <c r="N109" i="3" s="1"/>
  <c r="L113" i="3"/>
  <c r="N113" i="3" s="1"/>
  <c r="L118" i="3"/>
  <c r="N118" i="3" s="1"/>
  <c r="H118" i="3" s="1"/>
  <c r="I117" i="4" s="1"/>
  <c r="K117" i="4" s="1"/>
  <c r="L123" i="3"/>
  <c r="N123" i="3" s="1"/>
  <c r="H123" i="3" s="1"/>
  <c r="I123" i="3" s="1"/>
  <c r="K138" i="4"/>
  <c r="Y138" i="4" s="1"/>
  <c r="Z138" i="4" s="1"/>
  <c r="O139" i="3" s="1"/>
  <c r="L40" i="3"/>
  <c r="N40" i="3" s="1"/>
  <c r="L44" i="3"/>
  <c r="N44" i="3" s="1"/>
  <c r="L48" i="3"/>
  <c r="N48" i="3" s="1"/>
  <c r="L70" i="3"/>
  <c r="N70" i="3" s="1"/>
  <c r="I36" i="4" s="1"/>
  <c r="L84" i="3"/>
  <c r="N84" i="3" s="1"/>
  <c r="H84" i="3" s="1"/>
  <c r="I84" i="3" s="1"/>
  <c r="L88" i="3"/>
  <c r="N88" i="3" s="1"/>
  <c r="H88" i="3" s="1"/>
  <c r="I88" i="3" s="1"/>
  <c r="L92" i="3"/>
  <c r="N92" i="3" s="1"/>
  <c r="L98" i="3"/>
  <c r="N98" i="3" s="1"/>
  <c r="L107" i="3"/>
  <c r="N107" i="3" s="1"/>
  <c r="H107" i="3" s="1"/>
  <c r="I87" i="4" s="1"/>
  <c r="P87" i="4" s="1"/>
  <c r="L111" i="3"/>
  <c r="N111" i="3" s="1"/>
  <c r="L115" i="3"/>
  <c r="N115" i="3" s="1"/>
  <c r="L116" i="3"/>
  <c r="N116" i="3" s="1"/>
  <c r="H116" i="3" s="1"/>
  <c r="I116" i="3" s="1"/>
  <c r="L120" i="3"/>
  <c r="N120" i="3" s="1"/>
  <c r="H120" i="3" s="1"/>
  <c r="I120" i="3" s="1"/>
  <c r="K137" i="4"/>
  <c r="Y137" i="4" s="1"/>
  <c r="Z137" i="4" s="1"/>
  <c r="O138" i="3" s="1"/>
  <c r="L18" i="3"/>
  <c r="N18" i="3" s="1"/>
  <c r="L26" i="3"/>
  <c r="N26" i="3" s="1"/>
  <c r="H26" i="3" s="1"/>
  <c r="I26" i="3" s="1"/>
  <c r="L30" i="3"/>
  <c r="N30" i="3" s="1"/>
  <c r="H30" i="3" s="1"/>
  <c r="I27" i="4" s="1"/>
  <c r="L11" i="3"/>
  <c r="N11" i="3" s="1"/>
  <c r="H11" i="3" s="1"/>
  <c r="I11" i="3" s="1"/>
  <c r="K8" i="3"/>
  <c r="L8" i="3" s="1"/>
  <c r="N8" i="3" s="1"/>
  <c r="H8" i="3" s="1"/>
  <c r="I8" i="3" s="1"/>
  <c r="K17" i="3"/>
  <c r="L17" i="3" s="1"/>
  <c r="N17" i="3" s="1"/>
  <c r="K57" i="3"/>
  <c r="L57" i="3" s="1"/>
  <c r="N57" i="3" s="1"/>
  <c r="K65" i="3"/>
  <c r="L65" i="3" s="1"/>
  <c r="N65" i="3" s="1"/>
  <c r="M6" i="4"/>
  <c r="M25" i="4"/>
  <c r="P31" i="4"/>
  <c r="M35" i="4"/>
  <c r="M46" i="4"/>
  <c r="L46" i="3"/>
  <c r="N46" i="3" s="1"/>
  <c r="L50" i="3"/>
  <c r="N50" i="3" s="1"/>
  <c r="L69" i="3"/>
  <c r="N69" i="3" s="1"/>
  <c r="K81" i="3"/>
  <c r="L81" i="3" s="1"/>
  <c r="N81" i="3" s="1"/>
  <c r="H81" i="3" s="1"/>
  <c r="K135" i="4"/>
  <c r="Y135" i="4" s="1"/>
  <c r="Z135" i="4" s="1"/>
  <c r="O136" i="3" s="1"/>
  <c r="K24" i="3"/>
  <c r="L24" i="3" s="1"/>
  <c r="N24" i="3" s="1"/>
  <c r="H24" i="3" s="1"/>
  <c r="L73" i="3"/>
  <c r="N73" i="3" s="1"/>
  <c r="H73" i="3" s="1"/>
  <c r="I37" i="4" s="1"/>
  <c r="K37" i="4" s="1"/>
  <c r="L76" i="3"/>
  <c r="N76" i="3" s="1"/>
  <c r="H76" i="3" s="1"/>
  <c r="L49" i="3"/>
  <c r="N49" i="3" s="1"/>
  <c r="H49" i="3" s="1"/>
  <c r="L68" i="3"/>
  <c r="N68" i="3" s="1"/>
  <c r="H68" i="3" s="1"/>
  <c r="K134" i="4"/>
  <c r="Y134" i="4" s="1"/>
  <c r="Z134" i="4" s="1"/>
  <c r="O135" i="3" s="1"/>
  <c r="L19" i="3"/>
  <c r="N19" i="3" s="1"/>
  <c r="L55" i="3"/>
  <c r="N55" i="3" s="1"/>
  <c r="H55" i="3" s="1"/>
  <c r="L125" i="3"/>
  <c r="N125" i="3" s="1"/>
  <c r="H125" i="3" s="1"/>
  <c r="L133" i="3"/>
  <c r="N133" i="3" s="1"/>
  <c r="H133" i="3" s="1"/>
  <c r="L130" i="3"/>
  <c r="N130" i="3" s="1"/>
  <c r="H130" i="3" s="1"/>
  <c r="L134" i="3"/>
  <c r="N134" i="3" s="1"/>
  <c r="H134" i="3" s="1"/>
  <c r="K31" i="4"/>
  <c r="L9" i="3"/>
  <c r="N9" i="3" s="1"/>
  <c r="H9" i="3" s="1"/>
  <c r="I9" i="3" s="1"/>
  <c r="L129" i="3"/>
  <c r="N129" i="3" s="1"/>
  <c r="H129" i="3" s="1"/>
  <c r="L124" i="3"/>
  <c r="N124" i="3" s="1"/>
  <c r="H124" i="3" s="1"/>
  <c r="L126" i="3"/>
  <c r="N126" i="3" s="1"/>
  <c r="H126" i="3" s="1"/>
  <c r="L127" i="3"/>
  <c r="N127" i="3" s="1"/>
  <c r="H127" i="3" s="1"/>
  <c r="L131" i="3"/>
  <c r="N131" i="3" s="1"/>
  <c r="H131" i="3" s="1"/>
  <c r="P30" i="4"/>
  <c r="K30" i="4"/>
  <c r="K136" i="4"/>
  <c r="P136" i="4"/>
  <c r="L27" i="3"/>
  <c r="N27" i="3" s="1"/>
  <c r="H27" i="3" s="1"/>
  <c r="L31" i="3"/>
  <c r="N31" i="3" s="1"/>
  <c r="H31" i="3" s="1"/>
  <c r="L28" i="3"/>
  <c r="N28" i="3" s="1"/>
  <c r="H28" i="3" s="1"/>
  <c r="L32" i="3"/>
  <c r="N32" i="3" s="1"/>
  <c r="H32" i="3" s="1"/>
  <c r="L23" i="3"/>
  <c r="N23" i="3" s="1"/>
  <c r="H23" i="3" s="1"/>
  <c r="L15" i="3"/>
  <c r="N15" i="3" s="1"/>
  <c r="H15" i="3" s="1"/>
  <c r="L20" i="3"/>
  <c r="N20" i="3" s="1"/>
  <c r="H20" i="3" s="1"/>
  <c r="L21" i="3"/>
  <c r="N21" i="3" s="1"/>
  <c r="H21" i="3" s="1"/>
  <c r="I21" i="3" s="1"/>
  <c r="L25" i="3"/>
  <c r="N25" i="3" s="1"/>
  <c r="H25" i="3" s="1"/>
  <c r="M144" i="4" l="1"/>
  <c r="K145" i="3"/>
  <c r="I10" i="4"/>
  <c r="P10" i="4" s="1"/>
  <c r="I22" i="3"/>
  <c r="I83" i="4"/>
  <c r="L7" i="3"/>
  <c r="L145" i="3" s="1"/>
  <c r="I16" i="3"/>
  <c r="P17" i="4"/>
  <c r="Y17" i="4" s="1"/>
  <c r="Z17" i="4" s="1"/>
  <c r="O16" i="3" s="1"/>
  <c r="M33" i="4"/>
  <c r="I67" i="3"/>
  <c r="I88" i="4"/>
  <c r="K88" i="4" s="1"/>
  <c r="I71" i="4"/>
  <c r="P71" i="4" s="1"/>
  <c r="I92" i="4"/>
  <c r="P92" i="4" s="1"/>
  <c r="I84" i="4"/>
  <c r="K84" i="4" s="1"/>
  <c r="I47" i="3"/>
  <c r="I112" i="4"/>
  <c r="K112" i="4" s="1"/>
  <c r="I51" i="3"/>
  <c r="I121" i="4"/>
  <c r="K121" i="4" s="1"/>
  <c r="I128" i="3"/>
  <c r="I82" i="4"/>
  <c r="K82" i="4" s="1"/>
  <c r="I119" i="4"/>
  <c r="K119" i="4" s="1"/>
  <c r="I85" i="3"/>
  <c r="Y31" i="4"/>
  <c r="Z31" i="4" s="1"/>
  <c r="O34" i="3" s="1"/>
  <c r="I53" i="3"/>
  <c r="P53" i="4"/>
  <c r="Y53" i="4" s="1"/>
  <c r="Z53" i="4" s="1"/>
  <c r="O56" i="3" s="1"/>
  <c r="K57" i="4"/>
  <c r="Y57" i="4" s="1"/>
  <c r="Z57" i="4" s="1"/>
  <c r="O67" i="3" s="1"/>
  <c r="I78" i="3"/>
  <c r="I77" i="4"/>
  <c r="K77" i="4" s="1"/>
  <c r="I81" i="4"/>
  <c r="P81" i="4" s="1"/>
  <c r="I120" i="4"/>
  <c r="K120" i="4" s="1"/>
  <c r="I110" i="3"/>
  <c r="I99" i="3"/>
  <c r="I116" i="4"/>
  <c r="P116" i="4" s="1"/>
  <c r="I71" i="3"/>
  <c r="I86" i="4"/>
  <c r="K86" i="4" s="1"/>
  <c r="I63" i="4"/>
  <c r="I56" i="4"/>
  <c r="K56" i="4" s="1"/>
  <c r="I85" i="4"/>
  <c r="P85" i="4" s="1"/>
  <c r="I56" i="3"/>
  <c r="I13" i="4"/>
  <c r="P13" i="4" s="1"/>
  <c r="I107" i="3"/>
  <c r="I80" i="3"/>
  <c r="I69" i="4"/>
  <c r="K69" i="4" s="1"/>
  <c r="I61" i="3"/>
  <c r="I22" i="4"/>
  <c r="P22" i="4" s="1"/>
  <c r="P75" i="4"/>
  <c r="Y75" i="4" s="1"/>
  <c r="Z75" i="4" s="1"/>
  <c r="O95" i="3" s="1"/>
  <c r="I43" i="3"/>
  <c r="I132" i="3"/>
  <c r="I101" i="4"/>
  <c r="P101" i="4" s="1"/>
  <c r="I41" i="3"/>
  <c r="I25" i="4"/>
  <c r="P25" i="4" s="1"/>
  <c r="P62" i="4"/>
  <c r="Y62" i="4" s="1"/>
  <c r="Z62" i="4" s="1"/>
  <c r="O61" i="3" s="1"/>
  <c r="I73" i="4"/>
  <c r="P73" i="4" s="1"/>
  <c r="I39" i="4"/>
  <c r="P39" i="4" s="1"/>
  <c r="I42" i="4"/>
  <c r="P42" i="4" s="1"/>
  <c r="I74" i="4"/>
  <c r="K74" i="4" s="1"/>
  <c r="I50" i="4"/>
  <c r="P50" i="4" s="1"/>
  <c r="I122" i="4"/>
  <c r="K122" i="4" s="1"/>
  <c r="I44" i="4"/>
  <c r="P44" i="4" s="1"/>
  <c r="I47" i="4"/>
  <c r="K47" i="4" s="1"/>
  <c r="I60" i="3"/>
  <c r="I46" i="4"/>
  <c r="K46" i="4" s="1"/>
  <c r="K94" i="4"/>
  <c r="P94" i="4"/>
  <c r="I96" i="4"/>
  <c r="K99" i="4"/>
  <c r="Y99" i="4" s="1"/>
  <c r="Z99" i="4" s="1"/>
  <c r="O36" i="3" s="1"/>
  <c r="I115" i="4"/>
  <c r="K115" i="4" s="1"/>
  <c r="I119" i="3"/>
  <c r="I103" i="3"/>
  <c r="I64" i="4"/>
  <c r="P64" i="4" s="1"/>
  <c r="I114" i="3"/>
  <c r="I87" i="3"/>
  <c r="I36" i="3"/>
  <c r="I59" i="4"/>
  <c r="P59" i="4" s="1"/>
  <c r="I95" i="3"/>
  <c r="K103" i="4"/>
  <c r="P103" i="4"/>
  <c r="I30" i="3"/>
  <c r="I73" i="3"/>
  <c r="I105" i="4"/>
  <c r="I80" i="4"/>
  <c r="P80" i="4" s="1"/>
  <c r="I118" i="3"/>
  <c r="I98" i="4"/>
  <c r="K36" i="4"/>
  <c r="P36" i="4"/>
  <c r="H50" i="3"/>
  <c r="I50" i="3" s="1"/>
  <c r="H40" i="3"/>
  <c r="I40" i="3" s="1"/>
  <c r="H42" i="3"/>
  <c r="I42" i="3" s="1"/>
  <c r="K58" i="4"/>
  <c r="Y58" i="4" s="1"/>
  <c r="Z58" i="4" s="1"/>
  <c r="O78" i="3" s="1"/>
  <c r="I70" i="3"/>
  <c r="I86" i="3"/>
  <c r="I68" i="4"/>
  <c r="K68" i="4" s="1"/>
  <c r="H46" i="3"/>
  <c r="I46" i="3" s="1"/>
  <c r="H65" i="3"/>
  <c r="I65" i="3" s="1"/>
  <c r="H38" i="3"/>
  <c r="I38" i="3" s="1"/>
  <c r="H115" i="3"/>
  <c r="I95" i="4" s="1"/>
  <c r="P95" i="4" s="1"/>
  <c r="H98" i="3"/>
  <c r="I98" i="3" s="1"/>
  <c r="H48" i="3"/>
  <c r="I108" i="4" s="1"/>
  <c r="H113" i="3"/>
  <c r="I93" i="4" s="1"/>
  <c r="P93" i="4" s="1"/>
  <c r="H96" i="3"/>
  <c r="I96" i="3" s="1"/>
  <c r="I79" i="3"/>
  <c r="I61" i="4"/>
  <c r="I13" i="3"/>
  <c r="H77" i="3"/>
  <c r="I55" i="4" s="1"/>
  <c r="K55" i="4" s="1"/>
  <c r="H69" i="3"/>
  <c r="I69" i="3" s="1"/>
  <c r="H57" i="3"/>
  <c r="I49" i="4" s="1"/>
  <c r="P49" i="4" s="1"/>
  <c r="H111" i="3"/>
  <c r="I91" i="4" s="1"/>
  <c r="P91" i="4" s="1"/>
  <c r="H92" i="3"/>
  <c r="I92" i="3" s="1"/>
  <c r="H74" i="3"/>
  <c r="I74" i="3" s="1"/>
  <c r="H44" i="3"/>
  <c r="I44" i="3" s="1"/>
  <c r="H109" i="3"/>
  <c r="I109" i="3" s="1"/>
  <c r="H90" i="3"/>
  <c r="I70" i="4" s="1"/>
  <c r="P70" i="4" s="1"/>
  <c r="H58" i="3"/>
  <c r="I58" i="3" s="1"/>
  <c r="H29" i="3"/>
  <c r="I29" i="3" s="1"/>
  <c r="I29" i="4"/>
  <c r="I32" i="3"/>
  <c r="H18" i="3"/>
  <c r="I18" i="3" s="1"/>
  <c r="I15" i="4"/>
  <c r="I20" i="3"/>
  <c r="H17" i="3"/>
  <c r="I12" i="4" s="1"/>
  <c r="P12" i="4" s="1"/>
  <c r="H19" i="3"/>
  <c r="P67" i="4"/>
  <c r="Y67" i="4" s="1"/>
  <c r="Z67" i="4" s="1"/>
  <c r="O86" i="3" s="1"/>
  <c r="K113" i="4"/>
  <c r="Y113" i="4" s="1"/>
  <c r="Z113" i="4" s="1"/>
  <c r="O53" i="3" s="1"/>
  <c r="P66" i="4"/>
  <c r="Y66" i="4" s="1"/>
  <c r="Z66" i="4" s="1"/>
  <c r="O85" i="3" s="1"/>
  <c r="J127" i="2"/>
  <c r="J128" i="2" s="1"/>
  <c r="J131" i="2" s="1"/>
  <c r="Y30" i="4"/>
  <c r="Z30" i="4" s="1"/>
  <c r="O33" i="3" s="1"/>
  <c r="I14" i="4"/>
  <c r="I24" i="4"/>
  <c r="P24" i="4" s="1"/>
  <c r="P38" i="4"/>
  <c r="Y38" i="4" s="1"/>
  <c r="Z38" i="4" s="1"/>
  <c r="O71" i="3" s="1"/>
  <c r="K87" i="4"/>
  <c r="Y87" i="4" s="1"/>
  <c r="Z87" i="4" s="1"/>
  <c r="O107" i="3" s="1"/>
  <c r="I16" i="4"/>
  <c r="I41" i="4"/>
  <c r="I68" i="3"/>
  <c r="I109" i="4"/>
  <c r="I49" i="3"/>
  <c r="K127" i="4"/>
  <c r="P127" i="4"/>
  <c r="K118" i="4"/>
  <c r="P118" i="4"/>
  <c r="I126" i="4"/>
  <c r="I127" i="3"/>
  <c r="I123" i="4"/>
  <c r="I124" i="3"/>
  <c r="K79" i="4"/>
  <c r="P79" i="4"/>
  <c r="I114" i="4"/>
  <c r="I54" i="3"/>
  <c r="P65" i="4"/>
  <c r="K65" i="4"/>
  <c r="I7" i="4"/>
  <c r="P7" i="4" s="1"/>
  <c r="P117" i="4"/>
  <c r="Y117" i="4" s="1"/>
  <c r="Z117" i="4" s="1"/>
  <c r="O118" i="3" s="1"/>
  <c r="P111" i="4"/>
  <c r="Y111" i="4" s="1"/>
  <c r="Z111" i="4" s="1"/>
  <c r="O51" i="3" s="1"/>
  <c r="Y136" i="4"/>
  <c r="Z136" i="4" s="1"/>
  <c r="O137" i="3" s="1"/>
  <c r="P54" i="4"/>
  <c r="Y54" i="4" s="1"/>
  <c r="Z54" i="4" s="1"/>
  <c r="O80" i="3" s="1"/>
  <c r="I35" i="4"/>
  <c r="I81" i="3"/>
  <c r="I51" i="4"/>
  <c r="I76" i="3"/>
  <c r="P37" i="4"/>
  <c r="Y37" i="4" s="1"/>
  <c r="Z37" i="4" s="1"/>
  <c r="O73" i="3" s="1"/>
  <c r="I130" i="4"/>
  <c r="I131" i="3"/>
  <c r="I125" i="4"/>
  <c r="I126" i="3"/>
  <c r="I129" i="4"/>
  <c r="I130" i="3"/>
  <c r="I132" i="4"/>
  <c r="I133" i="3"/>
  <c r="I55" i="3"/>
  <c r="I48" i="4"/>
  <c r="P90" i="4"/>
  <c r="K90" i="4"/>
  <c r="P107" i="4"/>
  <c r="Y107" i="4" s="1"/>
  <c r="Z107" i="4" s="1"/>
  <c r="O47" i="3" s="1"/>
  <c r="I124" i="4"/>
  <c r="I125" i="3"/>
  <c r="I128" i="4"/>
  <c r="I129" i="3"/>
  <c r="I133" i="4"/>
  <c r="I134" i="3"/>
  <c r="K131" i="4"/>
  <c r="P131" i="4"/>
  <c r="I43" i="4"/>
  <c r="I72" i="3"/>
  <c r="I20" i="4"/>
  <c r="I23" i="3"/>
  <c r="I26" i="4"/>
  <c r="I28" i="3"/>
  <c r="I28" i="4"/>
  <c r="I31" i="3"/>
  <c r="P27" i="4"/>
  <c r="K27" i="4"/>
  <c r="I9" i="4"/>
  <c r="I27" i="3"/>
  <c r="I21" i="4"/>
  <c r="I25" i="3"/>
  <c r="I6" i="4"/>
  <c r="I24" i="3"/>
  <c r="I8" i="4"/>
  <c r="I19" i="4"/>
  <c r="I15" i="3"/>
  <c r="K5" i="4"/>
  <c r="K10" i="4" l="1"/>
  <c r="Y10" i="4" s="1"/>
  <c r="Z10" i="4" s="1"/>
  <c r="O22" i="3" s="1"/>
  <c r="P83" i="4"/>
  <c r="K83" i="4"/>
  <c r="N7" i="3"/>
  <c r="N145" i="3" s="1"/>
  <c r="P88" i="4"/>
  <c r="Y88" i="4" s="1"/>
  <c r="Z88" i="4" s="1"/>
  <c r="O108" i="3" s="1"/>
  <c r="K71" i="4"/>
  <c r="Y71" i="4" s="1"/>
  <c r="Z71" i="4" s="1"/>
  <c r="O91" i="3" s="1"/>
  <c r="P84" i="4"/>
  <c r="Y84" i="4" s="1"/>
  <c r="Z84" i="4" s="1"/>
  <c r="O104" i="3" s="1"/>
  <c r="K92" i="4"/>
  <c r="Y92" i="4" s="1"/>
  <c r="Z92" i="4" s="1"/>
  <c r="O112" i="3" s="1"/>
  <c r="P112" i="4"/>
  <c r="Y112" i="4" s="1"/>
  <c r="Z112" i="4" s="1"/>
  <c r="O52" i="3" s="1"/>
  <c r="P121" i="4"/>
  <c r="Y121" i="4" s="1"/>
  <c r="Z121" i="4" s="1"/>
  <c r="O122" i="3" s="1"/>
  <c r="P119" i="4"/>
  <c r="Y119" i="4" s="1"/>
  <c r="Z119" i="4" s="1"/>
  <c r="O120" i="3" s="1"/>
  <c r="P82" i="4"/>
  <c r="Y82" i="4" s="1"/>
  <c r="Z82" i="4" s="1"/>
  <c r="O102" i="3" s="1"/>
  <c r="P86" i="4"/>
  <c r="Y86" i="4" s="1"/>
  <c r="Z86" i="4" s="1"/>
  <c r="O106" i="3" s="1"/>
  <c r="P56" i="4"/>
  <c r="Y56" i="4" s="1"/>
  <c r="Z56" i="4" s="1"/>
  <c r="O59" i="3" s="1"/>
  <c r="P77" i="4"/>
  <c r="Y77" i="4" s="1"/>
  <c r="Z77" i="4" s="1"/>
  <c r="O97" i="3" s="1"/>
  <c r="K81" i="4"/>
  <c r="Y81" i="4" s="1"/>
  <c r="Z81" i="4" s="1"/>
  <c r="O101" i="3" s="1"/>
  <c r="P120" i="4"/>
  <c r="Y120" i="4" s="1"/>
  <c r="P68" i="4"/>
  <c r="Y68" i="4" s="1"/>
  <c r="Z68" i="4" s="1"/>
  <c r="O88" i="3" s="1"/>
  <c r="K85" i="4"/>
  <c r="Y85" i="4" s="1"/>
  <c r="Z85" i="4" s="1"/>
  <c r="O105" i="3" s="1"/>
  <c r="K116" i="4"/>
  <c r="Y116" i="4" s="1"/>
  <c r="Z116" i="4" s="1"/>
  <c r="O117" i="3" s="1"/>
  <c r="P63" i="4"/>
  <c r="K63" i="4"/>
  <c r="K13" i="4"/>
  <c r="Y13" i="4" s="1"/>
  <c r="Z13" i="4" s="1"/>
  <c r="O10" i="3" s="1"/>
  <c r="Y103" i="4"/>
  <c r="Z103" i="4" s="1"/>
  <c r="O43" i="3" s="1"/>
  <c r="K91" i="4"/>
  <c r="Y91" i="4" s="1"/>
  <c r="Z91" i="4" s="1"/>
  <c r="O111" i="3" s="1"/>
  <c r="P47" i="4"/>
  <c r="Y47" i="4" s="1"/>
  <c r="Z47" i="4" s="1"/>
  <c r="O64" i="3" s="1"/>
  <c r="P69" i="4"/>
  <c r="Y69" i="4" s="1"/>
  <c r="Z69" i="4" s="1"/>
  <c r="O89" i="3" s="1"/>
  <c r="K39" i="4"/>
  <c r="Y39" i="4" s="1"/>
  <c r="Z39" i="4" s="1"/>
  <c r="O63" i="3" s="1"/>
  <c r="K25" i="4"/>
  <c r="Y25" i="4" s="1"/>
  <c r="Z25" i="4" s="1"/>
  <c r="O11" i="3" s="1"/>
  <c r="K73" i="4"/>
  <c r="Y73" i="4" s="1"/>
  <c r="Z73" i="4" s="1"/>
  <c r="O93" i="3" s="1"/>
  <c r="K50" i="4"/>
  <c r="Y50" i="4" s="1"/>
  <c r="Z50" i="4" s="1"/>
  <c r="O66" i="3" s="1"/>
  <c r="I72" i="4"/>
  <c r="P72" i="4" s="1"/>
  <c r="K101" i="4"/>
  <c r="Y101" i="4" s="1"/>
  <c r="Z101" i="4" s="1"/>
  <c r="O41" i="3" s="1"/>
  <c r="P55" i="4"/>
  <c r="Y55" i="4" s="1"/>
  <c r="Z55" i="4" s="1"/>
  <c r="O77" i="3" s="1"/>
  <c r="I77" i="3"/>
  <c r="K44" i="4"/>
  <c r="Y44" i="4" s="1"/>
  <c r="Z44" i="4" s="1"/>
  <c r="O75" i="3" s="1"/>
  <c r="K70" i="4"/>
  <c r="Y70" i="4" s="1"/>
  <c r="Z70" i="4" s="1"/>
  <c r="O90" i="3" s="1"/>
  <c r="K22" i="4"/>
  <c r="Y22" i="4" s="1"/>
  <c r="Z22" i="4" s="1"/>
  <c r="O26" i="3" s="1"/>
  <c r="I23" i="4"/>
  <c r="P23" i="4" s="1"/>
  <c r="P46" i="4"/>
  <c r="Y46" i="4" s="1"/>
  <c r="Z46" i="4" s="1"/>
  <c r="O60" i="3" s="1"/>
  <c r="P122" i="4"/>
  <c r="Y122" i="4" s="1"/>
  <c r="Z122" i="4" s="1"/>
  <c r="O123" i="3" s="1"/>
  <c r="K80" i="4"/>
  <c r="Y80" i="4" s="1"/>
  <c r="Z80" i="4" s="1"/>
  <c r="O100" i="3" s="1"/>
  <c r="I48" i="3"/>
  <c r="Y94" i="4"/>
  <c r="Z94" i="4" s="1"/>
  <c r="O114" i="3" s="1"/>
  <c r="K42" i="4"/>
  <c r="Y42" i="4" s="1"/>
  <c r="Z42" i="4" s="1"/>
  <c r="O82" i="3" s="1"/>
  <c r="P74" i="4"/>
  <c r="Y74" i="4" s="1"/>
  <c r="Z74" i="4" s="1"/>
  <c r="O94" i="3" s="1"/>
  <c r="K59" i="4"/>
  <c r="Y59" i="4" s="1"/>
  <c r="Z59" i="4" s="1"/>
  <c r="O62" i="3" s="1"/>
  <c r="K49" i="4"/>
  <c r="Y49" i="4" s="1"/>
  <c r="Z49" i="4" s="1"/>
  <c r="O57" i="3" s="1"/>
  <c r="K64" i="4"/>
  <c r="Y64" i="4" s="1"/>
  <c r="Z64" i="4" s="1"/>
  <c r="O84" i="3" s="1"/>
  <c r="K12" i="4"/>
  <c r="Y12" i="4" s="1"/>
  <c r="Z12" i="4" s="1"/>
  <c r="O17" i="3" s="1"/>
  <c r="I17" i="3"/>
  <c r="I4" i="4"/>
  <c r="I40" i="4"/>
  <c r="P40" i="4" s="1"/>
  <c r="Y36" i="4"/>
  <c r="Z36" i="4" s="1"/>
  <c r="O70" i="3" s="1"/>
  <c r="K96" i="4"/>
  <c r="P96" i="4"/>
  <c r="P115" i="4"/>
  <c r="Y115" i="4" s="1"/>
  <c r="Z115" i="4" s="1"/>
  <c r="O116" i="3" s="1"/>
  <c r="K108" i="4"/>
  <c r="P108" i="4"/>
  <c r="K98" i="4"/>
  <c r="P98" i="4"/>
  <c r="I89" i="4"/>
  <c r="I111" i="3"/>
  <c r="I60" i="4"/>
  <c r="I115" i="3"/>
  <c r="K95" i="4"/>
  <c r="Y95" i="4" s="1"/>
  <c r="Z95" i="4" s="1"/>
  <c r="O115" i="3" s="1"/>
  <c r="I100" i="4"/>
  <c r="K100" i="4" s="1"/>
  <c r="I45" i="4"/>
  <c r="K45" i="4" s="1"/>
  <c r="I52" i="4"/>
  <c r="P52" i="4" s="1"/>
  <c r="I90" i="3"/>
  <c r="I104" i="4"/>
  <c r="P104" i="4" s="1"/>
  <c r="I57" i="3"/>
  <c r="I76" i="4"/>
  <c r="K105" i="4"/>
  <c r="P105" i="4"/>
  <c r="I113" i="3"/>
  <c r="I78" i="4"/>
  <c r="I97" i="4"/>
  <c r="I106" i="4"/>
  <c r="I102" i="4"/>
  <c r="I110" i="4"/>
  <c r="K61" i="4"/>
  <c r="P61" i="4"/>
  <c r="K93" i="4"/>
  <c r="Y93" i="4" s="1"/>
  <c r="Z93" i="4" s="1"/>
  <c r="O113" i="3" s="1"/>
  <c r="P29" i="4"/>
  <c r="K29" i="4"/>
  <c r="I19" i="3"/>
  <c r="I18" i="4"/>
  <c r="P15" i="4"/>
  <c r="K15" i="4"/>
  <c r="J133" i="2"/>
  <c r="J134" i="2" s="1"/>
  <c r="K24" i="4"/>
  <c r="Y24" i="4" s="1"/>
  <c r="Z24" i="4" s="1"/>
  <c r="O14" i="3" s="1"/>
  <c r="P14" i="4"/>
  <c r="K14" i="4"/>
  <c r="Y90" i="4"/>
  <c r="Z90" i="4" s="1"/>
  <c r="O110" i="3" s="1"/>
  <c r="Y65" i="4"/>
  <c r="Z65" i="4" s="1"/>
  <c r="O87" i="3" s="1"/>
  <c r="P41" i="4"/>
  <c r="K41" i="4"/>
  <c r="K109" i="4"/>
  <c r="P109" i="4"/>
  <c r="P16" i="4"/>
  <c r="K16" i="4"/>
  <c r="P51" i="4"/>
  <c r="K51" i="4"/>
  <c r="K35" i="4"/>
  <c r="P35" i="4"/>
  <c r="K124" i="4"/>
  <c r="P124" i="4"/>
  <c r="P130" i="4"/>
  <c r="K130" i="4"/>
  <c r="K123" i="4"/>
  <c r="P123" i="4"/>
  <c r="K7" i="4"/>
  <c r="Y7" i="4" s="1"/>
  <c r="Z7" i="4" s="1"/>
  <c r="O9" i="3" s="1"/>
  <c r="K48" i="4"/>
  <c r="P48" i="4"/>
  <c r="Y118" i="4"/>
  <c r="Z118" i="4" s="1"/>
  <c r="O119" i="3" s="1"/>
  <c r="Y127" i="4"/>
  <c r="Z127" i="4" s="1"/>
  <c r="O128" i="3" s="1"/>
  <c r="K128" i="4"/>
  <c r="P128" i="4"/>
  <c r="Y131" i="4"/>
  <c r="Z131" i="4" s="1"/>
  <c r="O132" i="3" s="1"/>
  <c r="K133" i="4"/>
  <c r="P133" i="4"/>
  <c r="K129" i="4"/>
  <c r="P129" i="4"/>
  <c r="K114" i="4"/>
  <c r="P114" i="4"/>
  <c r="P43" i="4"/>
  <c r="K43" i="4"/>
  <c r="P132" i="4"/>
  <c r="K132" i="4"/>
  <c r="K125" i="4"/>
  <c r="P125" i="4"/>
  <c r="Y79" i="4"/>
  <c r="Z79" i="4" s="1"/>
  <c r="O99" i="3" s="1"/>
  <c r="K126" i="4"/>
  <c r="P126" i="4"/>
  <c r="P21" i="4"/>
  <c r="K21" i="4"/>
  <c r="P6" i="4"/>
  <c r="K6" i="4"/>
  <c r="P9" i="4"/>
  <c r="K9" i="4"/>
  <c r="P28" i="4"/>
  <c r="K28" i="4"/>
  <c r="P8" i="4"/>
  <c r="K8" i="4"/>
  <c r="P26" i="4"/>
  <c r="K26" i="4"/>
  <c r="Y5" i="4"/>
  <c r="Z5" i="4" s="1"/>
  <c r="O13" i="3" s="1"/>
  <c r="P19" i="4"/>
  <c r="K19" i="4"/>
  <c r="Y27" i="4"/>
  <c r="Z27" i="4" s="1"/>
  <c r="O30" i="3" s="1"/>
  <c r="P20" i="4"/>
  <c r="K20" i="4"/>
  <c r="I144" i="4" l="1"/>
  <c r="Y83" i="4"/>
  <c r="Z83" i="4" s="1"/>
  <c r="O103" i="3" s="1"/>
  <c r="H7" i="3"/>
  <c r="H145" i="3" s="1"/>
  <c r="Y63" i="4"/>
  <c r="Z63" i="4" s="1"/>
  <c r="O83" i="3" s="1"/>
  <c r="P4" i="4"/>
  <c r="K23" i="4"/>
  <c r="Y23" i="4" s="1"/>
  <c r="Z23" i="4" s="1"/>
  <c r="O29" i="3" s="1"/>
  <c r="K40" i="4"/>
  <c r="Y40" i="4" s="1"/>
  <c r="Z40" i="4" s="1"/>
  <c r="O65" i="3" s="1"/>
  <c r="K4" i="4"/>
  <c r="K104" i="4"/>
  <c r="Y104" i="4" s="1"/>
  <c r="Z104" i="4" s="1"/>
  <c r="O44" i="3" s="1"/>
  <c r="K72" i="4"/>
  <c r="Y72" i="4" s="1"/>
  <c r="Z72" i="4" s="1"/>
  <c r="O92" i="3" s="1"/>
  <c r="P100" i="4"/>
  <c r="Y100" i="4" s="1"/>
  <c r="Z100" i="4" s="1"/>
  <c r="O40" i="3" s="1"/>
  <c r="Y51" i="4"/>
  <c r="Z51" i="4" s="1"/>
  <c r="O76" i="3" s="1"/>
  <c r="Y114" i="4"/>
  <c r="Z114" i="4" s="1"/>
  <c r="O54" i="3" s="1"/>
  <c r="Y133" i="4"/>
  <c r="Z133" i="4" s="1"/>
  <c r="O134" i="3" s="1"/>
  <c r="Y96" i="4"/>
  <c r="Z96" i="4" s="1"/>
  <c r="O39" i="3" s="1"/>
  <c r="Y132" i="4"/>
  <c r="Z132" i="4" s="1"/>
  <c r="O133" i="3" s="1"/>
  <c r="K52" i="4"/>
  <c r="Y52" i="4" s="1"/>
  <c r="Z52" i="4" s="1"/>
  <c r="O74" i="3" s="1"/>
  <c r="Y105" i="4"/>
  <c r="Z105" i="4" s="1"/>
  <c r="O45" i="3" s="1"/>
  <c r="P45" i="4"/>
  <c r="Y45" i="4" s="1"/>
  <c r="Z45" i="4" s="1"/>
  <c r="O58" i="3" s="1"/>
  <c r="P76" i="4"/>
  <c r="K76" i="4"/>
  <c r="Y126" i="4"/>
  <c r="Z126" i="4" s="1"/>
  <c r="O127" i="3" s="1"/>
  <c r="K60" i="4"/>
  <c r="P60" i="4"/>
  <c r="Y98" i="4"/>
  <c r="Z98" i="4" s="1"/>
  <c r="O37" i="3" s="1"/>
  <c r="Y61" i="4"/>
  <c r="Z61" i="4" s="1"/>
  <c r="O79" i="3" s="1"/>
  <c r="P89" i="4"/>
  <c r="K89" i="4"/>
  <c r="Y108" i="4"/>
  <c r="Z108" i="4" s="1"/>
  <c r="O48" i="3" s="1"/>
  <c r="K106" i="4"/>
  <c r="P106" i="4"/>
  <c r="P97" i="4"/>
  <c r="K97" i="4"/>
  <c r="Y15" i="4"/>
  <c r="Z15" i="4" s="1"/>
  <c r="O20" i="3" s="1"/>
  <c r="Y29" i="4"/>
  <c r="Z29" i="4" s="1"/>
  <c r="O32" i="3" s="1"/>
  <c r="K110" i="4"/>
  <c r="P110" i="4"/>
  <c r="K78" i="4"/>
  <c r="P78" i="4"/>
  <c r="P102" i="4"/>
  <c r="K102" i="4"/>
  <c r="K18" i="4"/>
  <c r="P18" i="4"/>
  <c r="Y19" i="4"/>
  <c r="Z19" i="4" s="1"/>
  <c r="O15" i="3" s="1"/>
  <c r="Y8" i="4"/>
  <c r="Z8" i="4" s="1"/>
  <c r="O21" i="3" s="1"/>
  <c r="Y9" i="4"/>
  <c r="Z9" i="4" s="1"/>
  <c r="O27" i="3" s="1"/>
  <c r="Y6" i="4"/>
  <c r="Z6" i="4" s="1"/>
  <c r="O24" i="3" s="1"/>
  <c r="Y14" i="4"/>
  <c r="Z14" i="4" s="1"/>
  <c r="O12" i="3" s="1"/>
  <c r="Y20" i="4"/>
  <c r="Z20" i="4" s="1"/>
  <c r="O23" i="3" s="1"/>
  <c r="Y43" i="4"/>
  <c r="Z43" i="4" s="1"/>
  <c r="O72" i="3" s="1"/>
  <c r="Y16" i="4"/>
  <c r="Z16" i="4" s="1"/>
  <c r="O8" i="3" s="1"/>
  <c r="Y41" i="4"/>
  <c r="Z41" i="4" s="1"/>
  <c r="O68" i="3" s="1"/>
  <c r="Y109" i="4"/>
  <c r="Z109" i="4" s="1"/>
  <c r="O49" i="3" s="1"/>
  <c r="Y35" i="4"/>
  <c r="Y48" i="4"/>
  <c r="Y129" i="4"/>
  <c r="Z129" i="4" s="1"/>
  <c r="O130" i="3" s="1"/>
  <c r="Y124" i="4"/>
  <c r="Z124" i="4" s="1"/>
  <c r="O125" i="3" s="1"/>
  <c r="Y125" i="4"/>
  <c r="Z125" i="4" s="1"/>
  <c r="O126" i="3" s="1"/>
  <c r="Y123" i="4"/>
  <c r="Z123" i="4" s="1"/>
  <c r="O124" i="3" s="1"/>
  <c r="Y26" i="4"/>
  <c r="Z26" i="4" s="1"/>
  <c r="O28" i="3" s="1"/>
  <c r="Y28" i="4"/>
  <c r="Z28" i="4" s="1"/>
  <c r="O31" i="3" s="1"/>
  <c r="Y128" i="4"/>
  <c r="Z128" i="4" s="1"/>
  <c r="O129" i="3" s="1"/>
  <c r="Y130" i="4"/>
  <c r="Z130" i="4" s="1"/>
  <c r="O131" i="3" s="1"/>
  <c r="Y21" i="4"/>
  <c r="Z21" i="4" s="1"/>
  <c r="O25" i="3" s="1"/>
  <c r="P144" i="4" l="1"/>
  <c r="K144" i="4"/>
  <c r="Y4" i="4"/>
  <c r="Z4" i="4" s="1"/>
  <c r="O18" i="3" s="1"/>
  <c r="I7" i="3"/>
  <c r="I145" i="3" s="1"/>
  <c r="I11" i="4"/>
  <c r="Y76" i="4"/>
  <c r="Z76" i="4" s="1"/>
  <c r="O96" i="3" s="1"/>
  <c r="Y78" i="4"/>
  <c r="Z78" i="4" s="1"/>
  <c r="O98" i="3" s="1"/>
  <c r="Y102" i="4"/>
  <c r="Z102" i="4" s="1"/>
  <c r="O42" i="3" s="1"/>
  <c r="Y60" i="4"/>
  <c r="Z60" i="4" s="1"/>
  <c r="O69" i="3" s="1"/>
  <c r="Y106" i="4"/>
  <c r="Z106" i="4" s="1"/>
  <c r="O46" i="3" s="1"/>
  <c r="Y89" i="4"/>
  <c r="Z89" i="4" s="1"/>
  <c r="O109" i="3" s="1"/>
  <c r="Y110" i="4"/>
  <c r="Z110" i="4" s="1"/>
  <c r="O50" i="3" s="1"/>
  <c r="Y97" i="4"/>
  <c r="Z97" i="4" s="1"/>
  <c r="O38" i="3" s="1"/>
  <c r="Y18" i="4"/>
  <c r="Z18" i="4" s="1"/>
  <c r="O19" i="3" s="1"/>
  <c r="Z35" i="4"/>
  <c r="Z144" i="4" l="1"/>
  <c r="Y144" i="4"/>
  <c r="O81" i="3"/>
  <c r="I147" i="3"/>
  <c r="I149" i="3" s="1"/>
  <c r="I150" i="3" s="1"/>
  <c r="I151" i="3" s="1"/>
  <c r="I154" i="3" s="1"/>
  <c r="I155" i="3" s="1"/>
  <c r="I156" i="3" s="1"/>
  <c r="P11" i="4"/>
  <c r="P33" i="4" s="1"/>
  <c r="K11" i="4"/>
  <c r="I33" i="4"/>
  <c r="Y11" i="4" l="1"/>
  <c r="K33" i="4"/>
  <c r="Z11" i="4" l="1"/>
  <c r="Y33" i="4"/>
  <c r="O7" i="3" l="1"/>
  <c r="Z33" i="4"/>
  <c r="O145" i="3" l="1"/>
</calcChain>
</file>

<file path=xl/sharedStrings.xml><?xml version="1.0" encoding="utf-8"?>
<sst xmlns="http://schemas.openxmlformats.org/spreadsheetml/2006/main" count="3756" uniqueCount="673">
  <si>
    <t>CONSULTORIA EN PROYECTOS DINAMICOS S DE RL DE CV</t>
  </si>
  <si>
    <t/>
  </si>
  <si>
    <t xml:space="preserve">CLAVE </t>
  </si>
  <si>
    <t>SUCURSAL</t>
  </si>
  <si>
    <t>NOMBRE</t>
  </si>
  <si>
    <t>SEI0006</t>
  </si>
  <si>
    <t>SEITON - (CONSULTORIA II)</t>
  </si>
  <si>
    <t>SANCHEZ OVANDO RAFAEL</t>
  </si>
  <si>
    <t>SEI0007</t>
  </si>
  <si>
    <t>GARCIA MORALES OCTAVIO</t>
  </si>
  <si>
    <t>SEI0009</t>
  </si>
  <si>
    <t>GUTIERREZ GUTIERREZ LUIS ARTURO</t>
  </si>
  <si>
    <t>SEI0026</t>
  </si>
  <si>
    <t>PATRICIO AGUILAR JHONATTAN CRISTIAN</t>
  </si>
  <si>
    <t>SEI0027</t>
  </si>
  <si>
    <t>TAVARES GUZMAN JOSE ENRIQUE</t>
  </si>
  <si>
    <t>SEI0088</t>
  </si>
  <si>
    <t>MORGADO FERNANDEZ MARTIN</t>
  </si>
  <si>
    <t>SEI0097</t>
  </si>
  <si>
    <t>ARREOLA JIMENEZ JOSE NIEVES</t>
  </si>
  <si>
    <t>SEI0099</t>
  </si>
  <si>
    <t>GARCIA VILLICA#A RICARDO PASCUAL</t>
  </si>
  <si>
    <t>SEI0108</t>
  </si>
  <si>
    <t>CABALLERO DIAZ FRANCISCO JAVIER</t>
  </si>
  <si>
    <t>SEI0116</t>
  </si>
  <si>
    <t>CASILLAS CARDONA CESAR ALEJANDRO</t>
  </si>
  <si>
    <t>SEI0117</t>
  </si>
  <si>
    <t>MARISCAL ROMERO LUIS ADRIAN</t>
  </si>
  <si>
    <t>SEI0118</t>
  </si>
  <si>
    <t>ARROYO RAMIREZ HECTOR HUGO</t>
  </si>
  <si>
    <t>SEI0120</t>
  </si>
  <si>
    <t>MACIAS TORRES ENRIQUE</t>
  </si>
  <si>
    <t>SEI0127</t>
  </si>
  <si>
    <t>HERNANDEZ OCHOA EDUARDO</t>
  </si>
  <si>
    <t>SEI0137</t>
  </si>
  <si>
    <t>DIAZ MARTINEZ JULIO ARTURO</t>
  </si>
  <si>
    <t>SEI0173</t>
  </si>
  <si>
    <t>NIETO ORTIZ JOSE LUIS</t>
  </si>
  <si>
    <t>SEI0228</t>
  </si>
  <si>
    <t>MASCORRO BARRAGAN NOE</t>
  </si>
  <si>
    <t>SEI0401</t>
  </si>
  <si>
    <t>DE LA TORRE ZAMBARA FRANCISCO ERNESTO</t>
  </si>
  <si>
    <t>SEI0425</t>
  </si>
  <si>
    <t>CARBAJAL CABUTO JOSE LUIS</t>
  </si>
  <si>
    <t>SEI0433</t>
  </si>
  <si>
    <t>MUNGUIA GODINEZ EVANGELINA</t>
  </si>
  <si>
    <t>TOTAL GENERAL:</t>
  </si>
  <si>
    <t>Devengado Salario</t>
  </si>
  <si>
    <t>RETORNOS</t>
  </si>
  <si>
    <t>Subtotal 1</t>
  </si>
  <si>
    <t>Comision</t>
  </si>
  <si>
    <t>Subtotal 2</t>
  </si>
  <si>
    <t>Costo Patronal Imss</t>
  </si>
  <si>
    <t xml:space="preserve">2% Sobre Nomina </t>
  </si>
  <si>
    <t>Importe de Factura</t>
  </si>
  <si>
    <t>IVA</t>
  </si>
  <si>
    <t>TOTAL</t>
  </si>
  <si>
    <t>SEI0002</t>
  </si>
  <si>
    <t>SEITON (IP INNOVA II)</t>
  </si>
  <si>
    <t>VALENCIA TORRES OMAR ISMAEL</t>
  </si>
  <si>
    <t>SEI0003</t>
  </si>
  <si>
    <t>ARELLANO LOPEZ ADRIANA ISELA</t>
  </si>
  <si>
    <t>SEI0004</t>
  </si>
  <si>
    <t>SALDIVAR BERNAL ALAN GABRIEL</t>
  </si>
  <si>
    <t>SEI0005</t>
  </si>
  <si>
    <t>GOMEZ CEJA JONATAN FERNANDO</t>
  </si>
  <si>
    <t>SEI0008</t>
  </si>
  <si>
    <t>GARCIA MOLINA GUSTAVO</t>
  </si>
  <si>
    <t>SEI0010</t>
  </si>
  <si>
    <t>TORRES RICARDEZ ALFREDO</t>
  </si>
  <si>
    <t>SEI0011</t>
  </si>
  <si>
    <t>GOMEZ ESPARZA JOSE LUIS</t>
  </si>
  <si>
    <t>SEI0012</t>
  </si>
  <si>
    <t>HERNANDEZ RENTERIA JAVIER ALFREDO</t>
  </si>
  <si>
    <t>SEI0013</t>
  </si>
  <si>
    <t>CASTILLO SANCHEZ MIGUEL ANGEL</t>
  </si>
  <si>
    <t>SEI0014</t>
  </si>
  <si>
    <t>MONTOYA PORTILLO CARLOS ALBERTO</t>
  </si>
  <si>
    <t>SEI0015</t>
  </si>
  <si>
    <t>COTA JARAMILLO MIGUEL ANGEL</t>
  </si>
  <si>
    <t>SEI0016</t>
  </si>
  <si>
    <t>NEGRETE BEJAR AIDE SARAI</t>
  </si>
  <si>
    <t>SEI0017</t>
  </si>
  <si>
    <t>MUÑOZ REYES LUIS EDUARDO</t>
  </si>
  <si>
    <t>SEI0018</t>
  </si>
  <si>
    <t>DOMINGUEZ MENDEZ VICTOR MANUEL</t>
  </si>
  <si>
    <t>SEI0019</t>
  </si>
  <si>
    <t>GONZALEZ RASGADO MIGUEL ISAIAS</t>
  </si>
  <si>
    <t>SEI0020</t>
  </si>
  <si>
    <t>MAR MARQUEZ CESAR EDUARDO</t>
  </si>
  <si>
    <t>SEI0021</t>
  </si>
  <si>
    <t>VELEZ RODRIGUEZ JAIME</t>
  </si>
  <si>
    <t>SEI0022</t>
  </si>
  <si>
    <t>NAJERA LOPEZ RAUL</t>
  </si>
  <si>
    <t>SEI0023</t>
  </si>
  <si>
    <t>PUENTE MURGUIA LUIS FELIPE</t>
  </si>
  <si>
    <t>SEI0024</t>
  </si>
  <si>
    <t>MIRELES CHAPA MIGUEL ANGEL</t>
  </si>
  <si>
    <t>SEI0025</t>
  </si>
  <si>
    <t>VEGA ZAMBRANO ANA LORENA</t>
  </si>
  <si>
    <t>SEI0028</t>
  </si>
  <si>
    <t>JIMENEZ ALCARAZ ELIZABETH</t>
  </si>
  <si>
    <t>SEI0029</t>
  </si>
  <si>
    <t>ARCEO GARCIA MANUEL FEDERICO</t>
  </si>
  <si>
    <t>SEI0030</t>
  </si>
  <si>
    <t>MARQUEZ ALTAMIRANO MARCO ANTONIO</t>
  </si>
  <si>
    <t>SEI0031</t>
  </si>
  <si>
    <t>CONTRERAS ZETINA VICTOR HUGO</t>
  </si>
  <si>
    <t>SEI0098</t>
  </si>
  <si>
    <t>CASTRO MEZA JORGE</t>
  </si>
  <si>
    <t>SEI0122</t>
  </si>
  <si>
    <t>SANCHEZ POLANCO DAISY LETICIA</t>
  </si>
  <si>
    <t>SEI0151</t>
  </si>
  <si>
    <t>PRUDENCIO FRIAS OSWALDO</t>
  </si>
  <si>
    <t>SEI0345</t>
  </si>
  <si>
    <t>RODRIGUEZ DIAZ CESAR SALVADOR</t>
  </si>
  <si>
    <t>SEI0376</t>
  </si>
  <si>
    <t>MARQUEZ ALCARAZ MARTIN</t>
  </si>
  <si>
    <t>Retornos</t>
  </si>
  <si>
    <t>EMPRESA</t>
  </si>
  <si>
    <t>NETO SALARIOS</t>
  </si>
  <si>
    <t xml:space="preserve">INFONAVIT </t>
  </si>
  <si>
    <t>NETO SINDICATO</t>
  </si>
  <si>
    <t>NETO A PAGAR</t>
  </si>
  <si>
    <t xml:space="preserve">ARCEO GARCIA MANUEL FEDERICO </t>
  </si>
  <si>
    <t>MARQUEZ ALTAMIRANO ANTONIO</t>
  </si>
  <si>
    <t xml:space="preserve"> PAGO SINDICATO</t>
  </si>
  <si>
    <t>SINDICATO</t>
  </si>
  <si>
    <t xml:space="preserve">PAGO POR SINDICATO </t>
  </si>
  <si>
    <t>DATOS DEL TRABAJADOR</t>
  </si>
  <si>
    <t>NOMBRE COMPLETO</t>
  </si>
  <si>
    <t>TAvARES GUZMAN JOSE ENRIQUE</t>
  </si>
  <si>
    <t>NETO MENSUAL</t>
  </si>
  <si>
    <t>DIFERENCIAS</t>
  </si>
  <si>
    <t>NETO QUINCENAL SEITON</t>
  </si>
  <si>
    <t>SUELDOS Y SALARIOS</t>
  </si>
  <si>
    <t>NETOS</t>
  </si>
  <si>
    <t>EXTRAS</t>
  </si>
  <si>
    <t>TOTAL GENERAL</t>
  </si>
  <si>
    <t>SANCHEZ GONZALEZ MIGUEL ANGEL</t>
  </si>
  <si>
    <t>CAMARENA QUIROZ ERICK FRANK</t>
  </si>
  <si>
    <t>MOLINA RAMIREZ GERARDO DANIEL</t>
  </si>
  <si>
    <t>NARANJO CHAVEZ NOE SALVADOR</t>
  </si>
  <si>
    <t>Hernandez Ochoa Eduardo</t>
  </si>
  <si>
    <t>Carbajal Cabuto Jose Luis</t>
  </si>
  <si>
    <t>Munguia Godinez Evangelina</t>
  </si>
  <si>
    <t>Deduccion general</t>
  </si>
  <si>
    <t>Sueldo</t>
  </si>
  <si>
    <t>Ayuda de Transporte</t>
  </si>
  <si>
    <t>Ayuda Alimentaria</t>
  </si>
  <si>
    <t>Ayuda de Renta</t>
  </si>
  <si>
    <t>*TOTAL* *PERCEPCIONES*</t>
  </si>
  <si>
    <t>I.S.R. (sp)</t>
  </si>
  <si>
    <t>Subsidio al Empleo (sp)</t>
  </si>
  <si>
    <t>I.M.S.S.</t>
  </si>
  <si>
    <t>Préstamo Infonavit (vsm)</t>
  </si>
  <si>
    <t>Ajuste al neto</t>
  </si>
  <si>
    <t>*TOTAL* *DEDUCCIONES*</t>
  </si>
  <si>
    <t>*NETO*</t>
  </si>
  <si>
    <t>Subs al Empleo acreditado</t>
  </si>
  <si>
    <t>I.S.R. antes de Subs al Empleo</t>
  </si>
  <si>
    <t>Ret. Inv. Y Vida</t>
  </si>
  <si>
    <t>Ret. Cesantia</t>
  </si>
  <si>
    <t>Ret. Enf. y Mat. obrero</t>
  </si>
  <si>
    <t>Invalidez y Vida</t>
  </si>
  <si>
    <t>Cesantia y Vejez</t>
  </si>
  <si>
    <t>Enf. y Mat. Patron</t>
  </si>
  <si>
    <t>Total Percepciones</t>
  </si>
  <si>
    <t>2% Fondo retiro SAR (8)</t>
  </si>
  <si>
    <t>2% Impuesto estatal</t>
  </si>
  <si>
    <t>Riesgo de trabajo (9)</t>
  </si>
  <si>
    <t>I.M.S.S. empresa</t>
  </si>
  <si>
    <t>Infonavit empresa</t>
  </si>
  <si>
    <t>Guarderia I.M.S.S. (7)</t>
  </si>
  <si>
    <t xml:space="preserve">  -----------------------</t>
  </si>
  <si>
    <t>GARCIA VILLICAÑA RICARDO PASCUAL</t>
  </si>
  <si>
    <t>GONZALEZ VILLANUEVA ALEJANDRA</t>
  </si>
  <si>
    <t xml:space="preserve"> </t>
  </si>
  <si>
    <t>Lista de Raya (forma tabular)</t>
  </si>
  <si>
    <t>Reg Pat IMSS: Z2940859106</t>
  </si>
  <si>
    <t xml:space="preserve">RFC: CPD -150911-FA3 </t>
  </si>
  <si>
    <t>Código</t>
  </si>
  <si>
    <t>Empleado</t>
  </si>
  <si>
    <t>Total Depto</t>
  </si>
  <si>
    <t>IP INNOVACION EN PROYECTOS S DE RL DE CV</t>
  </si>
  <si>
    <t>Reg Pat IMSS: Z2942442109</t>
  </si>
  <si>
    <t xml:space="preserve">RFC: IIP -150923-DT7 </t>
  </si>
  <si>
    <t>Vega Zambrano Ana Lorena</t>
  </si>
  <si>
    <t>Infonavit</t>
  </si>
  <si>
    <t>COMISION</t>
  </si>
  <si>
    <t>SEI0033</t>
  </si>
  <si>
    <t>AGUILAR LEAL KARINA LIVIER</t>
  </si>
  <si>
    <t>ALONSO FLORES BEDA</t>
  </si>
  <si>
    <t>AMEZCUA CONTRERAS MARTHA FRINE</t>
  </si>
  <si>
    <t>CAMARILLO CANELA REYNALDO</t>
  </si>
  <si>
    <t>DIAZ MUNGUIA MARTHA LILIANA</t>
  </si>
  <si>
    <t>DOMINGUEZ LOPEZ MARIA DE JESUS</t>
  </si>
  <si>
    <t>DOMINGUEZ LOPEZ MAYELI DEL PILAR</t>
  </si>
  <si>
    <t>GOMEZ OLIVEROS ALIN</t>
  </si>
  <si>
    <t>GUIZAR PEREZ SERGIO</t>
  </si>
  <si>
    <t>GUTIERREZ MUÑOZ CARLOS ALEJANDRO</t>
  </si>
  <si>
    <t>LARA CAMPOS MAXIMINO</t>
  </si>
  <si>
    <t>LEAL MONTAÑO DIEGO</t>
  </si>
  <si>
    <t>MEDINA GARCIA JOSE LUIS</t>
  </si>
  <si>
    <t>MORA RAMIREZ ACAL ALDO ISIDRO</t>
  </si>
  <si>
    <t>NEGRETE RENTERIA JOSE LUIS</t>
  </si>
  <si>
    <t>NERI GUTIERREZ YESSICA ELIZABETH</t>
  </si>
  <si>
    <t>QUINTO VALLE MARTIN</t>
  </si>
  <si>
    <t>RAMIREZ VERA MARIA DEL CARMEN</t>
  </si>
  <si>
    <t>RODRIGUEZ CRUZ MARIA DEL CARMEN</t>
  </si>
  <si>
    <t>ROGEL TERAN MARCO ANTONIO</t>
  </si>
  <si>
    <t>ROJO AVELAR ADRIAN</t>
  </si>
  <si>
    <t>ROMERO MAYORAL LORENZO</t>
  </si>
  <si>
    <t>SAUCEDO DURAN JESUS ALFREDO</t>
  </si>
  <si>
    <t>SIERRA HERNANDEZ MARIA DEL ROCIO</t>
  </si>
  <si>
    <t>Aportación voluntaria SAR</t>
  </si>
  <si>
    <t>HernandezOchoaEduardo</t>
  </si>
  <si>
    <t>CarbajalCabutoJoseLuis</t>
  </si>
  <si>
    <t>MunguiaGodinezEvangelina</t>
  </si>
  <si>
    <t>HernandezRenteriaJavierAlfredo</t>
  </si>
  <si>
    <t>VegaZambranoAnaLorena</t>
  </si>
  <si>
    <t>ALMARAZ PACHECO VICTOR</t>
  </si>
  <si>
    <t>SEI0037</t>
  </si>
  <si>
    <t>SEI0039</t>
  </si>
  <si>
    <t>SEI0040</t>
  </si>
  <si>
    <t>SEI0041</t>
  </si>
  <si>
    <t>SEI0078</t>
  </si>
  <si>
    <t>SEI0079</t>
  </si>
  <si>
    <t>SEI0081</t>
  </si>
  <si>
    <t>SEI0095</t>
  </si>
  <si>
    <t>SEI0096</t>
  </si>
  <si>
    <t>SEI0100</t>
  </si>
  <si>
    <t>SEI0109</t>
  </si>
  <si>
    <t>SEI0119</t>
  </si>
  <si>
    <t>SEI0126</t>
  </si>
  <si>
    <t>SEI0133</t>
  </si>
  <si>
    <t>SEI0146</t>
  </si>
  <si>
    <t>SEI0147</t>
  </si>
  <si>
    <t>SEI0221</t>
  </si>
  <si>
    <t>SEI0222</t>
  </si>
  <si>
    <t>SEI0230</t>
  </si>
  <si>
    <t>SEI0332</t>
  </si>
  <si>
    <t>SEI0364</t>
  </si>
  <si>
    <t>SEI0377</t>
  </si>
  <si>
    <t>SEI0412</t>
  </si>
  <si>
    <t>GARCIAMORALESOCTAVIO</t>
  </si>
  <si>
    <t>AGUILARLEALKARINALIVIER</t>
  </si>
  <si>
    <t>ALONSOFLORESBEDA</t>
  </si>
  <si>
    <t>AMEZCUACONTRERASMARTHAFRINE</t>
  </si>
  <si>
    <t>ARCEOGARCIAMANUELFEDERICO</t>
  </si>
  <si>
    <t>ARELLANOLOPEZADRIANAISELA</t>
  </si>
  <si>
    <t>ARREOLAJIMENEZJOSENIEVES</t>
  </si>
  <si>
    <t>ARROYORAMIREZHECTORHUGO</t>
  </si>
  <si>
    <t>BENAVIDESHERRERAPABLO</t>
  </si>
  <si>
    <t>BUENOHERRERAMARIANAGUADALUPE</t>
  </si>
  <si>
    <t>CABALLERODIAZFRANCISCOJAVIER</t>
  </si>
  <si>
    <t>CAMARENAQUIROZERICKFRANK</t>
  </si>
  <si>
    <t>CAMARILLOCANELAREYNALDO</t>
  </si>
  <si>
    <t>CASILLASCARDONACESARALEJANDRO</t>
  </si>
  <si>
    <t>CASTILLOSANCHEZMIGUELANGEL</t>
  </si>
  <si>
    <t>CASTROMEZAJORGE</t>
  </si>
  <si>
    <t>CONTRERASZETINAVICTORHUGO</t>
  </si>
  <si>
    <t>COTAJARAMILLOMIGUELANGEL</t>
  </si>
  <si>
    <t>DELATORREZAMBARAFRANCISCOERNESTO</t>
  </si>
  <si>
    <t>DIAZMARTINEZJULIOARTURO</t>
  </si>
  <si>
    <t>DIAZMUNGUIAMARTHALILIANA</t>
  </si>
  <si>
    <t>DOMINGUEZLOPEZMARIADEJESUS</t>
  </si>
  <si>
    <t>DOMINGUEZLOPEZMAYELIDELPILAR</t>
  </si>
  <si>
    <t>DOMINGUEZMENDEZVICTORMANUEL</t>
  </si>
  <si>
    <t>GARCIAMOLINAGUSTAVO</t>
  </si>
  <si>
    <t>GOMEZCEJAJONATANFERNANDO</t>
  </si>
  <si>
    <t>GOMEZESPARZAJOSELUIS</t>
  </si>
  <si>
    <t>GOMEZOLIVEROSALIN</t>
  </si>
  <si>
    <t>GONZALEZRASGADOMIGUELISAIAS</t>
  </si>
  <si>
    <t>GONZALEZVILLANUEVAALEJANDRA</t>
  </si>
  <si>
    <t>GUIZARPEREZSERGIO</t>
  </si>
  <si>
    <t>GUTIERREZGUTIERREZLUISARTURO</t>
  </si>
  <si>
    <t>GUTIERREZMUÑOZCARLOSALEJANDRO</t>
  </si>
  <si>
    <t>JIMENEZALCARAZELIZABETH</t>
  </si>
  <si>
    <t>LARACAMPOSMAXIMINO</t>
  </si>
  <si>
    <t>LEALMONTAÑODIEGO</t>
  </si>
  <si>
    <t>MACIASTORRESENRIQUE</t>
  </si>
  <si>
    <t>MARMARQUEZCESAREDUARDO</t>
  </si>
  <si>
    <t>MARISCALROMEROLUISADRIAN</t>
  </si>
  <si>
    <t>MARQUEZALCARAZMARTIN</t>
  </si>
  <si>
    <t>MARQUEZALTAMIRANOMARCOANTONIO</t>
  </si>
  <si>
    <t>MASCORROBARRAGANNOE</t>
  </si>
  <si>
    <t>MEDINAGARCIAJOSELUIS</t>
  </si>
  <si>
    <t>MOLINARAMIREZGERARDODANIEL</t>
  </si>
  <si>
    <t>MONTOYAPORTILLOCARLOSALBERTO</t>
  </si>
  <si>
    <t>MORARAMIREZACALALDOISIDRO</t>
  </si>
  <si>
    <t>MORGADOFERNANDEZMARTIN</t>
  </si>
  <si>
    <t>MUÑOZREYESLUISEDUARDO</t>
  </si>
  <si>
    <t>NAJERALOPEZRAUL</t>
  </si>
  <si>
    <t>NARANJOCHAVEZNOESALVADOR</t>
  </si>
  <si>
    <t>NEGRETEBEJARAIDESARAI</t>
  </si>
  <si>
    <t>NEGRETERENTERIAJOSELUIS</t>
  </si>
  <si>
    <t>NERIGUTIERREZYESSICAELIZABETH</t>
  </si>
  <si>
    <t>NIETOORTIZJOSELUIS</t>
  </si>
  <si>
    <t>PATRICIOAGUILARJHONATTANCRISTIAN</t>
  </si>
  <si>
    <t>PRUDENCIOFRIASOSWALDO</t>
  </si>
  <si>
    <t>PUENTEMURGUIALUISFELIPE</t>
  </si>
  <si>
    <t>QUINTOVALLEMARTIN</t>
  </si>
  <si>
    <t>RAMIREZVERAMARIADELCARMEN</t>
  </si>
  <si>
    <t>RODRIGUEZDIAZCESARSALVADOR</t>
  </si>
  <si>
    <t>ROGELTERANMARCOANTONIO</t>
  </si>
  <si>
    <t>ROJOAVELARADRIAN</t>
  </si>
  <si>
    <t>ROMEROMAYORALLORENZO</t>
  </si>
  <si>
    <t>SALDIVARBERNALALANGABRIEL</t>
  </si>
  <si>
    <t>SANCHEZGONZALEZMIGUELANGEL</t>
  </si>
  <si>
    <t>SANCHEZPOLANCODAISYLETICIA</t>
  </si>
  <si>
    <t>SAUCEDODURANJESUSALFREDO</t>
  </si>
  <si>
    <t>SIERRAHERNANDEZMARIADELROCIO</t>
  </si>
  <si>
    <t>TORRESRICARDEZALFREDO</t>
  </si>
  <si>
    <t>VALENCIATORRESOMARISMAEL</t>
  </si>
  <si>
    <t>VAZQUEZPEREZMIGUELANGEL</t>
  </si>
  <si>
    <t>VELEZRODRIGUEZJAIME</t>
  </si>
  <si>
    <t>GARCIAVILLICAÑARICARDOPASCUAL</t>
  </si>
  <si>
    <t>SANCHEZOVANDORAFAEL</t>
  </si>
  <si>
    <t>TAvARESGUZMANJOSEENRIQUE</t>
  </si>
  <si>
    <t>MIRELESCHAPAMIGUELANGEL</t>
  </si>
  <si>
    <t>ALMARAZPACHECOVICTOR</t>
  </si>
  <si>
    <t>BENAVIDESHERRERAALEJANDRA</t>
  </si>
  <si>
    <t>RODRIGUEZCRUZMARIADELCARMEN</t>
  </si>
  <si>
    <t>COMPEAN TOBIAS BRAULIO GERARDO</t>
  </si>
  <si>
    <t>COMPEANTOBIASBRAULIO</t>
  </si>
  <si>
    <t>Prestamo Empresa</t>
  </si>
  <si>
    <t>Compean Tobias Braulio Gerardo</t>
  </si>
  <si>
    <t>NETO IP</t>
  </si>
  <si>
    <t>NETO CPD</t>
  </si>
  <si>
    <t>VILLAMOR MORA ANA LUISA</t>
  </si>
  <si>
    <t>Gutierrez Gutierrez Luis Arturo</t>
  </si>
  <si>
    <t>Patricio Aguilar Jhonattan Cristian</t>
  </si>
  <si>
    <t>Tavares Guzman Jose Enrique</t>
  </si>
  <si>
    <t>Benavides Herrera Pablo</t>
  </si>
  <si>
    <t>Mora Ramirez Acal Aldo Isidro</t>
  </si>
  <si>
    <t>Vazquez Perez Miguel Angel</t>
  </si>
  <si>
    <t>Morgado Fernandez Martin</t>
  </si>
  <si>
    <t>Arreola Jimenez Jose Nieves</t>
  </si>
  <si>
    <t>Garcia Villicaña Ricardo Pascual</t>
  </si>
  <si>
    <t>Caballero Diaz Francisco Javier</t>
  </si>
  <si>
    <t>Casillas Cardona Cesar Alejandro</t>
  </si>
  <si>
    <t>Mariscal Romero Luis Adrian</t>
  </si>
  <si>
    <t>Arroyo Ramirez Hector Hugo</t>
  </si>
  <si>
    <t>Dominguez Lopez Maria De Jesus</t>
  </si>
  <si>
    <t>Macias Torres Enrique</t>
  </si>
  <si>
    <t>Diaz Munguia Martha Liliana</t>
  </si>
  <si>
    <t>Nieto Ortiz Jose Luis</t>
  </si>
  <si>
    <t>Rogel Teran Marco Antonio</t>
  </si>
  <si>
    <t>Saucedo Duran Jesus Alfredo</t>
  </si>
  <si>
    <t>De La Torre Zambara Francisco Ernesto</t>
  </si>
  <si>
    <t>SEI0416</t>
  </si>
  <si>
    <t>Villamor Mora Ana Luisa</t>
  </si>
  <si>
    <t>Prestamo Prospera</t>
  </si>
  <si>
    <t>Arellano Lopez Adriana Isela</t>
  </si>
  <si>
    <t>Torres Ricardez Alfredo</t>
  </si>
  <si>
    <t>Castillo Sanchez Miguel Angel</t>
  </si>
  <si>
    <t>Negrete Bejar Aide Sarai</t>
  </si>
  <si>
    <t>Muñoz Reyes Luis Eduardo</t>
  </si>
  <si>
    <t>Dominguez Mendez Victor Manuel</t>
  </si>
  <si>
    <t>Gonzalez Rasgado Miguel Isaias</t>
  </si>
  <si>
    <t>Velez Rodriguez Jaime</t>
  </si>
  <si>
    <t>Najera Lopez Raul</t>
  </si>
  <si>
    <t>Puente Murguia Luis Felipe</t>
  </si>
  <si>
    <t>Arceo Garcia Manuel Federico</t>
  </si>
  <si>
    <t>Marquez Altamirano Marco Antonio</t>
  </si>
  <si>
    <t>Contreras Zetina Victor Hugo</t>
  </si>
  <si>
    <t>Molina Ramirez Gerardo Daniel</t>
  </si>
  <si>
    <t>Gomez Oliveros Alin</t>
  </si>
  <si>
    <t>Aguilar Leal Karina Livier</t>
  </si>
  <si>
    <t>Amezcua Contreras Martha Frine</t>
  </si>
  <si>
    <t>Guizar Perez Sergio</t>
  </si>
  <si>
    <t>Gutierrez Muñoz Carlos Alejandro</t>
  </si>
  <si>
    <t>Camarillo Canela Reynaldo</t>
  </si>
  <si>
    <t>Quinto Valle Martin</t>
  </si>
  <si>
    <t>Negrete Renteria Jose Luis</t>
  </si>
  <si>
    <t>Alonso Flores Beda</t>
  </si>
  <si>
    <t>Romero Mayoral Lorenzo</t>
  </si>
  <si>
    <t>Ramirez Vera Maria Del Carmen</t>
  </si>
  <si>
    <t>Bueno Herrera Mariana Guadalupe</t>
  </si>
  <si>
    <t>Lara Campos Maximino</t>
  </si>
  <si>
    <t>Rodriguez Diaz Cesar Salvador</t>
  </si>
  <si>
    <t>Dominguez Lopez Mayeli Del Pilar</t>
  </si>
  <si>
    <t>Marquez Alcaraz Martin</t>
  </si>
  <si>
    <t>Rojo Avelar Adrian</t>
  </si>
  <si>
    <t>Hernandez Renteria Javier Fernando</t>
  </si>
  <si>
    <t>Benavides Herrera Alejandra</t>
  </si>
  <si>
    <t>PEREZ LOPEZ FRANCISCO JAVIER</t>
  </si>
  <si>
    <t>prima vacacional</t>
  </si>
  <si>
    <t xml:space="preserve"> SEI0014 </t>
  </si>
  <si>
    <t xml:space="preserve"> Montoya Portillo Carlos Alberto </t>
  </si>
  <si>
    <t xml:space="preserve"> SEI0015 </t>
  </si>
  <si>
    <t xml:space="preserve"> Cota Jaramillo Miguel Angel </t>
  </si>
  <si>
    <t xml:space="preserve"> Mar Marquez Cesar Eduardo </t>
  </si>
  <si>
    <t>Vacaciones a tiempo</t>
  </si>
  <si>
    <t>Prima de vacaciones a tiempo</t>
  </si>
  <si>
    <t>SEI0413</t>
  </si>
  <si>
    <t xml:space="preserve">Courtenay Gutierrez Barry Vladimir </t>
  </si>
  <si>
    <t>MENDEZ ALCOCER EDNA PAOLA</t>
  </si>
  <si>
    <t>Dias Laborados</t>
  </si>
  <si>
    <t>Solache Figueroa Jose Cuauhtemoc</t>
  </si>
  <si>
    <t>Diaz  Ceballos Miguel Angel Segundo</t>
  </si>
  <si>
    <t>De Anda Garcia Elisa Ximena</t>
  </si>
  <si>
    <t>Arellanos Maqueda Victor Leonardo</t>
  </si>
  <si>
    <t>Lara Zamora Christian</t>
  </si>
  <si>
    <t>Marin  Avila Hector</t>
  </si>
  <si>
    <t>SEI0415</t>
  </si>
  <si>
    <t>SEI0417</t>
  </si>
  <si>
    <t>SEI0421</t>
  </si>
  <si>
    <t>Mireles Casillas Brenda Cristina</t>
  </si>
  <si>
    <t xml:space="preserve">  Altas    </t>
  </si>
  <si>
    <t xml:space="preserve">  Bajas  </t>
  </si>
  <si>
    <t>SEI032</t>
  </si>
  <si>
    <t>Camarena Quiroz Erick Frank</t>
  </si>
  <si>
    <t>Escobedo Olivares Juan Guadalupe</t>
  </si>
  <si>
    <t>Castillo Ramirez Hector Ivan</t>
  </si>
  <si>
    <t>HGD0416</t>
  </si>
  <si>
    <t>SEI0422</t>
  </si>
  <si>
    <t>Mulgado Guzman Ernesto</t>
  </si>
  <si>
    <t>comision y bono</t>
  </si>
  <si>
    <t>certificacion de cheque</t>
  </si>
  <si>
    <t>Dias Vacaciones</t>
  </si>
  <si>
    <t>SEI0424</t>
  </si>
  <si>
    <t>Palacios Ramos Jesus</t>
  </si>
  <si>
    <t>SEI0429</t>
  </si>
  <si>
    <t>Torres Gomez Valeria</t>
  </si>
  <si>
    <t>SEI0431</t>
  </si>
  <si>
    <t>Alcaraz Conde Zabdi Guadalupe</t>
  </si>
  <si>
    <t>aportacion voluntaria</t>
  </si>
  <si>
    <t>Garza  Herrera Yareci Anel</t>
  </si>
  <si>
    <t>Lopez Terron Roberto Porfirio</t>
  </si>
  <si>
    <t>Ramirez Romero Jose Luis</t>
  </si>
  <si>
    <t>Chavez Pedraza Samuel</t>
  </si>
  <si>
    <t>SEI0435</t>
  </si>
  <si>
    <t>SEI0438</t>
  </si>
  <si>
    <t>SEI0441</t>
  </si>
  <si>
    <t>SEI0442</t>
  </si>
  <si>
    <t>SEI0428</t>
  </si>
  <si>
    <t>Martinez Hernandez J. Antonio</t>
  </si>
  <si>
    <t>INFONAVIT</t>
  </si>
  <si>
    <t>PRESTAMO</t>
  </si>
  <si>
    <t>DESCUENTOS</t>
  </si>
  <si>
    <t>APORTACION</t>
  </si>
  <si>
    <t>OBSERVACIONES</t>
  </si>
  <si>
    <t>SEI0443</t>
  </si>
  <si>
    <t>Castillo Nungaray Nestor Roman</t>
  </si>
  <si>
    <t>SEI0444</t>
  </si>
  <si>
    <t>Marquez Hernandez Rogelio</t>
  </si>
  <si>
    <t xml:space="preserve"> SEI0448 </t>
  </si>
  <si>
    <t xml:space="preserve"> Picazo Gutierrez Jose Alfonso </t>
  </si>
  <si>
    <t>Cadena Ramirez Hugo</t>
  </si>
  <si>
    <t>SEI0420</t>
  </si>
  <si>
    <t>Martinez Morales Tomas</t>
  </si>
  <si>
    <t>Medellin Colunga Ruben Dario</t>
  </si>
  <si>
    <t>Torres Perez Carlos Alberto</t>
  </si>
  <si>
    <t>SEI0423</t>
  </si>
  <si>
    <t>Velazquez Herrera Nayeli</t>
  </si>
  <si>
    <t>Treviño Alvarez Jorge Alberto</t>
  </si>
  <si>
    <t>Tenorio Alvarez Alberto Antonio</t>
  </si>
  <si>
    <t>SEI0426</t>
  </si>
  <si>
    <t>Chavez Dominguez Salvador</t>
  </si>
  <si>
    <t>Garcia Gutierrez Jose Juan</t>
  </si>
  <si>
    <t>Cruz Herrera Roberto</t>
  </si>
  <si>
    <t>Dominguez Escamilla Victor Hugo</t>
  </si>
  <si>
    <t>SEI0430</t>
  </si>
  <si>
    <t>Martinez Rodriguez Paulo Cesar</t>
  </si>
  <si>
    <t>Martinez Malo Cesar</t>
  </si>
  <si>
    <t>SEI0432</t>
  </si>
  <si>
    <t>Perez Balboa Cesar</t>
  </si>
  <si>
    <t>SEI0449</t>
  </si>
  <si>
    <t>Flores Cerrillos Jorge Humberto</t>
  </si>
  <si>
    <t>SEI0451</t>
  </si>
  <si>
    <t>Hurtado Avalos J.jesus</t>
  </si>
  <si>
    <t>SEI0452</t>
  </si>
  <si>
    <t>Leija Arevalo Guadalupe</t>
  </si>
  <si>
    <t>SEI0453</t>
  </si>
  <si>
    <t>Mora Cavazos Roberto Manuel</t>
  </si>
  <si>
    <t>SEI0454</t>
  </si>
  <si>
    <t>Martinez Rivera Maria Teresa</t>
  </si>
  <si>
    <t>SEI0455</t>
  </si>
  <si>
    <t>Perez Garcia Andres Alvaro</t>
  </si>
  <si>
    <t>SEI0456</t>
  </si>
  <si>
    <t>Chavira Garcia David Fernando</t>
  </si>
  <si>
    <t>SEI0457</t>
  </si>
  <si>
    <t>Guerrero Lara Cesar Adrian</t>
  </si>
  <si>
    <t>SEI0458</t>
  </si>
  <si>
    <t>Martinez Zamora Gerardo Mario</t>
  </si>
  <si>
    <t>SEI0460</t>
  </si>
  <si>
    <t>Castellon Ramos Rene</t>
  </si>
  <si>
    <t>SEI0461</t>
  </si>
  <si>
    <t>Flores Franco Marco</t>
  </si>
  <si>
    <t>SEI0463</t>
  </si>
  <si>
    <t>Hernandez Rangel Daniel</t>
  </si>
  <si>
    <t>SEI0464</t>
  </si>
  <si>
    <t>Hueramo Hueramo Jesus Daniel</t>
  </si>
  <si>
    <t>SEI0437</t>
  </si>
  <si>
    <t>Leal Montaño Diego</t>
  </si>
  <si>
    <t>subsidio</t>
  </si>
  <si>
    <t>SEI0465</t>
  </si>
  <si>
    <t>Sandoval Garcia Luis</t>
  </si>
  <si>
    <t>Diaz Saldierna Leonel Gonzalo</t>
  </si>
  <si>
    <t>Mejia  Duarte Jose Luis</t>
  </si>
  <si>
    <t>SEI0467</t>
  </si>
  <si>
    <t>Vaca Valdez Guillermo</t>
  </si>
  <si>
    <t xml:space="preserve"> SEI0468 </t>
  </si>
  <si>
    <t xml:space="preserve"> Ramirez Vera Eustolia </t>
  </si>
  <si>
    <t xml:space="preserve">Cerro  Garcia  Elvis </t>
  </si>
  <si>
    <t>SEI0469</t>
  </si>
  <si>
    <t>Martinez Morales Jose Martin</t>
  </si>
  <si>
    <t>SEI0472</t>
  </si>
  <si>
    <t>Arzate Gil Juan Sebastian</t>
  </si>
  <si>
    <t>prima vacaciones</t>
  </si>
  <si>
    <t>DIAS DE VACACIONES</t>
  </si>
  <si>
    <t>MONTO PRIMA TOTAL</t>
  </si>
  <si>
    <t>MENOS PRIMA IMSS</t>
  </si>
  <si>
    <t>PRIMA A PAGAR SINDICATO</t>
  </si>
  <si>
    <t>COMISION Y PRIMA VACACIONAL</t>
  </si>
  <si>
    <t>PRIMA VACACIONAL SINDICATO</t>
  </si>
  <si>
    <t>SUELDO NETO MENSUAL</t>
  </si>
  <si>
    <t>SEI0473</t>
  </si>
  <si>
    <t>Torres Velazquez Juan Antonio</t>
  </si>
  <si>
    <t>SEI0474</t>
  </si>
  <si>
    <t>Enriquez  Zamora Jessica Del Rocio</t>
  </si>
  <si>
    <t>SEI0475</t>
  </si>
  <si>
    <t>Moreno Quiroga  Ana Sarahi</t>
  </si>
  <si>
    <t>SEI0476</t>
  </si>
  <si>
    <t>Hernandez Garcia  Manuel Alejandro</t>
  </si>
  <si>
    <t xml:space="preserve">  Total Nomina </t>
  </si>
  <si>
    <t xml:space="preserve">  Nomina </t>
  </si>
  <si>
    <t>SEI0477</t>
  </si>
  <si>
    <t>Sandoval Medina Demetrio</t>
  </si>
  <si>
    <t>Leal  Montaño Francisco</t>
  </si>
  <si>
    <t>Cruz Perez Alejandro Nezahualcoyotl</t>
  </si>
  <si>
    <t>SEI0478</t>
  </si>
  <si>
    <t>SEI479</t>
  </si>
  <si>
    <t>SEI0480</t>
  </si>
  <si>
    <t>Sigala Marmolejo Sergio</t>
  </si>
  <si>
    <t>SEI0481</t>
  </si>
  <si>
    <t>Garcia Valdivia Benjamin Alonso</t>
  </si>
  <si>
    <t xml:space="preserve"> Préstamo Infonavit </t>
  </si>
  <si>
    <t xml:space="preserve"> Seguro de vivienda Infonavit </t>
  </si>
  <si>
    <t>Préstamo Infonavit (cf)</t>
  </si>
  <si>
    <t>Seguro de vivienda Infonavit</t>
  </si>
  <si>
    <t xml:space="preserve">Valdes  Arrioja  Karla Naborina </t>
  </si>
  <si>
    <t>SEI0482</t>
  </si>
  <si>
    <t>SEI0483</t>
  </si>
  <si>
    <t>SEI0485</t>
  </si>
  <si>
    <t>SEI0488</t>
  </si>
  <si>
    <t>SEI0489</t>
  </si>
  <si>
    <t>SEI0490</t>
  </si>
  <si>
    <t>SEI0492</t>
  </si>
  <si>
    <t>SEI0493</t>
  </si>
  <si>
    <t>SEI0494</t>
  </si>
  <si>
    <t>SEI0495</t>
  </si>
  <si>
    <t>SEI0496</t>
  </si>
  <si>
    <t>SEI0497</t>
  </si>
  <si>
    <t>SEI0498</t>
  </si>
  <si>
    <t>SEI0499</t>
  </si>
  <si>
    <t>SEI0500</t>
  </si>
  <si>
    <t>SEI0501</t>
  </si>
  <si>
    <t>SEI0502</t>
  </si>
  <si>
    <t>SEI0503</t>
  </si>
  <si>
    <t>SEI0504</t>
  </si>
  <si>
    <t>SEI0505</t>
  </si>
  <si>
    <t>SEI0506</t>
  </si>
  <si>
    <t>SEI0507</t>
  </si>
  <si>
    <t>SEI0508</t>
  </si>
  <si>
    <t xml:space="preserve">Gutierrez  Castillo  Jose De Jesus </t>
  </si>
  <si>
    <t>SEI0509</t>
  </si>
  <si>
    <t>SEI0510</t>
  </si>
  <si>
    <t xml:space="preserve">De La Fuente  Reynoso  Felipe </t>
  </si>
  <si>
    <t>PAGO QNA PASADA</t>
  </si>
  <si>
    <t>SEI0511</t>
  </si>
  <si>
    <t xml:space="preserve">Lizaran Maceda  Jose Guadalupe </t>
  </si>
  <si>
    <t>SEI0462</t>
  </si>
  <si>
    <t>Chavez Saucedo Jorge Arturo</t>
  </si>
  <si>
    <t>CC</t>
  </si>
  <si>
    <t>GERENTE</t>
  </si>
  <si>
    <t>AA</t>
  </si>
  <si>
    <t>DIRECCION</t>
  </si>
  <si>
    <t xml:space="preserve">Total  AA </t>
  </si>
  <si>
    <t xml:space="preserve">Total  DIRECCION </t>
  </si>
  <si>
    <t xml:space="preserve">Total  GERENTE </t>
  </si>
  <si>
    <t>codigo</t>
  </si>
  <si>
    <t>empres</t>
  </si>
  <si>
    <t>nombre</t>
  </si>
  <si>
    <t>DIRECION</t>
  </si>
  <si>
    <t>TOTAL A PAGAR</t>
  </si>
  <si>
    <t>Salario Diario</t>
  </si>
  <si>
    <t>Salario Diario Integrado</t>
  </si>
  <si>
    <t>SEI0440</t>
  </si>
  <si>
    <t>Montoya Portillo Carlos Alberto</t>
  </si>
  <si>
    <t>Mar Marquez Cesar Eduardo</t>
  </si>
  <si>
    <t>SEI0468</t>
  </si>
  <si>
    <t>Ramirez Vera Eustolia</t>
  </si>
  <si>
    <t xml:space="preserve">Arzate Gil Juan Sebastian </t>
  </si>
  <si>
    <t>SEI0512</t>
  </si>
  <si>
    <t>Romo Sandoval Ma De Lourdez</t>
  </si>
  <si>
    <t>SEI0513</t>
  </si>
  <si>
    <t>Mendez Rivera Ivan Israel</t>
  </si>
  <si>
    <t>SEI0514</t>
  </si>
  <si>
    <t>Benavides Reyes Jorge</t>
  </si>
  <si>
    <t>TOTAL GENERAL CONSULTORIA</t>
  </si>
  <si>
    <t>TOTAL GENERAL IP</t>
  </si>
  <si>
    <t>SEI0515</t>
  </si>
  <si>
    <t xml:space="preserve">Ruiz  Flores  Aldo Tomas </t>
  </si>
  <si>
    <t>Jimenez Alcaraz Elizabeth</t>
  </si>
  <si>
    <t xml:space="preserve"> SEI0028 </t>
  </si>
  <si>
    <t>SEI0517</t>
  </si>
  <si>
    <t xml:space="preserve">Macias  Torres  Enrique </t>
  </si>
  <si>
    <t>SEI0518</t>
  </si>
  <si>
    <t>Amezcua Magaña Tania Estefania</t>
  </si>
  <si>
    <t>SEI0519</t>
  </si>
  <si>
    <t>Palacios Vega Luis Rosendo</t>
  </si>
  <si>
    <t xml:space="preserve"> SEI0119 </t>
  </si>
  <si>
    <t xml:space="preserve"> Dominguez Lopez Maria De Jesus </t>
  </si>
  <si>
    <t xml:space="preserve"> SEI0442 </t>
  </si>
  <si>
    <t xml:space="preserve"> Sierra  Escamilla  Daniela  </t>
  </si>
  <si>
    <t>SEI0521</t>
  </si>
  <si>
    <t>Rondero Savin Jacinto</t>
  </si>
  <si>
    <t>SEI0522</t>
  </si>
  <si>
    <t>Peña Lopez Abigail</t>
  </si>
  <si>
    <t>SEI0523</t>
  </si>
  <si>
    <t>Hernandez Rodriguez Jorge</t>
  </si>
  <si>
    <t>SEI0524</t>
  </si>
  <si>
    <t>Orea Gonzalez Concepcion Esteban</t>
  </si>
  <si>
    <t>SEI0525</t>
  </si>
  <si>
    <t>Lizaran Maceda Jesus</t>
  </si>
  <si>
    <t>SEI0526</t>
  </si>
  <si>
    <t>Garcia Perez Javier</t>
  </si>
  <si>
    <t>SEI0527</t>
  </si>
  <si>
    <t>Alejandro Peña Deivi</t>
  </si>
  <si>
    <t>SEI0528</t>
  </si>
  <si>
    <t>Casas Chavarria Rafael</t>
  </si>
  <si>
    <t>SEI0445</t>
  </si>
  <si>
    <t>Muñoz Melgoza Gabriel</t>
  </si>
  <si>
    <t>SEI0530</t>
  </si>
  <si>
    <t>Del Pilar Mendez Lucio</t>
  </si>
  <si>
    <t>SEI0531</t>
  </si>
  <si>
    <t>Garcia Valderrama Jose De Jesus</t>
  </si>
  <si>
    <t>SEI0533</t>
  </si>
  <si>
    <t>Estavillo Ramirez Maria Jose</t>
  </si>
  <si>
    <t>SEI0534</t>
  </si>
  <si>
    <t>Gonzalez Ramirez Paul</t>
  </si>
  <si>
    <t>SEI0447</t>
  </si>
  <si>
    <t>Oliver Olague Vicente</t>
  </si>
  <si>
    <t>Prestamo FONACOT</t>
  </si>
  <si>
    <t>100% IMSS</t>
  </si>
  <si>
    <t>SEI0535</t>
  </si>
  <si>
    <t>Alejandro Vazquez Erasmo Miguel</t>
  </si>
  <si>
    <t>1PSS</t>
  </si>
  <si>
    <t>PITSS</t>
  </si>
  <si>
    <t>SEITON</t>
  </si>
  <si>
    <t>FACTURACION</t>
  </si>
  <si>
    <t>SEI0448</t>
  </si>
  <si>
    <t>Rodriguez Chavez Oswaldo Emmanuel</t>
  </si>
  <si>
    <t>SEI0536</t>
  </si>
  <si>
    <t>Hernandez Ojeda Julio Cesar</t>
  </si>
  <si>
    <t>SEI0537</t>
  </si>
  <si>
    <t>Serrano Esquivel Armando</t>
  </si>
  <si>
    <t>isr 2</t>
  </si>
  <si>
    <t>CLAVE</t>
  </si>
  <si>
    <t>SEI0538</t>
  </si>
  <si>
    <t>Coronado Vega Carlos Eduardo</t>
  </si>
  <si>
    <t>Cota Jaramillo Miguel Angel</t>
  </si>
  <si>
    <t>ALTA 11/02/2019</t>
  </si>
  <si>
    <t>Proporcion Aguinaldo</t>
  </si>
  <si>
    <t xml:space="preserve">Total  PITSS </t>
  </si>
  <si>
    <t xml:space="preserve">Total  SEITON </t>
  </si>
  <si>
    <t>FACTURACION PITS</t>
  </si>
  <si>
    <t>FACTURACION SEITON</t>
  </si>
  <si>
    <t>PROVISION DE AGUINALDO</t>
  </si>
  <si>
    <t>Prestamo Fonacot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</si>
</sst>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43" formatCode="_-* #,##0.00_-;\-* #,##0.00_-;_-* &quot;-&quot;??_-;_-@_-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name val="Calibri"/>
      <family val="2"/>
    </font>
    <font>
      <i/>
      <sz val="9"/>
      <name val="Calibri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i/>
      <sz val="11"/>
      <name val="Calibri"/>
      <family val="2"/>
    </font>
    <font>
      <b/>
      <i/>
      <sz val="1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theme="1"/>
      <name val="Calibri"/>
      <family val="2"/>
    </font>
    <font>
      <b/>
      <sz val="10"/>
      <color rgb="FF0000FF"/>
      <name val="Calibri"/>
      <family val="2"/>
    </font>
    <font>
      <sz val="10"/>
      <color rgb="FFFF9900"/>
      <name val="Calibri"/>
      <family val="2"/>
    </font>
    <font>
      <i/>
      <sz val="10"/>
      <color rgb="FFFF990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indexed="10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b/>
      <sz val="10"/>
      <color rgb="FF0000FF"/>
      <name val="Calibri"/>
      <family val="2"/>
      <scheme val="minor"/>
    </font>
    <font>
      <sz val="10"/>
      <color rgb="FFFF9900"/>
      <name val="Calibri"/>
      <family val="2"/>
      <scheme val="minor"/>
    </font>
    <font>
      <i/>
      <sz val="10"/>
      <color rgb="FFFF9900"/>
      <name val="Calibri"/>
      <family val="2"/>
      <scheme val="minor"/>
    </font>
    <font>
      <b/>
      <i/>
      <sz val="10"/>
      <name val="Calibri"/>
      <family val="2"/>
    </font>
    <font>
      <b/>
      <i/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 style="thin">
        <color rgb="FF0000FD"/>
      </left>
      <right/>
      <top/>
      <bottom/>
      <diagonal/>
    </border>
    <border>
      <left style="thin">
        <color rgb="FF0000FD"/>
      </left>
      <right/>
      <top style="thin">
        <color rgb="FF0000FD"/>
      </top>
      <bottom style="double">
        <color rgb="FF0000FD"/>
      </bottom>
      <diagonal/>
    </border>
    <border>
      <left/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/>
      <right/>
      <top style="thin">
        <color rgb="FF0000FD"/>
      </top>
      <bottom style="double">
        <color rgb="FF0000FD"/>
      </bottom>
      <diagonal/>
    </border>
    <border>
      <left/>
      <right/>
      <top/>
      <bottom style="thin">
        <color rgb="FF0000FD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2" fillId="0" borderId="0"/>
  </cellStyleXfs>
  <cellXfs count="179">
    <xf numFmtId="0" fontId="0" fillId="0" borderId="0" xfId="0"/>
    <xf numFmtId="49" fontId="5" fillId="3" borderId="1" xfId="2" applyNumberFormat="1" applyFont="1" applyFill="1" applyBorder="1" applyAlignment="1">
      <alignment horizontal="center" vertical="center" wrapText="1"/>
    </xf>
    <xf numFmtId="43" fontId="5" fillId="3" borderId="1" xfId="2" applyNumberFormat="1" applyFont="1" applyFill="1" applyBorder="1" applyAlignment="1">
      <alignment horizontal="center" vertical="center" wrapText="1"/>
    </xf>
    <xf numFmtId="43" fontId="4" fillId="2" borderId="0" xfId="1" applyNumberFormat="1" applyFont="1" applyFill="1"/>
    <xf numFmtId="0" fontId="0" fillId="2" borderId="0" xfId="0" applyFill="1"/>
    <xf numFmtId="49" fontId="5" fillId="2" borderId="0" xfId="2" applyNumberFormat="1" applyFont="1" applyFill="1" applyBorder="1" applyAlignment="1">
      <alignment horizontal="center" vertical="center" wrapText="1"/>
    </xf>
    <xf numFmtId="43" fontId="1" fillId="2" borderId="0" xfId="0" applyNumberFormat="1" applyFont="1" applyFill="1"/>
    <xf numFmtId="43" fontId="5" fillId="3" borderId="2" xfId="2" applyNumberFormat="1" applyFont="1" applyFill="1" applyBorder="1" applyAlignment="1">
      <alignment horizontal="center" vertical="center" wrapText="1"/>
    </xf>
    <xf numFmtId="43" fontId="5" fillId="3" borderId="4" xfId="2" applyNumberFormat="1" applyFont="1" applyFill="1" applyBorder="1" applyAlignment="1">
      <alignment horizontal="center" vertical="center" wrapText="1"/>
    </xf>
    <xf numFmtId="43" fontId="5" fillId="4" borderId="1" xfId="2" applyNumberFormat="1" applyFont="1" applyFill="1" applyBorder="1" applyAlignment="1">
      <alignment horizontal="center" vertical="center" wrapText="1"/>
    </xf>
    <xf numFmtId="43" fontId="5" fillId="3" borderId="5" xfId="2" applyNumberFormat="1" applyFont="1" applyFill="1" applyBorder="1" applyAlignment="1">
      <alignment horizontal="center" vertical="center" wrapText="1"/>
    </xf>
    <xf numFmtId="43" fontId="5" fillId="5" borderId="0" xfId="2" applyNumberFormat="1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6" fillId="2" borderId="0" xfId="0" applyFont="1" applyFill="1" applyBorder="1" applyAlignment="1">
      <alignment horizontal="center" vertical="center"/>
    </xf>
    <xf numFmtId="43" fontId="7" fillId="2" borderId="0" xfId="0" applyNumberFormat="1" applyFont="1" applyFill="1" applyBorder="1" applyAlignment="1">
      <alignment vertical="center" wrapText="1"/>
    </xf>
    <xf numFmtId="43" fontId="0" fillId="2" borderId="0" xfId="0" applyNumberFormat="1" applyFont="1" applyFill="1" applyBorder="1"/>
    <xf numFmtId="0" fontId="6" fillId="2" borderId="0" xfId="0" applyFont="1" applyFill="1" applyBorder="1" applyAlignment="1">
      <alignment horizontal="center" vertical="center"/>
    </xf>
    <xf numFmtId="43" fontId="7" fillId="0" borderId="0" xfId="0" applyNumberFormat="1" applyFont="1"/>
    <xf numFmtId="43" fontId="4" fillId="2" borderId="0" xfId="1" applyNumberFormat="1" applyFont="1" applyFill="1" applyAlignment="1">
      <alignment horizontal="left"/>
    </xf>
    <xf numFmtId="43" fontId="4" fillId="2" borderId="0" xfId="1" applyNumberFormat="1" applyFont="1" applyFill="1" applyAlignment="1">
      <alignment horizontal="left" vertical="center"/>
    </xf>
    <xf numFmtId="43" fontId="0" fillId="2" borderId="0" xfId="0" applyNumberFormat="1" applyFont="1" applyFill="1"/>
    <xf numFmtId="43" fontId="7" fillId="0" borderId="0" xfId="0" applyNumberFormat="1" applyFont="1"/>
    <xf numFmtId="43" fontId="7" fillId="0" borderId="0" xfId="0" applyNumberFormat="1" applyFont="1" applyFill="1"/>
    <xf numFmtId="43" fontId="7" fillId="0" borderId="0" xfId="0" applyNumberFormat="1" applyFont="1"/>
    <xf numFmtId="0" fontId="1" fillId="2" borderId="0" xfId="0" applyFont="1" applyFill="1" applyBorder="1"/>
    <xf numFmtId="43" fontId="1" fillId="2" borderId="0" xfId="0" applyNumberFormat="1" applyFont="1" applyFill="1" applyBorder="1"/>
    <xf numFmtId="43" fontId="7" fillId="2" borderId="0" xfId="0" applyNumberFormat="1" applyFont="1" applyFill="1"/>
    <xf numFmtId="43" fontId="0" fillId="0" borderId="0" xfId="0" applyNumberFormat="1" applyFont="1"/>
    <xf numFmtId="43" fontId="5" fillId="3" borderId="3" xfId="2" applyNumberFormat="1" applyFont="1" applyFill="1" applyBorder="1" applyAlignment="1">
      <alignment horizontal="center" vertical="center" wrapText="1"/>
    </xf>
    <xf numFmtId="43" fontId="7" fillId="0" borderId="0" xfId="0" applyNumberFormat="1" applyFont="1"/>
    <xf numFmtId="43" fontId="8" fillId="0" borderId="0" xfId="0" applyNumberFormat="1" applyFont="1" applyFill="1"/>
    <xf numFmtId="43" fontId="5" fillId="0" borderId="2" xfId="2" applyNumberFormat="1" applyFont="1" applyFill="1" applyBorder="1" applyAlignment="1">
      <alignment horizontal="center" vertical="center" wrapText="1"/>
    </xf>
    <xf numFmtId="43" fontId="9" fillId="2" borderId="0" xfId="1" applyNumberFormat="1" applyFont="1" applyFill="1"/>
    <xf numFmtId="43" fontId="11" fillId="0" borderId="0" xfId="1" applyNumberFormat="1" applyFont="1"/>
    <xf numFmtId="43" fontId="9" fillId="3" borderId="1" xfId="2" applyNumberFormat="1" applyFont="1" applyFill="1" applyBorder="1" applyAlignment="1">
      <alignment horizontal="center" vertical="center" wrapText="1"/>
    </xf>
    <xf numFmtId="43" fontId="7" fillId="7" borderId="0" xfId="0" applyNumberFormat="1" applyFont="1" applyFill="1"/>
    <xf numFmtId="43" fontId="12" fillId="6" borderId="0" xfId="2" applyNumberFormat="1" applyFont="1" applyFill="1"/>
    <xf numFmtId="43" fontId="11" fillId="6" borderId="0" xfId="2" applyNumberFormat="1" applyFont="1" applyFill="1"/>
    <xf numFmtId="43" fontId="8" fillId="0" borderId="0" xfId="0" applyNumberFormat="1" applyFont="1"/>
    <xf numFmtId="43" fontId="10" fillId="0" borderId="0" xfId="0" applyNumberFormat="1" applyFont="1" applyFill="1"/>
    <xf numFmtId="43" fontId="9" fillId="4" borderId="3" xfId="2" applyNumberFormat="1" applyFont="1" applyFill="1" applyBorder="1" applyAlignment="1">
      <alignment horizontal="center" vertical="center" wrapText="1"/>
    </xf>
    <xf numFmtId="43" fontId="7" fillId="0" borderId="0" xfId="0" applyNumberFormat="1" applyFont="1" applyFill="1" applyBorder="1"/>
    <xf numFmtId="43" fontId="9" fillId="0" borderId="0" xfId="2" applyNumberFormat="1" applyFont="1" applyFill="1" applyBorder="1" applyAlignment="1">
      <alignment horizontal="center" vertical="center" wrapText="1"/>
    </xf>
    <xf numFmtId="43" fontId="9" fillId="0" borderId="0" xfId="1" applyNumberFormat="1" applyFont="1" applyFill="1" applyBorder="1"/>
    <xf numFmtId="43" fontId="11" fillId="0" borderId="0" xfId="2" applyNumberFormat="1" applyFont="1" applyFill="1" applyBorder="1"/>
    <xf numFmtId="43" fontId="12" fillId="0" borderId="0" xfId="2" applyNumberFormat="1" applyFont="1" applyFill="1" applyBorder="1"/>
    <xf numFmtId="43" fontId="7" fillId="7" borderId="0" xfId="0" applyNumberFormat="1" applyFont="1" applyFill="1" applyBorder="1"/>
    <xf numFmtId="43" fontId="7" fillId="0" borderId="0" xfId="0" applyNumberFormat="1" applyFont="1" applyBorder="1"/>
    <xf numFmtId="43" fontId="7" fillId="0" borderId="0" xfId="0" applyNumberFormat="1" applyFont="1" applyFill="1" applyBorder="1" applyAlignment="1">
      <alignment horizontal="center"/>
    </xf>
    <xf numFmtId="43" fontId="9" fillId="0" borderId="0" xfId="1" applyNumberFormat="1" applyFont="1" applyFill="1" applyBorder="1" applyAlignment="1">
      <alignment horizontal="center"/>
    </xf>
    <xf numFmtId="43" fontId="11" fillId="0" borderId="0" xfId="2" applyNumberFormat="1" applyFont="1" applyFill="1" applyBorder="1" applyAlignment="1">
      <alignment horizontal="center"/>
    </xf>
    <xf numFmtId="43" fontId="12" fillId="0" borderId="0" xfId="2" applyNumberFormat="1" applyFont="1" applyFill="1" applyBorder="1" applyAlignment="1">
      <alignment horizontal="center"/>
    </xf>
    <xf numFmtId="43" fontId="10" fillId="0" borderId="0" xfId="0" applyNumberFormat="1" applyFont="1"/>
    <xf numFmtId="43" fontId="10" fillId="0" borderId="0" xfId="0" applyNumberFormat="1" applyFont="1" applyFill="1" applyBorder="1"/>
    <xf numFmtId="43" fontId="5" fillId="8" borderId="0" xfId="2" applyNumberFormat="1" applyFont="1" applyFill="1" applyBorder="1" applyAlignment="1">
      <alignment horizontal="center" vertical="center" wrapText="1"/>
    </xf>
    <xf numFmtId="43" fontId="5" fillId="0" borderId="2" xfId="2" applyNumberFormat="1" applyFont="1" applyFill="1" applyBorder="1" applyAlignment="1">
      <alignment vertical="center" wrapText="1"/>
    </xf>
    <xf numFmtId="43" fontId="13" fillId="5" borderId="0" xfId="0" applyNumberFormat="1" applyFont="1" applyFill="1"/>
    <xf numFmtId="43" fontId="13" fillId="5" borderId="0" xfId="0" applyNumberFormat="1" applyFont="1" applyFill="1" applyAlignment="1">
      <alignment horizontal="left" vertical="center"/>
    </xf>
    <xf numFmtId="43" fontId="13" fillId="5" borderId="0" xfId="0" applyNumberFormat="1" applyFont="1" applyFill="1" applyBorder="1"/>
    <xf numFmtId="43" fontId="13" fillId="8" borderId="0" xfId="0" applyNumberFormat="1" applyFont="1" applyFill="1" applyBorder="1"/>
    <xf numFmtId="43" fontId="13" fillId="0" borderId="0" xfId="0" applyNumberFormat="1" applyFont="1" applyFill="1"/>
    <xf numFmtId="43" fontId="13" fillId="0" borderId="0" xfId="0" applyNumberFormat="1" applyFont="1" applyFill="1" applyAlignment="1"/>
    <xf numFmtId="43" fontId="13" fillId="2" borderId="0" xfId="0" applyNumberFormat="1" applyFont="1" applyFill="1"/>
    <xf numFmtId="43" fontId="13" fillId="0" borderId="0" xfId="0" applyNumberFormat="1" applyFont="1"/>
    <xf numFmtId="43" fontId="14" fillId="3" borderId="1" xfId="0" applyNumberFormat="1" applyFont="1" applyFill="1" applyBorder="1" applyAlignment="1">
      <alignment horizontal="center" vertical="center" wrapText="1"/>
    </xf>
    <xf numFmtId="43" fontId="15" fillId="3" borderId="1" xfId="0" applyNumberFormat="1" applyFont="1" applyFill="1" applyBorder="1" applyAlignment="1">
      <alignment horizontal="center" vertical="center" wrapText="1"/>
    </xf>
    <xf numFmtId="43" fontId="15" fillId="4" borderId="1" xfId="0" applyNumberFormat="1" applyFont="1" applyFill="1" applyBorder="1" applyAlignment="1">
      <alignment horizontal="center" vertical="center" wrapText="1"/>
    </xf>
    <xf numFmtId="43" fontId="13" fillId="0" borderId="0" xfId="0" applyNumberFormat="1" applyFont="1" applyAlignment="1">
      <alignment horizontal="center"/>
    </xf>
    <xf numFmtId="43" fontId="16" fillId="0" borderId="0" xfId="0" applyNumberFormat="1" applyFont="1"/>
    <xf numFmtId="43" fontId="17" fillId="0" borderId="0" xfId="0" applyNumberFormat="1" applyFont="1" applyAlignment="1">
      <alignment horizontal="centerContinuous"/>
    </xf>
    <xf numFmtId="43" fontId="16" fillId="0" borderId="0" xfId="0" applyNumberFormat="1" applyFont="1" applyFill="1"/>
    <xf numFmtId="43" fontId="16" fillId="2" borderId="0" xfId="0" applyNumberFormat="1" applyFont="1" applyFill="1" applyBorder="1"/>
    <xf numFmtId="43" fontId="19" fillId="0" borderId="0" xfId="0" applyNumberFormat="1" applyFont="1" applyAlignment="1">
      <alignment horizontal="centerContinuous" vertical="top"/>
    </xf>
    <xf numFmtId="43" fontId="16" fillId="0" borderId="0" xfId="0" applyNumberFormat="1" applyFont="1" applyAlignment="1">
      <alignment horizontal="left"/>
    </xf>
    <xf numFmtId="43" fontId="21" fillId="2" borderId="0" xfId="1" applyNumberFormat="1" applyFont="1" applyFill="1" applyBorder="1"/>
    <xf numFmtId="43" fontId="16" fillId="0" borderId="0" xfId="0" applyNumberFormat="1" applyFont="1" applyFill="1" applyBorder="1"/>
    <xf numFmtId="43" fontId="20" fillId="3" borderId="1" xfId="0" applyNumberFormat="1" applyFont="1" applyFill="1" applyBorder="1" applyAlignment="1">
      <alignment horizontal="center" vertical="center" wrapText="1"/>
    </xf>
    <xf numFmtId="43" fontId="20" fillId="4" borderId="1" xfId="0" applyNumberFormat="1" applyFont="1" applyFill="1" applyBorder="1" applyAlignment="1">
      <alignment horizontal="center" vertical="center" wrapText="1"/>
    </xf>
    <xf numFmtId="43" fontId="16" fillId="2" borderId="0" xfId="0" applyNumberFormat="1" applyFont="1" applyFill="1"/>
    <xf numFmtId="43" fontId="22" fillId="0" borderId="0" xfId="0" applyNumberFormat="1" applyFont="1"/>
    <xf numFmtId="43" fontId="22" fillId="0" borderId="0" xfId="0" applyNumberFormat="1" applyFont="1" applyFill="1"/>
    <xf numFmtId="43" fontId="16" fillId="4" borderId="0" xfId="0" applyNumberFormat="1" applyFont="1" applyFill="1" applyBorder="1"/>
    <xf numFmtId="0" fontId="13" fillId="0" borderId="0" xfId="0" applyFont="1" applyFill="1"/>
    <xf numFmtId="43" fontId="20" fillId="0" borderId="0" xfId="0" applyNumberFormat="1" applyFont="1" applyAlignment="1">
      <alignment horizontal="left"/>
    </xf>
    <xf numFmtId="43" fontId="16" fillId="0" borderId="0" xfId="0" applyNumberFormat="1" applyFont="1" applyAlignment="1">
      <alignment horizontal="right"/>
    </xf>
    <xf numFmtId="43" fontId="20" fillId="0" borderId="0" xfId="0" applyNumberFormat="1" applyFont="1"/>
    <xf numFmtId="8" fontId="16" fillId="2" borderId="0" xfId="0" applyNumberFormat="1" applyFont="1" applyFill="1" applyBorder="1"/>
    <xf numFmtId="43" fontId="14" fillId="0" borderId="0" xfId="0" applyNumberFormat="1" applyFont="1"/>
    <xf numFmtId="43" fontId="23" fillId="2" borderId="0" xfId="1" applyNumberFormat="1" applyFont="1" applyFill="1" applyBorder="1"/>
    <xf numFmtId="43" fontId="24" fillId="6" borderId="0" xfId="2" applyNumberFormat="1" applyFont="1" applyFill="1" applyBorder="1"/>
    <xf numFmtId="43" fontId="21" fillId="6" borderId="0" xfId="2" applyNumberFormat="1" applyFont="1" applyFill="1" applyBorder="1"/>
    <xf numFmtId="43" fontId="24" fillId="2" borderId="0" xfId="2" applyNumberFormat="1" applyFont="1" applyFill="1" applyBorder="1"/>
    <xf numFmtId="13" fontId="23" fillId="2" borderId="0" xfId="1" applyNumberFormat="1" applyFont="1" applyFill="1" applyBorder="1"/>
    <xf numFmtId="43" fontId="16" fillId="6" borderId="0" xfId="0" applyNumberFormat="1" applyFont="1" applyFill="1" applyBorder="1"/>
    <xf numFmtId="43" fontId="25" fillId="0" borderId="0" xfId="0" applyNumberFormat="1" applyFont="1" applyAlignment="1">
      <alignment horizontal="centerContinuous"/>
    </xf>
    <xf numFmtId="43" fontId="13" fillId="0" borderId="0" xfId="0" applyNumberFormat="1" applyFont="1" applyAlignment="1"/>
    <xf numFmtId="43" fontId="13" fillId="0" borderId="0" xfId="0" applyNumberFormat="1" applyFont="1" applyAlignment="1">
      <alignment vertical="center"/>
    </xf>
    <xf numFmtId="43" fontId="27" fillId="0" borderId="0" xfId="0" applyNumberFormat="1" applyFont="1" applyAlignment="1">
      <alignment horizontal="centerContinuous" vertical="top"/>
    </xf>
    <xf numFmtId="43" fontId="13" fillId="0" borderId="0" xfId="0" applyNumberFormat="1" applyFont="1" applyAlignment="1">
      <alignment horizontal="center" vertical="center"/>
    </xf>
    <xf numFmtId="43" fontId="13" fillId="0" borderId="0" xfId="0" applyNumberFormat="1" applyFont="1" applyAlignment="1">
      <alignment horizontal="left"/>
    </xf>
    <xf numFmtId="43" fontId="13" fillId="4" borderId="0" xfId="0" applyNumberFormat="1" applyFont="1" applyFill="1"/>
    <xf numFmtId="43" fontId="14" fillId="0" borderId="0" xfId="0" applyNumberFormat="1" applyFont="1" applyAlignment="1">
      <alignment horizontal="left"/>
    </xf>
    <xf numFmtId="43" fontId="13" fillId="0" borderId="0" xfId="0" applyNumberFormat="1" applyFont="1" applyAlignment="1">
      <alignment horizontal="right"/>
    </xf>
    <xf numFmtId="43" fontId="14" fillId="6" borderId="0" xfId="0" applyNumberFormat="1" applyFont="1" applyFill="1"/>
    <xf numFmtId="43" fontId="13" fillId="6" borderId="0" xfId="0" applyNumberFormat="1" applyFont="1" applyFill="1"/>
    <xf numFmtId="43" fontId="16" fillId="7" borderId="0" xfId="0" applyNumberFormat="1" applyFont="1" applyFill="1"/>
    <xf numFmtId="43" fontId="24" fillId="2" borderId="0" xfId="1" applyNumberFormat="1" applyFont="1" applyFill="1"/>
    <xf numFmtId="43" fontId="16" fillId="0" borderId="0" xfId="0" applyNumberFormat="1" applyFont="1" applyAlignment="1">
      <alignment horizontal="center" vertical="center"/>
    </xf>
    <xf numFmtId="43" fontId="23" fillId="0" borderId="0" xfId="1" applyNumberFormat="1" applyFont="1"/>
    <xf numFmtId="43" fontId="16" fillId="0" borderId="0" xfId="0" applyNumberFormat="1" applyFont="1" applyAlignment="1"/>
    <xf numFmtId="43" fontId="24" fillId="3" borderId="1" xfId="2" applyNumberFormat="1" applyFont="1" applyFill="1" applyBorder="1" applyAlignment="1">
      <alignment horizontal="center" vertical="center" wrapText="1"/>
    </xf>
    <xf numFmtId="43" fontId="24" fillId="4" borderId="1" xfId="2" applyNumberFormat="1" applyFont="1" applyFill="1" applyBorder="1" applyAlignment="1">
      <alignment horizontal="center" vertical="center" wrapText="1"/>
    </xf>
    <xf numFmtId="43" fontId="21" fillId="2" borderId="0" xfId="1" applyNumberFormat="1" applyFont="1" applyFill="1" applyAlignment="1">
      <alignment horizontal="left" vertical="center"/>
    </xf>
    <xf numFmtId="43" fontId="21" fillId="2" borderId="0" xfId="1" applyNumberFormat="1" applyFont="1" applyFill="1"/>
    <xf numFmtId="43" fontId="21" fillId="0" borderId="0" xfId="1" applyNumberFormat="1" applyFont="1" applyFill="1" applyAlignment="1">
      <alignment horizontal="left" vertical="center"/>
    </xf>
    <xf numFmtId="43" fontId="21" fillId="0" borderId="0" xfId="1" applyNumberFormat="1" applyFont="1" applyFill="1"/>
    <xf numFmtId="43" fontId="20" fillId="0" borderId="0" xfId="0" applyNumberFormat="1" applyFont="1" applyFill="1"/>
    <xf numFmtId="43" fontId="21" fillId="7" borderId="0" xfId="1" applyNumberFormat="1" applyFont="1" applyFill="1" applyAlignment="1">
      <alignment horizontal="left" vertical="center"/>
    </xf>
    <xf numFmtId="43" fontId="21" fillId="7" borderId="0" xfId="1" applyNumberFormat="1" applyFont="1" applyFill="1"/>
    <xf numFmtId="43" fontId="21" fillId="6" borderId="0" xfId="1" applyNumberFormat="1" applyFont="1" applyFill="1" applyAlignment="1">
      <alignment horizontal="left" vertical="center"/>
    </xf>
    <xf numFmtId="43" fontId="16" fillId="9" borderId="0" xfId="0" applyNumberFormat="1" applyFont="1" applyFill="1"/>
    <xf numFmtId="43" fontId="28" fillId="6" borderId="0" xfId="2" applyNumberFormat="1" applyFont="1" applyFill="1"/>
    <xf numFmtId="43" fontId="23" fillId="6" borderId="0" xfId="2" applyNumberFormat="1" applyFont="1" applyFill="1"/>
    <xf numFmtId="43" fontId="21" fillId="5" borderId="0" xfId="1" applyNumberFormat="1" applyFont="1" applyFill="1" applyBorder="1"/>
    <xf numFmtId="43" fontId="14" fillId="5" borderId="0" xfId="0" applyNumberFormat="1" applyFont="1" applyFill="1" applyBorder="1"/>
    <xf numFmtId="43" fontId="14" fillId="2" borderId="0" xfId="0" applyNumberFormat="1" applyFont="1" applyFill="1"/>
    <xf numFmtId="43" fontId="13" fillId="7" borderId="0" xfId="0" applyNumberFormat="1" applyFont="1" applyFill="1"/>
    <xf numFmtId="43" fontId="13" fillId="7" borderId="0" xfId="0" applyNumberFormat="1" applyFont="1" applyFill="1" applyAlignment="1"/>
    <xf numFmtId="14" fontId="13" fillId="0" borderId="0" xfId="0" applyNumberFormat="1" applyFont="1" applyFill="1"/>
    <xf numFmtId="43" fontId="14" fillId="4" borderId="0" xfId="0" applyNumberFormat="1" applyFont="1" applyFill="1" applyAlignment="1">
      <alignment vertical="center"/>
    </xf>
    <xf numFmtId="43" fontId="20" fillId="4" borderId="0" xfId="0" applyNumberFormat="1" applyFont="1" applyFill="1" applyAlignment="1">
      <alignment vertical="center"/>
    </xf>
    <xf numFmtId="43" fontId="24" fillId="4" borderId="0" xfId="1" applyNumberFormat="1" applyFont="1" applyFill="1" applyAlignment="1">
      <alignment vertical="center"/>
    </xf>
    <xf numFmtId="43" fontId="14" fillId="0" borderId="0" xfId="0" applyNumberFormat="1" applyFont="1" applyFill="1" applyBorder="1"/>
    <xf numFmtId="43" fontId="13" fillId="0" borderId="0" xfId="0" applyNumberFormat="1" applyFont="1" applyFill="1" applyBorder="1"/>
    <xf numFmtId="43" fontId="13" fillId="10" borderId="0" xfId="0" applyNumberFormat="1" applyFont="1" applyFill="1"/>
    <xf numFmtId="43" fontId="14" fillId="10" borderId="0" xfId="0" applyNumberFormat="1" applyFont="1" applyFill="1"/>
    <xf numFmtId="43" fontId="13" fillId="10" borderId="0" xfId="0" applyNumberFormat="1" applyFont="1" applyFill="1" applyAlignment="1"/>
    <xf numFmtId="14" fontId="14" fillId="0" borderId="0" xfId="0" applyNumberFormat="1" applyFont="1" applyFill="1"/>
    <xf numFmtId="14" fontId="13" fillId="10" borderId="0" xfId="0" applyNumberFormat="1" applyFont="1" applyFill="1" applyAlignment="1"/>
    <xf numFmtId="0" fontId="13" fillId="0" borderId="0" xfId="0" applyNumberFormat="1" applyFont="1" applyFill="1" applyAlignment="1"/>
    <xf numFmtId="43" fontId="14" fillId="0" borderId="0" xfId="0" applyNumberFormat="1" applyFont="1" applyFill="1"/>
    <xf numFmtId="13" fontId="13" fillId="2" borderId="0" xfId="0" applyNumberFormat="1" applyFont="1" applyFill="1"/>
    <xf numFmtId="13" fontId="13" fillId="0" borderId="0" xfId="0" applyNumberFormat="1" applyFont="1" applyFill="1"/>
    <xf numFmtId="14" fontId="13" fillId="10" borderId="0" xfId="0" applyNumberFormat="1" applyFont="1" applyFill="1"/>
    <xf numFmtId="43" fontId="14" fillId="0" borderId="0" xfId="0" applyNumberFormat="1" applyFont="1" applyAlignment="1">
      <alignment horizontal="left" vertical="center"/>
    </xf>
    <xf numFmtId="43" fontId="14" fillId="8" borderId="0" xfId="0" applyNumberFormat="1" applyFont="1" applyFill="1" applyBorder="1"/>
    <xf numFmtId="43" fontId="13" fillId="0" borderId="0" xfId="0" applyNumberFormat="1" applyFont="1" applyAlignment="1">
      <alignment horizontal="left" vertical="center"/>
    </xf>
    <xf numFmtId="43" fontId="13" fillId="0" borderId="0" xfId="0" applyNumberFormat="1" applyFont="1" applyAlignment="1"/>
    <xf numFmtId="43" fontId="13" fillId="0" borderId="0" xfId="0" applyNumberFormat="1" applyFont="1" applyAlignment="1">
      <alignment horizontal="left"/>
    </xf>
    <xf numFmtId="43" fontId="16" fillId="0" borderId="0" xfId="0" applyNumberFormat="1" applyFont="1" applyAlignment="1">
      <alignment horizontal="left"/>
    </xf>
    <xf numFmtId="43" fontId="16" fillId="0" borderId="0" xfId="0" applyNumberFormat="1" applyFont="1" applyAlignment="1"/>
    <xf numFmtId="43" fontId="16" fillId="0" borderId="0" xfId="0" applyNumberFormat="1" applyFont="1" applyAlignment="1">
      <alignment horizontal="center" vertical="center"/>
    </xf>
    <xf numFmtId="43" fontId="20" fillId="0" borderId="0" xfId="0" applyNumberFormat="1" applyFont="1" applyFill="1" applyBorder="1"/>
    <xf numFmtId="43" fontId="20" fillId="2" borderId="0" xfId="0" applyNumberFormat="1" applyFont="1" applyFill="1" applyBorder="1"/>
    <xf numFmtId="43" fontId="24" fillId="4" borderId="3" xfId="2" applyNumberFormat="1" applyFont="1" applyFill="1" applyBorder="1" applyAlignment="1">
      <alignment horizontal="center" vertical="center" wrapText="1"/>
    </xf>
    <xf numFmtId="43" fontId="24" fillId="0" borderId="0" xfId="2" applyNumberFormat="1" applyFont="1" applyFill="1" applyBorder="1" applyAlignment="1">
      <alignment horizontal="center" vertical="center" wrapText="1"/>
    </xf>
    <xf numFmtId="43" fontId="24" fillId="0" borderId="0" xfId="1" applyNumberFormat="1" applyFont="1" applyFill="1" applyBorder="1"/>
    <xf numFmtId="43" fontId="23" fillId="0" borderId="0" xfId="2" applyNumberFormat="1" applyFont="1" applyFill="1" applyBorder="1"/>
    <xf numFmtId="43" fontId="28" fillId="0" borderId="0" xfId="2" applyNumberFormat="1" applyFont="1" applyFill="1" applyBorder="1"/>
    <xf numFmtId="43" fontId="16" fillId="7" borderId="0" xfId="0" applyNumberFormat="1" applyFont="1" applyFill="1" applyBorder="1"/>
    <xf numFmtId="43" fontId="7" fillId="0" borderId="0" xfId="0" applyNumberFormat="1" applyFont="1" applyAlignment="1">
      <alignment horizontal="center"/>
    </xf>
    <xf numFmtId="43" fontId="26" fillId="0" borderId="0" xfId="0" applyNumberFormat="1" applyFont="1" applyAlignment="1">
      <alignment horizontal="center"/>
    </xf>
    <xf numFmtId="43" fontId="13" fillId="0" borderId="0" xfId="0" applyNumberFormat="1" applyFont="1" applyAlignment="1"/>
    <xf numFmtId="43" fontId="14" fillId="0" borderId="0" xfId="0" applyNumberFormat="1" applyFont="1" applyAlignment="1">
      <alignment horizontal="left" vertical="center"/>
    </xf>
    <xf numFmtId="43" fontId="13" fillId="0" borderId="0" xfId="0" applyNumberFormat="1" applyFont="1" applyAlignment="1">
      <alignment horizontal="left" vertical="center"/>
    </xf>
    <xf numFmtId="43" fontId="13" fillId="0" borderId="0" xfId="0" applyNumberFormat="1" applyFont="1" applyAlignment="1">
      <alignment horizontal="left"/>
    </xf>
    <xf numFmtId="43" fontId="14" fillId="7" borderId="0" xfId="0" applyNumberFormat="1" applyFont="1" applyFill="1" applyAlignment="1">
      <alignment horizontal="center" wrapText="1"/>
    </xf>
    <xf numFmtId="43" fontId="29" fillId="7" borderId="0" xfId="0" applyNumberFormat="1" applyFont="1" applyFill="1" applyAlignment="1">
      <alignment horizontal="center" wrapText="1"/>
    </xf>
    <xf numFmtId="43" fontId="16" fillId="0" borderId="0" xfId="0" applyNumberFormat="1" applyFont="1" applyAlignment="1">
      <alignment horizontal="left"/>
    </xf>
    <xf numFmtId="43" fontId="18" fillId="0" borderId="0" xfId="0" applyNumberFormat="1" applyFont="1" applyAlignment="1">
      <alignment horizontal="center"/>
    </xf>
    <xf numFmtId="43" fontId="16" fillId="0" borderId="0" xfId="0" applyNumberFormat="1" applyFont="1" applyAlignment="1"/>
    <xf numFmtId="43" fontId="20" fillId="0" borderId="0" xfId="0" applyNumberFormat="1" applyFont="1" applyAlignment="1">
      <alignment horizontal="left" vertical="center"/>
    </xf>
    <xf numFmtId="43" fontId="16" fillId="0" borderId="0" xfId="0" applyNumberFormat="1" applyFont="1" applyAlignment="1">
      <alignment horizontal="left" vertical="center"/>
    </xf>
    <xf numFmtId="43" fontId="10" fillId="7" borderId="0" xfId="0" applyNumberFormat="1" applyFont="1" applyFill="1" applyBorder="1" applyAlignment="1">
      <alignment horizontal="center" vertical="center" wrapText="1"/>
    </xf>
    <xf numFmtId="43" fontId="20" fillId="0" borderId="0" xfId="0" applyNumberFormat="1" applyFont="1" applyAlignment="1">
      <alignment horizontal="center" vertical="center"/>
    </xf>
    <xf numFmtId="43" fontId="16" fillId="0" borderId="0" xfId="0" applyNumberFormat="1" applyFont="1" applyAlignment="1">
      <alignment horizontal="center" vertical="center"/>
    </xf>
    <xf numFmtId="43" fontId="16" fillId="0" borderId="0" xfId="0" applyNumberFormat="1" applyFont="1" applyAlignment="1">
      <alignment horizontal="center"/>
    </xf>
    <xf numFmtId="43" fontId="20" fillId="7" borderId="0" xfId="0" applyNumberFormat="1" applyFont="1" applyFill="1" applyAlignment="1">
      <alignment horizontal="center" vertical="center" wrapText="1"/>
    </xf>
    <xf numFmtId="43" fontId="14" fillId="5" borderId="6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2:L173"/>
  <sheetViews>
    <sheetView showGridLines="0" topLeftCell="A76" zoomScale="90" zoomScaleNormal="90" workbookViewId="0">
      <selection activeCell="D135" sqref="D135"/>
    </sheetView>
  </sheetViews>
  <sheetFormatPr baseColWidth="10" defaultColWidth="11.42578125" defaultRowHeight="15" outlineLevelRow="2" x14ac:dyDescent="0.25"/>
  <cols>
    <col min="1" max="1" width="20.7109375" style="29" customWidth="1"/>
    <col min="2" max="2" width="10.5703125" style="29" bestFit="1" customWidth="1"/>
    <col min="3" max="3" width="30.5703125" style="29" customWidth="1"/>
    <col min="4" max="4" width="45.140625" style="29" customWidth="1"/>
    <col min="5" max="5" width="19.85546875" style="29" bestFit="1" customWidth="1"/>
    <col min="6" max="6" width="19.85546875" style="29" customWidth="1"/>
    <col min="7" max="7" width="19.85546875" style="29" bestFit="1" customWidth="1"/>
    <col min="8" max="8" width="17.140625" style="29" customWidth="1"/>
    <col min="9" max="9" width="17.140625" style="48" customWidth="1"/>
    <col min="10" max="10" width="17.140625" style="41" customWidth="1"/>
    <col min="11" max="16384" width="11.42578125" style="29"/>
  </cols>
  <sheetData>
    <row r="2" spans="2:10" ht="30.75" thickBot="1" x14ac:dyDescent="0.3">
      <c r="B2" s="34" t="s">
        <v>583</v>
      </c>
      <c r="C2" s="34" t="s">
        <v>584</v>
      </c>
      <c r="D2" s="34" t="s">
        <v>585</v>
      </c>
      <c r="E2" s="34" t="s">
        <v>128</v>
      </c>
      <c r="F2" s="34" t="s">
        <v>419</v>
      </c>
      <c r="G2" s="34" t="s">
        <v>511</v>
      </c>
      <c r="H2" s="40" t="s">
        <v>56</v>
      </c>
      <c r="I2" s="34" t="s">
        <v>576</v>
      </c>
      <c r="J2" s="42"/>
    </row>
    <row r="3" spans="2:10" ht="15.75" outlineLevel="2" thickTop="1" x14ac:dyDescent="0.25">
      <c r="B3" s="46" t="s">
        <v>18</v>
      </c>
      <c r="C3" s="47" t="s">
        <v>6</v>
      </c>
      <c r="D3" s="47" t="s">
        <v>338</v>
      </c>
      <c r="E3" s="47">
        <v>1558.05</v>
      </c>
      <c r="F3" s="47">
        <v>2975</v>
      </c>
      <c r="G3" s="47">
        <v>0</v>
      </c>
      <c r="H3" s="47">
        <v>4533.05</v>
      </c>
      <c r="I3" s="48" t="s">
        <v>578</v>
      </c>
    </row>
    <row r="4" spans="2:10" outlineLevel="2" x14ac:dyDescent="0.25">
      <c r="B4" s="29" t="s">
        <v>28</v>
      </c>
      <c r="C4" s="29" t="s">
        <v>6</v>
      </c>
      <c r="D4" s="29" t="s">
        <v>343</v>
      </c>
      <c r="E4" s="29">
        <v>2103.5399999999995</v>
      </c>
      <c r="G4" s="29">
        <v>234</v>
      </c>
      <c r="H4" s="29">
        <v>2337.5399999999995</v>
      </c>
      <c r="I4" s="48" t="s">
        <v>578</v>
      </c>
    </row>
    <row r="5" spans="2:10" outlineLevel="2" x14ac:dyDescent="0.25">
      <c r="B5" s="29" t="s">
        <v>22</v>
      </c>
      <c r="C5" s="29" t="s">
        <v>6</v>
      </c>
      <c r="D5" s="29" t="s">
        <v>340</v>
      </c>
      <c r="E5" s="29">
        <v>1558.0100000000004</v>
      </c>
      <c r="F5" s="22"/>
      <c r="G5" s="29">
        <v>0</v>
      </c>
      <c r="H5" s="29">
        <v>1558.0100000000004</v>
      </c>
      <c r="I5" s="48" t="s">
        <v>578</v>
      </c>
    </row>
    <row r="6" spans="2:10" outlineLevel="2" x14ac:dyDescent="0.25">
      <c r="B6" s="29" t="s">
        <v>42</v>
      </c>
      <c r="C6" s="29" t="s">
        <v>6</v>
      </c>
      <c r="D6" s="29" t="s">
        <v>144</v>
      </c>
      <c r="E6" s="29">
        <v>1608.0699999999997</v>
      </c>
      <c r="F6" s="22"/>
      <c r="G6" s="29">
        <v>0</v>
      </c>
      <c r="H6" s="29">
        <v>1608.0699999999997</v>
      </c>
      <c r="I6" s="48" t="s">
        <v>578</v>
      </c>
    </row>
    <row r="7" spans="2:10" outlineLevel="2" x14ac:dyDescent="0.25">
      <c r="B7" s="29" t="s">
        <v>24</v>
      </c>
      <c r="C7" s="29" t="s">
        <v>6</v>
      </c>
      <c r="D7" s="26" t="s">
        <v>341</v>
      </c>
      <c r="E7" s="29">
        <v>1891.2199999999991</v>
      </c>
      <c r="F7" s="22"/>
      <c r="G7" s="29">
        <v>0</v>
      </c>
      <c r="H7" s="29">
        <v>1891.2199999999991</v>
      </c>
      <c r="I7" s="48" t="s">
        <v>578</v>
      </c>
    </row>
    <row r="8" spans="2:10" outlineLevel="2" x14ac:dyDescent="0.25">
      <c r="B8" s="29" t="s">
        <v>40</v>
      </c>
      <c r="C8" s="29" t="s">
        <v>6</v>
      </c>
      <c r="D8" s="29" t="s">
        <v>350</v>
      </c>
      <c r="E8" s="29">
        <v>78.079999999999927</v>
      </c>
      <c r="F8" s="22"/>
      <c r="G8" s="29">
        <v>0</v>
      </c>
      <c r="H8" s="29">
        <v>78.079999999999927</v>
      </c>
      <c r="I8" s="48" t="s">
        <v>578</v>
      </c>
    </row>
    <row r="9" spans="2:10" outlineLevel="2" x14ac:dyDescent="0.25">
      <c r="B9" s="29" t="s">
        <v>233</v>
      </c>
      <c r="C9" s="29" t="s">
        <v>6</v>
      </c>
      <c r="D9" s="29" t="s">
        <v>344</v>
      </c>
      <c r="E9" s="29">
        <v>0</v>
      </c>
      <c r="F9" s="22"/>
      <c r="G9" s="29">
        <v>0</v>
      </c>
      <c r="H9" s="29">
        <v>0</v>
      </c>
      <c r="I9" s="48" t="s">
        <v>578</v>
      </c>
    </row>
    <row r="10" spans="2:10" outlineLevel="2" x14ac:dyDescent="0.25">
      <c r="B10" s="29" t="s">
        <v>20</v>
      </c>
      <c r="C10" s="29" t="s">
        <v>6</v>
      </c>
      <c r="D10" s="29" t="s">
        <v>339</v>
      </c>
      <c r="E10" s="29">
        <v>2600.8000000000002</v>
      </c>
      <c r="F10" s="22">
        <v>600</v>
      </c>
      <c r="G10" s="29">
        <v>0</v>
      </c>
      <c r="H10" s="29">
        <v>3200.8</v>
      </c>
      <c r="I10" s="48" t="s">
        <v>578</v>
      </c>
    </row>
    <row r="11" spans="2:10" outlineLevel="2" x14ac:dyDescent="0.25">
      <c r="B11" s="29" t="s">
        <v>10</v>
      </c>
      <c r="C11" s="29" t="s">
        <v>6</v>
      </c>
      <c r="D11" s="29" t="s">
        <v>331</v>
      </c>
      <c r="E11" s="29">
        <v>1474.6</v>
      </c>
      <c r="F11" s="39"/>
      <c r="G11" s="29">
        <v>0</v>
      </c>
      <c r="H11" s="29">
        <v>1474.6</v>
      </c>
      <c r="I11" s="48" t="s">
        <v>578</v>
      </c>
    </row>
    <row r="12" spans="2:10" outlineLevel="2" x14ac:dyDescent="0.25">
      <c r="B12" s="29" t="s">
        <v>32</v>
      </c>
      <c r="C12" s="29" t="s">
        <v>6</v>
      </c>
      <c r="D12" s="29" t="s">
        <v>143</v>
      </c>
      <c r="E12" s="29">
        <v>2600.9999999999995</v>
      </c>
      <c r="F12" s="22"/>
      <c r="G12" s="29">
        <v>0</v>
      </c>
      <c r="H12" s="29">
        <v>2600.9999999999995</v>
      </c>
      <c r="I12" s="48" t="s">
        <v>578</v>
      </c>
    </row>
    <row r="13" spans="2:10" outlineLevel="2" x14ac:dyDescent="0.25">
      <c r="B13" s="29" t="s">
        <v>16</v>
      </c>
      <c r="C13" s="29" t="s">
        <v>6</v>
      </c>
      <c r="D13" s="29" t="s">
        <v>337</v>
      </c>
      <c r="E13" s="29">
        <v>2601</v>
      </c>
      <c r="F13" s="22">
        <v>1125</v>
      </c>
      <c r="G13" s="29">
        <v>0</v>
      </c>
      <c r="H13" s="29">
        <v>3726</v>
      </c>
      <c r="I13" s="48" t="s">
        <v>578</v>
      </c>
    </row>
    <row r="14" spans="2:10" outlineLevel="2" x14ac:dyDescent="0.25">
      <c r="B14" s="29" t="s">
        <v>36</v>
      </c>
      <c r="C14" s="29" t="s">
        <v>6</v>
      </c>
      <c r="D14" s="29" t="s">
        <v>347</v>
      </c>
      <c r="E14" s="29">
        <v>1483.15</v>
      </c>
      <c r="F14" s="22">
        <v>1232</v>
      </c>
      <c r="G14" s="29">
        <v>0</v>
      </c>
      <c r="H14" s="29">
        <v>2715.15</v>
      </c>
      <c r="I14" s="48" t="s">
        <v>578</v>
      </c>
    </row>
    <row r="15" spans="2:10" outlineLevel="2" x14ac:dyDescent="0.25">
      <c r="B15" s="29" t="s">
        <v>12</v>
      </c>
      <c r="C15" s="29" t="s">
        <v>6</v>
      </c>
      <c r="D15" s="29" t="s">
        <v>332</v>
      </c>
      <c r="E15" s="29">
        <v>1587.9999999999995</v>
      </c>
      <c r="F15" s="22"/>
      <c r="G15" s="29">
        <v>0</v>
      </c>
      <c r="H15" s="29">
        <v>1587.9999999999995</v>
      </c>
      <c r="I15" s="48" t="s">
        <v>578</v>
      </c>
    </row>
    <row r="16" spans="2:10" outlineLevel="2" x14ac:dyDescent="0.25">
      <c r="B16" s="29" t="s">
        <v>14</v>
      </c>
      <c r="C16" s="29" t="s">
        <v>6</v>
      </c>
      <c r="D16" s="29" t="s">
        <v>333</v>
      </c>
      <c r="E16" s="29">
        <v>2378.1999999999994</v>
      </c>
      <c r="F16" s="22"/>
      <c r="G16" s="29">
        <v>0</v>
      </c>
      <c r="H16" s="29">
        <v>2378.1999999999994</v>
      </c>
      <c r="I16" s="48" t="s">
        <v>578</v>
      </c>
    </row>
    <row r="17" spans="2:9" outlineLevel="2" x14ac:dyDescent="0.25">
      <c r="B17" s="29" t="s">
        <v>412</v>
      </c>
      <c r="C17" s="29" t="s">
        <v>6</v>
      </c>
      <c r="D17" s="29" t="s">
        <v>413</v>
      </c>
      <c r="E17" s="29">
        <v>1587.9999999999995</v>
      </c>
      <c r="F17" s="22">
        <v>225</v>
      </c>
      <c r="G17" s="29">
        <v>0</v>
      </c>
      <c r="H17" s="29">
        <v>1812.9999999999995</v>
      </c>
      <c r="I17" s="48" t="s">
        <v>578</v>
      </c>
    </row>
    <row r="18" spans="2:9" outlineLevel="2" x14ac:dyDescent="0.25">
      <c r="B18" s="29" t="s">
        <v>434</v>
      </c>
      <c r="C18" s="3" t="s">
        <v>6</v>
      </c>
      <c r="D18" s="29" t="s">
        <v>543</v>
      </c>
      <c r="E18" s="29">
        <v>1803.2</v>
      </c>
      <c r="F18" s="22"/>
      <c r="H18" s="29">
        <v>1803.2</v>
      </c>
      <c r="I18" s="48" t="s">
        <v>578</v>
      </c>
    </row>
    <row r="19" spans="2:9" outlineLevel="2" x14ac:dyDescent="0.25">
      <c r="B19" s="35" t="s">
        <v>544</v>
      </c>
      <c r="C19" s="29" t="s">
        <v>58</v>
      </c>
      <c r="D19" s="29" t="s">
        <v>373</v>
      </c>
      <c r="E19" s="29">
        <v>2236.64</v>
      </c>
      <c r="F19" s="22">
        <v>2150</v>
      </c>
      <c r="G19" s="29">
        <v>0</v>
      </c>
      <c r="H19" s="29">
        <v>4386.6399999999994</v>
      </c>
      <c r="I19" s="48" t="s">
        <v>578</v>
      </c>
    </row>
    <row r="20" spans="2:9" outlineLevel="2" x14ac:dyDescent="0.25">
      <c r="B20" s="29" t="s">
        <v>546</v>
      </c>
      <c r="C20" s="29" t="s">
        <v>58</v>
      </c>
      <c r="D20" s="29" t="s">
        <v>367</v>
      </c>
      <c r="E20" s="29">
        <v>2271.77</v>
      </c>
      <c r="F20" s="22"/>
      <c r="G20" s="29">
        <v>0</v>
      </c>
      <c r="H20" s="29">
        <v>2271.77</v>
      </c>
      <c r="I20" s="48" t="s">
        <v>578</v>
      </c>
    </row>
    <row r="21" spans="2:9" outlineLevel="2" x14ac:dyDescent="0.25">
      <c r="B21" s="29" t="s">
        <v>547</v>
      </c>
      <c r="C21" s="29" t="s">
        <v>58</v>
      </c>
      <c r="D21" s="29" t="s">
        <v>409</v>
      </c>
      <c r="E21" s="29">
        <v>2257</v>
      </c>
      <c r="F21" s="39"/>
      <c r="G21" s="29">
        <v>0</v>
      </c>
      <c r="H21" s="29">
        <v>2257</v>
      </c>
      <c r="I21" s="48" t="s">
        <v>578</v>
      </c>
    </row>
    <row r="22" spans="2:9" outlineLevel="2" x14ac:dyDescent="0.25">
      <c r="B22" s="29" t="s">
        <v>548</v>
      </c>
      <c r="C22" s="29" t="s">
        <v>58</v>
      </c>
      <c r="D22" s="29" t="s">
        <v>414</v>
      </c>
      <c r="E22" s="29">
        <v>3723.8000000000006</v>
      </c>
      <c r="F22" s="22"/>
      <c r="G22" s="29">
        <v>0</v>
      </c>
      <c r="H22" s="29">
        <v>3723.8000000000006</v>
      </c>
      <c r="I22" s="48" t="s">
        <v>578</v>
      </c>
    </row>
    <row r="23" spans="2:9" outlineLevel="2" x14ac:dyDescent="0.25">
      <c r="B23" s="29" t="s">
        <v>549</v>
      </c>
      <c r="C23" s="29" t="s">
        <v>58</v>
      </c>
      <c r="D23" s="29" t="s">
        <v>415</v>
      </c>
      <c r="E23" s="29">
        <v>3753.7800000000007</v>
      </c>
      <c r="F23" s="22">
        <v>1280</v>
      </c>
      <c r="G23" s="29">
        <v>0</v>
      </c>
      <c r="H23" s="29">
        <v>5033.7800000000007</v>
      </c>
      <c r="I23" s="48" t="s">
        <v>578</v>
      </c>
    </row>
    <row r="24" spans="2:9" outlineLevel="2" x14ac:dyDescent="0.25">
      <c r="B24" s="29" t="s">
        <v>550</v>
      </c>
      <c r="C24" s="29" t="s">
        <v>58</v>
      </c>
      <c r="D24" s="29" t="s">
        <v>450</v>
      </c>
      <c r="E24" s="29">
        <v>2513.3999999999996</v>
      </c>
      <c r="F24" s="22"/>
      <c r="G24" s="29">
        <v>0</v>
      </c>
      <c r="H24" s="29">
        <v>2513.3999999999996</v>
      </c>
      <c r="I24" s="48" t="s">
        <v>578</v>
      </c>
    </row>
    <row r="25" spans="2:9" outlineLevel="2" x14ac:dyDescent="0.25">
      <c r="B25" s="29" t="s">
        <v>551</v>
      </c>
      <c r="C25" s="29" t="s">
        <v>58</v>
      </c>
      <c r="D25" s="29" t="s">
        <v>452</v>
      </c>
      <c r="E25" s="29">
        <v>3397.1400000000003</v>
      </c>
      <c r="F25" s="22">
        <v>1320</v>
      </c>
      <c r="G25" s="29">
        <v>0</v>
      </c>
      <c r="H25" s="29">
        <v>4717.1400000000003</v>
      </c>
      <c r="I25" s="48" t="s">
        <v>578</v>
      </c>
    </row>
    <row r="26" spans="2:9" outlineLevel="2" x14ac:dyDescent="0.25">
      <c r="B26" s="29" t="s">
        <v>552</v>
      </c>
      <c r="C26" s="29" t="s">
        <v>58</v>
      </c>
      <c r="D26" s="29" t="s">
        <v>453</v>
      </c>
      <c r="E26" s="29">
        <v>4412.1400000000003</v>
      </c>
      <c r="F26" s="22">
        <v>2320</v>
      </c>
      <c r="G26" s="29">
        <v>0</v>
      </c>
      <c r="H26" s="29">
        <v>6732.14</v>
      </c>
      <c r="I26" s="48" t="s">
        <v>578</v>
      </c>
    </row>
    <row r="27" spans="2:9" outlineLevel="2" x14ac:dyDescent="0.25">
      <c r="B27" s="29" t="s">
        <v>553</v>
      </c>
      <c r="C27" s="29" t="s">
        <v>58</v>
      </c>
      <c r="D27" s="29" t="s">
        <v>454</v>
      </c>
      <c r="E27" s="29">
        <v>1685.3000000000002</v>
      </c>
      <c r="F27" s="22">
        <v>4495</v>
      </c>
      <c r="G27" s="29">
        <v>0</v>
      </c>
      <c r="H27" s="29">
        <v>6180.3</v>
      </c>
      <c r="I27" s="48" t="s">
        <v>578</v>
      </c>
    </row>
    <row r="28" spans="2:9" outlineLevel="2" x14ac:dyDescent="0.25">
      <c r="B28" s="29" t="s">
        <v>554</v>
      </c>
      <c r="C28" s="29" t="s">
        <v>58</v>
      </c>
      <c r="D28" s="29" t="s">
        <v>456</v>
      </c>
      <c r="E28" s="29">
        <v>3382.260000000002</v>
      </c>
      <c r="F28" s="22">
        <v>950</v>
      </c>
      <c r="G28" s="29">
        <v>56.14</v>
      </c>
      <c r="H28" s="29">
        <v>4388.4000000000024</v>
      </c>
      <c r="I28" s="48" t="s">
        <v>578</v>
      </c>
    </row>
    <row r="29" spans="2:9" outlineLevel="2" x14ac:dyDescent="0.25">
      <c r="B29" s="29" t="s">
        <v>555</v>
      </c>
      <c r="C29" s="29" t="s">
        <v>58</v>
      </c>
      <c r="D29" s="29" t="s">
        <v>457</v>
      </c>
      <c r="E29" s="29">
        <v>2700.29</v>
      </c>
      <c r="F29" s="22">
        <v>680</v>
      </c>
      <c r="G29" s="29">
        <v>0</v>
      </c>
      <c r="H29" s="29">
        <v>3380.29</v>
      </c>
      <c r="I29" s="48" t="s">
        <v>578</v>
      </c>
    </row>
    <row r="30" spans="2:9" outlineLevel="2" x14ac:dyDescent="0.25">
      <c r="B30" s="29" t="s">
        <v>556</v>
      </c>
      <c r="C30" s="29" t="s">
        <v>58</v>
      </c>
      <c r="D30" s="29" t="s">
        <v>458</v>
      </c>
      <c r="E30" s="29">
        <v>1685.1999999999998</v>
      </c>
      <c r="F30" s="22"/>
      <c r="G30" s="29">
        <v>0</v>
      </c>
      <c r="H30" s="29">
        <v>1685.1999999999998</v>
      </c>
      <c r="I30" s="48" t="s">
        <v>578</v>
      </c>
    </row>
    <row r="31" spans="2:9" outlineLevel="2" x14ac:dyDescent="0.25">
      <c r="B31" s="29" t="s">
        <v>557</v>
      </c>
      <c r="C31" s="29" t="s">
        <v>58</v>
      </c>
      <c r="D31" s="29" t="s">
        <v>460</v>
      </c>
      <c r="E31" s="29">
        <v>2685.2</v>
      </c>
      <c r="F31" s="22"/>
      <c r="G31" s="29">
        <v>0</v>
      </c>
      <c r="H31" s="29">
        <v>2685.2</v>
      </c>
      <c r="I31" s="48" t="s">
        <v>578</v>
      </c>
    </row>
    <row r="32" spans="2:9" outlineLevel="2" x14ac:dyDescent="0.25">
      <c r="B32" s="29" t="s">
        <v>558</v>
      </c>
      <c r="C32" s="29" t="s">
        <v>58</v>
      </c>
      <c r="D32" s="29" t="s">
        <v>461</v>
      </c>
      <c r="E32" s="29">
        <v>1685.1999999999998</v>
      </c>
      <c r="F32" s="22"/>
      <c r="G32" s="29">
        <v>0</v>
      </c>
      <c r="H32" s="29">
        <v>1685.1999999999998</v>
      </c>
      <c r="I32" s="48" t="s">
        <v>578</v>
      </c>
    </row>
    <row r="33" spans="2:9" outlineLevel="2" x14ac:dyDescent="0.25">
      <c r="B33" s="29" t="s">
        <v>559</v>
      </c>
      <c r="C33" s="29" t="s">
        <v>58</v>
      </c>
      <c r="D33" s="29" t="s">
        <v>462</v>
      </c>
      <c r="E33" s="29">
        <v>1670.1999999999998</v>
      </c>
      <c r="F33" s="22"/>
      <c r="G33" s="29">
        <v>0</v>
      </c>
      <c r="H33" s="29">
        <v>1670.1999999999998</v>
      </c>
      <c r="I33" s="48" t="s">
        <v>578</v>
      </c>
    </row>
    <row r="34" spans="2:9" outlineLevel="2" x14ac:dyDescent="0.25">
      <c r="B34" s="29" t="s">
        <v>560</v>
      </c>
      <c r="C34" s="29" t="s">
        <v>58</v>
      </c>
      <c r="D34" s="29" t="s">
        <v>463</v>
      </c>
      <c r="E34" s="29">
        <v>2700.1400000000003</v>
      </c>
      <c r="F34" s="22"/>
      <c r="G34" s="29">
        <v>0</v>
      </c>
      <c r="H34" s="29">
        <v>2700.1400000000003</v>
      </c>
      <c r="I34" s="48" t="s">
        <v>578</v>
      </c>
    </row>
    <row r="35" spans="2:9" outlineLevel="2" x14ac:dyDescent="0.25">
      <c r="B35" s="29" t="s">
        <v>561</v>
      </c>
      <c r="C35" s="29" t="s">
        <v>58</v>
      </c>
      <c r="D35" s="29" t="s">
        <v>465</v>
      </c>
      <c r="E35" s="29">
        <v>2554.8000000000002</v>
      </c>
      <c r="F35" s="22"/>
      <c r="G35" s="29">
        <v>0</v>
      </c>
      <c r="H35" s="29">
        <v>2554.8000000000002</v>
      </c>
      <c r="I35" s="48" t="s">
        <v>578</v>
      </c>
    </row>
    <row r="36" spans="2:9" outlineLevel="2" x14ac:dyDescent="0.25">
      <c r="B36" s="29" t="s">
        <v>562</v>
      </c>
      <c r="C36" s="29" t="s">
        <v>58</v>
      </c>
      <c r="D36" s="29" t="s">
        <v>466</v>
      </c>
      <c r="E36" s="29">
        <v>1711.46</v>
      </c>
      <c r="F36" s="22"/>
      <c r="G36" s="29">
        <v>0</v>
      </c>
      <c r="H36" s="29">
        <v>1711.46</v>
      </c>
      <c r="I36" s="48" t="s">
        <v>578</v>
      </c>
    </row>
    <row r="37" spans="2:9" outlineLevel="2" x14ac:dyDescent="0.25">
      <c r="B37" s="29" t="s">
        <v>563</v>
      </c>
      <c r="C37" s="29" t="s">
        <v>58</v>
      </c>
      <c r="D37" s="29" t="s">
        <v>468</v>
      </c>
      <c r="E37" s="29">
        <v>2211.6499999999996</v>
      </c>
      <c r="F37" s="22"/>
      <c r="G37" s="29">
        <v>0</v>
      </c>
      <c r="H37" s="29">
        <v>2211.6499999999996</v>
      </c>
      <c r="I37" s="48" t="s">
        <v>578</v>
      </c>
    </row>
    <row r="38" spans="2:9" outlineLevel="2" x14ac:dyDescent="0.25">
      <c r="B38" s="29" t="s">
        <v>564</v>
      </c>
      <c r="C38" s="29" t="s">
        <v>58</v>
      </c>
      <c r="D38" s="29" t="s">
        <v>501</v>
      </c>
      <c r="E38" s="29">
        <v>2570.5700000000002</v>
      </c>
      <c r="F38" s="22"/>
      <c r="G38" s="29">
        <v>0</v>
      </c>
      <c r="H38" s="29">
        <v>2570.5700000000002</v>
      </c>
      <c r="I38" s="48" t="s">
        <v>578</v>
      </c>
    </row>
    <row r="39" spans="2:9" outlineLevel="2" x14ac:dyDescent="0.25">
      <c r="B39" s="29" t="s">
        <v>565</v>
      </c>
      <c r="C39" s="29" t="s">
        <v>58</v>
      </c>
      <c r="D39" s="29" t="s">
        <v>500</v>
      </c>
      <c r="E39" s="29">
        <v>2585.5300000000002</v>
      </c>
      <c r="F39" s="22"/>
      <c r="G39" s="29">
        <v>0</v>
      </c>
      <c r="H39" s="29">
        <v>2585.5300000000002</v>
      </c>
      <c r="I39" s="48" t="s">
        <v>578</v>
      </c>
    </row>
    <row r="40" spans="2:9" outlineLevel="2" x14ac:dyDescent="0.25">
      <c r="B40" s="29" t="s">
        <v>566</v>
      </c>
      <c r="C40" s="29" t="s">
        <v>58</v>
      </c>
      <c r="D40" s="29" t="s">
        <v>506</v>
      </c>
      <c r="E40" s="29">
        <v>2570.6</v>
      </c>
      <c r="F40" s="22">
        <v>2125</v>
      </c>
      <c r="G40" s="29">
        <v>0</v>
      </c>
      <c r="H40" s="29">
        <v>4695.6000000000004</v>
      </c>
      <c r="I40" s="48" t="s">
        <v>578</v>
      </c>
    </row>
    <row r="41" spans="2:9" outlineLevel="2" x14ac:dyDescent="0.25">
      <c r="B41" s="22" t="s">
        <v>226</v>
      </c>
      <c r="C41" s="29" t="s">
        <v>58</v>
      </c>
      <c r="D41" s="29" t="s">
        <v>369</v>
      </c>
      <c r="E41" s="29">
        <v>952.25000000000114</v>
      </c>
      <c r="F41" s="22">
        <v>16065.1</v>
      </c>
      <c r="G41" s="29">
        <v>10</v>
      </c>
      <c r="H41" s="29">
        <v>17027.350000000002</v>
      </c>
      <c r="I41" s="48" t="s">
        <v>578</v>
      </c>
    </row>
    <row r="42" spans="2:9" outlineLevel="2" x14ac:dyDescent="0.25">
      <c r="B42" s="29" t="s">
        <v>234</v>
      </c>
      <c r="C42" s="29" t="s">
        <v>58</v>
      </c>
      <c r="D42" s="29" t="s">
        <v>376</v>
      </c>
      <c r="E42" s="29">
        <v>1102.5900000000001</v>
      </c>
      <c r="F42" s="22"/>
      <c r="G42" s="29">
        <v>0</v>
      </c>
      <c r="H42" s="29">
        <v>1102.5900000000001</v>
      </c>
      <c r="I42" s="48" t="s">
        <v>578</v>
      </c>
    </row>
    <row r="43" spans="2:9" outlineLevel="2" x14ac:dyDescent="0.25">
      <c r="B43" s="29" t="s">
        <v>102</v>
      </c>
      <c r="C43" s="29" t="s">
        <v>58</v>
      </c>
      <c r="D43" s="29" t="s">
        <v>364</v>
      </c>
      <c r="E43" s="29">
        <v>152.50000000000017</v>
      </c>
      <c r="F43" s="22"/>
      <c r="G43" s="29">
        <v>0</v>
      </c>
      <c r="H43" s="29">
        <v>152.50000000000017</v>
      </c>
      <c r="I43" s="48" t="s">
        <v>578</v>
      </c>
    </row>
    <row r="44" spans="2:9" outlineLevel="2" x14ac:dyDescent="0.25">
      <c r="B44" s="27" t="s">
        <v>60</v>
      </c>
      <c r="C44" s="29" t="s">
        <v>58</v>
      </c>
      <c r="D44" s="27" t="s">
        <v>354</v>
      </c>
      <c r="E44" s="29">
        <v>231.80000000000035</v>
      </c>
      <c r="F44" s="22"/>
      <c r="G44" s="29">
        <v>0</v>
      </c>
      <c r="H44" s="29">
        <v>231.80000000000035</v>
      </c>
      <c r="I44" s="48" t="s">
        <v>578</v>
      </c>
    </row>
    <row r="45" spans="2:9" outlineLevel="2" x14ac:dyDescent="0.25">
      <c r="B45" s="29" t="s">
        <v>240</v>
      </c>
      <c r="C45" s="29" t="s">
        <v>58</v>
      </c>
      <c r="D45" s="29" t="s">
        <v>379</v>
      </c>
      <c r="E45" s="29">
        <v>1452.0999999999995</v>
      </c>
      <c r="F45" s="22">
        <v>2269.7199999999998</v>
      </c>
      <c r="G45" s="29">
        <v>0</v>
      </c>
      <c r="H45" s="29">
        <v>3721.8199999999993</v>
      </c>
      <c r="I45" s="48" t="s">
        <v>578</v>
      </c>
    </row>
    <row r="46" spans="2:9" outlineLevel="2" x14ac:dyDescent="0.25">
      <c r="B46" s="29" t="s">
        <v>74</v>
      </c>
      <c r="C46" s="29" t="s">
        <v>58</v>
      </c>
      <c r="D46" s="29" t="s">
        <v>356</v>
      </c>
      <c r="E46" s="29">
        <v>1549.9700000000007</v>
      </c>
      <c r="F46" s="22">
        <v>960</v>
      </c>
      <c r="G46" s="29">
        <v>0</v>
      </c>
      <c r="H46" s="29">
        <v>2509.9700000000007</v>
      </c>
      <c r="I46" s="48" t="s">
        <v>578</v>
      </c>
    </row>
    <row r="47" spans="2:9" outlineLevel="2" x14ac:dyDescent="0.25">
      <c r="B47" s="29" t="s">
        <v>106</v>
      </c>
      <c r="C47" s="29" t="s">
        <v>58</v>
      </c>
      <c r="D47" s="29" t="s">
        <v>366</v>
      </c>
      <c r="E47" s="29">
        <v>233.19999999999982</v>
      </c>
      <c r="F47" s="22"/>
      <c r="G47" s="29">
        <v>0</v>
      </c>
      <c r="H47" s="29">
        <v>233.19999999999982</v>
      </c>
      <c r="I47" s="48" t="s">
        <v>578</v>
      </c>
    </row>
    <row r="48" spans="2:9" outlineLevel="2" x14ac:dyDescent="0.25">
      <c r="B48" s="29" t="s">
        <v>391</v>
      </c>
      <c r="C48" s="29" t="s">
        <v>58</v>
      </c>
      <c r="D48" s="26" t="s">
        <v>392</v>
      </c>
      <c r="E48" s="29">
        <v>151.40000000000009</v>
      </c>
      <c r="F48" s="22"/>
      <c r="G48" s="29">
        <v>0</v>
      </c>
      <c r="H48" s="29">
        <v>151.40000000000009</v>
      </c>
      <c r="I48" s="48" t="s">
        <v>578</v>
      </c>
    </row>
    <row r="49" spans="2:9" outlineLevel="2" x14ac:dyDescent="0.25">
      <c r="B49" s="29" t="s">
        <v>396</v>
      </c>
      <c r="C49" s="29" t="s">
        <v>58</v>
      </c>
      <c r="D49" s="29" t="s">
        <v>397</v>
      </c>
      <c r="E49" s="29">
        <v>69.740000000000322</v>
      </c>
      <c r="F49" s="22">
        <v>3360</v>
      </c>
      <c r="G49" s="29">
        <v>0</v>
      </c>
      <c r="H49" s="29">
        <v>3429.7400000000002</v>
      </c>
      <c r="I49" s="48" t="s">
        <v>578</v>
      </c>
    </row>
    <row r="50" spans="2:9" outlineLevel="2" x14ac:dyDescent="0.25">
      <c r="B50" s="29" t="s">
        <v>242</v>
      </c>
      <c r="C50" s="29" t="s">
        <v>58</v>
      </c>
      <c r="D50" s="29" t="s">
        <v>382</v>
      </c>
      <c r="E50" s="29">
        <v>1437.13</v>
      </c>
      <c r="F50" s="22"/>
      <c r="G50" s="29">
        <v>0</v>
      </c>
      <c r="H50" s="29">
        <v>1437.13</v>
      </c>
      <c r="I50" s="48" t="s">
        <v>578</v>
      </c>
    </row>
    <row r="51" spans="2:9" outlineLevel="2" x14ac:dyDescent="0.25">
      <c r="B51" s="29" t="s">
        <v>84</v>
      </c>
      <c r="C51" s="29" t="s">
        <v>58</v>
      </c>
      <c r="D51" s="29" t="s">
        <v>359</v>
      </c>
      <c r="E51" s="29">
        <v>549.99999999999977</v>
      </c>
      <c r="F51" s="22"/>
      <c r="G51" s="29">
        <v>0</v>
      </c>
      <c r="H51" s="29">
        <v>549.99999999999977</v>
      </c>
      <c r="I51" s="48" t="s">
        <v>578</v>
      </c>
    </row>
    <row r="52" spans="2:9" outlineLevel="2" x14ac:dyDescent="0.25">
      <c r="B52" s="29" t="s">
        <v>222</v>
      </c>
      <c r="C52" s="29" t="s">
        <v>58</v>
      </c>
      <c r="D52" s="29" t="s">
        <v>368</v>
      </c>
      <c r="E52" s="29">
        <v>602.59999999999991</v>
      </c>
      <c r="F52" s="22">
        <v>1843.07</v>
      </c>
      <c r="G52" s="29">
        <v>0</v>
      </c>
      <c r="H52" s="29">
        <v>2445.67</v>
      </c>
      <c r="I52" s="48" t="s">
        <v>578</v>
      </c>
    </row>
    <row r="53" spans="2:9" outlineLevel="2" x14ac:dyDescent="0.25">
      <c r="B53" s="29" t="s">
        <v>86</v>
      </c>
      <c r="C53" s="29" t="s">
        <v>58</v>
      </c>
      <c r="D53" s="29" t="s">
        <v>360</v>
      </c>
      <c r="E53" s="29">
        <v>896.39999999999986</v>
      </c>
      <c r="F53" s="22"/>
      <c r="G53" s="29">
        <v>0</v>
      </c>
      <c r="H53" s="29">
        <v>896.39999999999986</v>
      </c>
      <c r="I53" s="48" t="s">
        <v>578</v>
      </c>
    </row>
    <row r="54" spans="2:9" outlineLevel="2" x14ac:dyDescent="0.25">
      <c r="B54" s="29" t="s">
        <v>228</v>
      </c>
      <c r="C54" s="29" t="s">
        <v>58</v>
      </c>
      <c r="D54" s="29" t="s">
        <v>371</v>
      </c>
      <c r="E54" s="29">
        <v>904.80000000000052</v>
      </c>
      <c r="F54" s="22"/>
      <c r="G54" s="29">
        <v>0</v>
      </c>
      <c r="H54" s="29">
        <v>904.80000000000052</v>
      </c>
      <c r="I54" s="48" t="s">
        <v>578</v>
      </c>
    </row>
    <row r="55" spans="2:9" outlineLevel="2" x14ac:dyDescent="0.25">
      <c r="B55" s="29" t="s">
        <v>72</v>
      </c>
      <c r="C55" s="29" t="s">
        <v>58</v>
      </c>
      <c r="D55" s="29" t="s">
        <v>385</v>
      </c>
      <c r="E55" s="29">
        <v>549.99999999999977</v>
      </c>
      <c r="F55" s="22"/>
      <c r="G55" s="29">
        <v>0</v>
      </c>
      <c r="H55" s="29">
        <v>549.99999999999977</v>
      </c>
      <c r="I55" s="48" t="s">
        <v>578</v>
      </c>
    </row>
    <row r="56" spans="2:9" outlineLevel="2" x14ac:dyDescent="0.25">
      <c r="B56" s="29" t="s">
        <v>241</v>
      </c>
      <c r="C56" s="29" t="s">
        <v>58</v>
      </c>
      <c r="D56" s="29" t="s">
        <v>380</v>
      </c>
      <c r="E56" s="29">
        <v>1475.2</v>
      </c>
      <c r="F56" s="22"/>
      <c r="G56" s="29">
        <v>0</v>
      </c>
      <c r="H56" s="29">
        <v>1475.2</v>
      </c>
      <c r="I56" s="48" t="s">
        <v>578</v>
      </c>
    </row>
    <row r="57" spans="2:9" outlineLevel="2" x14ac:dyDescent="0.25">
      <c r="B57" s="29" t="s">
        <v>88</v>
      </c>
      <c r="C57" s="29" t="s">
        <v>58</v>
      </c>
      <c r="D57" s="26" t="s">
        <v>393</v>
      </c>
      <c r="E57" s="29">
        <v>435.40000000000003</v>
      </c>
      <c r="F57" s="22"/>
      <c r="G57" s="29">
        <v>0</v>
      </c>
      <c r="H57" s="29">
        <v>435.40000000000003</v>
      </c>
      <c r="I57" s="48" t="s">
        <v>578</v>
      </c>
    </row>
    <row r="58" spans="2:9" outlineLevel="2" x14ac:dyDescent="0.25">
      <c r="B58" s="29" t="s">
        <v>116</v>
      </c>
      <c r="C58" s="29" t="s">
        <v>58</v>
      </c>
      <c r="D58" s="29" t="s">
        <v>383</v>
      </c>
      <c r="E58" s="29">
        <v>977.3499999999998</v>
      </c>
      <c r="F58" s="22"/>
      <c r="G58" s="29">
        <v>0</v>
      </c>
      <c r="H58" s="29">
        <v>977.3499999999998</v>
      </c>
      <c r="I58" s="48" t="s">
        <v>578</v>
      </c>
    </row>
    <row r="59" spans="2:9" outlineLevel="2" x14ac:dyDescent="0.25">
      <c r="B59" s="29" t="s">
        <v>104</v>
      </c>
      <c r="C59" s="29" t="s">
        <v>58</v>
      </c>
      <c r="D59" s="29" t="s">
        <v>365</v>
      </c>
      <c r="E59" s="29">
        <v>452.19999999999959</v>
      </c>
      <c r="F59" s="22">
        <v>260</v>
      </c>
      <c r="G59" s="29">
        <v>0</v>
      </c>
      <c r="H59" s="29">
        <v>712.19999999999959</v>
      </c>
      <c r="I59" s="48" t="s">
        <v>578</v>
      </c>
    </row>
    <row r="60" spans="2:9" outlineLevel="2" x14ac:dyDescent="0.25">
      <c r="B60" s="29" t="s">
        <v>389</v>
      </c>
      <c r="C60" s="29" t="s">
        <v>58</v>
      </c>
      <c r="D60" s="26" t="s">
        <v>390</v>
      </c>
      <c r="E60" s="29">
        <v>450.40000000000026</v>
      </c>
      <c r="F60" s="22">
        <v>1550</v>
      </c>
      <c r="G60" s="29">
        <v>0</v>
      </c>
      <c r="H60" s="29">
        <v>2000.4000000000003</v>
      </c>
      <c r="I60" s="48" t="s">
        <v>578</v>
      </c>
    </row>
    <row r="61" spans="2:9" outlineLevel="2" x14ac:dyDescent="0.25">
      <c r="B61" s="29" t="s">
        <v>82</v>
      </c>
      <c r="C61" s="29" t="s">
        <v>58</v>
      </c>
      <c r="D61" s="29" t="s">
        <v>358</v>
      </c>
      <c r="E61" s="29">
        <v>465.37999999999988</v>
      </c>
      <c r="F61" s="22"/>
      <c r="G61" s="29">
        <v>0</v>
      </c>
      <c r="H61" s="29">
        <v>465.37999999999988</v>
      </c>
      <c r="I61" s="48" t="s">
        <v>578</v>
      </c>
    </row>
    <row r="62" spans="2:9" outlineLevel="2" x14ac:dyDescent="0.25">
      <c r="B62" s="29" t="s">
        <v>92</v>
      </c>
      <c r="C62" s="29" t="s">
        <v>58</v>
      </c>
      <c r="D62" s="29" t="s">
        <v>362</v>
      </c>
      <c r="E62" s="29">
        <v>656.13000000000011</v>
      </c>
      <c r="F62" s="22">
        <v>1120</v>
      </c>
      <c r="G62" s="29">
        <v>0</v>
      </c>
      <c r="H62" s="29">
        <v>1776.13</v>
      </c>
      <c r="I62" s="48" t="s">
        <v>578</v>
      </c>
    </row>
    <row r="63" spans="2:9" outlineLevel="2" x14ac:dyDescent="0.25">
      <c r="B63" s="29" t="s">
        <v>80</v>
      </c>
      <c r="C63" s="29" t="s">
        <v>58</v>
      </c>
      <c r="D63" s="29" t="s">
        <v>357</v>
      </c>
      <c r="E63" s="29">
        <v>14.799999999999955</v>
      </c>
      <c r="F63" s="22"/>
      <c r="G63" s="29">
        <v>0</v>
      </c>
      <c r="H63" s="29">
        <v>14.799999999999955</v>
      </c>
      <c r="I63" s="48" t="s">
        <v>578</v>
      </c>
    </row>
    <row r="64" spans="2:9" outlineLevel="2" x14ac:dyDescent="0.25">
      <c r="B64" s="29" t="s">
        <v>232</v>
      </c>
      <c r="C64" s="29" t="s">
        <v>58</v>
      </c>
      <c r="D64" s="26" t="s">
        <v>375</v>
      </c>
      <c r="E64" s="29">
        <v>1169.9700000000003</v>
      </c>
      <c r="F64" s="22"/>
      <c r="G64" s="29">
        <v>0</v>
      </c>
      <c r="H64" s="29">
        <v>1169.9700000000003</v>
      </c>
      <c r="I64" s="48" t="s">
        <v>578</v>
      </c>
    </row>
    <row r="65" spans="2:9" outlineLevel="2" x14ac:dyDescent="0.25">
      <c r="B65" s="29" t="s">
        <v>94</v>
      </c>
      <c r="C65" s="29" t="s">
        <v>58</v>
      </c>
      <c r="D65" s="29" t="s">
        <v>363</v>
      </c>
      <c r="E65" s="29">
        <v>240.19999999999962</v>
      </c>
      <c r="F65" s="22"/>
      <c r="G65" s="29">
        <v>0</v>
      </c>
      <c r="H65" s="29">
        <v>240.19999999999962</v>
      </c>
      <c r="I65" s="48" t="s">
        <v>578</v>
      </c>
    </row>
    <row r="66" spans="2:9" outlineLevel="2" x14ac:dyDescent="0.25">
      <c r="B66" s="29" t="s">
        <v>231</v>
      </c>
      <c r="C66" s="29" t="s">
        <v>58</v>
      </c>
      <c r="D66" s="29" t="s">
        <v>374</v>
      </c>
      <c r="E66" s="29">
        <v>641.19999999999936</v>
      </c>
      <c r="F66" s="22">
        <v>350</v>
      </c>
      <c r="G66" s="29">
        <v>0</v>
      </c>
      <c r="H66" s="29">
        <v>991.19999999999936</v>
      </c>
      <c r="I66" s="48" t="s">
        <v>578</v>
      </c>
    </row>
    <row r="67" spans="2:9" outlineLevel="2" x14ac:dyDescent="0.25">
      <c r="B67" s="29" t="s">
        <v>236</v>
      </c>
      <c r="C67" s="29" t="s">
        <v>58</v>
      </c>
      <c r="D67" s="29" t="s">
        <v>378</v>
      </c>
      <c r="E67" s="29">
        <v>1467.1899999999996</v>
      </c>
      <c r="F67" s="22"/>
      <c r="G67" s="29">
        <v>0</v>
      </c>
      <c r="H67" s="29">
        <v>1467.1899999999996</v>
      </c>
      <c r="I67" s="48" t="s">
        <v>578</v>
      </c>
    </row>
    <row r="68" spans="2:9" outlineLevel="2" x14ac:dyDescent="0.25">
      <c r="B68" s="29" t="s">
        <v>114</v>
      </c>
      <c r="C68" s="29" t="s">
        <v>58</v>
      </c>
      <c r="D68" s="29" t="s">
        <v>381</v>
      </c>
      <c r="E68" s="29">
        <v>992.06999999999971</v>
      </c>
      <c r="F68" s="22"/>
      <c r="G68" s="29">
        <v>0</v>
      </c>
      <c r="H68" s="29">
        <v>992.06999999999971</v>
      </c>
      <c r="I68" s="48" t="s">
        <v>578</v>
      </c>
    </row>
    <row r="69" spans="2:9" outlineLevel="2" x14ac:dyDescent="0.25">
      <c r="B69" s="29" t="s">
        <v>244</v>
      </c>
      <c r="C69" s="29" t="s">
        <v>58</v>
      </c>
      <c r="D69" s="29" t="s">
        <v>384</v>
      </c>
      <c r="E69" s="29">
        <v>917.5</v>
      </c>
      <c r="F69" s="22"/>
      <c r="G69" s="29">
        <v>0</v>
      </c>
      <c r="H69" s="29">
        <v>917.5</v>
      </c>
      <c r="I69" s="48" t="s">
        <v>578</v>
      </c>
    </row>
    <row r="70" spans="2:9" outlineLevel="2" x14ac:dyDescent="0.25">
      <c r="B70" s="29" t="s">
        <v>235</v>
      </c>
      <c r="C70" s="29" t="s">
        <v>58</v>
      </c>
      <c r="D70" s="29" t="s">
        <v>377</v>
      </c>
      <c r="E70" s="29">
        <v>2202.2099999999996</v>
      </c>
      <c r="F70" s="22"/>
      <c r="G70" s="29">
        <v>0</v>
      </c>
      <c r="H70" s="29">
        <v>2202.2099999999996</v>
      </c>
      <c r="I70" s="48" t="s">
        <v>578</v>
      </c>
    </row>
    <row r="71" spans="2:9" outlineLevel="2" x14ac:dyDescent="0.25">
      <c r="B71" s="29" t="s">
        <v>68</v>
      </c>
      <c r="C71" s="29" t="s">
        <v>58</v>
      </c>
      <c r="D71" s="29" t="s">
        <v>355</v>
      </c>
      <c r="E71" s="29">
        <v>450.40000000000009</v>
      </c>
      <c r="F71" s="22"/>
      <c r="G71" s="29">
        <v>0</v>
      </c>
      <c r="H71" s="29">
        <v>450.40000000000009</v>
      </c>
      <c r="I71" s="48" t="s">
        <v>578</v>
      </c>
    </row>
    <row r="72" spans="2:9" outlineLevel="2" x14ac:dyDescent="0.25">
      <c r="B72" s="29" t="s">
        <v>90</v>
      </c>
      <c r="C72" s="29" t="s">
        <v>58</v>
      </c>
      <c r="D72" s="29" t="s">
        <v>361</v>
      </c>
      <c r="E72" s="29">
        <v>1167.5500000000002</v>
      </c>
      <c r="F72" s="22"/>
      <c r="G72" s="29">
        <v>20</v>
      </c>
      <c r="H72" s="29">
        <v>1187.5500000000002</v>
      </c>
      <c r="I72" s="48" t="s">
        <v>578</v>
      </c>
    </row>
    <row r="73" spans="2:9" outlineLevel="2" x14ac:dyDescent="0.25">
      <c r="B73" s="29" t="s">
        <v>408</v>
      </c>
      <c r="C73" s="29" t="s">
        <v>58</v>
      </c>
      <c r="D73" s="29" t="s">
        <v>405</v>
      </c>
      <c r="E73" s="29">
        <v>734.09999999999991</v>
      </c>
      <c r="F73" s="22">
        <v>1325</v>
      </c>
      <c r="G73" s="29">
        <v>5.4999999999999858</v>
      </c>
      <c r="H73" s="29">
        <v>2064.6</v>
      </c>
      <c r="I73" s="48" t="s">
        <v>578</v>
      </c>
    </row>
    <row r="74" spans="2:9" outlineLevel="2" x14ac:dyDescent="0.25">
      <c r="B74" s="29" t="s">
        <v>417</v>
      </c>
      <c r="C74" s="29" t="s">
        <v>58</v>
      </c>
      <c r="D74" s="29" t="s">
        <v>418</v>
      </c>
      <c r="E74" s="29">
        <v>755.07000000000028</v>
      </c>
      <c r="F74" s="22">
        <v>1275</v>
      </c>
      <c r="G74" s="29">
        <v>0</v>
      </c>
      <c r="H74" s="29">
        <v>2030.0700000000002</v>
      </c>
      <c r="I74" s="48" t="s">
        <v>578</v>
      </c>
    </row>
    <row r="75" spans="2:9" outlineLevel="2" x14ac:dyDescent="0.25">
      <c r="B75" s="29" t="s">
        <v>422</v>
      </c>
      <c r="C75" s="29" t="s">
        <v>58</v>
      </c>
      <c r="D75" s="29" t="s">
        <v>423</v>
      </c>
      <c r="E75" s="29">
        <v>452.19999999999982</v>
      </c>
      <c r="F75" s="22">
        <v>1375</v>
      </c>
      <c r="G75" s="29">
        <v>0</v>
      </c>
      <c r="H75" s="29">
        <v>1827.1999999999998</v>
      </c>
      <c r="I75" s="48" t="s">
        <v>578</v>
      </c>
    </row>
    <row r="76" spans="2:9" outlineLevel="2" x14ac:dyDescent="0.25">
      <c r="B76" s="29" t="s">
        <v>424</v>
      </c>
      <c r="C76" s="29" t="s">
        <v>58</v>
      </c>
      <c r="D76" s="29" t="s">
        <v>425</v>
      </c>
      <c r="E76" s="29">
        <v>22.599999999999909</v>
      </c>
      <c r="F76" s="22"/>
      <c r="G76" s="29">
        <v>0</v>
      </c>
      <c r="H76" s="29">
        <v>22.599999999999909</v>
      </c>
      <c r="I76" s="48" t="s">
        <v>578</v>
      </c>
    </row>
    <row r="77" spans="2:9" outlineLevel="2" x14ac:dyDescent="0.25">
      <c r="B77" s="29" t="s">
        <v>426</v>
      </c>
      <c r="C77" s="29" t="s">
        <v>58</v>
      </c>
      <c r="D77" s="29" t="s">
        <v>427</v>
      </c>
      <c r="E77" s="29">
        <v>152.49999999999983</v>
      </c>
      <c r="F77" s="22"/>
      <c r="G77" s="29">
        <v>0</v>
      </c>
      <c r="H77" s="29">
        <v>152.49999999999983</v>
      </c>
      <c r="I77" s="48" t="s">
        <v>578</v>
      </c>
    </row>
    <row r="78" spans="2:9" outlineLevel="2" x14ac:dyDescent="0.25">
      <c r="B78" s="29" t="s">
        <v>437</v>
      </c>
      <c r="C78" s="29" t="s">
        <v>58</v>
      </c>
      <c r="D78" s="29" t="s">
        <v>438</v>
      </c>
      <c r="E78" s="29">
        <v>452.2</v>
      </c>
      <c r="F78" s="22">
        <v>2900</v>
      </c>
      <c r="G78" s="29">
        <v>0</v>
      </c>
      <c r="H78" s="29">
        <v>3352.2</v>
      </c>
      <c r="I78" s="48" t="s">
        <v>578</v>
      </c>
    </row>
    <row r="79" spans="2:9" outlineLevel="2" x14ac:dyDescent="0.25">
      <c r="B79" s="29" t="s">
        <v>44</v>
      </c>
      <c r="C79" s="29" t="s">
        <v>58</v>
      </c>
      <c r="D79" s="29" t="s">
        <v>429</v>
      </c>
      <c r="E79" s="29">
        <v>452.39999999999986</v>
      </c>
      <c r="F79" s="22"/>
      <c r="G79" s="29">
        <v>0</v>
      </c>
      <c r="H79" s="29">
        <v>452.39999999999986</v>
      </c>
      <c r="I79" s="48" t="s">
        <v>578</v>
      </c>
    </row>
    <row r="80" spans="2:9" outlineLevel="2" x14ac:dyDescent="0.25">
      <c r="B80" s="29" t="s">
        <v>434</v>
      </c>
      <c r="C80" s="29" t="s">
        <v>58</v>
      </c>
      <c r="D80" s="29" t="s">
        <v>430</v>
      </c>
      <c r="E80" s="29">
        <v>1139.3999999999996</v>
      </c>
      <c r="F80" s="22"/>
      <c r="G80" s="29">
        <v>0</v>
      </c>
      <c r="H80" s="29">
        <v>1139.3999999999996</v>
      </c>
      <c r="I80" s="48" t="s">
        <v>578</v>
      </c>
    </row>
    <row r="81" spans="2:12" s="26" customFormat="1" outlineLevel="2" x14ac:dyDescent="0.25">
      <c r="B81" s="29" t="s">
        <v>435</v>
      </c>
      <c r="C81" s="29" t="s">
        <v>58</v>
      </c>
      <c r="D81" s="29" t="s">
        <v>431</v>
      </c>
      <c r="E81" s="29">
        <v>1139.3999999999996</v>
      </c>
      <c r="F81" s="22"/>
      <c r="G81" s="29">
        <v>0</v>
      </c>
      <c r="H81" s="29">
        <v>1139.3999999999996</v>
      </c>
      <c r="I81" s="48" t="s">
        <v>578</v>
      </c>
      <c r="J81" s="41"/>
      <c r="K81" s="29"/>
      <c r="L81" s="29"/>
    </row>
    <row r="82" spans="2:12" outlineLevel="2" x14ac:dyDescent="0.25">
      <c r="B82" s="29" t="s">
        <v>436</v>
      </c>
      <c r="C82" s="29" t="s">
        <v>58</v>
      </c>
      <c r="D82" s="29" t="s">
        <v>432</v>
      </c>
      <c r="E82" s="29">
        <v>1139.3999999999996</v>
      </c>
      <c r="F82" s="22"/>
      <c r="G82" s="29">
        <v>0</v>
      </c>
      <c r="H82" s="29">
        <v>1139.3999999999996</v>
      </c>
      <c r="I82" s="48" t="s">
        <v>578</v>
      </c>
    </row>
    <row r="83" spans="2:12" outlineLevel="2" x14ac:dyDescent="0.25">
      <c r="B83" s="22" t="s">
        <v>444</v>
      </c>
      <c r="C83" s="22" t="s">
        <v>58</v>
      </c>
      <c r="D83" s="22" t="s">
        <v>445</v>
      </c>
      <c r="E83" s="29">
        <v>152.40000000000009</v>
      </c>
      <c r="F83" s="22"/>
      <c r="G83" s="29">
        <v>0</v>
      </c>
      <c r="H83" s="29">
        <v>152.40000000000009</v>
      </c>
      <c r="I83" s="48" t="s">
        <v>578</v>
      </c>
    </row>
    <row r="84" spans="2:12" outlineLevel="2" x14ac:dyDescent="0.25">
      <c r="B84" s="22" t="s">
        <v>446</v>
      </c>
      <c r="C84" s="22" t="s">
        <v>58</v>
      </c>
      <c r="D84" s="22" t="s">
        <v>447</v>
      </c>
      <c r="E84" s="29">
        <v>452.19999999999982</v>
      </c>
      <c r="F84" s="22">
        <v>3050</v>
      </c>
      <c r="G84" s="29">
        <v>0</v>
      </c>
      <c r="H84" s="29">
        <v>3502.2</v>
      </c>
      <c r="I84" s="48" t="s">
        <v>578</v>
      </c>
    </row>
    <row r="85" spans="2:12" outlineLevel="2" x14ac:dyDescent="0.25">
      <c r="B85" s="29" t="s">
        <v>448</v>
      </c>
      <c r="C85" s="22" t="s">
        <v>58</v>
      </c>
      <c r="D85" s="29" t="s">
        <v>449</v>
      </c>
      <c r="E85" s="29">
        <v>70.599999999999994</v>
      </c>
      <c r="F85" s="22"/>
      <c r="G85" s="29">
        <v>0</v>
      </c>
      <c r="H85" s="29">
        <v>70.599999999999994</v>
      </c>
      <c r="I85" s="48" t="s">
        <v>578</v>
      </c>
    </row>
    <row r="86" spans="2:12" outlineLevel="2" x14ac:dyDescent="0.25">
      <c r="B86" s="29" t="s">
        <v>469</v>
      </c>
      <c r="C86" s="22" t="s">
        <v>58</v>
      </c>
      <c r="D86" s="29" t="s">
        <v>470</v>
      </c>
      <c r="E86" s="29">
        <v>452.19999999999982</v>
      </c>
      <c r="F86" s="22"/>
      <c r="G86" s="29">
        <v>0</v>
      </c>
      <c r="H86" s="29">
        <v>452.19999999999982</v>
      </c>
      <c r="I86" s="48" t="s">
        <v>578</v>
      </c>
    </row>
    <row r="87" spans="2:12" outlineLevel="2" x14ac:dyDescent="0.25">
      <c r="B87" s="29" t="s">
        <v>471</v>
      </c>
      <c r="C87" s="22" t="s">
        <v>58</v>
      </c>
      <c r="D87" s="29" t="s">
        <v>472</v>
      </c>
      <c r="E87" s="29">
        <v>137.59999999999991</v>
      </c>
      <c r="F87" s="22"/>
      <c r="G87" s="29">
        <v>0</v>
      </c>
      <c r="H87" s="29">
        <v>137.59999999999991</v>
      </c>
      <c r="I87" s="48" t="s">
        <v>578</v>
      </c>
    </row>
    <row r="88" spans="2:12" outlineLevel="2" x14ac:dyDescent="0.25">
      <c r="B88" s="29" t="s">
        <v>473</v>
      </c>
      <c r="C88" s="22" t="s">
        <v>58</v>
      </c>
      <c r="D88" s="29" t="s">
        <v>474</v>
      </c>
      <c r="E88" s="29">
        <v>248.20499999999993</v>
      </c>
      <c r="F88" s="22"/>
      <c r="G88" s="29">
        <v>0</v>
      </c>
      <c r="H88" s="29">
        <v>248.20499999999993</v>
      </c>
      <c r="I88" s="48" t="s">
        <v>578</v>
      </c>
    </row>
    <row r="89" spans="2:12" outlineLevel="2" x14ac:dyDescent="0.25">
      <c r="B89" s="29" t="s">
        <v>475</v>
      </c>
      <c r="C89" s="22" t="s">
        <v>58</v>
      </c>
      <c r="D89" s="29" t="s">
        <v>476</v>
      </c>
      <c r="E89" s="29">
        <v>452.19999999999982</v>
      </c>
      <c r="F89" s="22"/>
      <c r="G89" s="29">
        <v>0</v>
      </c>
      <c r="H89" s="29">
        <v>452.19999999999982</v>
      </c>
      <c r="I89" s="48" t="s">
        <v>578</v>
      </c>
    </row>
    <row r="90" spans="2:12" outlineLevel="2" x14ac:dyDescent="0.25">
      <c r="B90" s="29" t="s">
        <v>477</v>
      </c>
      <c r="C90" s="22" t="s">
        <v>58</v>
      </c>
      <c r="D90" s="29" t="s">
        <v>478</v>
      </c>
      <c r="E90" s="29">
        <v>442.80000000000064</v>
      </c>
      <c r="F90" s="22"/>
      <c r="G90" s="29">
        <v>0</v>
      </c>
      <c r="H90" s="29">
        <v>442.80000000000064</v>
      </c>
      <c r="I90" s="48" t="s">
        <v>578</v>
      </c>
    </row>
    <row r="91" spans="2:12" outlineLevel="2" x14ac:dyDescent="0.25">
      <c r="B91" s="29" t="s">
        <v>479</v>
      </c>
      <c r="C91" s="22" t="s">
        <v>58</v>
      </c>
      <c r="D91" s="29" t="s">
        <v>480</v>
      </c>
      <c r="E91" s="29">
        <v>452.19999999999982</v>
      </c>
      <c r="F91" s="22">
        <v>860</v>
      </c>
      <c r="G91" s="29">
        <v>0</v>
      </c>
      <c r="H91" s="29">
        <v>1312.1999999999998</v>
      </c>
      <c r="I91" s="48" t="s">
        <v>578</v>
      </c>
    </row>
    <row r="92" spans="2:12" outlineLevel="2" x14ac:dyDescent="0.25">
      <c r="B92" s="29" t="s">
        <v>481</v>
      </c>
      <c r="C92" s="22" t="s">
        <v>58</v>
      </c>
      <c r="D92" s="29" t="s">
        <v>482</v>
      </c>
      <c r="E92" s="29">
        <v>656.19999999999982</v>
      </c>
      <c r="F92" s="22"/>
      <c r="G92" s="29">
        <v>0</v>
      </c>
      <c r="H92" s="29">
        <v>656.19999999999982</v>
      </c>
      <c r="I92" s="48" t="s">
        <v>578</v>
      </c>
    </row>
    <row r="93" spans="2:12" outlineLevel="2" x14ac:dyDescent="0.25">
      <c r="B93" s="29" t="s">
        <v>483</v>
      </c>
      <c r="C93" s="22" t="s">
        <v>58</v>
      </c>
      <c r="D93" s="29" t="s">
        <v>484</v>
      </c>
      <c r="E93" s="29">
        <v>437.19999999999982</v>
      </c>
      <c r="F93" s="22"/>
      <c r="G93" s="29">
        <v>0</v>
      </c>
      <c r="H93" s="29">
        <v>437.19999999999982</v>
      </c>
      <c r="I93" s="48" t="s">
        <v>578</v>
      </c>
    </row>
    <row r="94" spans="2:12" outlineLevel="2" x14ac:dyDescent="0.25">
      <c r="B94" s="29" t="s">
        <v>485</v>
      </c>
      <c r="C94" s="22" t="s">
        <v>58</v>
      </c>
      <c r="D94" s="29" t="s">
        <v>486</v>
      </c>
      <c r="E94" s="29">
        <v>609.22499999999991</v>
      </c>
      <c r="F94" s="22">
        <v>1550</v>
      </c>
      <c r="G94" s="29">
        <v>0</v>
      </c>
      <c r="H94" s="29">
        <v>2159.2249999999999</v>
      </c>
      <c r="I94" s="48" t="s">
        <v>578</v>
      </c>
    </row>
    <row r="95" spans="2:12" outlineLevel="2" x14ac:dyDescent="0.25">
      <c r="B95" s="29" t="s">
        <v>487</v>
      </c>
      <c r="C95" s="22" t="s">
        <v>58</v>
      </c>
      <c r="D95" s="29" t="s">
        <v>488</v>
      </c>
      <c r="E95" s="29">
        <v>422.95499999999993</v>
      </c>
      <c r="F95" s="22">
        <v>1875</v>
      </c>
      <c r="G95" s="29">
        <v>0</v>
      </c>
      <c r="H95" s="29">
        <v>2297.9549999999999</v>
      </c>
      <c r="I95" s="48" t="s">
        <v>578</v>
      </c>
    </row>
    <row r="96" spans="2:12" outlineLevel="2" x14ac:dyDescent="0.25">
      <c r="B96" s="29" t="s">
        <v>489</v>
      </c>
      <c r="C96" s="22" t="s">
        <v>58</v>
      </c>
      <c r="D96" s="29" t="s">
        <v>490</v>
      </c>
      <c r="E96" s="29">
        <v>499.65500000000065</v>
      </c>
      <c r="F96" s="22">
        <v>125</v>
      </c>
      <c r="G96" s="29">
        <v>0</v>
      </c>
      <c r="H96" s="29">
        <v>624.65500000000065</v>
      </c>
      <c r="I96" s="48" t="s">
        <v>578</v>
      </c>
    </row>
    <row r="97" spans="2:9" ht="15.75" outlineLevel="2" x14ac:dyDescent="0.25">
      <c r="B97" s="38" t="s">
        <v>574</v>
      </c>
      <c r="C97" s="22" t="s">
        <v>58</v>
      </c>
      <c r="D97" s="38" t="s">
        <v>575</v>
      </c>
      <c r="E97" s="29">
        <v>450.6</v>
      </c>
      <c r="F97" s="22"/>
      <c r="H97" s="29">
        <v>450.6</v>
      </c>
      <c r="I97" s="48" t="s">
        <v>578</v>
      </c>
    </row>
    <row r="98" spans="2:9" outlineLevel="2" x14ac:dyDescent="0.25">
      <c r="B98" s="29" t="s">
        <v>491</v>
      </c>
      <c r="C98" s="22" t="s">
        <v>58</v>
      </c>
      <c r="D98" s="29" t="s">
        <v>492</v>
      </c>
      <c r="E98" s="29">
        <v>436.94999999999982</v>
      </c>
      <c r="F98" s="22">
        <v>4510</v>
      </c>
      <c r="G98" s="29">
        <v>0</v>
      </c>
      <c r="H98" s="29">
        <v>4946.95</v>
      </c>
      <c r="I98" s="48" t="s">
        <v>578</v>
      </c>
    </row>
    <row r="99" spans="2:9" outlineLevel="2" x14ac:dyDescent="0.25">
      <c r="B99" s="29" t="s">
        <v>493</v>
      </c>
      <c r="C99" s="22" t="s">
        <v>58</v>
      </c>
      <c r="D99" s="29" t="s">
        <v>494</v>
      </c>
      <c r="E99" s="29">
        <v>514.68499999999995</v>
      </c>
      <c r="F99" s="22"/>
      <c r="G99" s="29">
        <v>0</v>
      </c>
      <c r="H99" s="29">
        <v>514.68499999999995</v>
      </c>
      <c r="I99" s="48" t="s">
        <v>578</v>
      </c>
    </row>
    <row r="100" spans="2:9" outlineLevel="2" x14ac:dyDescent="0.25">
      <c r="B100" s="29" t="s">
        <v>498</v>
      </c>
      <c r="C100" s="22" t="s">
        <v>58</v>
      </c>
      <c r="D100" s="29" t="s">
        <v>499</v>
      </c>
      <c r="E100" s="29">
        <v>437.20000000000005</v>
      </c>
      <c r="F100" s="22"/>
      <c r="G100" s="29">
        <v>0</v>
      </c>
      <c r="H100" s="29">
        <v>437.20000000000005</v>
      </c>
      <c r="I100" s="48" t="s">
        <v>578</v>
      </c>
    </row>
    <row r="101" spans="2:9" outlineLevel="2" x14ac:dyDescent="0.25">
      <c r="B101" s="29" t="s">
        <v>502</v>
      </c>
      <c r="C101" s="22" t="s">
        <v>58</v>
      </c>
      <c r="D101" s="29" t="s">
        <v>503</v>
      </c>
      <c r="E101" s="29">
        <v>452.2</v>
      </c>
      <c r="F101" s="22"/>
      <c r="G101" s="29">
        <v>0</v>
      </c>
      <c r="H101" s="29">
        <v>452.2</v>
      </c>
      <c r="I101" s="48" t="s">
        <v>578</v>
      </c>
    </row>
    <row r="102" spans="2:9" outlineLevel="2" x14ac:dyDescent="0.25">
      <c r="B102" s="29" t="s">
        <v>504</v>
      </c>
      <c r="C102" s="22" t="s">
        <v>58</v>
      </c>
      <c r="D102" s="29" t="s">
        <v>505</v>
      </c>
      <c r="E102" s="29">
        <v>14.239999999999782</v>
      </c>
      <c r="F102" s="22"/>
      <c r="G102" s="29">
        <v>0</v>
      </c>
      <c r="H102" s="29">
        <v>14.239999999999782</v>
      </c>
      <c r="I102" s="48" t="s">
        <v>578</v>
      </c>
    </row>
    <row r="103" spans="2:9" outlineLevel="2" x14ac:dyDescent="0.25">
      <c r="B103" s="29" t="s">
        <v>507</v>
      </c>
      <c r="C103" s="22" t="s">
        <v>58</v>
      </c>
      <c r="D103" s="29" t="s">
        <v>508</v>
      </c>
      <c r="E103" s="29">
        <v>1139.3999999999996</v>
      </c>
      <c r="F103" s="22"/>
      <c r="G103" s="29">
        <v>0</v>
      </c>
      <c r="H103" s="29">
        <v>1139.3999999999996</v>
      </c>
      <c r="I103" s="48" t="s">
        <v>578</v>
      </c>
    </row>
    <row r="104" spans="2:9" outlineLevel="2" x14ac:dyDescent="0.25">
      <c r="B104" s="29" t="s">
        <v>509</v>
      </c>
      <c r="C104" s="22" t="s">
        <v>58</v>
      </c>
      <c r="D104" s="29" t="s">
        <v>510</v>
      </c>
      <c r="E104" s="29">
        <v>452.19999999999982</v>
      </c>
      <c r="F104" s="22">
        <v>3025</v>
      </c>
      <c r="G104" s="29">
        <v>0</v>
      </c>
      <c r="H104" s="29">
        <v>3477.2</v>
      </c>
      <c r="I104" s="48" t="s">
        <v>578</v>
      </c>
    </row>
    <row r="105" spans="2:9" outlineLevel="2" x14ac:dyDescent="0.25">
      <c r="B105" s="29" t="s">
        <v>519</v>
      </c>
      <c r="C105" s="22" t="s">
        <v>58</v>
      </c>
      <c r="D105" s="29" t="s">
        <v>520</v>
      </c>
      <c r="E105" s="29">
        <v>452.19999999999982</v>
      </c>
      <c r="F105" s="22">
        <v>2775</v>
      </c>
      <c r="G105" s="29">
        <v>0</v>
      </c>
      <c r="H105" s="29">
        <v>3227.2</v>
      </c>
      <c r="I105" s="48" t="s">
        <v>578</v>
      </c>
    </row>
    <row r="106" spans="2:9" outlineLevel="2" x14ac:dyDescent="0.25">
      <c r="B106" s="29" t="s">
        <v>521</v>
      </c>
      <c r="C106" s="22" t="s">
        <v>58</v>
      </c>
      <c r="D106" s="29" t="s">
        <v>522</v>
      </c>
      <c r="E106" s="29">
        <v>152.59999999999991</v>
      </c>
      <c r="F106" s="22"/>
      <c r="G106" s="29">
        <v>0</v>
      </c>
      <c r="H106" s="29">
        <v>152.59999999999991</v>
      </c>
      <c r="I106" s="48" t="s">
        <v>578</v>
      </c>
    </row>
    <row r="107" spans="2:9" outlineLevel="2" x14ac:dyDescent="0.25">
      <c r="B107" s="29" t="s">
        <v>523</v>
      </c>
      <c r="C107" s="22" t="s">
        <v>58</v>
      </c>
      <c r="D107" s="29" t="s">
        <v>524</v>
      </c>
      <c r="E107" s="29">
        <v>452.20000000000005</v>
      </c>
      <c r="F107" s="22"/>
      <c r="G107" s="29">
        <v>0</v>
      </c>
      <c r="H107" s="29">
        <v>452.20000000000005</v>
      </c>
      <c r="I107" s="48" t="s">
        <v>578</v>
      </c>
    </row>
    <row r="108" spans="2:9" outlineLevel="2" x14ac:dyDescent="0.25">
      <c r="B108" s="29" t="s">
        <v>525</v>
      </c>
      <c r="C108" s="22" t="s">
        <v>58</v>
      </c>
      <c r="D108" s="29" t="s">
        <v>526</v>
      </c>
      <c r="E108" s="29">
        <v>450.40000000000009</v>
      </c>
      <c r="F108" s="22"/>
      <c r="G108" s="29">
        <v>0</v>
      </c>
      <c r="H108" s="29">
        <v>450.40000000000009</v>
      </c>
      <c r="I108" s="48" t="s">
        <v>578</v>
      </c>
    </row>
    <row r="109" spans="2:9" outlineLevel="2" x14ac:dyDescent="0.25">
      <c r="B109" s="29" t="s">
        <v>529</v>
      </c>
      <c r="C109" s="22" t="s">
        <v>58</v>
      </c>
      <c r="D109" s="29" t="s">
        <v>530</v>
      </c>
      <c r="E109" s="29">
        <v>435.40000000000009</v>
      </c>
      <c r="F109" s="22">
        <v>1400</v>
      </c>
      <c r="G109" s="29">
        <v>0</v>
      </c>
      <c r="H109" s="29">
        <v>1835.4</v>
      </c>
      <c r="I109" s="48" t="s">
        <v>578</v>
      </c>
    </row>
    <row r="110" spans="2:9" outlineLevel="2" x14ac:dyDescent="0.25">
      <c r="B110" s="29" t="s">
        <v>533</v>
      </c>
      <c r="C110" s="22" t="s">
        <v>58</v>
      </c>
      <c r="D110" s="29" t="s">
        <v>531</v>
      </c>
      <c r="E110" s="29">
        <v>167.61999999999989</v>
      </c>
      <c r="F110" s="22"/>
      <c r="G110" s="29">
        <v>0</v>
      </c>
      <c r="H110" s="29">
        <v>167.61999999999989</v>
      </c>
      <c r="I110" s="48" t="s">
        <v>578</v>
      </c>
    </row>
    <row r="111" spans="2:9" outlineLevel="2" x14ac:dyDescent="0.25">
      <c r="B111" s="29" t="s">
        <v>535</v>
      </c>
      <c r="C111" s="22" t="s">
        <v>58</v>
      </c>
      <c r="D111" s="29" t="s">
        <v>536</v>
      </c>
      <c r="E111" s="29">
        <v>127</v>
      </c>
      <c r="F111" s="22"/>
      <c r="G111" s="29">
        <v>0</v>
      </c>
      <c r="H111" s="29">
        <v>127</v>
      </c>
      <c r="I111" s="48" t="s">
        <v>578</v>
      </c>
    </row>
    <row r="112" spans="2:9" outlineLevel="2" x14ac:dyDescent="0.25">
      <c r="B112" s="29" t="s">
        <v>537</v>
      </c>
      <c r="C112" s="22" t="s">
        <v>58</v>
      </c>
      <c r="D112" s="29" t="s">
        <v>538</v>
      </c>
      <c r="E112" s="29">
        <v>127</v>
      </c>
      <c r="F112" s="22"/>
      <c r="G112" s="29">
        <v>0</v>
      </c>
      <c r="H112" s="29">
        <v>127</v>
      </c>
      <c r="I112" s="48" t="s">
        <v>578</v>
      </c>
    </row>
    <row r="113" spans="1:9" outlineLevel="2" x14ac:dyDescent="0.25">
      <c r="B113" s="29" t="s">
        <v>534</v>
      </c>
      <c r="C113" s="22" t="s">
        <v>58</v>
      </c>
      <c r="D113" s="29" t="s">
        <v>532</v>
      </c>
      <c r="E113" s="29">
        <v>452.19999999999982</v>
      </c>
      <c r="F113" s="22"/>
      <c r="G113" s="29">
        <v>0</v>
      </c>
      <c r="H113" s="29">
        <v>452.19999999999982</v>
      </c>
      <c r="I113" s="48" t="s">
        <v>578</v>
      </c>
    </row>
    <row r="114" spans="1:9" ht="15.75" outlineLevel="2" x14ac:dyDescent="0.25">
      <c r="B114" s="38" t="s">
        <v>569</v>
      </c>
      <c r="C114" s="30" t="s">
        <v>58</v>
      </c>
      <c r="D114" s="38" t="s">
        <v>570</v>
      </c>
      <c r="E114" s="29">
        <v>428.5</v>
      </c>
      <c r="F114" s="22"/>
      <c r="H114" s="29">
        <v>428.5</v>
      </c>
      <c r="I114" s="48" t="s">
        <v>578</v>
      </c>
    </row>
    <row r="115" spans="1:9" ht="15.75" outlineLevel="2" x14ac:dyDescent="0.25">
      <c r="B115" s="38" t="s">
        <v>568</v>
      </c>
      <c r="C115" s="30" t="s">
        <v>58</v>
      </c>
      <c r="D115" s="38" t="s">
        <v>567</v>
      </c>
      <c r="E115" s="29">
        <v>151.29999999999981</v>
      </c>
      <c r="F115" s="22">
        <v>2275</v>
      </c>
      <c r="H115" s="29">
        <v>2426.2999999999997</v>
      </c>
      <c r="I115" s="48" t="s">
        <v>578</v>
      </c>
    </row>
    <row r="116" spans="1:9" ht="15.75" outlineLevel="2" x14ac:dyDescent="0.25">
      <c r="B116" s="38" t="s">
        <v>572</v>
      </c>
      <c r="C116" s="30" t="s">
        <v>58</v>
      </c>
      <c r="D116" s="38" t="s">
        <v>573</v>
      </c>
      <c r="E116" s="29">
        <v>47.93</v>
      </c>
      <c r="H116" s="29">
        <v>47.93</v>
      </c>
      <c r="I116" s="48" t="s">
        <v>578</v>
      </c>
    </row>
    <row r="117" spans="1:9" ht="15.75" outlineLevel="1" x14ac:dyDescent="0.25">
      <c r="A117" s="52" t="s">
        <v>580</v>
      </c>
      <c r="B117" s="38">
        <f t="shared" ref="B117:I117" si="0">SUBTOTAL(9,B3:B116)</f>
        <v>0</v>
      </c>
      <c r="C117" s="30">
        <f t="shared" si="0"/>
        <v>0</v>
      </c>
      <c r="D117" s="38">
        <f t="shared" si="0"/>
        <v>0</v>
      </c>
      <c r="E117" s="29">
        <f t="shared" si="0"/>
        <v>128157.35499999998</v>
      </c>
      <c r="F117" s="29">
        <f t="shared" si="0"/>
        <v>77574.89</v>
      </c>
      <c r="G117" s="29">
        <f t="shared" si="0"/>
        <v>325.64</v>
      </c>
      <c r="H117" s="29">
        <f t="shared" si="0"/>
        <v>206057.88500000013</v>
      </c>
      <c r="I117" s="48">
        <f t="shared" si="0"/>
        <v>0</v>
      </c>
    </row>
    <row r="118" spans="1:9" outlineLevel="2" x14ac:dyDescent="0.25">
      <c r="B118" s="29" t="s">
        <v>223</v>
      </c>
      <c r="C118" s="29" t="s">
        <v>6</v>
      </c>
      <c r="D118" s="19" t="s">
        <v>334</v>
      </c>
      <c r="E118" s="29">
        <v>13773.200000000003</v>
      </c>
      <c r="F118" s="22"/>
      <c r="G118" s="29">
        <v>0</v>
      </c>
      <c r="H118" s="29">
        <v>13773.200000000003</v>
      </c>
      <c r="I118" s="48" t="s">
        <v>579</v>
      </c>
    </row>
    <row r="119" spans="1:9" outlineLevel="2" x14ac:dyDescent="0.25">
      <c r="B119" s="29" t="s">
        <v>238</v>
      </c>
      <c r="C119" s="29" t="s">
        <v>6</v>
      </c>
      <c r="D119" s="29" t="s">
        <v>348</v>
      </c>
      <c r="E119" s="29">
        <v>12613.8</v>
      </c>
      <c r="F119" s="22"/>
      <c r="G119" s="29">
        <v>0</v>
      </c>
      <c r="H119" s="29">
        <v>12613.8</v>
      </c>
      <c r="I119" s="48" t="s">
        <v>579</v>
      </c>
    </row>
    <row r="120" spans="1:9" outlineLevel="2" x14ac:dyDescent="0.25">
      <c r="B120" s="29" t="s">
        <v>243</v>
      </c>
      <c r="C120" s="29" t="s">
        <v>6</v>
      </c>
      <c r="D120" s="26" t="s">
        <v>386</v>
      </c>
      <c r="E120" s="29">
        <v>9303.1999999999989</v>
      </c>
      <c r="F120" s="22"/>
      <c r="G120" s="29">
        <v>0</v>
      </c>
      <c r="H120" s="29">
        <v>9303.1999999999989</v>
      </c>
      <c r="I120" s="48" t="s">
        <v>579</v>
      </c>
    </row>
    <row r="121" spans="1:9" outlineLevel="1" x14ac:dyDescent="0.25">
      <c r="A121" s="52" t="s">
        <v>581</v>
      </c>
      <c r="B121" s="29">
        <f t="shared" ref="B121:I121" si="1">SUBTOTAL(9,B118:B120)</f>
        <v>0</v>
      </c>
      <c r="C121" s="29">
        <f t="shared" si="1"/>
        <v>0</v>
      </c>
      <c r="D121" s="26">
        <f t="shared" si="1"/>
        <v>0</v>
      </c>
      <c r="E121" s="29">
        <f t="shared" si="1"/>
        <v>35690.199999999997</v>
      </c>
      <c r="F121" s="22">
        <f t="shared" si="1"/>
        <v>0</v>
      </c>
      <c r="G121" s="29">
        <f t="shared" si="1"/>
        <v>0</v>
      </c>
      <c r="H121" s="29">
        <f t="shared" si="1"/>
        <v>35690.199999999997</v>
      </c>
      <c r="I121" s="48">
        <f t="shared" si="1"/>
        <v>0</v>
      </c>
    </row>
    <row r="122" spans="1:9" outlineLevel="2" x14ac:dyDescent="0.25">
      <c r="B122" s="20" t="s">
        <v>68</v>
      </c>
      <c r="C122" s="29" t="s">
        <v>6</v>
      </c>
      <c r="D122" s="29" t="s">
        <v>327</v>
      </c>
      <c r="E122" s="29">
        <v>3646.7899999999986</v>
      </c>
      <c r="F122" s="22"/>
      <c r="G122" s="29">
        <v>180</v>
      </c>
      <c r="H122" s="29">
        <v>3826.7899999999986</v>
      </c>
      <c r="I122" s="48" t="s">
        <v>577</v>
      </c>
    </row>
    <row r="123" spans="1:9" outlineLevel="2" x14ac:dyDescent="0.25">
      <c r="B123" s="29" t="s">
        <v>237</v>
      </c>
      <c r="C123" s="29" t="s">
        <v>6</v>
      </c>
      <c r="D123" s="29" t="s">
        <v>346</v>
      </c>
      <c r="E123" s="29">
        <v>3509.7599999999993</v>
      </c>
      <c r="F123" s="22"/>
      <c r="G123" s="29">
        <v>0</v>
      </c>
      <c r="H123" s="29">
        <v>3509.7599999999993</v>
      </c>
      <c r="I123" s="48" t="s">
        <v>577</v>
      </c>
    </row>
    <row r="124" spans="1:9" outlineLevel="2" x14ac:dyDescent="0.25">
      <c r="B124" s="29" t="s">
        <v>30</v>
      </c>
      <c r="C124" s="29" t="s">
        <v>6</v>
      </c>
      <c r="D124" s="29" t="s">
        <v>345</v>
      </c>
      <c r="E124" s="29">
        <v>5216.1200000000008</v>
      </c>
      <c r="F124" s="22"/>
      <c r="G124" s="29">
        <v>244.5</v>
      </c>
      <c r="H124" s="29">
        <v>5460.6200000000008</v>
      </c>
      <c r="I124" s="48" t="s">
        <v>577</v>
      </c>
    </row>
    <row r="125" spans="1:9" outlineLevel="2" x14ac:dyDescent="0.25">
      <c r="B125" s="29" t="s">
        <v>26</v>
      </c>
      <c r="C125" s="29" t="s">
        <v>6</v>
      </c>
      <c r="D125" s="29" t="s">
        <v>342</v>
      </c>
      <c r="E125" s="29">
        <v>2751.71</v>
      </c>
      <c r="F125" s="22">
        <v>900</v>
      </c>
      <c r="G125" s="29">
        <v>0</v>
      </c>
      <c r="H125" s="29">
        <v>3651.71</v>
      </c>
      <c r="I125" s="48" t="s">
        <v>577</v>
      </c>
    </row>
    <row r="126" spans="1:9" outlineLevel="2" x14ac:dyDescent="0.25">
      <c r="B126" s="29" t="s">
        <v>224</v>
      </c>
      <c r="C126" s="29" t="s">
        <v>6</v>
      </c>
      <c r="D126" s="29" t="s">
        <v>335</v>
      </c>
      <c r="E126" s="29">
        <v>2463.8000000000002</v>
      </c>
      <c r="F126" s="22"/>
      <c r="G126" s="29">
        <v>195</v>
      </c>
      <c r="H126" s="29">
        <v>2658.8</v>
      </c>
      <c r="I126" s="48" t="s">
        <v>577</v>
      </c>
    </row>
    <row r="127" spans="1:9" outlineLevel="2" x14ac:dyDescent="0.25">
      <c r="B127" s="29" t="s">
        <v>44</v>
      </c>
      <c r="C127" s="29" t="s">
        <v>6</v>
      </c>
      <c r="D127" s="29" t="s">
        <v>145</v>
      </c>
      <c r="E127" s="29">
        <v>6989.9</v>
      </c>
      <c r="F127" s="22">
        <v>2003</v>
      </c>
      <c r="G127" s="29">
        <v>0</v>
      </c>
      <c r="H127" s="29">
        <v>8992.9</v>
      </c>
      <c r="I127" s="48" t="s">
        <v>577</v>
      </c>
    </row>
    <row r="128" spans="1:9" outlineLevel="2" x14ac:dyDescent="0.25">
      <c r="B128" s="29" t="s">
        <v>239</v>
      </c>
      <c r="C128" s="29" t="s">
        <v>6</v>
      </c>
      <c r="D128" s="29" t="s">
        <v>349</v>
      </c>
      <c r="E128" s="29">
        <v>1891.1999999999998</v>
      </c>
      <c r="F128" s="22"/>
      <c r="G128" s="29">
        <v>0</v>
      </c>
      <c r="H128" s="29">
        <v>1891.1999999999998</v>
      </c>
      <c r="I128" s="48" t="s">
        <v>577</v>
      </c>
    </row>
    <row r="129" spans="1:11" outlineLevel="2" x14ac:dyDescent="0.25">
      <c r="B129" s="29" t="s">
        <v>225</v>
      </c>
      <c r="C129" s="29" t="s">
        <v>6</v>
      </c>
      <c r="D129" s="29" t="s">
        <v>336</v>
      </c>
      <c r="E129" s="29">
        <v>4176.8000000000011</v>
      </c>
      <c r="F129" s="22"/>
      <c r="G129" s="29">
        <v>0</v>
      </c>
      <c r="H129" s="29">
        <v>4176.8000000000011</v>
      </c>
      <c r="I129" s="48" t="s">
        <v>577</v>
      </c>
    </row>
    <row r="130" spans="1:11" outlineLevel="2" x14ac:dyDescent="0.25">
      <c r="B130" s="27" t="s">
        <v>416</v>
      </c>
      <c r="C130" s="29" t="s">
        <v>6</v>
      </c>
      <c r="D130" s="29" t="s">
        <v>352</v>
      </c>
      <c r="E130" s="29">
        <v>4546.2000000000007</v>
      </c>
      <c r="F130" s="22"/>
      <c r="G130" s="29">
        <v>0</v>
      </c>
      <c r="H130" s="29">
        <v>4546.2000000000007</v>
      </c>
      <c r="I130" s="48" t="s">
        <v>577</v>
      </c>
    </row>
    <row r="131" spans="1:11" outlineLevel="2" x14ac:dyDescent="0.25">
      <c r="B131" s="29" t="s">
        <v>495</v>
      </c>
      <c r="C131" s="29" t="s">
        <v>6</v>
      </c>
      <c r="D131" s="29" t="s">
        <v>496</v>
      </c>
      <c r="E131" s="29">
        <v>1803.1900000000003</v>
      </c>
      <c r="F131" s="22"/>
      <c r="G131" s="29">
        <v>0</v>
      </c>
      <c r="H131" s="29">
        <v>1803.1900000000003</v>
      </c>
      <c r="I131" s="48" t="s">
        <v>577</v>
      </c>
    </row>
    <row r="132" spans="1:11" outlineLevel="2" x14ac:dyDescent="0.25">
      <c r="B132" s="29" t="s">
        <v>545</v>
      </c>
      <c r="C132" s="29" t="s">
        <v>58</v>
      </c>
      <c r="D132" s="29" t="s">
        <v>372</v>
      </c>
      <c r="E132" s="29">
        <v>2917.21</v>
      </c>
      <c r="F132" s="22">
        <v>2280</v>
      </c>
      <c r="G132" s="29">
        <v>0</v>
      </c>
      <c r="H132" s="29">
        <v>5197.21</v>
      </c>
      <c r="I132" s="48" t="s">
        <v>577</v>
      </c>
    </row>
    <row r="133" spans="1:11" outlineLevel="2" x14ac:dyDescent="0.25">
      <c r="B133" s="29" t="s">
        <v>227</v>
      </c>
      <c r="C133" s="29" t="s">
        <v>58</v>
      </c>
      <c r="D133" s="29" t="s">
        <v>370</v>
      </c>
      <c r="E133" s="29">
        <v>2254.0000000000009</v>
      </c>
      <c r="F133" s="22"/>
      <c r="G133" s="29">
        <v>0</v>
      </c>
      <c r="H133" s="29">
        <v>2254.0000000000009</v>
      </c>
      <c r="I133" s="48" t="s">
        <v>577</v>
      </c>
    </row>
    <row r="134" spans="1:11" outlineLevel="1" x14ac:dyDescent="0.25">
      <c r="A134" s="52" t="s">
        <v>582</v>
      </c>
      <c r="B134" s="29">
        <f t="shared" ref="B134:I134" si="2">SUBTOTAL(9,B122:B133)</f>
        <v>0</v>
      </c>
      <c r="C134" s="29">
        <f t="shared" si="2"/>
        <v>0</v>
      </c>
      <c r="D134" s="29">
        <f t="shared" si="2"/>
        <v>0</v>
      </c>
      <c r="E134" s="29">
        <f t="shared" si="2"/>
        <v>42166.68</v>
      </c>
      <c r="F134" s="22">
        <f t="shared" si="2"/>
        <v>5183</v>
      </c>
      <c r="G134" s="29">
        <f t="shared" si="2"/>
        <v>619.5</v>
      </c>
      <c r="H134" s="29">
        <f t="shared" si="2"/>
        <v>47969.18</v>
      </c>
      <c r="I134" s="48">
        <f t="shared" si="2"/>
        <v>0</v>
      </c>
    </row>
    <row r="135" spans="1:11" ht="14.25" customHeight="1" x14ac:dyDescent="0.25">
      <c r="B135" s="33"/>
      <c r="C135" s="22"/>
      <c r="D135" s="32" t="s">
        <v>46</v>
      </c>
      <c r="E135" s="32">
        <f>SUM(E134,E121,E117)</f>
        <v>206014.23499999999</v>
      </c>
      <c r="F135" s="32">
        <f>SUM(F134,F121,F117)</f>
        <v>82757.89</v>
      </c>
      <c r="G135" s="32">
        <f>SUM(G134,G121,G117)</f>
        <v>945.14</v>
      </c>
      <c r="H135" s="32">
        <f>SUM(H134,H121,H117)</f>
        <v>289717.26500000013</v>
      </c>
      <c r="I135" s="49"/>
      <c r="J135" s="43"/>
      <c r="K135" s="32"/>
    </row>
    <row r="136" spans="1:11" ht="14.25" customHeight="1" x14ac:dyDescent="0.25">
      <c r="B136" s="33"/>
      <c r="C136" s="22"/>
      <c r="D136" s="32"/>
      <c r="E136" s="32"/>
      <c r="F136" s="32"/>
      <c r="G136" s="32"/>
      <c r="H136" s="32"/>
      <c r="I136" s="49"/>
      <c r="J136" s="43"/>
      <c r="K136" s="32"/>
    </row>
    <row r="137" spans="1:11" ht="14.25" customHeight="1" x14ac:dyDescent="0.25">
      <c r="B137" s="33"/>
      <c r="C137" s="22"/>
      <c r="D137" s="32"/>
      <c r="E137" s="32"/>
      <c r="F137" s="32"/>
      <c r="G137" s="32"/>
      <c r="H137" s="32"/>
      <c r="I137" s="49"/>
      <c r="J137" s="43"/>
      <c r="K137" s="32"/>
    </row>
    <row r="138" spans="1:11" ht="14.25" customHeight="1" x14ac:dyDescent="0.25">
      <c r="B138" s="33"/>
      <c r="C138" s="22"/>
      <c r="D138" s="32"/>
      <c r="E138" s="32"/>
      <c r="F138" s="32"/>
      <c r="G138" s="32"/>
      <c r="H138" s="32"/>
      <c r="I138" s="49"/>
      <c r="J138" s="43"/>
      <c r="K138" s="32"/>
    </row>
    <row r="139" spans="1:11" x14ac:dyDescent="0.25">
      <c r="B139" s="33"/>
      <c r="C139" s="22"/>
      <c r="D139" s="33"/>
      <c r="F139" s="33"/>
      <c r="G139" s="160" t="s">
        <v>578</v>
      </c>
      <c r="H139" s="160"/>
    </row>
    <row r="140" spans="1:11" x14ac:dyDescent="0.25">
      <c r="C140" s="33"/>
      <c r="E140" s="32"/>
      <c r="G140" s="36"/>
      <c r="H140" s="37">
        <f>+H117</f>
        <v>206057.88500000013</v>
      </c>
      <c r="I140" s="50"/>
      <c r="J140" s="44"/>
    </row>
    <row r="141" spans="1:11" x14ac:dyDescent="0.25">
      <c r="B141" s="33"/>
      <c r="C141" s="33"/>
      <c r="D141" s="33"/>
      <c r="G141" s="36" t="s">
        <v>571</v>
      </c>
      <c r="H141" s="37">
        <v>0</v>
      </c>
      <c r="I141" s="50"/>
      <c r="J141" s="44"/>
    </row>
    <row r="142" spans="1:11" x14ac:dyDescent="0.25">
      <c r="B142" s="33"/>
      <c r="D142" s="33"/>
      <c r="G142" s="36"/>
      <c r="H142" s="36">
        <f>+H140+H141</f>
        <v>206057.88500000013</v>
      </c>
      <c r="I142" s="51"/>
      <c r="J142" s="45"/>
    </row>
    <row r="143" spans="1:11" x14ac:dyDescent="0.25">
      <c r="B143" s="33"/>
      <c r="C143" s="33"/>
      <c r="D143" s="33"/>
      <c r="G143" s="36"/>
      <c r="H143" s="36">
        <f>+H142*2%</f>
        <v>4121.1577000000025</v>
      </c>
      <c r="I143" s="51"/>
      <c r="J143" s="45"/>
    </row>
    <row r="144" spans="1:11" x14ac:dyDescent="0.25">
      <c r="B144" s="33"/>
      <c r="C144" s="33"/>
      <c r="D144" s="33"/>
      <c r="E144" s="29">
        <v>0</v>
      </c>
      <c r="G144" s="36"/>
      <c r="H144" s="36">
        <f>+H142+H143</f>
        <v>210179.04270000014</v>
      </c>
      <c r="I144" s="51"/>
      <c r="J144" s="45"/>
    </row>
    <row r="145" spans="3:10" x14ac:dyDescent="0.25">
      <c r="C145" s="33"/>
      <c r="G145" s="36"/>
      <c r="H145" s="37"/>
      <c r="I145" s="50"/>
      <c r="J145" s="44"/>
    </row>
    <row r="146" spans="3:10" x14ac:dyDescent="0.25">
      <c r="C146" s="33"/>
      <c r="G146" s="36"/>
      <c r="H146" s="37"/>
      <c r="I146" s="50"/>
      <c r="J146" s="44"/>
    </row>
    <row r="147" spans="3:10" x14ac:dyDescent="0.25">
      <c r="G147" s="36"/>
      <c r="H147" s="36">
        <f>+H144</f>
        <v>210179.04270000014</v>
      </c>
      <c r="I147" s="51"/>
      <c r="J147" s="45"/>
    </row>
    <row r="148" spans="3:10" x14ac:dyDescent="0.25">
      <c r="G148" s="36"/>
      <c r="H148" s="37">
        <f>+H147*16%</f>
        <v>33628.64683200002</v>
      </c>
      <c r="I148" s="50"/>
      <c r="J148" s="44"/>
    </row>
    <row r="149" spans="3:10" x14ac:dyDescent="0.25">
      <c r="G149" s="36"/>
      <c r="H149" s="36">
        <f>+H147+H148</f>
        <v>243807.68953200016</v>
      </c>
      <c r="I149" s="51"/>
      <c r="J149" s="45"/>
    </row>
    <row r="151" spans="3:10" x14ac:dyDescent="0.25">
      <c r="G151" s="160" t="s">
        <v>586</v>
      </c>
      <c r="H151" s="160"/>
    </row>
    <row r="152" spans="3:10" x14ac:dyDescent="0.25">
      <c r="G152" s="36"/>
      <c r="H152" s="37">
        <f>+H121</f>
        <v>35690.199999999997</v>
      </c>
    </row>
    <row r="153" spans="3:10" x14ac:dyDescent="0.25">
      <c r="G153" s="36" t="s">
        <v>571</v>
      </c>
      <c r="H153" s="37">
        <v>0</v>
      </c>
    </row>
    <row r="154" spans="3:10" x14ac:dyDescent="0.25">
      <c r="G154" s="36"/>
      <c r="H154" s="36">
        <f>+H152+H153</f>
        <v>35690.199999999997</v>
      </c>
    </row>
    <row r="155" spans="3:10" x14ac:dyDescent="0.25">
      <c r="G155" s="36"/>
      <c r="H155" s="36">
        <f>+H154*2%</f>
        <v>713.80399999999997</v>
      </c>
    </row>
    <row r="156" spans="3:10" x14ac:dyDescent="0.25">
      <c r="G156" s="36"/>
      <c r="H156" s="36">
        <f>+H154+H155</f>
        <v>36404.003999999994</v>
      </c>
    </row>
    <row r="157" spans="3:10" x14ac:dyDescent="0.25">
      <c r="G157" s="36"/>
      <c r="H157" s="37"/>
    </row>
    <row r="158" spans="3:10" x14ac:dyDescent="0.25">
      <c r="G158" s="36"/>
      <c r="H158" s="37"/>
    </row>
    <row r="159" spans="3:10" x14ac:dyDescent="0.25">
      <c r="G159" s="36"/>
      <c r="H159" s="36">
        <f>+H156</f>
        <v>36404.003999999994</v>
      </c>
    </row>
    <row r="160" spans="3:10" x14ac:dyDescent="0.25">
      <c r="G160" s="36"/>
      <c r="H160" s="37">
        <f>+H159*16%</f>
        <v>5824.6406399999987</v>
      </c>
    </row>
    <row r="161" spans="7:10" x14ac:dyDescent="0.25">
      <c r="G161" s="36"/>
      <c r="H161" s="36">
        <f>+H159+H160</f>
        <v>42228.644639999991</v>
      </c>
    </row>
    <row r="163" spans="7:10" x14ac:dyDescent="0.25">
      <c r="G163" s="160" t="s">
        <v>577</v>
      </c>
      <c r="H163" s="160"/>
    </row>
    <row r="164" spans="7:10" x14ac:dyDescent="0.25">
      <c r="G164" s="36"/>
      <c r="H164" s="37">
        <f>+H134</f>
        <v>47969.18</v>
      </c>
    </row>
    <row r="165" spans="7:10" x14ac:dyDescent="0.25">
      <c r="G165" s="36" t="s">
        <v>571</v>
      </c>
      <c r="H165" s="37">
        <v>0</v>
      </c>
    </row>
    <row r="166" spans="7:10" x14ac:dyDescent="0.25">
      <c r="G166" s="36"/>
      <c r="H166" s="36">
        <f>+H164+H165</f>
        <v>47969.18</v>
      </c>
    </row>
    <row r="167" spans="7:10" x14ac:dyDescent="0.25">
      <c r="G167" s="36"/>
      <c r="H167" s="36">
        <f>+H166*2%</f>
        <v>959.3836</v>
      </c>
    </row>
    <row r="168" spans="7:10" x14ac:dyDescent="0.25">
      <c r="G168" s="36"/>
      <c r="H168" s="36">
        <f>+H166+H167</f>
        <v>48928.563600000001</v>
      </c>
    </row>
    <row r="169" spans="7:10" x14ac:dyDescent="0.25">
      <c r="G169" s="36"/>
      <c r="H169" s="37"/>
    </row>
    <row r="170" spans="7:10" x14ac:dyDescent="0.25">
      <c r="G170" s="36"/>
      <c r="H170" s="37"/>
    </row>
    <row r="171" spans="7:10" x14ac:dyDescent="0.25">
      <c r="G171" s="36"/>
      <c r="H171" s="36">
        <f>+H168</f>
        <v>48928.563600000001</v>
      </c>
    </row>
    <row r="172" spans="7:10" x14ac:dyDescent="0.25">
      <c r="G172" s="36"/>
      <c r="H172" s="37">
        <f>+H171*16%</f>
        <v>7828.5701760000002</v>
      </c>
      <c r="J172" s="53" t="s">
        <v>587</v>
      </c>
    </row>
    <row r="173" spans="7:10" x14ac:dyDescent="0.25">
      <c r="G173" s="36"/>
      <c r="H173" s="36">
        <f>+H171+H172</f>
        <v>56757.133776000002</v>
      </c>
      <c r="J173" s="53">
        <f>+H173+H161+H149</f>
        <v>342793.46794800018</v>
      </c>
    </row>
  </sheetData>
  <sortState ref="B3:I131">
    <sortCondition ref="I3:I131"/>
  </sortState>
  <mergeCells count="3">
    <mergeCell ref="G139:H139"/>
    <mergeCell ref="G151:H151"/>
    <mergeCell ref="G163:H1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T55"/>
  <sheetViews>
    <sheetView showGridLines="0" zoomScale="80" zoomScaleNormal="80" workbookViewId="0">
      <pane xSplit="2" ySplit="8" topLeftCell="AH22" activePane="bottomRight" state="frozen"/>
      <selection activeCell="B76" sqref="B76"/>
      <selection pane="topRight" activeCell="B76" sqref="B76"/>
      <selection pane="bottomLeft" activeCell="B76" sqref="B76"/>
      <selection pane="bottomRight" activeCell="M56" sqref="M56"/>
    </sheetView>
  </sheetViews>
  <sheetFormatPr baseColWidth="10" defaultColWidth="11.42578125" defaultRowHeight="12.75" x14ac:dyDescent="0.2"/>
  <cols>
    <col min="1" max="1" width="12.28515625" style="63" customWidth="1"/>
    <col min="2" max="2" width="42.140625" style="63" customWidth="1"/>
    <col min="3" max="3" width="13" style="63" customWidth="1"/>
    <col min="4" max="4" width="13.7109375" style="63" customWidth="1"/>
    <col min="5" max="6" width="18.42578125" style="63" hidden="1" customWidth="1"/>
    <col min="7" max="9" width="18.42578125" style="63" customWidth="1"/>
    <col min="10" max="10" width="16.28515625" style="96" customWidth="1"/>
    <col min="11" max="13" width="16.28515625" style="63" customWidth="1"/>
    <col min="14" max="14" width="15.7109375" style="63" customWidth="1"/>
    <col min="15" max="18" width="16.140625" style="63" customWidth="1"/>
    <col min="19" max="23" width="15.7109375" style="63" customWidth="1"/>
    <col min="24" max="24" width="17.28515625" style="63" customWidth="1"/>
    <col min="25" max="25" width="17" style="63" customWidth="1"/>
    <col min="26" max="42" width="15.7109375" style="63" customWidth="1"/>
    <col min="43" max="43" width="17.140625" style="63" customWidth="1"/>
    <col min="44" max="16384" width="11.42578125" style="63"/>
  </cols>
  <sheetData>
    <row r="1" spans="1:43" ht="18" customHeight="1" x14ac:dyDescent="0.2">
      <c r="A1" s="94"/>
      <c r="B1" s="161" t="s">
        <v>177</v>
      </c>
      <c r="C1" s="161"/>
      <c r="D1" s="161"/>
      <c r="E1" s="161"/>
      <c r="F1" s="161"/>
      <c r="G1" s="162"/>
      <c r="H1" s="95"/>
      <c r="I1" s="95"/>
    </row>
    <row r="2" spans="1:43" ht="24.95" customHeight="1" x14ac:dyDescent="0.2">
      <c r="A2" s="97"/>
      <c r="B2" s="163" t="s">
        <v>0</v>
      </c>
      <c r="C2" s="163"/>
      <c r="D2" s="163"/>
      <c r="E2" s="163"/>
      <c r="F2" s="163"/>
      <c r="G2" s="164"/>
      <c r="H2" s="98"/>
      <c r="I2" s="98"/>
    </row>
    <row r="3" spans="1:43" x14ac:dyDescent="0.2">
      <c r="B3" s="165" t="s">
        <v>178</v>
      </c>
      <c r="C3" s="165"/>
      <c r="D3" s="165"/>
      <c r="E3" s="165"/>
      <c r="F3" s="165"/>
      <c r="G3" s="165"/>
      <c r="H3" s="95"/>
      <c r="I3" s="95"/>
    </row>
    <row r="4" spans="1:43" x14ac:dyDescent="0.2">
      <c r="B4" s="99" t="s">
        <v>179</v>
      </c>
      <c r="C4" s="99"/>
      <c r="D4" s="99"/>
      <c r="E4" s="99"/>
      <c r="F4" s="99"/>
      <c r="G4" s="99"/>
      <c r="H4" s="95"/>
      <c r="I4" s="95"/>
    </row>
    <row r="5" spans="1:43" x14ac:dyDescent="0.2">
      <c r="B5" s="165" t="s">
        <v>180</v>
      </c>
      <c r="C5" s="165"/>
      <c r="D5" s="165"/>
      <c r="E5" s="165"/>
      <c r="F5" s="165"/>
      <c r="G5" s="165"/>
      <c r="H5" s="67"/>
      <c r="I5" s="67"/>
    </row>
    <row r="6" spans="1:43" x14ac:dyDescent="0.2">
      <c r="H6" s="67"/>
      <c r="I6" s="67"/>
    </row>
    <row r="8" spans="1:43" s="98" customFormat="1" ht="26.25" thickBot="1" x14ac:dyDescent="0.3">
      <c r="A8" s="64" t="s">
        <v>181</v>
      </c>
      <c r="B8" s="64" t="s">
        <v>182</v>
      </c>
      <c r="C8" s="64" t="s">
        <v>399</v>
      </c>
      <c r="D8" s="64" t="s">
        <v>421</v>
      </c>
      <c r="E8" s="64" t="s">
        <v>588</v>
      </c>
      <c r="F8" s="64" t="s">
        <v>589</v>
      </c>
      <c r="G8" s="64" t="s">
        <v>147</v>
      </c>
      <c r="H8" s="64" t="s">
        <v>394</v>
      </c>
      <c r="I8" s="64" t="s">
        <v>395</v>
      </c>
      <c r="J8" s="64" t="s">
        <v>148</v>
      </c>
      <c r="K8" s="64" t="s">
        <v>149</v>
      </c>
      <c r="L8" s="64" t="s">
        <v>150</v>
      </c>
      <c r="M8" s="65" t="s">
        <v>151</v>
      </c>
      <c r="N8" s="64" t="s">
        <v>152</v>
      </c>
      <c r="O8" s="64" t="s">
        <v>153</v>
      </c>
      <c r="P8" s="64" t="s">
        <v>154</v>
      </c>
      <c r="Q8" s="64" t="s">
        <v>539</v>
      </c>
      <c r="R8" s="64" t="s">
        <v>155</v>
      </c>
      <c r="S8" s="64" t="s">
        <v>541</v>
      </c>
      <c r="T8" s="64" t="s">
        <v>540</v>
      </c>
      <c r="U8" s="64" t="s">
        <v>326</v>
      </c>
      <c r="V8" s="64" t="s">
        <v>146</v>
      </c>
      <c r="W8" s="64" t="s">
        <v>156</v>
      </c>
      <c r="X8" s="65" t="s">
        <v>157</v>
      </c>
      <c r="Y8" s="66" t="s">
        <v>158</v>
      </c>
      <c r="Z8" s="64" t="s">
        <v>161</v>
      </c>
      <c r="AA8" s="64" t="s">
        <v>162</v>
      </c>
      <c r="AB8" s="64" t="s">
        <v>163</v>
      </c>
      <c r="AC8" s="64" t="s">
        <v>159</v>
      </c>
      <c r="AD8" s="64" t="s">
        <v>160</v>
      </c>
      <c r="AE8" s="64" t="s">
        <v>660</v>
      </c>
      <c r="AF8" s="64" t="s">
        <v>164</v>
      </c>
      <c r="AG8" s="64" t="s">
        <v>165</v>
      </c>
      <c r="AH8" s="64" t="s">
        <v>166</v>
      </c>
      <c r="AI8" s="64" t="s">
        <v>167</v>
      </c>
      <c r="AJ8" s="64" t="s">
        <v>168</v>
      </c>
      <c r="AK8" s="64" t="s">
        <v>169</v>
      </c>
      <c r="AL8" s="64" t="s">
        <v>170</v>
      </c>
      <c r="AM8" s="64" t="s">
        <v>171</v>
      </c>
      <c r="AN8" s="64" t="s">
        <v>172</v>
      </c>
      <c r="AO8" s="64" t="s">
        <v>173</v>
      </c>
      <c r="AP8" s="64" t="s">
        <v>666</v>
      </c>
      <c r="AQ8" s="64" t="s">
        <v>653</v>
      </c>
    </row>
    <row r="9" spans="1:43" ht="13.5" thickTop="1" x14ac:dyDescent="0.2">
      <c r="A9" s="63" t="s">
        <v>10</v>
      </c>
      <c r="B9" s="63" t="s">
        <v>331</v>
      </c>
      <c r="C9" s="63">
        <v>15</v>
      </c>
      <c r="D9" s="63">
        <v>0</v>
      </c>
      <c r="E9" s="63">
        <v>141.66999999999999</v>
      </c>
      <c r="F9" s="63">
        <v>150.25</v>
      </c>
      <c r="G9" s="63">
        <v>2125.0500000000002</v>
      </c>
      <c r="H9" s="68">
        <v>0</v>
      </c>
      <c r="I9" s="68">
        <v>0</v>
      </c>
      <c r="J9" s="68">
        <v>212.51</v>
      </c>
      <c r="K9" s="68">
        <v>212.51</v>
      </c>
      <c r="L9" s="68">
        <v>212.51</v>
      </c>
      <c r="M9" s="68">
        <v>2762.58</v>
      </c>
      <c r="N9" s="68">
        <v>0</v>
      </c>
      <c r="O9" s="79">
        <v>-65.5</v>
      </c>
      <c r="P9" s="68">
        <v>53.52</v>
      </c>
      <c r="Q9" s="68">
        <v>0</v>
      </c>
      <c r="R9" s="68">
        <v>0</v>
      </c>
      <c r="S9" s="68"/>
      <c r="T9" s="68"/>
      <c r="U9" s="68"/>
      <c r="V9" s="68">
        <v>0</v>
      </c>
      <c r="W9" s="68">
        <v>0.16</v>
      </c>
      <c r="X9" s="68">
        <v>-11.82</v>
      </c>
      <c r="Y9" s="68">
        <v>2774.4</v>
      </c>
      <c r="Z9" s="68">
        <v>14.09</v>
      </c>
      <c r="AA9" s="68">
        <v>25.35</v>
      </c>
      <c r="AB9" s="68">
        <v>14.08</v>
      </c>
      <c r="AC9" s="79">
        <v>-188.71</v>
      </c>
      <c r="AD9" s="68">
        <v>123.22</v>
      </c>
      <c r="AE9" s="68"/>
      <c r="AF9" s="68">
        <v>39.44</v>
      </c>
      <c r="AG9" s="68">
        <v>70.989999999999995</v>
      </c>
      <c r="AH9" s="68">
        <v>297.98</v>
      </c>
      <c r="AI9" s="68">
        <v>2762.58</v>
      </c>
      <c r="AJ9" s="68">
        <v>240.44</v>
      </c>
      <c r="AK9" s="68">
        <v>55.25</v>
      </c>
      <c r="AL9" s="68">
        <v>12.91</v>
      </c>
      <c r="AM9" s="68">
        <v>408.41</v>
      </c>
      <c r="AN9" s="68">
        <v>112.69</v>
      </c>
      <c r="AO9" s="68">
        <v>217.9</v>
      </c>
      <c r="AP9" s="68">
        <v>151.2739568502902</v>
      </c>
      <c r="AQ9" s="63" t="s">
        <v>651</v>
      </c>
    </row>
    <row r="10" spans="1:43" x14ac:dyDescent="0.2">
      <c r="A10" s="63" t="s">
        <v>68</v>
      </c>
      <c r="B10" s="63" t="s">
        <v>327</v>
      </c>
      <c r="C10" s="63">
        <v>15</v>
      </c>
      <c r="D10" s="63">
        <v>0</v>
      </c>
      <c r="E10" s="63">
        <v>300</v>
      </c>
      <c r="F10" s="63">
        <v>313.56</v>
      </c>
      <c r="G10" s="63">
        <v>4500</v>
      </c>
      <c r="H10" s="68">
        <v>0</v>
      </c>
      <c r="I10" s="68">
        <v>0</v>
      </c>
      <c r="J10" s="68">
        <v>450</v>
      </c>
      <c r="K10" s="68">
        <v>450</v>
      </c>
      <c r="L10" s="68">
        <v>450</v>
      </c>
      <c r="M10" s="68">
        <v>5850</v>
      </c>
      <c r="N10" s="68">
        <v>380.67</v>
      </c>
      <c r="O10" s="68">
        <v>0</v>
      </c>
      <c r="P10" s="68">
        <v>115.32</v>
      </c>
      <c r="Q10" s="68">
        <v>0</v>
      </c>
      <c r="R10" s="68">
        <v>1320.68</v>
      </c>
      <c r="S10" s="68"/>
      <c r="T10" s="68"/>
      <c r="U10" s="68"/>
      <c r="V10" s="68">
        <v>0</v>
      </c>
      <c r="W10" s="68">
        <v>-7.0000000000000007E-2</v>
      </c>
      <c r="X10" s="68">
        <v>1816.6</v>
      </c>
      <c r="Y10" s="68">
        <v>4033.4</v>
      </c>
      <c r="Z10" s="68">
        <v>29.4</v>
      </c>
      <c r="AA10" s="68">
        <v>52.91</v>
      </c>
      <c r="AB10" s="68">
        <v>33.01</v>
      </c>
      <c r="AC10" s="68">
        <v>0</v>
      </c>
      <c r="AD10" s="68">
        <v>380.67</v>
      </c>
      <c r="AE10" s="68"/>
      <c r="AF10" s="68">
        <v>82.31</v>
      </c>
      <c r="AG10" s="68">
        <v>148.16</v>
      </c>
      <c r="AH10" s="68">
        <v>350.77</v>
      </c>
      <c r="AI10" s="68">
        <v>5850</v>
      </c>
      <c r="AJ10" s="68">
        <v>289.43</v>
      </c>
      <c r="AK10" s="68">
        <v>117</v>
      </c>
      <c r="AL10" s="68">
        <v>26.95</v>
      </c>
      <c r="AM10" s="68">
        <v>581.24</v>
      </c>
      <c r="AN10" s="68">
        <v>235.17</v>
      </c>
      <c r="AO10" s="68">
        <v>242.39000000000001</v>
      </c>
      <c r="AP10" s="68">
        <v>320.33731245208628</v>
      </c>
      <c r="AQ10" s="63" t="s">
        <v>652</v>
      </c>
    </row>
    <row r="11" spans="1:43" x14ac:dyDescent="0.2">
      <c r="A11" s="63" t="s">
        <v>12</v>
      </c>
      <c r="B11" s="63" t="s">
        <v>332</v>
      </c>
      <c r="C11" s="63">
        <v>15</v>
      </c>
      <c r="D11" s="63">
        <v>0</v>
      </c>
      <c r="E11" s="63">
        <v>150</v>
      </c>
      <c r="F11" s="63">
        <v>159.07</v>
      </c>
      <c r="G11" s="63">
        <v>2250</v>
      </c>
      <c r="H11" s="68">
        <v>0</v>
      </c>
      <c r="I11" s="68">
        <v>0</v>
      </c>
      <c r="J11" s="68">
        <v>225</v>
      </c>
      <c r="K11" s="68">
        <v>225</v>
      </c>
      <c r="L11" s="68">
        <v>225</v>
      </c>
      <c r="M11" s="68">
        <v>2925</v>
      </c>
      <c r="N11" s="68">
        <v>0</v>
      </c>
      <c r="O11" s="79">
        <v>-43.57</v>
      </c>
      <c r="P11" s="68">
        <v>56.67</v>
      </c>
      <c r="Q11" s="68">
        <v>0</v>
      </c>
      <c r="R11" s="68">
        <v>0</v>
      </c>
      <c r="S11" s="68"/>
      <c r="T11" s="68"/>
      <c r="U11" s="68"/>
      <c r="V11" s="68">
        <v>0</v>
      </c>
      <c r="W11" s="68">
        <v>0.1</v>
      </c>
      <c r="X11" s="68">
        <v>13.2</v>
      </c>
      <c r="Y11" s="68">
        <v>2911.8</v>
      </c>
      <c r="Z11" s="68">
        <v>14.91</v>
      </c>
      <c r="AA11" s="68">
        <v>26.84</v>
      </c>
      <c r="AB11" s="68">
        <v>14.92</v>
      </c>
      <c r="AC11" s="79">
        <v>-174.78</v>
      </c>
      <c r="AD11" s="68">
        <v>131.21</v>
      </c>
      <c r="AE11" s="68"/>
      <c r="AF11" s="68">
        <v>41.76</v>
      </c>
      <c r="AG11" s="68">
        <v>75.16</v>
      </c>
      <c r="AH11" s="68">
        <v>300.29000000000002</v>
      </c>
      <c r="AI11" s="68">
        <v>2925</v>
      </c>
      <c r="AJ11" s="68">
        <v>243.08</v>
      </c>
      <c r="AK11" s="68">
        <v>58.5</v>
      </c>
      <c r="AL11" s="68">
        <v>13.67</v>
      </c>
      <c r="AM11" s="68">
        <v>417.21</v>
      </c>
      <c r="AN11" s="68">
        <v>119.31</v>
      </c>
      <c r="AO11" s="68">
        <v>219.22000000000003</v>
      </c>
      <c r="AP11" s="68">
        <v>160.16865622604314</v>
      </c>
      <c r="AQ11" s="63" t="s">
        <v>651</v>
      </c>
    </row>
    <row r="12" spans="1:43" x14ac:dyDescent="0.2">
      <c r="A12" s="63" t="s">
        <v>223</v>
      </c>
      <c r="B12" s="63" t="s">
        <v>334</v>
      </c>
      <c r="C12" s="63">
        <v>15</v>
      </c>
      <c r="D12" s="63">
        <v>0</v>
      </c>
      <c r="E12" s="63">
        <v>666.67</v>
      </c>
      <c r="F12" s="63">
        <v>696.81</v>
      </c>
      <c r="G12" s="63">
        <v>10000.049999999999</v>
      </c>
      <c r="H12" s="68">
        <v>0</v>
      </c>
      <c r="I12" s="68">
        <v>0</v>
      </c>
      <c r="J12" s="68">
        <v>1000</v>
      </c>
      <c r="K12" s="68">
        <v>1000</v>
      </c>
      <c r="L12" s="68">
        <v>1000</v>
      </c>
      <c r="M12" s="68">
        <v>13000.05</v>
      </c>
      <c r="N12" s="68">
        <v>1497.79</v>
      </c>
      <c r="O12" s="68">
        <v>0</v>
      </c>
      <c r="P12" s="68">
        <v>274.85000000000002</v>
      </c>
      <c r="Q12" s="68">
        <v>0</v>
      </c>
      <c r="R12" s="68">
        <v>0</v>
      </c>
      <c r="S12" s="68"/>
      <c r="T12" s="68"/>
      <c r="U12" s="68"/>
      <c r="V12" s="68">
        <v>0</v>
      </c>
      <c r="W12" s="79">
        <v>0.01</v>
      </c>
      <c r="X12" s="68">
        <v>1772.65</v>
      </c>
      <c r="Y12" s="68">
        <v>11227.4</v>
      </c>
      <c r="Z12" s="68">
        <v>65.33</v>
      </c>
      <c r="AA12" s="68">
        <v>117.59</v>
      </c>
      <c r="AB12" s="68">
        <v>91.93</v>
      </c>
      <c r="AC12" s="68">
        <v>0</v>
      </c>
      <c r="AD12" s="68">
        <v>1497.79</v>
      </c>
      <c r="AE12" s="68"/>
      <c r="AF12" s="68">
        <v>182.91</v>
      </c>
      <c r="AG12" s="68">
        <v>329.24</v>
      </c>
      <c r="AH12" s="68">
        <v>514.6</v>
      </c>
      <c r="AI12" s="68">
        <v>13000.05</v>
      </c>
      <c r="AJ12" s="68">
        <v>404.4</v>
      </c>
      <c r="AK12" s="68">
        <v>260</v>
      </c>
      <c r="AL12" s="68">
        <v>59.88</v>
      </c>
      <c r="AM12" s="68">
        <v>1026.75</v>
      </c>
      <c r="AN12" s="68">
        <v>522.61</v>
      </c>
      <c r="AO12" s="68">
        <v>299.88</v>
      </c>
      <c r="AP12" s="68">
        <v>711.86425364144111</v>
      </c>
      <c r="AQ12" s="63" t="s">
        <v>651</v>
      </c>
    </row>
    <row r="13" spans="1:43" x14ac:dyDescent="0.2">
      <c r="A13" s="63" t="s">
        <v>224</v>
      </c>
      <c r="B13" s="63" t="s">
        <v>335</v>
      </c>
      <c r="C13" s="63">
        <v>15</v>
      </c>
      <c r="D13" s="63">
        <v>0</v>
      </c>
      <c r="E13" s="63">
        <v>216.67</v>
      </c>
      <c r="F13" s="63">
        <v>229.79</v>
      </c>
      <c r="G13" s="63">
        <v>3250.05</v>
      </c>
      <c r="H13" s="68">
        <v>0</v>
      </c>
      <c r="I13" s="68">
        <v>0</v>
      </c>
      <c r="J13" s="68">
        <v>325.01</v>
      </c>
      <c r="K13" s="68">
        <v>325.01</v>
      </c>
      <c r="L13" s="68">
        <v>325.01</v>
      </c>
      <c r="M13" s="68">
        <v>4225.08</v>
      </c>
      <c r="N13" s="68">
        <v>107.17</v>
      </c>
      <c r="O13" s="68">
        <v>0</v>
      </c>
      <c r="P13" s="68">
        <v>81.87</v>
      </c>
      <c r="Q13" s="68">
        <v>0</v>
      </c>
      <c r="R13" s="68">
        <v>0</v>
      </c>
      <c r="S13" s="68"/>
      <c r="T13" s="68"/>
      <c r="U13" s="68"/>
      <c r="V13" s="68">
        <v>0</v>
      </c>
      <c r="W13" s="68">
        <v>0.04</v>
      </c>
      <c r="X13" s="68">
        <v>189.08</v>
      </c>
      <c r="Y13" s="68">
        <v>4036</v>
      </c>
      <c r="Z13" s="68">
        <v>21.54</v>
      </c>
      <c r="AA13" s="68">
        <v>38.78</v>
      </c>
      <c r="AB13" s="68">
        <v>21.55</v>
      </c>
      <c r="AC13" s="79">
        <v>-125.1</v>
      </c>
      <c r="AD13" s="68">
        <v>232.27</v>
      </c>
      <c r="AE13" s="68"/>
      <c r="AF13" s="68">
        <v>60.32</v>
      </c>
      <c r="AG13" s="68">
        <v>108.58</v>
      </c>
      <c r="AH13" s="68">
        <v>318.86</v>
      </c>
      <c r="AI13" s="68">
        <v>4225.08</v>
      </c>
      <c r="AJ13" s="68">
        <v>264.3</v>
      </c>
      <c r="AK13" s="68">
        <v>84.5</v>
      </c>
      <c r="AL13" s="68">
        <v>19.75</v>
      </c>
      <c r="AM13" s="68">
        <v>487.76</v>
      </c>
      <c r="AN13" s="68">
        <v>172.34</v>
      </c>
      <c r="AO13" s="68">
        <v>229.83</v>
      </c>
      <c r="AP13" s="68">
        <v>231.35828496331177</v>
      </c>
      <c r="AQ13" s="63" t="s">
        <v>651</v>
      </c>
    </row>
    <row r="14" spans="1:43" x14ac:dyDescent="0.2">
      <c r="A14" s="63" t="s">
        <v>225</v>
      </c>
      <c r="B14" s="63" t="s">
        <v>336</v>
      </c>
      <c r="C14" s="63">
        <v>15</v>
      </c>
      <c r="D14" s="63">
        <v>0</v>
      </c>
      <c r="E14" s="63">
        <v>283.33</v>
      </c>
      <c r="F14" s="63">
        <v>300.49</v>
      </c>
      <c r="G14" s="63">
        <v>4249.95</v>
      </c>
      <c r="H14" s="68">
        <v>0</v>
      </c>
      <c r="I14" s="68">
        <v>0</v>
      </c>
      <c r="J14" s="68">
        <v>425</v>
      </c>
      <c r="K14" s="68">
        <v>425</v>
      </c>
      <c r="L14" s="68">
        <v>425</v>
      </c>
      <c r="M14" s="68">
        <v>5524.95</v>
      </c>
      <c r="N14" s="68">
        <v>341.06</v>
      </c>
      <c r="O14" s="68">
        <v>0</v>
      </c>
      <c r="P14" s="68">
        <v>109.87</v>
      </c>
      <c r="Q14" s="68">
        <v>0</v>
      </c>
      <c r="R14" s="68">
        <v>0</v>
      </c>
      <c r="S14" s="68"/>
      <c r="T14" s="68"/>
      <c r="U14" s="68"/>
      <c r="V14" s="68">
        <v>0</v>
      </c>
      <c r="W14" s="68">
        <v>0.02</v>
      </c>
      <c r="X14" s="68">
        <v>450.95</v>
      </c>
      <c r="Y14" s="68">
        <v>5074</v>
      </c>
      <c r="Z14" s="68">
        <v>28.17</v>
      </c>
      <c r="AA14" s="68">
        <v>50.71</v>
      </c>
      <c r="AB14" s="68">
        <v>30.99</v>
      </c>
      <c r="AC14" s="68">
        <v>0</v>
      </c>
      <c r="AD14" s="68">
        <v>341.06</v>
      </c>
      <c r="AE14" s="68"/>
      <c r="AF14" s="68">
        <v>78.88</v>
      </c>
      <c r="AG14" s="68">
        <v>141.97999999999999</v>
      </c>
      <c r="AH14" s="68">
        <v>345.18</v>
      </c>
      <c r="AI14" s="68">
        <v>5524.95</v>
      </c>
      <c r="AJ14" s="68">
        <v>285.51</v>
      </c>
      <c r="AK14" s="68">
        <v>110.5</v>
      </c>
      <c r="AL14" s="68">
        <v>25.82</v>
      </c>
      <c r="AM14" s="68">
        <v>566.04</v>
      </c>
      <c r="AN14" s="68">
        <v>225.37</v>
      </c>
      <c r="AO14" s="68">
        <v>240.43</v>
      </c>
      <c r="AP14" s="68">
        <v>302.53723579016531</v>
      </c>
      <c r="AQ14" s="60" t="s">
        <v>651</v>
      </c>
    </row>
    <row r="15" spans="1:43" x14ac:dyDescent="0.2">
      <c r="A15" s="63" t="s">
        <v>16</v>
      </c>
      <c r="B15" s="63" t="s">
        <v>337</v>
      </c>
      <c r="C15" s="63">
        <v>15</v>
      </c>
      <c r="D15" s="63">
        <v>0</v>
      </c>
      <c r="E15" s="63">
        <v>273.33</v>
      </c>
      <c r="F15" s="63">
        <v>289.87</v>
      </c>
      <c r="G15" s="63">
        <v>4099.95</v>
      </c>
      <c r="H15" s="68">
        <v>0</v>
      </c>
      <c r="I15" s="68">
        <v>0</v>
      </c>
      <c r="J15" s="68">
        <v>410</v>
      </c>
      <c r="K15" s="68">
        <v>410</v>
      </c>
      <c r="L15" s="68">
        <v>410</v>
      </c>
      <c r="M15" s="68">
        <v>5329.95</v>
      </c>
      <c r="N15" s="68">
        <v>324.74</v>
      </c>
      <c r="O15" s="68">
        <v>0</v>
      </c>
      <c r="P15" s="68">
        <v>105.46</v>
      </c>
      <c r="Q15" s="68">
        <v>0</v>
      </c>
      <c r="R15" s="68">
        <v>0</v>
      </c>
      <c r="S15" s="68"/>
      <c r="T15" s="68"/>
      <c r="U15" s="68"/>
      <c r="V15" s="68">
        <v>0</v>
      </c>
      <c r="W15" s="68">
        <v>0.15</v>
      </c>
      <c r="X15" s="68">
        <v>430.35</v>
      </c>
      <c r="Y15" s="68">
        <v>4899.6000000000004</v>
      </c>
      <c r="Z15" s="68">
        <v>27.18</v>
      </c>
      <c r="AA15" s="68">
        <v>48.92</v>
      </c>
      <c r="AB15" s="68">
        <v>29.36</v>
      </c>
      <c r="AC15" s="68">
        <v>0</v>
      </c>
      <c r="AD15" s="68">
        <v>324.74</v>
      </c>
      <c r="AE15" s="68"/>
      <c r="AF15" s="68">
        <v>76.09</v>
      </c>
      <c r="AG15" s="68">
        <v>136.96</v>
      </c>
      <c r="AH15" s="68">
        <v>340.64</v>
      </c>
      <c r="AI15" s="68">
        <v>5329.95</v>
      </c>
      <c r="AJ15" s="68">
        <v>282.32</v>
      </c>
      <c r="AK15" s="68">
        <v>106.6</v>
      </c>
      <c r="AL15" s="68">
        <v>24.91</v>
      </c>
      <c r="AM15" s="68">
        <v>553.69000000000005</v>
      </c>
      <c r="AN15" s="68">
        <v>217.4</v>
      </c>
      <c r="AO15" s="68">
        <v>238.84</v>
      </c>
      <c r="AP15" s="68">
        <v>291.85932537509575</v>
      </c>
      <c r="AQ15" s="60" t="s">
        <v>651</v>
      </c>
    </row>
    <row r="16" spans="1:43" x14ac:dyDescent="0.2">
      <c r="A16" s="63" t="s">
        <v>18</v>
      </c>
      <c r="B16" s="63" t="s">
        <v>338</v>
      </c>
      <c r="C16" s="63">
        <v>15</v>
      </c>
      <c r="D16" s="63">
        <v>0</v>
      </c>
      <c r="E16" s="63">
        <v>185.83</v>
      </c>
      <c r="F16" s="63">
        <v>197.07</v>
      </c>
      <c r="G16" s="63">
        <v>2787.45</v>
      </c>
      <c r="H16" s="68">
        <v>0</v>
      </c>
      <c r="I16" s="68">
        <v>0</v>
      </c>
      <c r="J16" s="68">
        <v>278.75</v>
      </c>
      <c r="K16" s="68">
        <v>278.75</v>
      </c>
      <c r="L16" s="68">
        <v>278.75</v>
      </c>
      <c r="M16" s="68">
        <v>3623.7</v>
      </c>
      <c r="N16" s="68">
        <v>36.57</v>
      </c>
      <c r="O16" s="68">
        <v>0</v>
      </c>
      <c r="P16" s="68">
        <v>70.22</v>
      </c>
      <c r="Q16" s="68">
        <v>0</v>
      </c>
      <c r="R16" s="68">
        <v>1559.39</v>
      </c>
      <c r="S16" s="68"/>
      <c r="T16" s="68"/>
      <c r="U16" s="68"/>
      <c r="V16" s="68">
        <v>224.7</v>
      </c>
      <c r="W16" s="68">
        <v>-0.18</v>
      </c>
      <c r="X16" s="68">
        <v>1890.7</v>
      </c>
      <c r="Y16" s="68">
        <v>1733</v>
      </c>
      <c r="Z16" s="68">
        <v>18.48</v>
      </c>
      <c r="AA16" s="68">
        <v>33.26</v>
      </c>
      <c r="AB16" s="68">
        <v>18.48</v>
      </c>
      <c r="AC16" s="79">
        <v>-145.38</v>
      </c>
      <c r="AD16" s="68">
        <v>181.94</v>
      </c>
      <c r="AE16" s="68"/>
      <c r="AF16" s="68">
        <v>51.73</v>
      </c>
      <c r="AG16" s="68">
        <v>93.12</v>
      </c>
      <c r="AH16" s="68">
        <v>310.27</v>
      </c>
      <c r="AI16" s="68">
        <v>3623.7</v>
      </c>
      <c r="AJ16" s="68">
        <v>254.48000000000002</v>
      </c>
      <c r="AK16" s="68">
        <v>72.47</v>
      </c>
      <c r="AL16" s="68">
        <v>16.940000000000001</v>
      </c>
      <c r="AM16" s="68">
        <v>455.12</v>
      </c>
      <c r="AN16" s="68">
        <v>147.80000000000001</v>
      </c>
      <c r="AO16" s="68">
        <v>224.92000000000002</v>
      </c>
      <c r="AP16" s="68">
        <v>198.42760924323733</v>
      </c>
      <c r="AQ16" s="63" t="s">
        <v>651</v>
      </c>
    </row>
    <row r="17" spans="1:46" x14ac:dyDescent="0.2">
      <c r="A17" s="63" t="s">
        <v>20</v>
      </c>
      <c r="B17" s="63" t="s">
        <v>339</v>
      </c>
      <c r="C17" s="63">
        <v>14</v>
      </c>
      <c r="D17" s="63">
        <v>1</v>
      </c>
      <c r="E17" s="63">
        <v>273.33</v>
      </c>
      <c r="F17" s="63">
        <v>289.87</v>
      </c>
      <c r="G17" s="63">
        <v>3826.62</v>
      </c>
      <c r="H17" s="68">
        <v>273.33</v>
      </c>
      <c r="I17" s="68">
        <v>82</v>
      </c>
      <c r="J17" s="68">
        <v>410</v>
      </c>
      <c r="K17" s="68">
        <v>410</v>
      </c>
      <c r="L17" s="68">
        <v>410</v>
      </c>
      <c r="M17" s="68">
        <v>5411.95</v>
      </c>
      <c r="N17" s="68">
        <v>324.74</v>
      </c>
      <c r="O17" s="68">
        <v>0</v>
      </c>
      <c r="P17" s="68">
        <v>105.46</v>
      </c>
      <c r="Q17" s="68">
        <v>0</v>
      </c>
      <c r="R17" s="68">
        <v>0</v>
      </c>
      <c r="S17" s="68"/>
      <c r="T17" s="68"/>
      <c r="U17" s="68"/>
      <c r="V17" s="68">
        <v>0</v>
      </c>
      <c r="W17" s="79">
        <v>0.15</v>
      </c>
      <c r="X17" s="68">
        <v>430.35</v>
      </c>
      <c r="Y17" s="68">
        <v>4981.6000000000004</v>
      </c>
      <c r="Z17" s="68">
        <v>27.18</v>
      </c>
      <c r="AA17" s="68">
        <v>48.92</v>
      </c>
      <c r="AB17" s="68">
        <v>29.36</v>
      </c>
      <c r="AC17" s="68">
        <v>0</v>
      </c>
      <c r="AD17" s="68">
        <v>324.74</v>
      </c>
      <c r="AE17" s="68"/>
      <c r="AF17" s="68">
        <v>76.09</v>
      </c>
      <c r="AG17" s="68">
        <v>136.96</v>
      </c>
      <c r="AH17" s="68">
        <v>340.64</v>
      </c>
      <c r="AI17" s="68">
        <v>5411.95</v>
      </c>
      <c r="AJ17" s="68">
        <v>282.32</v>
      </c>
      <c r="AK17" s="68">
        <v>108.24</v>
      </c>
      <c r="AL17" s="68">
        <v>24.91</v>
      </c>
      <c r="AM17" s="68">
        <v>553.69000000000005</v>
      </c>
      <c r="AN17" s="68">
        <v>217.4</v>
      </c>
      <c r="AO17" s="68">
        <v>238.84</v>
      </c>
      <c r="AP17" s="68">
        <v>291.85932537509575</v>
      </c>
      <c r="AQ17" s="63" t="s">
        <v>651</v>
      </c>
    </row>
    <row r="18" spans="1:46" x14ac:dyDescent="0.2">
      <c r="A18" s="63" t="s">
        <v>22</v>
      </c>
      <c r="B18" s="63" t="s">
        <v>340</v>
      </c>
      <c r="C18" s="63">
        <v>15</v>
      </c>
      <c r="D18" s="63">
        <v>0</v>
      </c>
      <c r="E18" s="63">
        <v>185.83</v>
      </c>
      <c r="F18" s="63">
        <v>197.07</v>
      </c>
      <c r="G18" s="63">
        <v>2787.45</v>
      </c>
      <c r="H18" s="68">
        <v>0</v>
      </c>
      <c r="I18" s="68">
        <v>0</v>
      </c>
      <c r="J18" s="68">
        <v>278.75</v>
      </c>
      <c r="K18" s="68">
        <v>278.75</v>
      </c>
      <c r="L18" s="68">
        <v>278.75</v>
      </c>
      <c r="M18" s="68">
        <v>3623.7</v>
      </c>
      <c r="N18" s="68">
        <v>36.57</v>
      </c>
      <c r="O18" s="68">
        <v>0</v>
      </c>
      <c r="P18" s="68">
        <v>70.22</v>
      </c>
      <c r="Q18" s="68">
        <v>0</v>
      </c>
      <c r="R18" s="68">
        <v>1809.82</v>
      </c>
      <c r="S18" s="68"/>
      <c r="T18" s="68"/>
      <c r="U18" s="68"/>
      <c r="V18" s="68">
        <v>0</v>
      </c>
      <c r="W18" s="79">
        <v>0.09</v>
      </c>
      <c r="X18" s="68">
        <v>1916.7</v>
      </c>
      <c r="Y18" s="68">
        <v>1707</v>
      </c>
      <c r="Z18" s="68">
        <v>18.48</v>
      </c>
      <c r="AA18" s="68">
        <v>33.26</v>
      </c>
      <c r="AB18" s="68">
        <v>18.48</v>
      </c>
      <c r="AC18" s="79">
        <v>-145.38</v>
      </c>
      <c r="AD18" s="68">
        <v>181.94</v>
      </c>
      <c r="AE18" s="68"/>
      <c r="AF18" s="68">
        <v>51.73</v>
      </c>
      <c r="AG18" s="68">
        <v>93.12</v>
      </c>
      <c r="AH18" s="68">
        <v>310.27</v>
      </c>
      <c r="AI18" s="68">
        <v>3623.7</v>
      </c>
      <c r="AJ18" s="68">
        <v>254.48000000000002</v>
      </c>
      <c r="AK18" s="68">
        <v>72.47</v>
      </c>
      <c r="AL18" s="68">
        <v>16.940000000000001</v>
      </c>
      <c r="AM18" s="68">
        <v>455.12</v>
      </c>
      <c r="AN18" s="68">
        <v>147.80000000000001</v>
      </c>
      <c r="AO18" s="68">
        <v>224.92000000000002</v>
      </c>
      <c r="AP18" s="68">
        <v>198.42760924323733</v>
      </c>
      <c r="AQ18" s="63" t="s">
        <v>651</v>
      </c>
    </row>
    <row r="19" spans="1:46" x14ac:dyDescent="0.2">
      <c r="A19" s="63" t="s">
        <v>24</v>
      </c>
      <c r="B19" s="63" t="s">
        <v>341</v>
      </c>
      <c r="C19" s="63">
        <v>15</v>
      </c>
      <c r="D19" s="63">
        <v>0</v>
      </c>
      <c r="E19" s="63">
        <v>220.83</v>
      </c>
      <c r="F19" s="63">
        <v>234.19</v>
      </c>
      <c r="G19" s="63">
        <v>3312.45</v>
      </c>
      <c r="H19" s="68">
        <v>0</v>
      </c>
      <c r="I19" s="68">
        <v>0</v>
      </c>
      <c r="J19" s="68">
        <v>331.25</v>
      </c>
      <c r="K19" s="68">
        <v>331.25</v>
      </c>
      <c r="L19" s="68">
        <v>331.25</v>
      </c>
      <c r="M19" s="68">
        <v>4306.2</v>
      </c>
      <c r="N19" s="68">
        <v>113.96</v>
      </c>
      <c r="O19" s="68">
        <v>0</v>
      </c>
      <c r="P19" s="68">
        <v>83.43</v>
      </c>
      <c r="Q19" s="68">
        <v>0</v>
      </c>
      <c r="R19" s="68">
        <v>1045.17</v>
      </c>
      <c r="S19" s="68"/>
      <c r="T19" s="68"/>
      <c r="U19" s="68"/>
      <c r="V19" s="68">
        <v>0</v>
      </c>
      <c r="W19" s="79">
        <v>-0.16</v>
      </c>
      <c r="X19" s="68">
        <v>1242.4000000000001</v>
      </c>
      <c r="Y19" s="68">
        <v>3063.8</v>
      </c>
      <c r="Z19" s="68">
        <v>21.96</v>
      </c>
      <c r="AA19" s="68">
        <v>39.520000000000003</v>
      </c>
      <c r="AB19" s="68">
        <v>21.95</v>
      </c>
      <c r="AC19" s="79">
        <v>-125.1</v>
      </c>
      <c r="AD19" s="68">
        <v>239.06</v>
      </c>
      <c r="AE19" s="68"/>
      <c r="AF19" s="68">
        <v>61.47</v>
      </c>
      <c r="AG19" s="68">
        <v>110.65</v>
      </c>
      <c r="AH19" s="68">
        <v>320.01</v>
      </c>
      <c r="AI19" s="68">
        <v>4306.2</v>
      </c>
      <c r="AJ19" s="68">
        <v>265.62</v>
      </c>
      <c r="AK19" s="68">
        <v>86.12</v>
      </c>
      <c r="AL19" s="68">
        <v>20.13</v>
      </c>
      <c r="AM19" s="68">
        <v>492.13</v>
      </c>
      <c r="AN19" s="68">
        <v>175.64</v>
      </c>
      <c r="AO19" s="68">
        <v>230.49</v>
      </c>
      <c r="AP19" s="68">
        <v>235.80029569598071</v>
      </c>
      <c r="AQ19" s="63" t="s">
        <v>651</v>
      </c>
    </row>
    <row r="20" spans="1:46" x14ac:dyDescent="0.2">
      <c r="A20" s="63" t="s">
        <v>26</v>
      </c>
      <c r="B20" s="63" t="s">
        <v>342</v>
      </c>
      <c r="C20" s="63">
        <v>15</v>
      </c>
      <c r="D20" s="63">
        <v>0</v>
      </c>
      <c r="E20" s="63">
        <v>264.58</v>
      </c>
      <c r="F20" s="63">
        <v>276.54000000000002</v>
      </c>
      <c r="G20" s="63">
        <v>3968.7</v>
      </c>
      <c r="H20" s="68">
        <v>0</v>
      </c>
      <c r="I20" s="68">
        <v>0</v>
      </c>
      <c r="J20" s="68">
        <v>396.87</v>
      </c>
      <c r="K20" s="68">
        <v>396.87</v>
      </c>
      <c r="L20" s="68">
        <v>396.87</v>
      </c>
      <c r="M20" s="68">
        <v>5159.3100000000004</v>
      </c>
      <c r="N20" s="68">
        <v>310.45999999999998</v>
      </c>
      <c r="O20" s="68">
        <v>0</v>
      </c>
      <c r="P20" s="68">
        <v>99.91</v>
      </c>
      <c r="Q20" s="68">
        <v>0</v>
      </c>
      <c r="R20" s="68">
        <v>1658.56</v>
      </c>
      <c r="S20" s="68"/>
      <c r="T20" s="68"/>
      <c r="U20" s="68"/>
      <c r="V20" s="68">
        <v>396</v>
      </c>
      <c r="W20" s="79">
        <v>-0.02</v>
      </c>
      <c r="X20" s="68">
        <v>2464.91</v>
      </c>
      <c r="Y20" s="68">
        <v>2694.4</v>
      </c>
      <c r="Z20" s="68">
        <v>25.93</v>
      </c>
      <c r="AA20" s="68">
        <v>46.67</v>
      </c>
      <c r="AB20" s="68">
        <v>27.31</v>
      </c>
      <c r="AC20" s="68">
        <v>0</v>
      </c>
      <c r="AD20" s="68">
        <v>310.45999999999998</v>
      </c>
      <c r="AE20" s="68"/>
      <c r="AF20" s="68">
        <v>72.59</v>
      </c>
      <c r="AG20" s="68">
        <v>130.66</v>
      </c>
      <c r="AH20" s="68">
        <v>334.94</v>
      </c>
      <c r="AI20" s="68">
        <v>5159.3100000000004</v>
      </c>
      <c r="AJ20" s="68">
        <v>278.32</v>
      </c>
      <c r="AK20" s="68">
        <v>103.19</v>
      </c>
      <c r="AL20" s="68">
        <v>23.76</v>
      </c>
      <c r="AM20" s="68">
        <v>538.19000000000005</v>
      </c>
      <c r="AN20" s="68">
        <v>207.4</v>
      </c>
      <c r="AO20" s="68">
        <v>236.84</v>
      </c>
      <c r="AP20" s="68">
        <v>282.51615376190989</v>
      </c>
      <c r="AQ20" s="63" t="s">
        <v>651</v>
      </c>
    </row>
    <row r="21" spans="1:46" x14ac:dyDescent="0.2">
      <c r="A21" s="63" t="s">
        <v>28</v>
      </c>
      <c r="B21" s="63" t="s">
        <v>343</v>
      </c>
      <c r="C21" s="63">
        <v>15</v>
      </c>
      <c r="D21" s="63">
        <v>0</v>
      </c>
      <c r="E21" s="63">
        <v>238.33</v>
      </c>
      <c r="F21" s="63">
        <v>252.75</v>
      </c>
      <c r="G21" s="63">
        <v>3574.95</v>
      </c>
      <c r="H21" s="68">
        <v>0</v>
      </c>
      <c r="I21" s="68">
        <v>285.99</v>
      </c>
      <c r="J21" s="68">
        <v>357.5</v>
      </c>
      <c r="K21" s="68">
        <v>357.5</v>
      </c>
      <c r="L21" s="68">
        <v>357.5</v>
      </c>
      <c r="M21" s="68">
        <v>4933.4399999999996</v>
      </c>
      <c r="N21" s="68">
        <v>160.25</v>
      </c>
      <c r="O21" s="68">
        <v>0</v>
      </c>
      <c r="P21" s="68">
        <v>90.05</v>
      </c>
      <c r="Q21" s="68">
        <v>0</v>
      </c>
      <c r="R21" s="68">
        <v>1418.5</v>
      </c>
      <c r="S21" s="68"/>
      <c r="T21" s="68"/>
      <c r="U21" s="68"/>
      <c r="V21" s="68">
        <v>678.02</v>
      </c>
      <c r="W21" s="68">
        <v>0.02</v>
      </c>
      <c r="X21" s="68">
        <v>2346.84</v>
      </c>
      <c r="Y21" s="68">
        <v>2586.6</v>
      </c>
      <c r="Z21" s="68">
        <v>23.7</v>
      </c>
      <c r="AA21" s="68">
        <v>42.65</v>
      </c>
      <c r="AB21" s="68">
        <v>23.7</v>
      </c>
      <c r="AC21" s="79">
        <v>-107.37</v>
      </c>
      <c r="AD21" s="68">
        <v>267.62</v>
      </c>
      <c r="AE21" s="68"/>
      <c r="AF21" s="68">
        <v>66.349999999999994</v>
      </c>
      <c r="AG21" s="68">
        <v>119.42</v>
      </c>
      <c r="AH21" s="68">
        <v>324.89</v>
      </c>
      <c r="AI21" s="68">
        <v>4933.4399999999996</v>
      </c>
      <c r="AJ21" s="68">
        <v>271.18</v>
      </c>
      <c r="AK21" s="68">
        <v>98.67</v>
      </c>
      <c r="AL21" s="68">
        <v>21.72</v>
      </c>
      <c r="AM21" s="68">
        <v>510.66</v>
      </c>
      <c r="AN21" s="68">
        <v>189.56</v>
      </c>
      <c r="AO21" s="68">
        <v>233.27</v>
      </c>
      <c r="AP21" s="68">
        <v>254.48663892235243</v>
      </c>
      <c r="AQ21" s="63" t="s">
        <v>651</v>
      </c>
    </row>
    <row r="22" spans="1:46" s="60" customFormat="1" x14ac:dyDescent="0.2">
      <c r="A22" s="60" t="s">
        <v>614</v>
      </c>
      <c r="B22" s="60" t="s">
        <v>615</v>
      </c>
      <c r="C22" s="60">
        <v>15</v>
      </c>
      <c r="D22" s="60">
        <v>0</v>
      </c>
      <c r="E22" s="60">
        <v>238.33</v>
      </c>
      <c r="F22" s="60">
        <v>252.76</v>
      </c>
      <c r="G22" s="60">
        <v>3574.95</v>
      </c>
      <c r="H22" s="70">
        <v>0</v>
      </c>
      <c r="I22" s="70">
        <v>0</v>
      </c>
      <c r="J22" s="70">
        <v>357.5</v>
      </c>
      <c r="K22" s="70">
        <v>357.5</v>
      </c>
      <c r="L22" s="70">
        <v>357.5</v>
      </c>
      <c r="M22" s="70">
        <v>4647.45</v>
      </c>
      <c r="N22" s="70">
        <v>160.25</v>
      </c>
      <c r="O22" s="80">
        <v>0</v>
      </c>
      <c r="P22" s="70">
        <v>90.05</v>
      </c>
      <c r="Q22" s="70">
        <v>947.85</v>
      </c>
      <c r="R22" s="70">
        <v>0</v>
      </c>
      <c r="S22" s="70"/>
      <c r="T22" s="70"/>
      <c r="U22" s="70"/>
      <c r="V22" s="70">
        <v>0</v>
      </c>
      <c r="W22" s="70">
        <v>0.1</v>
      </c>
      <c r="X22" s="70">
        <v>1198.25</v>
      </c>
      <c r="Y22" s="70">
        <v>3449.2</v>
      </c>
      <c r="Z22" s="70">
        <v>23.7</v>
      </c>
      <c r="AA22" s="70">
        <v>42.65</v>
      </c>
      <c r="AB22" s="70">
        <v>23.7</v>
      </c>
      <c r="AC22" s="80">
        <v>-107.37</v>
      </c>
      <c r="AD22" s="70">
        <v>267.62</v>
      </c>
      <c r="AE22" s="68"/>
      <c r="AF22" s="68">
        <v>66.349999999999994</v>
      </c>
      <c r="AG22" s="68">
        <v>119.43</v>
      </c>
      <c r="AH22" s="68">
        <v>324.89</v>
      </c>
      <c r="AI22" s="68">
        <v>4647.45</v>
      </c>
      <c r="AJ22" s="68">
        <v>271.19</v>
      </c>
      <c r="AK22" s="68">
        <v>92.95</v>
      </c>
      <c r="AL22" s="68">
        <v>21.72</v>
      </c>
      <c r="AM22" s="68">
        <v>510.67</v>
      </c>
      <c r="AN22" s="68">
        <v>189.57</v>
      </c>
      <c r="AO22" s="68">
        <v>233.27</v>
      </c>
      <c r="AP22" s="68">
        <v>254.48663892235243</v>
      </c>
      <c r="AQ22" s="63" t="s">
        <v>652</v>
      </c>
      <c r="AR22" s="63"/>
      <c r="AS22" s="63"/>
      <c r="AT22" s="63"/>
    </row>
    <row r="23" spans="1:46" x14ac:dyDescent="0.2">
      <c r="A23" s="63" t="s">
        <v>32</v>
      </c>
      <c r="B23" s="63" t="s">
        <v>143</v>
      </c>
      <c r="C23" s="63">
        <v>15</v>
      </c>
      <c r="D23" s="63">
        <v>0</v>
      </c>
      <c r="E23" s="63">
        <v>273.33</v>
      </c>
      <c r="F23" s="63">
        <v>289.87</v>
      </c>
      <c r="G23" s="63">
        <v>4099.95</v>
      </c>
      <c r="H23" s="68">
        <v>0</v>
      </c>
      <c r="I23" s="68">
        <v>0</v>
      </c>
      <c r="J23" s="68">
        <v>410</v>
      </c>
      <c r="K23" s="68">
        <v>410</v>
      </c>
      <c r="L23" s="68">
        <v>410</v>
      </c>
      <c r="M23" s="68">
        <v>5329.95</v>
      </c>
      <c r="N23" s="68">
        <v>324.74</v>
      </c>
      <c r="O23" s="68">
        <v>0</v>
      </c>
      <c r="P23" s="68">
        <v>105.46</v>
      </c>
      <c r="Q23" s="68">
        <v>0</v>
      </c>
      <c r="R23" s="68">
        <v>0</v>
      </c>
      <c r="S23" s="68"/>
      <c r="T23" s="68"/>
      <c r="U23" s="68"/>
      <c r="V23" s="68">
        <v>0</v>
      </c>
      <c r="W23" s="79">
        <v>-0.05</v>
      </c>
      <c r="X23" s="68">
        <v>430.15</v>
      </c>
      <c r="Y23" s="68">
        <v>4899.8</v>
      </c>
      <c r="Z23" s="68">
        <v>27.18</v>
      </c>
      <c r="AA23" s="68">
        <v>48.92</v>
      </c>
      <c r="AB23" s="68">
        <v>29.36</v>
      </c>
      <c r="AC23" s="68">
        <v>0</v>
      </c>
      <c r="AD23" s="68">
        <v>324.74</v>
      </c>
      <c r="AE23" s="68"/>
      <c r="AF23" s="68">
        <v>76.09</v>
      </c>
      <c r="AG23" s="68">
        <v>136.96</v>
      </c>
      <c r="AH23" s="68">
        <v>340.64</v>
      </c>
      <c r="AI23" s="68">
        <v>5329.95</v>
      </c>
      <c r="AJ23" s="68">
        <v>282.32</v>
      </c>
      <c r="AK23" s="68">
        <v>106.6</v>
      </c>
      <c r="AL23" s="68">
        <v>24.91</v>
      </c>
      <c r="AM23" s="68">
        <v>553.69000000000005</v>
      </c>
      <c r="AN23" s="68">
        <v>217.4</v>
      </c>
      <c r="AO23" s="68">
        <v>238.84</v>
      </c>
      <c r="AP23" s="68">
        <v>291.85932537509575</v>
      </c>
      <c r="AQ23" s="63" t="s">
        <v>651</v>
      </c>
    </row>
    <row r="24" spans="1:46" x14ac:dyDescent="0.2">
      <c r="A24" s="63" t="s">
        <v>237</v>
      </c>
      <c r="B24" s="63" t="s">
        <v>346</v>
      </c>
      <c r="C24" s="63">
        <v>15</v>
      </c>
      <c r="D24" s="63">
        <v>0</v>
      </c>
      <c r="E24" s="63">
        <v>308.33</v>
      </c>
      <c r="F24" s="63">
        <v>327</v>
      </c>
      <c r="G24" s="63">
        <v>4624.95</v>
      </c>
      <c r="H24" s="68">
        <v>0</v>
      </c>
      <c r="I24" s="68">
        <v>0</v>
      </c>
      <c r="J24" s="68">
        <v>462.5</v>
      </c>
      <c r="K24" s="68">
        <v>462.5</v>
      </c>
      <c r="L24" s="68">
        <v>462.5</v>
      </c>
      <c r="M24" s="68">
        <v>6012.45</v>
      </c>
      <c r="N24" s="68">
        <v>400.66</v>
      </c>
      <c r="O24" s="68">
        <v>0</v>
      </c>
      <c r="P24" s="68">
        <v>120.9</v>
      </c>
      <c r="Q24" s="68">
        <v>0</v>
      </c>
      <c r="R24" s="68">
        <v>413.05</v>
      </c>
      <c r="S24" s="68"/>
      <c r="T24" s="68"/>
      <c r="U24" s="68"/>
      <c r="V24" s="68">
        <v>0</v>
      </c>
      <c r="W24" s="68">
        <v>0.04</v>
      </c>
      <c r="X24" s="68">
        <v>934.65</v>
      </c>
      <c r="Y24" s="68">
        <v>5077.8</v>
      </c>
      <c r="Z24" s="68">
        <v>30.66</v>
      </c>
      <c r="AA24" s="68">
        <v>55.18</v>
      </c>
      <c r="AB24" s="68">
        <v>35.06</v>
      </c>
      <c r="AC24" s="68">
        <v>0</v>
      </c>
      <c r="AD24" s="68">
        <v>400.66</v>
      </c>
      <c r="AE24" s="68"/>
      <c r="AF24" s="68">
        <v>85.84</v>
      </c>
      <c r="AG24" s="68">
        <v>154.51</v>
      </c>
      <c r="AH24" s="68">
        <v>356.51</v>
      </c>
      <c r="AI24" s="68">
        <v>6012.45</v>
      </c>
      <c r="AJ24" s="68">
        <v>293.46000000000004</v>
      </c>
      <c r="AK24" s="68">
        <v>120.25</v>
      </c>
      <c r="AL24" s="68">
        <v>28.1</v>
      </c>
      <c r="AM24" s="68">
        <v>596.86</v>
      </c>
      <c r="AN24" s="68">
        <v>245.25</v>
      </c>
      <c r="AO24" s="68">
        <v>244.41000000000003</v>
      </c>
      <c r="AP24" s="68">
        <v>329.23201182783919</v>
      </c>
      <c r="AQ24" s="63" t="s">
        <v>652</v>
      </c>
    </row>
    <row r="25" spans="1:46" x14ac:dyDescent="0.2">
      <c r="A25" s="63" t="s">
        <v>36</v>
      </c>
      <c r="B25" s="63" t="s">
        <v>347</v>
      </c>
      <c r="C25" s="63">
        <v>15</v>
      </c>
      <c r="D25" s="63">
        <v>0</v>
      </c>
      <c r="E25" s="63">
        <v>185.83</v>
      </c>
      <c r="F25" s="63">
        <v>197.07</v>
      </c>
      <c r="G25" s="63">
        <v>2787.45</v>
      </c>
      <c r="H25" s="68">
        <v>0</v>
      </c>
      <c r="I25" s="68">
        <v>0</v>
      </c>
      <c r="J25" s="68">
        <v>278.75</v>
      </c>
      <c r="K25" s="68">
        <v>278.75</v>
      </c>
      <c r="L25" s="68">
        <v>278.75</v>
      </c>
      <c r="M25" s="68">
        <v>3623.7</v>
      </c>
      <c r="N25" s="68">
        <v>36.57</v>
      </c>
      <c r="O25" s="68">
        <v>0</v>
      </c>
      <c r="P25" s="68">
        <v>70.22</v>
      </c>
      <c r="Q25" s="68">
        <v>0</v>
      </c>
      <c r="R25" s="68">
        <v>2150.54</v>
      </c>
      <c r="S25" s="68"/>
      <c r="T25" s="68"/>
      <c r="U25" s="68"/>
      <c r="V25" s="68">
        <v>0</v>
      </c>
      <c r="W25" s="68">
        <v>-0.03</v>
      </c>
      <c r="X25" s="68">
        <v>2257.3000000000002</v>
      </c>
      <c r="Y25" s="68">
        <v>1366.4</v>
      </c>
      <c r="Z25" s="68">
        <v>18.48</v>
      </c>
      <c r="AA25" s="68">
        <v>33.26</v>
      </c>
      <c r="AB25" s="68">
        <v>18.48</v>
      </c>
      <c r="AC25" s="68">
        <v>-145.38</v>
      </c>
      <c r="AD25" s="68">
        <v>181.94</v>
      </c>
      <c r="AE25" s="68"/>
      <c r="AF25" s="68">
        <v>51.73</v>
      </c>
      <c r="AG25" s="68">
        <v>93.12</v>
      </c>
      <c r="AH25" s="68">
        <v>310.27</v>
      </c>
      <c r="AI25" s="68">
        <v>3623.7</v>
      </c>
      <c r="AJ25" s="68">
        <v>254.48000000000002</v>
      </c>
      <c r="AK25" s="68">
        <v>72.47</v>
      </c>
      <c r="AL25" s="68">
        <v>16.940000000000001</v>
      </c>
      <c r="AM25" s="68">
        <v>455.12</v>
      </c>
      <c r="AN25" s="68">
        <v>147.80000000000001</v>
      </c>
      <c r="AO25" s="68">
        <v>224.92000000000002</v>
      </c>
      <c r="AP25" s="68">
        <v>198.42760924323733</v>
      </c>
      <c r="AQ25" s="63" t="s">
        <v>651</v>
      </c>
    </row>
    <row r="26" spans="1:46" x14ac:dyDescent="0.2">
      <c r="A26" s="63" t="s">
        <v>238</v>
      </c>
      <c r="B26" s="63" t="s">
        <v>348</v>
      </c>
      <c r="C26" s="63">
        <v>15</v>
      </c>
      <c r="D26" s="63">
        <v>0</v>
      </c>
      <c r="E26" s="63">
        <v>1060.83</v>
      </c>
      <c r="F26" s="63">
        <v>1125.06</v>
      </c>
      <c r="G26" s="63">
        <v>15912.45</v>
      </c>
      <c r="H26" s="68">
        <v>0</v>
      </c>
      <c r="I26" s="68">
        <v>0</v>
      </c>
      <c r="J26" s="68">
        <v>1591.25</v>
      </c>
      <c r="K26" s="68">
        <v>1591.25</v>
      </c>
      <c r="L26" s="68">
        <v>1591.25</v>
      </c>
      <c r="M26" s="68">
        <v>20686.2</v>
      </c>
      <c r="N26" s="68">
        <v>2846.24</v>
      </c>
      <c r="O26" s="68">
        <v>0</v>
      </c>
      <c r="P26" s="68">
        <v>453.09</v>
      </c>
      <c r="Q26" s="68">
        <v>0</v>
      </c>
      <c r="R26" s="68">
        <v>0</v>
      </c>
      <c r="S26" s="68"/>
      <c r="T26" s="68"/>
      <c r="U26" s="68"/>
      <c r="V26" s="68">
        <v>417.6</v>
      </c>
      <c r="W26" s="79">
        <v>7.0000000000000007E-2</v>
      </c>
      <c r="X26" s="68">
        <v>3717</v>
      </c>
      <c r="Y26" s="68">
        <v>16969.2</v>
      </c>
      <c r="Z26" s="68">
        <v>105.47</v>
      </c>
      <c r="AA26" s="68">
        <v>189.85</v>
      </c>
      <c r="AB26" s="68">
        <v>157.77000000000001</v>
      </c>
      <c r="AC26" s="79">
        <v>0</v>
      </c>
      <c r="AD26" s="68">
        <v>2846.24</v>
      </c>
      <c r="AE26" s="68"/>
      <c r="AF26" s="68">
        <v>295.33</v>
      </c>
      <c r="AG26" s="68">
        <v>531.59</v>
      </c>
      <c r="AH26" s="68">
        <v>697.68</v>
      </c>
      <c r="AI26" s="68">
        <v>20686.2</v>
      </c>
      <c r="AJ26" s="68">
        <v>532.88</v>
      </c>
      <c r="AK26" s="68">
        <v>413.72</v>
      </c>
      <c r="AL26" s="68">
        <v>96.68</v>
      </c>
      <c r="AM26" s="68">
        <v>1524.6</v>
      </c>
      <c r="AN26" s="68">
        <v>843.79</v>
      </c>
      <c r="AO26" s="68">
        <v>364.12</v>
      </c>
      <c r="AP26" s="68">
        <v>1132.7447705618222</v>
      </c>
      <c r="AQ26" s="63" t="s">
        <v>651</v>
      </c>
    </row>
    <row r="27" spans="1:46" x14ac:dyDescent="0.2">
      <c r="A27" s="63" t="s">
        <v>239</v>
      </c>
      <c r="B27" s="63" t="s">
        <v>349</v>
      </c>
      <c r="C27" s="63">
        <v>15</v>
      </c>
      <c r="D27" s="63">
        <v>0</v>
      </c>
      <c r="E27" s="63">
        <v>220.83</v>
      </c>
      <c r="F27" s="63">
        <v>234.2</v>
      </c>
      <c r="G27" s="63">
        <v>3312.45</v>
      </c>
      <c r="H27" s="68">
        <v>0</v>
      </c>
      <c r="I27" s="68">
        <v>0</v>
      </c>
      <c r="J27" s="68">
        <v>331.25</v>
      </c>
      <c r="K27" s="68">
        <v>331.25</v>
      </c>
      <c r="L27" s="68">
        <v>331.25</v>
      </c>
      <c r="M27" s="68">
        <v>4306.2</v>
      </c>
      <c r="N27" s="68">
        <v>113.96</v>
      </c>
      <c r="O27" s="68">
        <v>0</v>
      </c>
      <c r="P27" s="68">
        <v>83.43</v>
      </c>
      <c r="Q27" s="68">
        <v>0</v>
      </c>
      <c r="R27" s="68">
        <v>0</v>
      </c>
      <c r="S27" s="68"/>
      <c r="T27" s="68"/>
      <c r="U27" s="68"/>
      <c r="V27" s="68">
        <v>0</v>
      </c>
      <c r="W27" s="79">
        <v>0.01</v>
      </c>
      <c r="X27" s="68">
        <v>197.4</v>
      </c>
      <c r="Y27" s="68">
        <v>4108.8</v>
      </c>
      <c r="Z27" s="68">
        <v>21.96</v>
      </c>
      <c r="AA27" s="68">
        <v>39.520000000000003</v>
      </c>
      <c r="AB27" s="68">
        <v>21.95</v>
      </c>
      <c r="AC27" s="68">
        <v>-125.1</v>
      </c>
      <c r="AD27" s="68">
        <v>239.06</v>
      </c>
      <c r="AE27" s="68"/>
      <c r="AF27" s="68">
        <v>61.48</v>
      </c>
      <c r="AG27" s="68">
        <v>110.66</v>
      </c>
      <c r="AH27" s="68">
        <v>320.02</v>
      </c>
      <c r="AI27" s="68">
        <v>4306.2</v>
      </c>
      <c r="AJ27" s="68">
        <v>265.62</v>
      </c>
      <c r="AK27" s="68">
        <v>86.12</v>
      </c>
      <c r="AL27" s="68">
        <v>20.13</v>
      </c>
      <c r="AM27" s="68">
        <v>492.16</v>
      </c>
      <c r="AN27" s="68">
        <v>175.65</v>
      </c>
      <c r="AO27" s="68">
        <v>230.49</v>
      </c>
      <c r="AP27" s="68">
        <v>235.80029569598071</v>
      </c>
      <c r="AQ27" s="63" t="s">
        <v>651</v>
      </c>
    </row>
    <row r="28" spans="1:46" x14ac:dyDescent="0.2">
      <c r="A28" s="63" t="s">
        <v>412</v>
      </c>
      <c r="B28" s="63" t="s">
        <v>413</v>
      </c>
      <c r="C28" s="63">
        <v>15</v>
      </c>
      <c r="D28" s="63">
        <v>0</v>
      </c>
      <c r="E28" s="63">
        <v>150</v>
      </c>
      <c r="F28" s="63">
        <v>159.07</v>
      </c>
      <c r="G28" s="63">
        <v>2250</v>
      </c>
      <c r="H28" s="68">
        <v>0</v>
      </c>
      <c r="I28" s="68">
        <v>0</v>
      </c>
      <c r="J28" s="68">
        <v>225</v>
      </c>
      <c r="K28" s="68">
        <v>225</v>
      </c>
      <c r="L28" s="68">
        <v>225</v>
      </c>
      <c r="M28" s="68">
        <v>2925</v>
      </c>
      <c r="N28" s="68">
        <v>0</v>
      </c>
      <c r="O28" s="68">
        <v>-43.57</v>
      </c>
      <c r="P28" s="68">
        <v>56.67</v>
      </c>
      <c r="Q28" s="68">
        <v>0</v>
      </c>
      <c r="R28" s="68">
        <v>0</v>
      </c>
      <c r="S28" s="68"/>
      <c r="T28" s="68"/>
      <c r="U28" s="68"/>
      <c r="V28" s="68">
        <v>0</v>
      </c>
      <c r="W28" s="68">
        <v>-0.1</v>
      </c>
      <c r="X28" s="68">
        <v>13</v>
      </c>
      <c r="Y28" s="68">
        <v>2912</v>
      </c>
      <c r="Z28" s="68">
        <v>14.91</v>
      </c>
      <c r="AA28" s="68">
        <v>26.84</v>
      </c>
      <c r="AB28" s="68">
        <v>14.92</v>
      </c>
      <c r="AC28" s="79">
        <v>-174.78</v>
      </c>
      <c r="AD28" s="68">
        <v>131.21</v>
      </c>
      <c r="AE28" s="68"/>
      <c r="AF28" s="68">
        <v>41.76</v>
      </c>
      <c r="AG28" s="68">
        <v>75.16</v>
      </c>
      <c r="AH28" s="68">
        <v>300.29000000000002</v>
      </c>
      <c r="AI28" s="68">
        <v>2925</v>
      </c>
      <c r="AJ28" s="68">
        <v>243.08</v>
      </c>
      <c r="AK28" s="68">
        <v>58.5</v>
      </c>
      <c r="AL28" s="68">
        <v>13.67</v>
      </c>
      <c r="AM28" s="68">
        <v>417.21</v>
      </c>
      <c r="AN28" s="68">
        <v>119.3</v>
      </c>
      <c r="AO28" s="68">
        <v>219.22000000000003</v>
      </c>
      <c r="AP28" s="68">
        <v>160.16865622604314</v>
      </c>
      <c r="AQ28" s="63" t="s">
        <v>652</v>
      </c>
    </row>
    <row r="29" spans="1:46" x14ac:dyDescent="0.2">
      <c r="A29" s="63" t="s">
        <v>40</v>
      </c>
      <c r="B29" s="63" t="s">
        <v>350</v>
      </c>
      <c r="C29" s="63">
        <v>15</v>
      </c>
      <c r="D29" s="63">
        <v>0</v>
      </c>
      <c r="E29" s="63">
        <v>185.83</v>
      </c>
      <c r="F29" s="63">
        <v>197.07</v>
      </c>
      <c r="G29" s="63">
        <v>2787.45</v>
      </c>
      <c r="H29" s="68">
        <v>0</v>
      </c>
      <c r="I29" s="68">
        <v>0</v>
      </c>
      <c r="J29" s="68">
        <v>278.75</v>
      </c>
      <c r="K29" s="68">
        <v>278.75</v>
      </c>
      <c r="L29" s="68">
        <v>278.75</v>
      </c>
      <c r="M29" s="68">
        <v>3623.7</v>
      </c>
      <c r="N29" s="68">
        <v>36.57</v>
      </c>
      <c r="O29" s="79">
        <v>0</v>
      </c>
      <c r="P29" s="68">
        <v>70.22</v>
      </c>
      <c r="Q29" s="68">
        <v>0</v>
      </c>
      <c r="R29" s="68">
        <v>0</v>
      </c>
      <c r="S29" s="68"/>
      <c r="T29" s="68"/>
      <c r="U29" s="68"/>
      <c r="V29" s="68">
        <v>313.2</v>
      </c>
      <c r="W29" s="79">
        <v>-0.09</v>
      </c>
      <c r="X29" s="68">
        <v>419.9</v>
      </c>
      <c r="Y29" s="68">
        <v>3203.8</v>
      </c>
      <c r="Z29" s="68">
        <v>18.48</v>
      </c>
      <c r="AA29" s="68">
        <v>33.26</v>
      </c>
      <c r="AB29" s="68">
        <v>18.48</v>
      </c>
      <c r="AC29" s="79">
        <v>-145.38</v>
      </c>
      <c r="AD29" s="68">
        <v>181.94</v>
      </c>
      <c r="AE29" s="68"/>
      <c r="AF29" s="68">
        <v>51.73</v>
      </c>
      <c r="AG29" s="68">
        <v>93.12</v>
      </c>
      <c r="AH29" s="68">
        <v>310.27</v>
      </c>
      <c r="AI29" s="68">
        <v>3623.7</v>
      </c>
      <c r="AJ29" s="68">
        <v>254.48000000000002</v>
      </c>
      <c r="AK29" s="68">
        <v>72.47</v>
      </c>
      <c r="AL29" s="68">
        <v>16.940000000000001</v>
      </c>
      <c r="AM29" s="68">
        <v>455.12</v>
      </c>
      <c r="AN29" s="68">
        <v>147.80000000000001</v>
      </c>
      <c r="AO29" s="68">
        <v>224.92000000000002</v>
      </c>
      <c r="AP29" s="68">
        <v>198.42760924323733</v>
      </c>
      <c r="AQ29" s="63" t="s">
        <v>651</v>
      </c>
    </row>
    <row r="30" spans="1:46" x14ac:dyDescent="0.2">
      <c r="A30" s="63" t="s">
        <v>42</v>
      </c>
      <c r="B30" s="63" t="s">
        <v>144</v>
      </c>
      <c r="C30" s="63">
        <v>15</v>
      </c>
      <c r="D30" s="63">
        <v>0</v>
      </c>
      <c r="E30" s="63">
        <v>185.83</v>
      </c>
      <c r="F30" s="63">
        <v>197.07</v>
      </c>
      <c r="G30" s="63">
        <v>2787.45</v>
      </c>
      <c r="H30" s="68">
        <v>0</v>
      </c>
      <c r="I30" s="68">
        <v>0</v>
      </c>
      <c r="J30" s="68">
        <v>278.75</v>
      </c>
      <c r="K30" s="68">
        <v>278.75</v>
      </c>
      <c r="L30" s="68">
        <v>278.75</v>
      </c>
      <c r="M30" s="68">
        <v>3623.7</v>
      </c>
      <c r="N30" s="68">
        <v>36.57</v>
      </c>
      <c r="O30" s="68">
        <v>0</v>
      </c>
      <c r="P30" s="68">
        <v>70.22</v>
      </c>
      <c r="Q30" s="68">
        <v>0</v>
      </c>
      <c r="R30" s="68">
        <v>1492.08</v>
      </c>
      <c r="S30" s="68"/>
      <c r="T30" s="68"/>
      <c r="U30" s="68"/>
      <c r="V30" s="68">
        <v>0</v>
      </c>
      <c r="W30" s="68">
        <v>0.03</v>
      </c>
      <c r="X30" s="68">
        <v>1598.9</v>
      </c>
      <c r="Y30" s="68">
        <v>2024.8</v>
      </c>
      <c r="Z30" s="68">
        <v>18.48</v>
      </c>
      <c r="AA30" s="68">
        <v>33.26</v>
      </c>
      <c r="AB30" s="68">
        <v>18.48</v>
      </c>
      <c r="AC30" s="79">
        <v>-145.38</v>
      </c>
      <c r="AD30" s="68">
        <v>181.94</v>
      </c>
      <c r="AE30" s="68"/>
      <c r="AF30" s="68">
        <v>51.73</v>
      </c>
      <c r="AG30" s="68">
        <v>93.12</v>
      </c>
      <c r="AH30" s="68">
        <v>310.27</v>
      </c>
      <c r="AI30" s="68">
        <v>3623.7</v>
      </c>
      <c r="AJ30" s="68">
        <v>254.48000000000002</v>
      </c>
      <c r="AK30" s="68">
        <v>72.47</v>
      </c>
      <c r="AL30" s="68">
        <v>16.940000000000001</v>
      </c>
      <c r="AM30" s="68">
        <v>455.12</v>
      </c>
      <c r="AN30" s="68">
        <v>147.80000000000001</v>
      </c>
      <c r="AO30" s="68">
        <v>224.92000000000002</v>
      </c>
      <c r="AP30" s="68">
        <v>198.42760924323733</v>
      </c>
      <c r="AQ30" s="63" t="s">
        <v>651</v>
      </c>
    </row>
    <row r="31" spans="1:46" x14ac:dyDescent="0.2">
      <c r="A31" s="63" t="s">
        <v>433</v>
      </c>
      <c r="B31" s="63" t="s">
        <v>386</v>
      </c>
      <c r="C31" s="63">
        <v>15</v>
      </c>
      <c r="D31" s="63">
        <v>0</v>
      </c>
      <c r="E31" s="63">
        <v>166.67</v>
      </c>
      <c r="F31" s="63">
        <v>176.76</v>
      </c>
      <c r="G31" s="63">
        <v>2500.0500000000002</v>
      </c>
      <c r="H31" s="68">
        <v>0</v>
      </c>
      <c r="I31" s="68">
        <v>0</v>
      </c>
      <c r="J31" s="68">
        <v>250.01</v>
      </c>
      <c r="K31" s="68">
        <v>250.01</v>
      </c>
      <c r="L31" s="68">
        <v>250.01</v>
      </c>
      <c r="M31" s="68">
        <v>3250.08</v>
      </c>
      <c r="N31" s="68">
        <v>0</v>
      </c>
      <c r="O31" s="68">
        <v>-9.6199999999999992</v>
      </c>
      <c r="P31" s="68">
        <v>62.97</v>
      </c>
      <c r="Q31" s="68">
        <v>0</v>
      </c>
      <c r="R31" s="68">
        <v>0</v>
      </c>
      <c r="S31" s="68"/>
      <c r="T31" s="68"/>
      <c r="U31" s="68"/>
      <c r="V31" s="68">
        <v>0</v>
      </c>
      <c r="W31" s="79">
        <v>0.13</v>
      </c>
      <c r="X31" s="68">
        <v>53.48</v>
      </c>
      <c r="Y31" s="68">
        <v>3196.6</v>
      </c>
      <c r="Z31" s="68">
        <v>16.57</v>
      </c>
      <c r="AA31" s="68">
        <v>29.83</v>
      </c>
      <c r="AB31" s="68">
        <v>16.57</v>
      </c>
      <c r="AC31" s="68">
        <v>-160.30000000000001</v>
      </c>
      <c r="AD31" s="68">
        <v>150.66999999999999</v>
      </c>
      <c r="AE31" s="68"/>
      <c r="AF31" s="68">
        <v>46.4</v>
      </c>
      <c r="AG31" s="68">
        <v>83.52</v>
      </c>
      <c r="AH31" s="68">
        <v>304.94</v>
      </c>
      <c r="AI31" s="68">
        <v>3250.08</v>
      </c>
      <c r="AJ31" s="68">
        <v>248.39000000000001</v>
      </c>
      <c r="AK31" s="68">
        <v>65</v>
      </c>
      <c r="AL31" s="68">
        <v>15.19</v>
      </c>
      <c r="AM31" s="68">
        <v>434.86</v>
      </c>
      <c r="AN31" s="68">
        <v>132.57</v>
      </c>
      <c r="AO31" s="68">
        <v>221.87</v>
      </c>
      <c r="AP31" s="68">
        <v>177.96873288796405</v>
      </c>
      <c r="AQ31" s="63" t="s">
        <v>651</v>
      </c>
    </row>
    <row r="32" spans="1:46" x14ac:dyDescent="0.2">
      <c r="A32" s="63" t="s">
        <v>495</v>
      </c>
      <c r="B32" s="63" t="s">
        <v>496</v>
      </c>
      <c r="C32" s="63">
        <v>13</v>
      </c>
      <c r="D32" s="63">
        <v>2</v>
      </c>
      <c r="E32" s="63">
        <v>166.67</v>
      </c>
      <c r="F32" s="63">
        <v>176.76</v>
      </c>
      <c r="G32" s="63">
        <v>2166.71</v>
      </c>
      <c r="H32" s="68">
        <v>333.34</v>
      </c>
      <c r="I32" s="68">
        <v>100</v>
      </c>
      <c r="J32" s="68">
        <v>250.01</v>
      </c>
      <c r="K32" s="68">
        <v>250.01</v>
      </c>
      <c r="L32" s="68">
        <v>250.01</v>
      </c>
      <c r="M32" s="68">
        <v>3350.08</v>
      </c>
      <c r="N32" s="68">
        <v>0</v>
      </c>
      <c r="O32" s="79">
        <v>-9.6199999999999992</v>
      </c>
      <c r="P32" s="68">
        <v>62.97</v>
      </c>
      <c r="Q32" s="68">
        <v>0</v>
      </c>
      <c r="R32" s="68">
        <v>392.72</v>
      </c>
      <c r="S32" s="68"/>
      <c r="T32" s="68"/>
      <c r="U32" s="68"/>
      <c r="V32" s="68">
        <v>0</v>
      </c>
      <c r="W32" s="68">
        <v>0.01</v>
      </c>
      <c r="X32" s="68">
        <v>446.08</v>
      </c>
      <c r="Y32" s="68">
        <v>2904</v>
      </c>
      <c r="Z32" s="68">
        <v>16.57</v>
      </c>
      <c r="AA32" s="68">
        <v>29.83</v>
      </c>
      <c r="AB32" s="68">
        <v>16.57</v>
      </c>
      <c r="AC32" s="79">
        <v>-160.30000000000001</v>
      </c>
      <c r="AD32" s="68">
        <v>150.66999999999999</v>
      </c>
      <c r="AE32" s="68"/>
      <c r="AF32" s="68">
        <v>46.4</v>
      </c>
      <c r="AG32" s="68">
        <v>83.52</v>
      </c>
      <c r="AH32" s="68">
        <v>304.94</v>
      </c>
      <c r="AI32" s="68">
        <v>3250.08</v>
      </c>
      <c r="AJ32" s="68">
        <v>248.39000000000001</v>
      </c>
      <c r="AK32" s="68">
        <v>65</v>
      </c>
      <c r="AL32" s="68">
        <v>15.19</v>
      </c>
      <c r="AM32" s="68">
        <v>434.86</v>
      </c>
      <c r="AN32" s="68">
        <v>132.57</v>
      </c>
      <c r="AO32" s="68">
        <v>221.87</v>
      </c>
      <c r="AP32" s="68">
        <v>177.96873288796405</v>
      </c>
      <c r="AQ32" s="63" t="s">
        <v>652</v>
      </c>
    </row>
    <row r="33" spans="1:46" s="60" customFormat="1" x14ac:dyDescent="0.2">
      <c r="A33" s="70" t="s">
        <v>590</v>
      </c>
      <c r="B33" s="70" t="s">
        <v>474</v>
      </c>
      <c r="C33" s="70">
        <v>15</v>
      </c>
      <c r="D33" s="70">
        <v>0</v>
      </c>
      <c r="E33" s="70">
        <v>133.33000000000001</v>
      </c>
      <c r="F33" s="70">
        <v>139.36000000000001</v>
      </c>
      <c r="G33" s="70">
        <v>1999.95</v>
      </c>
      <c r="H33" s="70">
        <v>0</v>
      </c>
      <c r="I33" s="70">
        <v>0</v>
      </c>
      <c r="J33" s="70">
        <v>0</v>
      </c>
      <c r="K33" s="70">
        <v>0</v>
      </c>
      <c r="L33" s="70">
        <v>0</v>
      </c>
      <c r="M33" s="70">
        <v>1999.95</v>
      </c>
      <c r="N33" s="70">
        <v>0</v>
      </c>
      <c r="O33" s="80">
        <v>-73.5</v>
      </c>
      <c r="P33" s="70">
        <v>49.65</v>
      </c>
      <c r="Q33" s="70">
        <v>0</v>
      </c>
      <c r="R33" s="70">
        <v>1044.75</v>
      </c>
      <c r="S33" s="70"/>
      <c r="T33" s="70"/>
      <c r="U33" s="70"/>
      <c r="V33" s="70">
        <v>0</v>
      </c>
      <c r="W33" s="80">
        <v>0.05</v>
      </c>
      <c r="X33" s="70">
        <v>1020.95</v>
      </c>
      <c r="Y33" s="70">
        <v>979</v>
      </c>
      <c r="Z33" s="70">
        <v>13.06</v>
      </c>
      <c r="AA33" s="70">
        <v>23.52</v>
      </c>
      <c r="AB33" s="70">
        <v>13.07</v>
      </c>
      <c r="AC33" s="80">
        <v>-188.71</v>
      </c>
      <c r="AD33" s="70">
        <v>115.21</v>
      </c>
      <c r="AE33" s="68"/>
      <c r="AF33" s="68">
        <v>36.58</v>
      </c>
      <c r="AG33" s="68">
        <v>65.849999999999994</v>
      </c>
      <c r="AH33" s="68">
        <v>295.12</v>
      </c>
      <c r="AI33" s="68">
        <v>1999.95</v>
      </c>
      <c r="AJ33" s="68">
        <v>237.17000000000002</v>
      </c>
      <c r="AK33" s="68">
        <v>40</v>
      </c>
      <c r="AL33" s="68">
        <v>11.98</v>
      </c>
      <c r="AM33" s="68">
        <v>397.55</v>
      </c>
      <c r="AN33" s="68">
        <v>104.52</v>
      </c>
      <c r="AO33" s="68">
        <v>216.26000000000002</v>
      </c>
      <c r="AP33" s="68">
        <v>142.36857956412223</v>
      </c>
      <c r="AQ33" s="100" t="s">
        <v>652</v>
      </c>
      <c r="AR33" s="63"/>
      <c r="AS33" s="63"/>
      <c r="AT33" s="63"/>
    </row>
    <row r="34" spans="1:46" x14ac:dyDescent="0.2">
      <c r="A34" s="68" t="s">
        <v>616</v>
      </c>
      <c r="B34" s="68" t="s">
        <v>617</v>
      </c>
      <c r="C34" s="68">
        <v>15</v>
      </c>
      <c r="D34" s="68">
        <v>0</v>
      </c>
      <c r="E34" s="68">
        <v>216.67</v>
      </c>
      <c r="F34" s="68">
        <v>229.79</v>
      </c>
      <c r="G34" s="68">
        <v>3250.05</v>
      </c>
      <c r="H34" s="68">
        <v>0</v>
      </c>
      <c r="I34" s="68">
        <v>0</v>
      </c>
      <c r="J34" s="68">
        <v>325.01</v>
      </c>
      <c r="K34" s="68">
        <v>325.01</v>
      </c>
      <c r="L34" s="68">
        <v>325.01</v>
      </c>
      <c r="M34" s="68">
        <v>4225.08</v>
      </c>
      <c r="N34" s="68">
        <v>107.17</v>
      </c>
      <c r="O34" s="68">
        <v>0</v>
      </c>
      <c r="P34" s="68">
        <v>81.87</v>
      </c>
      <c r="Q34" s="68">
        <v>0</v>
      </c>
      <c r="R34" s="68">
        <v>0</v>
      </c>
      <c r="S34" s="68"/>
      <c r="T34" s="68"/>
      <c r="U34" s="68"/>
      <c r="V34" s="68">
        <v>0</v>
      </c>
      <c r="W34" s="68">
        <v>0.04</v>
      </c>
      <c r="X34" s="68">
        <v>189.08</v>
      </c>
      <c r="Y34" s="68">
        <v>4036</v>
      </c>
      <c r="Z34" s="68">
        <v>21.54</v>
      </c>
      <c r="AA34" s="68">
        <v>38.78</v>
      </c>
      <c r="AB34" s="68">
        <v>21.55</v>
      </c>
      <c r="AC34" s="79">
        <v>-125.1</v>
      </c>
      <c r="AD34" s="68">
        <v>232.27</v>
      </c>
      <c r="AE34" s="68"/>
      <c r="AF34" s="68">
        <v>60.32</v>
      </c>
      <c r="AG34" s="68">
        <v>108.58</v>
      </c>
      <c r="AH34" s="68">
        <v>318.86</v>
      </c>
      <c r="AI34" s="68">
        <v>4225.08</v>
      </c>
      <c r="AJ34" s="68">
        <v>264.3</v>
      </c>
      <c r="AK34" s="68">
        <v>84.5</v>
      </c>
      <c r="AL34" s="68">
        <v>19.75</v>
      </c>
      <c r="AM34" s="68">
        <v>487.76</v>
      </c>
      <c r="AN34" s="68">
        <v>172.34</v>
      </c>
      <c r="AO34" s="68">
        <v>229.83</v>
      </c>
      <c r="AP34" s="68">
        <v>231.35828496331177</v>
      </c>
      <c r="AQ34" s="63" t="s">
        <v>651</v>
      </c>
    </row>
    <row r="35" spans="1:46" x14ac:dyDescent="0.2">
      <c r="A35" s="68" t="s">
        <v>634</v>
      </c>
      <c r="B35" s="68" t="s">
        <v>635</v>
      </c>
      <c r="C35" s="68">
        <v>15</v>
      </c>
      <c r="D35" s="68">
        <v>0</v>
      </c>
      <c r="E35" s="68">
        <v>256.67</v>
      </c>
      <c r="F35" s="68">
        <v>272.20999999999998</v>
      </c>
      <c r="G35" s="68">
        <v>3850.05</v>
      </c>
      <c r="H35" s="68">
        <v>0</v>
      </c>
      <c r="I35" s="68">
        <v>0</v>
      </c>
      <c r="J35" s="68">
        <v>385.01</v>
      </c>
      <c r="K35" s="68">
        <v>385.01</v>
      </c>
      <c r="L35" s="68">
        <v>385.01</v>
      </c>
      <c r="M35" s="68">
        <v>5005.08</v>
      </c>
      <c r="N35" s="68">
        <v>297.55</v>
      </c>
      <c r="O35" s="68">
        <v>0</v>
      </c>
      <c r="P35" s="68">
        <v>98.1</v>
      </c>
      <c r="Q35" s="68">
        <v>0</v>
      </c>
      <c r="R35" s="68">
        <v>0</v>
      </c>
      <c r="S35" s="68"/>
      <c r="T35" s="68"/>
      <c r="U35" s="68"/>
      <c r="V35" s="68">
        <v>0</v>
      </c>
      <c r="W35" s="68">
        <v>0.03</v>
      </c>
      <c r="X35" s="68">
        <v>395.68</v>
      </c>
      <c r="Y35" s="68">
        <v>4609.3999999999996</v>
      </c>
      <c r="Z35" s="68">
        <v>25.52</v>
      </c>
      <c r="AA35" s="68">
        <v>45.94</v>
      </c>
      <c r="AB35" s="68">
        <v>26.64</v>
      </c>
      <c r="AC35" s="79">
        <v>0</v>
      </c>
      <c r="AD35" s="68">
        <v>297.55</v>
      </c>
      <c r="AE35" s="68"/>
      <c r="AF35" s="68">
        <v>71.459999999999994</v>
      </c>
      <c r="AG35" s="68">
        <v>128.62</v>
      </c>
      <c r="AH35" s="68">
        <v>333.08</v>
      </c>
      <c r="AI35" s="68">
        <v>5005.08</v>
      </c>
      <c r="AJ35" s="68">
        <v>277.02</v>
      </c>
      <c r="AK35" s="68">
        <v>100.1</v>
      </c>
      <c r="AL35" s="68">
        <v>23.39</v>
      </c>
      <c r="AM35" s="68">
        <v>533.16</v>
      </c>
      <c r="AN35" s="68">
        <v>204.16</v>
      </c>
      <c r="AO35" s="68">
        <v>236.19</v>
      </c>
      <c r="AP35" s="68">
        <v>274.06992662358999</v>
      </c>
      <c r="AQ35" s="63" t="s">
        <v>651</v>
      </c>
    </row>
    <row r="36" spans="1:46" x14ac:dyDescent="0.2">
      <c r="A36" s="68" t="s">
        <v>644</v>
      </c>
      <c r="B36" s="68" t="s">
        <v>645</v>
      </c>
      <c r="C36" s="68">
        <v>15</v>
      </c>
      <c r="D36" s="68">
        <v>0</v>
      </c>
      <c r="E36" s="68">
        <v>291.67</v>
      </c>
      <c r="F36" s="68">
        <v>309.33</v>
      </c>
      <c r="G36" s="68">
        <v>4375.05</v>
      </c>
      <c r="H36" s="68">
        <v>0</v>
      </c>
      <c r="I36" s="68">
        <v>0</v>
      </c>
      <c r="J36" s="68">
        <v>437.51</v>
      </c>
      <c r="K36" s="68">
        <v>437.51</v>
      </c>
      <c r="L36" s="68">
        <v>437.51</v>
      </c>
      <c r="M36" s="68">
        <v>5687.58</v>
      </c>
      <c r="N36" s="68">
        <v>360.68</v>
      </c>
      <c r="O36" s="68">
        <v>0</v>
      </c>
      <c r="P36" s="68">
        <v>113.55</v>
      </c>
      <c r="Q36" s="68">
        <v>0</v>
      </c>
      <c r="R36" s="68">
        <v>0</v>
      </c>
      <c r="S36" s="68"/>
      <c r="T36" s="68"/>
      <c r="U36" s="68"/>
      <c r="V36" s="68">
        <v>0</v>
      </c>
      <c r="W36" s="68">
        <v>0.15</v>
      </c>
      <c r="X36" s="68">
        <v>474.38</v>
      </c>
      <c r="Y36" s="68">
        <v>5213.2</v>
      </c>
      <c r="Z36" s="68">
        <v>29</v>
      </c>
      <c r="AA36" s="68">
        <v>52.2</v>
      </c>
      <c r="AB36" s="68">
        <v>32.35</v>
      </c>
      <c r="AC36" s="79">
        <v>0</v>
      </c>
      <c r="AD36" s="68">
        <v>360.68</v>
      </c>
      <c r="AE36" s="68"/>
      <c r="AF36" s="68">
        <v>81.2</v>
      </c>
      <c r="AG36" s="68">
        <v>146.16</v>
      </c>
      <c r="AH36" s="68">
        <v>348.96</v>
      </c>
      <c r="AI36" s="68">
        <v>5687.58</v>
      </c>
      <c r="AJ36" s="68">
        <v>288.16000000000003</v>
      </c>
      <c r="AK36" s="68">
        <v>113.75</v>
      </c>
      <c r="AL36" s="68">
        <v>26.58</v>
      </c>
      <c r="AM36" s="68">
        <v>576.32000000000005</v>
      </c>
      <c r="AN36" s="68">
        <v>232</v>
      </c>
      <c r="AO36" s="68">
        <v>241.76000000000002</v>
      </c>
      <c r="AP36" s="68">
        <v>311.44261307633337</v>
      </c>
      <c r="AQ36" s="63" t="s">
        <v>652</v>
      </c>
    </row>
    <row r="37" spans="1:46" x14ac:dyDescent="0.2">
      <c r="A37" s="68" t="s">
        <v>654</v>
      </c>
      <c r="B37" s="68" t="s">
        <v>655</v>
      </c>
      <c r="C37" s="68">
        <v>15</v>
      </c>
      <c r="D37" s="68">
        <v>0</v>
      </c>
      <c r="E37" s="68">
        <v>233.33</v>
      </c>
      <c r="F37" s="68">
        <v>247.46</v>
      </c>
      <c r="G37" s="68">
        <v>3499.95</v>
      </c>
      <c r="H37" s="68">
        <v>0</v>
      </c>
      <c r="I37" s="68">
        <v>0</v>
      </c>
      <c r="J37" s="68">
        <v>350</v>
      </c>
      <c r="K37" s="68">
        <v>350</v>
      </c>
      <c r="L37" s="68">
        <v>350</v>
      </c>
      <c r="M37" s="68">
        <v>4549.95</v>
      </c>
      <c r="N37" s="68">
        <v>134.36000000000001</v>
      </c>
      <c r="O37" s="68">
        <v>0</v>
      </c>
      <c r="P37" s="68">
        <v>88.16</v>
      </c>
      <c r="Q37" s="68">
        <v>0</v>
      </c>
      <c r="R37" s="68">
        <v>0</v>
      </c>
      <c r="S37" s="68"/>
      <c r="T37" s="68"/>
      <c r="U37" s="68"/>
      <c r="V37" s="68">
        <v>0</v>
      </c>
      <c r="W37" s="68">
        <v>0.03</v>
      </c>
      <c r="X37" s="68">
        <v>222.55</v>
      </c>
      <c r="Y37" s="68">
        <v>4327.3999999999996</v>
      </c>
      <c r="Z37" s="68">
        <v>23.2</v>
      </c>
      <c r="AA37" s="68">
        <v>41.76</v>
      </c>
      <c r="AB37" s="68">
        <v>23.2</v>
      </c>
      <c r="AC37" s="79">
        <v>-125.1</v>
      </c>
      <c r="AD37" s="68">
        <v>259.45999999999998</v>
      </c>
      <c r="AE37" s="68"/>
      <c r="AF37" s="68">
        <v>64.959999999999994</v>
      </c>
      <c r="AG37" s="68">
        <v>116.92</v>
      </c>
      <c r="AH37" s="68">
        <v>323.5</v>
      </c>
      <c r="AI37" s="68">
        <v>4549.95</v>
      </c>
      <c r="AJ37" s="68">
        <v>269.60000000000002</v>
      </c>
      <c r="AK37" s="68">
        <v>91</v>
      </c>
      <c r="AL37" s="68">
        <v>21.27</v>
      </c>
      <c r="AM37" s="68">
        <v>505.38</v>
      </c>
      <c r="AN37" s="68">
        <v>185.6</v>
      </c>
      <c r="AO37" s="68">
        <v>232.48000000000002</v>
      </c>
      <c r="AP37" s="68">
        <v>249.14768371481765</v>
      </c>
      <c r="AQ37" s="63" t="s">
        <v>652</v>
      </c>
    </row>
    <row r="38" spans="1:46" s="102" customFormat="1" x14ac:dyDescent="0.2">
      <c r="A38" s="101" t="s">
        <v>183</v>
      </c>
      <c r="C38" s="102" t="s">
        <v>174</v>
      </c>
      <c r="D38" s="102" t="s">
        <v>174</v>
      </c>
      <c r="E38" s="102" t="s">
        <v>174</v>
      </c>
      <c r="F38" s="102" t="s">
        <v>174</v>
      </c>
      <c r="G38" s="102" t="s">
        <v>174</v>
      </c>
      <c r="H38" s="102" t="s">
        <v>174</v>
      </c>
      <c r="I38" s="102" t="s">
        <v>174</v>
      </c>
      <c r="J38" s="102" t="s">
        <v>174</v>
      </c>
      <c r="K38" s="102" t="s">
        <v>174</v>
      </c>
      <c r="L38" s="102" t="s">
        <v>174</v>
      </c>
      <c r="M38" s="102" t="s">
        <v>174</v>
      </c>
      <c r="N38" s="102" t="s">
        <v>174</v>
      </c>
      <c r="O38" s="102" t="s">
        <v>174</v>
      </c>
      <c r="P38" s="102" t="s">
        <v>174</v>
      </c>
      <c r="Q38" s="102" t="s">
        <v>174</v>
      </c>
      <c r="R38" s="102" t="s">
        <v>174</v>
      </c>
      <c r="S38" s="102" t="s">
        <v>174</v>
      </c>
      <c r="T38" s="102" t="s">
        <v>174</v>
      </c>
      <c r="U38" s="102" t="s">
        <v>174</v>
      </c>
      <c r="V38" s="102" t="s">
        <v>174</v>
      </c>
      <c r="W38" s="102" t="s">
        <v>174</v>
      </c>
      <c r="X38" s="102" t="s">
        <v>174</v>
      </c>
      <c r="Y38" s="102" t="s">
        <v>174</v>
      </c>
      <c r="Z38" s="102" t="s">
        <v>174</v>
      </c>
      <c r="AA38" s="102" t="s">
        <v>174</v>
      </c>
      <c r="AB38" s="102" t="s">
        <v>174</v>
      </c>
      <c r="AC38" s="102" t="s">
        <v>174</v>
      </c>
      <c r="AD38" s="102" t="s">
        <v>174</v>
      </c>
      <c r="AF38" s="102" t="s">
        <v>174</v>
      </c>
      <c r="AG38" s="102" t="s">
        <v>174</v>
      </c>
      <c r="AH38" s="102" t="s">
        <v>174</v>
      </c>
      <c r="AI38" s="102" t="s">
        <v>174</v>
      </c>
      <c r="AJ38" s="102" t="s">
        <v>174</v>
      </c>
      <c r="AK38" s="102" t="s">
        <v>174</v>
      </c>
      <c r="AL38" s="102" t="s">
        <v>174</v>
      </c>
      <c r="AM38" s="102" t="s">
        <v>174</v>
      </c>
      <c r="AN38" s="102" t="s">
        <v>174</v>
      </c>
      <c r="AO38" s="102" t="s">
        <v>174</v>
      </c>
      <c r="AQ38" s="63"/>
      <c r="AR38" s="63"/>
      <c r="AS38" s="63"/>
    </row>
    <row r="39" spans="1:46" x14ac:dyDescent="0.2">
      <c r="A39" s="87">
        <f t="shared" ref="A39:AP39" si="0">SUM(A9:A38)</f>
        <v>0</v>
      </c>
      <c r="B39" s="87">
        <f t="shared" si="0"/>
        <v>0</v>
      </c>
      <c r="C39" s="87">
        <f t="shared" si="0"/>
        <v>432</v>
      </c>
      <c r="D39" s="87">
        <f t="shared" si="0"/>
        <v>3</v>
      </c>
      <c r="E39" s="87">
        <f t="shared" si="0"/>
        <v>7674.5499999999993</v>
      </c>
      <c r="F39" s="87">
        <f t="shared" si="0"/>
        <v>8118.1699999999992</v>
      </c>
      <c r="G39" s="87">
        <f t="shared" si="0"/>
        <v>114511.57999999999</v>
      </c>
      <c r="H39" s="87">
        <f t="shared" si="0"/>
        <v>606.66999999999996</v>
      </c>
      <c r="I39" s="87">
        <f t="shared" si="0"/>
        <v>467.99</v>
      </c>
      <c r="J39" s="87">
        <f t="shared" si="0"/>
        <v>11311.94</v>
      </c>
      <c r="K39" s="87">
        <f t="shared" si="0"/>
        <v>11311.94</v>
      </c>
      <c r="L39" s="87">
        <f t="shared" si="0"/>
        <v>11311.94</v>
      </c>
      <c r="M39" s="87">
        <f t="shared" si="0"/>
        <v>149522.05999999994</v>
      </c>
      <c r="N39" s="87">
        <f t="shared" si="0"/>
        <v>8489.3000000000011</v>
      </c>
      <c r="O39" s="87">
        <f t="shared" si="0"/>
        <v>-245.38</v>
      </c>
      <c r="P39" s="87">
        <f t="shared" si="0"/>
        <v>2994.3799999999992</v>
      </c>
      <c r="Q39" s="87">
        <f t="shared" si="0"/>
        <v>947.85</v>
      </c>
      <c r="R39" s="87">
        <f t="shared" si="0"/>
        <v>14305.259999999998</v>
      </c>
      <c r="S39" s="87">
        <f t="shared" si="0"/>
        <v>0</v>
      </c>
      <c r="T39" s="87">
        <f t="shared" si="0"/>
        <v>0</v>
      </c>
      <c r="U39" s="87">
        <f t="shared" si="0"/>
        <v>0</v>
      </c>
      <c r="V39" s="87">
        <f t="shared" si="0"/>
        <v>2029.5200000000002</v>
      </c>
      <c r="W39" s="87">
        <f t="shared" si="0"/>
        <v>0.73</v>
      </c>
      <c r="X39" s="87">
        <f t="shared" si="0"/>
        <v>28521.660000000011</v>
      </c>
      <c r="Y39" s="87">
        <f t="shared" si="0"/>
        <v>121000.4</v>
      </c>
      <c r="Z39" s="87">
        <f t="shared" si="0"/>
        <v>761.13000000000011</v>
      </c>
      <c r="AA39" s="87">
        <f t="shared" si="0"/>
        <v>1369.9799999999998</v>
      </c>
      <c r="AB39" s="87">
        <f t="shared" si="0"/>
        <v>863.27000000000021</v>
      </c>
      <c r="AC39" s="87">
        <f t="shared" si="0"/>
        <v>-2614.7199999999998</v>
      </c>
      <c r="AD39" s="87">
        <f t="shared" si="0"/>
        <v>10858.579999999996</v>
      </c>
      <c r="AE39" s="87">
        <f t="shared" si="0"/>
        <v>0</v>
      </c>
      <c r="AF39" s="87">
        <f t="shared" si="0"/>
        <v>2131.0300000000002</v>
      </c>
      <c r="AG39" s="87">
        <f t="shared" si="0"/>
        <v>3835.8399999999997</v>
      </c>
      <c r="AH39" s="87">
        <f t="shared" si="0"/>
        <v>9909.58</v>
      </c>
      <c r="AI39" s="87">
        <f t="shared" si="0"/>
        <v>149422.05999999994</v>
      </c>
      <c r="AJ39" s="87">
        <f t="shared" si="0"/>
        <v>8100.9</v>
      </c>
      <c r="AK39" s="87">
        <f t="shared" si="0"/>
        <v>2988.4099999999994</v>
      </c>
      <c r="AL39" s="87">
        <f t="shared" si="0"/>
        <v>697.6700000000003</v>
      </c>
      <c r="AM39" s="87">
        <f t="shared" si="0"/>
        <v>15876.450000000003</v>
      </c>
      <c r="AN39" s="87">
        <f t="shared" si="0"/>
        <v>6088.6100000000006</v>
      </c>
      <c r="AO39" s="87">
        <f t="shared" si="0"/>
        <v>6883.1399999999994</v>
      </c>
      <c r="AP39" s="87">
        <f t="shared" si="0"/>
        <v>8194.8157375971969</v>
      </c>
    </row>
    <row r="40" spans="1:46" x14ac:dyDescent="0.2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</row>
    <row r="41" spans="1:46" x14ac:dyDescent="0.2">
      <c r="A41" s="87">
        <v>30</v>
      </c>
      <c r="B41" s="87" t="s">
        <v>528</v>
      </c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</row>
    <row r="42" spans="1:46" x14ac:dyDescent="0.2">
      <c r="A42" s="87">
        <v>0</v>
      </c>
      <c r="B42" s="87" t="s">
        <v>410</v>
      </c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</row>
    <row r="43" spans="1:46" x14ac:dyDescent="0.2">
      <c r="A43" s="87">
        <v>1</v>
      </c>
      <c r="B43" s="87" t="s">
        <v>411</v>
      </c>
    </row>
    <row r="44" spans="1:46" x14ac:dyDescent="0.2">
      <c r="A44" s="87">
        <f>+A41+A42-A43</f>
        <v>29</v>
      </c>
      <c r="B44" s="87" t="s">
        <v>527</v>
      </c>
      <c r="L44" s="103" t="s">
        <v>47</v>
      </c>
      <c r="M44" s="104">
        <f>+Y39</f>
        <v>121000.4</v>
      </c>
    </row>
    <row r="45" spans="1:46" x14ac:dyDescent="0.2">
      <c r="A45" s="87"/>
      <c r="B45" s="87"/>
      <c r="L45" s="103" t="s">
        <v>48</v>
      </c>
      <c r="M45" s="104">
        <f>+V39</f>
        <v>2029.5200000000002</v>
      </c>
    </row>
    <row r="46" spans="1:46" x14ac:dyDescent="0.2">
      <c r="A46" s="87"/>
      <c r="B46" s="87"/>
      <c r="L46" s="103" t="s">
        <v>188</v>
      </c>
      <c r="M46" s="104">
        <f>+S39+R39+Q39+T39</f>
        <v>15253.109999999999</v>
      </c>
    </row>
    <row r="47" spans="1:46" x14ac:dyDescent="0.2">
      <c r="A47" s="87"/>
      <c r="B47" s="87"/>
      <c r="L47" s="103" t="s">
        <v>353</v>
      </c>
      <c r="M47" s="104">
        <f>+U39</f>
        <v>0</v>
      </c>
    </row>
    <row r="48" spans="1:46" x14ac:dyDescent="0.2">
      <c r="A48" s="87"/>
      <c r="B48" s="87"/>
      <c r="L48" s="103" t="s">
        <v>49</v>
      </c>
      <c r="M48" s="104">
        <f>SUM(M44:M47)</f>
        <v>138283.03</v>
      </c>
    </row>
    <row r="49" spans="12:13" x14ac:dyDescent="0.2">
      <c r="L49" s="103" t="s">
        <v>50</v>
      </c>
      <c r="M49" s="104">
        <f>+M48*2%</f>
        <v>2765.6606000000002</v>
      </c>
    </row>
    <row r="50" spans="12:13" x14ac:dyDescent="0.2">
      <c r="L50" s="103" t="s">
        <v>51</v>
      </c>
      <c r="M50" s="104">
        <f>+M48+M49</f>
        <v>141048.6906</v>
      </c>
    </row>
    <row r="51" spans="12:13" x14ac:dyDescent="0.2">
      <c r="L51" s="103" t="s">
        <v>52</v>
      </c>
      <c r="M51" s="104">
        <f>+P39+AF39+AG39+AH39+AJ39+AL39+AN39+AO39</f>
        <v>40641.150000000009</v>
      </c>
    </row>
    <row r="52" spans="12:13" x14ac:dyDescent="0.2">
      <c r="L52" s="103" t="s">
        <v>53</v>
      </c>
      <c r="M52" s="104">
        <f>+M39*2%</f>
        <v>2990.4411999999988</v>
      </c>
    </row>
    <row r="53" spans="12:13" x14ac:dyDescent="0.2">
      <c r="L53" s="103" t="s">
        <v>54</v>
      </c>
      <c r="M53" s="104">
        <f>+M50+M51+M52</f>
        <v>184680.2818</v>
      </c>
    </row>
    <row r="54" spans="12:13" x14ac:dyDescent="0.2">
      <c r="L54" s="103" t="s">
        <v>55</v>
      </c>
      <c r="M54" s="104">
        <f>+M53*16%</f>
        <v>29548.845088000002</v>
      </c>
    </row>
    <row r="55" spans="12:13" x14ac:dyDescent="0.2">
      <c r="L55" s="103" t="s">
        <v>56</v>
      </c>
      <c r="M55" s="104">
        <f>+M53+M54</f>
        <v>214229.126888</v>
      </c>
    </row>
  </sheetData>
  <autoFilter ref="A8:AS39"/>
  <mergeCells count="4">
    <mergeCell ref="B1:G1"/>
    <mergeCell ref="B2:G2"/>
    <mergeCell ref="B3:G3"/>
    <mergeCell ref="B5:G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AU63"/>
  <sheetViews>
    <sheetView showGridLines="0" zoomScale="80" zoomScaleNormal="80" workbookViewId="0">
      <pane xSplit="3" ySplit="8" topLeftCell="I9" activePane="bottomRight" state="frozen"/>
      <selection activeCell="B76" sqref="B76"/>
      <selection pane="topRight" activeCell="B76" sqref="B76"/>
      <selection pane="bottomLeft" activeCell="B76" sqref="B76"/>
      <selection pane="bottomRight" activeCell="C21" sqref="C21"/>
    </sheetView>
  </sheetViews>
  <sheetFormatPr baseColWidth="10" defaultColWidth="11.42578125" defaultRowHeight="12.75" outlineLevelRow="2" x14ac:dyDescent="0.2"/>
  <cols>
    <col min="1" max="1" width="16.140625" style="63" customWidth="1"/>
    <col min="2" max="2" width="11.42578125" style="63" customWidth="1"/>
    <col min="3" max="3" width="39.28515625" style="63" customWidth="1"/>
    <col min="4" max="4" width="13" style="63" customWidth="1"/>
    <col min="5" max="5" width="13.7109375" style="63" customWidth="1"/>
    <col min="6" max="7" width="18.42578125" style="63" hidden="1" customWidth="1"/>
    <col min="8" max="10" width="18.42578125" style="63" customWidth="1"/>
    <col min="11" max="11" width="16.28515625" style="96" customWidth="1"/>
    <col min="12" max="12" width="16.28515625" style="63" customWidth="1"/>
    <col min="13" max="13" width="17.5703125" style="63" customWidth="1"/>
    <col min="14" max="14" width="16.28515625" style="63" customWidth="1"/>
    <col min="15" max="15" width="18.5703125" style="63" customWidth="1"/>
    <col min="16" max="19" width="16.140625" style="63" customWidth="1"/>
    <col min="20" max="24" width="15.7109375" style="63" customWidth="1"/>
    <col min="25" max="25" width="17.28515625" style="63" customWidth="1"/>
    <col min="26" max="26" width="17" style="63" customWidth="1"/>
    <col min="27" max="43" width="15.7109375" style="63" customWidth="1"/>
    <col min="44" max="44" width="17.140625" style="63" customWidth="1"/>
    <col min="45" max="16384" width="11.42578125" style="63"/>
  </cols>
  <sheetData>
    <row r="1" spans="2:44" ht="18" customHeight="1" x14ac:dyDescent="0.2">
      <c r="B1" s="94"/>
      <c r="C1" s="161" t="s">
        <v>177</v>
      </c>
      <c r="D1" s="161"/>
      <c r="E1" s="161"/>
      <c r="F1" s="161"/>
      <c r="G1" s="161"/>
      <c r="H1" s="162"/>
      <c r="I1" s="147"/>
      <c r="J1" s="147"/>
    </row>
    <row r="2" spans="2:44" ht="24.95" customHeight="1" x14ac:dyDescent="0.2">
      <c r="B2" s="97"/>
      <c r="C2" s="163" t="s">
        <v>0</v>
      </c>
      <c r="D2" s="163"/>
      <c r="E2" s="163"/>
      <c r="F2" s="163"/>
      <c r="G2" s="163"/>
      <c r="H2" s="164"/>
      <c r="I2" s="98"/>
      <c r="J2" s="98"/>
    </row>
    <row r="3" spans="2:44" x14ac:dyDescent="0.2">
      <c r="C3" s="165" t="s">
        <v>178</v>
      </c>
      <c r="D3" s="165"/>
      <c r="E3" s="165"/>
      <c r="F3" s="165"/>
      <c r="G3" s="165"/>
      <c r="H3" s="165"/>
      <c r="I3" s="147"/>
      <c r="J3" s="147"/>
    </row>
    <row r="4" spans="2:44" x14ac:dyDescent="0.2">
      <c r="C4" s="148" t="s">
        <v>179</v>
      </c>
      <c r="D4" s="148"/>
      <c r="E4" s="148"/>
      <c r="F4" s="148"/>
      <c r="G4" s="148"/>
      <c r="H4" s="148"/>
      <c r="I4" s="147"/>
      <c r="J4" s="147"/>
    </row>
    <row r="5" spans="2:44" x14ac:dyDescent="0.2">
      <c r="C5" s="165" t="s">
        <v>180</v>
      </c>
      <c r="D5" s="165"/>
      <c r="E5" s="165"/>
      <c r="F5" s="165"/>
      <c r="G5" s="165"/>
      <c r="H5" s="165"/>
      <c r="I5" s="67"/>
      <c r="J5" s="67"/>
    </row>
    <row r="6" spans="2:44" x14ac:dyDescent="0.2">
      <c r="I6" s="67"/>
      <c r="J6" s="67"/>
    </row>
    <row r="8" spans="2:44" s="98" customFormat="1" ht="26.25" thickBot="1" x14ac:dyDescent="0.3">
      <c r="B8" s="64" t="s">
        <v>181</v>
      </c>
      <c r="C8" s="64" t="s">
        <v>182</v>
      </c>
      <c r="D8" s="64" t="s">
        <v>399</v>
      </c>
      <c r="E8" s="64" t="s">
        <v>421</v>
      </c>
      <c r="F8" s="64" t="s">
        <v>588</v>
      </c>
      <c r="G8" s="64" t="s">
        <v>589</v>
      </c>
      <c r="H8" s="64" t="s">
        <v>147</v>
      </c>
      <c r="I8" s="64" t="s">
        <v>394</v>
      </c>
      <c r="J8" s="64" t="s">
        <v>395</v>
      </c>
      <c r="K8" s="64" t="s">
        <v>148</v>
      </c>
      <c r="L8" s="64" t="s">
        <v>149</v>
      </c>
      <c r="M8" s="64" t="s">
        <v>150</v>
      </c>
      <c r="N8" s="65" t="s">
        <v>151</v>
      </c>
      <c r="O8" s="64" t="s">
        <v>152</v>
      </c>
      <c r="P8" s="64" t="s">
        <v>153</v>
      </c>
      <c r="Q8" s="64" t="s">
        <v>154</v>
      </c>
      <c r="R8" s="64" t="s">
        <v>539</v>
      </c>
      <c r="S8" s="64" t="s">
        <v>155</v>
      </c>
      <c r="T8" s="64" t="s">
        <v>541</v>
      </c>
      <c r="U8" s="64" t="s">
        <v>540</v>
      </c>
      <c r="V8" s="64" t="s">
        <v>326</v>
      </c>
      <c r="W8" s="64" t="s">
        <v>146</v>
      </c>
      <c r="X8" s="64" t="s">
        <v>156</v>
      </c>
      <c r="Y8" s="65" t="s">
        <v>157</v>
      </c>
      <c r="Z8" s="66" t="s">
        <v>158</v>
      </c>
      <c r="AA8" s="64" t="s">
        <v>161</v>
      </c>
      <c r="AB8" s="64" t="s">
        <v>162</v>
      </c>
      <c r="AC8" s="64" t="s">
        <v>163</v>
      </c>
      <c r="AD8" s="64" t="s">
        <v>159</v>
      </c>
      <c r="AE8" s="64" t="s">
        <v>160</v>
      </c>
      <c r="AF8" s="64" t="s">
        <v>660</v>
      </c>
      <c r="AG8" s="64" t="s">
        <v>164</v>
      </c>
      <c r="AH8" s="64" t="s">
        <v>165</v>
      </c>
      <c r="AI8" s="64" t="s">
        <v>166</v>
      </c>
      <c r="AJ8" s="64" t="s">
        <v>167</v>
      </c>
      <c r="AK8" s="64" t="s">
        <v>168</v>
      </c>
      <c r="AL8" s="64" t="s">
        <v>169</v>
      </c>
      <c r="AM8" s="64" t="s">
        <v>170</v>
      </c>
      <c r="AN8" s="64" t="s">
        <v>171</v>
      </c>
      <c r="AO8" s="64" t="s">
        <v>172</v>
      </c>
      <c r="AP8" s="64" t="s">
        <v>173</v>
      </c>
      <c r="AQ8" s="64" t="s">
        <v>666</v>
      </c>
      <c r="AR8" s="64" t="s">
        <v>653</v>
      </c>
    </row>
    <row r="9" spans="2:44" ht="13.5" hidden="1" outlineLevel="2" thickTop="1" x14ac:dyDescent="0.2">
      <c r="B9" s="63" t="s">
        <v>10</v>
      </c>
      <c r="C9" s="63" t="s">
        <v>331</v>
      </c>
      <c r="D9" s="63">
        <v>15</v>
      </c>
      <c r="E9" s="63">
        <v>0</v>
      </c>
      <c r="F9" s="63">
        <v>141.66999999999999</v>
      </c>
      <c r="G9" s="63">
        <v>150.25</v>
      </c>
      <c r="H9" s="63">
        <v>2125.0500000000002</v>
      </c>
      <c r="I9" s="68">
        <v>0</v>
      </c>
      <c r="J9" s="68">
        <v>0</v>
      </c>
      <c r="K9" s="68">
        <v>212.51</v>
      </c>
      <c r="L9" s="68">
        <v>212.51</v>
      </c>
      <c r="M9" s="68">
        <v>212.51</v>
      </c>
      <c r="N9" s="68">
        <v>2762.58</v>
      </c>
      <c r="O9" s="68">
        <v>0</v>
      </c>
      <c r="P9" s="79">
        <v>-65.5</v>
      </c>
      <c r="Q9" s="68">
        <v>53.52</v>
      </c>
      <c r="R9" s="68">
        <v>0</v>
      </c>
      <c r="S9" s="68">
        <v>0</v>
      </c>
      <c r="T9" s="68"/>
      <c r="U9" s="68"/>
      <c r="V9" s="68"/>
      <c r="W9" s="68">
        <v>0</v>
      </c>
      <c r="X9" s="68">
        <v>0.16</v>
      </c>
      <c r="Y9" s="68">
        <v>-11.82</v>
      </c>
      <c r="Z9" s="68">
        <v>2774.4</v>
      </c>
      <c r="AA9" s="68">
        <v>14.09</v>
      </c>
      <c r="AB9" s="68">
        <v>25.35</v>
      </c>
      <c r="AC9" s="68">
        <v>14.08</v>
      </c>
      <c r="AD9" s="79">
        <v>-188.71</v>
      </c>
      <c r="AE9" s="68">
        <v>123.22</v>
      </c>
      <c r="AF9" s="68"/>
      <c r="AG9" s="68">
        <v>39.44</v>
      </c>
      <c r="AH9" s="68">
        <v>70.989999999999995</v>
      </c>
      <c r="AI9" s="68">
        <v>297.98</v>
      </c>
      <c r="AJ9" s="68">
        <v>2762.58</v>
      </c>
      <c r="AK9" s="68">
        <v>240.44</v>
      </c>
      <c r="AL9" s="68">
        <v>55.25</v>
      </c>
      <c r="AM9" s="68">
        <v>12.91</v>
      </c>
      <c r="AN9" s="68">
        <v>408.41</v>
      </c>
      <c r="AO9" s="68">
        <v>112.69</v>
      </c>
      <c r="AP9" s="68">
        <v>217.9</v>
      </c>
      <c r="AQ9" s="68">
        <v>151.2739568502902</v>
      </c>
      <c r="AR9" s="63" t="s">
        <v>651</v>
      </c>
    </row>
    <row r="10" spans="2:44" hidden="1" outlineLevel="2" x14ac:dyDescent="0.2">
      <c r="B10" s="63" t="s">
        <v>12</v>
      </c>
      <c r="C10" s="63" t="s">
        <v>332</v>
      </c>
      <c r="D10" s="63">
        <v>15</v>
      </c>
      <c r="E10" s="63">
        <v>0</v>
      </c>
      <c r="F10" s="63">
        <v>150</v>
      </c>
      <c r="G10" s="63">
        <v>159.07</v>
      </c>
      <c r="H10" s="63">
        <v>2250</v>
      </c>
      <c r="I10" s="68">
        <v>0</v>
      </c>
      <c r="J10" s="68">
        <v>0</v>
      </c>
      <c r="K10" s="68">
        <v>225</v>
      </c>
      <c r="L10" s="68">
        <v>225</v>
      </c>
      <c r="M10" s="68">
        <v>225</v>
      </c>
      <c r="N10" s="68">
        <v>2925</v>
      </c>
      <c r="O10" s="68">
        <v>0</v>
      </c>
      <c r="P10" s="79">
        <v>-43.57</v>
      </c>
      <c r="Q10" s="68">
        <v>56.67</v>
      </c>
      <c r="R10" s="68">
        <v>0</v>
      </c>
      <c r="S10" s="68">
        <v>0</v>
      </c>
      <c r="T10" s="68"/>
      <c r="U10" s="68"/>
      <c r="V10" s="68"/>
      <c r="W10" s="68">
        <v>0</v>
      </c>
      <c r="X10" s="68">
        <v>0.1</v>
      </c>
      <c r="Y10" s="68">
        <v>13.2</v>
      </c>
      <c r="Z10" s="68">
        <v>2911.8</v>
      </c>
      <c r="AA10" s="68">
        <v>14.91</v>
      </c>
      <c r="AB10" s="68">
        <v>26.84</v>
      </c>
      <c r="AC10" s="68">
        <v>14.92</v>
      </c>
      <c r="AD10" s="79">
        <v>-174.78</v>
      </c>
      <c r="AE10" s="68">
        <v>131.21</v>
      </c>
      <c r="AF10" s="68"/>
      <c r="AG10" s="68">
        <v>41.76</v>
      </c>
      <c r="AH10" s="68">
        <v>75.16</v>
      </c>
      <c r="AI10" s="68">
        <v>300.29000000000002</v>
      </c>
      <c r="AJ10" s="68">
        <v>2925</v>
      </c>
      <c r="AK10" s="68">
        <v>243.08</v>
      </c>
      <c r="AL10" s="68">
        <v>58.5</v>
      </c>
      <c r="AM10" s="68">
        <v>13.67</v>
      </c>
      <c r="AN10" s="68">
        <v>417.21</v>
      </c>
      <c r="AO10" s="68">
        <v>119.31</v>
      </c>
      <c r="AP10" s="68">
        <v>219.22000000000003</v>
      </c>
      <c r="AQ10" s="68">
        <v>160.16865622604314</v>
      </c>
      <c r="AR10" s="63" t="s">
        <v>651</v>
      </c>
    </row>
    <row r="11" spans="2:44" hidden="1" outlineLevel="2" x14ac:dyDescent="0.2">
      <c r="B11" s="63" t="s">
        <v>223</v>
      </c>
      <c r="C11" s="63" t="s">
        <v>334</v>
      </c>
      <c r="D11" s="63">
        <v>15</v>
      </c>
      <c r="E11" s="63">
        <v>0</v>
      </c>
      <c r="F11" s="63">
        <v>666.67</v>
      </c>
      <c r="G11" s="63">
        <v>696.81</v>
      </c>
      <c r="H11" s="63">
        <v>10000.049999999999</v>
      </c>
      <c r="I11" s="68">
        <v>0</v>
      </c>
      <c r="J11" s="68">
        <v>0</v>
      </c>
      <c r="K11" s="68">
        <v>1000</v>
      </c>
      <c r="L11" s="68">
        <v>1000</v>
      </c>
      <c r="M11" s="68">
        <v>1000</v>
      </c>
      <c r="N11" s="68">
        <v>13000.05</v>
      </c>
      <c r="O11" s="68">
        <v>1497.79</v>
      </c>
      <c r="P11" s="68">
        <v>0</v>
      </c>
      <c r="Q11" s="68">
        <v>274.85000000000002</v>
      </c>
      <c r="R11" s="68">
        <v>0</v>
      </c>
      <c r="S11" s="68">
        <v>0</v>
      </c>
      <c r="T11" s="68"/>
      <c r="U11" s="68"/>
      <c r="V11" s="68"/>
      <c r="W11" s="68">
        <v>0</v>
      </c>
      <c r="X11" s="79">
        <v>0.01</v>
      </c>
      <c r="Y11" s="68">
        <v>1772.65</v>
      </c>
      <c r="Z11" s="68">
        <v>11227.4</v>
      </c>
      <c r="AA11" s="68">
        <v>65.33</v>
      </c>
      <c r="AB11" s="68">
        <v>117.59</v>
      </c>
      <c r="AC11" s="68">
        <v>91.93</v>
      </c>
      <c r="AD11" s="68">
        <v>0</v>
      </c>
      <c r="AE11" s="68">
        <v>1497.79</v>
      </c>
      <c r="AF11" s="68"/>
      <c r="AG11" s="68">
        <v>182.91</v>
      </c>
      <c r="AH11" s="68">
        <v>329.24</v>
      </c>
      <c r="AI11" s="68">
        <v>514.6</v>
      </c>
      <c r="AJ11" s="68">
        <v>13000.05</v>
      </c>
      <c r="AK11" s="68">
        <v>404.4</v>
      </c>
      <c r="AL11" s="68">
        <v>260</v>
      </c>
      <c r="AM11" s="68">
        <v>59.88</v>
      </c>
      <c r="AN11" s="68">
        <v>1026.75</v>
      </c>
      <c r="AO11" s="68">
        <v>522.61</v>
      </c>
      <c r="AP11" s="68">
        <v>299.88</v>
      </c>
      <c r="AQ11" s="68">
        <v>711.86425364144111</v>
      </c>
      <c r="AR11" s="63" t="s">
        <v>651</v>
      </c>
    </row>
    <row r="12" spans="2:44" hidden="1" outlineLevel="2" x14ac:dyDescent="0.2">
      <c r="B12" s="63" t="s">
        <v>224</v>
      </c>
      <c r="C12" s="63" t="s">
        <v>335</v>
      </c>
      <c r="D12" s="63">
        <v>15</v>
      </c>
      <c r="E12" s="63">
        <v>0</v>
      </c>
      <c r="F12" s="63">
        <v>216.67</v>
      </c>
      <c r="G12" s="63">
        <v>229.79</v>
      </c>
      <c r="H12" s="63">
        <v>3250.05</v>
      </c>
      <c r="I12" s="68">
        <v>0</v>
      </c>
      <c r="J12" s="68">
        <v>0</v>
      </c>
      <c r="K12" s="68">
        <v>325.01</v>
      </c>
      <c r="L12" s="68">
        <v>325.01</v>
      </c>
      <c r="M12" s="68">
        <v>325.01</v>
      </c>
      <c r="N12" s="68">
        <v>4225.08</v>
      </c>
      <c r="O12" s="68">
        <v>107.17</v>
      </c>
      <c r="P12" s="68">
        <v>0</v>
      </c>
      <c r="Q12" s="68">
        <v>81.87</v>
      </c>
      <c r="R12" s="68">
        <v>0</v>
      </c>
      <c r="S12" s="68">
        <v>0</v>
      </c>
      <c r="T12" s="68"/>
      <c r="U12" s="68"/>
      <c r="V12" s="68"/>
      <c r="W12" s="68">
        <v>0</v>
      </c>
      <c r="X12" s="68">
        <v>0.04</v>
      </c>
      <c r="Y12" s="68">
        <v>189.08</v>
      </c>
      <c r="Z12" s="68">
        <v>4036</v>
      </c>
      <c r="AA12" s="68">
        <v>21.54</v>
      </c>
      <c r="AB12" s="68">
        <v>38.78</v>
      </c>
      <c r="AC12" s="68">
        <v>21.55</v>
      </c>
      <c r="AD12" s="79">
        <v>-125.1</v>
      </c>
      <c r="AE12" s="68">
        <v>232.27</v>
      </c>
      <c r="AF12" s="68"/>
      <c r="AG12" s="68">
        <v>60.32</v>
      </c>
      <c r="AH12" s="68">
        <v>108.58</v>
      </c>
      <c r="AI12" s="68">
        <v>318.86</v>
      </c>
      <c r="AJ12" s="68">
        <v>4225.08</v>
      </c>
      <c r="AK12" s="68">
        <v>264.3</v>
      </c>
      <c r="AL12" s="68">
        <v>84.5</v>
      </c>
      <c r="AM12" s="68">
        <v>19.75</v>
      </c>
      <c r="AN12" s="68">
        <v>487.76</v>
      </c>
      <c r="AO12" s="68">
        <v>172.34</v>
      </c>
      <c r="AP12" s="68">
        <v>229.83</v>
      </c>
      <c r="AQ12" s="68">
        <v>231.35828496331177</v>
      </c>
      <c r="AR12" s="63" t="s">
        <v>651</v>
      </c>
    </row>
    <row r="13" spans="2:44" hidden="1" outlineLevel="2" x14ac:dyDescent="0.2">
      <c r="B13" s="63" t="s">
        <v>225</v>
      </c>
      <c r="C13" s="63" t="s">
        <v>336</v>
      </c>
      <c r="D13" s="63">
        <v>15</v>
      </c>
      <c r="E13" s="63">
        <v>0</v>
      </c>
      <c r="F13" s="63">
        <v>283.33</v>
      </c>
      <c r="G13" s="63">
        <v>300.49</v>
      </c>
      <c r="H13" s="63">
        <v>4249.95</v>
      </c>
      <c r="I13" s="68">
        <v>0</v>
      </c>
      <c r="J13" s="68">
        <v>0</v>
      </c>
      <c r="K13" s="68">
        <v>425</v>
      </c>
      <c r="L13" s="68">
        <v>425</v>
      </c>
      <c r="M13" s="68">
        <v>425</v>
      </c>
      <c r="N13" s="68">
        <v>5524.95</v>
      </c>
      <c r="O13" s="68">
        <v>341.06</v>
      </c>
      <c r="P13" s="68">
        <v>0</v>
      </c>
      <c r="Q13" s="68">
        <v>109.87</v>
      </c>
      <c r="R13" s="68">
        <v>0</v>
      </c>
      <c r="S13" s="68">
        <v>0</v>
      </c>
      <c r="T13" s="68"/>
      <c r="U13" s="68"/>
      <c r="V13" s="68"/>
      <c r="W13" s="68">
        <v>0</v>
      </c>
      <c r="X13" s="68">
        <v>0.02</v>
      </c>
      <c r="Y13" s="68">
        <v>450.95</v>
      </c>
      <c r="Z13" s="68">
        <v>5074</v>
      </c>
      <c r="AA13" s="68">
        <v>28.17</v>
      </c>
      <c r="AB13" s="68">
        <v>50.71</v>
      </c>
      <c r="AC13" s="68">
        <v>30.99</v>
      </c>
      <c r="AD13" s="68">
        <v>0</v>
      </c>
      <c r="AE13" s="68">
        <v>341.06</v>
      </c>
      <c r="AF13" s="68"/>
      <c r="AG13" s="68">
        <v>78.88</v>
      </c>
      <c r="AH13" s="68">
        <v>141.97999999999999</v>
      </c>
      <c r="AI13" s="68">
        <v>345.18</v>
      </c>
      <c r="AJ13" s="68">
        <v>5524.95</v>
      </c>
      <c r="AK13" s="68">
        <v>285.51</v>
      </c>
      <c r="AL13" s="68">
        <v>110.5</v>
      </c>
      <c r="AM13" s="68">
        <v>25.82</v>
      </c>
      <c r="AN13" s="68">
        <v>566.04</v>
      </c>
      <c r="AO13" s="68">
        <v>225.37</v>
      </c>
      <c r="AP13" s="68">
        <v>240.43</v>
      </c>
      <c r="AQ13" s="68">
        <v>302.53723579016531</v>
      </c>
      <c r="AR13" s="60" t="s">
        <v>651</v>
      </c>
    </row>
    <row r="14" spans="2:44" hidden="1" outlineLevel="2" x14ac:dyDescent="0.2">
      <c r="B14" s="63" t="s">
        <v>16</v>
      </c>
      <c r="C14" s="63" t="s">
        <v>337</v>
      </c>
      <c r="D14" s="63">
        <v>15</v>
      </c>
      <c r="E14" s="63">
        <v>0</v>
      </c>
      <c r="F14" s="63">
        <v>273.33</v>
      </c>
      <c r="G14" s="63">
        <v>289.87</v>
      </c>
      <c r="H14" s="63">
        <v>4099.95</v>
      </c>
      <c r="I14" s="68">
        <v>0</v>
      </c>
      <c r="J14" s="68">
        <v>0</v>
      </c>
      <c r="K14" s="68">
        <v>410</v>
      </c>
      <c r="L14" s="68">
        <v>410</v>
      </c>
      <c r="M14" s="68">
        <v>410</v>
      </c>
      <c r="N14" s="68">
        <v>5329.95</v>
      </c>
      <c r="O14" s="68">
        <v>324.74</v>
      </c>
      <c r="P14" s="68">
        <v>0</v>
      </c>
      <c r="Q14" s="68">
        <v>105.46</v>
      </c>
      <c r="R14" s="68">
        <v>0</v>
      </c>
      <c r="S14" s="68">
        <v>0</v>
      </c>
      <c r="T14" s="68"/>
      <c r="U14" s="68"/>
      <c r="V14" s="68"/>
      <c r="W14" s="68">
        <v>0</v>
      </c>
      <c r="X14" s="68">
        <v>0.15</v>
      </c>
      <c r="Y14" s="68">
        <v>430.35</v>
      </c>
      <c r="Z14" s="68">
        <v>4899.6000000000004</v>
      </c>
      <c r="AA14" s="68">
        <v>27.18</v>
      </c>
      <c r="AB14" s="68">
        <v>48.92</v>
      </c>
      <c r="AC14" s="68">
        <v>29.36</v>
      </c>
      <c r="AD14" s="68">
        <v>0</v>
      </c>
      <c r="AE14" s="68">
        <v>324.74</v>
      </c>
      <c r="AF14" s="68"/>
      <c r="AG14" s="68">
        <v>76.09</v>
      </c>
      <c r="AH14" s="68">
        <v>136.96</v>
      </c>
      <c r="AI14" s="68">
        <v>340.64</v>
      </c>
      <c r="AJ14" s="68">
        <v>5329.95</v>
      </c>
      <c r="AK14" s="68">
        <v>282.32</v>
      </c>
      <c r="AL14" s="68">
        <v>106.6</v>
      </c>
      <c r="AM14" s="68">
        <v>24.91</v>
      </c>
      <c r="AN14" s="68">
        <v>553.69000000000005</v>
      </c>
      <c r="AO14" s="68">
        <v>217.4</v>
      </c>
      <c r="AP14" s="68">
        <v>238.84</v>
      </c>
      <c r="AQ14" s="68">
        <v>291.85932537509575</v>
      </c>
      <c r="AR14" s="60" t="s">
        <v>651</v>
      </c>
    </row>
    <row r="15" spans="2:44" hidden="1" outlineLevel="2" x14ac:dyDescent="0.2">
      <c r="B15" s="63" t="s">
        <v>18</v>
      </c>
      <c r="C15" s="63" t="s">
        <v>338</v>
      </c>
      <c r="D15" s="63">
        <v>15</v>
      </c>
      <c r="E15" s="63">
        <v>0</v>
      </c>
      <c r="F15" s="63">
        <v>185.83</v>
      </c>
      <c r="G15" s="63">
        <v>197.07</v>
      </c>
      <c r="H15" s="63">
        <v>2787.45</v>
      </c>
      <c r="I15" s="68">
        <v>0</v>
      </c>
      <c r="J15" s="68">
        <v>0</v>
      </c>
      <c r="K15" s="68">
        <v>278.75</v>
      </c>
      <c r="L15" s="68">
        <v>278.75</v>
      </c>
      <c r="M15" s="68">
        <v>278.75</v>
      </c>
      <c r="N15" s="68">
        <v>3623.7</v>
      </c>
      <c r="O15" s="68">
        <v>36.57</v>
      </c>
      <c r="P15" s="68">
        <v>0</v>
      </c>
      <c r="Q15" s="68">
        <v>70.22</v>
      </c>
      <c r="R15" s="68">
        <v>0</v>
      </c>
      <c r="S15" s="68">
        <v>1559.39</v>
      </c>
      <c r="T15" s="68"/>
      <c r="U15" s="68"/>
      <c r="V15" s="68"/>
      <c r="W15" s="68">
        <v>224.7</v>
      </c>
      <c r="X15" s="68">
        <v>-0.18</v>
      </c>
      <c r="Y15" s="68">
        <v>1890.7</v>
      </c>
      <c r="Z15" s="68">
        <v>1733</v>
      </c>
      <c r="AA15" s="68">
        <v>18.48</v>
      </c>
      <c r="AB15" s="68">
        <v>33.26</v>
      </c>
      <c r="AC15" s="68">
        <v>18.48</v>
      </c>
      <c r="AD15" s="79">
        <v>-145.38</v>
      </c>
      <c r="AE15" s="68">
        <v>181.94</v>
      </c>
      <c r="AF15" s="68"/>
      <c r="AG15" s="68">
        <v>51.73</v>
      </c>
      <c r="AH15" s="68">
        <v>93.12</v>
      </c>
      <c r="AI15" s="68">
        <v>310.27</v>
      </c>
      <c r="AJ15" s="68">
        <v>3623.7</v>
      </c>
      <c r="AK15" s="68">
        <v>254.48000000000002</v>
      </c>
      <c r="AL15" s="68">
        <v>72.47</v>
      </c>
      <c r="AM15" s="68">
        <v>16.940000000000001</v>
      </c>
      <c r="AN15" s="68">
        <v>455.12</v>
      </c>
      <c r="AO15" s="68">
        <v>147.80000000000001</v>
      </c>
      <c r="AP15" s="68">
        <v>224.92000000000002</v>
      </c>
      <c r="AQ15" s="68">
        <v>198.42760924323733</v>
      </c>
      <c r="AR15" s="63" t="s">
        <v>651</v>
      </c>
    </row>
    <row r="16" spans="2:44" hidden="1" outlineLevel="2" x14ac:dyDescent="0.2">
      <c r="B16" s="63" t="s">
        <v>20</v>
      </c>
      <c r="C16" s="63" t="s">
        <v>339</v>
      </c>
      <c r="D16" s="63">
        <v>14</v>
      </c>
      <c r="E16" s="63">
        <v>1</v>
      </c>
      <c r="F16" s="63">
        <v>273.33</v>
      </c>
      <c r="G16" s="63">
        <v>289.87</v>
      </c>
      <c r="H16" s="63">
        <v>3826.62</v>
      </c>
      <c r="I16" s="68">
        <v>273.33</v>
      </c>
      <c r="J16" s="68">
        <v>82</v>
      </c>
      <c r="K16" s="68">
        <v>410</v>
      </c>
      <c r="L16" s="68">
        <v>410</v>
      </c>
      <c r="M16" s="68">
        <v>410</v>
      </c>
      <c r="N16" s="68">
        <v>5411.95</v>
      </c>
      <c r="O16" s="68">
        <v>324.74</v>
      </c>
      <c r="P16" s="68">
        <v>0</v>
      </c>
      <c r="Q16" s="68">
        <v>105.46</v>
      </c>
      <c r="R16" s="68">
        <v>0</v>
      </c>
      <c r="S16" s="68">
        <v>0</v>
      </c>
      <c r="T16" s="68"/>
      <c r="U16" s="68"/>
      <c r="V16" s="68"/>
      <c r="W16" s="68">
        <v>0</v>
      </c>
      <c r="X16" s="79">
        <v>0.15</v>
      </c>
      <c r="Y16" s="68">
        <v>430.35</v>
      </c>
      <c r="Z16" s="68">
        <v>4981.6000000000004</v>
      </c>
      <c r="AA16" s="68">
        <v>27.18</v>
      </c>
      <c r="AB16" s="68">
        <v>48.92</v>
      </c>
      <c r="AC16" s="68">
        <v>29.36</v>
      </c>
      <c r="AD16" s="68">
        <v>0</v>
      </c>
      <c r="AE16" s="68">
        <v>324.74</v>
      </c>
      <c r="AF16" s="68"/>
      <c r="AG16" s="68">
        <v>76.09</v>
      </c>
      <c r="AH16" s="68">
        <v>136.96</v>
      </c>
      <c r="AI16" s="68">
        <v>340.64</v>
      </c>
      <c r="AJ16" s="68">
        <v>5411.95</v>
      </c>
      <c r="AK16" s="68">
        <v>282.32</v>
      </c>
      <c r="AL16" s="68">
        <v>108.24</v>
      </c>
      <c r="AM16" s="68">
        <v>24.91</v>
      </c>
      <c r="AN16" s="68">
        <v>553.69000000000005</v>
      </c>
      <c r="AO16" s="68">
        <v>217.4</v>
      </c>
      <c r="AP16" s="68">
        <v>238.84</v>
      </c>
      <c r="AQ16" s="68">
        <v>291.85932537509575</v>
      </c>
      <c r="AR16" s="63" t="s">
        <v>651</v>
      </c>
    </row>
    <row r="17" spans="1:47" hidden="1" outlineLevel="2" x14ac:dyDescent="0.2">
      <c r="B17" s="63" t="s">
        <v>22</v>
      </c>
      <c r="C17" s="63" t="s">
        <v>340</v>
      </c>
      <c r="D17" s="63">
        <v>15</v>
      </c>
      <c r="E17" s="63">
        <v>0</v>
      </c>
      <c r="F17" s="63">
        <v>185.83</v>
      </c>
      <c r="G17" s="63">
        <v>197.07</v>
      </c>
      <c r="H17" s="63">
        <v>2787.45</v>
      </c>
      <c r="I17" s="68">
        <v>0</v>
      </c>
      <c r="J17" s="68">
        <v>0</v>
      </c>
      <c r="K17" s="68">
        <v>278.75</v>
      </c>
      <c r="L17" s="68">
        <v>278.75</v>
      </c>
      <c r="M17" s="68">
        <v>278.75</v>
      </c>
      <c r="N17" s="68">
        <v>3623.7</v>
      </c>
      <c r="O17" s="68">
        <v>36.57</v>
      </c>
      <c r="P17" s="68">
        <v>0</v>
      </c>
      <c r="Q17" s="68">
        <v>70.22</v>
      </c>
      <c r="R17" s="68">
        <v>0</v>
      </c>
      <c r="S17" s="68">
        <v>1809.82</v>
      </c>
      <c r="T17" s="68"/>
      <c r="U17" s="68"/>
      <c r="V17" s="68"/>
      <c r="W17" s="68">
        <v>0</v>
      </c>
      <c r="X17" s="79">
        <v>0.09</v>
      </c>
      <c r="Y17" s="68">
        <v>1916.7</v>
      </c>
      <c r="Z17" s="68">
        <v>1707</v>
      </c>
      <c r="AA17" s="68">
        <v>18.48</v>
      </c>
      <c r="AB17" s="68">
        <v>33.26</v>
      </c>
      <c r="AC17" s="68">
        <v>18.48</v>
      </c>
      <c r="AD17" s="79">
        <v>-145.38</v>
      </c>
      <c r="AE17" s="68">
        <v>181.94</v>
      </c>
      <c r="AF17" s="68"/>
      <c r="AG17" s="68">
        <v>51.73</v>
      </c>
      <c r="AH17" s="68">
        <v>93.12</v>
      </c>
      <c r="AI17" s="68">
        <v>310.27</v>
      </c>
      <c r="AJ17" s="68">
        <v>3623.7</v>
      </c>
      <c r="AK17" s="68">
        <v>254.48000000000002</v>
      </c>
      <c r="AL17" s="68">
        <v>72.47</v>
      </c>
      <c r="AM17" s="68">
        <v>16.940000000000001</v>
      </c>
      <c r="AN17" s="68">
        <v>455.12</v>
      </c>
      <c r="AO17" s="68">
        <v>147.80000000000001</v>
      </c>
      <c r="AP17" s="68">
        <v>224.92000000000002</v>
      </c>
      <c r="AQ17" s="68">
        <v>198.42760924323733</v>
      </c>
      <c r="AR17" s="63" t="s">
        <v>651</v>
      </c>
    </row>
    <row r="18" spans="1:47" hidden="1" outlineLevel="2" x14ac:dyDescent="0.2">
      <c r="B18" s="63" t="s">
        <v>24</v>
      </c>
      <c r="C18" s="63" t="s">
        <v>341</v>
      </c>
      <c r="D18" s="63">
        <v>15</v>
      </c>
      <c r="E18" s="63">
        <v>0</v>
      </c>
      <c r="F18" s="63">
        <v>220.83</v>
      </c>
      <c r="G18" s="63">
        <v>234.19</v>
      </c>
      <c r="H18" s="63">
        <v>3312.45</v>
      </c>
      <c r="I18" s="68">
        <v>0</v>
      </c>
      <c r="J18" s="68">
        <v>0</v>
      </c>
      <c r="K18" s="68">
        <v>331.25</v>
      </c>
      <c r="L18" s="68">
        <v>331.25</v>
      </c>
      <c r="M18" s="68">
        <v>331.25</v>
      </c>
      <c r="N18" s="68">
        <v>4306.2</v>
      </c>
      <c r="O18" s="68">
        <v>113.96</v>
      </c>
      <c r="P18" s="68">
        <v>0</v>
      </c>
      <c r="Q18" s="68">
        <v>83.43</v>
      </c>
      <c r="R18" s="68">
        <v>0</v>
      </c>
      <c r="S18" s="68">
        <v>1045.17</v>
      </c>
      <c r="T18" s="68"/>
      <c r="U18" s="68"/>
      <c r="V18" s="68"/>
      <c r="W18" s="68">
        <v>0</v>
      </c>
      <c r="X18" s="79">
        <v>-0.16</v>
      </c>
      <c r="Y18" s="68">
        <v>1242.4000000000001</v>
      </c>
      <c r="Z18" s="68">
        <v>3063.8</v>
      </c>
      <c r="AA18" s="68">
        <v>21.96</v>
      </c>
      <c r="AB18" s="68">
        <v>39.520000000000003</v>
      </c>
      <c r="AC18" s="68">
        <v>21.95</v>
      </c>
      <c r="AD18" s="79">
        <v>-125.1</v>
      </c>
      <c r="AE18" s="68">
        <v>239.06</v>
      </c>
      <c r="AF18" s="68"/>
      <c r="AG18" s="68">
        <v>61.47</v>
      </c>
      <c r="AH18" s="68">
        <v>110.65</v>
      </c>
      <c r="AI18" s="68">
        <v>320.01</v>
      </c>
      <c r="AJ18" s="68">
        <v>4306.2</v>
      </c>
      <c r="AK18" s="68">
        <v>265.62</v>
      </c>
      <c r="AL18" s="68">
        <v>86.12</v>
      </c>
      <c r="AM18" s="68">
        <v>20.13</v>
      </c>
      <c r="AN18" s="68">
        <v>492.13</v>
      </c>
      <c r="AO18" s="68">
        <v>175.64</v>
      </c>
      <c r="AP18" s="68">
        <v>230.49</v>
      </c>
      <c r="AQ18" s="68">
        <v>235.80029569598071</v>
      </c>
      <c r="AR18" s="63" t="s">
        <v>651</v>
      </c>
    </row>
    <row r="19" spans="1:47" hidden="1" outlineLevel="2" x14ac:dyDescent="0.2">
      <c r="B19" s="63" t="s">
        <v>26</v>
      </c>
      <c r="C19" s="63" t="s">
        <v>342</v>
      </c>
      <c r="D19" s="63">
        <v>15</v>
      </c>
      <c r="E19" s="63">
        <v>0</v>
      </c>
      <c r="F19" s="63">
        <v>264.58</v>
      </c>
      <c r="G19" s="63">
        <v>276.54000000000002</v>
      </c>
      <c r="H19" s="63">
        <v>3968.7</v>
      </c>
      <c r="I19" s="68">
        <v>0</v>
      </c>
      <c r="J19" s="68">
        <v>0</v>
      </c>
      <c r="K19" s="68">
        <v>396.87</v>
      </c>
      <c r="L19" s="68">
        <v>396.87</v>
      </c>
      <c r="M19" s="68">
        <v>396.87</v>
      </c>
      <c r="N19" s="68">
        <v>5159.3100000000004</v>
      </c>
      <c r="O19" s="68">
        <v>310.45999999999998</v>
      </c>
      <c r="P19" s="68">
        <v>0</v>
      </c>
      <c r="Q19" s="68">
        <v>99.91</v>
      </c>
      <c r="R19" s="68">
        <v>0</v>
      </c>
      <c r="S19" s="68">
        <v>1658.56</v>
      </c>
      <c r="T19" s="68"/>
      <c r="U19" s="68"/>
      <c r="V19" s="68"/>
      <c r="W19" s="68">
        <v>396</v>
      </c>
      <c r="X19" s="79">
        <v>-0.02</v>
      </c>
      <c r="Y19" s="68">
        <v>2464.91</v>
      </c>
      <c r="Z19" s="68">
        <v>2694.4</v>
      </c>
      <c r="AA19" s="68">
        <v>25.93</v>
      </c>
      <c r="AB19" s="68">
        <v>46.67</v>
      </c>
      <c r="AC19" s="68">
        <v>27.31</v>
      </c>
      <c r="AD19" s="68">
        <v>0</v>
      </c>
      <c r="AE19" s="68">
        <v>310.45999999999998</v>
      </c>
      <c r="AF19" s="68"/>
      <c r="AG19" s="68">
        <v>72.59</v>
      </c>
      <c r="AH19" s="68">
        <v>130.66</v>
      </c>
      <c r="AI19" s="68">
        <v>334.94</v>
      </c>
      <c r="AJ19" s="68">
        <v>5159.3100000000004</v>
      </c>
      <c r="AK19" s="68">
        <v>278.32</v>
      </c>
      <c r="AL19" s="68">
        <v>103.19</v>
      </c>
      <c r="AM19" s="68">
        <v>23.76</v>
      </c>
      <c r="AN19" s="68">
        <v>538.19000000000005</v>
      </c>
      <c r="AO19" s="68">
        <v>207.4</v>
      </c>
      <c r="AP19" s="68">
        <v>236.84</v>
      </c>
      <c r="AQ19" s="68">
        <v>282.51615376190989</v>
      </c>
      <c r="AR19" s="63" t="s">
        <v>651</v>
      </c>
    </row>
    <row r="20" spans="1:47" hidden="1" outlineLevel="2" x14ac:dyDescent="0.2">
      <c r="B20" s="63" t="s">
        <v>28</v>
      </c>
      <c r="C20" s="63" t="s">
        <v>343</v>
      </c>
      <c r="D20" s="63">
        <v>15</v>
      </c>
      <c r="E20" s="63">
        <v>0</v>
      </c>
      <c r="F20" s="63">
        <v>238.33</v>
      </c>
      <c r="G20" s="63">
        <v>252.75</v>
      </c>
      <c r="H20" s="63">
        <v>3574.95</v>
      </c>
      <c r="I20" s="68">
        <v>0</v>
      </c>
      <c r="J20" s="68">
        <v>285.99</v>
      </c>
      <c r="K20" s="68">
        <v>357.5</v>
      </c>
      <c r="L20" s="68">
        <v>357.5</v>
      </c>
      <c r="M20" s="68">
        <v>357.5</v>
      </c>
      <c r="N20" s="68">
        <v>4933.4399999999996</v>
      </c>
      <c r="O20" s="68">
        <v>160.25</v>
      </c>
      <c r="P20" s="68">
        <v>0</v>
      </c>
      <c r="Q20" s="68">
        <v>90.05</v>
      </c>
      <c r="R20" s="68">
        <v>0</v>
      </c>
      <c r="S20" s="68">
        <v>1418.5</v>
      </c>
      <c r="T20" s="68"/>
      <c r="U20" s="68"/>
      <c r="V20" s="68"/>
      <c r="W20" s="68">
        <v>678.02</v>
      </c>
      <c r="X20" s="68">
        <v>0.02</v>
      </c>
      <c r="Y20" s="68">
        <v>2346.84</v>
      </c>
      <c r="Z20" s="68">
        <v>2586.6</v>
      </c>
      <c r="AA20" s="68">
        <v>23.7</v>
      </c>
      <c r="AB20" s="68">
        <v>42.65</v>
      </c>
      <c r="AC20" s="68">
        <v>23.7</v>
      </c>
      <c r="AD20" s="79">
        <v>-107.37</v>
      </c>
      <c r="AE20" s="68">
        <v>267.62</v>
      </c>
      <c r="AF20" s="68"/>
      <c r="AG20" s="68">
        <v>66.349999999999994</v>
      </c>
      <c r="AH20" s="68">
        <v>119.42</v>
      </c>
      <c r="AI20" s="68">
        <v>324.89</v>
      </c>
      <c r="AJ20" s="68">
        <v>4933.4399999999996</v>
      </c>
      <c r="AK20" s="68">
        <v>271.18</v>
      </c>
      <c r="AL20" s="68">
        <v>98.67</v>
      </c>
      <c r="AM20" s="68">
        <v>21.72</v>
      </c>
      <c r="AN20" s="68">
        <v>510.66</v>
      </c>
      <c r="AO20" s="68">
        <v>189.56</v>
      </c>
      <c r="AP20" s="68">
        <v>233.27</v>
      </c>
      <c r="AQ20" s="68">
        <v>254.48663892235243</v>
      </c>
      <c r="AR20" s="63" t="s">
        <v>651</v>
      </c>
    </row>
    <row r="21" spans="1:47" hidden="1" outlineLevel="2" x14ac:dyDescent="0.2">
      <c r="B21" s="63" t="s">
        <v>32</v>
      </c>
      <c r="C21" s="63" t="s">
        <v>143</v>
      </c>
      <c r="D21" s="63">
        <v>15</v>
      </c>
      <c r="E21" s="63">
        <v>0</v>
      </c>
      <c r="F21" s="63">
        <v>273.33</v>
      </c>
      <c r="G21" s="63">
        <v>289.87</v>
      </c>
      <c r="H21" s="63">
        <v>4099.95</v>
      </c>
      <c r="I21" s="68">
        <v>0</v>
      </c>
      <c r="J21" s="68">
        <v>0</v>
      </c>
      <c r="K21" s="68">
        <v>410</v>
      </c>
      <c r="L21" s="68">
        <v>410</v>
      </c>
      <c r="M21" s="68">
        <v>410</v>
      </c>
      <c r="N21" s="68">
        <v>5329.95</v>
      </c>
      <c r="O21" s="68">
        <v>324.74</v>
      </c>
      <c r="P21" s="68">
        <v>0</v>
      </c>
      <c r="Q21" s="68">
        <v>105.46</v>
      </c>
      <c r="R21" s="68">
        <v>0</v>
      </c>
      <c r="S21" s="68">
        <v>0</v>
      </c>
      <c r="T21" s="68"/>
      <c r="U21" s="68"/>
      <c r="V21" s="68"/>
      <c r="W21" s="68">
        <v>0</v>
      </c>
      <c r="X21" s="79">
        <v>-0.05</v>
      </c>
      <c r="Y21" s="68">
        <v>430.15</v>
      </c>
      <c r="Z21" s="68">
        <v>4899.8</v>
      </c>
      <c r="AA21" s="68">
        <v>27.18</v>
      </c>
      <c r="AB21" s="68">
        <v>48.92</v>
      </c>
      <c r="AC21" s="68">
        <v>29.36</v>
      </c>
      <c r="AD21" s="68">
        <v>0</v>
      </c>
      <c r="AE21" s="68">
        <v>324.74</v>
      </c>
      <c r="AF21" s="68"/>
      <c r="AG21" s="68">
        <v>76.09</v>
      </c>
      <c r="AH21" s="68">
        <v>136.96</v>
      </c>
      <c r="AI21" s="68">
        <v>340.64</v>
      </c>
      <c r="AJ21" s="68">
        <v>5329.95</v>
      </c>
      <c r="AK21" s="68">
        <v>282.32</v>
      </c>
      <c r="AL21" s="68">
        <v>106.6</v>
      </c>
      <c r="AM21" s="68">
        <v>24.91</v>
      </c>
      <c r="AN21" s="68">
        <v>553.69000000000005</v>
      </c>
      <c r="AO21" s="68">
        <v>217.4</v>
      </c>
      <c r="AP21" s="68">
        <v>238.84</v>
      </c>
      <c r="AQ21" s="68">
        <v>291.85932537509575</v>
      </c>
      <c r="AR21" s="63" t="s">
        <v>651</v>
      </c>
    </row>
    <row r="22" spans="1:47" s="60" customFormat="1" hidden="1" outlineLevel="2" x14ac:dyDescent="0.2">
      <c r="B22" s="63" t="s">
        <v>36</v>
      </c>
      <c r="C22" s="63" t="s">
        <v>347</v>
      </c>
      <c r="D22" s="63">
        <v>15</v>
      </c>
      <c r="E22" s="63">
        <v>0</v>
      </c>
      <c r="F22" s="63">
        <v>185.83</v>
      </c>
      <c r="G22" s="63">
        <v>197.07</v>
      </c>
      <c r="H22" s="63">
        <v>2787.45</v>
      </c>
      <c r="I22" s="68">
        <v>0</v>
      </c>
      <c r="J22" s="68">
        <v>0</v>
      </c>
      <c r="K22" s="68">
        <v>278.75</v>
      </c>
      <c r="L22" s="68">
        <v>278.75</v>
      </c>
      <c r="M22" s="68">
        <v>278.75</v>
      </c>
      <c r="N22" s="68">
        <v>3623.7</v>
      </c>
      <c r="O22" s="68">
        <v>36.57</v>
      </c>
      <c r="P22" s="68">
        <v>0</v>
      </c>
      <c r="Q22" s="68">
        <v>70.22</v>
      </c>
      <c r="R22" s="68">
        <v>0</v>
      </c>
      <c r="S22" s="68">
        <v>2150.54</v>
      </c>
      <c r="T22" s="68"/>
      <c r="U22" s="68"/>
      <c r="V22" s="68"/>
      <c r="W22" s="68">
        <v>0</v>
      </c>
      <c r="X22" s="68">
        <v>-0.03</v>
      </c>
      <c r="Y22" s="68">
        <v>2257.3000000000002</v>
      </c>
      <c r="Z22" s="68">
        <v>1366.4</v>
      </c>
      <c r="AA22" s="68">
        <v>18.48</v>
      </c>
      <c r="AB22" s="68">
        <v>33.26</v>
      </c>
      <c r="AC22" s="68">
        <v>18.48</v>
      </c>
      <c r="AD22" s="68">
        <v>-145.38</v>
      </c>
      <c r="AE22" s="68">
        <v>181.94</v>
      </c>
      <c r="AF22" s="68"/>
      <c r="AG22" s="68">
        <v>51.73</v>
      </c>
      <c r="AH22" s="68">
        <v>93.12</v>
      </c>
      <c r="AI22" s="68">
        <v>310.27</v>
      </c>
      <c r="AJ22" s="68">
        <v>3623.7</v>
      </c>
      <c r="AK22" s="68">
        <v>254.48000000000002</v>
      </c>
      <c r="AL22" s="68">
        <v>72.47</v>
      </c>
      <c r="AM22" s="68">
        <v>16.940000000000001</v>
      </c>
      <c r="AN22" s="68">
        <v>455.12</v>
      </c>
      <c r="AO22" s="68">
        <v>147.80000000000001</v>
      </c>
      <c r="AP22" s="68">
        <v>224.92000000000002</v>
      </c>
      <c r="AQ22" s="68">
        <v>198.42760924323733</v>
      </c>
      <c r="AR22" s="63" t="s">
        <v>651</v>
      </c>
      <c r="AS22" s="63"/>
      <c r="AT22" s="63"/>
      <c r="AU22" s="63"/>
    </row>
    <row r="23" spans="1:47" hidden="1" outlineLevel="2" x14ac:dyDescent="0.2">
      <c r="B23" s="63" t="s">
        <v>238</v>
      </c>
      <c r="C23" s="63" t="s">
        <v>348</v>
      </c>
      <c r="D23" s="63">
        <v>15</v>
      </c>
      <c r="E23" s="63">
        <v>0</v>
      </c>
      <c r="F23" s="63">
        <v>1060.83</v>
      </c>
      <c r="G23" s="63">
        <v>1125.06</v>
      </c>
      <c r="H23" s="63">
        <v>15912.45</v>
      </c>
      <c r="I23" s="68">
        <v>0</v>
      </c>
      <c r="J23" s="68">
        <v>0</v>
      </c>
      <c r="K23" s="68">
        <v>1591.25</v>
      </c>
      <c r="L23" s="68">
        <v>1591.25</v>
      </c>
      <c r="M23" s="68">
        <v>1591.25</v>
      </c>
      <c r="N23" s="68">
        <v>20686.2</v>
      </c>
      <c r="O23" s="68">
        <v>2846.24</v>
      </c>
      <c r="P23" s="68">
        <v>0</v>
      </c>
      <c r="Q23" s="68">
        <v>453.09</v>
      </c>
      <c r="R23" s="68">
        <v>0</v>
      </c>
      <c r="S23" s="68">
        <v>0</v>
      </c>
      <c r="T23" s="68"/>
      <c r="U23" s="68"/>
      <c r="V23" s="68"/>
      <c r="W23" s="68">
        <v>417.6</v>
      </c>
      <c r="X23" s="79">
        <v>7.0000000000000007E-2</v>
      </c>
      <c r="Y23" s="68">
        <v>3717</v>
      </c>
      <c r="Z23" s="68">
        <v>16969.2</v>
      </c>
      <c r="AA23" s="68">
        <v>105.47</v>
      </c>
      <c r="AB23" s="68">
        <v>189.85</v>
      </c>
      <c r="AC23" s="68">
        <v>157.77000000000001</v>
      </c>
      <c r="AD23" s="79">
        <v>0</v>
      </c>
      <c r="AE23" s="68">
        <v>2846.24</v>
      </c>
      <c r="AF23" s="68"/>
      <c r="AG23" s="68">
        <v>295.33</v>
      </c>
      <c r="AH23" s="68">
        <v>531.59</v>
      </c>
      <c r="AI23" s="68">
        <v>697.68</v>
      </c>
      <c r="AJ23" s="68">
        <v>20686.2</v>
      </c>
      <c r="AK23" s="68">
        <v>532.88</v>
      </c>
      <c r="AL23" s="68">
        <v>413.72</v>
      </c>
      <c r="AM23" s="68">
        <v>96.68</v>
      </c>
      <c r="AN23" s="68">
        <v>1524.6</v>
      </c>
      <c r="AO23" s="68">
        <v>843.79</v>
      </c>
      <c r="AP23" s="68">
        <v>364.12</v>
      </c>
      <c r="AQ23" s="68">
        <v>1132.7447705618222</v>
      </c>
      <c r="AR23" s="63" t="s">
        <v>651</v>
      </c>
    </row>
    <row r="24" spans="1:47" hidden="1" outlineLevel="2" x14ac:dyDescent="0.2">
      <c r="B24" s="63" t="s">
        <v>239</v>
      </c>
      <c r="C24" s="63" t="s">
        <v>349</v>
      </c>
      <c r="D24" s="63">
        <v>15</v>
      </c>
      <c r="E24" s="63">
        <v>0</v>
      </c>
      <c r="F24" s="63">
        <v>220.83</v>
      </c>
      <c r="G24" s="63">
        <v>234.2</v>
      </c>
      <c r="H24" s="63">
        <v>3312.45</v>
      </c>
      <c r="I24" s="68">
        <v>0</v>
      </c>
      <c r="J24" s="68">
        <v>0</v>
      </c>
      <c r="K24" s="68">
        <v>331.25</v>
      </c>
      <c r="L24" s="68">
        <v>331.25</v>
      </c>
      <c r="M24" s="68">
        <v>331.25</v>
      </c>
      <c r="N24" s="68">
        <v>4306.2</v>
      </c>
      <c r="O24" s="68">
        <v>113.96</v>
      </c>
      <c r="P24" s="68">
        <v>0</v>
      </c>
      <c r="Q24" s="68">
        <v>83.43</v>
      </c>
      <c r="R24" s="68">
        <v>0</v>
      </c>
      <c r="S24" s="68">
        <v>0</v>
      </c>
      <c r="T24" s="68"/>
      <c r="U24" s="68"/>
      <c r="V24" s="68"/>
      <c r="W24" s="68">
        <v>0</v>
      </c>
      <c r="X24" s="79">
        <v>0.01</v>
      </c>
      <c r="Y24" s="68">
        <v>197.4</v>
      </c>
      <c r="Z24" s="68">
        <v>4108.8</v>
      </c>
      <c r="AA24" s="68">
        <v>21.96</v>
      </c>
      <c r="AB24" s="68">
        <v>39.520000000000003</v>
      </c>
      <c r="AC24" s="68">
        <v>21.95</v>
      </c>
      <c r="AD24" s="68">
        <v>-125.1</v>
      </c>
      <c r="AE24" s="68">
        <v>239.06</v>
      </c>
      <c r="AF24" s="68"/>
      <c r="AG24" s="68">
        <v>61.48</v>
      </c>
      <c r="AH24" s="68">
        <v>110.66</v>
      </c>
      <c r="AI24" s="68">
        <v>320.02</v>
      </c>
      <c r="AJ24" s="68">
        <v>4306.2</v>
      </c>
      <c r="AK24" s="68">
        <v>265.62</v>
      </c>
      <c r="AL24" s="68">
        <v>86.12</v>
      </c>
      <c r="AM24" s="68">
        <v>20.13</v>
      </c>
      <c r="AN24" s="68">
        <v>492.16</v>
      </c>
      <c r="AO24" s="68">
        <v>175.65</v>
      </c>
      <c r="AP24" s="68">
        <v>230.49</v>
      </c>
      <c r="AQ24" s="68">
        <v>235.80029569598071</v>
      </c>
      <c r="AR24" s="63" t="s">
        <v>651</v>
      </c>
    </row>
    <row r="25" spans="1:47" hidden="1" outlineLevel="2" x14ac:dyDescent="0.2">
      <c r="B25" s="63" t="s">
        <v>40</v>
      </c>
      <c r="C25" s="63" t="s">
        <v>350</v>
      </c>
      <c r="D25" s="63">
        <v>15</v>
      </c>
      <c r="E25" s="63">
        <v>0</v>
      </c>
      <c r="F25" s="63">
        <v>185.83</v>
      </c>
      <c r="G25" s="63">
        <v>197.07</v>
      </c>
      <c r="H25" s="63">
        <v>2787.45</v>
      </c>
      <c r="I25" s="68">
        <v>0</v>
      </c>
      <c r="J25" s="68">
        <v>0</v>
      </c>
      <c r="K25" s="68">
        <v>278.75</v>
      </c>
      <c r="L25" s="68">
        <v>278.75</v>
      </c>
      <c r="M25" s="68">
        <v>278.75</v>
      </c>
      <c r="N25" s="68">
        <v>3623.7</v>
      </c>
      <c r="O25" s="68">
        <v>36.57</v>
      </c>
      <c r="P25" s="79">
        <v>0</v>
      </c>
      <c r="Q25" s="68">
        <v>70.22</v>
      </c>
      <c r="R25" s="68">
        <v>0</v>
      </c>
      <c r="S25" s="68">
        <v>0</v>
      </c>
      <c r="T25" s="68"/>
      <c r="U25" s="68"/>
      <c r="V25" s="68"/>
      <c r="W25" s="68">
        <v>313.2</v>
      </c>
      <c r="X25" s="79">
        <v>-0.09</v>
      </c>
      <c r="Y25" s="68">
        <v>419.9</v>
      </c>
      <c r="Z25" s="68">
        <v>3203.8</v>
      </c>
      <c r="AA25" s="68">
        <v>18.48</v>
      </c>
      <c r="AB25" s="68">
        <v>33.26</v>
      </c>
      <c r="AC25" s="68">
        <v>18.48</v>
      </c>
      <c r="AD25" s="79">
        <v>-145.38</v>
      </c>
      <c r="AE25" s="68">
        <v>181.94</v>
      </c>
      <c r="AF25" s="68"/>
      <c r="AG25" s="68">
        <v>51.73</v>
      </c>
      <c r="AH25" s="68">
        <v>93.12</v>
      </c>
      <c r="AI25" s="68">
        <v>310.27</v>
      </c>
      <c r="AJ25" s="68">
        <v>3623.7</v>
      </c>
      <c r="AK25" s="68">
        <v>254.48000000000002</v>
      </c>
      <c r="AL25" s="68">
        <v>72.47</v>
      </c>
      <c r="AM25" s="68">
        <v>16.940000000000001</v>
      </c>
      <c r="AN25" s="68">
        <v>455.12</v>
      </c>
      <c r="AO25" s="68">
        <v>147.80000000000001</v>
      </c>
      <c r="AP25" s="68">
        <v>224.92000000000002</v>
      </c>
      <c r="AQ25" s="68">
        <v>198.42760924323733</v>
      </c>
      <c r="AR25" s="63" t="s">
        <v>651</v>
      </c>
    </row>
    <row r="26" spans="1:47" hidden="1" outlineLevel="2" x14ac:dyDescent="0.2">
      <c r="B26" s="63" t="s">
        <v>42</v>
      </c>
      <c r="C26" s="63" t="s">
        <v>144</v>
      </c>
      <c r="D26" s="63">
        <v>15</v>
      </c>
      <c r="E26" s="63">
        <v>0</v>
      </c>
      <c r="F26" s="63">
        <v>185.83</v>
      </c>
      <c r="G26" s="63">
        <v>197.07</v>
      </c>
      <c r="H26" s="63">
        <v>2787.45</v>
      </c>
      <c r="I26" s="68">
        <v>0</v>
      </c>
      <c r="J26" s="68">
        <v>0</v>
      </c>
      <c r="K26" s="68">
        <v>278.75</v>
      </c>
      <c r="L26" s="68">
        <v>278.75</v>
      </c>
      <c r="M26" s="68">
        <v>278.75</v>
      </c>
      <c r="N26" s="68">
        <v>3623.7</v>
      </c>
      <c r="O26" s="68">
        <v>36.57</v>
      </c>
      <c r="P26" s="68">
        <v>0</v>
      </c>
      <c r="Q26" s="68">
        <v>70.22</v>
      </c>
      <c r="R26" s="68">
        <v>0</v>
      </c>
      <c r="S26" s="68">
        <v>1492.08</v>
      </c>
      <c r="T26" s="68"/>
      <c r="U26" s="68"/>
      <c r="V26" s="68"/>
      <c r="W26" s="68">
        <v>0</v>
      </c>
      <c r="X26" s="68">
        <v>0.03</v>
      </c>
      <c r="Y26" s="68">
        <v>1598.9</v>
      </c>
      <c r="Z26" s="68">
        <v>2024.8</v>
      </c>
      <c r="AA26" s="68">
        <v>18.48</v>
      </c>
      <c r="AB26" s="68">
        <v>33.26</v>
      </c>
      <c r="AC26" s="68">
        <v>18.48</v>
      </c>
      <c r="AD26" s="79">
        <v>-145.38</v>
      </c>
      <c r="AE26" s="68">
        <v>181.94</v>
      </c>
      <c r="AF26" s="68"/>
      <c r="AG26" s="68">
        <v>51.73</v>
      </c>
      <c r="AH26" s="68">
        <v>93.12</v>
      </c>
      <c r="AI26" s="68">
        <v>310.27</v>
      </c>
      <c r="AJ26" s="68">
        <v>3623.7</v>
      </c>
      <c r="AK26" s="68">
        <v>254.48000000000002</v>
      </c>
      <c r="AL26" s="68">
        <v>72.47</v>
      </c>
      <c r="AM26" s="68">
        <v>16.940000000000001</v>
      </c>
      <c r="AN26" s="68">
        <v>455.12</v>
      </c>
      <c r="AO26" s="68">
        <v>147.80000000000001</v>
      </c>
      <c r="AP26" s="68">
        <v>224.92000000000002</v>
      </c>
      <c r="AQ26" s="68">
        <v>198.42760924323733</v>
      </c>
      <c r="AR26" s="63" t="s">
        <v>651</v>
      </c>
    </row>
    <row r="27" spans="1:47" hidden="1" outlineLevel="2" x14ac:dyDescent="0.2">
      <c r="B27" s="63" t="s">
        <v>433</v>
      </c>
      <c r="C27" s="63" t="s">
        <v>386</v>
      </c>
      <c r="D27" s="63">
        <v>15</v>
      </c>
      <c r="E27" s="63">
        <v>0</v>
      </c>
      <c r="F27" s="63">
        <v>166.67</v>
      </c>
      <c r="G27" s="63">
        <v>176.76</v>
      </c>
      <c r="H27" s="63">
        <v>2500.0500000000002</v>
      </c>
      <c r="I27" s="68">
        <v>0</v>
      </c>
      <c r="J27" s="68">
        <v>0</v>
      </c>
      <c r="K27" s="68">
        <v>250.01</v>
      </c>
      <c r="L27" s="68">
        <v>250.01</v>
      </c>
      <c r="M27" s="68">
        <v>250.01</v>
      </c>
      <c r="N27" s="68">
        <v>3250.08</v>
      </c>
      <c r="O27" s="68">
        <v>0</v>
      </c>
      <c r="P27" s="68">
        <v>-9.6199999999999992</v>
      </c>
      <c r="Q27" s="68">
        <v>62.97</v>
      </c>
      <c r="R27" s="68">
        <v>0</v>
      </c>
      <c r="S27" s="68">
        <v>0</v>
      </c>
      <c r="T27" s="68"/>
      <c r="U27" s="68"/>
      <c r="V27" s="68"/>
      <c r="W27" s="68">
        <v>0</v>
      </c>
      <c r="X27" s="79">
        <v>0.13</v>
      </c>
      <c r="Y27" s="68">
        <v>53.48</v>
      </c>
      <c r="Z27" s="68">
        <v>3196.6</v>
      </c>
      <c r="AA27" s="68">
        <v>16.57</v>
      </c>
      <c r="AB27" s="68">
        <v>29.83</v>
      </c>
      <c r="AC27" s="68">
        <v>16.57</v>
      </c>
      <c r="AD27" s="68">
        <v>-160.30000000000001</v>
      </c>
      <c r="AE27" s="68">
        <v>150.66999999999999</v>
      </c>
      <c r="AF27" s="68"/>
      <c r="AG27" s="68">
        <v>46.4</v>
      </c>
      <c r="AH27" s="68">
        <v>83.52</v>
      </c>
      <c r="AI27" s="68">
        <v>304.94</v>
      </c>
      <c r="AJ27" s="68">
        <v>3250.08</v>
      </c>
      <c r="AK27" s="68">
        <v>248.39000000000001</v>
      </c>
      <c r="AL27" s="68">
        <v>65</v>
      </c>
      <c r="AM27" s="68">
        <v>15.19</v>
      </c>
      <c r="AN27" s="68">
        <v>434.86</v>
      </c>
      <c r="AO27" s="68">
        <v>132.57</v>
      </c>
      <c r="AP27" s="68">
        <v>221.87</v>
      </c>
      <c r="AQ27" s="68">
        <v>177.96873288796405</v>
      </c>
      <c r="AR27" s="63" t="s">
        <v>651</v>
      </c>
    </row>
    <row r="28" spans="1:47" hidden="1" outlineLevel="2" x14ac:dyDescent="0.2">
      <c r="B28" s="68" t="s">
        <v>616</v>
      </c>
      <c r="C28" s="68" t="s">
        <v>617</v>
      </c>
      <c r="D28" s="68">
        <v>15</v>
      </c>
      <c r="E28" s="68">
        <v>0</v>
      </c>
      <c r="F28" s="68">
        <v>216.67</v>
      </c>
      <c r="G28" s="68">
        <v>229.79</v>
      </c>
      <c r="H28" s="68">
        <v>3250.05</v>
      </c>
      <c r="I28" s="68">
        <v>0</v>
      </c>
      <c r="J28" s="68">
        <v>0</v>
      </c>
      <c r="K28" s="68">
        <v>325.01</v>
      </c>
      <c r="L28" s="68">
        <v>325.01</v>
      </c>
      <c r="M28" s="68">
        <v>325.01</v>
      </c>
      <c r="N28" s="68">
        <v>4225.08</v>
      </c>
      <c r="O28" s="68">
        <v>107.17</v>
      </c>
      <c r="P28" s="68">
        <v>0</v>
      </c>
      <c r="Q28" s="68">
        <v>81.87</v>
      </c>
      <c r="R28" s="68">
        <v>0</v>
      </c>
      <c r="S28" s="68">
        <v>0</v>
      </c>
      <c r="T28" s="68"/>
      <c r="U28" s="68"/>
      <c r="V28" s="68"/>
      <c r="W28" s="68">
        <v>0</v>
      </c>
      <c r="X28" s="68">
        <v>0.04</v>
      </c>
      <c r="Y28" s="68">
        <v>189.08</v>
      </c>
      <c r="Z28" s="68">
        <v>4036</v>
      </c>
      <c r="AA28" s="68">
        <v>21.54</v>
      </c>
      <c r="AB28" s="68">
        <v>38.78</v>
      </c>
      <c r="AC28" s="68">
        <v>21.55</v>
      </c>
      <c r="AD28" s="79">
        <v>-125.1</v>
      </c>
      <c r="AE28" s="68">
        <v>232.27</v>
      </c>
      <c r="AF28" s="68"/>
      <c r="AG28" s="68">
        <v>60.32</v>
      </c>
      <c r="AH28" s="68">
        <v>108.58</v>
      </c>
      <c r="AI28" s="68">
        <v>318.86</v>
      </c>
      <c r="AJ28" s="68">
        <v>4225.08</v>
      </c>
      <c r="AK28" s="68">
        <v>264.3</v>
      </c>
      <c r="AL28" s="68">
        <v>84.5</v>
      </c>
      <c r="AM28" s="68">
        <v>19.75</v>
      </c>
      <c r="AN28" s="68">
        <v>487.76</v>
      </c>
      <c r="AO28" s="68">
        <v>172.34</v>
      </c>
      <c r="AP28" s="68">
        <v>229.83</v>
      </c>
      <c r="AQ28" s="68">
        <v>231.35828496331177</v>
      </c>
      <c r="AR28" s="63" t="s">
        <v>651</v>
      </c>
    </row>
    <row r="29" spans="1:47" hidden="1" outlineLevel="2" x14ac:dyDescent="0.2">
      <c r="B29" s="68" t="s">
        <v>634</v>
      </c>
      <c r="C29" s="68" t="s">
        <v>635</v>
      </c>
      <c r="D29" s="68">
        <v>15</v>
      </c>
      <c r="E29" s="68">
        <v>0</v>
      </c>
      <c r="F29" s="68">
        <v>256.67</v>
      </c>
      <c r="G29" s="68">
        <v>272.20999999999998</v>
      </c>
      <c r="H29" s="68">
        <v>3850.05</v>
      </c>
      <c r="I29" s="68">
        <v>0</v>
      </c>
      <c r="J29" s="68">
        <v>0</v>
      </c>
      <c r="K29" s="68">
        <v>385.01</v>
      </c>
      <c r="L29" s="68">
        <v>385.01</v>
      </c>
      <c r="M29" s="68">
        <v>385.01</v>
      </c>
      <c r="N29" s="68">
        <v>5005.08</v>
      </c>
      <c r="O29" s="68">
        <v>297.55</v>
      </c>
      <c r="P29" s="68">
        <v>0</v>
      </c>
      <c r="Q29" s="68">
        <v>98.1</v>
      </c>
      <c r="R29" s="68">
        <v>0</v>
      </c>
      <c r="S29" s="68">
        <v>0</v>
      </c>
      <c r="T29" s="68"/>
      <c r="U29" s="68"/>
      <c r="V29" s="68"/>
      <c r="W29" s="68">
        <v>0</v>
      </c>
      <c r="X29" s="68">
        <v>0.03</v>
      </c>
      <c r="Y29" s="68">
        <v>395.68</v>
      </c>
      <c r="Z29" s="68">
        <v>4609.3999999999996</v>
      </c>
      <c r="AA29" s="68">
        <v>25.52</v>
      </c>
      <c r="AB29" s="68">
        <v>45.94</v>
      </c>
      <c r="AC29" s="68">
        <v>26.64</v>
      </c>
      <c r="AD29" s="79">
        <v>0</v>
      </c>
      <c r="AE29" s="68">
        <v>297.55</v>
      </c>
      <c r="AF29" s="68"/>
      <c r="AG29" s="68">
        <v>71.459999999999994</v>
      </c>
      <c r="AH29" s="68">
        <v>128.62</v>
      </c>
      <c r="AI29" s="68">
        <v>333.08</v>
      </c>
      <c r="AJ29" s="68">
        <v>5005.08</v>
      </c>
      <c r="AK29" s="68">
        <v>277.02</v>
      </c>
      <c r="AL29" s="68">
        <v>100.1</v>
      </c>
      <c r="AM29" s="68">
        <v>23.39</v>
      </c>
      <c r="AN29" s="68">
        <v>533.16</v>
      </c>
      <c r="AO29" s="68">
        <v>204.16</v>
      </c>
      <c r="AP29" s="68">
        <v>236.19</v>
      </c>
      <c r="AQ29" s="68">
        <v>274.06992662358999</v>
      </c>
      <c r="AR29" s="63" t="s">
        <v>651</v>
      </c>
    </row>
    <row r="30" spans="1:47" ht="13.5" outlineLevel="1" collapsed="1" thickTop="1" x14ac:dyDescent="0.2">
      <c r="A30" s="87" t="s">
        <v>667</v>
      </c>
      <c r="B30" s="68">
        <f t="shared" ref="B30:AR30" si="0">SUBTOTAL(9,B9:B29)</f>
        <v>0</v>
      </c>
      <c r="C30" s="68">
        <f t="shared" si="0"/>
        <v>0</v>
      </c>
      <c r="D30" s="68">
        <f t="shared" si="0"/>
        <v>314</v>
      </c>
      <c r="E30" s="68">
        <f t="shared" si="0"/>
        <v>1</v>
      </c>
      <c r="F30" s="68">
        <f t="shared" si="0"/>
        <v>5852.8899999999994</v>
      </c>
      <c r="G30" s="68">
        <f t="shared" si="0"/>
        <v>6192.87</v>
      </c>
      <c r="H30" s="68">
        <f t="shared" si="0"/>
        <v>87520.01999999999</v>
      </c>
      <c r="I30" s="68">
        <f t="shared" si="0"/>
        <v>273.33</v>
      </c>
      <c r="J30" s="68">
        <f t="shared" si="0"/>
        <v>367.99</v>
      </c>
      <c r="K30" s="68">
        <f t="shared" si="0"/>
        <v>8779.42</v>
      </c>
      <c r="L30" s="68">
        <f t="shared" si="0"/>
        <v>8779.42</v>
      </c>
      <c r="M30" s="68">
        <f t="shared" si="0"/>
        <v>8779.42</v>
      </c>
      <c r="N30" s="68">
        <f t="shared" si="0"/>
        <v>114499.59999999998</v>
      </c>
      <c r="O30" s="68">
        <f t="shared" si="0"/>
        <v>7052.68</v>
      </c>
      <c r="P30" s="68">
        <f t="shared" si="0"/>
        <v>-118.69</v>
      </c>
      <c r="Q30" s="68">
        <f t="shared" si="0"/>
        <v>2297.1099999999997</v>
      </c>
      <c r="R30" s="68">
        <f t="shared" si="0"/>
        <v>0</v>
      </c>
      <c r="S30" s="68">
        <f t="shared" si="0"/>
        <v>11134.06</v>
      </c>
      <c r="T30" s="68">
        <f t="shared" si="0"/>
        <v>0</v>
      </c>
      <c r="U30" s="68">
        <f t="shared" si="0"/>
        <v>0</v>
      </c>
      <c r="V30" s="68">
        <f t="shared" si="0"/>
        <v>0</v>
      </c>
      <c r="W30" s="68">
        <f t="shared" si="0"/>
        <v>2029.5200000000002</v>
      </c>
      <c r="X30" s="68">
        <f t="shared" si="0"/>
        <v>0.51999999999999991</v>
      </c>
      <c r="Y30" s="68">
        <f t="shared" si="0"/>
        <v>22395.200000000004</v>
      </c>
      <c r="Z30" s="68">
        <f t="shared" si="0"/>
        <v>92104.400000000009</v>
      </c>
      <c r="AA30" s="68">
        <f t="shared" si="0"/>
        <v>580.63</v>
      </c>
      <c r="AB30" s="68">
        <f t="shared" si="0"/>
        <v>1045.0899999999999</v>
      </c>
      <c r="AC30" s="68">
        <f t="shared" si="0"/>
        <v>671.3900000000001</v>
      </c>
      <c r="AD30" s="79">
        <f t="shared" si="0"/>
        <v>-1858.4599999999998</v>
      </c>
      <c r="AE30" s="68">
        <f t="shared" si="0"/>
        <v>8792.3999999999978</v>
      </c>
      <c r="AF30" s="68">
        <f t="shared" si="0"/>
        <v>0</v>
      </c>
      <c r="AG30" s="68">
        <f t="shared" si="0"/>
        <v>1625.6300000000003</v>
      </c>
      <c r="AH30" s="68">
        <f t="shared" si="0"/>
        <v>2926.13</v>
      </c>
      <c r="AI30" s="68">
        <f t="shared" si="0"/>
        <v>7304.6</v>
      </c>
      <c r="AJ30" s="68">
        <f t="shared" si="0"/>
        <v>114499.59999999998</v>
      </c>
      <c r="AK30" s="68">
        <f t="shared" si="0"/>
        <v>5960.42</v>
      </c>
      <c r="AL30" s="68">
        <f t="shared" si="0"/>
        <v>2289.96</v>
      </c>
      <c r="AM30" s="68">
        <f t="shared" si="0"/>
        <v>532.21</v>
      </c>
      <c r="AN30" s="68">
        <f t="shared" si="0"/>
        <v>11856.360000000002</v>
      </c>
      <c r="AO30" s="68">
        <f t="shared" si="0"/>
        <v>4644.63</v>
      </c>
      <c r="AP30" s="68">
        <f t="shared" si="0"/>
        <v>5031.4799999999996</v>
      </c>
      <c r="AQ30" s="68">
        <f t="shared" si="0"/>
        <v>6249.6635089256388</v>
      </c>
      <c r="AR30" s="63">
        <f t="shared" si="0"/>
        <v>0</v>
      </c>
    </row>
    <row r="31" spans="1:47" hidden="1" outlineLevel="2" x14ac:dyDescent="0.2">
      <c r="B31" s="63" t="s">
        <v>68</v>
      </c>
      <c r="C31" s="63" t="s">
        <v>327</v>
      </c>
      <c r="D31" s="63">
        <v>15</v>
      </c>
      <c r="E31" s="63">
        <v>0</v>
      </c>
      <c r="F31" s="63">
        <v>300</v>
      </c>
      <c r="G31" s="63">
        <v>313.56</v>
      </c>
      <c r="H31" s="63">
        <v>4500</v>
      </c>
      <c r="I31" s="68">
        <v>0</v>
      </c>
      <c r="J31" s="68">
        <v>0</v>
      </c>
      <c r="K31" s="68">
        <v>450</v>
      </c>
      <c r="L31" s="68">
        <v>450</v>
      </c>
      <c r="M31" s="68">
        <v>450</v>
      </c>
      <c r="N31" s="68">
        <v>5850</v>
      </c>
      <c r="O31" s="68">
        <v>380.67</v>
      </c>
      <c r="P31" s="68">
        <v>0</v>
      </c>
      <c r="Q31" s="68">
        <v>115.32</v>
      </c>
      <c r="R31" s="68">
        <v>0</v>
      </c>
      <c r="S31" s="68">
        <v>1320.68</v>
      </c>
      <c r="T31" s="68"/>
      <c r="U31" s="68"/>
      <c r="V31" s="68"/>
      <c r="W31" s="68">
        <v>0</v>
      </c>
      <c r="X31" s="68">
        <v>-7.0000000000000007E-2</v>
      </c>
      <c r="Y31" s="68">
        <v>1816.6</v>
      </c>
      <c r="Z31" s="68">
        <v>4033.4</v>
      </c>
      <c r="AA31" s="68">
        <v>29.4</v>
      </c>
      <c r="AB31" s="68">
        <v>52.91</v>
      </c>
      <c r="AC31" s="68">
        <v>33.01</v>
      </c>
      <c r="AD31" s="68">
        <v>0</v>
      </c>
      <c r="AE31" s="68">
        <v>380.67</v>
      </c>
      <c r="AF31" s="68"/>
      <c r="AG31" s="68">
        <v>82.31</v>
      </c>
      <c r="AH31" s="68">
        <v>148.16</v>
      </c>
      <c r="AI31" s="68">
        <v>350.77</v>
      </c>
      <c r="AJ31" s="68">
        <v>5850</v>
      </c>
      <c r="AK31" s="68">
        <v>289.43</v>
      </c>
      <c r="AL31" s="68">
        <v>117</v>
      </c>
      <c r="AM31" s="68">
        <v>26.95</v>
      </c>
      <c r="AN31" s="68">
        <v>581.24</v>
      </c>
      <c r="AO31" s="68">
        <v>235.17</v>
      </c>
      <c r="AP31" s="68">
        <v>242.39000000000001</v>
      </c>
      <c r="AQ31" s="68">
        <v>320.33731245208628</v>
      </c>
      <c r="AR31" s="63" t="s">
        <v>652</v>
      </c>
    </row>
    <row r="32" spans="1:47" hidden="1" outlineLevel="2" x14ac:dyDescent="0.2">
      <c r="B32" s="60" t="s">
        <v>614</v>
      </c>
      <c r="C32" s="60" t="s">
        <v>615</v>
      </c>
      <c r="D32" s="60">
        <v>15</v>
      </c>
      <c r="E32" s="60">
        <v>0</v>
      </c>
      <c r="F32" s="60">
        <v>238.33</v>
      </c>
      <c r="G32" s="60">
        <v>252.76</v>
      </c>
      <c r="H32" s="60">
        <v>3574.95</v>
      </c>
      <c r="I32" s="70">
        <v>0</v>
      </c>
      <c r="J32" s="70">
        <v>0</v>
      </c>
      <c r="K32" s="70">
        <v>357.5</v>
      </c>
      <c r="L32" s="70">
        <v>357.5</v>
      </c>
      <c r="M32" s="70">
        <v>357.5</v>
      </c>
      <c r="N32" s="70">
        <v>4647.45</v>
      </c>
      <c r="O32" s="70">
        <v>160.25</v>
      </c>
      <c r="P32" s="80">
        <v>0</v>
      </c>
      <c r="Q32" s="70">
        <v>90.05</v>
      </c>
      <c r="R32" s="70">
        <v>947.85</v>
      </c>
      <c r="S32" s="70">
        <v>0</v>
      </c>
      <c r="T32" s="70"/>
      <c r="U32" s="70"/>
      <c r="V32" s="70"/>
      <c r="W32" s="70">
        <v>0</v>
      </c>
      <c r="X32" s="70">
        <v>0.1</v>
      </c>
      <c r="Y32" s="70">
        <v>1198.25</v>
      </c>
      <c r="Z32" s="70">
        <v>3449.2</v>
      </c>
      <c r="AA32" s="70">
        <v>23.7</v>
      </c>
      <c r="AB32" s="70">
        <v>42.65</v>
      </c>
      <c r="AC32" s="70">
        <v>23.7</v>
      </c>
      <c r="AD32" s="80">
        <v>-107.37</v>
      </c>
      <c r="AE32" s="70">
        <v>267.62</v>
      </c>
      <c r="AF32" s="68"/>
      <c r="AG32" s="68">
        <v>66.349999999999994</v>
      </c>
      <c r="AH32" s="68">
        <v>119.43</v>
      </c>
      <c r="AI32" s="68">
        <v>324.89</v>
      </c>
      <c r="AJ32" s="68">
        <v>4647.45</v>
      </c>
      <c r="AK32" s="68">
        <v>271.19</v>
      </c>
      <c r="AL32" s="68">
        <v>92.95</v>
      </c>
      <c r="AM32" s="68">
        <v>21.72</v>
      </c>
      <c r="AN32" s="68">
        <v>510.67</v>
      </c>
      <c r="AO32" s="68">
        <v>189.57</v>
      </c>
      <c r="AP32" s="68">
        <v>233.27</v>
      </c>
      <c r="AQ32" s="68">
        <v>254.48663892235243</v>
      </c>
      <c r="AR32" s="63" t="s">
        <v>652</v>
      </c>
    </row>
    <row r="33" spans="1:47" hidden="1" outlineLevel="2" x14ac:dyDescent="0.2">
      <c r="B33" s="63" t="s">
        <v>237</v>
      </c>
      <c r="C33" s="63" t="s">
        <v>346</v>
      </c>
      <c r="D33" s="63">
        <v>15</v>
      </c>
      <c r="E33" s="63">
        <v>0</v>
      </c>
      <c r="F33" s="63">
        <v>308.33</v>
      </c>
      <c r="G33" s="63">
        <v>327</v>
      </c>
      <c r="H33" s="63">
        <v>4624.95</v>
      </c>
      <c r="I33" s="68">
        <v>0</v>
      </c>
      <c r="J33" s="68">
        <v>0</v>
      </c>
      <c r="K33" s="68">
        <v>462.5</v>
      </c>
      <c r="L33" s="68">
        <v>462.5</v>
      </c>
      <c r="M33" s="68">
        <v>462.5</v>
      </c>
      <c r="N33" s="68">
        <v>6012.45</v>
      </c>
      <c r="O33" s="68">
        <v>400.66</v>
      </c>
      <c r="P33" s="68">
        <v>0</v>
      </c>
      <c r="Q33" s="68">
        <v>120.9</v>
      </c>
      <c r="R33" s="68">
        <v>0</v>
      </c>
      <c r="S33" s="68">
        <v>413.05</v>
      </c>
      <c r="T33" s="68"/>
      <c r="U33" s="68"/>
      <c r="V33" s="68"/>
      <c r="W33" s="68">
        <v>0</v>
      </c>
      <c r="X33" s="68">
        <v>0.04</v>
      </c>
      <c r="Y33" s="68">
        <v>934.65</v>
      </c>
      <c r="Z33" s="68">
        <v>5077.8</v>
      </c>
      <c r="AA33" s="68">
        <v>30.66</v>
      </c>
      <c r="AB33" s="68">
        <v>55.18</v>
      </c>
      <c r="AC33" s="68">
        <v>35.06</v>
      </c>
      <c r="AD33" s="68">
        <v>0</v>
      </c>
      <c r="AE33" s="68">
        <v>400.66</v>
      </c>
      <c r="AF33" s="68"/>
      <c r="AG33" s="68">
        <v>85.84</v>
      </c>
      <c r="AH33" s="68">
        <v>154.51</v>
      </c>
      <c r="AI33" s="68">
        <v>356.51</v>
      </c>
      <c r="AJ33" s="68">
        <v>6012.45</v>
      </c>
      <c r="AK33" s="68">
        <v>293.46000000000004</v>
      </c>
      <c r="AL33" s="68">
        <v>120.25</v>
      </c>
      <c r="AM33" s="68">
        <v>28.1</v>
      </c>
      <c r="AN33" s="68">
        <v>596.86</v>
      </c>
      <c r="AO33" s="68">
        <v>245.25</v>
      </c>
      <c r="AP33" s="68">
        <v>244.41000000000003</v>
      </c>
      <c r="AQ33" s="68">
        <v>329.23201182783919</v>
      </c>
      <c r="AR33" s="63" t="s">
        <v>652</v>
      </c>
    </row>
    <row r="34" spans="1:47" s="60" customFormat="1" hidden="1" outlineLevel="2" x14ac:dyDescent="0.2">
      <c r="B34" s="63" t="s">
        <v>412</v>
      </c>
      <c r="C34" s="63" t="s">
        <v>413</v>
      </c>
      <c r="D34" s="63">
        <v>15</v>
      </c>
      <c r="E34" s="63">
        <v>0</v>
      </c>
      <c r="F34" s="63">
        <v>150</v>
      </c>
      <c r="G34" s="63">
        <v>159.07</v>
      </c>
      <c r="H34" s="63">
        <v>2250</v>
      </c>
      <c r="I34" s="68">
        <v>0</v>
      </c>
      <c r="J34" s="68">
        <v>0</v>
      </c>
      <c r="K34" s="68">
        <v>225</v>
      </c>
      <c r="L34" s="68">
        <v>225</v>
      </c>
      <c r="M34" s="68">
        <v>225</v>
      </c>
      <c r="N34" s="68">
        <v>2925</v>
      </c>
      <c r="O34" s="68">
        <v>0</v>
      </c>
      <c r="P34" s="68">
        <v>-43.57</v>
      </c>
      <c r="Q34" s="68">
        <v>56.67</v>
      </c>
      <c r="R34" s="68">
        <v>0</v>
      </c>
      <c r="S34" s="68">
        <v>0</v>
      </c>
      <c r="T34" s="68"/>
      <c r="U34" s="68"/>
      <c r="V34" s="68"/>
      <c r="W34" s="68">
        <v>0</v>
      </c>
      <c r="X34" s="68">
        <v>-0.1</v>
      </c>
      <c r="Y34" s="68">
        <v>13</v>
      </c>
      <c r="Z34" s="68">
        <v>2912</v>
      </c>
      <c r="AA34" s="68">
        <v>14.91</v>
      </c>
      <c r="AB34" s="68">
        <v>26.84</v>
      </c>
      <c r="AC34" s="68">
        <v>14.92</v>
      </c>
      <c r="AD34" s="79">
        <v>-174.78</v>
      </c>
      <c r="AE34" s="68">
        <v>131.21</v>
      </c>
      <c r="AF34" s="68"/>
      <c r="AG34" s="68">
        <v>41.76</v>
      </c>
      <c r="AH34" s="68">
        <v>75.16</v>
      </c>
      <c r="AI34" s="68">
        <v>300.29000000000002</v>
      </c>
      <c r="AJ34" s="68">
        <v>2925</v>
      </c>
      <c r="AK34" s="68">
        <v>243.08</v>
      </c>
      <c r="AL34" s="68">
        <v>58.5</v>
      </c>
      <c r="AM34" s="68">
        <v>13.67</v>
      </c>
      <c r="AN34" s="68">
        <v>417.21</v>
      </c>
      <c r="AO34" s="68">
        <v>119.3</v>
      </c>
      <c r="AP34" s="68">
        <v>219.22000000000003</v>
      </c>
      <c r="AQ34" s="68">
        <v>160.16865622604314</v>
      </c>
      <c r="AR34" s="63" t="s">
        <v>652</v>
      </c>
      <c r="AS34" s="63"/>
      <c r="AT34" s="63"/>
      <c r="AU34" s="63"/>
    </row>
    <row r="35" spans="1:47" hidden="1" outlineLevel="2" x14ac:dyDescent="0.2">
      <c r="B35" s="63" t="s">
        <v>495</v>
      </c>
      <c r="C35" s="63" t="s">
        <v>496</v>
      </c>
      <c r="D35" s="63">
        <v>13</v>
      </c>
      <c r="E35" s="63">
        <v>2</v>
      </c>
      <c r="F35" s="63">
        <v>166.67</v>
      </c>
      <c r="G35" s="63">
        <v>176.76</v>
      </c>
      <c r="H35" s="63">
        <v>2166.71</v>
      </c>
      <c r="I35" s="68">
        <v>333.34</v>
      </c>
      <c r="J35" s="68">
        <v>100</v>
      </c>
      <c r="K35" s="68">
        <v>250.01</v>
      </c>
      <c r="L35" s="68">
        <v>250.01</v>
      </c>
      <c r="M35" s="68">
        <v>250.01</v>
      </c>
      <c r="N35" s="68">
        <v>3350.08</v>
      </c>
      <c r="O35" s="68">
        <v>0</v>
      </c>
      <c r="P35" s="79">
        <v>-9.6199999999999992</v>
      </c>
      <c r="Q35" s="68">
        <v>62.97</v>
      </c>
      <c r="R35" s="68">
        <v>0</v>
      </c>
      <c r="S35" s="68">
        <v>392.72</v>
      </c>
      <c r="T35" s="68"/>
      <c r="U35" s="68"/>
      <c r="V35" s="68"/>
      <c r="W35" s="68">
        <v>0</v>
      </c>
      <c r="X35" s="68">
        <v>0.01</v>
      </c>
      <c r="Y35" s="68">
        <v>446.08</v>
      </c>
      <c r="Z35" s="68">
        <v>2904</v>
      </c>
      <c r="AA35" s="68">
        <v>16.57</v>
      </c>
      <c r="AB35" s="68">
        <v>29.83</v>
      </c>
      <c r="AC35" s="68">
        <v>16.57</v>
      </c>
      <c r="AD35" s="79">
        <v>-160.30000000000001</v>
      </c>
      <c r="AE35" s="68">
        <v>150.66999999999999</v>
      </c>
      <c r="AF35" s="68"/>
      <c r="AG35" s="68">
        <v>46.4</v>
      </c>
      <c r="AH35" s="68">
        <v>83.52</v>
      </c>
      <c r="AI35" s="68">
        <v>304.94</v>
      </c>
      <c r="AJ35" s="68">
        <v>3250.08</v>
      </c>
      <c r="AK35" s="68">
        <v>248.39000000000001</v>
      </c>
      <c r="AL35" s="68">
        <v>65</v>
      </c>
      <c r="AM35" s="68">
        <v>15.19</v>
      </c>
      <c r="AN35" s="68">
        <v>434.86</v>
      </c>
      <c r="AO35" s="68">
        <v>132.57</v>
      </c>
      <c r="AP35" s="68">
        <v>221.87</v>
      </c>
      <c r="AQ35" s="68">
        <v>177.96873288796405</v>
      </c>
      <c r="AR35" s="63" t="s">
        <v>652</v>
      </c>
    </row>
    <row r="36" spans="1:47" hidden="1" outlineLevel="2" x14ac:dyDescent="0.2">
      <c r="B36" s="70" t="s">
        <v>590</v>
      </c>
      <c r="C36" s="70" t="s">
        <v>474</v>
      </c>
      <c r="D36" s="70">
        <v>15</v>
      </c>
      <c r="E36" s="70">
        <v>0</v>
      </c>
      <c r="F36" s="70">
        <v>133.33000000000001</v>
      </c>
      <c r="G36" s="70">
        <v>139.36000000000001</v>
      </c>
      <c r="H36" s="70">
        <v>1999.95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1999.95</v>
      </c>
      <c r="O36" s="70">
        <v>0</v>
      </c>
      <c r="P36" s="80">
        <v>-73.5</v>
      </c>
      <c r="Q36" s="70">
        <v>49.65</v>
      </c>
      <c r="R36" s="70">
        <v>0</v>
      </c>
      <c r="S36" s="70">
        <v>1044.75</v>
      </c>
      <c r="T36" s="70"/>
      <c r="U36" s="70"/>
      <c r="V36" s="70"/>
      <c r="W36" s="70">
        <v>0</v>
      </c>
      <c r="X36" s="80">
        <v>0.05</v>
      </c>
      <c r="Y36" s="70">
        <v>1020.95</v>
      </c>
      <c r="Z36" s="70">
        <v>979</v>
      </c>
      <c r="AA36" s="70">
        <v>13.06</v>
      </c>
      <c r="AB36" s="70">
        <v>23.52</v>
      </c>
      <c r="AC36" s="70">
        <v>13.07</v>
      </c>
      <c r="AD36" s="80">
        <v>-188.71</v>
      </c>
      <c r="AE36" s="70">
        <v>115.21</v>
      </c>
      <c r="AF36" s="68"/>
      <c r="AG36" s="68">
        <v>36.58</v>
      </c>
      <c r="AH36" s="68">
        <v>65.849999999999994</v>
      </c>
      <c r="AI36" s="68">
        <v>295.12</v>
      </c>
      <c r="AJ36" s="68">
        <v>1999.95</v>
      </c>
      <c r="AK36" s="68">
        <v>237.17000000000002</v>
      </c>
      <c r="AL36" s="68">
        <v>40</v>
      </c>
      <c r="AM36" s="68">
        <v>11.98</v>
      </c>
      <c r="AN36" s="68">
        <v>397.55</v>
      </c>
      <c r="AO36" s="68">
        <v>104.52</v>
      </c>
      <c r="AP36" s="68">
        <v>216.26000000000002</v>
      </c>
      <c r="AQ36" s="68">
        <v>142.36857956412223</v>
      </c>
      <c r="AR36" s="100" t="s">
        <v>652</v>
      </c>
    </row>
    <row r="37" spans="1:47" hidden="1" outlineLevel="2" x14ac:dyDescent="0.2">
      <c r="B37" s="68" t="s">
        <v>644</v>
      </c>
      <c r="C37" s="68" t="s">
        <v>645</v>
      </c>
      <c r="D37" s="68">
        <v>15</v>
      </c>
      <c r="E37" s="68">
        <v>0</v>
      </c>
      <c r="F37" s="68">
        <v>291.67</v>
      </c>
      <c r="G37" s="68">
        <v>309.33</v>
      </c>
      <c r="H37" s="68">
        <v>4375.05</v>
      </c>
      <c r="I37" s="68">
        <v>0</v>
      </c>
      <c r="J37" s="68">
        <v>0</v>
      </c>
      <c r="K37" s="68">
        <v>437.51</v>
      </c>
      <c r="L37" s="68">
        <v>437.51</v>
      </c>
      <c r="M37" s="68">
        <v>437.51</v>
      </c>
      <c r="N37" s="68">
        <v>5687.58</v>
      </c>
      <c r="O37" s="68">
        <v>360.68</v>
      </c>
      <c r="P37" s="68">
        <v>0</v>
      </c>
      <c r="Q37" s="68">
        <v>113.55</v>
      </c>
      <c r="R37" s="68">
        <v>0</v>
      </c>
      <c r="S37" s="68">
        <v>0</v>
      </c>
      <c r="T37" s="68"/>
      <c r="U37" s="68"/>
      <c r="V37" s="68"/>
      <c r="W37" s="68">
        <v>0</v>
      </c>
      <c r="X37" s="68">
        <v>0.15</v>
      </c>
      <c r="Y37" s="68">
        <v>474.38</v>
      </c>
      <c r="Z37" s="68">
        <v>5213.2</v>
      </c>
      <c r="AA37" s="68">
        <v>29</v>
      </c>
      <c r="AB37" s="68">
        <v>52.2</v>
      </c>
      <c r="AC37" s="68">
        <v>32.35</v>
      </c>
      <c r="AD37" s="79">
        <v>0</v>
      </c>
      <c r="AE37" s="68">
        <v>360.68</v>
      </c>
      <c r="AF37" s="68"/>
      <c r="AG37" s="68">
        <v>81.2</v>
      </c>
      <c r="AH37" s="68">
        <v>146.16</v>
      </c>
      <c r="AI37" s="68">
        <v>348.96</v>
      </c>
      <c r="AJ37" s="68">
        <v>5687.58</v>
      </c>
      <c r="AK37" s="68">
        <v>288.16000000000003</v>
      </c>
      <c r="AL37" s="68">
        <v>113.75</v>
      </c>
      <c r="AM37" s="68">
        <v>26.58</v>
      </c>
      <c r="AN37" s="68">
        <v>576.32000000000005</v>
      </c>
      <c r="AO37" s="68">
        <v>232</v>
      </c>
      <c r="AP37" s="68">
        <v>241.76000000000002</v>
      </c>
      <c r="AQ37" s="68">
        <v>311.44261307633337</v>
      </c>
      <c r="AR37" s="63" t="s">
        <v>652</v>
      </c>
    </row>
    <row r="38" spans="1:47" hidden="1" outlineLevel="2" x14ac:dyDescent="0.2">
      <c r="B38" s="68" t="s">
        <v>654</v>
      </c>
      <c r="C38" s="68" t="s">
        <v>655</v>
      </c>
      <c r="D38" s="68">
        <v>15</v>
      </c>
      <c r="E38" s="68">
        <v>0</v>
      </c>
      <c r="F38" s="68">
        <v>233.33</v>
      </c>
      <c r="G38" s="68">
        <v>247.46</v>
      </c>
      <c r="H38" s="68">
        <v>3499.95</v>
      </c>
      <c r="I38" s="68">
        <v>0</v>
      </c>
      <c r="J38" s="68">
        <v>0</v>
      </c>
      <c r="K38" s="68">
        <v>350</v>
      </c>
      <c r="L38" s="68">
        <v>350</v>
      </c>
      <c r="M38" s="68">
        <v>350</v>
      </c>
      <c r="N38" s="68">
        <v>4549.95</v>
      </c>
      <c r="O38" s="68">
        <v>134.36000000000001</v>
      </c>
      <c r="P38" s="68">
        <v>0</v>
      </c>
      <c r="Q38" s="68">
        <v>88.16</v>
      </c>
      <c r="R38" s="68">
        <v>0</v>
      </c>
      <c r="S38" s="68">
        <v>0</v>
      </c>
      <c r="T38" s="68"/>
      <c r="U38" s="68"/>
      <c r="V38" s="68"/>
      <c r="W38" s="68">
        <v>0</v>
      </c>
      <c r="X38" s="68">
        <v>0.03</v>
      </c>
      <c r="Y38" s="68">
        <v>222.55</v>
      </c>
      <c r="Z38" s="68">
        <v>4327.3999999999996</v>
      </c>
      <c r="AA38" s="68">
        <v>23.2</v>
      </c>
      <c r="AB38" s="68">
        <v>41.76</v>
      </c>
      <c r="AC38" s="68">
        <v>23.2</v>
      </c>
      <c r="AD38" s="79">
        <v>-125.1</v>
      </c>
      <c r="AE38" s="68">
        <v>259.45999999999998</v>
      </c>
      <c r="AF38" s="68"/>
      <c r="AG38" s="68">
        <v>64.959999999999994</v>
      </c>
      <c r="AH38" s="68">
        <v>116.92</v>
      </c>
      <c r="AI38" s="68">
        <v>323.5</v>
      </c>
      <c r="AJ38" s="68">
        <v>4549.95</v>
      </c>
      <c r="AK38" s="68">
        <v>269.60000000000002</v>
      </c>
      <c r="AL38" s="68">
        <v>91</v>
      </c>
      <c r="AM38" s="68">
        <v>21.27</v>
      </c>
      <c r="AN38" s="68">
        <v>505.38</v>
      </c>
      <c r="AO38" s="68">
        <v>185.6</v>
      </c>
      <c r="AP38" s="68">
        <v>232.48000000000002</v>
      </c>
      <c r="AQ38" s="68">
        <v>249.14768371481765</v>
      </c>
      <c r="AR38" s="63" t="s">
        <v>652</v>
      </c>
    </row>
    <row r="39" spans="1:47" outlineLevel="1" collapsed="1" x14ac:dyDescent="0.2">
      <c r="A39" s="87" t="s">
        <v>668</v>
      </c>
      <c r="B39" s="68">
        <f t="shared" ref="B39:AR39" si="1">SUBTOTAL(9,B31:B38)</f>
        <v>0</v>
      </c>
      <c r="C39" s="68">
        <f t="shared" si="1"/>
        <v>0</v>
      </c>
      <c r="D39" s="68">
        <f t="shared" si="1"/>
        <v>118</v>
      </c>
      <c r="E39" s="68">
        <f t="shared" si="1"/>
        <v>2</v>
      </c>
      <c r="F39" s="68">
        <f t="shared" si="1"/>
        <v>1821.66</v>
      </c>
      <c r="G39" s="68">
        <f t="shared" si="1"/>
        <v>1925.2999999999997</v>
      </c>
      <c r="H39" s="68">
        <f t="shared" si="1"/>
        <v>26991.56</v>
      </c>
      <c r="I39" s="68">
        <f t="shared" si="1"/>
        <v>333.34</v>
      </c>
      <c r="J39" s="68">
        <f t="shared" si="1"/>
        <v>100</v>
      </c>
      <c r="K39" s="68">
        <f t="shared" si="1"/>
        <v>2532.52</v>
      </c>
      <c r="L39" s="68">
        <f t="shared" si="1"/>
        <v>2532.52</v>
      </c>
      <c r="M39" s="68">
        <f t="shared" si="1"/>
        <v>2532.52</v>
      </c>
      <c r="N39" s="68">
        <f t="shared" si="1"/>
        <v>35022.46</v>
      </c>
      <c r="O39" s="68">
        <f t="shared" si="1"/>
        <v>1436.6200000000003</v>
      </c>
      <c r="P39" s="68">
        <f t="shared" si="1"/>
        <v>-126.69</v>
      </c>
      <c r="Q39" s="68">
        <f t="shared" si="1"/>
        <v>697.26999999999987</v>
      </c>
      <c r="R39" s="68">
        <f t="shared" si="1"/>
        <v>947.85</v>
      </c>
      <c r="S39" s="68">
        <f t="shared" si="1"/>
        <v>3171.2</v>
      </c>
      <c r="T39" s="68">
        <f t="shared" si="1"/>
        <v>0</v>
      </c>
      <c r="U39" s="68">
        <f t="shared" si="1"/>
        <v>0</v>
      </c>
      <c r="V39" s="68">
        <f t="shared" si="1"/>
        <v>0</v>
      </c>
      <c r="W39" s="68">
        <f t="shared" si="1"/>
        <v>0</v>
      </c>
      <c r="X39" s="68">
        <f t="shared" si="1"/>
        <v>0.21</v>
      </c>
      <c r="Y39" s="68">
        <f t="shared" si="1"/>
        <v>6126.46</v>
      </c>
      <c r="Z39" s="68">
        <f t="shared" si="1"/>
        <v>28896</v>
      </c>
      <c r="AA39" s="68">
        <f t="shared" si="1"/>
        <v>180.49999999999997</v>
      </c>
      <c r="AB39" s="68">
        <f t="shared" si="1"/>
        <v>324.89000000000004</v>
      </c>
      <c r="AC39" s="68">
        <f t="shared" si="1"/>
        <v>191.87999999999997</v>
      </c>
      <c r="AD39" s="79">
        <f t="shared" si="1"/>
        <v>-756.26</v>
      </c>
      <c r="AE39" s="68">
        <f t="shared" si="1"/>
        <v>2066.1800000000003</v>
      </c>
      <c r="AF39" s="68">
        <f t="shared" si="1"/>
        <v>0</v>
      </c>
      <c r="AG39" s="68">
        <f t="shared" si="1"/>
        <v>505.39999999999992</v>
      </c>
      <c r="AH39" s="68">
        <f t="shared" si="1"/>
        <v>909.70999999999992</v>
      </c>
      <c r="AI39" s="68">
        <f t="shared" si="1"/>
        <v>2604.98</v>
      </c>
      <c r="AJ39" s="68">
        <f t="shared" si="1"/>
        <v>34922.46</v>
      </c>
      <c r="AK39" s="68">
        <f t="shared" si="1"/>
        <v>2140.4800000000005</v>
      </c>
      <c r="AL39" s="68">
        <f t="shared" si="1"/>
        <v>698.45</v>
      </c>
      <c r="AM39" s="68">
        <f t="shared" si="1"/>
        <v>165.46</v>
      </c>
      <c r="AN39" s="68">
        <f t="shared" si="1"/>
        <v>4020.0900000000006</v>
      </c>
      <c r="AO39" s="68">
        <f t="shared" si="1"/>
        <v>1443.9799999999998</v>
      </c>
      <c r="AP39" s="68">
        <f t="shared" si="1"/>
        <v>1851.66</v>
      </c>
      <c r="AQ39" s="68">
        <f t="shared" si="1"/>
        <v>1945.1522286715585</v>
      </c>
      <c r="AR39" s="63">
        <f t="shared" si="1"/>
        <v>0</v>
      </c>
    </row>
    <row r="40" spans="1:47" s="102" customFormat="1" outlineLevel="1" x14ac:dyDescent="0.2">
      <c r="B40" s="101" t="s">
        <v>183</v>
      </c>
      <c r="D40" s="102" t="s">
        <v>174</v>
      </c>
      <c r="E40" s="102" t="s">
        <v>174</v>
      </c>
      <c r="F40" s="102" t="s">
        <v>174</v>
      </c>
      <c r="G40" s="102" t="s">
        <v>174</v>
      </c>
      <c r="H40" s="102" t="s">
        <v>174</v>
      </c>
      <c r="I40" s="102" t="s">
        <v>174</v>
      </c>
      <c r="J40" s="102" t="s">
        <v>174</v>
      </c>
      <c r="K40" s="102" t="s">
        <v>174</v>
      </c>
      <c r="L40" s="102" t="s">
        <v>174</v>
      </c>
      <c r="M40" s="102" t="s">
        <v>174</v>
      </c>
      <c r="N40" s="102" t="s">
        <v>174</v>
      </c>
      <c r="O40" s="102" t="s">
        <v>174</v>
      </c>
      <c r="P40" s="102" t="s">
        <v>174</v>
      </c>
      <c r="Q40" s="102" t="s">
        <v>174</v>
      </c>
      <c r="R40" s="102" t="s">
        <v>174</v>
      </c>
      <c r="S40" s="102" t="s">
        <v>174</v>
      </c>
      <c r="T40" s="102" t="s">
        <v>174</v>
      </c>
      <c r="U40" s="102" t="s">
        <v>174</v>
      </c>
      <c r="V40" s="102" t="s">
        <v>174</v>
      </c>
      <c r="W40" s="102" t="s">
        <v>174</v>
      </c>
      <c r="X40" s="102" t="s">
        <v>174</v>
      </c>
      <c r="Y40" s="102" t="s">
        <v>174</v>
      </c>
      <c r="Z40" s="102" t="s">
        <v>174</v>
      </c>
      <c r="AA40" s="102" t="s">
        <v>174</v>
      </c>
      <c r="AB40" s="102" t="s">
        <v>174</v>
      </c>
      <c r="AC40" s="102" t="s">
        <v>174</v>
      </c>
      <c r="AD40" s="102" t="s">
        <v>174</v>
      </c>
      <c r="AE40" s="102" t="s">
        <v>174</v>
      </c>
      <c r="AF40" s="102" t="s">
        <v>174</v>
      </c>
      <c r="AG40" s="102" t="s">
        <v>174</v>
      </c>
      <c r="AH40" s="102" t="s">
        <v>174</v>
      </c>
      <c r="AI40" s="102" t="s">
        <v>174</v>
      </c>
      <c r="AJ40" s="102" t="s">
        <v>174</v>
      </c>
      <c r="AK40" s="102" t="s">
        <v>174</v>
      </c>
      <c r="AL40" s="102" t="s">
        <v>174</v>
      </c>
      <c r="AM40" s="102" t="s">
        <v>174</v>
      </c>
      <c r="AN40" s="102" t="s">
        <v>174</v>
      </c>
      <c r="AO40" s="102" t="s">
        <v>174</v>
      </c>
      <c r="AP40" s="102" t="s">
        <v>174</v>
      </c>
      <c r="AR40" s="63"/>
      <c r="AS40" s="63"/>
      <c r="AT40" s="63"/>
    </row>
    <row r="41" spans="1:47" outlineLevel="1" x14ac:dyDescent="0.2">
      <c r="B41" s="87">
        <f>SUM(B9:B40)</f>
        <v>0</v>
      </c>
      <c r="C41" s="87">
        <f>SUM(C9:C40)</f>
        <v>0</v>
      </c>
      <c r="D41" s="87">
        <f>+D30+D39</f>
        <v>432</v>
      </c>
      <c r="E41" s="87">
        <f t="shared" ref="E41:AR41" si="2">+E30+E39</f>
        <v>3</v>
      </c>
      <c r="F41" s="87">
        <f t="shared" si="2"/>
        <v>7674.5499999999993</v>
      </c>
      <c r="G41" s="87">
        <f t="shared" si="2"/>
        <v>8118.17</v>
      </c>
      <c r="H41" s="87">
        <f t="shared" si="2"/>
        <v>114511.57999999999</v>
      </c>
      <c r="I41" s="87">
        <f t="shared" si="2"/>
        <v>606.66999999999996</v>
      </c>
      <c r="J41" s="87">
        <f t="shared" si="2"/>
        <v>467.99</v>
      </c>
      <c r="K41" s="87">
        <f t="shared" si="2"/>
        <v>11311.94</v>
      </c>
      <c r="L41" s="87">
        <f t="shared" si="2"/>
        <v>11311.94</v>
      </c>
      <c r="M41" s="87">
        <f t="shared" si="2"/>
        <v>11311.94</v>
      </c>
      <c r="N41" s="87">
        <f t="shared" si="2"/>
        <v>149522.05999999997</v>
      </c>
      <c r="O41" s="87">
        <f t="shared" si="2"/>
        <v>8489.3000000000011</v>
      </c>
      <c r="P41" s="87">
        <f t="shared" si="2"/>
        <v>-245.38</v>
      </c>
      <c r="Q41" s="87">
        <f t="shared" si="2"/>
        <v>2994.3799999999997</v>
      </c>
      <c r="R41" s="87">
        <f t="shared" si="2"/>
        <v>947.85</v>
      </c>
      <c r="S41" s="87">
        <f t="shared" si="2"/>
        <v>14305.259999999998</v>
      </c>
      <c r="T41" s="87">
        <f t="shared" si="2"/>
        <v>0</v>
      </c>
      <c r="U41" s="87">
        <f t="shared" si="2"/>
        <v>0</v>
      </c>
      <c r="V41" s="87">
        <f t="shared" si="2"/>
        <v>0</v>
      </c>
      <c r="W41" s="87">
        <f t="shared" si="2"/>
        <v>2029.5200000000002</v>
      </c>
      <c r="X41" s="87">
        <f t="shared" si="2"/>
        <v>0.72999999999999987</v>
      </c>
      <c r="Y41" s="87">
        <f t="shared" si="2"/>
        <v>28521.660000000003</v>
      </c>
      <c r="Z41" s="87">
        <f t="shared" si="2"/>
        <v>121000.40000000001</v>
      </c>
      <c r="AA41" s="87">
        <f t="shared" si="2"/>
        <v>761.13</v>
      </c>
      <c r="AB41" s="87">
        <f t="shared" si="2"/>
        <v>1369.98</v>
      </c>
      <c r="AC41" s="87">
        <f t="shared" si="2"/>
        <v>863.2700000000001</v>
      </c>
      <c r="AD41" s="87">
        <f t="shared" si="2"/>
        <v>-2614.7199999999998</v>
      </c>
      <c r="AE41" s="87">
        <f t="shared" si="2"/>
        <v>10858.579999999998</v>
      </c>
      <c r="AF41" s="87">
        <f t="shared" si="2"/>
        <v>0</v>
      </c>
      <c r="AG41" s="87">
        <f t="shared" si="2"/>
        <v>2131.0300000000002</v>
      </c>
      <c r="AH41" s="87">
        <f t="shared" si="2"/>
        <v>3835.84</v>
      </c>
      <c r="AI41" s="87">
        <f t="shared" si="2"/>
        <v>9909.58</v>
      </c>
      <c r="AJ41" s="87">
        <f t="shared" si="2"/>
        <v>149422.05999999997</v>
      </c>
      <c r="AK41" s="87">
        <f t="shared" si="2"/>
        <v>8100.9000000000005</v>
      </c>
      <c r="AL41" s="87">
        <f t="shared" si="2"/>
        <v>2988.41</v>
      </c>
      <c r="AM41" s="87">
        <f t="shared" si="2"/>
        <v>697.67000000000007</v>
      </c>
      <c r="AN41" s="87">
        <f t="shared" si="2"/>
        <v>15876.450000000003</v>
      </c>
      <c r="AO41" s="87">
        <f t="shared" si="2"/>
        <v>6088.61</v>
      </c>
      <c r="AP41" s="87">
        <f t="shared" si="2"/>
        <v>6883.1399999999994</v>
      </c>
      <c r="AQ41" s="87">
        <f t="shared" si="2"/>
        <v>8194.8157375971969</v>
      </c>
      <c r="AR41" s="87">
        <f t="shared" si="2"/>
        <v>0</v>
      </c>
    </row>
    <row r="42" spans="1:47" x14ac:dyDescent="0.2"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166" t="s">
        <v>669</v>
      </c>
      <c r="N42" s="166"/>
      <c r="O42" s="166" t="s">
        <v>670</v>
      </c>
      <c r="P42" s="166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</row>
    <row r="43" spans="1:47" x14ac:dyDescent="0.2">
      <c r="B43" s="87">
        <v>30</v>
      </c>
      <c r="C43" s="87" t="s">
        <v>528</v>
      </c>
      <c r="D43" s="87"/>
      <c r="E43" s="87"/>
      <c r="F43" s="87"/>
      <c r="G43" s="87"/>
      <c r="H43" s="87"/>
      <c r="I43" s="87"/>
      <c r="J43" s="87"/>
      <c r="K43" s="87"/>
      <c r="L43" s="87"/>
      <c r="M43" s="103" t="s">
        <v>47</v>
      </c>
      <c r="N43" s="104">
        <f>+Z30</f>
        <v>92104.400000000009</v>
      </c>
      <c r="O43" s="103" t="s">
        <v>47</v>
      </c>
      <c r="P43" s="104">
        <f>+Z39</f>
        <v>28896</v>
      </c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</row>
    <row r="44" spans="1:47" x14ac:dyDescent="0.2">
      <c r="B44" s="87">
        <v>0</v>
      </c>
      <c r="C44" s="87" t="s">
        <v>410</v>
      </c>
      <c r="D44" s="87"/>
      <c r="E44" s="87"/>
      <c r="F44" s="87"/>
      <c r="G44" s="87"/>
      <c r="H44" s="87"/>
      <c r="I44" s="87"/>
      <c r="J44" s="87"/>
      <c r="K44" s="87"/>
      <c r="L44" s="87"/>
      <c r="M44" s="103" t="s">
        <v>48</v>
      </c>
      <c r="N44" s="104">
        <f>+W30</f>
        <v>2029.5200000000002</v>
      </c>
      <c r="O44" s="103" t="s">
        <v>48</v>
      </c>
      <c r="P44" s="104">
        <f>+W39</f>
        <v>0</v>
      </c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</row>
    <row r="45" spans="1:47" x14ac:dyDescent="0.2">
      <c r="B45" s="87">
        <v>1</v>
      </c>
      <c r="C45" s="87" t="s">
        <v>411</v>
      </c>
      <c r="M45" s="103" t="s">
        <v>188</v>
      </c>
      <c r="N45" s="104">
        <f>+T30+S30+R30+U30</f>
        <v>11134.06</v>
      </c>
      <c r="O45" s="103" t="s">
        <v>188</v>
      </c>
      <c r="P45" s="104">
        <f>+T39+S39+R39+U39</f>
        <v>4119.05</v>
      </c>
    </row>
    <row r="46" spans="1:47" x14ac:dyDescent="0.2">
      <c r="B46" s="87">
        <f>+B43+B44-B45</f>
        <v>29</v>
      </c>
      <c r="C46" s="87" t="s">
        <v>527</v>
      </c>
      <c r="M46" s="103" t="s">
        <v>353</v>
      </c>
      <c r="N46" s="104">
        <f>+V30</f>
        <v>0</v>
      </c>
      <c r="O46" s="103" t="s">
        <v>353</v>
      </c>
      <c r="P46" s="104">
        <f>+W39</f>
        <v>0</v>
      </c>
    </row>
    <row r="47" spans="1:47" x14ac:dyDescent="0.2">
      <c r="B47" s="87"/>
      <c r="C47" s="87"/>
      <c r="M47" s="103" t="s">
        <v>49</v>
      </c>
      <c r="N47" s="104">
        <f>SUM(N43:N46)</f>
        <v>105267.98000000001</v>
      </c>
      <c r="O47" s="103" t="s">
        <v>49</v>
      </c>
      <c r="P47" s="104">
        <f>SUM(P43:P46)</f>
        <v>33015.050000000003</v>
      </c>
    </row>
    <row r="48" spans="1:47" x14ac:dyDescent="0.2">
      <c r="B48" s="87"/>
      <c r="C48" s="87"/>
      <c r="M48" s="103" t="s">
        <v>50</v>
      </c>
      <c r="N48" s="104">
        <f>+N47*2%</f>
        <v>2105.3596000000002</v>
      </c>
      <c r="O48" s="103" t="s">
        <v>50</v>
      </c>
      <c r="P48" s="104">
        <f>+P47*2%</f>
        <v>660.30100000000004</v>
      </c>
    </row>
    <row r="49" spans="2:16" x14ac:dyDescent="0.2">
      <c r="B49" s="87"/>
      <c r="C49" s="87"/>
      <c r="M49" s="103" t="s">
        <v>51</v>
      </c>
      <c r="N49" s="104">
        <f>+N47+N48</f>
        <v>107373.33960000001</v>
      </c>
      <c r="O49" s="103" t="s">
        <v>51</v>
      </c>
      <c r="P49" s="104">
        <f>+P47+P48</f>
        <v>33675.351000000002</v>
      </c>
    </row>
    <row r="50" spans="2:16" x14ac:dyDescent="0.2">
      <c r="B50" s="87"/>
      <c r="C50" s="87"/>
      <c r="M50" s="103" t="s">
        <v>52</v>
      </c>
      <c r="N50" s="104">
        <f>+Q30+AG30+AH30+AI30+AK30+AM30+AO30+AP30</f>
        <v>30322.21</v>
      </c>
      <c r="O50" s="103" t="s">
        <v>52</v>
      </c>
      <c r="P50" s="104">
        <f>+Q39+AG39+AH39+AI39+AK39+AM39+AO39+AP39</f>
        <v>10318.94</v>
      </c>
    </row>
    <row r="51" spans="2:16" x14ac:dyDescent="0.2">
      <c r="M51" s="103" t="s">
        <v>53</v>
      </c>
      <c r="N51" s="104">
        <f>+N30*2%</f>
        <v>2289.9919999999997</v>
      </c>
      <c r="O51" s="103" t="s">
        <v>53</v>
      </c>
      <c r="P51" s="104">
        <f>+N39*2%</f>
        <v>700.44920000000002</v>
      </c>
    </row>
    <row r="52" spans="2:16" x14ac:dyDescent="0.2">
      <c r="M52" s="103" t="s">
        <v>54</v>
      </c>
      <c r="N52" s="104">
        <f>+N49+N50+N51</f>
        <v>139985.5416</v>
      </c>
      <c r="O52" s="103" t="s">
        <v>54</v>
      </c>
      <c r="P52" s="104">
        <f>+P49+P50+P51</f>
        <v>44694.740200000007</v>
      </c>
    </row>
    <row r="53" spans="2:16" x14ac:dyDescent="0.2">
      <c r="M53" s="103" t="s">
        <v>55</v>
      </c>
      <c r="N53" s="104">
        <f>+N52*16%</f>
        <v>22397.686656000002</v>
      </c>
      <c r="O53" s="103" t="s">
        <v>55</v>
      </c>
      <c r="P53" s="104">
        <f>+P52*16%</f>
        <v>7151.1584320000011</v>
      </c>
    </row>
    <row r="54" spans="2:16" x14ac:dyDescent="0.2">
      <c r="M54" s="103" t="s">
        <v>56</v>
      </c>
      <c r="N54" s="104">
        <f>+N52+N53</f>
        <v>162383.228256</v>
      </c>
      <c r="O54" s="103" t="s">
        <v>56</v>
      </c>
      <c r="P54" s="104">
        <f>+P52+P53</f>
        <v>51845.898632000011</v>
      </c>
    </row>
    <row r="55" spans="2:16" x14ac:dyDescent="0.2">
      <c r="M55" s="167" t="s">
        <v>671</v>
      </c>
      <c r="N55" s="167"/>
      <c r="O55" s="167"/>
      <c r="P55" s="167"/>
    </row>
    <row r="56" spans="2:16" x14ac:dyDescent="0.2">
      <c r="M56" s="166" t="s">
        <v>669</v>
      </c>
      <c r="N56" s="166"/>
      <c r="O56" s="166" t="s">
        <v>670</v>
      </c>
      <c r="P56" s="166"/>
    </row>
    <row r="57" spans="2:16" x14ac:dyDescent="0.2">
      <c r="M57" s="103" t="s">
        <v>49</v>
      </c>
      <c r="N57" s="104">
        <f>+AQ30</f>
        <v>6249.6635089256388</v>
      </c>
      <c r="O57" s="103" t="s">
        <v>49</v>
      </c>
      <c r="P57" s="104">
        <f>+AQ39</f>
        <v>1945.1522286715585</v>
      </c>
    </row>
    <row r="58" spans="2:16" x14ac:dyDescent="0.2">
      <c r="M58" s="103" t="s">
        <v>50</v>
      </c>
      <c r="N58" s="104">
        <f>+N57*2%</f>
        <v>124.99327017851277</v>
      </c>
      <c r="O58" s="103" t="s">
        <v>50</v>
      </c>
      <c r="P58" s="104">
        <f>+P57*2%</f>
        <v>38.903044573431174</v>
      </c>
    </row>
    <row r="59" spans="2:16" x14ac:dyDescent="0.2">
      <c r="M59" s="103" t="s">
        <v>51</v>
      </c>
      <c r="N59" s="104">
        <f>+N57+N58</f>
        <v>6374.6567791041516</v>
      </c>
      <c r="O59" s="103" t="s">
        <v>51</v>
      </c>
      <c r="P59" s="104">
        <f>+P57+P58</f>
        <v>1984.0552732449896</v>
      </c>
    </row>
    <row r="60" spans="2:16" x14ac:dyDescent="0.2">
      <c r="M60" s="103" t="s">
        <v>53</v>
      </c>
      <c r="N60" s="104">
        <f>+N57*2%</f>
        <v>124.99327017851277</v>
      </c>
      <c r="O60" s="103" t="s">
        <v>53</v>
      </c>
      <c r="P60" s="104">
        <f>+P57*2%</f>
        <v>38.903044573431174</v>
      </c>
    </row>
    <row r="61" spans="2:16" x14ac:dyDescent="0.2">
      <c r="M61" s="103" t="s">
        <v>54</v>
      </c>
      <c r="N61" s="104">
        <f>+N59+N60</f>
        <v>6499.6500492826644</v>
      </c>
      <c r="O61" s="103" t="s">
        <v>54</v>
      </c>
      <c r="P61" s="104">
        <f>+P59+P60</f>
        <v>2022.9583178184207</v>
      </c>
    </row>
    <row r="62" spans="2:16" x14ac:dyDescent="0.2">
      <c r="M62" s="103" t="s">
        <v>55</v>
      </c>
      <c r="N62" s="104">
        <f>+N61*16%</f>
        <v>1039.9440078852263</v>
      </c>
      <c r="O62" s="103" t="s">
        <v>55</v>
      </c>
      <c r="P62" s="104">
        <f>+P61*16%</f>
        <v>323.67333085094731</v>
      </c>
    </row>
    <row r="63" spans="2:16" x14ac:dyDescent="0.2">
      <c r="M63" s="103" t="s">
        <v>56</v>
      </c>
      <c r="N63" s="104">
        <f>+N61+N62</f>
        <v>7539.5940571678912</v>
      </c>
      <c r="O63" s="103" t="s">
        <v>56</v>
      </c>
      <c r="P63" s="104">
        <f>+P61+P62</f>
        <v>2346.6316486693681</v>
      </c>
    </row>
  </sheetData>
  <autoFilter ref="B8:AT41"/>
  <sortState ref="B9:AR39">
    <sortCondition ref="AR9:AR39"/>
  </sortState>
  <mergeCells count="9">
    <mergeCell ref="M56:N56"/>
    <mergeCell ref="O56:P56"/>
    <mergeCell ref="M55:P55"/>
    <mergeCell ref="C1:H1"/>
    <mergeCell ref="C2:H2"/>
    <mergeCell ref="C3:H3"/>
    <mergeCell ref="C5:H5"/>
    <mergeCell ref="M42:N42"/>
    <mergeCell ref="O42:P4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AQ153"/>
  <sheetViews>
    <sheetView showGridLines="0" zoomScale="80" zoomScaleNormal="80" workbookViewId="0">
      <pane xSplit="2" ySplit="8" topLeftCell="AF92" activePane="bottomRight" state="frozen"/>
      <selection pane="topRight" activeCell="C1" sqref="C1"/>
      <selection pane="bottomLeft" activeCell="A10" sqref="A10"/>
      <selection pane="bottomRight" activeCell="AN102" sqref="AN102"/>
    </sheetView>
  </sheetViews>
  <sheetFormatPr baseColWidth="10" defaultColWidth="11.42578125" defaultRowHeight="12.75" x14ac:dyDescent="0.2"/>
  <cols>
    <col min="1" max="1" width="11.42578125" style="71"/>
    <col min="2" max="2" width="45" style="71" customWidth="1"/>
    <col min="3" max="4" width="15" style="71" customWidth="1"/>
    <col min="5" max="5" width="13.28515625" style="71" hidden="1" customWidth="1"/>
    <col min="6" max="6" width="20.28515625" style="71" hidden="1" customWidth="1"/>
    <col min="7" max="7" width="19.5703125" style="71" customWidth="1"/>
    <col min="8" max="8" width="15.28515625" style="71" customWidth="1"/>
    <col min="9" max="9" width="21.85546875" style="71" customWidth="1"/>
    <col min="10" max="10" width="18.7109375" style="71" customWidth="1"/>
    <col min="11" max="11" width="17.5703125" style="71" customWidth="1"/>
    <col min="12" max="12" width="16.85546875" style="71" customWidth="1"/>
    <col min="13" max="13" width="15.7109375" style="71" customWidth="1"/>
    <col min="14" max="16" width="20.28515625" style="71" customWidth="1"/>
    <col min="17" max="17" width="16.85546875" style="71" customWidth="1"/>
    <col min="18" max="18" width="16.140625" style="71" customWidth="1"/>
    <col min="19" max="19" width="20.28515625" style="71" customWidth="1"/>
    <col min="20" max="20" width="15.42578125" style="71" customWidth="1"/>
    <col min="21" max="21" width="17.140625" style="71" customWidth="1"/>
    <col min="22" max="22" width="18.7109375" style="71" customWidth="1"/>
    <col min="23" max="23" width="17.85546875" style="71" customWidth="1"/>
    <col min="24" max="25" width="13.85546875" style="71" customWidth="1"/>
    <col min="26" max="27" width="19.28515625" style="71" customWidth="1"/>
    <col min="28" max="28" width="13.85546875" style="71" customWidth="1"/>
    <col min="29" max="31" width="13.5703125" style="71" customWidth="1"/>
    <col min="32" max="32" width="15.42578125" style="71" customWidth="1"/>
    <col min="33" max="36" width="13.5703125" style="71" customWidth="1"/>
    <col min="37" max="37" width="13.5703125" style="75" customWidth="1"/>
    <col min="38" max="39" width="13.5703125" style="71" customWidth="1"/>
    <col min="40" max="41" width="11.42578125" style="71" customWidth="1"/>
    <col min="42" max="16384" width="11.42578125" style="71"/>
  </cols>
  <sheetData>
    <row r="1" spans="1:43" x14ac:dyDescent="0.2">
      <c r="A1" s="69"/>
      <c r="B1" s="169" t="s">
        <v>177</v>
      </c>
      <c r="C1" s="169"/>
      <c r="D1" s="169"/>
      <c r="E1" s="169"/>
      <c r="F1" s="169"/>
      <c r="G1" s="170"/>
      <c r="H1" s="170"/>
      <c r="I1" s="170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70"/>
      <c r="AL1" s="68"/>
      <c r="AM1" s="68"/>
    </row>
    <row r="2" spans="1:43" x14ac:dyDescent="0.2">
      <c r="A2" s="72"/>
      <c r="B2" s="171" t="s">
        <v>184</v>
      </c>
      <c r="C2" s="171"/>
      <c r="D2" s="171"/>
      <c r="E2" s="171"/>
      <c r="F2" s="171"/>
      <c r="G2" s="172"/>
      <c r="H2" s="172"/>
      <c r="I2" s="172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70"/>
      <c r="AL2" s="68"/>
      <c r="AM2" s="68"/>
    </row>
    <row r="3" spans="1:43" x14ac:dyDescent="0.2">
      <c r="A3" s="68"/>
      <c r="B3" s="168" t="s">
        <v>178</v>
      </c>
      <c r="C3" s="168"/>
      <c r="D3" s="168"/>
      <c r="E3" s="168"/>
      <c r="F3" s="168"/>
      <c r="G3" s="168"/>
      <c r="H3" s="168"/>
      <c r="I3" s="1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70"/>
      <c r="AL3" s="68"/>
      <c r="AM3" s="68"/>
    </row>
    <row r="4" spans="1:43" x14ac:dyDescent="0.2">
      <c r="A4" s="68"/>
      <c r="B4" s="73" t="s">
        <v>185</v>
      </c>
      <c r="C4" s="73"/>
      <c r="D4" s="73"/>
      <c r="E4" s="73"/>
      <c r="F4" s="73"/>
      <c r="G4" s="73"/>
      <c r="H4" s="73"/>
      <c r="I4" s="73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70"/>
      <c r="AL4" s="68"/>
      <c r="AM4" s="68"/>
    </row>
    <row r="5" spans="1:43" x14ac:dyDescent="0.2">
      <c r="A5" s="68"/>
      <c r="B5" s="168" t="s">
        <v>186</v>
      </c>
      <c r="C5" s="168"/>
      <c r="D5" s="168"/>
      <c r="E5" s="168"/>
      <c r="F5" s="168"/>
      <c r="G5" s="168"/>
      <c r="H5" s="168"/>
      <c r="I5" s="1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70"/>
      <c r="AL5" s="68"/>
      <c r="AM5" s="68"/>
    </row>
    <row r="6" spans="1:43" x14ac:dyDescent="0.2">
      <c r="A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70"/>
      <c r="AL6" s="68"/>
      <c r="AM6" s="68"/>
    </row>
    <row r="7" spans="1:43" x14ac:dyDescent="0.2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</row>
    <row r="8" spans="1:43" ht="30.75" customHeight="1" thickBot="1" x14ac:dyDescent="0.25">
      <c r="A8" s="76" t="s">
        <v>181</v>
      </c>
      <c r="B8" s="76" t="s">
        <v>182</v>
      </c>
      <c r="C8" s="76" t="s">
        <v>399</v>
      </c>
      <c r="D8" s="76" t="s">
        <v>421</v>
      </c>
      <c r="E8" s="76" t="s">
        <v>588</v>
      </c>
      <c r="F8" s="76" t="s">
        <v>589</v>
      </c>
      <c r="G8" s="76" t="s">
        <v>147</v>
      </c>
      <c r="H8" s="76" t="s">
        <v>394</v>
      </c>
      <c r="I8" s="76" t="s">
        <v>395</v>
      </c>
      <c r="J8" s="76" t="s">
        <v>151</v>
      </c>
      <c r="K8" s="76" t="s">
        <v>152</v>
      </c>
      <c r="L8" s="76" t="s">
        <v>153</v>
      </c>
      <c r="M8" s="76" t="s">
        <v>154</v>
      </c>
      <c r="N8" s="76" t="s">
        <v>155</v>
      </c>
      <c r="O8" s="76" t="s">
        <v>541</v>
      </c>
      <c r="P8" s="76" t="s">
        <v>542</v>
      </c>
      <c r="Q8" s="76" t="s">
        <v>646</v>
      </c>
      <c r="R8" s="76" t="s">
        <v>146</v>
      </c>
      <c r="S8" s="76" t="s">
        <v>215</v>
      </c>
      <c r="T8" s="76" t="s">
        <v>156</v>
      </c>
      <c r="U8" s="76" t="s">
        <v>157</v>
      </c>
      <c r="V8" s="77" t="s">
        <v>158</v>
      </c>
      <c r="W8" s="76" t="s">
        <v>161</v>
      </c>
      <c r="X8" s="76" t="s">
        <v>162</v>
      </c>
      <c r="Y8" s="76" t="s">
        <v>163</v>
      </c>
      <c r="Z8" s="76" t="s">
        <v>159</v>
      </c>
      <c r="AA8" s="76" t="s">
        <v>160</v>
      </c>
      <c r="AB8" s="76" t="s">
        <v>660</v>
      </c>
      <c r="AC8" s="76" t="s">
        <v>164</v>
      </c>
      <c r="AD8" s="76" t="s">
        <v>165</v>
      </c>
      <c r="AE8" s="76" t="s">
        <v>166</v>
      </c>
      <c r="AF8" s="76" t="s">
        <v>167</v>
      </c>
      <c r="AG8" s="76" t="s">
        <v>168</v>
      </c>
      <c r="AH8" s="76" t="s">
        <v>169</v>
      </c>
      <c r="AI8" s="76" t="s">
        <v>170</v>
      </c>
      <c r="AJ8" s="76" t="s">
        <v>171</v>
      </c>
      <c r="AK8" s="76" t="s">
        <v>172</v>
      </c>
      <c r="AL8" s="76" t="s">
        <v>173</v>
      </c>
      <c r="AM8" s="76" t="s">
        <v>666</v>
      </c>
      <c r="AN8" s="76" t="s">
        <v>576</v>
      </c>
    </row>
    <row r="9" spans="1:43" ht="13.5" thickTop="1" x14ac:dyDescent="0.2">
      <c r="A9" s="68" t="s">
        <v>68</v>
      </c>
      <c r="B9" s="78" t="s">
        <v>355</v>
      </c>
      <c r="C9" s="68">
        <v>15</v>
      </c>
      <c r="D9" s="68">
        <v>0</v>
      </c>
      <c r="E9" s="68">
        <v>266.67</v>
      </c>
      <c r="F9" s="68">
        <v>278.72000000000003</v>
      </c>
      <c r="G9" s="68">
        <v>4000.05</v>
      </c>
      <c r="H9" s="68">
        <v>0</v>
      </c>
      <c r="I9" s="68">
        <v>0</v>
      </c>
      <c r="J9" s="68">
        <v>4000.05</v>
      </c>
      <c r="K9" s="68">
        <v>313.87</v>
      </c>
      <c r="L9" s="68">
        <v>0</v>
      </c>
      <c r="M9" s="68">
        <v>100.81</v>
      </c>
      <c r="N9" s="68">
        <v>0</v>
      </c>
      <c r="O9" s="68">
        <v>0</v>
      </c>
      <c r="P9" s="68"/>
      <c r="Q9" s="68">
        <v>0</v>
      </c>
      <c r="R9" s="68">
        <v>0</v>
      </c>
      <c r="S9" s="68">
        <v>0</v>
      </c>
      <c r="T9" s="79">
        <v>0.17</v>
      </c>
      <c r="U9" s="68">
        <v>414.85</v>
      </c>
      <c r="V9" s="68">
        <v>3585.2</v>
      </c>
      <c r="W9" s="68">
        <v>26.13</v>
      </c>
      <c r="X9" s="68">
        <v>47.03</v>
      </c>
      <c r="Y9" s="68">
        <v>27.65</v>
      </c>
      <c r="Z9" s="68">
        <v>0</v>
      </c>
      <c r="AA9" s="68">
        <v>313.87</v>
      </c>
      <c r="AC9" s="68">
        <v>73.16</v>
      </c>
      <c r="AD9" s="71">
        <v>131.69999999999999</v>
      </c>
      <c r="AE9" s="71">
        <v>335.88</v>
      </c>
      <c r="AF9" s="71">
        <v>4000.05</v>
      </c>
      <c r="AG9" s="71">
        <v>266.64</v>
      </c>
      <c r="AH9" s="71">
        <v>80</v>
      </c>
      <c r="AI9" s="68">
        <v>47.27</v>
      </c>
      <c r="AJ9" s="68">
        <v>540.74</v>
      </c>
      <c r="AK9" s="68">
        <v>209.04</v>
      </c>
      <c r="AL9" s="68">
        <v>224.83</v>
      </c>
      <c r="AM9" s="68">
        <v>219.03679772204578</v>
      </c>
      <c r="AN9" s="71" t="s">
        <v>651</v>
      </c>
    </row>
    <row r="10" spans="1:43" x14ac:dyDescent="0.2">
      <c r="A10" s="68" t="s">
        <v>76</v>
      </c>
      <c r="B10" s="78" t="s">
        <v>591</v>
      </c>
      <c r="C10" s="68">
        <v>15</v>
      </c>
      <c r="D10" s="68">
        <v>0</v>
      </c>
      <c r="E10" s="68">
        <v>266.67</v>
      </c>
      <c r="F10" s="68">
        <v>278.72000000000003</v>
      </c>
      <c r="G10" s="68">
        <v>4000.05</v>
      </c>
      <c r="H10" s="68">
        <v>0</v>
      </c>
      <c r="I10" s="68">
        <v>0</v>
      </c>
      <c r="J10" s="68">
        <v>4000.05</v>
      </c>
      <c r="K10" s="68">
        <v>313.87</v>
      </c>
      <c r="L10" s="68">
        <v>0</v>
      </c>
      <c r="M10" s="68">
        <v>100.81</v>
      </c>
      <c r="N10" s="68">
        <v>0</v>
      </c>
      <c r="O10" s="68">
        <v>0</v>
      </c>
      <c r="P10" s="68"/>
      <c r="Q10" s="68">
        <v>0</v>
      </c>
      <c r="R10" s="68">
        <v>0</v>
      </c>
      <c r="S10" s="68">
        <v>0</v>
      </c>
      <c r="T10" s="68">
        <v>-0.03</v>
      </c>
      <c r="U10" s="68">
        <v>414.65</v>
      </c>
      <c r="V10" s="68">
        <v>3585.4</v>
      </c>
      <c r="W10" s="68">
        <v>26.13</v>
      </c>
      <c r="X10" s="68">
        <v>47.03</v>
      </c>
      <c r="Y10" s="68">
        <v>27.65</v>
      </c>
      <c r="Z10" s="79">
        <v>0</v>
      </c>
      <c r="AA10" s="68">
        <v>313.87</v>
      </c>
      <c r="AC10" s="68">
        <v>73.16</v>
      </c>
      <c r="AD10" s="71">
        <v>131.69999999999999</v>
      </c>
      <c r="AE10" s="71">
        <v>335.88</v>
      </c>
      <c r="AF10" s="71">
        <v>4000.05</v>
      </c>
      <c r="AG10" s="71">
        <v>266.64</v>
      </c>
      <c r="AH10" s="71">
        <v>80</v>
      </c>
      <c r="AI10" s="68">
        <v>47.27</v>
      </c>
      <c r="AJ10" s="68">
        <v>540.74</v>
      </c>
      <c r="AK10" s="68">
        <v>209.04</v>
      </c>
      <c r="AL10" s="68">
        <v>224.83</v>
      </c>
      <c r="AM10" s="68">
        <v>219.03679772204578</v>
      </c>
      <c r="AN10" s="71" t="s">
        <v>651</v>
      </c>
    </row>
    <row r="11" spans="1:43" x14ac:dyDescent="0.2">
      <c r="A11" s="68" t="s">
        <v>78</v>
      </c>
      <c r="B11" s="68" t="s">
        <v>664</v>
      </c>
      <c r="C11" s="68">
        <v>15</v>
      </c>
      <c r="D11" s="68">
        <v>0</v>
      </c>
      <c r="E11" s="68">
        <v>200</v>
      </c>
      <c r="F11" s="68">
        <v>209.04</v>
      </c>
      <c r="G11" s="68">
        <v>3000</v>
      </c>
      <c r="H11" s="68">
        <v>0</v>
      </c>
      <c r="I11" s="68">
        <v>0</v>
      </c>
      <c r="J11" s="68">
        <v>3000</v>
      </c>
      <c r="K11" s="68">
        <v>59.69</v>
      </c>
      <c r="L11" s="68">
        <v>0</v>
      </c>
      <c r="M11" s="68">
        <v>74.48</v>
      </c>
      <c r="N11" s="68">
        <v>0</v>
      </c>
      <c r="O11" s="68">
        <v>0</v>
      </c>
      <c r="P11" s="68"/>
      <c r="Q11" s="68">
        <v>0</v>
      </c>
      <c r="R11" s="68">
        <v>0</v>
      </c>
      <c r="S11" s="68">
        <v>0</v>
      </c>
      <c r="T11" s="68">
        <v>0.03</v>
      </c>
      <c r="U11" s="68">
        <v>134.19999999999999</v>
      </c>
      <c r="V11" s="68">
        <v>2865.8</v>
      </c>
      <c r="W11" s="68">
        <v>19.600000000000001</v>
      </c>
      <c r="X11" s="68">
        <v>35.28</v>
      </c>
      <c r="Y11" s="68">
        <v>19.600000000000001</v>
      </c>
      <c r="Z11" s="79">
        <v>-145.38</v>
      </c>
      <c r="AA11" s="68">
        <v>205.07</v>
      </c>
      <c r="AC11" s="68">
        <v>54.87</v>
      </c>
      <c r="AD11" s="71">
        <v>98.77</v>
      </c>
      <c r="AE11" s="71">
        <v>313.41000000000003</v>
      </c>
      <c r="AF11" s="71">
        <v>3000</v>
      </c>
      <c r="AG11" s="71">
        <v>245.73000000000002</v>
      </c>
      <c r="AH11" s="71">
        <v>60</v>
      </c>
      <c r="AI11" s="68">
        <v>35.450000000000003</v>
      </c>
      <c r="AJ11" s="68">
        <v>467.05</v>
      </c>
      <c r="AK11" s="68">
        <v>156.78</v>
      </c>
      <c r="AL11" s="68">
        <v>214.38</v>
      </c>
      <c r="AM11" s="68">
        <v>164.27554484722373</v>
      </c>
      <c r="AN11" s="71" t="s">
        <v>651</v>
      </c>
    </row>
    <row r="12" spans="1:43" s="75" customFormat="1" x14ac:dyDescent="0.2">
      <c r="A12" s="70" t="s">
        <v>80</v>
      </c>
      <c r="B12" s="70" t="s">
        <v>357</v>
      </c>
      <c r="C12" s="68">
        <v>15</v>
      </c>
      <c r="D12" s="68">
        <v>0</v>
      </c>
      <c r="E12" s="68">
        <v>154</v>
      </c>
      <c r="F12" s="68">
        <v>160.96</v>
      </c>
      <c r="G12" s="68">
        <v>2310</v>
      </c>
      <c r="H12" s="68">
        <v>0</v>
      </c>
      <c r="I12" s="68">
        <v>0</v>
      </c>
      <c r="J12" s="68">
        <v>2310</v>
      </c>
      <c r="K12" s="70">
        <v>0</v>
      </c>
      <c r="L12" s="70">
        <v>-39.729999999999997</v>
      </c>
      <c r="M12" s="70">
        <v>57.34</v>
      </c>
      <c r="N12" s="70">
        <v>1188.73</v>
      </c>
      <c r="O12" s="70">
        <v>0</v>
      </c>
      <c r="P12" s="70"/>
      <c r="Q12" s="70">
        <v>0</v>
      </c>
      <c r="R12" s="70">
        <v>0</v>
      </c>
      <c r="S12" s="70">
        <v>0</v>
      </c>
      <c r="T12" s="80">
        <v>0.06</v>
      </c>
      <c r="U12" s="70">
        <v>1206.4000000000001</v>
      </c>
      <c r="V12" s="70">
        <v>1103.5999999999999</v>
      </c>
      <c r="W12" s="70">
        <v>15.09</v>
      </c>
      <c r="X12" s="70">
        <v>27.16</v>
      </c>
      <c r="Y12" s="70">
        <v>15.09</v>
      </c>
      <c r="Z12" s="70">
        <v>-174.78</v>
      </c>
      <c r="AA12" s="70">
        <v>135.05000000000001</v>
      </c>
      <c r="AC12" s="70">
        <v>42.25</v>
      </c>
      <c r="AD12" s="75">
        <v>76.05</v>
      </c>
      <c r="AE12" s="75">
        <v>300.79000000000002</v>
      </c>
      <c r="AF12" s="75">
        <v>2310</v>
      </c>
      <c r="AG12" s="75">
        <v>231.31</v>
      </c>
      <c r="AH12" s="75">
        <v>46.2</v>
      </c>
      <c r="AI12" s="70">
        <v>27.3</v>
      </c>
      <c r="AJ12" s="70">
        <v>419.09</v>
      </c>
      <c r="AK12" s="70">
        <v>120.72</v>
      </c>
      <c r="AL12" s="70">
        <v>207.16000000000003</v>
      </c>
      <c r="AM12" s="70">
        <v>126.49216953236227</v>
      </c>
      <c r="AN12" s="71" t="s">
        <v>652</v>
      </c>
      <c r="AO12" s="71"/>
      <c r="AP12" s="71"/>
      <c r="AQ12" s="71"/>
    </row>
    <row r="13" spans="1:43" x14ac:dyDescent="0.2">
      <c r="A13" s="68" t="s">
        <v>82</v>
      </c>
      <c r="B13" s="78" t="s">
        <v>358</v>
      </c>
      <c r="C13" s="68">
        <v>15</v>
      </c>
      <c r="D13" s="68">
        <v>0</v>
      </c>
      <c r="E13" s="68">
        <v>266.67</v>
      </c>
      <c r="F13" s="68">
        <v>278.72000000000003</v>
      </c>
      <c r="G13" s="68">
        <v>4000.05</v>
      </c>
      <c r="H13" s="68">
        <v>0</v>
      </c>
      <c r="I13" s="68">
        <v>0</v>
      </c>
      <c r="J13" s="68">
        <v>4000.05</v>
      </c>
      <c r="K13" s="68">
        <v>313.87</v>
      </c>
      <c r="L13" s="68">
        <v>0</v>
      </c>
      <c r="M13" s="68">
        <v>100.81</v>
      </c>
      <c r="N13" s="68">
        <v>878.36</v>
      </c>
      <c r="O13" s="68">
        <v>0</v>
      </c>
      <c r="P13" s="68"/>
      <c r="Q13" s="68">
        <v>0</v>
      </c>
      <c r="R13" s="68">
        <v>0</v>
      </c>
      <c r="S13" s="68">
        <v>0</v>
      </c>
      <c r="T13" s="79">
        <v>0.01</v>
      </c>
      <c r="U13" s="68">
        <v>1293.05</v>
      </c>
      <c r="V13" s="68">
        <v>2707</v>
      </c>
      <c r="W13" s="68">
        <v>26.13</v>
      </c>
      <c r="X13" s="68">
        <v>47.03</v>
      </c>
      <c r="Y13" s="68">
        <v>27.65</v>
      </c>
      <c r="Z13" s="68">
        <v>0</v>
      </c>
      <c r="AA13" s="68">
        <v>313.87</v>
      </c>
      <c r="AC13" s="68">
        <v>73.16</v>
      </c>
      <c r="AD13" s="71">
        <v>131.69999999999999</v>
      </c>
      <c r="AE13" s="71">
        <v>335.88</v>
      </c>
      <c r="AF13" s="71">
        <v>4000.05</v>
      </c>
      <c r="AG13" s="71">
        <v>266.64</v>
      </c>
      <c r="AH13" s="71">
        <v>80</v>
      </c>
      <c r="AI13" s="68">
        <v>47.27</v>
      </c>
      <c r="AJ13" s="68">
        <v>540.74</v>
      </c>
      <c r="AK13" s="68">
        <v>209.04</v>
      </c>
      <c r="AL13" s="68">
        <v>224.83</v>
      </c>
      <c r="AM13" s="68">
        <v>219.03679772204578</v>
      </c>
      <c r="AN13" s="71" t="s">
        <v>651</v>
      </c>
    </row>
    <row r="14" spans="1:43" x14ac:dyDescent="0.2">
      <c r="A14" s="68" t="s">
        <v>84</v>
      </c>
      <c r="B14" s="78" t="s">
        <v>359</v>
      </c>
      <c r="C14" s="68">
        <v>15</v>
      </c>
      <c r="D14" s="68">
        <v>0</v>
      </c>
      <c r="E14" s="68">
        <v>300</v>
      </c>
      <c r="F14" s="68">
        <v>313.56</v>
      </c>
      <c r="G14" s="68">
        <v>4500</v>
      </c>
      <c r="H14" s="68">
        <v>0</v>
      </c>
      <c r="I14" s="68">
        <v>0</v>
      </c>
      <c r="J14" s="68">
        <v>4500</v>
      </c>
      <c r="K14" s="68">
        <v>380.67</v>
      </c>
      <c r="L14" s="68">
        <v>0</v>
      </c>
      <c r="M14" s="68">
        <v>115.32</v>
      </c>
      <c r="N14" s="68">
        <v>0</v>
      </c>
      <c r="O14" s="68">
        <v>0</v>
      </c>
      <c r="P14" s="68"/>
      <c r="Q14" s="68">
        <v>0</v>
      </c>
      <c r="R14" s="68">
        <v>0</v>
      </c>
      <c r="S14" s="68">
        <v>0</v>
      </c>
      <c r="T14" s="79">
        <v>0.01</v>
      </c>
      <c r="U14" s="68">
        <v>496</v>
      </c>
      <c r="V14" s="68">
        <v>4004</v>
      </c>
      <c r="W14" s="68">
        <v>29.4</v>
      </c>
      <c r="X14" s="68">
        <v>52.91</v>
      </c>
      <c r="Y14" s="68">
        <v>33.01</v>
      </c>
      <c r="Z14" s="68">
        <v>0</v>
      </c>
      <c r="AA14" s="68">
        <v>380.67</v>
      </c>
      <c r="AC14" s="68">
        <v>82.31</v>
      </c>
      <c r="AD14" s="71">
        <v>148.16</v>
      </c>
      <c r="AE14" s="71">
        <v>350.76</v>
      </c>
      <c r="AF14" s="71">
        <v>4500</v>
      </c>
      <c r="AG14" s="71">
        <v>277.09000000000003</v>
      </c>
      <c r="AH14" s="71">
        <v>90</v>
      </c>
      <c r="AI14" s="68">
        <v>53.18</v>
      </c>
      <c r="AJ14" s="68">
        <v>581.23</v>
      </c>
      <c r="AK14" s="68">
        <v>235.17</v>
      </c>
      <c r="AL14" s="68">
        <v>230.05</v>
      </c>
      <c r="AM14" s="68">
        <v>246.41331727083559</v>
      </c>
      <c r="AN14" s="71" t="s">
        <v>651</v>
      </c>
    </row>
    <row r="15" spans="1:43" x14ac:dyDescent="0.2">
      <c r="A15" s="68" t="s">
        <v>86</v>
      </c>
      <c r="B15" s="78" t="s">
        <v>360</v>
      </c>
      <c r="C15" s="68">
        <v>13</v>
      </c>
      <c r="D15" s="68">
        <v>2</v>
      </c>
      <c r="E15" s="68">
        <v>400</v>
      </c>
      <c r="F15" s="68">
        <v>424.2</v>
      </c>
      <c r="G15" s="68">
        <v>5200</v>
      </c>
      <c r="H15" s="68">
        <v>800</v>
      </c>
      <c r="I15" s="68">
        <v>240</v>
      </c>
      <c r="J15" s="68">
        <v>6240</v>
      </c>
      <c r="K15" s="68">
        <v>643.38</v>
      </c>
      <c r="L15" s="68">
        <v>0</v>
      </c>
      <c r="M15" s="68">
        <v>161.36000000000001</v>
      </c>
      <c r="N15" s="68">
        <v>0</v>
      </c>
      <c r="O15" s="68">
        <v>0</v>
      </c>
      <c r="P15" s="68"/>
      <c r="Q15" s="68">
        <v>0</v>
      </c>
      <c r="R15" s="68">
        <v>0</v>
      </c>
      <c r="S15" s="68">
        <v>0</v>
      </c>
      <c r="T15" s="79">
        <v>0.06</v>
      </c>
      <c r="U15" s="68">
        <v>804.8</v>
      </c>
      <c r="V15" s="68">
        <v>5435.2</v>
      </c>
      <c r="W15" s="68">
        <v>39.770000000000003</v>
      </c>
      <c r="X15" s="68">
        <v>71.58</v>
      </c>
      <c r="Y15" s="68">
        <v>50.01</v>
      </c>
      <c r="Z15" s="68">
        <v>0</v>
      </c>
      <c r="AA15" s="68">
        <v>643.38</v>
      </c>
      <c r="AC15" s="68">
        <v>111.35</v>
      </c>
      <c r="AD15" s="71">
        <v>200.43</v>
      </c>
      <c r="AE15" s="71">
        <v>398.06</v>
      </c>
      <c r="AF15" s="71">
        <v>6240</v>
      </c>
      <c r="AG15" s="71">
        <v>310.28000000000003</v>
      </c>
      <c r="AH15" s="71">
        <v>124.8</v>
      </c>
      <c r="AI15" s="68">
        <v>71.94</v>
      </c>
      <c r="AJ15" s="68">
        <v>709.84</v>
      </c>
      <c r="AK15" s="68">
        <v>318.14999999999998</v>
      </c>
      <c r="AL15" s="68">
        <v>246.65</v>
      </c>
      <c r="AM15" s="68">
        <v>328.55108969444746</v>
      </c>
      <c r="AN15" s="71" t="s">
        <v>651</v>
      </c>
    </row>
    <row r="16" spans="1:43" s="75" customFormat="1" x14ac:dyDescent="0.2">
      <c r="A16" s="70" t="s">
        <v>88</v>
      </c>
      <c r="B16" s="70" t="s">
        <v>592</v>
      </c>
      <c r="C16" s="68">
        <v>15</v>
      </c>
      <c r="D16" s="68">
        <v>0</v>
      </c>
      <c r="E16" s="68">
        <v>266.67</v>
      </c>
      <c r="F16" s="68">
        <v>278.72000000000003</v>
      </c>
      <c r="G16" s="68">
        <v>4000.05</v>
      </c>
      <c r="H16" s="68">
        <v>0</v>
      </c>
      <c r="I16" s="68">
        <v>0</v>
      </c>
      <c r="J16" s="68">
        <v>4000.05</v>
      </c>
      <c r="K16" s="68">
        <v>313.87</v>
      </c>
      <c r="L16" s="68">
        <v>0</v>
      </c>
      <c r="M16" s="68">
        <v>100.81</v>
      </c>
      <c r="N16" s="68">
        <v>0</v>
      </c>
      <c r="O16" s="68">
        <v>0</v>
      </c>
      <c r="P16" s="68"/>
      <c r="Q16" s="70">
        <v>0</v>
      </c>
      <c r="R16" s="68">
        <v>0</v>
      </c>
      <c r="S16" s="70">
        <v>0</v>
      </c>
      <c r="T16" s="79">
        <v>-0.03</v>
      </c>
      <c r="U16" s="68">
        <v>414.65</v>
      </c>
      <c r="V16" s="68">
        <v>3585.4</v>
      </c>
      <c r="W16" s="68">
        <v>26.13</v>
      </c>
      <c r="X16" s="68">
        <v>47.03</v>
      </c>
      <c r="Y16" s="68">
        <v>27.65</v>
      </c>
      <c r="Z16" s="79">
        <v>0</v>
      </c>
      <c r="AA16" s="68">
        <v>313.87</v>
      </c>
      <c r="AC16" s="68">
        <v>73.16</v>
      </c>
      <c r="AD16" s="75">
        <v>131.69999999999999</v>
      </c>
      <c r="AE16" s="75">
        <v>335.88</v>
      </c>
      <c r="AF16" s="75">
        <v>4000.05</v>
      </c>
      <c r="AG16" s="75">
        <v>266.64</v>
      </c>
      <c r="AH16" s="75">
        <v>80</v>
      </c>
      <c r="AI16" s="68">
        <v>47.27</v>
      </c>
      <c r="AJ16" s="68">
        <v>540.74</v>
      </c>
      <c r="AK16" s="68">
        <v>209.04</v>
      </c>
      <c r="AL16" s="68">
        <v>224.83</v>
      </c>
      <c r="AM16" s="68">
        <v>219.03679772204578</v>
      </c>
      <c r="AN16" s="71" t="s">
        <v>651</v>
      </c>
      <c r="AO16" s="71"/>
      <c r="AP16" s="71"/>
      <c r="AQ16" s="71"/>
    </row>
    <row r="17" spans="1:43" x14ac:dyDescent="0.2">
      <c r="A17" s="68" t="s">
        <v>90</v>
      </c>
      <c r="B17" s="78" t="s">
        <v>361</v>
      </c>
      <c r="C17" s="68">
        <v>15</v>
      </c>
      <c r="D17" s="68">
        <v>0</v>
      </c>
      <c r="E17" s="68">
        <v>200</v>
      </c>
      <c r="F17" s="68">
        <v>212.1</v>
      </c>
      <c r="G17" s="68">
        <v>3000</v>
      </c>
      <c r="H17" s="68">
        <v>0</v>
      </c>
      <c r="I17" s="68">
        <v>0</v>
      </c>
      <c r="J17" s="68">
        <v>3000</v>
      </c>
      <c r="K17" s="68">
        <v>59.69</v>
      </c>
      <c r="L17" s="68">
        <v>0</v>
      </c>
      <c r="M17" s="68">
        <v>75.55</v>
      </c>
      <c r="N17" s="68">
        <v>1362.48</v>
      </c>
      <c r="O17" s="68">
        <v>0</v>
      </c>
      <c r="P17" s="68"/>
      <c r="Q17" s="68">
        <v>0</v>
      </c>
      <c r="R17" s="68">
        <v>0</v>
      </c>
      <c r="S17" s="68">
        <v>0</v>
      </c>
      <c r="T17" s="79">
        <v>-0.12</v>
      </c>
      <c r="U17" s="68">
        <v>1497.6</v>
      </c>
      <c r="V17" s="68">
        <v>1502.4</v>
      </c>
      <c r="W17" s="68">
        <v>19.88</v>
      </c>
      <c r="X17" s="68">
        <v>35.79</v>
      </c>
      <c r="Y17" s="68">
        <v>19.88</v>
      </c>
      <c r="Z17" s="68">
        <v>-145.38</v>
      </c>
      <c r="AA17" s="68">
        <v>205.07</v>
      </c>
      <c r="AC17" s="68">
        <v>55.68</v>
      </c>
      <c r="AD17" s="71">
        <v>100.22</v>
      </c>
      <c r="AE17" s="71">
        <v>314.22000000000003</v>
      </c>
      <c r="AF17" s="71">
        <v>3000</v>
      </c>
      <c r="AG17" s="71">
        <v>246.65</v>
      </c>
      <c r="AH17" s="71">
        <v>60</v>
      </c>
      <c r="AI17" s="68">
        <v>35.97</v>
      </c>
      <c r="AJ17" s="68">
        <v>470.12</v>
      </c>
      <c r="AK17" s="68">
        <v>159.08000000000001</v>
      </c>
      <c r="AL17" s="68">
        <v>214.84</v>
      </c>
      <c r="AM17" s="68">
        <v>164.27554484722373</v>
      </c>
      <c r="AN17" s="71" t="s">
        <v>651</v>
      </c>
    </row>
    <row r="18" spans="1:43" x14ac:dyDescent="0.2">
      <c r="A18" s="68" t="s">
        <v>92</v>
      </c>
      <c r="B18" s="78" t="s">
        <v>362</v>
      </c>
      <c r="C18" s="68">
        <v>15</v>
      </c>
      <c r="D18" s="68">
        <v>0</v>
      </c>
      <c r="E18" s="68">
        <v>333.33</v>
      </c>
      <c r="F18" s="68">
        <v>353.5</v>
      </c>
      <c r="G18" s="68">
        <v>4999.95</v>
      </c>
      <c r="H18" s="68">
        <v>0</v>
      </c>
      <c r="I18" s="68">
        <v>0</v>
      </c>
      <c r="J18" s="68">
        <v>4999.95</v>
      </c>
      <c r="K18" s="68">
        <v>461.63</v>
      </c>
      <c r="L18" s="68">
        <v>0</v>
      </c>
      <c r="M18" s="68">
        <v>131.93</v>
      </c>
      <c r="N18" s="68">
        <v>0</v>
      </c>
      <c r="O18" s="68">
        <v>0</v>
      </c>
      <c r="P18" s="68"/>
      <c r="Q18" s="68">
        <v>0</v>
      </c>
      <c r="R18" s="68">
        <v>0</v>
      </c>
      <c r="S18" s="68">
        <v>0</v>
      </c>
      <c r="T18" s="68">
        <v>-0.01</v>
      </c>
      <c r="U18" s="68">
        <v>593.54999999999995</v>
      </c>
      <c r="V18" s="68">
        <v>4406.3999999999996</v>
      </c>
      <c r="W18" s="68">
        <v>33.14</v>
      </c>
      <c r="X18" s="68">
        <v>59.65</v>
      </c>
      <c r="Y18" s="68">
        <v>39.14</v>
      </c>
      <c r="Z18" s="79">
        <v>0</v>
      </c>
      <c r="AA18" s="68">
        <v>461.63</v>
      </c>
      <c r="AC18" s="68">
        <v>92.79</v>
      </c>
      <c r="AD18" s="71">
        <v>167.03</v>
      </c>
      <c r="AE18" s="71">
        <v>367.84</v>
      </c>
      <c r="AF18" s="71">
        <v>4999.95</v>
      </c>
      <c r="AG18" s="71">
        <v>289.07</v>
      </c>
      <c r="AH18" s="71">
        <v>100</v>
      </c>
      <c r="AI18" s="68">
        <v>59.95</v>
      </c>
      <c r="AJ18" s="68">
        <v>627.66</v>
      </c>
      <c r="AK18" s="68">
        <v>265.12</v>
      </c>
      <c r="AL18" s="68">
        <v>236.04000000000002</v>
      </c>
      <c r="AM18" s="68">
        <v>273.78983681962541</v>
      </c>
      <c r="AN18" s="71" t="s">
        <v>651</v>
      </c>
    </row>
    <row r="19" spans="1:43" x14ac:dyDescent="0.2">
      <c r="A19" s="68" t="s">
        <v>94</v>
      </c>
      <c r="B19" s="78" t="s">
        <v>363</v>
      </c>
      <c r="C19" s="68">
        <v>15</v>
      </c>
      <c r="D19" s="68">
        <v>0</v>
      </c>
      <c r="E19" s="68">
        <v>233.33</v>
      </c>
      <c r="F19" s="68">
        <v>247.45</v>
      </c>
      <c r="G19" s="68">
        <v>3499.95</v>
      </c>
      <c r="H19" s="68">
        <v>0</v>
      </c>
      <c r="I19" s="68">
        <v>0</v>
      </c>
      <c r="J19" s="68">
        <v>3499.95</v>
      </c>
      <c r="K19" s="68">
        <v>134.36000000000001</v>
      </c>
      <c r="L19" s="68">
        <v>0</v>
      </c>
      <c r="M19" s="68">
        <v>88.16</v>
      </c>
      <c r="N19" s="68">
        <v>0</v>
      </c>
      <c r="O19" s="68">
        <v>0</v>
      </c>
      <c r="P19" s="68"/>
      <c r="Q19" s="68">
        <v>0</v>
      </c>
      <c r="R19" s="68">
        <v>0</v>
      </c>
      <c r="S19" s="68">
        <v>0</v>
      </c>
      <c r="T19" s="79">
        <v>0.03</v>
      </c>
      <c r="U19" s="68">
        <v>222.55</v>
      </c>
      <c r="V19" s="68">
        <v>3277.4</v>
      </c>
      <c r="W19" s="68">
        <v>23.2</v>
      </c>
      <c r="X19" s="68">
        <v>41.76</v>
      </c>
      <c r="Y19" s="68">
        <v>23.2</v>
      </c>
      <c r="Z19" s="79">
        <v>-125.1</v>
      </c>
      <c r="AA19" s="68">
        <v>259.45999999999998</v>
      </c>
      <c r="AC19" s="68">
        <v>64.95</v>
      </c>
      <c r="AD19" s="71">
        <v>116.92</v>
      </c>
      <c r="AE19" s="71">
        <v>323.49</v>
      </c>
      <c r="AF19" s="71">
        <v>3499.95</v>
      </c>
      <c r="AG19" s="71">
        <v>257.25</v>
      </c>
      <c r="AH19" s="71">
        <v>70</v>
      </c>
      <c r="AI19" s="68">
        <v>41.97</v>
      </c>
      <c r="AJ19" s="68">
        <v>505.36</v>
      </c>
      <c r="AK19" s="68">
        <v>185.58</v>
      </c>
      <c r="AL19" s="68">
        <v>220.14000000000001</v>
      </c>
      <c r="AM19" s="68">
        <v>191.65206439601357</v>
      </c>
      <c r="AN19" s="71" t="s">
        <v>651</v>
      </c>
    </row>
    <row r="20" spans="1:43" s="75" customFormat="1" x14ac:dyDescent="0.2">
      <c r="A20" s="70" t="s">
        <v>607</v>
      </c>
      <c r="B20" s="78" t="s">
        <v>606</v>
      </c>
      <c r="C20" s="68">
        <v>15</v>
      </c>
      <c r="D20" s="68">
        <v>0</v>
      </c>
      <c r="E20" s="68">
        <v>200</v>
      </c>
      <c r="F20" s="68">
        <v>212.11</v>
      </c>
      <c r="G20" s="68">
        <v>3000</v>
      </c>
      <c r="H20" s="68">
        <v>0</v>
      </c>
      <c r="I20" s="68">
        <v>0</v>
      </c>
      <c r="J20" s="68">
        <v>3000</v>
      </c>
      <c r="K20" s="70">
        <v>59.69</v>
      </c>
      <c r="L20" s="70">
        <v>0</v>
      </c>
      <c r="M20" s="70">
        <v>75.56</v>
      </c>
      <c r="N20" s="70">
        <v>0</v>
      </c>
      <c r="O20" s="70">
        <v>0</v>
      </c>
      <c r="P20" s="70"/>
      <c r="Q20" s="70">
        <v>0</v>
      </c>
      <c r="R20" s="70">
        <v>0</v>
      </c>
      <c r="S20" s="70">
        <v>0</v>
      </c>
      <c r="T20" s="80">
        <v>-0.05</v>
      </c>
      <c r="U20" s="70">
        <v>135.19999999999999</v>
      </c>
      <c r="V20" s="70">
        <v>2864.8</v>
      </c>
      <c r="W20" s="70">
        <v>19.89</v>
      </c>
      <c r="X20" s="70">
        <v>35.79</v>
      </c>
      <c r="Y20" s="70">
        <v>19.88</v>
      </c>
      <c r="Z20" s="80">
        <v>-145.38</v>
      </c>
      <c r="AA20" s="70">
        <v>205.07</v>
      </c>
      <c r="AC20" s="70">
        <v>55.68</v>
      </c>
      <c r="AD20" s="75">
        <v>100.22</v>
      </c>
      <c r="AE20" s="75">
        <v>314.22000000000003</v>
      </c>
      <c r="AF20" s="75">
        <v>3000</v>
      </c>
      <c r="AG20" s="75">
        <v>246.65</v>
      </c>
      <c r="AH20" s="75">
        <v>60</v>
      </c>
      <c r="AI20" s="70">
        <v>35.97</v>
      </c>
      <c r="AJ20" s="70">
        <v>470.12</v>
      </c>
      <c r="AK20" s="70">
        <v>159.08000000000001</v>
      </c>
      <c r="AL20" s="70">
        <v>214.84</v>
      </c>
      <c r="AM20" s="70">
        <v>164.27554484722373</v>
      </c>
      <c r="AN20" s="159" t="s">
        <v>651</v>
      </c>
      <c r="AO20" s="71"/>
      <c r="AP20" s="71"/>
      <c r="AQ20" s="71"/>
    </row>
    <row r="21" spans="1:43" x14ac:dyDescent="0.2">
      <c r="A21" s="68" t="s">
        <v>102</v>
      </c>
      <c r="B21" s="78" t="s">
        <v>364</v>
      </c>
      <c r="C21" s="68">
        <v>15</v>
      </c>
      <c r="D21" s="68">
        <v>0</v>
      </c>
      <c r="E21" s="68">
        <v>200</v>
      </c>
      <c r="F21" s="68">
        <v>212.1</v>
      </c>
      <c r="G21" s="68">
        <v>3000</v>
      </c>
      <c r="H21" s="68">
        <v>0</v>
      </c>
      <c r="I21" s="68">
        <v>0</v>
      </c>
      <c r="J21" s="68">
        <v>3000</v>
      </c>
      <c r="K21" s="68">
        <v>59.69</v>
      </c>
      <c r="L21" s="68">
        <v>0</v>
      </c>
      <c r="M21" s="68">
        <v>75.55</v>
      </c>
      <c r="N21" s="68">
        <v>0</v>
      </c>
      <c r="O21" s="68">
        <v>0</v>
      </c>
      <c r="P21" s="68"/>
      <c r="Q21" s="68">
        <v>1800</v>
      </c>
      <c r="R21" s="68">
        <v>0</v>
      </c>
      <c r="S21" s="68">
        <v>0</v>
      </c>
      <c r="T21" s="68">
        <v>-0.04</v>
      </c>
      <c r="U21" s="68">
        <v>1935.2</v>
      </c>
      <c r="V21" s="68">
        <v>1064.8</v>
      </c>
      <c r="W21" s="68">
        <v>19.88</v>
      </c>
      <c r="X21" s="68">
        <v>35.79</v>
      </c>
      <c r="Y21" s="68">
        <v>19.88</v>
      </c>
      <c r="Z21" s="68">
        <v>-145.38</v>
      </c>
      <c r="AA21" s="68">
        <v>205.07</v>
      </c>
      <c r="AC21" s="68">
        <v>55.68</v>
      </c>
      <c r="AD21" s="71">
        <v>100.22</v>
      </c>
      <c r="AE21" s="71">
        <v>314.22000000000003</v>
      </c>
      <c r="AF21" s="71">
        <v>3000</v>
      </c>
      <c r="AG21" s="71">
        <v>246.65</v>
      </c>
      <c r="AH21" s="71">
        <v>60</v>
      </c>
      <c r="AI21" s="68">
        <v>35.97</v>
      </c>
      <c r="AJ21" s="68">
        <v>470.12</v>
      </c>
      <c r="AK21" s="68">
        <v>159.08000000000001</v>
      </c>
      <c r="AL21" s="68">
        <v>214.84</v>
      </c>
      <c r="AM21" s="68">
        <v>164.27554484722373</v>
      </c>
      <c r="AN21" s="71" t="s">
        <v>651</v>
      </c>
    </row>
    <row r="22" spans="1:43" s="75" customFormat="1" x14ac:dyDescent="0.2">
      <c r="A22" s="70" t="s">
        <v>106</v>
      </c>
      <c r="B22" s="70" t="s">
        <v>366</v>
      </c>
      <c r="C22" s="70">
        <v>15</v>
      </c>
      <c r="D22" s="70">
        <v>0</v>
      </c>
      <c r="E22" s="70">
        <v>230</v>
      </c>
      <c r="F22" s="70">
        <v>243.91</v>
      </c>
      <c r="G22" s="70">
        <v>3450</v>
      </c>
      <c r="H22" s="70">
        <v>0</v>
      </c>
      <c r="I22" s="70">
        <v>0</v>
      </c>
      <c r="J22" s="70">
        <v>3450</v>
      </c>
      <c r="K22" s="70">
        <v>128.93</v>
      </c>
      <c r="L22" s="70">
        <v>0</v>
      </c>
      <c r="M22" s="70">
        <v>86.9</v>
      </c>
      <c r="N22" s="70">
        <v>0</v>
      </c>
      <c r="O22" s="70">
        <v>0</v>
      </c>
      <c r="P22" s="70"/>
      <c r="Q22" s="70">
        <v>0</v>
      </c>
      <c r="R22" s="70">
        <v>0</v>
      </c>
      <c r="S22" s="70">
        <v>0</v>
      </c>
      <c r="T22" s="80">
        <v>-0.03</v>
      </c>
      <c r="U22" s="70">
        <v>215.8</v>
      </c>
      <c r="V22" s="70">
        <v>3234.2</v>
      </c>
      <c r="W22" s="70">
        <v>22.87</v>
      </c>
      <c r="X22" s="70">
        <v>41.16</v>
      </c>
      <c r="Y22" s="70">
        <v>22.87</v>
      </c>
      <c r="Z22" s="80">
        <v>-125.1</v>
      </c>
      <c r="AA22" s="70">
        <v>254.03</v>
      </c>
      <c r="AC22" s="70">
        <v>64.03</v>
      </c>
      <c r="AD22" s="75">
        <v>115.25</v>
      </c>
      <c r="AE22" s="75">
        <v>322.57</v>
      </c>
      <c r="AF22" s="75">
        <v>3450</v>
      </c>
      <c r="AG22" s="75">
        <v>256.19</v>
      </c>
      <c r="AH22" s="75">
        <v>69</v>
      </c>
      <c r="AI22" s="70">
        <v>41.37</v>
      </c>
      <c r="AJ22" s="70">
        <v>501.85</v>
      </c>
      <c r="AK22" s="70">
        <v>182.93</v>
      </c>
      <c r="AL22" s="70">
        <v>219.61</v>
      </c>
      <c r="AM22" s="70">
        <v>188.91687657430728</v>
      </c>
      <c r="AN22" s="75" t="s">
        <v>652</v>
      </c>
    </row>
    <row r="23" spans="1:43" x14ac:dyDescent="0.2">
      <c r="A23" s="68" t="s">
        <v>222</v>
      </c>
      <c r="B23" s="78" t="s">
        <v>368</v>
      </c>
      <c r="C23" s="68">
        <v>15</v>
      </c>
      <c r="D23" s="68">
        <v>0</v>
      </c>
      <c r="E23" s="68">
        <v>200</v>
      </c>
      <c r="F23" s="68">
        <v>212.11</v>
      </c>
      <c r="G23" s="68">
        <v>3000</v>
      </c>
      <c r="H23" s="68">
        <v>0</v>
      </c>
      <c r="I23" s="68">
        <v>0</v>
      </c>
      <c r="J23" s="68">
        <v>3000</v>
      </c>
      <c r="K23" s="68">
        <v>59.69</v>
      </c>
      <c r="L23" s="68">
        <v>0</v>
      </c>
      <c r="M23" s="68">
        <v>75.56</v>
      </c>
      <c r="N23" s="68">
        <v>0</v>
      </c>
      <c r="O23" s="68">
        <v>0</v>
      </c>
      <c r="P23" s="68"/>
      <c r="Q23" s="68">
        <v>0</v>
      </c>
      <c r="R23" s="68">
        <v>0</v>
      </c>
      <c r="S23" s="68">
        <v>0</v>
      </c>
      <c r="T23" s="79">
        <v>-0.05</v>
      </c>
      <c r="U23" s="68">
        <v>135.19999999999999</v>
      </c>
      <c r="V23" s="68">
        <v>2864.8</v>
      </c>
      <c r="W23" s="68">
        <v>19.89</v>
      </c>
      <c r="X23" s="68">
        <v>35.79</v>
      </c>
      <c r="Y23" s="68">
        <v>19.88</v>
      </c>
      <c r="Z23" s="79">
        <v>-145.38</v>
      </c>
      <c r="AA23" s="68">
        <v>205.07</v>
      </c>
      <c r="AC23" s="68">
        <v>55.68</v>
      </c>
      <c r="AD23" s="71">
        <v>100.22</v>
      </c>
      <c r="AE23" s="71">
        <v>314.22000000000003</v>
      </c>
      <c r="AF23" s="71">
        <v>3000</v>
      </c>
      <c r="AG23" s="71">
        <v>246.65</v>
      </c>
      <c r="AH23" s="71">
        <v>60</v>
      </c>
      <c r="AI23" s="68">
        <v>35.97</v>
      </c>
      <c r="AJ23" s="68">
        <v>470.12</v>
      </c>
      <c r="AK23" s="68">
        <v>159.08000000000001</v>
      </c>
      <c r="AL23" s="68">
        <v>214.84</v>
      </c>
      <c r="AM23" s="68">
        <v>164.27554484722373</v>
      </c>
      <c r="AN23" s="71" t="s">
        <v>652</v>
      </c>
    </row>
    <row r="24" spans="1:43" s="75" customFormat="1" x14ac:dyDescent="0.2">
      <c r="A24" s="70" t="s">
        <v>226</v>
      </c>
      <c r="B24" s="70" t="s">
        <v>369</v>
      </c>
      <c r="C24" s="70">
        <v>15</v>
      </c>
      <c r="D24" s="70">
        <v>0</v>
      </c>
      <c r="E24" s="70">
        <v>266.67</v>
      </c>
      <c r="F24" s="70">
        <v>282.81</v>
      </c>
      <c r="G24" s="70">
        <v>4000.05</v>
      </c>
      <c r="H24" s="70">
        <v>0</v>
      </c>
      <c r="I24" s="70">
        <v>0</v>
      </c>
      <c r="J24" s="70">
        <v>4000.05</v>
      </c>
      <c r="K24" s="70">
        <v>313.87</v>
      </c>
      <c r="L24" s="70">
        <v>0</v>
      </c>
      <c r="M24" s="70">
        <v>102.51</v>
      </c>
      <c r="N24" s="70">
        <v>0</v>
      </c>
      <c r="O24" s="70">
        <v>0</v>
      </c>
      <c r="P24" s="70"/>
      <c r="Q24" s="70">
        <v>0</v>
      </c>
      <c r="R24" s="70">
        <v>0</v>
      </c>
      <c r="S24" s="70">
        <v>0</v>
      </c>
      <c r="T24" s="70">
        <v>7.0000000000000007E-2</v>
      </c>
      <c r="U24" s="70">
        <v>416.45</v>
      </c>
      <c r="V24" s="70">
        <v>3583.6</v>
      </c>
      <c r="W24" s="70">
        <v>26.51</v>
      </c>
      <c r="X24" s="70">
        <v>47.72</v>
      </c>
      <c r="Y24" s="70">
        <v>28.28</v>
      </c>
      <c r="Z24" s="70">
        <v>0</v>
      </c>
      <c r="AA24" s="70">
        <v>313.87</v>
      </c>
      <c r="AC24" s="70">
        <v>74.239999999999995</v>
      </c>
      <c r="AD24" s="75">
        <v>133.63</v>
      </c>
      <c r="AE24" s="75">
        <v>337.62</v>
      </c>
      <c r="AF24" s="75">
        <v>4000.05</v>
      </c>
      <c r="AG24" s="75">
        <v>267.86</v>
      </c>
      <c r="AH24" s="75">
        <v>80</v>
      </c>
      <c r="AI24" s="70">
        <v>47.96</v>
      </c>
      <c r="AJ24" s="70">
        <v>545.49</v>
      </c>
      <c r="AK24" s="70">
        <v>212.11</v>
      </c>
      <c r="AL24" s="70">
        <v>225.44</v>
      </c>
      <c r="AM24" s="70">
        <v>219.03679772204578</v>
      </c>
      <c r="AN24" s="71" t="s">
        <v>652</v>
      </c>
      <c r="AO24" s="71"/>
      <c r="AP24" s="71"/>
      <c r="AQ24" s="71"/>
    </row>
    <row r="25" spans="1:43" s="75" customFormat="1" x14ac:dyDescent="0.2">
      <c r="A25" s="70" t="s">
        <v>227</v>
      </c>
      <c r="B25" s="70" t="s">
        <v>370</v>
      </c>
      <c r="C25" s="70">
        <v>15</v>
      </c>
      <c r="D25" s="70">
        <v>0</v>
      </c>
      <c r="E25" s="70">
        <v>566.66999999999996</v>
      </c>
      <c r="F25" s="70">
        <v>600.98</v>
      </c>
      <c r="G25" s="70">
        <v>8500.0499999999993</v>
      </c>
      <c r="H25" s="70">
        <v>0</v>
      </c>
      <c r="I25" s="70">
        <v>0</v>
      </c>
      <c r="J25" s="70">
        <v>8500.0499999999993</v>
      </c>
      <c r="K25" s="70">
        <v>1177.3900000000001</v>
      </c>
      <c r="L25" s="70">
        <v>0</v>
      </c>
      <c r="M25" s="70">
        <v>234.96</v>
      </c>
      <c r="N25" s="70">
        <v>0</v>
      </c>
      <c r="O25" s="70">
        <v>0</v>
      </c>
      <c r="P25" s="70"/>
      <c r="Q25" s="70">
        <v>0</v>
      </c>
      <c r="R25" s="70">
        <v>0</v>
      </c>
      <c r="S25" s="70">
        <v>0</v>
      </c>
      <c r="T25" s="70">
        <v>0.1</v>
      </c>
      <c r="U25" s="70">
        <v>1412.45</v>
      </c>
      <c r="V25" s="70">
        <v>7087.6</v>
      </c>
      <c r="W25" s="70">
        <v>56.34</v>
      </c>
      <c r="X25" s="70">
        <v>101.42</v>
      </c>
      <c r="Y25" s="70">
        <v>77.2</v>
      </c>
      <c r="Z25" s="70">
        <v>0</v>
      </c>
      <c r="AA25" s="70">
        <v>1177.3900000000001</v>
      </c>
      <c r="AC25" s="70">
        <v>157.76</v>
      </c>
      <c r="AD25" s="75">
        <v>283.95999999999998</v>
      </c>
      <c r="AE25" s="75">
        <v>473.63</v>
      </c>
      <c r="AF25" s="75">
        <v>8500.0499999999993</v>
      </c>
      <c r="AG25" s="75">
        <v>363.31</v>
      </c>
      <c r="AH25" s="75">
        <v>170</v>
      </c>
      <c r="AI25" s="70">
        <v>101.92</v>
      </c>
      <c r="AJ25" s="70">
        <v>915.35</v>
      </c>
      <c r="AK25" s="70">
        <v>450.74</v>
      </c>
      <c r="AL25" s="70">
        <v>273.17</v>
      </c>
      <c r="AM25" s="70">
        <v>465.45011499288131</v>
      </c>
      <c r="AN25" s="71" t="s">
        <v>652</v>
      </c>
      <c r="AO25" s="71"/>
      <c r="AP25" s="71"/>
      <c r="AQ25" s="71"/>
    </row>
    <row r="26" spans="1:43" s="75" customFormat="1" x14ac:dyDescent="0.2">
      <c r="A26" s="70" t="s">
        <v>228</v>
      </c>
      <c r="B26" s="70" t="s">
        <v>371</v>
      </c>
      <c r="C26" s="70">
        <v>15</v>
      </c>
      <c r="D26" s="70">
        <v>0</v>
      </c>
      <c r="E26" s="70">
        <v>250</v>
      </c>
      <c r="F26" s="70">
        <v>265.14</v>
      </c>
      <c r="G26" s="70">
        <v>3750</v>
      </c>
      <c r="H26" s="70">
        <v>0</v>
      </c>
      <c r="I26" s="70">
        <v>0</v>
      </c>
      <c r="J26" s="70">
        <v>3750</v>
      </c>
      <c r="K26" s="70">
        <v>286.67</v>
      </c>
      <c r="L26" s="70">
        <v>0</v>
      </c>
      <c r="M26" s="70">
        <v>95.15</v>
      </c>
      <c r="N26" s="70">
        <v>0</v>
      </c>
      <c r="O26" s="70">
        <v>0</v>
      </c>
      <c r="P26" s="70"/>
      <c r="Q26" s="70">
        <v>0</v>
      </c>
      <c r="R26" s="70">
        <v>0</v>
      </c>
      <c r="S26" s="70">
        <v>0</v>
      </c>
      <c r="T26" s="80">
        <v>-0.02</v>
      </c>
      <c r="U26" s="70">
        <v>381.8</v>
      </c>
      <c r="V26" s="70">
        <v>3368.2</v>
      </c>
      <c r="W26" s="70">
        <v>24.86</v>
      </c>
      <c r="X26" s="70">
        <v>44.74</v>
      </c>
      <c r="Y26" s="70">
        <v>25.55</v>
      </c>
      <c r="Z26" s="70">
        <v>0</v>
      </c>
      <c r="AA26" s="70">
        <v>286.67</v>
      </c>
      <c r="AC26" s="70">
        <v>69.599999999999994</v>
      </c>
      <c r="AD26" s="75">
        <v>125.28</v>
      </c>
      <c r="AE26" s="75">
        <v>330.07</v>
      </c>
      <c r="AF26" s="75">
        <v>3750</v>
      </c>
      <c r="AG26" s="75">
        <v>262.56</v>
      </c>
      <c r="AH26" s="75">
        <v>75</v>
      </c>
      <c r="AI26" s="70">
        <v>44.97</v>
      </c>
      <c r="AJ26" s="70">
        <v>524.95000000000005</v>
      </c>
      <c r="AK26" s="70">
        <v>198.86</v>
      </c>
      <c r="AL26" s="70">
        <v>222.79000000000002</v>
      </c>
      <c r="AM26" s="70">
        <v>205.34443105902966</v>
      </c>
      <c r="AN26" s="71" t="s">
        <v>652</v>
      </c>
      <c r="AO26" s="71"/>
      <c r="AP26" s="71"/>
      <c r="AQ26" s="71"/>
    </row>
    <row r="27" spans="1:43" s="75" customFormat="1" x14ac:dyDescent="0.2">
      <c r="A27" s="70" t="s">
        <v>231</v>
      </c>
      <c r="B27" s="70" t="s">
        <v>374</v>
      </c>
      <c r="C27" s="70">
        <v>15</v>
      </c>
      <c r="D27" s="70">
        <v>0</v>
      </c>
      <c r="E27" s="70">
        <v>333.33</v>
      </c>
      <c r="F27" s="70">
        <v>353.52</v>
      </c>
      <c r="G27" s="70">
        <v>4999.95</v>
      </c>
      <c r="H27" s="70">
        <v>0</v>
      </c>
      <c r="I27" s="70">
        <v>0</v>
      </c>
      <c r="J27" s="70">
        <v>4999.95</v>
      </c>
      <c r="K27" s="70">
        <v>461.63</v>
      </c>
      <c r="L27" s="70">
        <v>0</v>
      </c>
      <c r="M27" s="70">
        <v>131.94999999999999</v>
      </c>
      <c r="N27" s="70">
        <v>0</v>
      </c>
      <c r="O27" s="70">
        <v>0</v>
      </c>
      <c r="P27" s="70"/>
      <c r="Q27" s="70">
        <v>0</v>
      </c>
      <c r="R27" s="70">
        <v>0</v>
      </c>
      <c r="S27" s="70">
        <v>500</v>
      </c>
      <c r="T27" s="80">
        <v>-0.03</v>
      </c>
      <c r="U27" s="70">
        <v>1093.55</v>
      </c>
      <c r="V27" s="70">
        <v>3906.4</v>
      </c>
      <c r="W27" s="70">
        <v>33.14</v>
      </c>
      <c r="X27" s="70">
        <v>59.66</v>
      </c>
      <c r="Y27" s="70">
        <v>39.15</v>
      </c>
      <c r="Z27" s="70">
        <v>0</v>
      </c>
      <c r="AA27" s="70">
        <v>461.63</v>
      </c>
      <c r="AC27" s="70">
        <v>92.8</v>
      </c>
      <c r="AD27" s="75">
        <v>167.04</v>
      </c>
      <c r="AE27" s="75">
        <v>367.85</v>
      </c>
      <c r="AF27" s="75">
        <v>4999.95</v>
      </c>
      <c r="AG27" s="75">
        <v>289.08000000000004</v>
      </c>
      <c r="AH27" s="75">
        <v>100</v>
      </c>
      <c r="AI27" s="70">
        <v>59.96</v>
      </c>
      <c r="AJ27" s="70">
        <v>627.69000000000005</v>
      </c>
      <c r="AK27" s="70">
        <v>265.14</v>
      </c>
      <c r="AL27" s="70">
        <v>236.05</v>
      </c>
      <c r="AM27" s="70">
        <v>273.78983681962541</v>
      </c>
      <c r="AN27" s="71" t="s">
        <v>652</v>
      </c>
      <c r="AO27" s="71"/>
      <c r="AP27" s="71"/>
      <c r="AQ27" s="71"/>
    </row>
    <row r="28" spans="1:43" s="75" customFormat="1" x14ac:dyDescent="0.2">
      <c r="A28" s="70" t="s">
        <v>232</v>
      </c>
      <c r="B28" s="70" t="s">
        <v>375</v>
      </c>
      <c r="C28" s="70">
        <v>15</v>
      </c>
      <c r="D28" s="70">
        <v>0</v>
      </c>
      <c r="E28" s="70">
        <v>281.67</v>
      </c>
      <c r="F28" s="70">
        <v>298.72000000000003</v>
      </c>
      <c r="G28" s="70">
        <v>4225.05</v>
      </c>
      <c r="H28" s="70">
        <v>0</v>
      </c>
      <c r="I28" s="70">
        <v>0</v>
      </c>
      <c r="J28" s="70">
        <v>4225.05</v>
      </c>
      <c r="K28" s="70">
        <v>338.35</v>
      </c>
      <c r="L28" s="70">
        <v>0</v>
      </c>
      <c r="M28" s="70">
        <v>109.14</v>
      </c>
      <c r="N28" s="70">
        <v>1642.17</v>
      </c>
      <c r="O28" s="70">
        <v>0</v>
      </c>
      <c r="P28" s="70"/>
      <c r="Q28" s="70">
        <v>0</v>
      </c>
      <c r="R28" s="70">
        <v>0</v>
      </c>
      <c r="S28" s="70">
        <v>0</v>
      </c>
      <c r="T28" s="80">
        <v>-0.01</v>
      </c>
      <c r="U28" s="70">
        <v>2089.65</v>
      </c>
      <c r="V28" s="70">
        <v>2135.4</v>
      </c>
      <c r="W28" s="70">
        <v>28.01</v>
      </c>
      <c r="X28" s="70">
        <v>50.41</v>
      </c>
      <c r="Y28" s="70">
        <v>30.72</v>
      </c>
      <c r="Z28" s="70">
        <v>0</v>
      </c>
      <c r="AA28" s="70">
        <v>338.35</v>
      </c>
      <c r="AC28" s="70">
        <v>78.41</v>
      </c>
      <c r="AD28" s="75">
        <v>141.15</v>
      </c>
      <c r="AE28" s="75">
        <v>344.43</v>
      </c>
      <c r="AF28" s="75">
        <v>4225.05</v>
      </c>
      <c r="AG28" s="75">
        <v>272.64</v>
      </c>
      <c r="AH28" s="75">
        <v>84.5</v>
      </c>
      <c r="AI28" s="70">
        <v>50.66</v>
      </c>
      <c r="AJ28" s="70">
        <v>563.99</v>
      </c>
      <c r="AK28" s="70">
        <v>224.04</v>
      </c>
      <c r="AL28" s="70">
        <v>227.83</v>
      </c>
      <c r="AM28" s="70">
        <v>231.35746358558757</v>
      </c>
      <c r="AN28" s="71" t="s">
        <v>652</v>
      </c>
      <c r="AO28" s="71"/>
      <c r="AP28" s="71"/>
      <c r="AQ28" s="71"/>
    </row>
    <row r="29" spans="1:43" s="75" customFormat="1" x14ac:dyDescent="0.2">
      <c r="A29" s="70" t="s">
        <v>234</v>
      </c>
      <c r="B29" s="70" t="s">
        <v>376</v>
      </c>
      <c r="C29" s="70">
        <v>15</v>
      </c>
      <c r="D29" s="70">
        <v>0</v>
      </c>
      <c r="E29" s="70">
        <v>341.35</v>
      </c>
      <c r="F29" s="70">
        <v>357.25</v>
      </c>
      <c r="G29" s="70">
        <v>5120.25</v>
      </c>
      <c r="H29" s="70">
        <v>0</v>
      </c>
      <c r="I29" s="70">
        <v>0</v>
      </c>
      <c r="J29" s="70">
        <v>5120.25</v>
      </c>
      <c r="K29" s="70">
        <v>483.19</v>
      </c>
      <c r="L29" s="70">
        <v>0</v>
      </c>
      <c r="M29" s="70">
        <v>133.51</v>
      </c>
      <c r="N29" s="70">
        <v>0</v>
      </c>
      <c r="O29" s="70">
        <v>0</v>
      </c>
      <c r="P29" s="70"/>
      <c r="Q29" s="70">
        <v>0</v>
      </c>
      <c r="R29" s="70">
        <v>0</v>
      </c>
      <c r="S29" s="70">
        <v>0</v>
      </c>
      <c r="T29" s="70">
        <v>0.15</v>
      </c>
      <c r="U29" s="70">
        <v>616.85</v>
      </c>
      <c r="V29" s="70">
        <v>4503.3999999999996</v>
      </c>
      <c r="W29" s="70">
        <v>33.49</v>
      </c>
      <c r="X29" s="70">
        <v>60.29</v>
      </c>
      <c r="Y29" s="70">
        <v>39.729999999999997</v>
      </c>
      <c r="Z29" s="80">
        <v>0</v>
      </c>
      <c r="AA29" s="70">
        <v>483.19</v>
      </c>
      <c r="AC29" s="70">
        <v>93.78</v>
      </c>
      <c r="AD29" s="75">
        <v>168.8</v>
      </c>
      <c r="AE29" s="75">
        <v>369.44</v>
      </c>
      <c r="AF29" s="75">
        <v>5120.25</v>
      </c>
      <c r="AG29" s="75">
        <v>290.19</v>
      </c>
      <c r="AH29" s="75">
        <v>102.41</v>
      </c>
      <c r="AI29" s="70">
        <v>60.59</v>
      </c>
      <c r="AJ29" s="70">
        <v>632.02</v>
      </c>
      <c r="AK29" s="70">
        <v>267.94</v>
      </c>
      <c r="AL29" s="70">
        <v>236.61</v>
      </c>
      <c r="AM29" s="70">
        <v>280.3772861679991</v>
      </c>
      <c r="AN29" s="71" t="s">
        <v>652</v>
      </c>
      <c r="AO29" s="71"/>
      <c r="AP29" s="71"/>
      <c r="AQ29" s="71"/>
    </row>
    <row r="30" spans="1:43" s="75" customFormat="1" x14ac:dyDescent="0.2">
      <c r="A30" s="70" t="s">
        <v>235</v>
      </c>
      <c r="B30" s="70" t="s">
        <v>377</v>
      </c>
      <c r="C30" s="70">
        <v>13</v>
      </c>
      <c r="D30" s="70">
        <v>2</v>
      </c>
      <c r="E30" s="70">
        <v>266.67</v>
      </c>
      <c r="F30" s="70">
        <v>282.81</v>
      </c>
      <c r="G30" s="70">
        <v>3466.71</v>
      </c>
      <c r="H30" s="70">
        <v>533.34</v>
      </c>
      <c r="I30" s="70">
        <v>160</v>
      </c>
      <c r="J30" s="70">
        <v>4160.05</v>
      </c>
      <c r="K30" s="70">
        <v>313.87</v>
      </c>
      <c r="L30" s="70">
        <v>0</v>
      </c>
      <c r="M30" s="70">
        <v>102.51</v>
      </c>
      <c r="N30" s="70">
        <v>1090.32</v>
      </c>
      <c r="O30" s="70">
        <v>0</v>
      </c>
      <c r="P30" s="70"/>
      <c r="Q30" s="70">
        <v>0</v>
      </c>
      <c r="R30" s="70">
        <v>0</v>
      </c>
      <c r="S30" s="70">
        <v>0</v>
      </c>
      <c r="T30" s="70">
        <v>-0.05</v>
      </c>
      <c r="U30" s="70">
        <v>1506.65</v>
      </c>
      <c r="V30" s="70">
        <v>2653.4</v>
      </c>
      <c r="W30" s="70">
        <v>26.51</v>
      </c>
      <c r="X30" s="70">
        <v>47.72</v>
      </c>
      <c r="Y30" s="70">
        <v>28.28</v>
      </c>
      <c r="Z30" s="70">
        <v>0</v>
      </c>
      <c r="AA30" s="70">
        <v>313.87</v>
      </c>
      <c r="AC30" s="70">
        <v>74.239999999999995</v>
      </c>
      <c r="AD30" s="75">
        <v>133.63</v>
      </c>
      <c r="AE30" s="75">
        <v>337.62</v>
      </c>
      <c r="AF30" s="75">
        <v>4160.05</v>
      </c>
      <c r="AG30" s="75">
        <v>267.86</v>
      </c>
      <c r="AH30" s="75">
        <v>83.2</v>
      </c>
      <c r="AI30" s="70">
        <v>47.96</v>
      </c>
      <c r="AJ30" s="70">
        <v>545.49</v>
      </c>
      <c r="AK30" s="70">
        <v>212.11</v>
      </c>
      <c r="AL30" s="70">
        <v>225.44</v>
      </c>
      <c r="AM30" s="70">
        <v>219.03679772204578</v>
      </c>
      <c r="AN30" s="71" t="s">
        <v>652</v>
      </c>
      <c r="AO30" s="71"/>
      <c r="AP30" s="71"/>
      <c r="AQ30" s="71"/>
    </row>
    <row r="31" spans="1:43" s="75" customFormat="1" x14ac:dyDescent="0.2">
      <c r="A31" s="70" t="s">
        <v>236</v>
      </c>
      <c r="B31" s="70" t="s">
        <v>378</v>
      </c>
      <c r="C31" s="70">
        <v>15</v>
      </c>
      <c r="D31" s="70">
        <v>0</v>
      </c>
      <c r="E31" s="70">
        <v>266.67</v>
      </c>
      <c r="F31" s="70">
        <v>282.81</v>
      </c>
      <c r="G31" s="70">
        <v>4000.05</v>
      </c>
      <c r="H31" s="70">
        <v>0</v>
      </c>
      <c r="I31" s="70">
        <v>0</v>
      </c>
      <c r="J31" s="70">
        <v>4000.05</v>
      </c>
      <c r="K31" s="70">
        <v>313.87</v>
      </c>
      <c r="L31" s="70">
        <v>0</v>
      </c>
      <c r="M31" s="70">
        <v>102.51</v>
      </c>
      <c r="N31" s="70">
        <v>879.61</v>
      </c>
      <c r="O31" s="70">
        <v>0</v>
      </c>
      <c r="P31" s="70"/>
      <c r="Q31" s="70">
        <v>0</v>
      </c>
      <c r="R31" s="70">
        <v>0</v>
      </c>
      <c r="S31" s="70">
        <v>0</v>
      </c>
      <c r="T31" s="80">
        <v>0.06</v>
      </c>
      <c r="U31" s="70">
        <v>1296.05</v>
      </c>
      <c r="V31" s="70">
        <v>2704</v>
      </c>
      <c r="W31" s="70">
        <v>26.51</v>
      </c>
      <c r="X31" s="70">
        <v>47.72</v>
      </c>
      <c r="Y31" s="70">
        <v>28.28</v>
      </c>
      <c r="Z31" s="70">
        <v>0</v>
      </c>
      <c r="AA31" s="70">
        <v>313.87</v>
      </c>
      <c r="AC31" s="70">
        <v>74.239999999999995</v>
      </c>
      <c r="AD31" s="75">
        <v>133.63</v>
      </c>
      <c r="AE31" s="75">
        <v>337.62</v>
      </c>
      <c r="AF31" s="75">
        <v>4000.05</v>
      </c>
      <c r="AG31" s="75">
        <v>267.86</v>
      </c>
      <c r="AH31" s="75">
        <v>80</v>
      </c>
      <c r="AI31" s="70">
        <v>47.96</v>
      </c>
      <c r="AJ31" s="70">
        <v>545.49</v>
      </c>
      <c r="AK31" s="70">
        <v>212.11</v>
      </c>
      <c r="AL31" s="70">
        <v>225.44</v>
      </c>
      <c r="AM31" s="70">
        <v>219.03679772204578</v>
      </c>
      <c r="AN31" s="71" t="s">
        <v>652</v>
      </c>
      <c r="AO31" s="71"/>
      <c r="AP31" s="71"/>
      <c r="AQ31" s="71"/>
    </row>
    <row r="32" spans="1:43" s="75" customFormat="1" x14ac:dyDescent="0.2">
      <c r="A32" s="70" t="s">
        <v>240</v>
      </c>
      <c r="B32" s="70" t="s">
        <v>379</v>
      </c>
      <c r="C32" s="70">
        <v>15</v>
      </c>
      <c r="D32" s="70">
        <v>0</v>
      </c>
      <c r="E32" s="70">
        <v>266.67</v>
      </c>
      <c r="F32" s="70">
        <v>282.81</v>
      </c>
      <c r="G32" s="70">
        <v>4000.05</v>
      </c>
      <c r="H32" s="70">
        <v>0</v>
      </c>
      <c r="I32" s="70">
        <v>0</v>
      </c>
      <c r="J32" s="70">
        <v>4000.05</v>
      </c>
      <c r="K32" s="70">
        <v>313.87</v>
      </c>
      <c r="L32" s="70">
        <v>0</v>
      </c>
      <c r="M32" s="70">
        <v>102.51</v>
      </c>
      <c r="N32" s="70">
        <v>0</v>
      </c>
      <c r="O32" s="70">
        <v>0</v>
      </c>
      <c r="P32" s="70"/>
      <c r="Q32" s="70">
        <v>0</v>
      </c>
      <c r="R32" s="70">
        <v>0</v>
      </c>
      <c r="S32" s="70">
        <v>0</v>
      </c>
      <c r="T32" s="70">
        <v>7.0000000000000007E-2</v>
      </c>
      <c r="U32" s="70">
        <v>416.45</v>
      </c>
      <c r="V32" s="70">
        <v>3583.6</v>
      </c>
      <c r="W32" s="70">
        <v>26.51</v>
      </c>
      <c r="X32" s="70">
        <v>47.72</v>
      </c>
      <c r="Y32" s="70">
        <v>28.28</v>
      </c>
      <c r="Z32" s="70">
        <v>0</v>
      </c>
      <c r="AA32" s="70">
        <v>313.87</v>
      </c>
      <c r="AC32" s="70">
        <v>74.239999999999995</v>
      </c>
      <c r="AD32" s="75">
        <v>133.63</v>
      </c>
      <c r="AE32" s="75">
        <v>337.62</v>
      </c>
      <c r="AF32" s="75">
        <v>4000.05</v>
      </c>
      <c r="AG32" s="75">
        <v>267.86</v>
      </c>
      <c r="AH32" s="75">
        <v>80</v>
      </c>
      <c r="AI32" s="70">
        <v>47.96</v>
      </c>
      <c r="AJ32" s="70">
        <v>545.49</v>
      </c>
      <c r="AK32" s="70">
        <v>212.11</v>
      </c>
      <c r="AL32" s="70">
        <v>225.44</v>
      </c>
      <c r="AM32" s="70">
        <v>219.03679772204578</v>
      </c>
      <c r="AN32" s="71" t="s">
        <v>652</v>
      </c>
      <c r="AO32" s="71"/>
      <c r="AP32" s="71"/>
      <c r="AQ32" s="71"/>
    </row>
    <row r="33" spans="1:43" s="75" customFormat="1" x14ac:dyDescent="0.2">
      <c r="A33" s="70" t="s">
        <v>241</v>
      </c>
      <c r="B33" s="70" t="s">
        <v>380</v>
      </c>
      <c r="C33" s="70">
        <v>15</v>
      </c>
      <c r="D33" s="70">
        <v>0</v>
      </c>
      <c r="E33" s="70">
        <v>362.41</v>
      </c>
      <c r="F33" s="70">
        <v>379.29</v>
      </c>
      <c r="G33" s="70">
        <v>5436.15</v>
      </c>
      <c r="H33" s="70">
        <v>0</v>
      </c>
      <c r="I33" s="70">
        <v>0</v>
      </c>
      <c r="J33" s="70">
        <v>5436.15</v>
      </c>
      <c r="K33" s="70">
        <v>539.79</v>
      </c>
      <c r="L33" s="70">
        <v>0</v>
      </c>
      <c r="M33" s="70">
        <v>142.68</v>
      </c>
      <c r="N33" s="70">
        <v>0</v>
      </c>
      <c r="O33" s="70">
        <v>0</v>
      </c>
      <c r="P33" s="70"/>
      <c r="Q33" s="70">
        <v>0</v>
      </c>
      <c r="R33" s="70">
        <v>0</v>
      </c>
      <c r="S33" s="70">
        <v>0</v>
      </c>
      <c r="T33" s="70">
        <v>-0.12</v>
      </c>
      <c r="U33" s="70">
        <v>682.35</v>
      </c>
      <c r="V33" s="70">
        <v>4753.8</v>
      </c>
      <c r="W33" s="70">
        <v>35.56</v>
      </c>
      <c r="X33" s="70">
        <v>64.010000000000005</v>
      </c>
      <c r="Y33" s="70">
        <v>43.11</v>
      </c>
      <c r="Z33" s="80">
        <v>0</v>
      </c>
      <c r="AA33" s="70">
        <v>539.79</v>
      </c>
      <c r="AC33" s="70">
        <v>99.56</v>
      </c>
      <c r="AD33" s="75">
        <v>179.21</v>
      </c>
      <c r="AE33" s="75">
        <v>378.87</v>
      </c>
      <c r="AF33" s="75">
        <v>5436.15</v>
      </c>
      <c r="AG33" s="75">
        <v>296.81</v>
      </c>
      <c r="AH33" s="75">
        <v>108.72</v>
      </c>
      <c r="AI33" s="70">
        <v>64.33</v>
      </c>
      <c r="AJ33" s="70">
        <v>657.64</v>
      </c>
      <c r="AK33" s="70">
        <v>284.47000000000003</v>
      </c>
      <c r="AL33" s="70">
        <v>239.91000000000003</v>
      </c>
      <c r="AM33" s="70">
        <v>297.6755010404118</v>
      </c>
      <c r="AN33" s="71" t="s">
        <v>652</v>
      </c>
      <c r="AO33" s="71"/>
      <c r="AP33" s="71"/>
      <c r="AQ33" s="71"/>
    </row>
    <row r="34" spans="1:43" s="75" customFormat="1" x14ac:dyDescent="0.2">
      <c r="A34" s="70" t="s">
        <v>114</v>
      </c>
      <c r="B34" s="70" t="s">
        <v>381</v>
      </c>
      <c r="C34" s="70">
        <v>15</v>
      </c>
      <c r="D34" s="70">
        <v>0</v>
      </c>
      <c r="E34" s="70">
        <v>266.67</v>
      </c>
      <c r="F34" s="70">
        <v>282.8</v>
      </c>
      <c r="G34" s="70">
        <v>4000.05</v>
      </c>
      <c r="H34" s="70">
        <v>0</v>
      </c>
      <c r="I34" s="70">
        <v>0</v>
      </c>
      <c r="J34" s="70">
        <v>4000.05</v>
      </c>
      <c r="K34" s="70">
        <v>313.87</v>
      </c>
      <c r="L34" s="70">
        <v>0</v>
      </c>
      <c r="M34" s="70">
        <v>102.51</v>
      </c>
      <c r="N34" s="70">
        <v>564.39</v>
      </c>
      <c r="O34" s="70">
        <v>0</v>
      </c>
      <c r="P34" s="70"/>
      <c r="Q34" s="70">
        <v>0</v>
      </c>
      <c r="R34" s="70">
        <v>0</v>
      </c>
      <c r="S34" s="70">
        <v>0</v>
      </c>
      <c r="T34" s="70">
        <v>0.08</v>
      </c>
      <c r="U34" s="70">
        <v>980.85</v>
      </c>
      <c r="V34" s="70">
        <v>3019.2</v>
      </c>
      <c r="W34" s="70">
        <v>26.51</v>
      </c>
      <c r="X34" s="70">
        <v>47.72</v>
      </c>
      <c r="Y34" s="70">
        <v>28.28</v>
      </c>
      <c r="Z34" s="70">
        <v>0</v>
      </c>
      <c r="AA34" s="70">
        <v>313.87</v>
      </c>
      <c r="AC34" s="70">
        <v>74.239999999999995</v>
      </c>
      <c r="AD34" s="75">
        <v>133.62</v>
      </c>
      <c r="AE34" s="75">
        <v>337.61</v>
      </c>
      <c r="AF34" s="75">
        <v>4000.05</v>
      </c>
      <c r="AG34" s="75">
        <v>267.86</v>
      </c>
      <c r="AH34" s="75">
        <v>80</v>
      </c>
      <c r="AI34" s="70">
        <v>47.96</v>
      </c>
      <c r="AJ34" s="70">
        <v>545.47</v>
      </c>
      <c r="AK34" s="70">
        <v>212.1</v>
      </c>
      <c r="AL34" s="70">
        <v>225.44</v>
      </c>
      <c r="AM34" s="70">
        <v>219.03679772204578</v>
      </c>
      <c r="AN34" s="71" t="s">
        <v>652</v>
      </c>
      <c r="AO34" s="71"/>
      <c r="AP34" s="71"/>
      <c r="AQ34" s="71"/>
    </row>
    <row r="35" spans="1:43" s="75" customFormat="1" x14ac:dyDescent="0.2">
      <c r="A35" s="70" t="s">
        <v>242</v>
      </c>
      <c r="B35" s="70" t="s">
        <v>382</v>
      </c>
      <c r="C35" s="70">
        <v>15</v>
      </c>
      <c r="D35" s="70">
        <v>0</v>
      </c>
      <c r="E35" s="70">
        <v>266.67</v>
      </c>
      <c r="F35" s="70">
        <v>282.81</v>
      </c>
      <c r="G35" s="70">
        <v>4000.05</v>
      </c>
      <c r="H35" s="70">
        <v>0</v>
      </c>
      <c r="I35" s="70">
        <v>0</v>
      </c>
      <c r="J35" s="70">
        <v>4000.05</v>
      </c>
      <c r="K35" s="70">
        <v>313.87</v>
      </c>
      <c r="L35" s="70">
        <v>0</v>
      </c>
      <c r="M35" s="70">
        <v>102.51</v>
      </c>
      <c r="N35" s="70">
        <v>0</v>
      </c>
      <c r="O35" s="70">
        <v>0</v>
      </c>
      <c r="P35" s="70"/>
      <c r="Q35" s="70">
        <v>0</v>
      </c>
      <c r="R35" s="70">
        <v>1666.67</v>
      </c>
      <c r="S35" s="70">
        <v>0</v>
      </c>
      <c r="T35" s="80">
        <v>0</v>
      </c>
      <c r="U35" s="70">
        <v>2083.0500000000002</v>
      </c>
      <c r="V35" s="70">
        <v>1917</v>
      </c>
      <c r="W35" s="70">
        <v>26.51</v>
      </c>
      <c r="X35" s="70">
        <v>47.72</v>
      </c>
      <c r="Y35" s="70">
        <v>28.28</v>
      </c>
      <c r="Z35" s="70">
        <v>0</v>
      </c>
      <c r="AA35" s="70">
        <v>313.87</v>
      </c>
      <c r="AC35" s="70">
        <v>74.239999999999995</v>
      </c>
      <c r="AD35" s="75">
        <v>133.63</v>
      </c>
      <c r="AE35" s="75">
        <v>337.62</v>
      </c>
      <c r="AF35" s="75">
        <v>4000.05</v>
      </c>
      <c r="AG35" s="75">
        <v>267.86</v>
      </c>
      <c r="AH35" s="75">
        <v>80</v>
      </c>
      <c r="AI35" s="70">
        <v>47.96</v>
      </c>
      <c r="AJ35" s="70">
        <v>545.49</v>
      </c>
      <c r="AK35" s="70">
        <v>212.11</v>
      </c>
      <c r="AL35" s="70">
        <v>225.44</v>
      </c>
      <c r="AM35" s="70">
        <v>219.03679772204578</v>
      </c>
      <c r="AN35" s="71" t="s">
        <v>651</v>
      </c>
      <c r="AO35" s="71"/>
      <c r="AP35" s="71"/>
      <c r="AQ35" s="71"/>
    </row>
    <row r="36" spans="1:43" s="75" customFormat="1" x14ac:dyDescent="0.2">
      <c r="A36" s="70" t="s">
        <v>116</v>
      </c>
      <c r="B36" s="70" t="s">
        <v>383</v>
      </c>
      <c r="C36" s="70">
        <v>15</v>
      </c>
      <c r="D36" s="70">
        <v>0</v>
      </c>
      <c r="E36" s="70">
        <v>266.67</v>
      </c>
      <c r="F36" s="70">
        <v>282.8</v>
      </c>
      <c r="G36" s="70">
        <v>4000.05</v>
      </c>
      <c r="H36" s="70">
        <v>0</v>
      </c>
      <c r="I36" s="70">
        <v>0</v>
      </c>
      <c r="J36" s="70">
        <v>4000.05</v>
      </c>
      <c r="K36" s="70">
        <v>313.87</v>
      </c>
      <c r="L36" s="70">
        <v>0</v>
      </c>
      <c r="M36" s="70">
        <v>102.51</v>
      </c>
      <c r="N36" s="70">
        <v>0</v>
      </c>
      <c r="O36" s="70">
        <v>1343.42</v>
      </c>
      <c r="P36" s="70"/>
      <c r="Q36" s="70">
        <v>0</v>
      </c>
      <c r="R36" s="70">
        <v>0</v>
      </c>
      <c r="S36" s="70">
        <v>0</v>
      </c>
      <c r="T36" s="80">
        <v>-0.15</v>
      </c>
      <c r="U36" s="70">
        <v>1759.65</v>
      </c>
      <c r="V36" s="70">
        <v>2240.4</v>
      </c>
      <c r="W36" s="70">
        <v>26.51</v>
      </c>
      <c r="X36" s="70">
        <v>47.72</v>
      </c>
      <c r="Y36" s="70">
        <v>28.28</v>
      </c>
      <c r="Z36" s="70">
        <v>0</v>
      </c>
      <c r="AA36" s="70">
        <v>313.87</v>
      </c>
      <c r="AC36" s="70">
        <v>74.239999999999995</v>
      </c>
      <c r="AD36" s="75">
        <v>133.62</v>
      </c>
      <c r="AE36" s="75">
        <v>337.61</v>
      </c>
      <c r="AF36" s="75">
        <v>4000.05</v>
      </c>
      <c r="AG36" s="75">
        <v>267.86</v>
      </c>
      <c r="AH36" s="75">
        <v>80</v>
      </c>
      <c r="AI36" s="70">
        <v>47.96</v>
      </c>
      <c r="AJ36" s="70">
        <v>545.47</v>
      </c>
      <c r="AK36" s="70">
        <v>212.1</v>
      </c>
      <c r="AL36" s="70">
        <v>225.44</v>
      </c>
      <c r="AM36" s="70">
        <v>219.03679772204578</v>
      </c>
      <c r="AN36" s="71" t="s">
        <v>652</v>
      </c>
      <c r="AO36" s="71"/>
      <c r="AP36" s="71"/>
      <c r="AQ36" s="71"/>
    </row>
    <row r="37" spans="1:43" s="75" customFormat="1" x14ac:dyDescent="0.2">
      <c r="A37" s="70" t="s">
        <v>244</v>
      </c>
      <c r="B37" s="70" t="s">
        <v>384</v>
      </c>
      <c r="C37" s="70">
        <v>10</v>
      </c>
      <c r="D37" s="70">
        <v>5</v>
      </c>
      <c r="E37" s="70">
        <v>200</v>
      </c>
      <c r="F37" s="70">
        <v>212.11</v>
      </c>
      <c r="G37" s="70">
        <v>2000</v>
      </c>
      <c r="H37" s="70">
        <v>1000</v>
      </c>
      <c r="I37" s="70">
        <v>300</v>
      </c>
      <c r="J37" s="70">
        <v>3300</v>
      </c>
      <c r="K37" s="70">
        <v>59.69</v>
      </c>
      <c r="L37" s="70">
        <v>0</v>
      </c>
      <c r="M37" s="70">
        <v>75.56</v>
      </c>
      <c r="N37" s="70">
        <v>1077.78</v>
      </c>
      <c r="O37" s="70">
        <v>0</v>
      </c>
      <c r="P37" s="70"/>
      <c r="Q37" s="70">
        <v>0</v>
      </c>
      <c r="R37" s="70">
        <v>0</v>
      </c>
      <c r="S37" s="70">
        <v>0</v>
      </c>
      <c r="T37" s="80">
        <v>-0.03</v>
      </c>
      <c r="U37" s="70">
        <v>1213</v>
      </c>
      <c r="V37" s="70">
        <v>2087</v>
      </c>
      <c r="W37" s="70">
        <v>19.89</v>
      </c>
      <c r="X37" s="70">
        <v>35.79</v>
      </c>
      <c r="Y37" s="70">
        <v>19.88</v>
      </c>
      <c r="Z37" s="80">
        <v>-145.38</v>
      </c>
      <c r="AA37" s="70">
        <v>205.07</v>
      </c>
      <c r="AC37" s="70">
        <v>55.68</v>
      </c>
      <c r="AD37" s="75">
        <v>100.22</v>
      </c>
      <c r="AE37" s="75">
        <v>314.22000000000003</v>
      </c>
      <c r="AF37" s="75">
        <v>3300</v>
      </c>
      <c r="AG37" s="75">
        <v>246.65</v>
      </c>
      <c r="AH37" s="75">
        <v>66</v>
      </c>
      <c r="AI37" s="70">
        <v>35.97</v>
      </c>
      <c r="AJ37" s="70">
        <v>470.12</v>
      </c>
      <c r="AK37" s="70">
        <v>159.08000000000001</v>
      </c>
      <c r="AL37" s="70">
        <v>214.84</v>
      </c>
      <c r="AM37" s="70">
        <v>164.27554484722373</v>
      </c>
      <c r="AN37" s="71" t="s">
        <v>652</v>
      </c>
      <c r="AO37" s="71"/>
      <c r="AP37" s="71"/>
      <c r="AQ37" s="71"/>
    </row>
    <row r="38" spans="1:43" s="75" customFormat="1" x14ac:dyDescent="0.2">
      <c r="A38" s="70" t="s">
        <v>396</v>
      </c>
      <c r="B38" s="70" t="s">
        <v>397</v>
      </c>
      <c r="C38" s="70">
        <v>15</v>
      </c>
      <c r="D38" s="70">
        <v>0</v>
      </c>
      <c r="E38" s="70">
        <v>166.67</v>
      </c>
      <c r="F38" s="70">
        <v>174.2</v>
      </c>
      <c r="G38" s="70">
        <v>2500.0500000000002</v>
      </c>
      <c r="H38" s="70">
        <v>0</v>
      </c>
      <c r="I38" s="70">
        <v>0</v>
      </c>
      <c r="J38" s="70">
        <v>2500.0500000000002</v>
      </c>
      <c r="K38" s="70">
        <v>0</v>
      </c>
      <c r="L38" s="70">
        <v>-9.6199999999999992</v>
      </c>
      <c r="M38" s="70">
        <v>62.06</v>
      </c>
      <c r="N38" s="70">
        <v>0</v>
      </c>
      <c r="O38" s="70">
        <v>0</v>
      </c>
      <c r="P38" s="70"/>
      <c r="Q38" s="70">
        <v>0</v>
      </c>
      <c r="R38" s="70">
        <v>395.33</v>
      </c>
      <c r="S38" s="70">
        <v>0</v>
      </c>
      <c r="T38" s="70">
        <v>0.08</v>
      </c>
      <c r="U38" s="70">
        <v>447.85</v>
      </c>
      <c r="V38" s="70">
        <v>2052.1999999999998</v>
      </c>
      <c r="W38" s="70">
        <v>16.329999999999998</v>
      </c>
      <c r="X38" s="70">
        <v>29.4</v>
      </c>
      <c r="Y38" s="70">
        <v>16.329999999999998</v>
      </c>
      <c r="Z38" s="80">
        <v>-160.30000000000001</v>
      </c>
      <c r="AA38" s="70">
        <v>150.66999999999999</v>
      </c>
      <c r="AC38" s="70">
        <v>45.73</v>
      </c>
      <c r="AD38" s="75">
        <v>82.31</v>
      </c>
      <c r="AE38" s="75">
        <v>304.27</v>
      </c>
      <c r="AF38" s="75">
        <v>2500.0500000000002</v>
      </c>
      <c r="AG38" s="75">
        <v>235.28</v>
      </c>
      <c r="AH38" s="75">
        <v>50</v>
      </c>
      <c r="AI38" s="70">
        <v>29.54</v>
      </c>
      <c r="AJ38" s="70">
        <v>432.31</v>
      </c>
      <c r="AK38" s="70">
        <v>130.65</v>
      </c>
      <c r="AL38" s="70">
        <v>209.15</v>
      </c>
      <c r="AM38" s="70">
        <v>136.89902529843388</v>
      </c>
      <c r="AN38" s="71" t="s">
        <v>651</v>
      </c>
      <c r="AO38" s="71"/>
      <c r="AP38" s="71"/>
      <c r="AQ38" s="71"/>
    </row>
    <row r="39" spans="1:43" s="75" customFormat="1" x14ac:dyDescent="0.2">
      <c r="A39" s="70" t="s">
        <v>408</v>
      </c>
      <c r="B39" s="70" t="s">
        <v>405</v>
      </c>
      <c r="C39" s="70">
        <v>15</v>
      </c>
      <c r="D39" s="70">
        <v>0</v>
      </c>
      <c r="E39" s="70">
        <v>275</v>
      </c>
      <c r="F39" s="70">
        <v>287.43</v>
      </c>
      <c r="G39" s="70">
        <v>4125</v>
      </c>
      <c r="H39" s="70">
        <v>0</v>
      </c>
      <c r="I39" s="70">
        <v>0</v>
      </c>
      <c r="J39" s="70">
        <v>4125</v>
      </c>
      <c r="K39" s="70">
        <v>327.47000000000003</v>
      </c>
      <c r="L39" s="70">
        <v>0</v>
      </c>
      <c r="M39" s="70">
        <v>104.44</v>
      </c>
      <c r="N39" s="70">
        <v>0</v>
      </c>
      <c r="O39" s="70">
        <v>0</v>
      </c>
      <c r="P39" s="70"/>
      <c r="Q39" s="70">
        <v>0</v>
      </c>
      <c r="R39" s="70">
        <v>0</v>
      </c>
      <c r="S39" s="70">
        <v>0</v>
      </c>
      <c r="T39" s="70">
        <v>0.09</v>
      </c>
      <c r="U39" s="70">
        <v>432</v>
      </c>
      <c r="V39" s="70">
        <v>3693</v>
      </c>
      <c r="W39" s="70">
        <v>26.95</v>
      </c>
      <c r="X39" s="70">
        <v>48.5</v>
      </c>
      <c r="Y39" s="70">
        <v>28.99</v>
      </c>
      <c r="Z39" s="70">
        <v>0</v>
      </c>
      <c r="AA39" s="70">
        <v>327.47000000000003</v>
      </c>
      <c r="AC39" s="70">
        <v>75.45</v>
      </c>
      <c r="AD39" s="75">
        <v>135.81</v>
      </c>
      <c r="AE39" s="75">
        <v>339.59</v>
      </c>
      <c r="AF39" s="75">
        <v>4125</v>
      </c>
      <c r="AG39" s="75">
        <v>269.25</v>
      </c>
      <c r="AH39" s="75">
        <v>82.5</v>
      </c>
      <c r="AI39" s="70">
        <v>48.75</v>
      </c>
      <c r="AJ39" s="70">
        <v>550.85</v>
      </c>
      <c r="AK39" s="70">
        <v>215.57</v>
      </c>
      <c r="AL39" s="70">
        <v>226.13</v>
      </c>
      <c r="AM39" s="70">
        <v>225.87887416493263</v>
      </c>
      <c r="AN39" s="71" t="s">
        <v>652</v>
      </c>
      <c r="AO39" s="71"/>
      <c r="AP39" s="71"/>
      <c r="AQ39" s="71"/>
    </row>
    <row r="40" spans="1:43" s="75" customFormat="1" x14ac:dyDescent="0.2">
      <c r="A40" s="70" t="s">
        <v>422</v>
      </c>
      <c r="B40" s="70" t="s">
        <v>423</v>
      </c>
      <c r="C40" s="70">
        <v>15</v>
      </c>
      <c r="D40" s="70">
        <v>0</v>
      </c>
      <c r="E40" s="70">
        <v>266.67</v>
      </c>
      <c r="F40" s="70">
        <v>282.81</v>
      </c>
      <c r="G40" s="70">
        <v>4000.05</v>
      </c>
      <c r="H40" s="70">
        <v>0</v>
      </c>
      <c r="I40" s="70">
        <v>0</v>
      </c>
      <c r="J40" s="70">
        <v>4000.05</v>
      </c>
      <c r="K40" s="70">
        <v>313.87</v>
      </c>
      <c r="L40" s="70">
        <v>0</v>
      </c>
      <c r="M40" s="70">
        <v>102.51</v>
      </c>
      <c r="N40" s="70">
        <v>0</v>
      </c>
      <c r="O40" s="70">
        <v>0</v>
      </c>
      <c r="P40" s="70"/>
      <c r="Q40" s="70">
        <v>0</v>
      </c>
      <c r="R40" s="70">
        <v>0</v>
      </c>
      <c r="S40" s="70">
        <v>0</v>
      </c>
      <c r="T40" s="70">
        <v>7.0000000000000007E-2</v>
      </c>
      <c r="U40" s="70">
        <v>416.45</v>
      </c>
      <c r="V40" s="70">
        <v>3583.6</v>
      </c>
      <c r="W40" s="70">
        <v>26.51</v>
      </c>
      <c r="X40" s="70">
        <v>47.72</v>
      </c>
      <c r="Y40" s="70">
        <v>28.28</v>
      </c>
      <c r="Z40" s="70">
        <v>0</v>
      </c>
      <c r="AA40" s="70">
        <v>313.87</v>
      </c>
      <c r="AC40" s="70">
        <v>74.239999999999995</v>
      </c>
      <c r="AD40" s="75">
        <v>133.63</v>
      </c>
      <c r="AE40" s="75">
        <v>337.62</v>
      </c>
      <c r="AF40" s="75">
        <v>4000.05</v>
      </c>
      <c r="AG40" s="75">
        <v>267.86</v>
      </c>
      <c r="AH40" s="75">
        <v>80</v>
      </c>
      <c r="AI40" s="70">
        <v>47.96</v>
      </c>
      <c r="AJ40" s="70">
        <v>545.49</v>
      </c>
      <c r="AK40" s="70">
        <v>212.11</v>
      </c>
      <c r="AL40" s="70">
        <v>225.44</v>
      </c>
      <c r="AM40" s="70">
        <v>219.03679772204578</v>
      </c>
      <c r="AN40" s="71" t="s">
        <v>651</v>
      </c>
      <c r="AO40" s="71"/>
      <c r="AP40" s="71"/>
      <c r="AQ40" s="71"/>
    </row>
    <row r="41" spans="1:43" s="75" customFormat="1" x14ac:dyDescent="0.2">
      <c r="A41" s="70" t="s">
        <v>437</v>
      </c>
      <c r="B41" s="70" t="s">
        <v>438</v>
      </c>
      <c r="C41" s="70">
        <v>15</v>
      </c>
      <c r="D41" s="70">
        <v>0</v>
      </c>
      <c r="E41" s="70">
        <v>266.67</v>
      </c>
      <c r="F41" s="70">
        <v>282.81</v>
      </c>
      <c r="G41" s="70">
        <v>4000.05</v>
      </c>
      <c r="H41" s="70">
        <v>0</v>
      </c>
      <c r="I41" s="70">
        <v>320</v>
      </c>
      <c r="J41" s="70">
        <v>4320.05</v>
      </c>
      <c r="K41" s="70">
        <v>313.87</v>
      </c>
      <c r="L41" s="70">
        <v>0</v>
      </c>
      <c r="M41" s="70">
        <v>102.51</v>
      </c>
      <c r="N41" s="70">
        <v>0</v>
      </c>
      <c r="O41" s="70">
        <v>0</v>
      </c>
      <c r="P41" s="70"/>
      <c r="Q41" s="70">
        <v>0</v>
      </c>
      <c r="R41" s="70">
        <v>0</v>
      </c>
      <c r="S41" s="70">
        <v>0</v>
      </c>
      <c r="T41" s="70">
        <v>-0.13</v>
      </c>
      <c r="U41" s="70">
        <v>416.25</v>
      </c>
      <c r="V41" s="70">
        <v>3903.8</v>
      </c>
      <c r="W41" s="70">
        <v>26.51</v>
      </c>
      <c r="X41" s="70">
        <v>47.72</v>
      </c>
      <c r="Y41" s="70">
        <v>28.28</v>
      </c>
      <c r="Z41" s="70">
        <v>0</v>
      </c>
      <c r="AA41" s="70">
        <v>313.87</v>
      </c>
      <c r="AC41" s="70">
        <v>74.239999999999995</v>
      </c>
      <c r="AD41" s="75">
        <v>133.63</v>
      </c>
      <c r="AE41" s="75">
        <v>337.62</v>
      </c>
      <c r="AF41" s="75">
        <v>4320.05</v>
      </c>
      <c r="AG41" s="75">
        <v>267.86</v>
      </c>
      <c r="AH41" s="75">
        <v>86.4</v>
      </c>
      <c r="AI41" s="70">
        <v>47.96</v>
      </c>
      <c r="AJ41" s="70">
        <v>545.49</v>
      </c>
      <c r="AK41" s="70">
        <v>212.11</v>
      </c>
      <c r="AL41" s="70">
        <v>225.44</v>
      </c>
      <c r="AM41" s="70">
        <v>219.03679772204578</v>
      </c>
      <c r="AN41" s="71" t="s">
        <v>651</v>
      </c>
      <c r="AO41" s="71"/>
      <c r="AP41" s="71"/>
      <c r="AQ41" s="71"/>
    </row>
    <row r="42" spans="1:43" s="75" customFormat="1" x14ac:dyDescent="0.2">
      <c r="A42" s="70" t="s">
        <v>424</v>
      </c>
      <c r="B42" s="70" t="s">
        <v>425</v>
      </c>
      <c r="C42" s="70">
        <v>14</v>
      </c>
      <c r="D42" s="70">
        <v>0</v>
      </c>
      <c r="E42" s="70">
        <v>150</v>
      </c>
      <c r="F42" s="70">
        <v>159.08000000000001</v>
      </c>
      <c r="G42" s="70">
        <v>2100</v>
      </c>
      <c r="H42" s="70">
        <v>0</v>
      </c>
      <c r="I42" s="70">
        <v>0</v>
      </c>
      <c r="J42" s="70">
        <v>2100</v>
      </c>
      <c r="K42" s="70">
        <v>0</v>
      </c>
      <c r="L42" s="80">
        <v>-67.099999999999994</v>
      </c>
      <c r="M42" s="70">
        <v>53.9</v>
      </c>
      <c r="N42" s="70">
        <v>0</v>
      </c>
      <c r="O42" s="70">
        <v>0</v>
      </c>
      <c r="P42" s="70"/>
      <c r="Q42" s="70">
        <v>0</v>
      </c>
      <c r="R42" s="70">
        <v>0</v>
      </c>
      <c r="S42" s="70">
        <v>0</v>
      </c>
      <c r="T42" s="80">
        <v>0</v>
      </c>
      <c r="U42" s="70">
        <v>-13.2</v>
      </c>
      <c r="V42" s="70">
        <v>2113.1999999999998</v>
      </c>
      <c r="W42" s="70">
        <v>13.92</v>
      </c>
      <c r="X42" s="70">
        <v>25.06</v>
      </c>
      <c r="Y42" s="70">
        <v>14.92</v>
      </c>
      <c r="Z42" s="80">
        <v>-188.71</v>
      </c>
      <c r="AA42" s="70">
        <v>121.61</v>
      </c>
      <c r="AC42" s="70">
        <v>41.76</v>
      </c>
      <c r="AD42" s="75">
        <v>75.17</v>
      </c>
      <c r="AE42" s="75">
        <v>300.3</v>
      </c>
      <c r="AF42" s="75">
        <v>2100</v>
      </c>
      <c r="AG42" s="75">
        <v>230.74</v>
      </c>
      <c r="AH42" s="75">
        <v>42</v>
      </c>
      <c r="AI42" s="70">
        <v>26.98</v>
      </c>
      <c r="AJ42" s="70">
        <v>417.23</v>
      </c>
      <c r="AK42" s="70">
        <v>119.31</v>
      </c>
      <c r="AL42" s="70">
        <v>206.88</v>
      </c>
      <c r="AM42" s="70">
        <v>123.2066586354178</v>
      </c>
      <c r="AN42" s="71" t="s">
        <v>651</v>
      </c>
      <c r="AO42" s="71"/>
      <c r="AP42" s="71"/>
      <c r="AQ42" s="71"/>
    </row>
    <row r="43" spans="1:43" s="75" customFormat="1" x14ac:dyDescent="0.2">
      <c r="A43" s="70" t="s">
        <v>426</v>
      </c>
      <c r="B43" s="70" t="s">
        <v>427</v>
      </c>
      <c r="C43" s="70">
        <v>14</v>
      </c>
      <c r="D43" s="70">
        <v>0</v>
      </c>
      <c r="E43" s="70">
        <v>200</v>
      </c>
      <c r="F43" s="70">
        <v>212.11</v>
      </c>
      <c r="G43" s="70">
        <v>2800</v>
      </c>
      <c r="H43" s="70">
        <v>0</v>
      </c>
      <c r="I43" s="70">
        <v>0</v>
      </c>
      <c r="J43" s="70">
        <v>2800</v>
      </c>
      <c r="K43" s="70">
        <v>37.93</v>
      </c>
      <c r="L43" s="70">
        <v>0</v>
      </c>
      <c r="M43" s="70">
        <v>71.849999999999994</v>
      </c>
      <c r="N43" s="70">
        <v>0</v>
      </c>
      <c r="O43" s="70">
        <v>1487.31</v>
      </c>
      <c r="P43" s="70"/>
      <c r="Q43" s="70">
        <v>600</v>
      </c>
      <c r="R43" s="70">
        <v>0</v>
      </c>
      <c r="S43" s="70">
        <v>0</v>
      </c>
      <c r="T43" s="70">
        <v>0.11</v>
      </c>
      <c r="U43" s="70">
        <v>2197.1999999999998</v>
      </c>
      <c r="V43" s="70">
        <v>602.79999999999995</v>
      </c>
      <c r="W43" s="70">
        <v>18.559999999999999</v>
      </c>
      <c r="X43" s="70">
        <v>33.409999999999997</v>
      </c>
      <c r="Y43" s="70">
        <v>19.88</v>
      </c>
      <c r="Z43" s="80">
        <v>-145.38</v>
      </c>
      <c r="AA43" s="70">
        <v>183.31</v>
      </c>
      <c r="AC43" s="70">
        <v>55.68</v>
      </c>
      <c r="AD43" s="75">
        <v>100.22</v>
      </c>
      <c r="AE43" s="75">
        <v>314.22000000000003</v>
      </c>
      <c r="AF43" s="75">
        <v>2800</v>
      </c>
      <c r="AG43" s="75">
        <v>246.65</v>
      </c>
      <c r="AH43" s="75">
        <v>56</v>
      </c>
      <c r="AI43" s="70">
        <v>35.97</v>
      </c>
      <c r="AJ43" s="70">
        <v>470.12</v>
      </c>
      <c r="AK43" s="70">
        <v>159.08000000000001</v>
      </c>
      <c r="AL43" s="70">
        <v>214.84</v>
      </c>
      <c r="AM43" s="70">
        <v>164.27554484722373</v>
      </c>
      <c r="AN43" s="71" t="s">
        <v>651</v>
      </c>
      <c r="AO43" s="71"/>
      <c r="AP43" s="71"/>
      <c r="AQ43" s="71"/>
    </row>
    <row r="44" spans="1:43" s="75" customFormat="1" x14ac:dyDescent="0.2">
      <c r="A44" s="70" t="s">
        <v>434</v>
      </c>
      <c r="B44" s="70" t="s">
        <v>430</v>
      </c>
      <c r="C44" s="70">
        <v>15</v>
      </c>
      <c r="D44" s="70">
        <v>0</v>
      </c>
      <c r="E44" s="70">
        <v>466.67</v>
      </c>
      <c r="F44" s="70">
        <v>494.92</v>
      </c>
      <c r="G44" s="70">
        <v>7000.05</v>
      </c>
      <c r="H44" s="70">
        <v>0</v>
      </c>
      <c r="I44" s="70">
        <v>0</v>
      </c>
      <c r="J44" s="70">
        <v>7000.05</v>
      </c>
      <c r="K44" s="70">
        <v>856.99</v>
      </c>
      <c r="L44" s="70">
        <v>0</v>
      </c>
      <c r="M44" s="70">
        <v>190.81</v>
      </c>
      <c r="N44" s="70">
        <v>0</v>
      </c>
      <c r="O44" s="70">
        <v>0</v>
      </c>
      <c r="P44" s="70"/>
      <c r="Q44" s="70">
        <v>0</v>
      </c>
      <c r="R44" s="70">
        <v>0</v>
      </c>
      <c r="S44" s="70">
        <v>0</v>
      </c>
      <c r="T44" s="80">
        <v>-0.15</v>
      </c>
      <c r="U44" s="70">
        <v>1047.6500000000001</v>
      </c>
      <c r="V44" s="70">
        <v>5952.4</v>
      </c>
      <c r="W44" s="70">
        <v>46.4</v>
      </c>
      <c r="X44" s="70">
        <v>83.52</v>
      </c>
      <c r="Y44" s="70">
        <v>60.89</v>
      </c>
      <c r="Z44" s="70">
        <v>0</v>
      </c>
      <c r="AA44" s="70">
        <v>856.99</v>
      </c>
      <c r="AC44" s="70">
        <v>129.91999999999999</v>
      </c>
      <c r="AD44" s="75">
        <v>233.85</v>
      </c>
      <c r="AE44" s="75">
        <v>428.3</v>
      </c>
      <c r="AF44" s="75">
        <v>7000.05</v>
      </c>
      <c r="AG44" s="75">
        <v>331.5</v>
      </c>
      <c r="AH44" s="75">
        <v>140</v>
      </c>
      <c r="AI44" s="70">
        <v>83.94</v>
      </c>
      <c r="AJ44" s="70">
        <v>792.07</v>
      </c>
      <c r="AK44" s="70">
        <v>371.19</v>
      </c>
      <c r="AL44" s="70">
        <v>257.26</v>
      </c>
      <c r="AM44" s="70">
        <v>383.3123425692695</v>
      </c>
      <c r="AN44" s="71" t="s">
        <v>651</v>
      </c>
      <c r="AO44" s="71"/>
      <c r="AP44" s="71"/>
      <c r="AQ44" s="71"/>
    </row>
    <row r="45" spans="1:43" s="75" customFormat="1" x14ac:dyDescent="0.2">
      <c r="A45" s="70" t="s">
        <v>436</v>
      </c>
      <c r="B45" s="70" t="s">
        <v>432</v>
      </c>
      <c r="C45" s="70">
        <v>15</v>
      </c>
      <c r="D45" s="70">
        <v>0</v>
      </c>
      <c r="E45" s="70">
        <v>466.67</v>
      </c>
      <c r="F45" s="70">
        <v>494.92</v>
      </c>
      <c r="G45" s="70">
        <v>7000.05</v>
      </c>
      <c r="H45" s="70">
        <v>0</v>
      </c>
      <c r="I45" s="70">
        <v>0</v>
      </c>
      <c r="J45" s="70">
        <v>7000.05</v>
      </c>
      <c r="K45" s="70">
        <v>856.99</v>
      </c>
      <c r="L45" s="70">
        <v>0</v>
      </c>
      <c r="M45" s="70">
        <v>190.81</v>
      </c>
      <c r="N45" s="70">
        <v>0</v>
      </c>
      <c r="O45" s="70">
        <v>0</v>
      </c>
      <c r="P45" s="70"/>
      <c r="Q45" s="70">
        <v>0</v>
      </c>
      <c r="R45" s="70">
        <v>0</v>
      </c>
      <c r="S45" s="70">
        <v>0</v>
      </c>
      <c r="T45" s="80">
        <v>0.05</v>
      </c>
      <c r="U45" s="70">
        <v>1047.8499999999999</v>
      </c>
      <c r="V45" s="70">
        <v>5952.2</v>
      </c>
      <c r="W45" s="70">
        <v>46.4</v>
      </c>
      <c r="X45" s="70">
        <v>83.52</v>
      </c>
      <c r="Y45" s="70">
        <v>60.89</v>
      </c>
      <c r="Z45" s="70">
        <v>0</v>
      </c>
      <c r="AA45" s="70">
        <v>856.99</v>
      </c>
      <c r="AC45" s="70">
        <v>129.91999999999999</v>
      </c>
      <c r="AD45" s="75">
        <v>233.85</v>
      </c>
      <c r="AE45" s="75">
        <v>428.3</v>
      </c>
      <c r="AF45" s="75">
        <v>7000.05</v>
      </c>
      <c r="AG45" s="75">
        <v>331.5</v>
      </c>
      <c r="AH45" s="75">
        <v>140</v>
      </c>
      <c r="AI45" s="70">
        <v>83.94</v>
      </c>
      <c r="AJ45" s="70">
        <v>792.07</v>
      </c>
      <c r="AK45" s="70">
        <v>371.19</v>
      </c>
      <c r="AL45" s="70">
        <v>257.26</v>
      </c>
      <c r="AM45" s="70">
        <v>383.3123425692695</v>
      </c>
      <c r="AN45" s="71" t="s">
        <v>651</v>
      </c>
      <c r="AO45" s="71"/>
      <c r="AP45" s="71"/>
      <c r="AQ45" s="71"/>
    </row>
    <row r="46" spans="1:43" s="75" customFormat="1" x14ac:dyDescent="0.2">
      <c r="A46" s="70" t="s">
        <v>444</v>
      </c>
      <c r="B46" s="70" t="s">
        <v>445</v>
      </c>
      <c r="C46" s="70">
        <v>14</v>
      </c>
      <c r="D46" s="70">
        <v>1</v>
      </c>
      <c r="E46" s="70">
        <v>200</v>
      </c>
      <c r="F46" s="70">
        <v>212.11</v>
      </c>
      <c r="G46" s="70">
        <v>2800</v>
      </c>
      <c r="H46" s="70">
        <v>200</v>
      </c>
      <c r="I46" s="70">
        <v>60</v>
      </c>
      <c r="J46" s="70">
        <v>3060</v>
      </c>
      <c r="K46" s="70">
        <v>59.69</v>
      </c>
      <c r="L46" s="70">
        <v>0</v>
      </c>
      <c r="M46" s="70">
        <v>75.56</v>
      </c>
      <c r="N46" s="70">
        <v>0</v>
      </c>
      <c r="O46" s="70">
        <v>0</v>
      </c>
      <c r="P46" s="70"/>
      <c r="Q46" s="70">
        <v>0</v>
      </c>
      <c r="R46" s="70">
        <v>0</v>
      </c>
      <c r="S46" s="70">
        <v>0</v>
      </c>
      <c r="T46" s="70">
        <v>-0.05</v>
      </c>
      <c r="U46" s="70">
        <v>135.19999999999999</v>
      </c>
      <c r="V46" s="70">
        <v>2924.8</v>
      </c>
      <c r="W46" s="70">
        <v>19.89</v>
      </c>
      <c r="X46" s="70">
        <v>35.79</v>
      </c>
      <c r="Y46" s="70">
        <v>19.88</v>
      </c>
      <c r="Z46" s="80">
        <v>-145.38</v>
      </c>
      <c r="AA46" s="70">
        <v>205.07</v>
      </c>
      <c r="AC46" s="70">
        <v>55.68</v>
      </c>
      <c r="AD46" s="75">
        <v>100.22</v>
      </c>
      <c r="AE46" s="75">
        <v>314.22000000000003</v>
      </c>
      <c r="AF46" s="75">
        <v>3060</v>
      </c>
      <c r="AG46" s="75">
        <v>246.65</v>
      </c>
      <c r="AH46" s="75">
        <v>61.2</v>
      </c>
      <c r="AI46" s="70">
        <v>35.97</v>
      </c>
      <c r="AJ46" s="70">
        <v>470.12</v>
      </c>
      <c r="AK46" s="70">
        <v>159.08000000000001</v>
      </c>
      <c r="AL46" s="70">
        <v>214.84</v>
      </c>
      <c r="AM46" s="70">
        <v>164.27554484722373</v>
      </c>
      <c r="AN46" s="71" t="s">
        <v>651</v>
      </c>
      <c r="AO46" s="71"/>
      <c r="AP46" s="71"/>
      <c r="AQ46" s="71"/>
    </row>
    <row r="47" spans="1:43" s="75" customFormat="1" x14ac:dyDescent="0.2">
      <c r="A47" s="70" t="s">
        <v>446</v>
      </c>
      <c r="B47" s="70" t="s">
        <v>447</v>
      </c>
      <c r="C47" s="70">
        <v>14</v>
      </c>
      <c r="D47" s="70">
        <v>1</v>
      </c>
      <c r="E47" s="70">
        <v>266.67</v>
      </c>
      <c r="F47" s="70">
        <v>282.81</v>
      </c>
      <c r="G47" s="70">
        <v>3733.38</v>
      </c>
      <c r="H47" s="70">
        <v>266.67</v>
      </c>
      <c r="I47" s="70">
        <v>80</v>
      </c>
      <c r="J47" s="70">
        <v>4080.05</v>
      </c>
      <c r="K47" s="70">
        <v>313.87</v>
      </c>
      <c r="L47" s="70">
        <v>0</v>
      </c>
      <c r="M47" s="70">
        <v>102.51</v>
      </c>
      <c r="N47" s="70">
        <v>0</v>
      </c>
      <c r="O47" s="70">
        <v>0</v>
      </c>
      <c r="P47" s="70"/>
      <c r="Q47" s="70">
        <v>0</v>
      </c>
      <c r="R47" s="70">
        <v>0</v>
      </c>
      <c r="S47" s="70">
        <v>0</v>
      </c>
      <c r="T47" s="70">
        <v>7.0000000000000007E-2</v>
      </c>
      <c r="U47" s="70">
        <v>416.45</v>
      </c>
      <c r="V47" s="70">
        <v>3663.6</v>
      </c>
      <c r="W47" s="70">
        <v>26.51</v>
      </c>
      <c r="X47" s="70">
        <v>47.72</v>
      </c>
      <c r="Y47" s="70">
        <v>28.28</v>
      </c>
      <c r="Z47" s="70">
        <v>0</v>
      </c>
      <c r="AA47" s="70">
        <v>313.87</v>
      </c>
      <c r="AC47" s="70">
        <v>74.239999999999995</v>
      </c>
      <c r="AD47" s="75">
        <v>133.63</v>
      </c>
      <c r="AE47" s="75">
        <v>337.62</v>
      </c>
      <c r="AF47" s="75">
        <v>4080.05</v>
      </c>
      <c r="AG47" s="75">
        <v>267.86</v>
      </c>
      <c r="AH47" s="75">
        <v>81.599999999999994</v>
      </c>
      <c r="AI47" s="70">
        <v>47.96</v>
      </c>
      <c r="AJ47" s="70">
        <v>545.49</v>
      </c>
      <c r="AK47" s="70">
        <v>212.11</v>
      </c>
      <c r="AL47" s="70">
        <v>225.44</v>
      </c>
      <c r="AM47" s="70">
        <v>219.03679772204578</v>
      </c>
      <c r="AN47" s="71" t="s">
        <v>651</v>
      </c>
      <c r="AO47" s="71"/>
      <c r="AP47" s="71"/>
      <c r="AQ47" s="71"/>
    </row>
    <row r="48" spans="1:43" s="75" customFormat="1" x14ac:dyDescent="0.2">
      <c r="A48" s="70" t="s">
        <v>469</v>
      </c>
      <c r="B48" s="70" t="s">
        <v>470</v>
      </c>
      <c r="C48" s="70">
        <v>15</v>
      </c>
      <c r="D48" s="70">
        <v>0</v>
      </c>
      <c r="E48" s="70">
        <v>266.67</v>
      </c>
      <c r="F48" s="70">
        <v>282.81</v>
      </c>
      <c r="G48" s="70">
        <v>4000.05</v>
      </c>
      <c r="H48" s="70">
        <v>0</v>
      </c>
      <c r="I48" s="70">
        <v>0</v>
      </c>
      <c r="J48" s="70">
        <v>4000.05</v>
      </c>
      <c r="K48" s="70">
        <v>313.87</v>
      </c>
      <c r="L48" s="70">
        <v>0</v>
      </c>
      <c r="M48" s="70">
        <v>102.51</v>
      </c>
      <c r="N48" s="70">
        <v>0</v>
      </c>
      <c r="O48" s="70">
        <v>0</v>
      </c>
      <c r="P48" s="70"/>
      <c r="Q48" s="70">
        <v>0</v>
      </c>
      <c r="R48" s="70">
        <v>0</v>
      </c>
      <c r="S48" s="70">
        <v>0</v>
      </c>
      <c r="T48" s="70">
        <v>7.0000000000000007E-2</v>
      </c>
      <c r="U48" s="70">
        <v>416.45</v>
      </c>
      <c r="V48" s="70">
        <v>3583.6</v>
      </c>
      <c r="W48" s="70">
        <v>26.51</v>
      </c>
      <c r="X48" s="70">
        <v>47.72</v>
      </c>
      <c r="Y48" s="70">
        <v>28.28</v>
      </c>
      <c r="Z48" s="70">
        <v>0</v>
      </c>
      <c r="AA48" s="70">
        <v>313.87</v>
      </c>
      <c r="AC48" s="70">
        <v>74.239999999999995</v>
      </c>
      <c r="AD48" s="75">
        <v>133.63</v>
      </c>
      <c r="AE48" s="75">
        <v>337.62</v>
      </c>
      <c r="AF48" s="75">
        <v>4000.05</v>
      </c>
      <c r="AG48" s="75">
        <v>267.86</v>
      </c>
      <c r="AH48" s="75">
        <v>80</v>
      </c>
      <c r="AI48" s="70">
        <v>47.96</v>
      </c>
      <c r="AJ48" s="70">
        <v>545.49</v>
      </c>
      <c r="AK48" s="70">
        <v>212.11</v>
      </c>
      <c r="AL48" s="70">
        <v>225.44</v>
      </c>
      <c r="AM48" s="70">
        <v>219.03679772204578</v>
      </c>
      <c r="AN48" s="71" t="s">
        <v>651</v>
      </c>
      <c r="AO48" s="71"/>
      <c r="AP48" s="71"/>
      <c r="AQ48" s="71"/>
    </row>
    <row r="49" spans="1:43" s="75" customFormat="1" x14ac:dyDescent="0.2">
      <c r="A49" s="70" t="s">
        <v>471</v>
      </c>
      <c r="B49" s="70" t="s">
        <v>472</v>
      </c>
      <c r="C49" s="70">
        <v>15</v>
      </c>
      <c r="D49" s="70">
        <v>0</v>
      </c>
      <c r="E49" s="70">
        <v>200</v>
      </c>
      <c r="F49" s="70">
        <v>212.11</v>
      </c>
      <c r="G49" s="70">
        <v>3000</v>
      </c>
      <c r="H49" s="70">
        <v>0</v>
      </c>
      <c r="I49" s="70">
        <v>0</v>
      </c>
      <c r="J49" s="70">
        <v>3000</v>
      </c>
      <c r="K49" s="70">
        <v>59.69</v>
      </c>
      <c r="L49" s="70">
        <v>0</v>
      </c>
      <c r="M49" s="70">
        <v>75.56</v>
      </c>
      <c r="N49" s="70">
        <v>0</v>
      </c>
      <c r="O49" s="70">
        <v>0</v>
      </c>
      <c r="P49" s="70"/>
      <c r="Q49" s="70">
        <v>0</v>
      </c>
      <c r="R49" s="70">
        <v>0</v>
      </c>
      <c r="S49" s="70">
        <v>0</v>
      </c>
      <c r="T49" s="70">
        <v>-0.05</v>
      </c>
      <c r="U49" s="70">
        <v>135.19999999999999</v>
      </c>
      <c r="V49" s="70">
        <v>2864.8</v>
      </c>
      <c r="W49" s="70">
        <v>19.89</v>
      </c>
      <c r="X49" s="70">
        <v>35.79</v>
      </c>
      <c r="Y49" s="70">
        <v>19.88</v>
      </c>
      <c r="Z49" s="80">
        <v>-145.38</v>
      </c>
      <c r="AA49" s="70">
        <v>205.07</v>
      </c>
      <c r="AC49" s="70">
        <v>55.68</v>
      </c>
      <c r="AD49" s="75">
        <v>100.22</v>
      </c>
      <c r="AE49" s="75">
        <v>314.22000000000003</v>
      </c>
      <c r="AF49" s="75">
        <v>3000</v>
      </c>
      <c r="AG49" s="75">
        <v>246.65</v>
      </c>
      <c r="AH49" s="75">
        <v>60</v>
      </c>
      <c r="AI49" s="70">
        <v>35.97</v>
      </c>
      <c r="AJ49" s="70">
        <v>470.12</v>
      </c>
      <c r="AK49" s="70">
        <v>159.08000000000001</v>
      </c>
      <c r="AL49" s="70">
        <v>214.84</v>
      </c>
      <c r="AM49" s="70">
        <v>164.27554484722373</v>
      </c>
      <c r="AN49" s="71" t="s">
        <v>652</v>
      </c>
      <c r="AO49" s="71"/>
      <c r="AP49" s="71"/>
      <c r="AQ49" s="71"/>
    </row>
    <row r="50" spans="1:43" s="75" customFormat="1" x14ac:dyDescent="0.2">
      <c r="A50" s="70" t="s">
        <v>475</v>
      </c>
      <c r="B50" s="70" t="s">
        <v>476</v>
      </c>
      <c r="C50" s="70">
        <v>15</v>
      </c>
      <c r="D50" s="70">
        <v>0</v>
      </c>
      <c r="E50" s="70">
        <v>266.67</v>
      </c>
      <c r="F50" s="70">
        <v>282.81</v>
      </c>
      <c r="G50" s="70">
        <v>4000</v>
      </c>
      <c r="H50" s="70">
        <v>0</v>
      </c>
      <c r="I50" s="70">
        <v>0</v>
      </c>
      <c r="J50" s="70">
        <v>4000</v>
      </c>
      <c r="K50" s="70">
        <v>313.87</v>
      </c>
      <c r="L50" s="70">
        <v>0</v>
      </c>
      <c r="M50" s="70">
        <v>102.51</v>
      </c>
      <c r="N50" s="70">
        <v>0</v>
      </c>
      <c r="O50" s="70">
        <v>0</v>
      </c>
      <c r="P50" s="70"/>
      <c r="Q50" s="70">
        <v>0</v>
      </c>
      <c r="R50" s="70">
        <v>0</v>
      </c>
      <c r="S50" s="70">
        <v>0</v>
      </c>
      <c r="T50" s="80">
        <v>0.02</v>
      </c>
      <c r="U50" s="70">
        <v>416.4</v>
      </c>
      <c r="V50" s="70">
        <v>3583.6</v>
      </c>
      <c r="W50" s="70">
        <v>26.51</v>
      </c>
      <c r="X50" s="70">
        <v>47.72</v>
      </c>
      <c r="Y50" s="70">
        <v>28.28</v>
      </c>
      <c r="Z50" s="80">
        <v>0</v>
      </c>
      <c r="AA50" s="70">
        <v>313.87</v>
      </c>
      <c r="AC50" s="70">
        <v>74.239999999999995</v>
      </c>
      <c r="AD50" s="75">
        <v>133.63</v>
      </c>
      <c r="AE50" s="75">
        <v>337.62</v>
      </c>
      <c r="AF50" s="75">
        <v>4000</v>
      </c>
      <c r="AG50" s="75">
        <v>267.86</v>
      </c>
      <c r="AH50" s="75">
        <v>80</v>
      </c>
      <c r="AI50" s="70">
        <v>47.96</v>
      </c>
      <c r="AJ50" s="70">
        <v>545.49</v>
      </c>
      <c r="AK50" s="70">
        <v>212.11</v>
      </c>
      <c r="AL50" s="70">
        <v>225.44</v>
      </c>
      <c r="AM50" s="70">
        <v>219.03679772204578</v>
      </c>
      <c r="AN50" s="81" t="s">
        <v>652</v>
      </c>
      <c r="AO50" s="71"/>
      <c r="AP50" s="71"/>
      <c r="AQ50" s="71"/>
    </row>
    <row r="51" spans="1:43" s="75" customFormat="1" x14ac:dyDescent="0.2">
      <c r="A51" s="70" t="s">
        <v>477</v>
      </c>
      <c r="B51" s="70" t="s">
        <v>478</v>
      </c>
      <c r="C51" s="70">
        <v>15</v>
      </c>
      <c r="D51" s="70">
        <v>0</v>
      </c>
      <c r="E51" s="70">
        <v>341.35</v>
      </c>
      <c r="F51" s="70">
        <v>357.25</v>
      </c>
      <c r="G51" s="70">
        <v>5120.25</v>
      </c>
      <c r="H51" s="70">
        <v>0</v>
      </c>
      <c r="I51" s="70">
        <v>0</v>
      </c>
      <c r="J51" s="70">
        <v>5120.25</v>
      </c>
      <c r="K51" s="70">
        <v>483.19</v>
      </c>
      <c r="L51" s="70">
        <v>0</v>
      </c>
      <c r="M51" s="70">
        <v>133.51</v>
      </c>
      <c r="N51" s="70">
        <v>0</v>
      </c>
      <c r="O51" s="70">
        <v>0</v>
      </c>
      <c r="P51" s="70"/>
      <c r="Q51" s="70">
        <v>0</v>
      </c>
      <c r="R51" s="70">
        <v>0</v>
      </c>
      <c r="S51" s="70">
        <v>0</v>
      </c>
      <c r="T51" s="80">
        <v>-0.05</v>
      </c>
      <c r="U51" s="70">
        <v>616.65</v>
      </c>
      <c r="V51" s="70">
        <v>4503.6000000000004</v>
      </c>
      <c r="W51" s="70">
        <v>33.49</v>
      </c>
      <c r="X51" s="70">
        <v>60.29</v>
      </c>
      <c r="Y51" s="70">
        <v>39.729999999999997</v>
      </c>
      <c r="Z51" s="70">
        <v>0</v>
      </c>
      <c r="AA51" s="70">
        <v>483.19</v>
      </c>
      <c r="AC51" s="70">
        <v>93.78</v>
      </c>
      <c r="AD51" s="75">
        <v>168.8</v>
      </c>
      <c r="AE51" s="75">
        <v>369.44</v>
      </c>
      <c r="AF51" s="75">
        <v>5120.25</v>
      </c>
      <c r="AG51" s="75">
        <v>290.19</v>
      </c>
      <c r="AH51" s="75">
        <v>102.41</v>
      </c>
      <c r="AI51" s="70">
        <v>60.59</v>
      </c>
      <c r="AJ51" s="70">
        <v>632.02</v>
      </c>
      <c r="AK51" s="70">
        <v>267.94</v>
      </c>
      <c r="AL51" s="70">
        <v>236.61</v>
      </c>
      <c r="AM51" s="70">
        <v>280.3772861679991</v>
      </c>
      <c r="AN51" s="71" t="s">
        <v>652</v>
      </c>
      <c r="AO51" s="71"/>
      <c r="AP51" s="71"/>
      <c r="AQ51" s="71"/>
    </row>
    <row r="52" spans="1:43" s="75" customFormat="1" x14ac:dyDescent="0.2">
      <c r="A52" s="70" t="s">
        <v>479</v>
      </c>
      <c r="B52" s="70" t="s">
        <v>480</v>
      </c>
      <c r="C52" s="70">
        <v>15</v>
      </c>
      <c r="D52" s="70">
        <v>0</v>
      </c>
      <c r="E52" s="70">
        <v>266.67</v>
      </c>
      <c r="F52" s="70">
        <v>282.81</v>
      </c>
      <c r="G52" s="70">
        <v>4000</v>
      </c>
      <c r="H52" s="70">
        <v>0</v>
      </c>
      <c r="I52" s="70">
        <v>0</v>
      </c>
      <c r="J52" s="70">
        <v>4000</v>
      </c>
      <c r="K52" s="70">
        <v>313.87</v>
      </c>
      <c r="L52" s="70">
        <v>0</v>
      </c>
      <c r="M52" s="70">
        <v>102.51</v>
      </c>
      <c r="N52" s="70">
        <v>0</v>
      </c>
      <c r="O52" s="70">
        <v>0</v>
      </c>
      <c r="P52" s="70"/>
      <c r="Q52" s="70">
        <v>0</v>
      </c>
      <c r="R52" s="70">
        <v>1025.44</v>
      </c>
      <c r="S52" s="70">
        <v>0</v>
      </c>
      <c r="T52" s="70">
        <v>-0.02</v>
      </c>
      <c r="U52" s="70">
        <v>1441.8</v>
      </c>
      <c r="V52" s="70">
        <v>2558.1999999999998</v>
      </c>
      <c r="W52" s="70">
        <v>26.51</v>
      </c>
      <c r="X52" s="70">
        <v>47.72</v>
      </c>
      <c r="Y52" s="70">
        <v>28.28</v>
      </c>
      <c r="Z52" s="70">
        <v>0</v>
      </c>
      <c r="AA52" s="70">
        <v>313.87</v>
      </c>
      <c r="AC52" s="70">
        <v>74.239999999999995</v>
      </c>
      <c r="AD52" s="75">
        <v>133.63</v>
      </c>
      <c r="AE52" s="75">
        <v>337.62</v>
      </c>
      <c r="AF52" s="75">
        <v>4000</v>
      </c>
      <c r="AG52" s="75">
        <v>267.86</v>
      </c>
      <c r="AH52" s="75">
        <v>80</v>
      </c>
      <c r="AI52" s="70">
        <v>47.96</v>
      </c>
      <c r="AJ52" s="70">
        <v>545.49</v>
      </c>
      <c r="AK52" s="70">
        <v>212.11</v>
      </c>
      <c r="AL52" s="70">
        <v>225.44</v>
      </c>
      <c r="AM52" s="70">
        <v>219.03679772204578</v>
      </c>
      <c r="AN52" s="71" t="s">
        <v>651</v>
      </c>
      <c r="AO52" s="71"/>
      <c r="AP52" s="71"/>
      <c r="AQ52" s="71"/>
    </row>
    <row r="53" spans="1:43" s="75" customFormat="1" x14ac:dyDescent="0.2">
      <c r="A53" s="70" t="s">
        <v>481</v>
      </c>
      <c r="B53" s="70" t="s">
        <v>482</v>
      </c>
      <c r="C53" s="70">
        <v>15</v>
      </c>
      <c r="D53" s="70">
        <v>0</v>
      </c>
      <c r="E53" s="70">
        <v>333.33</v>
      </c>
      <c r="F53" s="70">
        <v>353.52</v>
      </c>
      <c r="G53" s="70">
        <v>5000</v>
      </c>
      <c r="H53" s="70">
        <v>0</v>
      </c>
      <c r="I53" s="70">
        <v>0</v>
      </c>
      <c r="J53" s="70">
        <v>5000</v>
      </c>
      <c r="K53" s="70">
        <v>461.64</v>
      </c>
      <c r="L53" s="70">
        <v>0</v>
      </c>
      <c r="M53" s="70">
        <v>131.94999999999999</v>
      </c>
      <c r="N53" s="70">
        <v>0</v>
      </c>
      <c r="O53" s="70">
        <v>0</v>
      </c>
      <c r="P53" s="70"/>
      <c r="Q53" s="70">
        <v>0</v>
      </c>
      <c r="R53" s="70">
        <v>0</v>
      </c>
      <c r="S53" s="70">
        <v>0</v>
      </c>
      <c r="T53" s="70">
        <v>0.01</v>
      </c>
      <c r="U53" s="70">
        <v>593.6</v>
      </c>
      <c r="V53" s="70">
        <v>4406.3999999999996</v>
      </c>
      <c r="W53" s="70">
        <v>33.14</v>
      </c>
      <c r="X53" s="70">
        <v>59.66</v>
      </c>
      <c r="Y53" s="70">
        <v>39.15</v>
      </c>
      <c r="Z53" s="70">
        <v>0</v>
      </c>
      <c r="AA53" s="70">
        <v>461.64</v>
      </c>
      <c r="AC53" s="70">
        <v>92.8</v>
      </c>
      <c r="AD53" s="75">
        <v>167.04</v>
      </c>
      <c r="AE53" s="75">
        <v>367.85</v>
      </c>
      <c r="AF53" s="75">
        <v>5000</v>
      </c>
      <c r="AG53" s="75">
        <v>289.07</v>
      </c>
      <c r="AH53" s="75">
        <v>100</v>
      </c>
      <c r="AI53" s="70">
        <v>59.96</v>
      </c>
      <c r="AJ53" s="70">
        <v>627.69000000000005</v>
      </c>
      <c r="AK53" s="70">
        <v>265.14</v>
      </c>
      <c r="AL53" s="70">
        <v>236.05</v>
      </c>
      <c r="AM53" s="70">
        <v>273.78983681962541</v>
      </c>
      <c r="AN53" s="71" t="s">
        <v>651</v>
      </c>
      <c r="AO53" s="71"/>
      <c r="AP53" s="71"/>
      <c r="AQ53" s="71"/>
    </row>
    <row r="54" spans="1:43" s="75" customFormat="1" x14ac:dyDescent="0.2">
      <c r="A54" s="70" t="s">
        <v>483</v>
      </c>
      <c r="B54" s="70" t="s">
        <v>484</v>
      </c>
      <c r="C54" s="70">
        <v>15</v>
      </c>
      <c r="D54" s="70">
        <v>0</v>
      </c>
      <c r="E54" s="70">
        <v>266.67</v>
      </c>
      <c r="F54" s="70">
        <v>282.81</v>
      </c>
      <c r="G54" s="70">
        <v>4000</v>
      </c>
      <c r="H54" s="70">
        <v>0</v>
      </c>
      <c r="I54" s="70">
        <v>0</v>
      </c>
      <c r="J54" s="70">
        <v>4000</v>
      </c>
      <c r="K54" s="70">
        <v>313.87</v>
      </c>
      <c r="L54" s="70">
        <v>0</v>
      </c>
      <c r="M54" s="70">
        <v>102.51</v>
      </c>
      <c r="N54" s="70">
        <v>0</v>
      </c>
      <c r="O54" s="70">
        <v>0</v>
      </c>
      <c r="P54" s="70"/>
      <c r="Q54" s="70">
        <v>0</v>
      </c>
      <c r="R54" s="70">
        <v>0</v>
      </c>
      <c r="S54" s="70">
        <v>0</v>
      </c>
      <c r="T54" s="70">
        <v>0.02</v>
      </c>
      <c r="U54" s="70">
        <v>416.4</v>
      </c>
      <c r="V54" s="70">
        <v>3583.6</v>
      </c>
      <c r="W54" s="70">
        <v>26.51</v>
      </c>
      <c r="X54" s="70">
        <v>47.72</v>
      </c>
      <c r="Y54" s="70">
        <v>28.28</v>
      </c>
      <c r="Z54" s="70">
        <v>0</v>
      </c>
      <c r="AA54" s="70">
        <v>313.87</v>
      </c>
      <c r="AC54" s="70">
        <v>74.239999999999995</v>
      </c>
      <c r="AD54" s="75">
        <v>133.63</v>
      </c>
      <c r="AE54" s="75">
        <v>337.62</v>
      </c>
      <c r="AF54" s="75">
        <v>4000</v>
      </c>
      <c r="AG54" s="75">
        <v>267.86</v>
      </c>
      <c r="AH54" s="75">
        <v>80</v>
      </c>
      <c r="AI54" s="70">
        <v>47.96</v>
      </c>
      <c r="AJ54" s="70">
        <v>545.49</v>
      </c>
      <c r="AK54" s="70">
        <v>212.11</v>
      </c>
      <c r="AL54" s="70">
        <v>225.44</v>
      </c>
      <c r="AM54" s="70">
        <v>219.03679772204578</v>
      </c>
      <c r="AN54" s="71" t="s">
        <v>651</v>
      </c>
      <c r="AO54" s="71"/>
      <c r="AP54" s="71"/>
      <c r="AQ54" s="71"/>
    </row>
    <row r="55" spans="1:43" s="75" customFormat="1" x14ac:dyDescent="0.2">
      <c r="A55" s="70" t="s">
        <v>485</v>
      </c>
      <c r="B55" s="70" t="s">
        <v>486</v>
      </c>
      <c r="C55" s="70">
        <v>15</v>
      </c>
      <c r="D55" s="70">
        <v>0</v>
      </c>
      <c r="E55" s="70">
        <v>318.33</v>
      </c>
      <c r="F55" s="70">
        <v>337.61</v>
      </c>
      <c r="G55" s="70">
        <v>4775</v>
      </c>
      <c r="H55" s="70">
        <v>0</v>
      </c>
      <c r="I55" s="70">
        <v>0</v>
      </c>
      <c r="J55" s="70">
        <v>4775</v>
      </c>
      <c r="K55" s="70">
        <v>424.67</v>
      </c>
      <c r="L55" s="70">
        <v>0</v>
      </c>
      <c r="M55" s="70">
        <v>125.32</v>
      </c>
      <c r="N55" s="70">
        <v>1532.64</v>
      </c>
      <c r="O55" s="70">
        <v>0</v>
      </c>
      <c r="P55" s="70"/>
      <c r="Q55" s="70">
        <v>0</v>
      </c>
      <c r="R55" s="70">
        <v>0</v>
      </c>
      <c r="S55" s="70">
        <v>0</v>
      </c>
      <c r="T55" s="80">
        <v>-0.03</v>
      </c>
      <c r="U55" s="70">
        <v>2082.6</v>
      </c>
      <c r="V55" s="70">
        <v>2692.4</v>
      </c>
      <c r="W55" s="70">
        <v>31.65</v>
      </c>
      <c r="X55" s="70">
        <v>56.97</v>
      </c>
      <c r="Y55" s="70">
        <v>36.700000000000003</v>
      </c>
      <c r="Z55" s="70">
        <v>0</v>
      </c>
      <c r="AA55" s="70">
        <v>424.67</v>
      </c>
      <c r="AC55" s="70">
        <v>88.62</v>
      </c>
      <c r="AD55" s="75">
        <v>159.52000000000001</v>
      </c>
      <c r="AE55" s="75">
        <v>361.04</v>
      </c>
      <c r="AF55" s="75">
        <v>4775</v>
      </c>
      <c r="AG55" s="75">
        <v>284.3</v>
      </c>
      <c r="AH55" s="75">
        <v>95.5</v>
      </c>
      <c r="AI55" s="70">
        <v>57.26</v>
      </c>
      <c r="AJ55" s="70">
        <v>609.17999999999995</v>
      </c>
      <c r="AK55" s="70">
        <v>253.21</v>
      </c>
      <c r="AL55" s="70">
        <v>233.66000000000003</v>
      </c>
      <c r="AM55" s="70">
        <v>261.46917095608364</v>
      </c>
      <c r="AN55" s="71" t="s">
        <v>651</v>
      </c>
      <c r="AO55" s="71"/>
      <c r="AP55" s="71"/>
      <c r="AQ55" s="71"/>
    </row>
    <row r="56" spans="1:43" s="75" customFormat="1" x14ac:dyDescent="0.2">
      <c r="A56" s="70" t="s">
        <v>487</v>
      </c>
      <c r="B56" s="70" t="s">
        <v>488</v>
      </c>
      <c r="C56" s="70">
        <v>15</v>
      </c>
      <c r="D56" s="70">
        <v>0</v>
      </c>
      <c r="E56" s="70">
        <v>250</v>
      </c>
      <c r="F56" s="70">
        <v>265.14</v>
      </c>
      <c r="G56" s="70">
        <v>3750</v>
      </c>
      <c r="H56" s="70">
        <v>0</v>
      </c>
      <c r="I56" s="70">
        <v>0</v>
      </c>
      <c r="J56" s="70">
        <v>3750</v>
      </c>
      <c r="K56" s="70">
        <v>286.67</v>
      </c>
      <c r="L56" s="70">
        <v>0</v>
      </c>
      <c r="M56" s="70">
        <v>95.15</v>
      </c>
      <c r="N56" s="70">
        <v>0</v>
      </c>
      <c r="O56" s="70">
        <v>0</v>
      </c>
      <c r="P56" s="70"/>
      <c r="Q56" s="70">
        <v>0</v>
      </c>
      <c r="R56" s="70">
        <v>247.2</v>
      </c>
      <c r="S56" s="70">
        <v>0</v>
      </c>
      <c r="T56" s="70">
        <v>-0.02</v>
      </c>
      <c r="U56" s="70">
        <v>629</v>
      </c>
      <c r="V56" s="70">
        <v>3121</v>
      </c>
      <c r="W56" s="70">
        <v>24.86</v>
      </c>
      <c r="X56" s="70">
        <v>44.74</v>
      </c>
      <c r="Y56" s="70">
        <v>25.55</v>
      </c>
      <c r="Z56" s="70">
        <v>0</v>
      </c>
      <c r="AA56" s="70">
        <v>286.67</v>
      </c>
      <c r="AC56" s="70">
        <v>69.599999999999994</v>
      </c>
      <c r="AD56" s="75">
        <v>125.28</v>
      </c>
      <c r="AE56" s="75">
        <v>330.07</v>
      </c>
      <c r="AF56" s="75">
        <v>3750</v>
      </c>
      <c r="AG56" s="75">
        <v>262.56</v>
      </c>
      <c r="AH56" s="75">
        <v>75</v>
      </c>
      <c r="AI56" s="70">
        <v>44.97</v>
      </c>
      <c r="AJ56" s="70">
        <v>524.95000000000005</v>
      </c>
      <c r="AK56" s="70">
        <v>198.85</v>
      </c>
      <c r="AL56" s="70">
        <v>222.79000000000002</v>
      </c>
      <c r="AM56" s="70">
        <v>205.34443105902966</v>
      </c>
      <c r="AN56" s="71" t="s">
        <v>651</v>
      </c>
      <c r="AO56" s="71"/>
      <c r="AP56" s="71"/>
      <c r="AQ56" s="71"/>
    </row>
    <row r="57" spans="1:43" s="75" customFormat="1" x14ac:dyDescent="0.2">
      <c r="A57" s="70" t="s">
        <v>489</v>
      </c>
      <c r="B57" s="70" t="s">
        <v>490</v>
      </c>
      <c r="C57" s="70">
        <v>15</v>
      </c>
      <c r="D57" s="70">
        <v>0</v>
      </c>
      <c r="E57" s="70">
        <v>283.33</v>
      </c>
      <c r="F57" s="70">
        <v>300.49</v>
      </c>
      <c r="G57" s="70">
        <v>4250</v>
      </c>
      <c r="H57" s="70">
        <v>0</v>
      </c>
      <c r="I57" s="70">
        <v>934.98</v>
      </c>
      <c r="J57" s="70">
        <v>5184.9799999999996</v>
      </c>
      <c r="K57" s="70">
        <v>341.07</v>
      </c>
      <c r="L57" s="70">
        <v>0</v>
      </c>
      <c r="M57" s="70">
        <v>109.87</v>
      </c>
      <c r="N57" s="70">
        <v>0</v>
      </c>
      <c r="O57" s="70">
        <v>0</v>
      </c>
      <c r="P57" s="70"/>
      <c r="Q57" s="70">
        <v>0</v>
      </c>
      <c r="R57" s="70">
        <v>0</v>
      </c>
      <c r="S57" s="70">
        <v>0</v>
      </c>
      <c r="T57" s="80">
        <v>0.04</v>
      </c>
      <c r="U57" s="70">
        <v>450.98</v>
      </c>
      <c r="V57" s="70">
        <v>4734</v>
      </c>
      <c r="W57" s="70">
        <v>28.17</v>
      </c>
      <c r="X57" s="70">
        <v>50.71</v>
      </c>
      <c r="Y57" s="70">
        <v>30.99</v>
      </c>
      <c r="Z57" s="70">
        <v>0</v>
      </c>
      <c r="AA57" s="70">
        <v>341.07</v>
      </c>
      <c r="AC57" s="70">
        <v>78.88</v>
      </c>
      <c r="AD57" s="75">
        <v>141.97999999999999</v>
      </c>
      <c r="AE57" s="75">
        <v>345.18</v>
      </c>
      <c r="AF57" s="75">
        <v>5184.9799999999996</v>
      </c>
      <c r="AG57" s="75">
        <v>273.17</v>
      </c>
      <c r="AH57" s="75">
        <v>103.7</v>
      </c>
      <c r="AI57" s="70">
        <v>50.96</v>
      </c>
      <c r="AJ57" s="70">
        <v>566.04</v>
      </c>
      <c r="AK57" s="70">
        <v>225.37</v>
      </c>
      <c r="AL57" s="70">
        <v>228.09</v>
      </c>
      <c r="AM57" s="70">
        <v>232.72095060781947</v>
      </c>
      <c r="AN57" s="71" t="s">
        <v>651</v>
      </c>
      <c r="AO57" s="71"/>
      <c r="AP57" s="71"/>
      <c r="AQ57" s="71"/>
    </row>
    <row r="58" spans="1:43" s="75" customFormat="1" x14ac:dyDescent="0.2">
      <c r="A58" s="70" t="s">
        <v>574</v>
      </c>
      <c r="B58" s="70" t="s">
        <v>575</v>
      </c>
      <c r="C58" s="70">
        <v>15</v>
      </c>
      <c r="D58" s="70">
        <v>0</v>
      </c>
      <c r="E58" s="70">
        <v>266.67</v>
      </c>
      <c r="F58" s="70">
        <v>278.72000000000003</v>
      </c>
      <c r="G58" s="70">
        <v>4000.05</v>
      </c>
      <c r="H58" s="70">
        <v>0</v>
      </c>
      <c r="I58" s="70">
        <v>0</v>
      </c>
      <c r="J58" s="70">
        <v>4000.05</v>
      </c>
      <c r="K58" s="70">
        <v>313.87</v>
      </c>
      <c r="L58" s="70">
        <v>0</v>
      </c>
      <c r="M58" s="70">
        <v>100.81</v>
      </c>
      <c r="N58" s="70">
        <v>0</v>
      </c>
      <c r="O58" s="70">
        <v>0</v>
      </c>
      <c r="P58" s="70"/>
      <c r="Q58" s="70">
        <v>0</v>
      </c>
      <c r="R58" s="70">
        <v>0</v>
      </c>
      <c r="S58" s="70">
        <v>0</v>
      </c>
      <c r="T58" s="70">
        <v>-0.03</v>
      </c>
      <c r="U58" s="70">
        <v>414.65</v>
      </c>
      <c r="V58" s="70">
        <v>3585.4</v>
      </c>
      <c r="W58" s="70">
        <v>26.13</v>
      </c>
      <c r="X58" s="70">
        <v>47.03</v>
      </c>
      <c r="Y58" s="70">
        <v>27.65</v>
      </c>
      <c r="Z58" s="70">
        <v>0</v>
      </c>
      <c r="AA58" s="70">
        <v>313.87</v>
      </c>
      <c r="AC58" s="70">
        <v>73.17</v>
      </c>
      <c r="AD58" s="75">
        <v>131.69999999999999</v>
      </c>
      <c r="AE58" s="75">
        <v>335.88</v>
      </c>
      <c r="AF58" s="75">
        <v>4000.05</v>
      </c>
      <c r="AG58" s="75">
        <v>266.64</v>
      </c>
      <c r="AH58" s="75">
        <v>80</v>
      </c>
      <c r="AI58" s="70">
        <v>47.27</v>
      </c>
      <c r="AJ58" s="70">
        <v>540.75</v>
      </c>
      <c r="AK58" s="70">
        <v>209.04</v>
      </c>
      <c r="AL58" s="70">
        <v>224.83</v>
      </c>
      <c r="AM58" s="70">
        <v>219.03679772204578</v>
      </c>
      <c r="AN58" s="71" t="s">
        <v>651</v>
      </c>
      <c r="AO58" s="71"/>
      <c r="AP58" s="71"/>
      <c r="AQ58" s="71"/>
    </row>
    <row r="59" spans="1:43" s="75" customFormat="1" x14ac:dyDescent="0.2">
      <c r="A59" s="70" t="s">
        <v>493</v>
      </c>
      <c r="B59" s="70" t="s">
        <v>494</v>
      </c>
      <c r="C59" s="70">
        <v>15</v>
      </c>
      <c r="D59" s="70">
        <v>0</v>
      </c>
      <c r="E59" s="70">
        <v>283.33</v>
      </c>
      <c r="F59" s="70">
        <v>300.49</v>
      </c>
      <c r="G59" s="70">
        <v>4250</v>
      </c>
      <c r="H59" s="70">
        <v>0</v>
      </c>
      <c r="I59" s="70">
        <v>0</v>
      </c>
      <c r="J59" s="70">
        <v>4250</v>
      </c>
      <c r="K59" s="70">
        <v>341.07</v>
      </c>
      <c r="L59" s="70">
        <v>0</v>
      </c>
      <c r="M59" s="70">
        <v>109.87</v>
      </c>
      <c r="N59" s="70">
        <v>0</v>
      </c>
      <c r="O59" s="70">
        <v>553.04999999999995</v>
      </c>
      <c r="P59" s="70"/>
      <c r="Q59" s="70">
        <v>0</v>
      </c>
      <c r="R59" s="70">
        <v>500</v>
      </c>
      <c r="S59" s="70">
        <v>0</v>
      </c>
      <c r="T59" s="80">
        <v>0.01</v>
      </c>
      <c r="U59" s="70">
        <v>1504</v>
      </c>
      <c r="V59" s="70">
        <v>2746</v>
      </c>
      <c r="W59" s="70">
        <v>28.17</v>
      </c>
      <c r="X59" s="70">
        <v>50.71</v>
      </c>
      <c r="Y59" s="70">
        <v>30.99</v>
      </c>
      <c r="Z59" s="70">
        <v>0</v>
      </c>
      <c r="AA59" s="70">
        <v>341.07</v>
      </c>
      <c r="AC59" s="70">
        <v>78.88</v>
      </c>
      <c r="AD59" s="75">
        <v>141.97999999999999</v>
      </c>
      <c r="AE59" s="75">
        <v>345.18</v>
      </c>
      <c r="AF59" s="75">
        <v>4250</v>
      </c>
      <c r="AG59" s="75">
        <v>273.17</v>
      </c>
      <c r="AH59" s="75">
        <v>85</v>
      </c>
      <c r="AI59" s="70">
        <v>50.96</v>
      </c>
      <c r="AJ59" s="70">
        <v>566.04</v>
      </c>
      <c r="AK59" s="70">
        <v>225.37</v>
      </c>
      <c r="AL59" s="70">
        <v>228.09</v>
      </c>
      <c r="AM59" s="70">
        <v>232.72095060781947</v>
      </c>
      <c r="AN59" s="71" t="s">
        <v>651</v>
      </c>
      <c r="AO59" s="71"/>
      <c r="AP59" s="71"/>
      <c r="AQ59" s="71"/>
    </row>
    <row r="60" spans="1:43" s="75" customFormat="1" x14ac:dyDescent="0.2">
      <c r="A60" s="70" t="s">
        <v>498</v>
      </c>
      <c r="B60" s="70" t="s">
        <v>499</v>
      </c>
      <c r="C60" s="70">
        <v>15</v>
      </c>
      <c r="D60" s="70">
        <v>0</v>
      </c>
      <c r="E60" s="70">
        <v>266.67</v>
      </c>
      <c r="F60" s="70">
        <v>282.81</v>
      </c>
      <c r="G60" s="70">
        <v>4000.05</v>
      </c>
      <c r="H60" s="70">
        <v>0</v>
      </c>
      <c r="I60" s="70">
        <v>0</v>
      </c>
      <c r="J60" s="70">
        <v>4000.05</v>
      </c>
      <c r="K60" s="70">
        <v>313.87</v>
      </c>
      <c r="L60" s="70">
        <v>0</v>
      </c>
      <c r="M60" s="70">
        <v>102.51</v>
      </c>
      <c r="N60" s="70">
        <v>0</v>
      </c>
      <c r="O60" s="70">
        <v>0</v>
      </c>
      <c r="P60" s="70"/>
      <c r="Q60" s="70">
        <v>0</v>
      </c>
      <c r="R60" s="70">
        <v>0</v>
      </c>
      <c r="S60" s="70">
        <v>0</v>
      </c>
      <c r="T60" s="80">
        <v>7.0000000000000007E-2</v>
      </c>
      <c r="U60" s="70">
        <v>416.45</v>
      </c>
      <c r="V60" s="70">
        <v>3583.6</v>
      </c>
      <c r="W60" s="70">
        <v>26.51</v>
      </c>
      <c r="X60" s="70">
        <v>47.72</v>
      </c>
      <c r="Y60" s="70">
        <v>28.28</v>
      </c>
      <c r="Z60" s="70">
        <v>0</v>
      </c>
      <c r="AA60" s="70">
        <v>313.87</v>
      </c>
      <c r="AC60" s="70">
        <v>74.239999999999995</v>
      </c>
      <c r="AD60" s="75">
        <v>133.63</v>
      </c>
      <c r="AE60" s="75">
        <v>337.62</v>
      </c>
      <c r="AF60" s="75">
        <v>4000.05</v>
      </c>
      <c r="AG60" s="75">
        <v>267.86</v>
      </c>
      <c r="AH60" s="75">
        <v>80</v>
      </c>
      <c r="AI60" s="70">
        <v>47.96</v>
      </c>
      <c r="AJ60" s="70">
        <v>545.49</v>
      </c>
      <c r="AK60" s="70">
        <v>212.11</v>
      </c>
      <c r="AL60" s="70">
        <v>225.44</v>
      </c>
      <c r="AM60" s="70">
        <v>219.03679772204578</v>
      </c>
      <c r="AN60" s="71" t="s">
        <v>651</v>
      </c>
      <c r="AO60" s="71"/>
      <c r="AP60" s="71"/>
      <c r="AQ60" s="71"/>
    </row>
    <row r="61" spans="1:43" s="75" customFormat="1" x14ac:dyDescent="0.2">
      <c r="A61" s="70" t="s">
        <v>502</v>
      </c>
      <c r="B61" s="70" t="s">
        <v>503</v>
      </c>
      <c r="C61" s="70">
        <v>15</v>
      </c>
      <c r="D61" s="70">
        <v>0</v>
      </c>
      <c r="E61" s="70">
        <v>266.67</v>
      </c>
      <c r="F61" s="70">
        <v>282.81</v>
      </c>
      <c r="G61" s="70">
        <v>4000.05</v>
      </c>
      <c r="H61" s="70">
        <v>0</v>
      </c>
      <c r="I61" s="70">
        <v>0</v>
      </c>
      <c r="J61" s="70">
        <v>4000.05</v>
      </c>
      <c r="K61" s="70">
        <v>313.87</v>
      </c>
      <c r="L61" s="70">
        <v>0</v>
      </c>
      <c r="M61" s="70">
        <v>102.51</v>
      </c>
      <c r="N61" s="70">
        <v>1854.13</v>
      </c>
      <c r="O61" s="70">
        <v>0</v>
      </c>
      <c r="P61" s="70"/>
      <c r="Q61" s="70">
        <v>0</v>
      </c>
      <c r="R61" s="70">
        <v>0</v>
      </c>
      <c r="S61" s="70">
        <v>0</v>
      </c>
      <c r="T61" s="70">
        <v>-0.06</v>
      </c>
      <c r="U61" s="70">
        <v>2270.4499999999998</v>
      </c>
      <c r="V61" s="70">
        <v>1729.6</v>
      </c>
      <c r="W61" s="70">
        <v>26.51</v>
      </c>
      <c r="X61" s="70">
        <v>47.72</v>
      </c>
      <c r="Y61" s="70">
        <v>28.28</v>
      </c>
      <c r="Z61" s="70">
        <v>0</v>
      </c>
      <c r="AA61" s="70">
        <v>313.87</v>
      </c>
      <c r="AC61" s="70">
        <v>74.239999999999995</v>
      </c>
      <c r="AD61" s="75">
        <v>133.63</v>
      </c>
      <c r="AE61" s="75">
        <v>337.62</v>
      </c>
      <c r="AF61" s="75">
        <v>4000.05</v>
      </c>
      <c r="AG61" s="75">
        <v>267.86</v>
      </c>
      <c r="AH61" s="75">
        <v>80</v>
      </c>
      <c r="AI61" s="70">
        <v>47.96</v>
      </c>
      <c r="AJ61" s="70">
        <v>545.49</v>
      </c>
      <c r="AK61" s="70">
        <v>212.11</v>
      </c>
      <c r="AL61" s="70">
        <v>225.44</v>
      </c>
      <c r="AM61" s="70">
        <v>219.03679772204578</v>
      </c>
      <c r="AN61" s="71" t="s">
        <v>651</v>
      </c>
      <c r="AO61" s="71"/>
      <c r="AP61" s="71"/>
      <c r="AQ61" s="71"/>
    </row>
    <row r="62" spans="1:43" s="75" customFormat="1" x14ac:dyDescent="0.2">
      <c r="A62" s="70" t="s">
        <v>593</v>
      </c>
      <c r="B62" s="70" t="s">
        <v>594</v>
      </c>
      <c r="C62" s="70">
        <v>15</v>
      </c>
      <c r="D62" s="70">
        <v>0</v>
      </c>
      <c r="E62" s="70">
        <v>300.23</v>
      </c>
      <c r="F62" s="70">
        <v>318.41000000000003</v>
      </c>
      <c r="G62" s="70">
        <v>4503.45</v>
      </c>
      <c r="H62" s="70">
        <v>0</v>
      </c>
      <c r="I62" s="70">
        <v>0</v>
      </c>
      <c r="J62" s="70">
        <v>4503.45</v>
      </c>
      <c r="K62" s="70">
        <v>381.22</v>
      </c>
      <c r="L62" s="70">
        <v>0</v>
      </c>
      <c r="M62" s="70">
        <v>117.33</v>
      </c>
      <c r="N62" s="70">
        <v>571.83000000000004</v>
      </c>
      <c r="O62" s="70">
        <v>0</v>
      </c>
      <c r="P62" s="70"/>
      <c r="Q62" s="70">
        <v>0</v>
      </c>
      <c r="R62" s="70">
        <v>0</v>
      </c>
      <c r="S62" s="70">
        <v>0</v>
      </c>
      <c r="T62" s="70">
        <v>7.0000000000000007E-2</v>
      </c>
      <c r="U62" s="70">
        <v>1070.45</v>
      </c>
      <c r="V62" s="70">
        <v>3433</v>
      </c>
      <c r="W62" s="70">
        <v>29.85</v>
      </c>
      <c r="X62" s="70">
        <v>53.73</v>
      </c>
      <c r="Y62" s="70">
        <v>33.75</v>
      </c>
      <c r="Z62" s="70">
        <v>0</v>
      </c>
      <c r="AA62" s="70">
        <v>381.22</v>
      </c>
      <c r="AC62" s="70">
        <v>83.58</v>
      </c>
      <c r="AD62" s="75">
        <v>150.44999999999999</v>
      </c>
      <c r="AE62" s="75">
        <v>352.84</v>
      </c>
      <c r="AF62" s="75">
        <v>4503.45</v>
      </c>
      <c r="AG62" s="75">
        <v>278.54000000000002</v>
      </c>
      <c r="AH62" s="75">
        <v>90.07</v>
      </c>
      <c r="AI62" s="70">
        <v>54</v>
      </c>
      <c r="AJ62" s="70">
        <v>586.87</v>
      </c>
      <c r="AK62" s="70">
        <v>238.81</v>
      </c>
      <c r="AL62" s="70">
        <v>230.78</v>
      </c>
      <c r="AM62" s="70">
        <v>246.60223414740992</v>
      </c>
      <c r="AN62" s="71" t="s">
        <v>652</v>
      </c>
      <c r="AO62" s="71"/>
      <c r="AP62" s="71"/>
      <c r="AQ62" s="71"/>
    </row>
    <row r="63" spans="1:43" s="75" customFormat="1" x14ac:dyDescent="0.2">
      <c r="A63" s="70" t="s">
        <v>507</v>
      </c>
      <c r="B63" s="70" t="s">
        <v>508</v>
      </c>
      <c r="C63" s="70">
        <v>15</v>
      </c>
      <c r="D63" s="70">
        <v>0</v>
      </c>
      <c r="E63" s="70">
        <v>466.67</v>
      </c>
      <c r="F63" s="70">
        <v>494.92</v>
      </c>
      <c r="G63" s="70">
        <v>7000.05</v>
      </c>
      <c r="H63" s="70">
        <v>0</v>
      </c>
      <c r="I63" s="70">
        <v>0</v>
      </c>
      <c r="J63" s="70">
        <v>7000.05</v>
      </c>
      <c r="K63" s="70">
        <v>856.99</v>
      </c>
      <c r="L63" s="70">
        <v>0</v>
      </c>
      <c r="M63" s="70">
        <v>190.81</v>
      </c>
      <c r="N63" s="70">
        <v>0</v>
      </c>
      <c r="O63" s="70">
        <v>0</v>
      </c>
      <c r="P63" s="70"/>
      <c r="Q63" s="70">
        <v>0</v>
      </c>
      <c r="R63" s="70">
        <v>0</v>
      </c>
      <c r="S63" s="70">
        <v>0</v>
      </c>
      <c r="T63" s="70">
        <v>0.05</v>
      </c>
      <c r="U63" s="70">
        <v>1047.8499999999999</v>
      </c>
      <c r="V63" s="70">
        <v>5952.2</v>
      </c>
      <c r="W63" s="70">
        <v>46.4</v>
      </c>
      <c r="X63" s="70">
        <v>83.52</v>
      </c>
      <c r="Y63" s="70">
        <v>60.89</v>
      </c>
      <c r="Z63" s="70">
        <v>0</v>
      </c>
      <c r="AA63" s="70">
        <v>856.99</v>
      </c>
      <c r="AC63" s="70">
        <v>129.91999999999999</v>
      </c>
      <c r="AD63" s="75">
        <v>233.85</v>
      </c>
      <c r="AE63" s="75">
        <v>428.3</v>
      </c>
      <c r="AF63" s="75">
        <v>7000.05</v>
      </c>
      <c r="AG63" s="75">
        <v>331.5</v>
      </c>
      <c r="AH63" s="75">
        <v>140</v>
      </c>
      <c r="AI63" s="70">
        <v>83.94</v>
      </c>
      <c r="AJ63" s="70">
        <v>792.07</v>
      </c>
      <c r="AK63" s="70">
        <v>371.19</v>
      </c>
      <c r="AL63" s="70">
        <v>257.26</v>
      </c>
      <c r="AM63" s="70">
        <v>383.3123425692695</v>
      </c>
      <c r="AN63" s="71" t="s">
        <v>651</v>
      </c>
      <c r="AO63" s="71"/>
      <c r="AP63" s="71"/>
      <c r="AQ63" s="71"/>
    </row>
    <row r="64" spans="1:43" s="75" customFormat="1" ht="14.25" customHeight="1" x14ac:dyDescent="0.2">
      <c r="A64" s="70" t="s">
        <v>509</v>
      </c>
      <c r="B64" s="70" t="s">
        <v>595</v>
      </c>
      <c r="C64" s="70">
        <v>15</v>
      </c>
      <c r="D64" s="70">
        <v>0</v>
      </c>
      <c r="E64" s="70">
        <v>266.67</v>
      </c>
      <c r="F64" s="70">
        <v>282.81</v>
      </c>
      <c r="G64" s="70">
        <v>4000.05</v>
      </c>
      <c r="H64" s="70">
        <v>0</v>
      </c>
      <c r="I64" s="70">
        <v>0</v>
      </c>
      <c r="J64" s="70">
        <v>4000.05</v>
      </c>
      <c r="K64" s="70">
        <v>313.87</v>
      </c>
      <c r="L64" s="70">
        <v>0</v>
      </c>
      <c r="M64" s="70">
        <v>102.51</v>
      </c>
      <c r="N64" s="70">
        <v>0</v>
      </c>
      <c r="O64" s="70">
        <v>0</v>
      </c>
      <c r="P64" s="70"/>
      <c r="Q64" s="70">
        <v>0</v>
      </c>
      <c r="R64" s="70">
        <v>313.8</v>
      </c>
      <c r="S64" s="70">
        <v>0</v>
      </c>
      <c r="T64" s="80">
        <v>-0.13</v>
      </c>
      <c r="U64" s="70">
        <v>730.05</v>
      </c>
      <c r="V64" s="70">
        <v>3270</v>
      </c>
      <c r="W64" s="70">
        <v>26.51</v>
      </c>
      <c r="X64" s="70">
        <v>47.72</v>
      </c>
      <c r="Y64" s="70">
        <v>28.28</v>
      </c>
      <c r="Z64" s="70">
        <v>0</v>
      </c>
      <c r="AA64" s="70">
        <v>313.87</v>
      </c>
      <c r="AC64" s="70">
        <v>74.239999999999995</v>
      </c>
      <c r="AD64" s="75">
        <v>133.63</v>
      </c>
      <c r="AE64" s="75">
        <v>337.62</v>
      </c>
      <c r="AF64" s="75">
        <v>4000.05</v>
      </c>
      <c r="AG64" s="75">
        <v>267.86</v>
      </c>
      <c r="AH64" s="75">
        <v>80</v>
      </c>
      <c r="AI64" s="70">
        <v>47.96</v>
      </c>
      <c r="AJ64" s="70">
        <v>545.49</v>
      </c>
      <c r="AK64" s="70">
        <v>212.11</v>
      </c>
      <c r="AL64" s="70">
        <v>225.44</v>
      </c>
      <c r="AM64" s="70">
        <v>219.03679772204578</v>
      </c>
      <c r="AN64" s="71" t="s">
        <v>651</v>
      </c>
      <c r="AO64" s="71"/>
      <c r="AP64" s="71"/>
      <c r="AQ64" s="71"/>
    </row>
    <row r="65" spans="1:43" s="75" customFormat="1" x14ac:dyDescent="0.2">
      <c r="A65" s="70" t="s">
        <v>519</v>
      </c>
      <c r="B65" s="70" t="s">
        <v>520</v>
      </c>
      <c r="C65" s="70">
        <v>15</v>
      </c>
      <c r="D65" s="70">
        <v>0</v>
      </c>
      <c r="E65" s="70">
        <v>266.67</v>
      </c>
      <c r="F65" s="70">
        <v>282.81</v>
      </c>
      <c r="G65" s="70">
        <v>4000.05</v>
      </c>
      <c r="H65" s="70">
        <v>0</v>
      </c>
      <c r="I65" s="70">
        <v>0</v>
      </c>
      <c r="J65" s="70">
        <v>4000.05</v>
      </c>
      <c r="K65" s="70">
        <v>313.87</v>
      </c>
      <c r="L65" s="70">
        <v>0</v>
      </c>
      <c r="M65" s="70">
        <v>102.51</v>
      </c>
      <c r="N65" s="70">
        <v>0</v>
      </c>
      <c r="O65" s="70">
        <v>0</v>
      </c>
      <c r="P65" s="70"/>
      <c r="Q65" s="70">
        <v>0</v>
      </c>
      <c r="R65" s="70">
        <v>0</v>
      </c>
      <c r="S65" s="70">
        <v>0</v>
      </c>
      <c r="T65" s="70">
        <v>7.0000000000000007E-2</v>
      </c>
      <c r="U65" s="70">
        <v>416.45</v>
      </c>
      <c r="V65" s="70">
        <v>3583.6</v>
      </c>
      <c r="W65" s="70">
        <v>26.51</v>
      </c>
      <c r="X65" s="70">
        <v>47.72</v>
      </c>
      <c r="Y65" s="70">
        <v>28.28</v>
      </c>
      <c r="Z65" s="70">
        <v>0</v>
      </c>
      <c r="AA65" s="70">
        <v>313.87</v>
      </c>
      <c r="AC65" s="70">
        <v>74.239999999999995</v>
      </c>
      <c r="AD65" s="75">
        <v>133.63</v>
      </c>
      <c r="AE65" s="75">
        <v>337.62</v>
      </c>
      <c r="AF65" s="75">
        <v>4000.05</v>
      </c>
      <c r="AG65" s="75">
        <v>267.86</v>
      </c>
      <c r="AH65" s="75">
        <v>80</v>
      </c>
      <c r="AI65" s="70">
        <v>47.96</v>
      </c>
      <c r="AJ65" s="70">
        <v>545.49</v>
      </c>
      <c r="AK65" s="70">
        <v>212.11</v>
      </c>
      <c r="AL65" s="70">
        <v>225.44</v>
      </c>
      <c r="AM65" s="70">
        <v>219.03679772204578</v>
      </c>
      <c r="AN65" s="71" t="s">
        <v>651</v>
      </c>
      <c r="AO65" s="71"/>
      <c r="AP65" s="71"/>
      <c r="AQ65" s="71"/>
    </row>
    <row r="66" spans="1:43" s="75" customFormat="1" x14ac:dyDescent="0.2">
      <c r="A66" s="70" t="s">
        <v>521</v>
      </c>
      <c r="B66" s="70" t="s">
        <v>522</v>
      </c>
      <c r="C66" s="70">
        <v>12</v>
      </c>
      <c r="D66" s="70">
        <v>2</v>
      </c>
      <c r="E66" s="70">
        <v>200</v>
      </c>
      <c r="F66" s="70">
        <v>212.11</v>
      </c>
      <c r="G66" s="70">
        <v>2400</v>
      </c>
      <c r="H66" s="70">
        <v>400</v>
      </c>
      <c r="I66" s="70">
        <v>120</v>
      </c>
      <c r="J66" s="70">
        <v>2920</v>
      </c>
      <c r="K66" s="70">
        <v>37.93</v>
      </c>
      <c r="L66" s="70">
        <v>0</v>
      </c>
      <c r="M66" s="70">
        <v>71.849999999999994</v>
      </c>
      <c r="N66" s="70">
        <v>0</v>
      </c>
      <c r="O66" s="70">
        <v>0</v>
      </c>
      <c r="P66" s="70"/>
      <c r="Q66" s="70">
        <v>0</v>
      </c>
      <c r="R66" s="70">
        <v>0</v>
      </c>
      <c r="S66" s="70">
        <v>0</v>
      </c>
      <c r="T66" s="70">
        <v>0.02</v>
      </c>
      <c r="U66" s="70">
        <v>109.8</v>
      </c>
      <c r="V66" s="70">
        <v>2810.2</v>
      </c>
      <c r="W66" s="70">
        <v>18.559999999999999</v>
      </c>
      <c r="X66" s="70">
        <v>33.409999999999997</v>
      </c>
      <c r="Y66" s="70">
        <v>19.88</v>
      </c>
      <c r="Z66" s="70">
        <v>-145.38</v>
      </c>
      <c r="AA66" s="70">
        <v>183.31</v>
      </c>
      <c r="AC66" s="70">
        <v>55.68</v>
      </c>
      <c r="AD66" s="75">
        <v>100.22</v>
      </c>
      <c r="AE66" s="75">
        <v>314.22000000000003</v>
      </c>
      <c r="AF66" s="75">
        <v>2920</v>
      </c>
      <c r="AG66" s="75">
        <v>246.65</v>
      </c>
      <c r="AH66" s="75">
        <v>58.4</v>
      </c>
      <c r="AI66" s="70">
        <v>35.97</v>
      </c>
      <c r="AJ66" s="70">
        <v>470.12</v>
      </c>
      <c r="AK66" s="70">
        <v>159.08000000000001</v>
      </c>
      <c r="AL66" s="70">
        <v>214.84</v>
      </c>
      <c r="AM66" s="70">
        <v>164.27554484722373</v>
      </c>
      <c r="AN66" s="71" t="s">
        <v>651</v>
      </c>
      <c r="AO66" s="71"/>
      <c r="AP66" s="71"/>
      <c r="AQ66" s="71"/>
    </row>
    <row r="67" spans="1:43" s="75" customFormat="1" x14ac:dyDescent="0.2">
      <c r="A67" s="70" t="s">
        <v>523</v>
      </c>
      <c r="B67" s="70" t="s">
        <v>524</v>
      </c>
      <c r="C67" s="70">
        <v>15</v>
      </c>
      <c r="D67" s="70">
        <v>0</v>
      </c>
      <c r="E67" s="70">
        <v>266.67</v>
      </c>
      <c r="F67" s="70">
        <v>282.81</v>
      </c>
      <c r="G67" s="70">
        <v>4000.05</v>
      </c>
      <c r="H67" s="70">
        <v>0</v>
      </c>
      <c r="I67" s="70">
        <v>0</v>
      </c>
      <c r="J67" s="70">
        <v>4000.05</v>
      </c>
      <c r="K67" s="70">
        <v>313.87</v>
      </c>
      <c r="L67" s="70">
        <v>0</v>
      </c>
      <c r="M67" s="70">
        <v>102.51</v>
      </c>
      <c r="N67" s="70">
        <v>0</v>
      </c>
      <c r="O67" s="70">
        <v>0</v>
      </c>
      <c r="P67" s="70"/>
      <c r="Q67" s="70">
        <v>0</v>
      </c>
      <c r="R67" s="70">
        <v>0</v>
      </c>
      <c r="S67" s="70">
        <v>0</v>
      </c>
      <c r="T67" s="80">
        <v>-0.13</v>
      </c>
      <c r="U67" s="70">
        <v>416.25</v>
      </c>
      <c r="V67" s="70">
        <v>3583.8</v>
      </c>
      <c r="W67" s="70">
        <v>26.51</v>
      </c>
      <c r="X67" s="70">
        <v>47.72</v>
      </c>
      <c r="Y67" s="70">
        <v>28.28</v>
      </c>
      <c r="Z67" s="80">
        <v>0</v>
      </c>
      <c r="AA67" s="70">
        <v>313.87</v>
      </c>
      <c r="AC67" s="70">
        <v>74.239999999999995</v>
      </c>
      <c r="AD67" s="75">
        <v>133.63</v>
      </c>
      <c r="AE67" s="75">
        <v>337.62</v>
      </c>
      <c r="AF67" s="75">
        <v>4000.05</v>
      </c>
      <c r="AG67" s="75">
        <v>267.86</v>
      </c>
      <c r="AH67" s="75">
        <v>80</v>
      </c>
      <c r="AI67" s="70">
        <v>47.96</v>
      </c>
      <c r="AJ67" s="70">
        <v>545.49</v>
      </c>
      <c r="AK67" s="70">
        <v>212.11</v>
      </c>
      <c r="AL67" s="70">
        <v>225.44</v>
      </c>
      <c r="AM67" s="70">
        <v>219.03679772204578</v>
      </c>
      <c r="AN67" s="71" t="s">
        <v>651</v>
      </c>
      <c r="AO67" s="71"/>
      <c r="AP67" s="71"/>
      <c r="AQ67" s="71"/>
    </row>
    <row r="68" spans="1:43" s="75" customFormat="1" x14ac:dyDescent="0.2">
      <c r="A68" s="70" t="s">
        <v>525</v>
      </c>
      <c r="B68" s="70" t="s">
        <v>526</v>
      </c>
      <c r="C68" s="70">
        <v>15</v>
      </c>
      <c r="D68" s="70">
        <v>0</v>
      </c>
      <c r="E68" s="70">
        <v>266.67</v>
      </c>
      <c r="F68" s="70">
        <v>278.72000000000003</v>
      </c>
      <c r="G68" s="70">
        <v>4000.05</v>
      </c>
      <c r="H68" s="70">
        <v>0</v>
      </c>
      <c r="I68" s="70">
        <v>0</v>
      </c>
      <c r="J68" s="70">
        <v>4000.05</v>
      </c>
      <c r="K68" s="70">
        <v>313.87</v>
      </c>
      <c r="L68" s="70">
        <v>0</v>
      </c>
      <c r="M68" s="70">
        <v>100.81</v>
      </c>
      <c r="N68" s="70">
        <v>0</v>
      </c>
      <c r="O68" s="70">
        <v>0</v>
      </c>
      <c r="P68" s="70"/>
      <c r="Q68" s="70">
        <v>0</v>
      </c>
      <c r="R68" s="70">
        <v>0</v>
      </c>
      <c r="S68" s="70">
        <v>0</v>
      </c>
      <c r="T68" s="70">
        <v>-0.03</v>
      </c>
      <c r="U68" s="70">
        <v>414.65</v>
      </c>
      <c r="V68" s="70">
        <v>3585.4</v>
      </c>
      <c r="W68" s="70">
        <v>26.13</v>
      </c>
      <c r="X68" s="70">
        <v>47.03</v>
      </c>
      <c r="Y68" s="70">
        <v>27.65</v>
      </c>
      <c r="Z68" s="70">
        <v>0</v>
      </c>
      <c r="AA68" s="70">
        <v>313.87</v>
      </c>
      <c r="AC68" s="70">
        <v>73.17</v>
      </c>
      <c r="AD68" s="75">
        <v>131.69999999999999</v>
      </c>
      <c r="AE68" s="75">
        <v>335.88</v>
      </c>
      <c r="AF68" s="75">
        <v>4000.05</v>
      </c>
      <c r="AG68" s="75">
        <v>266.64</v>
      </c>
      <c r="AH68" s="75">
        <v>80</v>
      </c>
      <c r="AI68" s="70">
        <v>47.27</v>
      </c>
      <c r="AJ68" s="70">
        <v>540.75</v>
      </c>
      <c r="AK68" s="70">
        <v>209.04</v>
      </c>
      <c r="AL68" s="70">
        <v>224.83</v>
      </c>
      <c r="AM68" s="70">
        <v>219.03679772204578</v>
      </c>
      <c r="AN68" s="71" t="s">
        <v>651</v>
      </c>
      <c r="AO68" s="71"/>
      <c r="AP68" s="71"/>
      <c r="AQ68" s="71"/>
    </row>
    <row r="69" spans="1:43" s="75" customFormat="1" x14ac:dyDescent="0.2">
      <c r="A69" s="70" t="s">
        <v>529</v>
      </c>
      <c r="B69" s="70" t="s">
        <v>530</v>
      </c>
      <c r="C69" s="70">
        <v>15</v>
      </c>
      <c r="D69" s="70">
        <v>0</v>
      </c>
      <c r="E69" s="70">
        <v>266.67</v>
      </c>
      <c r="F69" s="70">
        <v>278.72000000000003</v>
      </c>
      <c r="G69" s="70">
        <v>4000.05</v>
      </c>
      <c r="H69" s="70">
        <v>0</v>
      </c>
      <c r="I69" s="70">
        <v>0</v>
      </c>
      <c r="J69" s="70">
        <v>4000.05</v>
      </c>
      <c r="K69" s="70">
        <v>313.87</v>
      </c>
      <c r="L69" s="70">
        <v>0</v>
      </c>
      <c r="M69" s="70">
        <v>100.81</v>
      </c>
      <c r="N69" s="70">
        <v>0</v>
      </c>
      <c r="O69" s="70">
        <v>0</v>
      </c>
      <c r="P69" s="70"/>
      <c r="Q69" s="70">
        <v>0</v>
      </c>
      <c r="R69" s="70">
        <v>0</v>
      </c>
      <c r="S69" s="70">
        <v>0</v>
      </c>
      <c r="T69" s="80">
        <v>0.17</v>
      </c>
      <c r="U69" s="70">
        <v>414.85</v>
      </c>
      <c r="V69" s="70">
        <v>3585.2</v>
      </c>
      <c r="W69" s="70">
        <v>26.13</v>
      </c>
      <c r="X69" s="70">
        <v>47.03</v>
      </c>
      <c r="Y69" s="70">
        <v>27.65</v>
      </c>
      <c r="Z69" s="70">
        <v>0</v>
      </c>
      <c r="AA69" s="70">
        <v>313.87</v>
      </c>
      <c r="AC69" s="70">
        <v>73.17</v>
      </c>
      <c r="AD69" s="75">
        <v>131.69999999999999</v>
      </c>
      <c r="AE69" s="75">
        <v>335.88</v>
      </c>
      <c r="AF69" s="75">
        <v>4000.05</v>
      </c>
      <c r="AG69" s="75">
        <v>266.64</v>
      </c>
      <c r="AH69" s="75">
        <v>80</v>
      </c>
      <c r="AI69" s="70">
        <v>47.27</v>
      </c>
      <c r="AJ69" s="70">
        <v>540.75</v>
      </c>
      <c r="AK69" s="70">
        <v>209.04</v>
      </c>
      <c r="AL69" s="70">
        <v>224.83</v>
      </c>
      <c r="AM69" s="70">
        <v>219.03679772204578</v>
      </c>
      <c r="AN69" s="71" t="s">
        <v>651</v>
      </c>
      <c r="AO69" s="71"/>
      <c r="AP69" s="71"/>
      <c r="AQ69" s="71"/>
    </row>
    <row r="70" spans="1:43" s="75" customFormat="1" x14ac:dyDescent="0.2">
      <c r="A70" s="70" t="s">
        <v>533</v>
      </c>
      <c r="B70" s="70" t="s">
        <v>531</v>
      </c>
      <c r="C70" s="70">
        <v>14</v>
      </c>
      <c r="D70" s="70">
        <v>0</v>
      </c>
      <c r="E70" s="70">
        <v>200</v>
      </c>
      <c r="F70" s="70">
        <v>212.11</v>
      </c>
      <c r="G70" s="70">
        <v>2800</v>
      </c>
      <c r="H70" s="70">
        <v>0</v>
      </c>
      <c r="I70" s="70">
        <v>0</v>
      </c>
      <c r="J70" s="70">
        <v>2800</v>
      </c>
      <c r="K70" s="70">
        <v>37.93</v>
      </c>
      <c r="L70" s="70">
        <v>0</v>
      </c>
      <c r="M70" s="70">
        <v>71.849999999999994</v>
      </c>
      <c r="N70" s="70">
        <v>911.11</v>
      </c>
      <c r="O70" s="70">
        <v>0</v>
      </c>
      <c r="P70" s="70"/>
      <c r="Q70" s="70">
        <v>0</v>
      </c>
      <c r="R70" s="70">
        <v>0</v>
      </c>
      <c r="S70" s="70">
        <v>0</v>
      </c>
      <c r="T70" s="80">
        <v>0.11</v>
      </c>
      <c r="U70" s="70">
        <v>1021</v>
      </c>
      <c r="V70" s="70">
        <v>1779</v>
      </c>
      <c r="W70" s="70">
        <v>18.559999999999999</v>
      </c>
      <c r="X70" s="70">
        <v>33.409999999999997</v>
      </c>
      <c r="Y70" s="70">
        <v>19.88</v>
      </c>
      <c r="Z70" s="70">
        <v>-145.38</v>
      </c>
      <c r="AA70" s="70">
        <v>183.31</v>
      </c>
      <c r="AC70" s="70">
        <v>55.68</v>
      </c>
      <c r="AD70" s="75">
        <v>100.22</v>
      </c>
      <c r="AE70" s="75">
        <v>314.22000000000003</v>
      </c>
      <c r="AF70" s="75">
        <v>2800</v>
      </c>
      <c r="AG70" s="75">
        <v>246.65</v>
      </c>
      <c r="AH70" s="75">
        <v>56</v>
      </c>
      <c r="AI70" s="70">
        <v>35.97</v>
      </c>
      <c r="AJ70" s="70">
        <v>470.12</v>
      </c>
      <c r="AK70" s="70">
        <v>159.08000000000001</v>
      </c>
      <c r="AL70" s="70">
        <v>214.84</v>
      </c>
      <c r="AM70" s="70">
        <v>164.27554484722373</v>
      </c>
      <c r="AN70" s="71" t="s">
        <v>652</v>
      </c>
      <c r="AO70" s="71"/>
      <c r="AP70" s="71"/>
      <c r="AQ70" s="71"/>
    </row>
    <row r="71" spans="1:43" s="75" customFormat="1" x14ac:dyDescent="0.2">
      <c r="A71" s="70" t="s">
        <v>544</v>
      </c>
      <c r="B71" s="70" t="s">
        <v>373</v>
      </c>
      <c r="C71" s="70">
        <v>8</v>
      </c>
      <c r="D71" s="70">
        <v>7</v>
      </c>
      <c r="E71" s="70">
        <v>185.83</v>
      </c>
      <c r="F71" s="70">
        <v>197.09</v>
      </c>
      <c r="G71" s="70">
        <v>1486.64</v>
      </c>
      <c r="H71" s="70">
        <v>1300.81</v>
      </c>
      <c r="I71" s="70">
        <v>390.24</v>
      </c>
      <c r="J71" s="70">
        <v>3177.69</v>
      </c>
      <c r="K71" s="70">
        <v>36.57</v>
      </c>
      <c r="L71" s="70">
        <v>0</v>
      </c>
      <c r="M71" s="70">
        <v>70.22</v>
      </c>
      <c r="N71" s="70">
        <v>1349.52</v>
      </c>
      <c r="O71" s="70">
        <v>0</v>
      </c>
      <c r="P71" s="70"/>
      <c r="Q71" s="70">
        <v>0</v>
      </c>
      <c r="R71" s="70">
        <v>0</v>
      </c>
      <c r="S71" s="70">
        <v>0</v>
      </c>
      <c r="T71" s="80">
        <v>-0.02</v>
      </c>
      <c r="U71" s="70">
        <v>1456.29</v>
      </c>
      <c r="V71" s="70">
        <v>1721.4</v>
      </c>
      <c r="W71" s="70">
        <v>18.48</v>
      </c>
      <c r="X71" s="70">
        <v>33.26</v>
      </c>
      <c r="Y71" s="70">
        <v>18.48</v>
      </c>
      <c r="Z71" s="80">
        <v>-145.38</v>
      </c>
      <c r="AA71" s="70">
        <v>181.94</v>
      </c>
      <c r="AC71" s="70">
        <v>51.74</v>
      </c>
      <c r="AD71" s="75">
        <v>93.13</v>
      </c>
      <c r="AE71" s="75">
        <v>310.27</v>
      </c>
      <c r="AF71" s="75">
        <v>2787.45</v>
      </c>
      <c r="AG71" s="75">
        <v>242.15</v>
      </c>
      <c r="AH71" s="75">
        <v>55.75</v>
      </c>
      <c r="AI71" s="70">
        <v>33.43</v>
      </c>
      <c r="AJ71" s="70">
        <v>455.14</v>
      </c>
      <c r="AK71" s="70">
        <v>147.82</v>
      </c>
      <c r="AL71" s="70">
        <v>212.58</v>
      </c>
      <c r="AM71" s="70">
        <v>152.63662249479793</v>
      </c>
      <c r="AN71" s="71" t="s">
        <v>652</v>
      </c>
      <c r="AO71" s="71"/>
      <c r="AP71" s="71"/>
      <c r="AQ71" s="71"/>
    </row>
    <row r="72" spans="1:43" s="75" customFormat="1" x14ac:dyDescent="0.2">
      <c r="A72" s="70" t="s">
        <v>545</v>
      </c>
      <c r="B72" s="70" t="s">
        <v>372</v>
      </c>
      <c r="C72" s="70">
        <v>15</v>
      </c>
      <c r="D72" s="70">
        <v>0</v>
      </c>
      <c r="E72" s="70">
        <v>220.83</v>
      </c>
      <c r="F72" s="70">
        <v>234.2</v>
      </c>
      <c r="G72" s="70">
        <v>3312.45</v>
      </c>
      <c r="H72" s="70">
        <v>0</v>
      </c>
      <c r="I72" s="70">
        <v>0</v>
      </c>
      <c r="J72" s="70">
        <v>3312.45</v>
      </c>
      <c r="K72" s="70">
        <v>113.96</v>
      </c>
      <c r="L72" s="70">
        <v>0</v>
      </c>
      <c r="M72" s="70">
        <v>83.43</v>
      </c>
      <c r="N72" s="70">
        <v>2041.01</v>
      </c>
      <c r="O72" s="70">
        <v>0</v>
      </c>
      <c r="P72" s="70"/>
      <c r="Q72" s="70">
        <v>0</v>
      </c>
      <c r="R72" s="70">
        <v>0</v>
      </c>
      <c r="S72" s="70">
        <v>0</v>
      </c>
      <c r="T72" s="80">
        <v>0.05</v>
      </c>
      <c r="U72" s="70">
        <v>2238.4499999999998</v>
      </c>
      <c r="V72" s="70">
        <v>1074</v>
      </c>
      <c r="W72" s="70">
        <v>21.96</v>
      </c>
      <c r="X72" s="70">
        <v>39.520000000000003</v>
      </c>
      <c r="Y72" s="70">
        <v>21.95</v>
      </c>
      <c r="Z72" s="80">
        <v>-125.1</v>
      </c>
      <c r="AA72" s="70">
        <v>239.06</v>
      </c>
      <c r="AC72" s="70">
        <v>61.48</v>
      </c>
      <c r="AD72" s="75">
        <v>110.66</v>
      </c>
      <c r="AE72" s="75">
        <v>320.02</v>
      </c>
      <c r="AF72" s="75">
        <v>3312.45</v>
      </c>
      <c r="AG72" s="75">
        <v>253.28000000000003</v>
      </c>
      <c r="AH72" s="75">
        <v>66.25</v>
      </c>
      <c r="AI72" s="70">
        <v>39.72</v>
      </c>
      <c r="AJ72" s="70">
        <v>492.16</v>
      </c>
      <c r="AK72" s="70">
        <v>175.65</v>
      </c>
      <c r="AL72" s="70">
        <v>218.15</v>
      </c>
      <c r="AM72" s="70">
        <v>181.3848428430621</v>
      </c>
      <c r="AN72" s="71" t="s">
        <v>651</v>
      </c>
      <c r="AO72" s="71"/>
      <c r="AP72" s="71"/>
      <c r="AQ72" s="71"/>
    </row>
    <row r="73" spans="1:43" s="75" customFormat="1" x14ac:dyDescent="0.2">
      <c r="A73" s="70" t="s">
        <v>546</v>
      </c>
      <c r="B73" s="70" t="s">
        <v>367</v>
      </c>
      <c r="C73" s="70">
        <v>15</v>
      </c>
      <c r="D73" s="70">
        <v>0</v>
      </c>
      <c r="E73" s="70">
        <v>150</v>
      </c>
      <c r="F73" s="70">
        <v>156.78</v>
      </c>
      <c r="G73" s="70">
        <v>2250</v>
      </c>
      <c r="H73" s="70">
        <v>0</v>
      </c>
      <c r="I73" s="70">
        <v>0</v>
      </c>
      <c r="J73" s="70">
        <v>2250</v>
      </c>
      <c r="K73" s="70">
        <v>0</v>
      </c>
      <c r="L73" s="70">
        <v>-43.57</v>
      </c>
      <c r="M73" s="70">
        <v>55.86</v>
      </c>
      <c r="N73" s="70">
        <v>0</v>
      </c>
      <c r="O73" s="70">
        <v>772.15</v>
      </c>
      <c r="P73" s="70"/>
      <c r="Q73" s="70">
        <v>0</v>
      </c>
      <c r="R73" s="70">
        <v>0</v>
      </c>
      <c r="S73" s="70">
        <v>0</v>
      </c>
      <c r="T73" s="70">
        <v>-0.04</v>
      </c>
      <c r="U73" s="70">
        <v>784.4</v>
      </c>
      <c r="V73" s="70">
        <v>1465.6</v>
      </c>
      <c r="W73" s="70">
        <v>14.7</v>
      </c>
      <c r="X73" s="70">
        <v>26.46</v>
      </c>
      <c r="Y73" s="70">
        <v>14.7</v>
      </c>
      <c r="Z73" s="80">
        <v>-174.78</v>
      </c>
      <c r="AA73" s="70">
        <v>131.21</v>
      </c>
      <c r="AC73" s="70">
        <v>41.15</v>
      </c>
      <c r="AD73" s="75">
        <v>74.08</v>
      </c>
      <c r="AE73" s="75">
        <v>299.69</v>
      </c>
      <c r="AF73" s="75">
        <v>2250</v>
      </c>
      <c r="AG73" s="75">
        <v>230.05</v>
      </c>
      <c r="AH73" s="75">
        <v>45</v>
      </c>
      <c r="AI73" s="70">
        <v>26.59</v>
      </c>
      <c r="AJ73" s="70">
        <v>414.92</v>
      </c>
      <c r="AK73" s="70">
        <v>117.58</v>
      </c>
      <c r="AL73" s="70">
        <v>206.54000000000002</v>
      </c>
      <c r="AM73" s="70">
        <v>123.2066586354178</v>
      </c>
      <c r="AN73" s="71" t="s">
        <v>651</v>
      </c>
      <c r="AO73" s="71"/>
      <c r="AP73" s="71"/>
      <c r="AQ73" s="71"/>
    </row>
    <row r="74" spans="1:43" s="75" customFormat="1" x14ac:dyDescent="0.2">
      <c r="A74" s="70" t="s">
        <v>547</v>
      </c>
      <c r="B74" s="70" t="s">
        <v>409</v>
      </c>
      <c r="C74" s="70">
        <v>15</v>
      </c>
      <c r="D74" s="70">
        <v>0</v>
      </c>
      <c r="E74" s="70">
        <v>150</v>
      </c>
      <c r="F74" s="70">
        <v>156.78</v>
      </c>
      <c r="G74" s="70">
        <v>2250</v>
      </c>
      <c r="H74" s="70">
        <v>0</v>
      </c>
      <c r="I74" s="70">
        <v>0</v>
      </c>
      <c r="J74" s="70">
        <v>2250</v>
      </c>
      <c r="K74" s="70">
        <v>0</v>
      </c>
      <c r="L74" s="80">
        <v>-43.57</v>
      </c>
      <c r="M74" s="70">
        <v>55.86</v>
      </c>
      <c r="N74" s="70">
        <v>0</v>
      </c>
      <c r="O74" s="70">
        <v>0</v>
      </c>
      <c r="P74" s="70"/>
      <c r="Q74" s="70">
        <v>0</v>
      </c>
      <c r="R74" s="70">
        <v>0</v>
      </c>
      <c r="S74" s="70">
        <v>0</v>
      </c>
      <c r="T74" s="70">
        <v>-0.09</v>
      </c>
      <c r="U74" s="70">
        <v>12.2</v>
      </c>
      <c r="V74" s="70">
        <v>2237.8000000000002</v>
      </c>
      <c r="W74" s="70">
        <v>14.7</v>
      </c>
      <c r="X74" s="70">
        <v>26.46</v>
      </c>
      <c r="Y74" s="70">
        <v>14.7</v>
      </c>
      <c r="Z74" s="80">
        <v>-174.78</v>
      </c>
      <c r="AA74" s="70">
        <v>131.21</v>
      </c>
      <c r="AC74" s="70">
        <v>41.15</v>
      </c>
      <c r="AD74" s="75">
        <v>74.08</v>
      </c>
      <c r="AE74" s="75">
        <v>299.69</v>
      </c>
      <c r="AF74" s="75">
        <v>2250</v>
      </c>
      <c r="AG74" s="75">
        <v>230.05</v>
      </c>
      <c r="AH74" s="75">
        <v>45</v>
      </c>
      <c r="AI74" s="70">
        <v>26.59</v>
      </c>
      <c r="AJ74" s="70">
        <v>414.92</v>
      </c>
      <c r="AK74" s="70">
        <v>117.58</v>
      </c>
      <c r="AL74" s="70">
        <v>206.54000000000002</v>
      </c>
      <c r="AM74" s="70">
        <v>123.2066586354178</v>
      </c>
      <c r="AN74" s="71" t="s">
        <v>651</v>
      </c>
      <c r="AO74" s="71"/>
      <c r="AP74" s="71"/>
      <c r="AQ74" s="71"/>
    </row>
    <row r="75" spans="1:43" s="75" customFormat="1" x14ac:dyDescent="0.2">
      <c r="A75" s="70" t="s">
        <v>548</v>
      </c>
      <c r="B75" s="70" t="s">
        <v>414</v>
      </c>
      <c r="C75" s="70">
        <v>15</v>
      </c>
      <c r="D75" s="70">
        <v>0</v>
      </c>
      <c r="E75" s="70">
        <v>233.33</v>
      </c>
      <c r="F75" s="70">
        <v>243.88</v>
      </c>
      <c r="G75" s="70">
        <v>3499.95</v>
      </c>
      <c r="H75" s="70">
        <v>0</v>
      </c>
      <c r="I75" s="70">
        <v>0</v>
      </c>
      <c r="J75" s="70">
        <v>3499.95</v>
      </c>
      <c r="K75" s="70">
        <v>134.36000000000001</v>
      </c>
      <c r="L75" s="80">
        <v>0</v>
      </c>
      <c r="M75" s="70">
        <v>86.88</v>
      </c>
      <c r="N75" s="70">
        <v>0</v>
      </c>
      <c r="O75" s="70">
        <v>0</v>
      </c>
      <c r="P75" s="70"/>
      <c r="Q75" s="70">
        <v>0</v>
      </c>
      <c r="R75" s="70">
        <v>0</v>
      </c>
      <c r="S75" s="70">
        <v>0</v>
      </c>
      <c r="T75" s="80">
        <v>-0.09</v>
      </c>
      <c r="U75" s="70">
        <v>221.15</v>
      </c>
      <c r="V75" s="70">
        <v>3278.8</v>
      </c>
      <c r="W75" s="70">
        <v>22.86</v>
      </c>
      <c r="X75" s="70">
        <v>41.15</v>
      </c>
      <c r="Y75" s="70">
        <v>22.87</v>
      </c>
      <c r="Z75" s="80">
        <v>-125.1</v>
      </c>
      <c r="AA75" s="70">
        <v>259.45999999999998</v>
      </c>
      <c r="AC75" s="70">
        <v>64.02</v>
      </c>
      <c r="AD75" s="75">
        <v>115.23</v>
      </c>
      <c r="AE75" s="75">
        <v>322.56</v>
      </c>
      <c r="AF75" s="75">
        <v>3499.95</v>
      </c>
      <c r="AG75" s="75">
        <v>256.18</v>
      </c>
      <c r="AH75" s="75">
        <v>70</v>
      </c>
      <c r="AI75" s="70">
        <v>41.36</v>
      </c>
      <c r="AJ75" s="70">
        <v>501.81</v>
      </c>
      <c r="AK75" s="70">
        <v>182.91</v>
      </c>
      <c r="AL75" s="70">
        <v>219.60000000000002</v>
      </c>
      <c r="AM75" s="70">
        <v>191.65206439601357</v>
      </c>
      <c r="AN75" s="71" t="s">
        <v>651</v>
      </c>
      <c r="AO75" s="71"/>
      <c r="AP75" s="71"/>
      <c r="AQ75" s="71"/>
    </row>
    <row r="76" spans="1:43" s="75" customFormat="1" x14ac:dyDescent="0.2">
      <c r="A76" s="70" t="s">
        <v>549</v>
      </c>
      <c r="B76" s="70" t="s">
        <v>415</v>
      </c>
      <c r="C76" s="70">
        <v>15</v>
      </c>
      <c r="D76" s="70">
        <v>0</v>
      </c>
      <c r="E76" s="70">
        <v>233.33</v>
      </c>
      <c r="F76" s="70">
        <v>243.88</v>
      </c>
      <c r="G76" s="70">
        <v>3499.95</v>
      </c>
      <c r="H76" s="70">
        <v>0</v>
      </c>
      <c r="I76" s="70">
        <v>0</v>
      </c>
      <c r="J76" s="70">
        <v>3499.95</v>
      </c>
      <c r="K76" s="70">
        <v>134.36000000000001</v>
      </c>
      <c r="L76" s="70">
        <v>0</v>
      </c>
      <c r="M76" s="70">
        <v>86.88</v>
      </c>
      <c r="N76" s="70">
        <v>0</v>
      </c>
      <c r="O76" s="70">
        <v>0</v>
      </c>
      <c r="P76" s="70"/>
      <c r="Q76" s="70">
        <v>0</v>
      </c>
      <c r="R76" s="70">
        <v>909.5</v>
      </c>
      <c r="S76" s="70">
        <v>0</v>
      </c>
      <c r="T76" s="70">
        <v>0.01</v>
      </c>
      <c r="U76" s="70">
        <v>1130.75</v>
      </c>
      <c r="V76" s="70">
        <v>2369.1999999999998</v>
      </c>
      <c r="W76" s="70">
        <v>22.86</v>
      </c>
      <c r="X76" s="70">
        <v>41.15</v>
      </c>
      <c r="Y76" s="70">
        <v>22.87</v>
      </c>
      <c r="Z76" s="80">
        <v>-125.1</v>
      </c>
      <c r="AA76" s="70">
        <v>259.45999999999998</v>
      </c>
      <c r="AC76" s="70">
        <v>64.02</v>
      </c>
      <c r="AD76" s="75">
        <v>115.23</v>
      </c>
      <c r="AE76" s="75">
        <v>322.56</v>
      </c>
      <c r="AF76" s="75">
        <v>3499.95</v>
      </c>
      <c r="AG76" s="75">
        <v>256.18</v>
      </c>
      <c r="AH76" s="75">
        <v>70</v>
      </c>
      <c r="AI76" s="70">
        <v>41.36</v>
      </c>
      <c r="AJ76" s="70">
        <v>501.81</v>
      </c>
      <c r="AK76" s="70">
        <v>182.91</v>
      </c>
      <c r="AL76" s="70">
        <v>219.60000000000002</v>
      </c>
      <c r="AM76" s="70">
        <v>191.65206439601357</v>
      </c>
      <c r="AN76" s="71" t="s">
        <v>651</v>
      </c>
      <c r="AO76" s="71"/>
      <c r="AP76" s="71"/>
      <c r="AQ76" s="71"/>
    </row>
    <row r="77" spans="1:43" s="75" customFormat="1" x14ac:dyDescent="0.2">
      <c r="A77" s="70" t="s">
        <v>551</v>
      </c>
      <c r="B77" s="70" t="s">
        <v>452</v>
      </c>
      <c r="C77" s="70">
        <v>15</v>
      </c>
      <c r="D77" s="70">
        <v>0</v>
      </c>
      <c r="E77" s="70">
        <v>312.87</v>
      </c>
      <c r="F77" s="70">
        <v>327.01</v>
      </c>
      <c r="G77" s="70">
        <v>4693.05</v>
      </c>
      <c r="H77" s="70">
        <v>0</v>
      </c>
      <c r="I77" s="70">
        <v>0</v>
      </c>
      <c r="J77" s="70">
        <v>4693.05</v>
      </c>
      <c r="K77" s="70">
        <v>411.56</v>
      </c>
      <c r="L77" s="70">
        <v>0</v>
      </c>
      <c r="M77" s="70">
        <v>120.9</v>
      </c>
      <c r="N77" s="70">
        <v>1887.16</v>
      </c>
      <c r="O77" s="70">
        <v>0</v>
      </c>
      <c r="P77" s="70"/>
      <c r="Q77" s="70">
        <v>0</v>
      </c>
      <c r="R77" s="70">
        <v>0</v>
      </c>
      <c r="S77" s="70">
        <v>0</v>
      </c>
      <c r="T77" s="70">
        <v>0.03</v>
      </c>
      <c r="U77" s="70">
        <v>2419.65</v>
      </c>
      <c r="V77" s="70">
        <v>2273.4</v>
      </c>
      <c r="W77" s="70">
        <v>30.66</v>
      </c>
      <c r="X77" s="70">
        <v>55.18</v>
      </c>
      <c r="Y77" s="70">
        <v>35.06</v>
      </c>
      <c r="Z77" s="80">
        <v>0</v>
      </c>
      <c r="AA77" s="70">
        <v>411.56</v>
      </c>
      <c r="AC77" s="70">
        <v>85.84</v>
      </c>
      <c r="AD77" s="75">
        <v>154.51</v>
      </c>
      <c r="AE77" s="75">
        <v>356.51</v>
      </c>
      <c r="AF77" s="75">
        <v>4693.05</v>
      </c>
      <c r="AG77" s="75">
        <v>281.12</v>
      </c>
      <c r="AH77" s="75">
        <v>93.86</v>
      </c>
      <c r="AI77" s="70">
        <v>55.46</v>
      </c>
      <c r="AJ77" s="70">
        <v>596.86</v>
      </c>
      <c r="AK77" s="70">
        <v>245.26</v>
      </c>
      <c r="AL77" s="70">
        <v>232.07</v>
      </c>
      <c r="AM77" s="70">
        <v>256.98444858175446</v>
      </c>
      <c r="AN77" s="71" t="s">
        <v>651</v>
      </c>
      <c r="AO77" s="71"/>
      <c r="AP77" s="71"/>
      <c r="AQ77" s="71"/>
    </row>
    <row r="78" spans="1:43" s="75" customFormat="1" x14ac:dyDescent="0.2">
      <c r="A78" s="70" t="s">
        <v>552</v>
      </c>
      <c r="B78" s="70" t="s">
        <v>453</v>
      </c>
      <c r="C78" s="70">
        <v>15</v>
      </c>
      <c r="D78" s="70">
        <v>0</v>
      </c>
      <c r="E78" s="70">
        <v>312.87</v>
      </c>
      <c r="F78" s="70">
        <v>327.01</v>
      </c>
      <c r="G78" s="70">
        <v>4693.05</v>
      </c>
      <c r="H78" s="70">
        <v>0</v>
      </c>
      <c r="I78" s="70">
        <v>0</v>
      </c>
      <c r="J78" s="70">
        <v>4693.05</v>
      </c>
      <c r="K78" s="70">
        <v>411.56</v>
      </c>
      <c r="L78" s="70">
        <v>0</v>
      </c>
      <c r="M78" s="70">
        <v>120.9</v>
      </c>
      <c r="N78" s="70">
        <v>2184.8200000000002</v>
      </c>
      <c r="O78" s="70">
        <v>0</v>
      </c>
      <c r="P78" s="70"/>
      <c r="Q78" s="70">
        <v>0</v>
      </c>
      <c r="R78" s="70">
        <v>0</v>
      </c>
      <c r="S78" s="70">
        <v>0</v>
      </c>
      <c r="T78" s="80">
        <v>-0.03</v>
      </c>
      <c r="U78" s="70">
        <v>2717.25</v>
      </c>
      <c r="V78" s="70">
        <v>1975.8</v>
      </c>
      <c r="W78" s="70">
        <v>30.66</v>
      </c>
      <c r="X78" s="70">
        <v>55.18</v>
      </c>
      <c r="Y78" s="70">
        <v>35.06</v>
      </c>
      <c r="Z78" s="70">
        <v>0</v>
      </c>
      <c r="AA78" s="70">
        <v>411.56</v>
      </c>
      <c r="AC78" s="70">
        <v>85.84</v>
      </c>
      <c r="AD78" s="75">
        <v>154.51</v>
      </c>
      <c r="AE78" s="75">
        <v>356.51</v>
      </c>
      <c r="AF78" s="75">
        <v>4693.05</v>
      </c>
      <c r="AG78" s="75">
        <v>281.12</v>
      </c>
      <c r="AH78" s="75">
        <v>93.86</v>
      </c>
      <c r="AI78" s="70">
        <v>55.46</v>
      </c>
      <c r="AJ78" s="70">
        <v>596.86</v>
      </c>
      <c r="AK78" s="70">
        <v>245.26</v>
      </c>
      <c r="AL78" s="70">
        <v>232.07</v>
      </c>
      <c r="AM78" s="70">
        <v>256.98444858175446</v>
      </c>
      <c r="AN78" s="71" t="s">
        <v>651</v>
      </c>
      <c r="AO78" s="71"/>
      <c r="AP78" s="71"/>
      <c r="AQ78" s="71"/>
    </row>
    <row r="79" spans="1:43" s="75" customFormat="1" x14ac:dyDescent="0.2">
      <c r="A79" s="70" t="s">
        <v>553</v>
      </c>
      <c r="B79" s="70" t="s">
        <v>454</v>
      </c>
      <c r="C79" s="70">
        <v>15</v>
      </c>
      <c r="D79" s="70">
        <v>0</v>
      </c>
      <c r="E79" s="70">
        <v>238.84</v>
      </c>
      <c r="F79" s="70">
        <v>249.64</v>
      </c>
      <c r="G79" s="70">
        <v>3582.6</v>
      </c>
      <c r="H79" s="70">
        <v>0</v>
      </c>
      <c r="I79" s="70">
        <v>0</v>
      </c>
      <c r="J79" s="70">
        <v>3582.6</v>
      </c>
      <c r="K79" s="70">
        <v>161.08000000000001</v>
      </c>
      <c r="L79" s="70">
        <v>0</v>
      </c>
      <c r="M79" s="70">
        <v>88.93</v>
      </c>
      <c r="N79" s="70">
        <v>0</v>
      </c>
      <c r="O79" s="70">
        <v>0</v>
      </c>
      <c r="P79" s="70"/>
      <c r="Q79" s="70">
        <v>0</v>
      </c>
      <c r="R79" s="70">
        <v>0</v>
      </c>
      <c r="S79" s="70">
        <v>0</v>
      </c>
      <c r="T79" s="80">
        <v>-0.01</v>
      </c>
      <c r="U79" s="70">
        <v>250</v>
      </c>
      <c r="V79" s="70">
        <v>3332.6</v>
      </c>
      <c r="W79" s="70">
        <v>23.4</v>
      </c>
      <c r="X79" s="70">
        <v>42.13</v>
      </c>
      <c r="Y79" s="70">
        <v>23.4</v>
      </c>
      <c r="Z79" s="70">
        <v>-107.37</v>
      </c>
      <c r="AA79" s="70">
        <v>268.45999999999998</v>
      </c>
      <c r="AC79" s="70">
        <v>65.53</v>
      </c>
      <c r="AD79" s="75">
        <v>117.95</v>
      </c>
      <c r="AE79" s="75">
        <v>324.07</v>
      </c>
      <c r="AF79" s="75">
        <v>3582.6</v>
      </c>
      <c r="AG79" s="75">
        <v>257.91000000000003</v>
      </c>
      <c r="AH79" s="75">
        <v>71.650000000000006</v>
      </c>
      <c r="AI79" s="70">
        <v>42.34</v>
      </c>
      <c r="AJ79" s="70">
        <v>507.55</v>
      </c>
      <c r="AK79" s="70">
        <v>187.23</v>
      </c>
      <c r="AL79" s="70">
        <v>220.47000000000003</v>
      </c>
      <c r="AM79" s="70">
        <v>196.17785565655458</v>
      </c>
      <c r="AN79" s="71" t="s">
        <v>651</v>
      </c>
      <c r="AO79" s="71"/>
      <c r="AP79" s="71"/>
      <c r="AQ79" s="71"/>
    </row>
    <row r="80" spans="1:43" s="75" customFormat="1" x14ac:dyDescent="0.2">
      <c r="A80" s="70" t="s">
        <v>554</v>
      </c>
      <c r="B80" s="70" t="s">
        <v>456</v>
      </c>
      <c r="C80" s="70">
        <v>15</v>
      </c>
      <c r="D80" s="70">
        <v>0</v>
      </c>
      <c r="E80" s="70">
        <v>312.87</v>
      </c>
      <c r="F80" s="70">
        <v>327.01</v>
      </c>
      <c r="G80" s="70">
        <v>4693.05</v>
      </c>
      <c r="H80" s="70">
        <v>0</v>
      </c>
      <c r="I80" s="70">
        <v>0</v>
      </c>
      <c r="J80" s="70">
        <v>4693.05</v>
      </c>
      <c r="K80" s="70">
        <v>411.56</v>
      </c>
      <c r="L80" s="70">
        <v>0</v>
      </c>
      <c r="M80" s="70">
        <v>120.9</v>
      </c>
      <c r="N80" s="70">
        <v>0</v>
      </c>
      <c r="O80" s="70">
        <v>0</v>
      </c>
      <c r="P80" s="70"/>
      <c r="Q80" s="70">
        <v>0</v>
      </c>
      <c r="R80" s="70">
        <v>0</v>
      </c>
      <c r="S80" s="70">
        <v>0</v>
      </c>
      <c r="T80" s="70">
        <v>-0.01</v>
      </c>
      <c r="U80" s="70">
        <v>532.45000000000005</v>
      </c>
      <c r="V80" s="70">
        <v>4160.6000000000004</v>
      </c>
      <c r="W80" s="70">
        <v>30.66</v>
      </c>
      <c r="X80" s="70">
        <v>55.18</v>
      </c>
      <c r="Y80" s="70">
        <v>35.06</v>
      </c>
      <c r="Z80" s="70">
        <v>0</v>
      </c>
      <c r="AA80" s="70">
        <v>411.56</v>
      </c>
      <c r="AC80" s="70">
        <v>85.84</v>
      </c>
      <c r="AD80" s="75">
        <v>154.51</v>
      </c>
      <c r="AE80" s="75">
        <v>356.51</v>
      </c>
      <c r="AF80" s="75">
        <v>4693.05</v>
      </c>
      <c r="AG80" s="75">
        <v>281.12</v>
      </c>
      <c r="AH80" s="75">
        <v>93.86</v>
      </c>
      <c r="AI80" s="70">
        <v>55.46</v>
      </c>
      <c r="AJ80" s="70">
        <v>596.86</v>
      </c>
      <c r="AK80" s="70">
        <v>245.26</v>
      </c>
      <c r="AL80" s="70">
        <v>232.07</v>
      </c>
      <c r="AM80" s="70">
        <v>256.98444858175446</v>
      </c>
      <c r="AN80" s="71" t="s">
        <v>652</v>
      </c>
      <c r="AO80" s="71"/>
      <c r="AP80" s="71"/>
      <c r="AQ80" s="71"/>
    </row>
    <row r="81" spans="1:43" s="75" customFormat="1" x14ac:dyDescent="0.2">
      <c r="A81" s="70" t="s">
        <v>555</v>
      </c>
      <c r="B81" s="70" t="s">
        <v>457</v>
      </c>
      <c r="C81" s="70">
        <v>15</v>
      </c>
      <c r="D81" s="70">
        <v>0</v>
      </c>
      <c r="E81" s="70">
        <v>238.84</v>
      </c>
      <c r="F81" s="70">
        <v>249.64</v>
      </c>
      <c r="G81" s="70">
        <v>3582.6</v>
      </c>
      <c r="H81" s="70">
        <v>0</v>
      </c>
      <c r="I81" s="70">
        <v>0</v>
      </c>
      <c r="J81" s="70">
        <v>3582.6</v>
      </c>
      <c r="K81" s="70">
        <v>161.08000000000001</v>
      </c>
      <c r="L81" s="70">
        <v>0</v>
      </c>
      <c r="M81" s="70">
        <v>88.93</v>
      </c>
      <c r="N81" s="70">
        <v>1204.8699999999999</v>
      </c>
      <c r="O81" s="70">
        <v>0</v>
      </c>
      <c r="P81" s="70"/>
      <c r="Q81" s="70">
        <v>0</v>
      </c>
      <c r="R81" s="70">
        <v>0</v>
      </c>
      <c r="S81" s="70">
        <v>0</v>
      </c>
      <c r="T81" s="80">
        <v>-0.08</v>
      </c>
      <c r="U81" s="70">
        <v>1454.8</v>
      </c>
      <c r="V81" s="70">
        <v>2127.8000000000002</v>
      </c>
      <c r="W81" s="70">
        <v>23.4</v>
      </c>
      <c r="X81" s="70">
        <v>42.13</v>
      </c>
      <c r="Y81" s="70">
        <v>23.4</v>
      </c>
      <c r="Z81" s="80">
        <v>-107.37</v>
      </c>
      <c r="AA81" s="70">
        <v>268.45999999999998</v>
      </c>
      <c r="AC81" s="70">
        <v>65.53</v>
      </c>
      <c r="AD81" s="75">
        <v>117.95</v>
      </c>
      <c r="AE81" s="75">
        <v>324.07</v>
      </c>
      <c r="AF81" s="75">
        <v>3582.6</v>
      </c>
      <c r="AG81" s="75">
        <v>257.91000000000003</v>
      </c>
      <c r="AH81" s="75">
        <v>71.650000000000006</v>
      </c>
      <c r="AI81" s="70">
        <v>42.34</v>
      </c>
      <c r="AJ81" s="70">
        <v>507.55</v>
      </c>
      <c r="AK81" s="70">
        <v>187.23</v>
      </c>
      <c r="AL81" s="70">
        <v>220.47000000000003</v>
      </c>
      <c r="AM81" s="70">
        <v>196.17785565655458</v>
      </c>
      <c r="AN81" s="71" t="s">
        <v>651</v>
      </c>
      <c r="AO81" s="71"/>
      <c r="AP81" s="71"/>
      <c r="AQ81" s="71"/>
    </row>
    <row r="82" spans="1:43" s="75" customFormat="1" x14ac:dyDescent="0.2">
      <c r="A82" s="70" t="s">
        <v>556</v>
      </c>
      <c r="B82" s="70" t="s">
        <v>458</v>
      </c>
      <c r="C82" s="70">
        <v>15</v>
      </c>
      <c r="D82" s="70">
        <v>0</v>
      </c>
      <c r="E82" s="70">
        <v>238.84</v>
      </c>
      <c r="F82" s="70">
        <v>249.64</v>
      </c>
      <c r="G82" s="70">
        <v>3582.6</v>
      </c>
      <c r="H82" s="70">
        <v>0</v>
      </c>
      <c r="I82" s="70">
        <v>573.21</v>
      </c>
      <c r="J82" s="70">
        <v>4155.8100000000004</v>
      </c>
      <c r="K82" s="70">
        <v>161.08000000000001</v>
      </c>
      <c r="L82" s="70">
        <v>0</v>
      </c>
      <c r="M82" s="70">
        <v>88.93</v>
      </c>
      <c r="N82" s="70">
        <v>0</v>
      </c>
      <c r="O82" s="70">
        <v>1137.8399999999999</v>
      </c>
      <c r="P82" s="70"/>
      <c r="Q82" s="70">
        <v>0</v>
      </c>
      <c r="R82" s="70">
        <v>0</v>
      </c>
      <c r="S82" s="70">
        <v>0</v>
      </c>
      <c r="T82" s="70">
        <v>0.16</v>
      </c>
      <c r="U82" s="70">
        <v>1388.01</v>
      </c>
      <c r="V82" s="70">
        <v>2767.8</v>
      </c>
      <c r="W82" s="70">
        <v>23.4</v>
      </c>
      <c r="X82" s="70">
        <v>42.13</v>
      </c>
      <c r="Y82" s="70">
        <v>23.4</v>
      </c>
      <c r="Z82" s="70">
        <v>-107.37</v>
      </c>
      <c r="AA82" s="70">
        <v>268.45999999999998</v>
      </c>
      <c r="AC82" s="70">
        <v>65.53</v>
      </c>
      <c r="AD82" s="75">
        <v>117.95</v>
      </c>
      <c r="AE82" s="75">
        <v>324.07</v>
      </c>
      <c r="AF82" s="75">
        <v>4155.8100000000004</v>
      </c>
      <c r="AG82" s="75">
        <v>257.91000000000003</v>
      </c>
      <c r="AH82" s="75">
        <v>83.12</v>
      </c>
      <c r="AI82" s="70">
        <v>42.34</v>
      </c>
      <c r="AJ82" s="70">
        <v>507.55</v>
      </c>
      <c r="AK82" s="70">
        <v>187.23</v>
      </c>
      <c r="AL82" s="70">
        <v>220.47000000000003</v>
      </c>
      <c r="AM82" s="70">
        <v>196.17785565655458</v>
      </c>
      <c r="AN82" s="71" t="s">
        <v>651</v>
      </c>
      <c r="AO82" s="71"/>
      <c r="AP82" s="71"/>
      <c r="AQ82" s="71"/>
    </row>
    <row r="83" spans="1:43" s="75" customFormat="1" x14ac:dyDescent="0.2">
      <c r="A83" s="70" t="s">
        <v>557</v>
      </c>
      <c r="B83" s="70" t="s">
        <v>460</v>
      </c>
      <c r="C83" s="70">
        <v>15</v>
      </c>
      <c r="D83" s="70">
        <v>0</v>
      </c>
      <c r="E83" s="70">
        <v>238.84</v>
      </c>
      <c r="F83" s="70">
        <v>249.64</v>
      </c>
      <c r="G83" s="70">
        <v>3582.6</v>
      </c>
      <c r="H83" s="70">
        <v>0</v>
      </c>
      <c r="I83" s="70">
        <v>0</v>
      </c>
      <c r="J83" s="70">
        <v>3582.6</v>
      </c>
      <c r="K83" s="70">
        <v>161.08000000000001</v>
      </c>
      <c r="L83" s="70">
        <v>0</v>
      </c>
      <c r="M83" s="70">
        <v>88.93</v>
      </c>
      <c r="N83" s="70">
        <v>0</v>
      </c>
      <c r="O83" s="70">
        <v>0</v>
      </c>
      <c r="P83" s="70"/>
      <c r="Q83" s="70">
        <v>0</v>
      </c>
      <c r="R83" s="70">
        <v>0</v>
      </c>
      <c r="S83" s="70">
        <v>0</v>
      </c>
      <c r="T83" s="70">
        <v>-0.01</v>
      </c>
      <c r="U83" s="70">
        <v>250</v>
      </c>
      <c r="V83" s="70">
        <v>3332.6</v>
      </c>
      <c r="W83" s="70">
        <v>23.4</v>
      </c>
      <c r="X83" s="70">
        <v>42.13</v>
      </c>
      <c r="Y83" s="70">
        <v>23.4</v>
      </c>
      <c r="Z83" s="80">
        <v>-107.37</v>
      </c>
      <c r="AA83" s="70">
        <v>268.45999999999998</v>
      </c>
      <c r="AC83" s="70">
        <v>65.53</v>
      </c>
      <c r="AD83" s="75">
        <v>117.95</v>
      </c>
      <c r="AE83" s="75">
        <v>324.07</v>
      </c>
      <c r="AF83" s="75">
        <v>3582.6</v>
      </c>
      <c r="AG83" s="75">
        <v>257.91000000000003</v>
      </c>
      <c r="AH83" s="75">
        <v>71.650000000000006</v>
      </c>
      <c r="AI83" s="70">
        <v>42.34</v>
      </c>
      <c r="AJ83" s="70">
        <v>507.55</v>
      </c>
      <c r="AK83" s="70">
        <v>187.23</v>
      </c>
      <c r="AL83" s="70">
        <v>220.47000000000003</v>
      </c>
      <c r="AM83" s="70">
        <v>196.17785565655458</v>
      </c>
      <c r="AN83" s="71" t="s">
        <v>651</v>
      </c>
      <c r="AO83" s="71"/>
      <c r="AP83" s="71"/>
      <c r="AQ83" s="71"/>
    </row>
    <row r="84" spans="1:43" s="75" customFormat="1" x14ac:dyDescent="0.2">
      <c r="A84" s="68" t="s">
        <v>558</v>
      </c>
      <c r="B84" s="68" t="s">
        <v>461</v>
      </c>
      <c r="C84" s="70">
        <v>15</v>
      </c>
      <c r="D84" s="70">
        <v>0</v>
      </c>
      <c r="E84" s="70">
        <v>200</v>
      </c>
      <c r="F84" s="70">
        <v>212.11</v>
      </c>
      <c r="G84" s="70">
        <v>3000</v>
      </c>
      <c r="H84" s="70">
        <v>0</v>
      </c>
      <c r="I84" s="70">
        <v>0</v>
      </c>
      <c r="J84" s="70">
        <v>3000</v>
      </c>
      <c r="K84" s="70">
        <v>59.69</v>
      </c>
      <c r="L84" s="70">
        <v>0</v>
      </c>
      <c r="M84" s="70">
        <v>75.56</v>
      </c>
      <c r="N84" s="70">
        <v>0</v>
      </c>
      <c r="O84" s="70">
        <v>0</v>
      </c>
      <c r="P84" s="70"/>
      <c r="Q84" s="70">
        <v>0</v>
      </c>
      <c r="R84" s="70">
        <v>0</v>
      </c>
      <c r="S84" s="70">
        <v>0</v>
      </c>
      <c r="T84" s="70">
        <v>0.15</v>
      </c>
      <c r="U84" s="70">
        <v>135.4</v>
      </c>
      <c r="V84" s="70">
        <v>2864.6</v>
      </c>
      <c r="W84" s="70">
        <v>19.89</v>
      </c>
      <c r="X84" s="70">
        <v>35.79</v>
      </c>
      <c r="Y84" s="70">
        <v>19.88</v>
      </c>
      <c r="Z84" s="80">
        <v>-145.38</v>
      </c>
      <c r="AA84" s="70">
        <v>205.07</v>
      </c>
      <c r="AC84" s="70">
        <v>55.68</v>
      </c>
      <c r="AD84" s="75">
        <v>100.22</v>
      </c>
      <c r="AE84" s="75">
        <v>314.22000000000003</v>
      </c>
      <c r="AF84" s="75">
        <v>3000</v>
      </c>
      <c r="AG84" s="75">
        <v>246.65</v>
      </c>
      <c r="AH84" s="75">
        <v>60</v>
      </c>
      <c r="AI84" s="70">
        <v>35.97</v>
      </c>
      <c r="AJ84" s="70">
        <v>470.12</v>
      </c>
      <c r="AK84" s="70">
        <v>159.08000000000001</v>
      </c>
      <c r="AL84" s="70">
        <v>214.84</v>
      </c>
      <c r="AM84" s="70">
        <v>164.27554484722373</v>
      </c>
      <c r="AN84" s="71" t="s">
        <v>651</v>
      </c>
      <c r="AO84" s="71"/>
      <c r="AP84" s="71"/>
      <c r="AQ84" s="71"/>
    </row>
    <row r="85" spans="1:43" s="75" customFormat="1" x14ac:dyDescent="0.2">
      <c r="A85" s="70" t="s">
        <v>559</v>
      </c>
      <c r="B85" s="70" t="s">
        <v>462</v>
      </c>
      <c r="C85" s="70">
        <v>15</v>
      </c>
      <c r="D85" s="70">
        <v>0</v>
      </c>
      <c r="E85" s="70">
        <v>238.84</v>
      </c>
      <c r="F85" s="70">
        <v>249.64</v>
      </c>
      <c r="G85" s="70">
        <v>3582.6</v>
      </c>
      <c r="H85" s="70">
        <v>0</v>
      </c>
      <c r="I85" s="70">
        <v>0</v>
      </c>
      <c r="J85" s="70">
        <v>3582.6</v>
      </c>
      <c r="K85" s="70">
        <v>161.08000000000001</v>
      </c>
      <c r="L85" s="70">
        <v>0</v>
      </c>
      <c r="M85" s="70">
        <v>88.93</v>
      </c>
      <c r="N85" s="70">
        <v>692.74</v>
      </c>
      <c r="O85" s="70">
        <v>0</v>
      </c>
      <c r="P85" s="70"/>
      <c r="Q85" s="70">
        <v>0</v>
      </c>
      <c r="R85" s="70">
        <v>550.83000000000004</v>
      </c>
      <c r="S85" s="70">
        <v>0</v>
      </c>
      <c r="T85" s="80">
        <v>0.02</v>
      </c>
      <c r="U85" s="70">
        <v>1493.6</v>
      </c>
      <c r="V85" s="70">
        <v>2089</v>
      </c>
      <c r="W85" s="70">
        <v>23.4</v>
      </c>
      <c r="X85" s="70">
        <v>42.13</v>
      </c>
      <c r="Y85" s="70">
        <v>23.4</v>
      </c>
      <c r="Z85" s="80">
        <v>-107.37</v>
      </c>
      <c r="AA85" s="70">
        <v>268.45999999999998</v>
      </c>
      <c r="AC85" s="70">
        <v>65.53</v>
      </c>
      <c r="AD85" s="75">
        <v>117.95</v>
      </c>
      <c r="AE85" s="75">
        <v>324.07</v>
      </c>
      <c r="AF85" s="75">
        <v>3582.6</v>
      </c>
      <c r="AG85" s="75">
        <v>257.91000000000003</v>
      </c>
      <c r="AH85" s="75">
        <v>71.650000000000006</v>
      </c>
      <c r="AI85" s="70">
        <v>42.34</v>
      </c>
      <c r="AJ85" s="70">
        <v>507.55</v>
      </c>
      <c r="AK85" s="70">
        <v>187.23</v>
      </c>
      <c r="AL85" s="70">
        <v>220.47000000000003</v>
      </c>
      <c r="AM85" s="70">
        <v>196.17785565655458</v>
      </c>
      <c r="AN85" s="71" t="s">
        <v>651</v>
      </c>
      <c r="AO85" s="71"/>
      <c r="AP85" s="71"/>
      <c r="AQ85" s="71"/>
    </row>
    <row r="86" spans="1:43" s="75" customFormat="1" x14ac:dyDescent="0.2">
      <c r="A86" s="70" t="s">
        <v>560</v>
      </c>
      <c r="B86" s="70" t="s">
        <v>463</v>
      </c>
      <c r="C86" s="70">
        <v>15</v>
      </c>
      <c r="D86" s="70">
        <v>0</v>
      </c>
      <c r="E86" s="70">
        <v>238.84</v>
      </c>
      <c r="F86" s="70">
        <v>249.64</v>
      </c>
      <c r="G86" s="70">
        <v>3582.6</v>
      </c>
      <c r="H86" s="70">
        <v>0</v>
      </c>
      <c r="I86" s="70">
        <v>0</v>
      </c>
      <c r="J86" s="70">
        <v>3582.6</v>
      </c>
      <c r="K86" s="70">
        <v>161.08000000000001</v>
      </c>
      <c r="L86" s="70">
        <v>0</v>
      </c>
      <c r="M86" s="70">
        <v>88.93</v>
      </c>
      <c r="N86" s="70">
        <v>0</v>
      </c>
      <c r="O86" s="70">
        <v>996.12</v>
      </c>
      <c r="P86" s="70"/>
      <c r="Q86" s="70">
        <v>0</v>
      </c>
      <c r="R86" s="70">
        <v>283.2</v>
      </c>
      <c r="S86" s="70">
        <v>0</v>
      </c>
      <c r="T86" s="80">
        <v>7.0000000000000007E-2</v>
      </c>
      <c r="U86" s="70">
        <v>1529.4</v>
      </c>
      <c r="V86" s="70">
        <v>2053.1999999999998</v>
      </c>
      <c r="W86" s="70">
        <v>23.4</v>
      </c>
      <c r="X86" s="70">
        <v>42.13</v>
      </c>
      <c r="Y86" s="70">
        <v>23.4</v>
      </c>
      <c r="Z86" s="80">
        <v>-107.37</v>
      </c>
      <c r="AA86" s="70">
        <v>268.45999999999998</v>
      </c>
      <c r="AC86" s="70">
        <v>65.53</v>
      </c>
      <c r="AD86" s="75">
        <v>117.95</v>
      </c>
      <c r="AE86" s="75">
        <v>324.07</v>
      </c>
      <c r="AF86" s="75">
        <v>3582.6</v>
      </c>
      <c r="AG86" s="75">
        <v>257.91000000000003</v>
      </c>
      <c r="AH86" s="75">
        <v>71.650000000000006</v>
      </c>
      <c r="AI86" s="70">
        <v>42.34</v>
      </c>
      <c r="AJ86" s="70">
        <v>507.55</v>
      </c>
      <c r="AK86" s="70">
        <v>187.23</v>
      </c>
      <c r="AL86" s="70">
        <v>220.47000000000003</v>
      </c>
      <c r="AM86" s="70">
        <v>196.17785565655458</v>
      </c>
      <c r="AN86" s="71" t="s">
        <v>651</v>
      </c>
      <c r="AO86" s="71"/>
      <c r="AP86" s="71"/>
      <c r="AQ86" s="71"/>
    </row>
    <row r="87" spans="1:43" s="75" customFormat="1" x14ac:dyDescent="0.2">
      <c r="A87" s="70" t="s">
        <v>561</v>
      </c>
      <c r="B87" s="70" t="s">
        <v>465</v>
      </c>
      <c r="C87" s="70">
        <v>15</v>
      </c>
      <c r="D87" s="70">
        <v>0</v>
      </c>
      <c r="E87" s="70">
        <v>166.67</v>
      </c>
      <c r="F87" s="70">
        <v>174.2</v>
      </c>
      <c r="G87" s="70">
        <v>2500.0500000000002</v>
      </c>
      <c r="H87" s="70">
        <v>0</v>
      </c>
      <c r="I87" s="70">
        <v>0</v>
      </c>
      <c r="J87" s="70">
        <v>2500.0500000000002</v>
      </c>
      <c r="K87" s="70">
        <v>0</v>
      </c>
      <c r="L87" s="70">
        <v>-9.6199999999999992</v>
      </c>
      <c r="M87" s="70">
        <v>62.06</v>
      </c>
      <c r="N87" s="70">
        <v>0</v>
      </c>
      <c r="O87" s="70">
        <v>0</v>
      </c>
      <c r="P87" s="70"/>
      <c r="Q87" s="70">
        <v>0</v>
      </c>
      <c r="R87" s="70">
        <v>0</v>
      </c>
      <c r="S87" s="70">
        <v>0</v>
      </c>
      <c r="T87" s="80">
        <v>0.01</v>
      </c>
      <c r="U87" s="70">
        <v>52.45</v>
      </c>
      <c r="V87" s="70">
        <v>2447.6</v>
      </c>
      <c r="W87" s="70">
        <v>16.329999999999998</v>
      </c>
      <c r="X87" s="70">
        <v>29.4</v>
      </c>
      <c r="Y87" s="70">
        <v>16.329999999999998</v>
      </c>
      <c r="Z87" s="80">
        <v>-160.30000000000001</v>
      </c>
      <c r="AA87" s="70">
        <v>150.66999999999999</v>
      </c>
      <c r="AC87" s="70">
        <v>45.73</v>
      </c>
      <c r="AD87" s="75">
        <v>82.31</v>
      </c>
      <c r="AE87" s="75">
        <v>304.27</v>
      </c>
      <c r="AF87" s="75">
        <v>2500.0500000000002</v>
      </c>
      <c r="AG87" s="75">
        <v>235.28</v>
      </c>
      <c r="AH87" s="75">
        <v>50</v>
      </c>
      <c r="AI87" s="70">
        <v>29.54</v>
      </c>
      <c r="AJ87" s="70">
        <v>432.31</v>
      </c>
      <c r="AK87" s="70">
        <v>130.65</v>
      </c>
      <c r="AL87" s="70">
        <v>209.15</v>
      </c>
      <c r="AM87" s="70">
        <v>136.89902529843388</v>
      </c>
      <c r="AN87" s="71" t="s">
        <v>651</v>
      </c>
      <c r="AO87" s="71"/>
      <c r="AP87" s="71"/>
      <c r="AQ87" s="71"/>
    </row>
    <row r="88" spans="1:43" s="75" customFormat="1" x14ac:dyDescent="0.2">
      <c r="A88" s="70" t="s">
        <v>562</v>
      </c>
      <c r="B88" s="70" t="s">
        <v>466</v>
      </c>
      <c r="C88" s="70">
        <v>15</v>
      </c>
      <c r="D88" s="70">
        <v>0</v>
      </c>
      <c r="E88" s="70">
        <v>195.38</v>
      </c>
      <c r="F88" s="70">
        <v>204.21</v>
      </c>
      <c r="G88" s="70">
        <v>2930.7</v>
      </c>
      <c r="H88" s="70">
        <v>0</v>
      </c>
      <c r="I88" s="70">
        <v>0</v>
      </c>
      <c r="J88" s="70">
        <v>2930.7</v>
      </c>
      <c r="K88" s="70">
        <v>52.15</v>
      </c>
      <c r="L88" s="70">
        <v>0</v>
      </c>
      <c r="M88" s="70">
        <v>72.75</v>
      </c>
      <c r="N88" s="70">
        <v>888.39</v>
      </c>
      <c r="O88" s="70">
        <v>0</v>
      </c>
      <c r="P88" s="70"/>
      <c r="Q88" s="70">
        <v>0</v>
      </c>
      <c r="R88" s="70">
        <v>0</v>
      </c>
      <c r="S88" s="70">
        <v>0</v>
      </c>
      <c r="T88" s="80">
        <v>0.01</v>
      </c>
      <c r="U88" s="70">
        <v>1013.3</v>
      </c>
      <c r="V88" s="70">
        <v>1917.4</v>
      </c>
      <c r="W88" s="70">
        <v>19.14</v>
      </c>
      <c r="X88" s="70">
        <v>34.46</v>
      </c>
      <c r="Y88" s="70">
        <v>19.149999999999999</v>
      </c>
      <c r="Z88" s="80">
        <v>-145.38</v>
      </c>
      <c r="AA88" s="70">
        <v>197.53</v>
      </c>
      <c r="AC88" s="70">
        <v>53.61</v>
      </c>
      <c r="AD88" s="75">
        <v>96.49</v>
      </c>
      <c r="AE88" s="75">
        <v>312.14</v>
      </c>
      <c r="AF88" s="75">
        <v>2930.7</v>
      </c>
      <c r="AG88" s="75">
        <v>244.28</v>
      </c>
      <c r="AH88" s="75">
        <v>58.61</v>
      </c>
      <c r="AI88" s="70">
        <v>34.630000000000003</v>
      </c>
      <c r="AJ88" s="70">
        <v>462.24</v>
      </c>
      <c r="AK88" s="70">
        <v>153.16</v>
      </c>
      <c r="AL88" s="70">
        <v>213.65</v>
      </c>
      <c r="AM88" s="70">
        <v>160.48077976125285</v>
      </c>
      <c r="AN88" s="71" t="s">
        <v>651</v>
      </c>
      <c r="AO88" s="71"/>
      <c r="AP88" s="71"/>
      <c r="AQ88" s="71"/>
    </row>
    <row r="89" spans="1:43" s="75" customFormat="1" x14ac:dyDescent="0.2">
      <c r="A89" s="70" t="s">
        <v>563</v>
      </c>
      <c r="B89" s="70" t="s">
        <v>468</v>
      </c>
      <c r="C89" s="70">
        <v>15</v>
      </c>
      <c r="D89" s="70">
        <v>0</v>
      </c>
      <c r="E89" s="70">
        <v>195.38</v>
      </c>
      <c r="F89" s="70">
        <v>204.21</v>
      </c>
      <c r="G89" s="70">
        <v>2930.7</v>
      </c>
      <c r="H89" s="70">
        <v>0</v>
      </c>
      <c r="I89" s="70">
        <v>0</v>
      </c>
      <c r="J89" s="70">
        <v>2930.7</v>
      </c>
      <c r="K89" s="70">
        <v>52.15</v>
      </c>
      <c r="L89" s="70">
        <v>0</v>
      </c>
      <c r="M89" s="70">
        <v>72.75</v>
      </c>
      <c r="N89" s="70">
        <v>910.13</v>
      </c>
      <c r="O89" s="70">
        <v>0</v>
      </c>
      <c r="P89" s="70"/>
      <c r="Q89" s="70">
        <v>0</v>
      </c>
      <c r="R89" s="70">
        <v>352.08</v>
      </c>
      <c r="S89" s="70">
        <v>0</v>
      </c>
      <c r="T89" s="70">
        <v>-0.01</v>
      </c>
      <c r="U89" s="70">
        <v>1387.1</v>
      </c>
      <c r="V89" s="70">
        <v>1543.6</v>
      </c>
      <c r="W89" s="70">
        <v>19.14</v>
      </c>
      <c r="X89" s="70">
        <v>34.46</v>
      </c>
      <c r="Y89" s="70">
        <v>19.149999999999999</v>
      </c>
      <c r="Z89" s="80">
        <v>-145.38</v>
      </c>
      <c r="AA89" s="70">
        <v>197.53</v>
      </c>
      <c r="AC89" s="70">
        <v>53.61</v>
      </c>
      <c r="AD89" s="75">
        <v>96.49</v>
      </c>
      <c r="AE89" s="75">
        <v>312.14</v>
      </c>
      <c r="AF89" s="75">
        <v>2930.7</v>
      </c>
      <c r="AG89" s="75">
        <v>244.28</v>
      </c>
      <c r="AH89" s="75">
        <v>58.61</v>
      </c>
      <c r="AI89" s="70">
        <v>34.630000000000003</v>
      </c>
      <c r="AJ89" s="70">
        <v>462.24</v>
      </c>
      <c r="AK89" s="70">
        <v>153.16</v>
      </c>
      <c r="AL89" s="70">
        <v>213.65</v>
      </c>
      <c r="AM89" s="70">
        <v>160.48077976125285</v>
      </c>
      <c r="AN89" s="71" t="s">
        <v>651</v>
      </c>
      <c r="AO89" s="71"/>
      <c r="AP89" s="71"/>
      <c r="AQ89" s="71"/>
    </row>
    <row r="90" spans="1:43" s="75" customFormat="1" x14ac:dyDescent="0.2">
      <c r="A90" s="70" t="s">
        <v>564</v>
      </c>
      <c r="B90" s="70" t="s">
        <v>501</v>
      </c>
      <c r="C90" s="70">
        <v>15</v>
      </c>
      <c r="D90" s="70">
        <v>0</v>
      </c>
      <c r="E90" s="70">
        <v>166.67</v>
      </c>
      <c r="F90" s="70">
        <v>176.76</v>
      </c>
      <c r="G90" s="70">
        <v>2500.0500000000002</v>
      </c>
      <c r="H90" s="70">
        <v>0</v>
      </c>
      <c r="I90" s="70">
        <v>0</v>
      </c>
      <c r="J90" s="70">
        <v>2500.0500000000002</v>
      </c>
      <c r="K90" s="70">
        <v>0</v>
      </c>
      <c r="L90" s="80">
        <v>-9.6199999999999992</v>
      </c>
      <c r="M90" s="70">
        <v>62.97</v>
      </c>
      <c r="N90" s="70">
        <v>0</v>
      </c>
      <c r="O90" s="70">
        <v>127.82</v>
      </c>
      <c r="P90" s="82"/>
      <c r="Q90" s="82">
        <v>0</v>
      </c>
      <c r="R90" s="70">
        <v>285.48</v>
      </c>
      <c r="S90" s="70">
        <v>0</v>
      </c>
      <c r="T90" s="70">
        <v>0</v>
      </c>
      <c r="U90" s="70">
        <v>466.65</v>
      </c>
      <c r="V90" s="70">
        <v>2033.4</v>
      </c>
      <c r="W90" s="70">
        <v>16.57</v>
      </c>
      <c r="X90" s="70">
        <v>29.83</v>
      </c>
      <c r="Y90" s="70">
        <v>16.57</v>
      </c>
      <c r="Z90" s="80">
        <v>-160.30000000000001</v>
      </c>
      <c r="AA90" s="70">
        <v>150.66999999999999</v>
      </c>
      <c r="AC90" s="70">
        <v>46.4</v>
      </c>
      <c r="AD90" s="75">
        <v>83.52</v>
      </c>
      <c r="AE90" s="70">
        <v>304.94</v>
      </c>
      <c r="AF90" s="70">
        <v>2500.0500000000002</v>
      </c>
      <c r="AG90" s="70">
        <v>236.05</v>
      </c>
      <c r="AH90" s="70">
        <v>50</v>
      </c>
      <c r="AI90" s="70">
        <v>29.98</v>
      </c>
      <c r="AJ90" s="70">
        <v>434.86</v>
      </c>
      <c r="AK90" s="70">
        <v>132.57</v>
      </c>
      <c r="AL90" s="70">
        <v>209.53</v>
      </c>
      <c r="AM90" s="70">
        <v>136.89902529843388</v>
      </c>
      <c r="AN90" s="71" t="s">
        <v>651</v>
      </c>
      <c r="AO90" s="71"/>
      <c r="AP90" s="71"/>
      <c r="AQ90" s="71"/>
    </row>
    <row r="91" spans="1:43" s="75" customFormat="1" x14ac:dyDescent="0.2">
      <c r="A91" s="70" t="s">
        <v>566</v>
      </c>
      <c r="B91" s="70" t="s">
        <v>506</v>
      </c>
      <c r="C91" s="70">
        <v>15</v>
      </c>
      <c r="D91" s="70">
        <v>0</v>
      </c>
      <c r="E91" s="70">
        <v>166.67</v>
      </c>
      <c r="F91" s="70">
        <v>177.03</v>
      </c>
      <c r="G91" s="70">
        <v>2500.0500000000002</v>
      </c>
      <c r="H91" s="70">
        <v>0</v>
      </c>
      <c r="I91" s="70">
        <v>0</v>
      </c>
      <c r="J91" s="70">
        <v>2500.0500000000002</v>
      </c>
      <c r="K91" s="70">
        <v>0</v>
      </c>
      <c r="L91" s="70">
        <v>-9.6199999999999992</v>
      </c>
      <c r="M91" s="70">
        <v>63.07</v>
      </c>
      <c r="N91" s="70">
        <v>0</v>
      </c>
      <c r="O91" s="70">
        <v>0</v>
      </c>
      <c r="P91" s="70"/>
      <c r="Q91" s="70">
        <v>0</v>
      </c>
      <c r="R91" s="70">
        <v>0</v>
      </c>
      <c r="S91" s="70">
        <v>0</v>
      </c>
      <c r="T91" s="70">
        <v>0</v>
      </c>
      <c r="U91" s="70">
        <v>53.45</v>
      </c>
      <c r="V91" s="70">
        <v>2446.6</v>
      </c>
      <c r="W91" s="70">
        <v>16.600000000000001</v>
      </c>
      <c r="X91" s="70">
        <v>29.87</v>
      </c>
      <c r="Y91" s="70">
        <v>16.600000000000001</v>
      </c>
      <c r="Z91" s="80">
        <v>-160.30000000000001</v>
      </c>
      <c r="AA91" s="70">
        <v>150.66999999999999</v>
      </c>
      <c r="AC91" s="70">
        <v>46.47</v>
      </c>
      <c r="AD91" s="75">
        <v>83.65</v>
      </c>
      <c r="AE91" s="75">
        <v>305.01</v>
      </c>
      <c r="AF91" s="75">
        <v>2500.0500000000002</v>
      </c>
      <c r="AG91" s="75">
        <v>236.13</v>
      </c>
      <c r="AH91" s="75">
        <v>50</v>
      </c>
      <c r="AI91" s="70">
        <v>30.02</v>
      </c>
      <c r="AJ91" s="70">
        <v>435.13</v>
      </c>
      <c r="AK91" s="70">
        <v>132.77000000000001</v>
      </c>
      <c r="AL91" s="70">
        <v>209.57000000000002</v>
      </c>
      <c r="AM91" s="70">
        <v>136.89902529843388</v>
      </c>
      <c r="AN91" s="71" t="s">
        <v>651</v>
      </c>
      <c r="AO91" s="71"/>
      <c r="AP91" s="71"/>
      <c r="AQ91" s="71"/>
    </row>
    <row r="92" spans="1:43" s="75" customFormat="1" x14ac:dyDescent="0.2">
      <c r="A92" s="70" t="s">
        <v>568</v>
      </c>
      <c r="B92" s="70" t="s">
        <v>567</v>
      </c>
      <c r="C92" s="70">
        <v>15</v>
      </c>
      <c r="D92" s="70">
        <v>0</v>
      </c>
      <c r="E92" s="70">
        <v>200</v>
      </c>
      <c r="F92" s="70">
        <v>209.04</v>
      </c>
      <c r="G92" s="70">
        <v>3000</v>
      </c>
      <c r="H92" s="70">
        <v>0</v>
      </c>
      <c r="I92" s="70">
        <v>0</v>
      </c>
      <c r="J92" s="70">
        <v>3000</v>
      </c>
      <c r="K92" s="70">
        <v>59.69</v>
      </c>
      <c r="L92" s="70">
        <v>0</v>
      </c>
      <c r="M92" s="70">
        <v>74.48</v>
      </c>
      <c r="N92" s="70">
        <v>0</v>
      </c>
      <c r="O92" s="70">
        <v>0</v>
      </c>
      <c r="P92" s="70"/>
      <c r="Q92" s="70">
        <v>0</v>
      </c>
      <c r="R92" s="70">
        <v>0</v>
      </c>
      <c r="S92" s="70">
        <v>0</v>
      </c>
      <c r="T92" s="80">
        <v>0.03</v>
      </c>
      <c r="U92" s="70">
        <v>134.19999999999999</v>
      </c>
      <c r="V92" s="70">
        <v>2865.8</v>
      </c>
      <c r="W92" s="70">
        <v>19.600000000000001</v>
      </c>
      <c r="X92" s="70">
        <v>35.28</v>
      </c>
      <c r="Y92" s="70">
        <v>19.600000000000001</v>
      </c>
      <c r="Z92" s="80">
        <v>-145.38</v>
      </c>
      <c r="AA92" s="70">
        <v>205.07</v>
      </c>
      <c r="AC92" s="70">
        <v>54.87</v>
      </c>
      <c r="AD92" s="75">
        <v>98.77</v>
      </c>
      <c r="AE92" s="75">
        <v>313.41000000000003</v>
      </c>
      <c r="AF92" s="75">
        <v>3000</v>
      </c>
      <c r="AG92" s="75">
        <v>245.73000000000002</v>
      </c>
      <c r="AH92" s="75">
        <v>60</v>
      </c>
      <c r="AI92" s="70">
        <v>35.450000000000003</v>
      </c>
      <c r="AJ92" s="70">
        <v>467.05</v>
      </c>
      <c r="AK92" s="70">
        <v>156.78</v>
      </c>
      <c r="AL92" s="70">
        <v>214.38</v>
      </c>
      <c r="AM92" s="70">
        <v>164.27554484722373</v>
      </c>
      <c r="AN92" s="71" t="s">
        <v>651</v>
      </c>
      <c r="AO92" s="71"/>
      <c r="AP92" s="71"/>
      <c r="AQ92" s="71"/>
    </row>
    <row r="93" spans="1:43" s="75" customFormat="1" x14ac:dyDescent="0.2">
      <c r="A93" s="70" t="s">
        <v>572</v>
      </c>
      <c r="B93" s="70" t="s">
        <v>573</v>
      </c>
      <c r="C93" s="70">
        <v>15</v>
      </c>
      <c r="D93" s="70">
        <v>0</v>
      </c>
      <c r="E93" s="70">
        <v>166.67</v>
      </c>
      <c r="F93" s="70">
        <v>175.8</v>
      </c>
      <c r="G93" s="70">
        <v>2500.0500000000002</v>
      </c>
      <c r="H93" s="70">
        <v>0</v>
      </c>
      <c r="I93" s="70">
        <v>0</v>
      </c>
      <c r="J93" s="70">
        <v>2500.0500000000002</v>
      </c>
      <c r="K93" s="70">
        <v>0</v>
      </c>
      <c r="L93" s="70">
        <v>-9.6199999999999992</v>
      </c>
      <c r="M93" s="70">
        <v>62.63</v>
      </c>
      <c r="N93" s="70">
        <v>0</v>
      </c>
      <c r="O93" s="70">
        <v>0</v>
      </c>
      <c r="P93" s="70"/>
      <c r="Q93" s="70">
        <v>0</v>
      </c>
      <c r="R93" s="70">
        <v>0</v>
      </c>
      <c r="S93" s="70">
        <v>0</v>
      </c>
      <c r="T93" s="80">
        <v>0.04</v>
      </c>
      <c r="U93" s="70">
        <v>53.05</v>
      </c>
      <c r="V93" s="70">
        <v>2447</v>
      </c>
      <c r="W93" s="70">
        <v>16.48</v>
      </c>
      <c r="X93" s="70">
        <v>29.67</v>
      </c>
      <c r="Y93" s="70">
        <v>16.48</v>
      </c>
      <c r="Z93" s="80">
        <v>-160.30000000000001</v>
      </c>
      <c r="AA93" s="70">
        <v>150.66999999999999</v>
      </c>
      <c r="AC93" s="70">
        <v>46.15</v>
      </c>
      <c r="AD93" s="75">
        <v>83.07</v>
      </c>
      <c r="AE93" s="75">
        <v>304.69</v>
      </c>
      <c r="AF93" s="75">
        <v>2500.0500000000002</v>
      </c>
      <c r="AG93" s="75">
        <v>235.76000000000002</v>
      </c>
      <c r="AH93" s="75">
        <v>50</v>
      </c>
      <c r="AI93" s="70">
        <v>29.82</v>
      </c>
      <c r="AJ93" s="70">
        <v>433.91</v>
      </c>
      <c r="AK93" s="70">
        <v>131.85</v>
      </c>
      <c r="AL93" s="70">
        <v>209.39000000000001</v>
      </c>
      <c r="AM93" s="70">
        <v>136.89902529843388</v>
      </c>
      <c r="AN93" s="71" t="s">
        <v>651</v>
      </c>
      <c r="AO93" s="71"/>
      <c r="AP93" s="71"/>
      <c r="AQ93" s="71"/>
    </row>
    <row r="94" spans="1:43" s="75" customFormat="1" x14ac:dyDescent="0.2">
      <c r="A94" s="70" t="s">
        <v>596</v>
      </c>
      <c r="B94" s="70" t="s">
        <v>597</v>
      </c>
      <c r="C94" s="70">
        <v>15</v>
      </c>
      <c r="D94" s="70">
        <v>0</v>
      </c>
      <c r="E94" s="70">
        <v>333.33</v>
      </c>
      <c r="F94" s="70">
        <v>353.52</v>
      </c>
      <c r="G94" s="70">
        <v>4999.95</v>
      </c>
      <c r="H94" s="70">
        <v>0</v>
      </c>
      <c r="I94" s="70">
        <v>0</v>
      </c>
      <c r="J94" s="70">
        <v>4999.95</v>
      </c>
      <c r="K94" s="70">
        <v>461.63</v>
      </c>
      <c r="L94" s="70">
        <v>0</v>
      </c>
      <c r="M94" s="70">
        <v>131.94999999999999</v>
      </c>
      <c r="N94" s="70">
        <v>0</v>
      </c>
      <c r="O94" s="70">
        <v>0</v>
      </c>
      <c r="P94" s="70"/>
      <c r="Q94" s="70">
        <v>0</v>
      </c>
      <c r="R94" s="70">
        <v>0</v>
      </c>
      <c r="S94" s="70">
        <v>0</v>
      </c>
      <c r="T94" s="80">
        <v>-0.03</v>
      </c>
      <c r="U94" s="70">
        <v>593.54999999999995</v>
      </c>
      <c r="V94" s="70">
        <v>4406.3999999999996</v>
      </c>
      <c r="W94" s="70">
        <v>33.14</v>
      </c>
      <c r="X94" s="70">
        <v>59.66</v>
      </c>
      <c r="Y94" s="70">
        <v>39.15</v>
      </c>
      <c r="Z94" s="80">
        <v>0</v>
      </c>
      <c r="AA94" s="70">
        <v>461.63</v>
      </c>
      <c r="AC94" s="70">
        <v>92.8</v>
      </c>
      <c r="AD94" s="75">
        <v>167.04</v>
      </c>
      <c r="AE94" s="75">
        <v>367.85</v>
      </c>
      <c r="AF94" s="75">
        <v>4999.95</v>
      </c>
      <c r="AG94" s="75">
        <v>289.08000000000004</v>
      </c>
      <c r="AH94" s="75">
        <v>100</v>
      </c>
      <c r="AI94" s="70">
        <v>59.96</v>
      </c>
      <c r="AJ94" s="70">
        <v>627.69000000000005</v>
      </c>
      <c r="AK94" s="70">
        <v>265.14</v>
      </c>
      <c r="AL94" s="70">
        <v>236.05</v>
      </c>
      <c r="AM94" s="70">
        <v>273.78983681962541</v>
      </c>
      <c r="AN94" s="71" t="s">
        <v>652</v>
      </c>
      <c r="AO94" s="71"/>
      <c r="AP94" s="71"/>
      <c r="AQ94" s="71"/>
    </row>
    <row r="95" spans="1:43" s="75" customFormat="1" x14ac:dyDescent="0.2">
      <c r="A95" s="70" t="s">
        <v>598</v>
      </c>
      <c r="B95" s="70" t="s">
        <v>599</v>
      </c>
      <c r="C95" s="70">
        <v>15</v>
      </c>
      <c r="D95" s="70">
        <v>0</v>
      </c>
      <c r="E95" s="70">
        <v>166.66</v>
      </c>
      <c r="F95" s="70">
        <v>174.19</v>
      </c>
      <c r="G95" s="70">
        <v>2499.9</v>
      </c>
      <c r="H95" s="70">
        <v>0</v>
      </c>
      <c r="I95" s="70">
        <v>0</v>
      </c>
      <c r="J95" s="70">
        <v>2499.9</v>
      </c>
      <c r="K95" s="70">
        <v>0</v>
      </c>
      <c r="L95" s="70">
        <v>-9.64</v>
      </c>
      <c r="M95" s="70">
        <v>62.06</v>
      </c>
      <c r="N95" s="70">
        <v>412.42</v>
      </c>
      <c r="O95" s="70">
        <v>0</v>
      </c>
      <c r="P95" s="70"/>
      <c r="Q95" s="70">
        <v>0</v>
      </c>
      <c r="R95" s="70">
        <v>0</v>
      </c>
      <c r="S95" s="70">
        <v>0</v>
      </c>
      <c r="T95" s="70">
        <v>-0.14000000000000001</v>
      </c>
      <c r="U95" s="70">
        <v>464.7</v>
      </c>
      <c r="V95" s="70">
        <v>2035.2</v>
      </c>
      <c r="W95" s="70">
        <v>16.329999999999998</v>
      </c>
      <c r="X95" s="70">
        <v>29.4</v>
      </c>
      <c r="Y95" s="70">
        <v>16.329999999999998</v>
      </c>
      <c r="Z95" s="80">
        <v>-160.30000000000001</v>
      </c>
      <c r="AA95" s="70">
        <v>150.66</v>
      </c>
      <c r="AC95" s="70">
        <v>45.73</v>
      </c>
      <c r="AD95" s="75">
        <v>82.31</v>
      </c>
      <c r="AE95" s="75">
        <v>304.27</v>
      </c>
      <c r="AF95" s="75">
        <v>2499.9</v>
      </c>
      <c r="AG95" s="75">
        <v>235.28</v>
      </c>
      <c r="AH95" s="75">
        <v>50</v>
      </c>
      <c r="AI95" s="70">
        <v>29.54</v>
      </c>
      <c r="AJ95" s="70">
        <v>432.31</v>
      </c>
      <c r="AK95" s="70">
        <v>130.65</v>
      </c>
      <c r="AL95" s="70">
        <v>209.15</v>
      </c>
      <c r="AM95" s="70">
        <v>136.89081152119152</v>
      </c>
      <c r="AN95" s="71" t="s">
        <v>651</v>
      </c>
      <c r="AO95" s="71"/>
      <c r="AP95" s="71"/>
      <c r="AQ95" s="71"/>
    </row>
    <row r="96" spans="1:43" s="75" customFormat="1" x14ac:dyDescent="0.2">
      <c r="A96" s="70" t="s">
        <v>600</v>
      </c>
      <c r="B96" s="70" t="s">
        <v>601</v>
      </c>
      <c r="C96" s="70">
        <v>15</v>
      </c>
      <c r="D96" s="70">
        <v>0</v>
      </c>
      <c r="E96" s="70">
        <v>200</v>
      </c>
      <c r="F96" s="70">
        <v>209.04</v>
      </c>
      <c r="G96" s="70">
        <v>3000</v>
      </c>
      <c r="H96" s="70">
        <v>0</v>
      </c>
      <c r="I96" s="70">
        <v>0</v>
      </c>
      <c r="J96" s="70">
        <v>3000</v>
      </c>
      <c r="K96" s="70">
        <v>59.69</v>
      </c>
      <c r="L96" s="70">
        <v>0</v>
      </c>
      <c r="M96" s="70">
        <v>74.48</v>
      </c>
      <c r="N96" s="70">
        <v>0</v>
      </c>
      <c r="O96" s="70">
        <v>0</v>
      </c>
      <c r="P96" s="70"/>
      <c r="Q96" s="70">
        <v>0</v>
      </c>
      <c r="R96" s="70">
        <v>0</v>
      </c>
      <c r="S96" s="70">
        <v>0</v>
      </c>
      <c r="T96" s="70">
        <v>0.03</v>
      </c>
      <c r="U96" s="70">
        <v>134.19999999999999</v>
      </c>
      <c r="V96" s="70">
        <v>2865.8</v>
      </c>
      <c r="W96" s="70">
        <v>19.600000000000001</v>
      </c>
      <c r="X96" s="70">
        <v>35.28</v>
      </c>
      <c r="Y96" s="70">
        <v>19.600000000000001</v>
      </c>
      <c r="Z96" s="80">
        <v>-145.38</v>
      </c>
      <c r="AA96" s="70">
        <v>205.07</v>
      </c>
      <c r="AC96" s="70">
        <v>54.87</v>
      </c>
      <c r="AD96" s="75">
        <v>98.77</v>
      </c>
      <c r="AE96" s="75">
        <v>313.41000000000003</v>
      </c>
      <c r="AF96" s="75">
        <v>3000</v>
      </c>
      <c r="AG96" s="75">
        <v>245.73000000000002</v>
      </c>
      <c r="AH96" s="75">
        <v>60</v>
      </c>
      <c r="AI96" s="70">
        <v>35.450000000000003</v>
      </c>
      <c r="AJ96" s="70">
        <v>467.05</v>
      </c>
      <c r="AK96" s="70">
        <v>156.78</v>
      </c>
      <c r="AL96" s="70">
        <v>214.38</v>
      </c>
      <c r="AM96" s="70">
        <v>164.27554484722373</v>
      </c>
      <c r="AN96" s="71" t="s">
        <v>652</v>
      </c>
      <c r="AO96" s="71"/>
      <c r="AP96" s="71"/>
      <c r="AQ96" s="71"/>
    </row>
    <row r="97" spans="1:43" s="75" customFormat="1" x14ac:dyDescent="0.2">
      <c r="A97" s="70" t="s">
        <v>604</v>
      </c>
      <c r="B97" s="70" t="s">
        <v>605</v>
      </c>
      <c r="C97" s="70">
        <v>15</v>
      </c>
      <c r="D97" s="70">
        <v>0</v>
      </c>
      <c r="E97" s="70">
        <v>200</v>
      </c>
      <c r="F97" s="70">
        <v>212.11</v>
      </c>
      <c r="G97" s="70">
        <v>3000</v>
      </c>
      <c r="H97" s="70">
        <v>0</v>
      </c>
      <c r="I97" s="70">
        <v>0</v>
      </c>
      <c r="J97" s="70">
        <v>3000</v>
      </c>
      <c r="K97" s="70">
        <v>59.69</v>
      </c>
      <c r="L97" s="70">
        <v>0</v>
      </c>
      <c r="M97" s="70">
        <v>75.56</v>
      </c>
      <c r="N97" s="70">
        <v>0</v>
      </c>
      <c r="O97" s="70">
        <v>0</v>
      </c>
      <c r="P97" s="70"/>
      <c r="Q97" s="70">
        <v>581.73</v>
      </c>
      <c r="R97" s="70">
        <v>0</v>
      </c>
      <c r="S97" s="70">
        <v>0</v>
      </c>
      <c r="T97" s="70">
        <v>0.02</v>
      </c>
      <c r="U97" s="70">
        <v>717</v>
      </c>
      <c r="V97" s="70">
        <v>2283</v>
      </c>
      <c r="W97" s="70">
        <v>19.89</v>
      </c>
      <c r="X97" s="70">
        <v>35.79</v>
      </c>
      <c r="Y97" s="70">
        <v>19.88</v>
      </c>
      <c r="Z97" s="80">
        <v>-145.38</v>
      </c>
      <c r="AA97" s="70">
        <v>205.07</v>
      </c>
      <c r="AC97" s="70">
        <v>55.68</v>
      </c>
      <c r="AD97" s="75">
        <v>100.22</v>
      </c>
      <c r="AE97" s="75">
        <v>314.22000000000003</v>
      </c>
      <c r="AF97" s="75">
        <v>3000</v>
      </c>
      <c r="AG97" s="75">
        <v>246.65</v>
      </c>
      <c r="AH97" s="75">
        <v>60</v>
      </c>
      <c r="AI97" s="70">
        <v>35.97</v>
      </c>
      <c r="AJ97" s="70">
        <v>470.12</v>
      </c>
      <c r="AK97" s="70">
        <v>159.08000000000001</v>
      </c>
      <c r="AL97" s="70">
        <v>214.84</v>
      </c>
      <c r="AM97" s="70">
        <v>164.27554484722373</v>
      </c>
      <c r="AN97" s="71" t="s">
        <v>651</v>
      </c>
      <c r="AO97" s="71"/>
      <c r="AP97" s="71"/>
      <c r="AQ97" s="71"/>
    </row>
    <row r="98" spans="1:43" s="75" customFormat="1" x14ac:dyDescent="0.2">
      <c r="A98" s="70" t="s">
        <v>608</v>
      </c>
      <c r="B98" s="70" t="s">
        <v>609</v>
      </c>
      <c r="C98" s="70">
        <v>15</v>
      </c>
      <c r="D98" s="70">
        <v>0</v>
      </c>
      <c r="E98" s="70">
        <v>256.67</v>
      </c>
      <c r="F98" s="70">
        <v>272.20999999999998</v>
      </c>
      <c r="G98" s="70">
        <v>3850.05</v>
      </c>
      <c r="H98" s="70">
        <v>0</v>
      </c>
      <c r="I98" s="70">
        <v>0</v>
      </c>
      <c r="J98" s="70">
        <v>3850.05</v>
      </c>
      <c r="K98" s="70">
        <v>297.55</v>
      </c>
      <c r="L98" s="70">
        <v>0</v>
      </c>
      <c r="M98" s="70">
        <v>98.1</v>
      </c>
      <c r="N98" s="70">
        <v>0</v>
      </c>
      <c r="O98" s="70">
        <v>0</v>
      </c>
      <c r="P98" s="70"/>
      <c r="Q98" s="70">
        <v>0</v>
      </c>
      <c r="R98" s="70">
        <v>616.65</v>
      </c>
      <c r="S98" s="70">
        <v>0</v>
      </c>
      <c r="T98" s="70">
        <v>0.15</v>
      </c>
      <c r="U98" s="70">
        <v>1012.45</v>
      </c>
      <c r="V98" s="70">
        <v>2837.6</v>
      </c>
      <c r="W98" s="70">
        <v>25.52</v>
      </c>
      <c r="X98" s="70">
        <v>45.94</v>
      </c>
      <c r="Y98" s="70">
        <v>26.64</v>
      </c>
      <c r="Z98" s="80">
        <v>0</v>
      </c>
      <c r="AA98" s="70">
        <v>297.55</v>
      </c>
      <c r="AC98" s="70">
        <v>71.459999999999994</v>
      </c>
      <c r="AD98" s="75">
        <v>128.62</v>
      </c>
      <c r="AE98" s="75">
        <v>333.08</v>
      </c>
      <c r="AF98" s="75">
        <v>3850.05</v>
      </c>
      <c r="AG98" s="75">
        <v>264.68</v>
      </c>
      <c r="AH98" s="75">
        <v>77</v>
      </c>
      <c r="AI98" s="70">
        <v>46.17</v>
      </c>
      <c r="AJ98" s="70">
        <v>533.16</v>
      </c>
      <c r="AK98" s="70">
        <v>204.16</v>
      </c>
      <c r="AL98" s="70">
        <v>223.85000000000002</v>
      </c>
      <c r="AM98" s="70">
        <v>210.8230204796846</v>
      </c>
      <c r="AN98" s="71" t="s">
        <v>651</v>
      </c>
      <c r="AO98" s="71"/>
      <c r="AP98" s="71"/>
      <c r="AQ98" s="71"/>
    </row>
    <row r="99" spans="1:43" x14ac:dyDescent="0.2">
      <c r="A99" s="63" t="s">
        <v>610</v>
      </c>
      <c r="B99" s="63" t="s">
        <v>611</v>
      </c>
      <c r="C99" s="68">
        <v>15</v>
      </c>
      <c r="D99" s="68">
        <v>0</v>
      </c>
      <c r="E99" s="68">
        <v>233.33</v>
      </c>
      <c r="F99" s="68">
        <v>243.88</v>
      </c>
      <c r="G99" s="68">
        <v>3499.95</v>
      </c>
      <c r="H99" s="68">
        <v>0</v>
      </c>
      <c r="I99" s="68">
        <v>0</v>
      </c>
      <c r="J99" s="68">
        <v>3499.95</v>
      </c>
      <c r="K99" s="68">
        <v>134.36000000000001</v>
      </c>
      <c r="L99" s="68">
        <v>0</v>
      </c>
      <c r="M99" s="68">
        <v>86.88</v>
      </c>
      <c r="N99" s="68">
        <v>0</v>
      </c>
      <c r="O99" s="68">
        <v>0</v>
      </c>
      <c r="P99" s="68"/>
      <c r="Q99" s="68">
        <v>0</v>
      </c>
      <c r="R99" s="68">
        <v>0</v>
      </c>
      <c r="S99" s="68">
        <v>0</v>
      </c>
      <c r="T99" s="68">
        <v>0.11</v>
      </c>
      <c r="U99" s="68">
        <v>221.35</v>
      </c>
      <c r="V99" s="68">
        <v>3278.6</v>
      </c>
      <c r="W99" s="68">
        <v>22.86</v>
      </c>
      <c r="X99" s="68">
        <v>41.15</v>
      </c>
      <c r="Y99" s="68">
        <v>22.87</v>
      </c>
      <c r="Z99" s="79">
        <v>-125.1</v>
      </c>
      <c r="AA99" s="68">
        <v>259.45999999999998</v>
      </c>
      <c r="AC99" s="68">
        <v>64.02</v>
      </c>
      <c r="AD99" s="71">
        <v>115.23</v>
      </c>
      <c r="AE99" s="71">
        <v>322.56</v>
      </c>
      <c r="AF99" s="71">
        <v>3499.95</v>
      </c>
      <c r="AG99" s="71">
        <v>256.18</v>
      </c>
      <c r="AH99" s="71">
        <v>70</v>
      </c>
      <c r="AI99" s="68">
        <v>41.36</v>
      </c>
      <c r="AJ99" s="68">
        <v>501.81</v>
      </c>
      <c r="AK99" s="68">
        <v>182.91</v>
      </c>
      <c r="AL99" s="68">
        <v>219.60000000000002</v>
      </c>
      <c r="AM99" s="68">
        <v>191.65206439601357</v>
      </c>
      <c r="AN99" s="71" t="s">
        <v>652</v>
      </c>
    </row>
    <row r="100" spans="1:43" x14ac:dyDescent="0.2">
      <c r="A100" s="63" t="s">
        <v>612</v>
      </c>
      <c r="B100" s="63" t="s">
        <v>613</v>
      </c>
      <c r="C100" s="68">
        <v>15</v>
      </c>
      <c r="D100" s="68">
        <v>0</v>
      </c>
      <c r="E100" s="68">
        <v>166.67</v>
      </c>
      <c r="F100" s="68">
        <v>174.2</v>
      </c>
      <c r="G100" s="68">
        <v>2500.0500000000002</v>
      </c>
      <c r="H100" s="68">
        <v>0</v>
      </c>
      <c r="I100" s="68">
        <v>0</v>
      </c>
      <c r="J100" s="68">
        <v>2500.0500000000002</v>
      </c>
      <c r="K100" s="68">
        <v>0</v>
      </c>
      <c r="L100" s="68">
        <v>-9.6199999999999992</v>
      </c>
      <c r="M100" s="68">
        <v>62.06</v>
      </c>
      <c r="N100" s="68">
        <v>0</v>
      </c>
      <c r="O100" s="68">
        <v>0</v>
      </c>
      <c r="P100" s="68"/>
      <c r="Q100" s="68">
        <v>0</v>
      </c>
      <c r="R100" s="68">
        <v>0</v>
      </c>
      <c r="S100" s="68">
        <v>0</v>
      </c>
      <c r="T100" s="68">
        <v>0.01</v>
      </c>
      <c r="U100" s="68">
        <v>52.45</v>
      </c>
      <c r="V100" s="68">
        <v>2447.6</v>
      </c>
      <c r="W100" s="68">
        <v>16.329999999999998</v>
      </c>
      <c r="X100" s="68">
        <v>29.4</v>
      </c>
      <c r="Y100" s="68">
        <v>16.329999999999998</v>
      </c>
      <c r="Z100" s="79">
        <v>-160.30000000000001</v>
      </c>
      <c r="AA100" s="68">
        <v>150.66999999999999</v>
      </c>
      <c r="AC100" s="68">
        <v>45.73</v>
      </c>
      <c r="AD100" s="71">
        <v>82.31</v>
      </c>
      <c r="AE100" s="71">
        <v>304.27</v>
      </c>
      <c r="AF100" s="71">
        <v>2500.0500000000002</v>
      </c>
      <c r="AG100" s="71">
        <v>235.28</v>
      </c>
      <c r="AH100" s="71">
        <v>50</v>
      </c>
      <c r="AI100" s="68">
        <v>29.54</v>
      </c>
      <c r="AJ100" s="68">
        <v>432.31</v>
      </c>
      <c r="AK100" s="68">
        <v>130.65</v>
      </c>
      <c r="AL100" s="68">
        <v>209.15</v>
      </c>
      <c r="AM100" s="68">
        <v>136.89902529843388</v>
      </c>
      <c r="AN100" s="71" t="s">
        <v>651</v>
      </c>
    </row>
    <row r="101" spans="1:43" x14ac:dyDescent="0.2">
      <c r="A101" s="63" t="s">
        <v>618</v>
      </c>
      <c r="B101" s="63" t="s">
        <v>619</v>
      </c>
      <c r="C101" s="68">
        <v>15</v>
      </c>
      <c r="D101" s="68">
        <v>0</v>
      </c>
      <c r="E101" s="68">
        <v>233.33</v>
      </c>
      <c r="F101" s="68">
        <v>243.88</v>
      </c>
      <c r="G101" s="68">
        <v>3499.95</v>
      </c>
      <c r="H101" s="68">
        <v>0</v>
      </c>
      <c r="I101" s="68">
        <v>0</v>
      </c>
      <c r="J101" s="68">
        <v>3499.95</v>
      </c>
      <c r="K101" s="68">
        <v>134.36000000000001</v>
      </c>
      <c r="L101" s="68">
        <v>0</v>
      </c>
      <c r="M101" s="68">
        <v>86.88</v>
      </c>
      <c r="N101" s="68">
        <v>0</v>
      </c>
      <c r="O101" s="68">
        <v>0</v>
      </c>
      <c r="P101" s="68"/>
      <c r="Q101" s="68">
        <v>0</v>
      </c>
      <c r="R101" s="68">
        <v>0</v>
      </c>
      <c r="S101" s="68">
        <v>0</v>
      </c>
      <c r="T101" s="68">
        <v>-0.09</v>
      </c>
      <c r="U101" s="68">
        <v>221.15</v>
      </c>
      <c r="V101" s="68">
        <v>3278.8</v>
      </c>
      <c r="W101" s="68">
        <v>22.86</v>
      </c>
      <c r="X101" s="68">
        <v>41.15</v>
      </c>
      <c r="Y101" s="68">
        <v>22.87</v>
      </c>
      <c r="Z101" s="79">
        <v>-125.1</v>
      </c>
      <c r="AA101" s="68">
        <v>259.45999999999998</v>
      </c>
      <c r="AC101" s="68">
        <v>64.02</v>
      </c>
      <c r="AD101" s="71">
        <v>115.23</v>
      </c>
      <c r="AE101" s="71">
        <v>322.56</v>
      </c>
      <c r="AF101" s="71">
        <v>3499.95</v>
      </c>
      <c r="AG101" s="71">
        <v>256.18</v>
      </c>
      <c r="AH101" s="71">
        <v>70</v>
      </c>
      <c r="AI101" s="68">
        <v>41.36</v>
      </c>
      <c r="AJ101" s="68">
        <v>501.81</v>
      </c>
      <c r="AK101" s="68">
        <v>182.91</v>
      </c>
      <c r="AL101" s="68">
        <v>219.60000000000002</v>
      </c>
      <c r="AM101" s="68">
        <v>191.65206439601357</v>
      </c>
      <c r="AN101" s="71" t="s">
        <v>651</v>
      </c>
    </row>
    <row r="102" spans="1:43" x14ac:dyDescent="0.2">
      <c r="A102" s="63" t="s">
        <v>620</v>
      </c>
      <c r="B102" s="63" t="s">
        <v>621</v>
      </c>
      <c r="C102" s="68">
        <v>15</v>
      </c>
      <c r="D102" s="68">
        <v>0</v>
      </c>
      <c r="E102" s="68">
        <v>230</v>
      </c>
      <c r="F102" s="68">
        <v>243.93</v>
      </c>
      <c r="G102" s="68">
        <v>3450</v>
      </c>
      <c r="H102" s="68">
        <v>0</v>
      </c>
      <c r="I102" s="68">
        <v>0</v>
      </c>
      <c r="J102" s="68">
        <v>3450</v>
      </c>
      <c r="K102" s="68">
        <v>128.93</v>
      </c>
      <c r="L102" s="68">
        <v>0</v>
      </c>
      <c r="M102" s="68">
        <v>86.9</v>
      </c>
      <c r="N102" s="68">
        <v>0</v>
      </c>
      <c r="O102" s="68">
        <v>0</v>
      </c>
      <c r="P102" s="68"/>
      <c r="Q102" s="68">
        <v>0</v>
      </c>
      <c r="R102" s="68">
        <v>0</v>
      </c>
      <c r="S102" s="68">
        <v>0</v>
      </c>
      <c r="T102" s="68">
        <v>0.17</v>
      </c>
      <c r="U102" s="68">
        <v>216</v>
      </c>
      <c r="V102" s="68">
        <v>3234</v>
      </c>
      <c r="W102" s="68">
        <v>22.87</v>
      </c>
      <c r="X102" s="68">
        <v>41.16</v>
      </c>
      <c r="Y102" s="68">
        <v>22.87</v>
      </c>
      <c r="Z102" s="79">
        <v>-125.1</v>
      </c>
      <c r="AA102" s="68">
        <v>254.03</v>
      </c>
      <c r="AC102" s="68">
        <v>64.03</v>
      </c>
      <c r="AD102" s="71">
        <v>115.26</v>
      </c>
      <c r="AE102" s="71">
        <v>322.57</v>
      </c>
      <c r="AF102" s="71">
        <v>3450</v>
      </c>
      <c r="AG102" s="71">
        <v>256.20000000000005</v>
      </c>
      <c r="AH102" s="71">
        <v>69</v>
      </c>
      <c r="AI102" s="68">
        <v>41.37</v>
      </c>
      <c r="AJ102" s="68">
        <v>501.86</v>
      </c>
      <c r="AK102" s="68">
        <v>182.95</v>
      </c>
      <c r="AL102" s="68">
        <v>219.61</v>
      </c>
      <c r="AM102" s="68">
        <v>188.91687657430728</v>
      </c>
      <c r="AN102" s="159" t="s">
        <v>651</v>
      </c>
    </row>
    <row r="103" spans="1:43" x14ac:dyDescent="0.2">
      <c r="A103" s="63" t="s">
        <v>622</v>
      </c>
      <c r="B103" s="63" t="s">
        <v>623</v>
      </c>
      <c r="C103" s="68">
        <v>15</v>
      </c>
      <c r="D103" s="68">
        <v>0</v>
      </c>
      <c r="E103" s="68">
        <v>233.33</v>
      </c>
      <c r="F103" s="68">
        <v>247.46</v>
      </c>
      <c r="G103" s="68">
        <v>3499.95</v>
      </c>
      <c r="H103" s="68">
        <v>0</v>
      </c>
      <c r="I103" s="68">
        <v>0</v>
      </c>
      <c r="J103" s="68">
        <v>3499.95</v>
      </c>
      <c r="K103" s="68">
        <v>134.36000000000001</v>
      </c>
      <c r="L103" s="68">
        <v>0</v>
      </c>
      <c r="M103" s="68">
        <v>88.16</v>
      </c>
      <c r="N103" s="68">
        <v>1599.02</v>
      </c>
      <c r="O103" s="68">
        <v>0</v>
      </c>
      <c r="P103" s="68"/>
      <c r="Q103" s="68">
        <v>0</v>
      </c>
      <c r="R103" s="68">
        <v>0</v>
      </c>
      <c r="S103" s="68">
        <v>0</v>
      </c>
      <c r="T103" s="68">
        <v>0.01</v>
      </c>
      <c r="U103" s="68">
        <v>1821.55</v>
      </c>
      <c r="V103" s="68">
        <v>1678.4</v>
      </c>
      <c r="W103" s="68">
        <v>23.2</v>
      </c>
      <c r="X103" s="68">
        <v>41.76</v>
      </c>
      <c r="Y103" s="68">
        <v>23.2</v>
      </c>
      <c r="Z103" s="79">
        <v>-125.1</v>
      </c>
      <c r="AA103" s="68">
        <v>259.45999999999998</v>
      </c>
      <c r="AC103" s="68">
        <v>64.959999999999994</v>
      </c>
      <c r="AD103" s="71">
        <v>116.92</v>
      </c>
      <c r="AE103" s="71">
        <v>323.5</v>
      </c>
      <c r="AF103" s="71">
        <v>3499.95</v>
      </c>
      <c r="AG103" s="71">
        <v>257.26</v>
      </c>
      <c r="AH103" s="71">
        <v>70</v>
      </c>
      <c r="AI103" s="68">
        <v>41.97</v>
      </c>
      <c r="AJ103" s="68">
        <v>505.38</v>
      </c>
      <c r="AK103" s="68">
        <v>185.6</v>
      </c>
      <c r="AL103" s="68">
        <v>220.14000000000001</v>
      </c>
      <c r="AM103" s="68">
        <v>191.65206439601357</v>
      </c>
      <c r="AN103" s="71" t="s">
        <v>651</v>
      </c>
    </row>
    <row r="104" spans="1:43" x14ac:dyDescent="0.2">
      <c r="A104" s="63" t="s">
        <v>624</v>
      </c>
      <c r="B104" s="63" t="s">
        <v>625</v>
      </c>
      <c r="C104" s="68">
        <v>15</v>
      </c>
      <c r="D104" s="68">
        <v>0</v>
      </c>
      <c r="E104" s="68">
        <v>210</v>
      </c>
      <c r="F104" s="68">
        <v>222.72</v>
      </c>
      <c r="G104" s="68">
        <v>3150</v>
      </c>
      <c r="H104" s="68">
        <v>0</v>
      </c>
      <c r="I104" s="68">
        <v>0</v>
      </c>
      <c r="J104" s="68">
        <v>3150</v>
      </c>
      <c r="K104" s="68">
        <v>96.29</v>
      </c>
      <c r="L104" s="68">
        <v>0</v>
      </c>
      <c r="M104" s="68">
        <v>79.34</v>
      </c>
      <c r="N104" s="68">
        <v>0</v>
      </c>
      <c r="O104" s="68">
        <v>0</v>
      </c>
      <c r="P104" s="68"/>
      <c r="Q104" s="68">
        <v>0</v>
      </c>
      <c r="R104" s="68">
        <v>0</v>
      </c>
      <c r="S104" s="68">
        <v>0</v>
      </c>
      <c r="T104" s="68">
        <v>-0.03</v>
      </c>
      <c r="U104" s="68">
        <v>175.6</v>
      </c>
      <c r="V104" s="68">
        <v>2974.4</v>
      </c>
      <c r="W104" s="68">
        <v>20.88</v>
      </c>
      <c r="X104" s="68">
        <v>37.58</v>
      </c>
      <c r="Y104" s="68">
        <v>20.88</v>
      </c>
      <c r="Z104" s="79">
        <v>-125.1</v>
      </c>
      <c r="AA104" s="68">
        <v>221.39</v>
      </c>
      <c r="AC104" s="68">
        <v>58.46</v>
      </c>
      <c r="AD104" s="71">
        <v>105.24</v>
      </c>
      <c r="AE104" s="71">
        <v>317.01</v>
      </c>
      <c r="AF104" s="71">
        <v>3150</v>
      </c>
      <c r="AG104" s="71">
        <v>249.84</v>
      </c>
      <c r="AH104" s="71">
        <v>63</v>
      </c>
      <c r="AI104" s="68">
        <v>37.770000000000003</v>
      </c>
      <c r="AJ104" s="68">
        <v>480.71</v>
      </c>
      <c r="AK104" s="68">
        <v>167.04</v>
      </c>
      <c r="AL104" s="68">
        <v>216.43</v>
      </c>
      <c r="AM104" s="68">
        <v>172.48932208958493</v>
      </c>
      <c r="AN104" s="71" t="s">
        <v>651</v>
      </c>
    </row>
    <row r="105" spans="1:43" x14ac:dyDescent="0.2">
      <c r="A105" s="63" t="s">
        <v>626</v>
      </c>
      <c r="B105" s="63" t="s">
        <v>627</v>
      </c>
      <c r="C105" s="68">
        <v>15</v>
      </c>
      <c r="D105" s="68">
        <v>0</v>
      </c>
      <c r="E105" s="68">
        <v>210</v>
      </c>
      <c r="F105" s="68">
        <v>222.72</v>
      </c>
      <c r="G105" s="68">
        <v>3150</v>
      </c>
      <c r="H105" s="68">
        <v>0</v>
      </c>
      <c r="I105" s="68">
        <v>0</v>
      </c>
      <c r="J105" s="68">
        <v>3150</v>
      </c>
      <c r="K105" s="68">
        <v>96.29</v>
      </c>
      <c r="L105" s="68">
        <v>0</v>
      </c>
      <c r="M105" s="68">
        <v>79.34</v>
      </c>
      <c r="N105" s="68">
        <v>0</v>
      </c>
      <c r="O105" s="68">
        <v>313.83</v>
      </c>
      <c r="P105" s="68"/>
      <c r="Q105" s="68">
        <v>0</v>
      </c>
      <c r="R105" s="68">
        <v>0</v>
      </c>
      <c r="S105" s="68">
        <v>0</v>
      </c>
      <c r="T105" s="68">
        <v>-0.06</v>
      </c>
      <c r="U105" s="68">
        <v>489.4</v>
      </c>
      <c r="V105" s="68">
        <v>2660.6</v>
      </c>
      <c r="W105" s="68">
        <v>20.88</v>
      </c>
      <c r="X105" s="68">
        <v>37.58</v>
      </c>
      <c r="Y105" s="68">
        <v>20.88</v>
      </c>
      <c r="Z105" s="79">
        <v>-125.1</v>
      </c>
      <c r="AA105" s="68">
        <v>221.39</v>
      </c>
      <c r="AC105" s="68">
        <v>58.46</v>
      </c>
      <c r="AD105" s="71">
        <v>105.24</v>
      </c>
      <c r="AE105" s="71">
        <v>317.01</v>
      </c>
      <c r="AF105" s="71">
        <v>3150</v>
      </c>
      <c r="AG105" s="71">
        <v>249.84</v>
      </c>
      <c r="AH105" s="71">
        <v>63</v>
      </c>
      <c r="AI105" s="68">
        <v>37.770000000000003</v>
      </c>
      <c r="AJ105" s="68">
        <v>480.71</v>
      </c>
      <c r="AK105" s="68">
        <v>167.04</v>
      </c>
      <c r="AL105" s="68">
        <v>216.43</v>
      </c>
      <c r="AM105" s="68">
        <v>172.48932208958493</v>
      </c>
      <c r="AN105" s="71" t="s">
        <v>651</v>
      </c>
    </row>
    <row r="106" spans="1:43" x14ac:dyDescent="0.2">
      <c r="A106" s="63" t="s">
        <v>628</v>
      </c>
      <c r="B106" s="63" t="s">
        <v>629</v>
      </c>
      <c r="C106" s="68">
        <v>15</v>
      </c>
      <c r="D106" s="68">
        <v>0</v>
      </c>
      <c r="E106" s="68">
        <v>210</v>
      </c>
      <c r="F106" s="68">
        <v>222.72</v>
      </c>
      <c r="G106" s="68">
        <v>3150</v>
      </c>
      <c r="H106" s="68">
        <v>0</v>
      </c>
      <c r="I106" s="68">
        <v>0</v>
      </c>
      <c r="J106" s="68">
        <v>3150</v>
      </c>
      <c r="K106" s="68">
        <v>96.29</v>
      </c>
      <c r="L106" s="68">
        <v>0</v>
      </c>
      <c r="M106" s="68">
        <v>79.34</v>
      </c>
      <c r="N106" s="68">
        <v>852.79</v>
      </c>
      <c r="O106" s="68">
        <v>0</v>
      </c>
      <c r="P106" s="68"/>
      <c r="Q106" s="68">
        <v>1782.2</v>
      </c>
      <c r="R106" s="68">
        <v>0</v>
      </c>
      <c r="S106" s="68">
        <v>0</v>
      </c>
      <c r="T106" s="68">
        <v>-0.02</v>
      </c>
      <c r="U106" s="68">
        <v>2810.6</v>
      </c>
      <c r="V106" s="68">
        <v>339.4</v>
      </c>
      <c r="W106" s="68">
        <v>20.88</v>
      </c>
      <c r="X106" s="68">
        <v>37.58</v>
      </c>
      <c r="Y106" s="68">
        <v>20.88</v>
      </c>
      <c r="Z106" s="79">
        <v>-125.1</v>
      </c>
      <c r="AA106" s="68">
        <v>221.39</v>
      </c>
      <c r="AC106" s="68">
        <v>58.46</v>
      </c>
      <c r="AD106" s="71">
        <v>105.24</v>
      </c>
      <c r="AE106" s="71">
        <v>317.01</v>
      </c>
      <c r="AF106" s="71">
        <v>3150</v>
      </c>
      <c r="AG106" s="71">
        <v>249.84</v>
      </c>
      <c r="AH106" s="71">
        <v>63</v>
      </c>
      <c r="AI106" s="68">
        <v>37.770000000000003</v>
      </c>
      <c r="AJ106" s="68">
        <v>480.71</v>
      </c>
      <c r="AK106" s="68">
        <v>167.04</v>
      </c>
      <c r="AL106" s="68">
        <v>216.43</v>
      </c>
      <c r="AM106" s="68">
        <v>172.48932208958493</v>
      </c>
      <c r="AN106" s="71" t="s">
        <v>651</v>
      </c>
    </row>
    <row r="107" spans="1:43" x14ac:dyDescent="0.2">
      <c r="A107" s="68" t="s">
        <v>630</v>
      </c>
      <c r="B107" s="68" t="s">
        <v>631</v>
      </c>
      <c r="C107" s="68">
        <v>15</v>
      </c>
      <c r="D107" s="68">
        <v>0</v>
      </c>
      <c r="E107" s="68">
        <v>210</v>
      </c>
      <c r="F107" s="68">
        <v>222.72</v>
      </c>
      <c r="G107" s="68">
        <v>3150</v>
      </c>
      <c r="H107" s="68">
        <v>0</v>
      </c>
      <c r="I107" s="68">
        <v>0</v>
      </c>
      <c r="J107" s="68">
        <v>3150</v>
      </c>
      <c r="K107" s="68">
        <v>96.29</v>
      </c>
      <c r="L107" s="68">
        <v>0</v>
      </c>
      <c r="M107" s="68">
        <v>79.34</v>
      </c>
      <c r="N107" s="68">
        <v>0</v>
      </c>
      <c r="O107" s="68">
        <v>0</v>
      </c>
      <c r="P107" s="68"/>
      <c r="Q107" s="68">
        <v>0</v>
      </c>
      <c r="R107" s="68">
        <v>0</v>
      </c>
      <c r="S107" s="68">
        <v>0</v>
      </c>
      <c r="T107" s="68">
        <v>-0.03</v>
      </c>
      <c r="U107" s="68">
        <v>175.6</v>
      </c>
      <c r="V107" s="68">
        <v>2974.4</v>
      </c>
      <c r="W107" s="68">
        <v>20.88</v>
      </c>
      <c r="X107" s="68">
        <v>37.58</v>
      </c>
      <c r="Y107" s="68">
        <v>20.88</v>
      </c>
      <c r="Z107" s="79">
        <v>-125.1</v>
      </c>
      <c r="AA107" s="68">
        <v>221.39</v>
      </c>
      <c r="AC107" s="68">
        <v>58.46</v>
      </c>
      <c r="AD107" s="71">
        <v>105.24</v>
      </c>
      <c r="AE107" s="71">
        <v>317.01</v>
      </c>
      <c r="AF107" s="71">
        <v>3150</v>
      </c>
      <c r="AG107" s="71">
        <v>249.84</v>
      </c>
      <c r="AH107" s="71">
        <v>63</v>
      </c>
      <c r="AI107" s="68">
        <v>37.770000000000003</v>
      </c>
      <c r="AJ107" s="68">
        <v>480.71</v>
      </c>
      <c r="AK107" s="68">
        <v>167.04</v>
      </c>
      <c r="AL107" s="68">
        <v>216.43</v>
      </c>
      <c r="AM107" s="68">
        <v>172.48932208958493</v>
      </c>
      <c r="AN107" s="71" t="s">
        <v>651</v>
      </c>
    </row>
    <row r="108" spans="1:43" s="75" customFormat="1" x14ac:dyDescent="0.2">
      <c r="A108" s="70" t="s">
        <v>632</v>
      </c>
      <c r="B108" s="70" t="s">
        <v>633</v>
      </c>
      <c r="C108" s="70">
        <v>15</v>
      </c>
      <c r="D108" s="70">
        <v>0</v>
      </c>
      <c r="E108" s="70">
        <v>210</v>
      </c>
      <c r="F108" s="70">
        <v>222.72</v>
      </c>
      <c r="G108" s="70">
        <v>3150</v>
      </c>
      <c r="H108" s="70">
        <v>0</v>
      </c>
      <c r="I108" s="70">
        <v>0</v>
      </c>
      <c r="J108" s="70">
        <v>3150</v>
      </c>
      <c r="K108" s="70">
        <v>96.29</v>
      </c>
      <c r="L108" s="70">
        <v>0</v>
      </c>
      <c r="M108" s="70">
        <v>79.34</v>
      </c>
      <c r="N108" s="70">
        <v>0</v>
      </c>
      <c r="O108" s="70">
        <v>1074.28</v>
      </c>
      <c r="P108" s="70"/>
      <c r="Q108" s="70">
        <v>0</v>
      </c>
      <c r="R108" s="70">
        <v>0</v>
      </c>
      <c r="S108" s="70">
        <v>0</v>
      </c>
      <c r="T108" s="70">
        <v>-0.11</v>
      </c>
      <c r="U108" s="70">
        <v>1249.8</v>
      </c>
      <c r="V108" s="70">
        <v>1900.2</v>
      </c>
      <c r="W108" s="70">
        <v>20.88</v>
      </c>
      <c r="X108" s="70">
        <v>37.58</v>
      </c>
      <c r="Y108" s="70">
        <v>20.88</v>
      </c>
      <c r="Z108" s="80">
        <v>-125.1</v>
      </c>
      <c r="AA108" s="70">
        <v>221.39</v>
      </c>
      <c r="AC108" s="70">
        <v>58.46</v>
      </c>
      <c r="AD108" s="75">
        <v>105.24</v>
      </c>
      <c r="AE108" s="75">
        <v>317.01</v>
      </c>
      <c r="AF108" s="75">
        <v>3150</v>
      </c>
      <c r="AG108" s="75">
        <v>249.84</v>
      </c>
      <c r="AH108" s="75">
        <v>63</v>
      </c>
      <c r="AI108" s="70">
        <v>37.770000000000003</v>
      </c>
      <c r="AJ108" s="70">
        <v>480.71</v>
      </c>
      <c r="AK108" s="70">
        <v>167.04</v>
      </c>
      <c r="AL108" s="70">
        <v>216.43</v>
      </c>
      <c r="AM108" s="70">
        <v>172.48932208958493</v>
      </c>
      <c r="AN108" s="71" t="s">
        <v>651</v>
      </c>
      <c r="AO108" s="71"/>
      <c r="AP108" s="71"/>
      <c r="AQ108" s="71"/>
    </row>
    <row r="109" spans="1:43" x14ac:dyDescent="0.2">
      <c r="A109" s="68" t="s">
        <v>636</v>
      </c>
      <c r="B109" s="68" t="s">
        <v>637</v>
      </c>
      <c r="C109" s="68">
        <v>15</v>
      </c>
      <c r="D109" s="68">
        <v>0</v>
      </c>
      <c r="E109" s="68">
        <v>200</v>
      </c>
      <c r="F109" s="68">
        <v>209.04</v>
      </c>
      <c r="G109" s="68">
        <v>3000</v>
      </c>
      <c r="H109" s="68">
        <v>0</v>
      </c>
      <c r="I109" s="68">
        <v>0</v>
      </c>
      <c r="J109" s="68">
        <v>3000</v>
      </c>
      <c r="K109" s="68">
        <v>59.69</v>
      </c>
      <c r="L109" s="68">
        <v>0</v>
      </c>
      <c r="M109" s="68">
        <v>74.48</v>
      </c>
      <c r="N109" s="68">
        <v>0</v>
      </c>
      <c r="O109" s="68">
        <v>1718.44</v>
      </c>
      <c r="P109" s="68"/>
      <c r="Q109" s="68">
        <v>0</v>
      </c>
      <c r="R109" s="68">
        <v>0</v>
      </c>
      <c r="S109" s="68">
        <v>0</v>
      </c>
      <c r="T109" s="68">
        <v>-0.01</v>
      </c>
      <c r="U109" s="68">
        <v>1852.6</v>
      </c>
      <c r="V109" s="68">
        <v>1147.4000000000001</v>
      </c>
      <c r="W109" s="68">
        <v>19.600000000000001</v>
      </c>
      <c r="X109" s="68">
        <v>35.28</v>
      </c>
      <c r="Y109" s="68">
        <v>19.600000000000001</v>
      </c>
      <c r="Z109" s="79">
        <v>-145.38</v>
      </c>
      <c r="AA109" s="68">
        <v>205.07</v>
      </c>
      <c r="AC109" s="68">
        <v>54.87</v>
      </c>
      <c r="AD109" s="71">
        <v>98.77</v>
      </c>
      <c r="AE109" s="71">
        <v>313.41000000000003</v>
      </c>
      <c r="AF109" s="71">
        <v>3000</v>
      </c>
      <c r="AG109" s="71">
        <v>245.73000000000002</v>
      </c>
      <c r="AH109" s="71">
        <v>60</v>
      </c>
      <c r="AI109" s="68">
        <v>35.450000000000003</v>
      </c>
      <c r="AJ109" s="68">
        <v>467.05</v>
      </c>
      <c r="AK109" s="68">
        <v>156.78</v>
      </c>
      <c r="AL109" s="68">
        <v>214.38</v>
      </c>
      <c r="AM109" s="68">
        <v>164.27554484722373</v>
      </c>
      <c r="AN109" s="71" t="s">
        <v>651</v>
      </c>
    </row>
    <row r="110" spans="1:43" x14ac:dyDescent="0.2">
      <c r="A110" s="68" t="s">
        <v>638</v>
      </c>
      <c r="B110" s="68" t="s">
        <v>639</v>
      </c>
      <c r="C110" s="68">
        <v>15</v>
      </c>
      <c r="D110" s="68">
        <v>0</v>
      </c>
      <c r="E110" s="68">
        <v>200</v>
      </c>
      <c r="F110" s="68">
        <v>209.04</v>
      </c>
      <c r="G110" s="68">
        <v>3000</v>
      </c>
      <c r="H110" s="68">
        <v>0</v>
      </c>
      <c r="I110" s="68">
        <v>0</v>
      </c>
      <c r="J110" s="68">
        <v>3000</v>
      </c>
      <c r="K110" s="68">
        <v>59.69</v>
      </c>
      <c r="L110" s="68">
        <v>0</v>
      </c>
      <c r="M110" s="68">
        <v>74.48</v>
      </c>
      <c r="N110" s="68">
        <v>0</v>
      </c>
      <c r="O110" s="68">
        <v>0</v>
      </c>
      <c r="P110" s="68"/>
      <c r="Q110" s="68">
        <v>0</v>
      </c>
      <c r="R110" s="68">
        <v>0</v>
      </c>
      <c r="S110" s="68">
        <v>0</v>
      </c>
      <c r="T110" s="68">
        <v>0.03</v>
      </c>
      <c r="U110" s="68">
        <v>134.19999999999999</v>
      </c>
      <c r="V110" s="68">
        <v>2865.8</v>
      </c>
      <c r="W110" s="68">
        <v>19.600000000000001</v>
      </c>
      <c r="X110" s="68">
        <v>35.28</v>
      </c>
      <c r="Y110" s="68">
        <v>19.600000000000001</v>
      </c>
      <c r="Z110" s="79">
        <v>-145.38</v>
      </c>
      <c r="AA110" s="68">
        <v>205.07</v>
      </c>
      <c r="AC110" s="68">
        <v>54.87</v>
      </c>
      <c r="AD110" s="71">
        <v>98.77</v>
      </c>
      <c r="AE110" s="71">
        <v>313.41000000000003</v>
      </c>
      <c r="AF110" s="71">
        <v>3000</v>
      </c>
      <c r="AG110" s="71">
        <v>245.73000000000002</v>
      </c>
      <c r="AH110" s="71">
        <v>60</v>
      </c>
      <c r="AI110" s="68">
        <v>35.450000000000003</v>
      </c>
      <c r="AJ110" s="68">
        <v>467.05</v>
      </c>
      <c r="AK110" s="68">
        <v>156.78</v>
      </c>
      <c r="AL110" s="68">
        <v>214.38</v>
      </c>
      <c r="AM110" s="68">
        <v>164.27554484722373</v>
      </c>
      <c r="AN110" s="71" t="s">
        <v>651</v>
      </c>
    </row>
    <row r="111" spans="1:43" x14ac:dyDescent="0.2">
      <c r="A111" s="68" t="s">
        <v>640</v>
      </c>
      <c r="B111" s="68" t="s">
        <v>641</v>
      </c>
      <c r="C111" s="68">
        <v>15</v>
      </c>
      <c r="D111" s="68">
        <v>0</v>
      </c>
      <c r="E111" s="68">
        <v>200</v>
      </c>
      <c r="F111" s="68">
        <v>209.04</v>
      </c>
      <c r="G111" s="68">
        <v>3000</v>
      </c>
      <c r="H111" s="68">
        <v>0</v>
      </c>
      <c r="I111" s="68">
        <v>0</v>
      </c>
      <c r="J111" s="68">
        <v>3000</v>
      </c>
      <c r="K111" s="68">
        <v>59.69</v>
      </c>
      <c r="L111" s="68">
        <v>0</v>
      </c>
      <c r="M111" s="68">
        <v>74.48</v>
      </c>
      <c r="N111" s="68">
        <v>0</v>
      </c>
      <c r="O111" s="68">
        <v>0</v>
      </c>
      <c r="P111" s="68"/>
      <c r="Q111" s="68">
        <v>0</v>
      </c>
      <c r="R111" s="68">
        <v>0</v>
      </c>
      <c r="S111" s="68">
        <v>0</v>
      </c>
      <c r="T111" s="68">
        <v>0.03</v>
      </c>
      <c r="U111" s="68">
        <v>134.19999999999999</v>
      </c>
      <c r="V111" s="68">
        <v>2865.8</v>
      </c>
      <c r="W111" s="68">
        <v>19.600000000000001</v>
      </c>
      <c r="X111" s="68">
        <v>35.28</v>
      </c>
      <c r="Y111" s="68">
        <v>19.600000000000001</v>
      </c>
      <c r="Z111" s="79">
        <v>-145.38</v>
      </c>
      <c r="AA111" s="68">
        <v>205.07</v>
      </c>
      <c r="AC111" s="68">
        <v>54.87</v>
      </c>
      <c r="AD111" s="71">
        <v>98.77</v>
      </c>
      <c r="AE111" s="71">
        <v>313.41000000000003</v>
      </c>
      <c r="AF111" s="71">
        <v>3000</v>
      </c>
      <c r="AG111" s="71">
        <v>245.73000000000002</v>
      </c>
      <c r="AH111" s="71">
        <v>60</v>
      </c>
      <c r="AI111" s="68">
        <v>35.450000000000003</v>
      </c>
      <c r="AJ111" s="68">
        <v>467.05</v>
      </c>
      <c r="AK111" s="68">
        <v>156.78</v>
      </c>
      <c r="AL111" s="68">
        <v>214.38</v>
      </c>
      <c r="AM111" s="68">
        <v>164.27554484722373</v>
      </c>
      <c r="AN111" s="71" t="s">
        <v>651</v>
      </c>
    </row>
    <row r="112" spans="1:43" x14ac:dyDescent="0.2">
      <c r="A112" s="68" t="s">
        <v>642</v>
      </c>
      <c r="B112" s="68" t="s">
        <v>643</v>
      </c>
      <c r="C112" s="68">
        <v>15</v>
      </c>
      <c r="D112" s="68">
        <v>0</v>
      </c>
      <c r="E112" s="68">
        <v>200</v>
      </c>
      <c r="F112" s="68">
        <v>209.04</v>
      </c>
      <c r="G112" s="68">
        <v>3000</v>
      </c>
      <c r="H112" s="68">
        <v>0</v>
      </c>
      <c r="I112" s="68">
        <v>0</v>
      </c>
      <c r="J112" s="68">
        <v>3000</v>
      </c>
      <c r="K112" s="68">
        <v>59.69</v>
      </c>
      <c r="L112" s="68">
        <v>0</v>
      </c>
      <c r="M112" s="68">
        <v>74.48</v>
      </c>
      <c r="N112" s="68">
        <v>0</v>
      </c>
      <c r="O112" s="68">
        <v>0</v>
      </c>
      <c r="P112" s="68"/>
      <c r="Q112" s="68">
        <v>0</v>
      </c>
      <c r="R112" s="68">
        <v>0</v>
      </c>
      <c r="S112" s="68">
        <v>0</v>
      </c>
      <c r="T112" s="68">
        <v>0.03</v>
      </c>
      <c r="U112" s="68">
        <v>134.19999999999999</v>
      </c>
      <c r="V112" s="68">
        <v>2865.8</v>
      </c>
      <c r="W112" s="68">
        <v>19.600000000000001</v>
      </c>
      <c r="X112" s="68">
        <v>35.28</v>
      </c>
      <c r="Y112" s="68">
        <v>19.600000000000001</v>
      </c>
      <c r="Z112" s="79">
        <v>-145.38</v>
      </c>
      <c r="AA112" s="68">
        <v>205.07</v>
      </c>
      <c r="AC112" s="68">
        <v>54.87</v>
      </c>
      <c r="AD112" s="71">
        <v>98.77</v>
      </c>
      <c r="AE112" s="71">
        <v>313.41000000000003</v>
      </c>
      <c r="AF112" s="71">
        <v>3000</v>
      </c>
      <c r="AG112" s="71">
        <v>245.73000000000002</v>
      </c>
      <c r="AH112" s="71">
        <v>60</v>
      </c>
      <c r="AI112" s="68">
        <v>35.450000000000003</v>
      </c>
      <c r="AJ112" s="68">
        <v>467.05</v>
      </c>
      <c r="AK112" s="68">
        <v>156.78</v>
      </c>
      <c r="AL112" s="68">
        <v>214.38</v>
      </c>
      <c r="AM112" s="68">
        <v>164.27554484722373</v>
      </c>
      <c r="AN112" s="71" t="s">
        <v>651</v>
      </c>
    </row>
    <row r="113" spans="1:40" x14ac:dyDescent="0.2">
      <c r="A113" s="68" t="s">
        <v>648</v>
      </c>
      <c r="B113" s="68" t="s">
        <v>649</v>
      </c>
      <c r="C113" s="68">
        <v>15</v>
      </c>
      <c r="D113" s="68">
        <v>0</v>
      </c>
      <c r="E113" s="68">
        <v>200</v>
      </c>
      <c r="F113" s="68">
        <v>212.11</v>
      </c>
      <c r="G113" s="68">
        <v>3000</v>
      </c>
      <c r="H113" s="68">
        <v>0</v>
      </c>
      <c r="I113" s="68">
        <v>0</v>
      </c>
      <c r="J113" s="68">
        <v>3000</v>
      </c>
      <c r="K113" s="68">
        <v>59.69</v>
      </c>
      <c r="L113" s="68">
        <v>0</v>
      </c>
      <c r="M113" s="68">
        <v>75.56</v>
      </c>
      <c r="N113" s="68">
        <v>0</v>
      </c>
      <c r="O113" s="68">
        <v>482.09</v>
      </c>
      <c r="P113" s="68"/>
      <c r="Q113" s="68">
        <v>0</v>
      </c>
      <c r="R113" s="68">
        <v>0</v>
      </c>
      <c r="S113" s="68">
        <v>0</v>
      </c>
      <c r="T113" s="68">
        <v>0.06</v>
      </c>
      <c r="U113" s="68">
        <v>617.4</v>
      </c>
      <c r="V113" s="68">
        <v>2382.6</v>
      </c>
      <c r="W113" s="68">
        <v>19.89</v>
      </c>
      <c r="X113" s="68">
        <v>35.79</v>
      </c>
      <c r="Y113" s="68">
        <v>19.88</v>
      </c>
      <c r="Z113" s="79">
        <v>-145.38</v>
      </c>
      <c r="AA113" s="68">
        <v>205.07</v>
      </c>
      <c r="AC113" s="68">
        <v>55.68</v>
      </c>
      <c r="AD113" s="71">
        <v>100.22</v>
      </c>
      <c r="AE113" s="71">
        <v>314.22000000000003</v>
      </c>
      <c r="AF113" s="71">
        <v>3000</v>
      </c>
      <c r="AG113" s="71">
        <v>246.65</v>
      </c>
      <c r="AH113" s="71">
        <v>60</v>
      </c>
      <c r="AI113" s="68">
        <v>35.97</v>
      </c>
      <c r="AJ113" s="68">
        <v>470.12</v>
      </c>
      <c r="AK113" s="68">
        <v>159.08000000000001</v>
      </c>
      <c r="AL113" s="68">
        <v>214.84</v>
      </c>
      <c r="AM113" s="68">
        <v>164.27554484722373</v>
      </c>
      <c r="AN113" s="71" t="s">
        <v>651</v>
      </c>
    </row>
    <row r="114" spans="1:40" x14ac:dyDescent="0.2">
      <c r="A114" s="68" t="s">
        <v>656</v>
      </c>
      <c r="B114" s="68" t="s">
        <v>657</v>
      </c>
      <c r="C114" s="68">
        <v>15</v>
      </c>
      <c r="D114" s="68">
        <v>0</v>
      </c>
      <c r="E114" s="68">
        <v>116.67</v>
      </c>
      <c r="F114" s="68">
        <v>123.73</v>
      </c>
      <c r="G114" s="68">
        <v>1750.05</v>
      </c>
      <c r="H114" s="68">
        <v>0</v>
      </c>
      <c r="I114" s="68">
        <v>0</v>
      </c>
      <c r="J114" s="68">
        <v>1750.05</v>
      </c>
      <c r="K114" s="68">
        <v>0</v>
      </c>
      <c r="L114" s="68">
        <v>-89.5</v>
      </c>
      <c r="M114" s="68">
        <v>44.08</v>
      </c>
      <c r="N114" s="68">
        <v>0</v>
      </c>
      <c r="O114" s="68">
        <v>866.85</v>
      </c>
      <c r="P114" s="68"/>
      <c r="Q114" s="68">
        <v>0</v>
      </c>
      <c r="R114" s="68">
        <v>0</v>
      </c>
      <c r="S114" s="68">
        <v>0</v>
      </c>
      <c r="T114" s="68">
        <v>0.02</v>
      </c>
      <c r="U114" s="68">
        <v>821.45</v>
      </c>
      <c r="V114" s="68">
        <v>928.6</v>
      </c>
      <c r="W114" s="68">
        <v>11.6</v>
      </c>
      <c r="X114" s="68">
        <v>20.88</v>
      </c>
      <c r="Y114" s="68">
        <v>11.6</v>
      </c>
      <c r="Z114" s="79">
        <v>-188.71</v>
      </c>
      <c r="AA114" s="68">
        <v>99.22</v>
      </c>
      <c r="AC114" s="68">
        <v>32.479999999999997</v>
      </c>
      <c r="AD114" s="71">
        <v>58.46</v>
      </c>
      <c r="AE114" s="71">
        <v>291.02</v>
      </c>
      <c r="AF114" s="71">
        <v>1750.05</v>
      </c>
      <c r="AG114" s="71">
        <v>220.14000000000001</v>
      </c>
      <c r="AH114" s="71">
        <v>35</v>
      </c>
      <c r="AI114" s="68">
        <v>20.98</v>
      </c>
      <c r="AJ114" s="68">
        <v>381.96</v>
      </c>
      <c r="AK114" s="68">
        <v>92.8</v>
      </c>
      <c r="AL114" s="68">
        <v>201.58</v>
      </c>
      <c r="AM114" s="68">
        <v>95.830139086627966</v>
      </c>
      <c r="AN114" s="71" t="s">
        <v>651</v>
      </c>
    </row>
    <row r="115" spans="1:40" x14ac:dyDescent="0.2">
      <c r="A115" s="68" t="s">
        <v>658</v>
      </c>
      <c r="B115" s="68" t="s">
        <v>659</v>
      </c>
      <c r="C115" s="68">
        <v>15</v>
      </c>
      <c r="D115" s="68">
        <v>0</v>
      </c>
      <c r="E115" s="68">
        <v>116.67</v>
      </c>
      <c r="F115" s="68">
        <v>123.73</v>
      </c>
      <c r="G115" s="68">
        <v>1750.05</v>
      </c>
      <c r="H115" s="68">
        <v>0</v>
      </c>
      <c r="I115" s="68">
        <v>0</v>
      </c>
      <c r="J115" s="68">
        <v>1750.05</v>
      </c>
      <c r="K115" s="68">
        <v>0</v>
      </c>
      <c r="L115" s="68">
        <v>-89.5</v>
      </c>
      <c r="M115" s="68">
        <v>44.08</v>
      </c>
      <c r="N115" s="68">
        <v>745.98</v>
      </c>
      <c r="O115" s="68">
        <v>0</v>
      </c>
      <c r="P115" s="68"/>
      <c r="Q115" s="68">
        <v>0</v>
      </c>
      <c r="R115" s="68">
        <v>0</v>
      </c>
      <c r="S115" s="68">
        <v>0</v>
      </c>
      <c r="T115" s="68">
        <v>-0.11</v>
      </c>
      <c r="U115" s="68">
        <v>700.45</v>
      </c>
      <c r="V115" s="68">
        <v>1049.5999999999999</v>
      </c>
      <c r="W115" s="68">
        <v>11.6</v>
      </c>
      <c r="X115" s="68">
        <v>20.88</v>
      </c>
      <c r="Y115" s="68">
        <v>11.6</v>
      </c>
      <c r="Z115" s="79">
        <v>-188.71</v>
      </c>
      <c r="AA115" s="68">
        <v>99.22</v>
      </c>
      <c r="AC115" s="68">
        <v>32.479999999999997</v>
      </c>
      <c r="AD115" s="71">
        <v>58.46</v>
      </c>
      <c r="AE115" s="71">
        <v>291.02</v>
      </c>
      <c r="AF115" s="71">
        <v>1750.05</v>
      </c>
      <c r="AG115" s="71">
        <v>220.14000000000001</v>
      </c>
      <c r="AH115" s="71">
        <v>35</v>
      </c>
      <c r="AI115" s="68">
        <v>20.98</v>
      </c>
      <c r="AJ115" s="68">
        <v>381.96</v>
      </c>
      <c r="AK115" s="68">
        <v>92.8</v>
      </c>
      <c r="AL115" s="68">
        <v>201.58</v>
      </c>
      <c r="AM115" s="68">
        <v>95.830139086627966</v>
      </c>
      <c r="AN115" s="71" t="s">
        <v>651</v>
      </c>
    </row>
    <row r="116" spans="1:40" x14ac:dyDescent="0.2">
      <c r="A116" s="68" t="s">
        <v>662</v>
      </c>
      <c r="B116" s="68" t="s">
        <v>663</v>
      </c>
      <c r="C116" s="68">
        <v>5</v>
      </c>
      <c r="D116" s="68">
        <v>0</v>
      </c>
      <c r="E116" s="68">
        <v>105</v>
      </c>
      <c r="F116" s="68">
        <v>111.36</v>
      </c>
      <c r="G116" s="68">
        <v>525</v>
      </c>
      <c r="H116" s="68">
        <v>0</v>
      </c>
      <c r="I116" s="68">
        <v>0</v>
      </c>
      <c r="J116" s="68">
        <v>525</v>
      </c>
      <c r="K116" s="68">
        <v>0</v>
      </c>
      <c r="L116" s="68">
        <v>-180.02</v>
      </c>
      <c r="M116" s="68">
        <v>13.22</v>
      </c>
      <c r="N116" s="68">
        <v>0</v>
      </c>
      <c r="O116" s="68">
        <v>0</v>
      </c>
      <c r="P116" s="68"/>
      <c r="Q116" s="68">
        <v>0</v>
      </c>
      <c r="R116" s="68">
        <v>0</v>
      </c>
      <c r="S116" s="68">
        <v>0</v>
      </c>
      <c r="T116" s="68">
        <v>0</v>
      </c>
      <c r="U116" s="68">
        <v>-166.8</v>
      </c>
      <c r="V116" s="68">
        <v>691.8</v>
      </c>
      <c r="W116" s="68">
        <v>3.48</v>
      </c>
      <c r="X116" s="68">
        <v>6.26</v>
      </c>
      <c r="Y116" s="68">
        <v>3.48</v>
      </c>
      <c r="Z116" s="79">
        <v>-200.83</v>
      </c>
      <c r="AA116" s="68">
        <v>20.81</v>
      </c>
      <c r="AC116" s="68">
        <v>9.74</v>
      </c>
      <c r="AD116" s="71">
        <v>17.54</v>
      </c>
      <c r="AE116" s="71">
        <v>95.93</v>
      </c>
      <c r="AF116" s="71">
        <v>525</v>
      </c>
      <c r="AG116" s="71">
        <v>194.16000000000003</v>
      </c>
      <c r="AH116" s="71">
        <v>10.5</v>
      </c>
      <c r="AI116" s="68">
        <v>6.3</v>
      </c>
      <c r="AJ116" s="68">
        <v>123.21</v>
      </c>
      <c r="AK116" s="68">
        <v>27.84</v>
      </c>
      <c r="AL116" s="68">
        <v>188.59</v>
      </c>
      <c r="AM116" s="68">
        <v>86.244661044792466</v>
      </c>
      <c r="AN116" s="71" t="s">
        <v>651</v>
      </c>
    </row>
    <row r="117" spans="1:40" ht="15" customHeight="1" x14ac:dyDescent="0.2">
      <c r="A117" s="68" t="s">
        <v>534</v>
      </c>
      <c r="B117" s="68" t="s">
        <v>532</v>
      </c>
      <c r="C117" s="68">
        <v>15</v>
      </c>
      <c r="D117" s="68">
        <v>0</v>
      </c>
      <c r="E117" s="68">
        <v>266.67</v>
      </c>
      <c r="F117" s="68">
        <v>282.81</v>
      </c>
      <c r="G117" s="68">
        <v>4000.05</v>
      </c>
      <c r="H117" s="68">
        <v>0</v>
      </c>
      <c r="I117" s="68">
        <v>0</v>
      </c>
      <c r="J117" s="68">
        <v>4000.05</v>
      </c>
      <c r="K117" s="68">
        <v>313.87</v>
      </c>
      <c r="L117" s="68">
        <v>0</v>
      </c>
      <c r="M117" s="68">
        <v>102.51</v>
      </c>
      <c r="N117" s="68">
        <v>0</v>
      </c>
      <c r="O117" s="68">
        <v>0</v>
      </c>
      <c r="P117" s="68"/>
      <c r="Q117" s="68">
        <v>0</v>
      </c>
      <c r="R117" s="68">
        <v>0</v>
      </c>
      <c r="S117" s="68">
        <v>0</v>
      </c>
      <c r="T117" s="68">
        <v>7.0000000000000007E-2</v>
      </c>
      <c r="U117" s="68">
        <v>416.45</v>
      </c>
      <c r="V117" s="68">
        <v>3583.6</v>
      </c>
      <c r="W117" s="68">
        <v>26.51</v>
      </c>
      <c r="X117" s="68">
        <v>47.72</v>
      </c>
      <c r="Y117" s="68">
        <v>28.28</v>
      </c>
      <c r="Z117" s="79">
        <v>0</v>
      </c>
      <c r="AA117" s="68">
        <v>313.87</v>
      </c>
      <c r="AC117" s="68">
        <v>74.239999999999995</v>
      </c>
      <c r="AD117" s="71">
        <v>133.63</v>
      </c>
      <c r="AE117" s="71">
        <v>337.62</v>
      </c>
      <c r="AF117" s="71">
        <v>4000.05</v>
      </c>
      <c r="AG117" s="71">
        <v>267.86</v>
      </c>
      <c r="AH117" s="71">
        <v>80</v>
      </c>
      <c r="AI117" s="68">
        <v>47.96</v>
      </c>
      <c r="AJ117" s="68">
        <v>545.49</v>
      </c>
      <c r="AK117" s="68">
        <v>212.11</v>
      </c>
      <c r="AL117" s="68">
        <v>225.44</v>
      </c>
      <c r="AM117" s="68">
        <v>219.03679772204578</v>
      </c>
      <c r="AN117" s="71" t="s">
        <v>651</v>
      </c>
    </row>
    <row r="118" spans="1:40" x14ac:dyDescent="0.2">
      <c r="A118" s="83" t="s">
        <v>183</v>
      </c>
      <c r="B118" s="84"/>
      <c r="C118" s="84" t="s">
        <v>174</v>
      </c>
      <c r="D118" s="84" t="s">
        <v>174</v>
      </c>
      <c r="E118" s="84" t="s">
        <v>174</v>
      </c>
      <c r="F118" s="84" t="s">
        <v>174</v>
      </c>
      <c r="G118" s="84" t="s">
        <v>174</v>
      </c>
      <c r="H118" s="84" t="s">
        <v>174</v>
      </c>
      <c r="I118" s="84" t="s">
        <v>174</v>
      </c>
      <c r="J118" s="84" t="s">
        <v>174</v>
      </c>
      <c r="K118" s="84" t="s">
        <v>174</v>
      </c>
      <c r="L118" s="84" t="s">
        <v>174</v>
      </c>
      <c r="M118" s="84" t="s">
        <v>174</v>
      </c>
      <c r="N118" s="84" t="s">
        <v>174</v>
      </c>
      <c r="O118" s="84" t="s">
        <v>174</v>
      </c>
      <c r="P118" s="84" t="s">
        <v>174</v>
      </c>
      <c r="Q118" s="84" t="s">
        <v>174</v>
      </c>
      <c r="R118" s="84" t="s">
        <v>174</v>
      </c>
      <c r="S118" s="84" t="s">
        <v>174</v>
      </c>
      <c r="T118" s="84" t="s">
        <v>174</v>
      </c>
      <c r="U118" s="84" t="s">
        <v>174</v>
      </c>
      <c r="V118" s="84" t="s">
        <v>174</v>
      </c>
      <c r="W118" s="84" t="s">
        <v>174</v>
      </c>
      <c r="X118" s="84" t="s">
        <v>174</v>
      </c>
      <c r="Y118" s="84" t="s">
        <v>174</v>
      </c>
      <c r="Z118" s="84" t="s">
        <v>174</v>
      </c>
      <c r="AA118" s="84" t="s">
        <v>174</v>
      </c>
      <c r="AB118" s="84"/>
      <c r="AC118" s="84" t="s">
        <v>174</v>
      </c>
      <c r="AD118" s="84" t="s">
        <v>174</v>
      </c>
      <c r="AE118" s="84" t="s">
        <v>174</v>
      </c>
      <c r="AF118" s="84" t="s">
        <v>174</v>
      </c>
      <c r="AG118" s="84" t="s">
        <v>174</v>
      </c>
      <c r="AH118" s="84" t="s">
        <v>174</v>
      </c>
      <c r="AI118" s="84" t="s">
        <v>174</v>
      </c>
      <c r="AJ118" s="84" t="s">
        <v>174</v>
      </c>
      <c r="AK118" s="84" t="s">
        <v>174</v>
      </c>
      <c r="AL118" s="84" t="s">
        <v>174</v>
      </c>
      <c r="AM118" s="84" t="s">
        <v>174</v>
      </c>
    </row>
    <row r="119" spans="1:40" x14ac:dyDescent="0.2">
      <c r="A119" s="85">
        <f t="shared" ref="A119:V119" si="0">SUM(A9:A118)</f>
        <v>0</v>
      </c>
      <c r="B119" s="85">
        <f t="shared" si="0"/>
        <v>0</v>
      </c>
      <c r="C119" s="85">
        <f t="shared" si="0"/>
        <v>1601</v>
      </c>
      <c r="D119" s="85">
        <f t="shared" si="0"/>
        <v>20</v>
      </c>
      <c r="E119" s="85">
        <f t="shared" si="0"/>
        <v>26931.829999999998</v>
      </c>
      <c r="F119" s="85">
        <f t="shared" si="0"/>
        <v>28414.150000000009</v>
      </c>
      <c r="G119" s="85">
        <f t="shared" si="0"/>
        <v>397676.67999999976</v>
      </c>
      <c r="H119" s="85">
        <f t="shared" si="0"/>
        <v>4500.82</v>
      </c>
      <c r="I119" s="85">
        <f t="shared" si="0"/>
        <v>3178.4300000000003</v>
      </c>
      <c r="J119" s="85">
        <f t="shared" si="0"/>
        <v>405355.92999999976</v>
      </c>
      <c r="K119" s="85">
        <f t="shared" si="0"/>
        <v>24754.320000000018</v>
      </c>
      <c r="L119" s="85">
        <f t="shared" si="0"/>
        <v>-620.35</v>
      </c>
      <c r="M119" s="85">
        <f t="shared" si="0"/>
        <v>10285.299999999999</v>
      </c>
      <c r="N119" s="85">
        <f t="shared" si="0"/>
        <v>28322.400000000001</v>
      </c>
      <c r="O119" s="85">
        <f t="shared" si="0"/>
        <v>10873.199999999999</v>
      </c>
      <c r="P119" s="85">
        <f t="shared" si="0"/>
        <v>0</v>
      </c>
      <c r="Q119" s="85">
        <f t="shared" si="0"/>
        <v>4763.93</v>
      </c>
      <c r="R119" s="85">
        <f t="shared" si="0"/>
        <v>7146.1799999999985</v>
      </c>
      <c r="S119" s="85">
        <f t="shared" si="0"/>
        <v>500</v>
      </c>
      <c r="T119" s="85">
        <f t="shared" si="0"/>
        <v>0.75000000000000044</v>
      </c>
      <c r="U119" s="85">
        <f t="shared" si="0"/>
        <v>86025.729999999981</v>
      </c>
      <c r="V119" s="85">
        <f t="shared" si="0"/>
        <v>319330.1999999999</v>
      </c>
      <c r="W119" s="85">
        <f t="shared" ref="W119:AH119" si="1">SUM(W9:W118)</f>
        <v>2651.86</v>
      </c>
      <c r="X119" s="85">
        <f t="shared" si="1"/>
        <v>4773.3299999999972</v>
      </c>
      <c r="Y119" s="85">
        <f t="shared" si="1"/>
        <v>2860.110000000001</v>
      </c>
      <c r="Z119" s="85">
        <f t="shared" si="1"/>
        <v>-8152.7600000000057</v>
      </c>
      <c r="AA119" s="85">
        <f t="shared" si="1"/>
        <v>32286.739999999976</v>
      </c>
      <c r="AB119" s="85"/>
      <c r="AC119" s="85">
        <f t="shared" si="1"/>
        <v>7439.2899999999936</v>
      </c>
      <c r="AD119" s="85">
        <f t="shared" si="1"/>
        <v>13390.650000000003</v>
      </c>
      <c r="AE119" s="85">
        <f t="shared" si="1"/>
        <v>36006.340000000018</v>
      </c>
      <c r="AF119" s="85">
        <f t="shared" si="1"/>
        <v>404965.68999999977</v>
      </c>
      <c r="AG119" s="85">
        <f t="shared" si="1"/>
        <v>28451.059999999998</v>
      </c>
      <c r="AH119" s="85">
        <f t="shared" si="1"/>
        <v>8099.2799999999952</v>
      </c>
      <c r="AI119" s="85">
        <f>SUM(AI9:AI118)</f>
        <v>4806.2500000000018</v>
      </c>
      <c r="AJ119" s="85">
        <f>SUM(AJ9:AJ118)</f>
        <v>56836.280000000035</v>
      </c>
      <c r="AK119" s="85">
        <f>SUM(AK9:AK118)</f>
        <v>21254.990000000005</v>
      </c>
      <c r="AL119" s="85">
        <f>SUM(AL9:AL118)</f>
        <v>24200.24000000002</v>
      </c>
      <c r="AM119" s="85">
        <f>SUM(AM9:AM118)</f>
        <v>22121.205234914025</v>
      </c>
    </row>
    <row r="120" spans="1:40" x14ac:dyDescent="0.2">
      <c r="G120" s="86"/>
      <c r="V120" s="86"/>
    </row>
    <row r="121" spans="1:40" x14ac:dyDescent="0.2">
      <c r="A121" s="87">
        <v>107</v>
      </c>
      <c r="B121" s="87" t="s">
        <v>528</v>
      </c>
      <c r="C121" s="88"/>
      <c r="D121" s="88"/>
      <c r="E121" s="88"/>
      <c r="F121" s="88"/>
      <c r="G121" s="88"/>
      <c r="H121" s="88"/>
      <c r="I121" s="89" t="s">
        <v>47</v>
      </c>
      <c r="J121" s="90">
        <f>+V119</f>
        <v>319330.1999999999</v>
      </c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V121" s="91"/>
      <c r="W121" s="88"/>
      <c r="X121" s="88"/>
      <c r="Y121" s="88"/>
      <c r="Z121" s="88"/>
      <c r="AA121" s="88"/>
      <c r="AB121" s="88"/>
      <c r="AC121" s="92"/>
      <c r="AD121" s="88"/>
      <c r="AE121" s="88"/>
      <c r="AK121" s="71"/>
    </row>
    <row r="122" spans="1:40" x14ac:dyDescent="0.2">
      <c r="A122" s="87">
        <v>2</v>
      </c>
      <c r="B122" s="87" t="s">
        <v>410</v>
      </c>
      <c r="C122" s="88"/>
      <c r="D122" s="88"/>
      <c r="E122" s="88"/>
      <c r="F122" s="88"/>
      <c r="G122" s="88"/>
      <c r="H122" s="88"/>
      <c r="I122" s="89" t="s">
        <v>118</v>
      </c>
      <c r="J122" s="90">
        <f>+R119</f>
        <v>7146.1799999999985</v>
      </c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V122" s="91"/>
      <c r="W122" s="88"/>
      <c r="X122" s="88"/>
      <c r="Y122" s="88"/>
      <c r="Z122" s="88"/>
      <c r="AA122" s="88"/>
      <c r="AB122" s="88"/>
      <c r="AC122" s="88"/>
      <c r="AD122" s="88"/>
      <c r="AE122" s="88"/>
      <c r="AK122" s="71"/>
    </row>
    <row r="123" spans="1:40" x14ac:dyDescent="0.2">
      <c r="A123" s="87">
        <v>0</v>
      </c>
      <c r="B123" s="87" t="s">
        <v>411</v>
      </c>
      <c r="C123" s="88"/>
      <c r="D123" s="88"/>
      <c r="E123" s="88"/>
      <c r="F123" s="88"/>
      <c r="G123" s="88"/>
      <c r="H123" s="88"/>
      <c r="I123" s="89" t="s">
        <v>188</v>
      </c>
      <c r="J123" s="93">
        <f>+N119+O119+P119</f>
        <v>39195.599999999999</v>
      </c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V123" s="91"/>
      <c r="W123" s="88"/>
      <c r="X123" s="88"/>
      <c r="Y123" s="88"/>
      <c r="Z123" s="88"/>
      <c r="AA123" s="88"/>
      <c r="AB123" s="88"/>
      <c r="AC123" s="88"/>
      <c r="AD123" s="88"/>
      <c r="AE123" s="88"/>
      <c r="AK123" s="71"/>
    </row>
    <row r="124" spans="1:40" x14ac:dyDescent="0.2">
      <c r="A124" s="87">
        <f>+A121+A122-A123</f>
        <v>109</v>
      </c>
      <c r="B124" s="87" t="s">
        <v>527</v>
      </c>
      <c r="C124" s="88"/>
      <c r="D124" s="88"/>
      <c r="E124" s="88"/>
      <c r="F124" s="88"/>
      <c r="G124" s="88"/>
      <c r="H124" s="88"/>
      <c r="I124" s="89" t="s">
        <v>353</v>
      </c>
      <c r="J124" s="93">
        <f>+Q119</f>
        <v>4763.93</v>
      </c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V124" s="91"/>
      <c r="W124" s="88"/>
      <c r="X124" s="88"/>
      <c r="Y124" s="88"/>
      <c r="Z124" s="88"/>
      <c r="AA124" s="88"/>
      <c r="AB124" s="88"/>
      <c r="AC124" s="88"/>
      <c r="AD124" s="88"/>
      <c r="AE124" s="88"/>
      <c r="AK124" s="71"/>
    </row>
    <row r="125" spans="1:40" x14ac:dyDescent="0.2">
      <c r="A125" s="88"/>
      <c r="B125" s="88"/>
      <c r="C125" s="88"/>
      <c r="D125" s="88"/>
      <c r="E125" s="88"/>
      <c r="F125" s="88"/>
      <c r="G125" s="88"/>
      <c r="H125" s="88"/>
      <c r="I125" s="89" t="s">
        <v>428</v>
      </c>
      <c r="J125" s="93">
        <f>+S119</f>
        <v>500</v>
      </c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V125" s="91"/>
      <c r="W125" s="88"/>
      <c r="X125" s="88"/>
      <c r="Y125" s="88"/>
      <c r="Z125" s="88"/>
      <c r="AA125" s="88"/>
      <c r="AB125" s="88"/>
      <c r="AC125" s="88"/>
      <c r="AD125" s="88"/>
      <c r="AE125" s="88"/>
      <c r="AK125" s="71"/>
    </row>
    <row r="126" spans="1:40" x14ac:dyDescent="0.2">
      <c r="A126" s="88"/>
      <c r="B126" s="88"/>
      <c r="C126" s="88"/>
      <c r="D126" s="88"/>
      <c r="E126" s="88"/>
      <c r="F126" s="88"/>
      <c r="G126" s="88"/>
      <c r="H126" s="88"/>
      <c r="I126" s="89" t="s">
        <v>49</v>
      </c>
      <c r="J126" s="89">
        <f>SUM(J121:J125)</f>
        <v>370935.90999999986</v>
      </c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V126" s="91"/>
      <c r="W126" s="88"/>
      <c r="X126" s="88"/>
      <c r="Y126" s="88"/>
      <c r="Z126" s="88"/>
      <c r="AA126" s="88"/>
      <c r="AB126" s="88"/>
      <c r="AC126" s="88"/>
      <c r="AD126" s="88"/>
      <c r="AE126" s="88"/>
      <c r="AK126" s="71"/>
    </row>
    <row r="127" spans="1:40" x14ac:dyDescent="0.2">
      <c r="A127" s="88"/>
      <c r="B127" s="88"/>
      <c r="C127" s="88"/>
      <c r="D127" s="88"/>
      <c r="E127" s="88"/>
      <c r="F127" s="88"/>
      <c r="G127" s="88"/>
      <c r="H127" s="88"/>
      <c r="I127" s="89" t="s">
        <v>50</v>
      </c>
      <c r="J127" s="90">
        <f>+J126*2%</f>
        <v>7418.7181999999975</v>
      </c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V127" s="91"/>
      <c r="W127" s="88"/>
      <c r="X127" s="88"/>
      <c r="Y127" s="88"/>
      <c r="Z127" s="88"/>
      <c r="AA127" s="88"/>
      <c r="AB127" s="88"/>
      <c r="AC127" s="88"/>
      <c r="AD127" s="88"/>
      <c r="AE127" s="88"/>
      <c r="AK127" s="71"/>
    </row>
    <row r="128" spans="1:40" x14ac:dyDescent="0.2">
      <c r="A128" s="88"/>
      <c r="B128" s="88"/>
      <c r="C128" s="88"/>
      <c r="D128" s="88"/>
      <c r="E128" s="88"/>
      <c r="F128" s="88"/>
      <c r="G128" s="88"/>
      <c r="H128" s="88"/>
      <c r="I128" s="89" t="s">
        <v>51</v>
      </c>
      <c r="J128" s="89">
        <f>+J126+J127</f>
        <v>378354.62819999986</v>
      </c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V128" s="91"/>
      <c r="W128" s="88"/>
      <c r="X128" s="88"/>
      <c r="Y128" s="88"/>
      <c r="Z128" s="88"/>
      <c r="AA128" s="88"/>
      <c r="AB128" s="88"/>
      <c r="AC128" s="88"/>
      <c r="AD128" s="88"/>
      <c r="AE128" s="88"/>
      <c r="AK128" s="71"/>
    </row>
    <row r="129" spans="2:37" x14ac:dyDescent="0.2">
      <c r="I129" s="89" t="s">
        <v>52</v>
      </c>
      <c r="J129" s="90">
        <f>+M119+AC119+AD119+AE119+AG119+AI119+AL119+AK119</f>
        <v>145834.12000000005</v>
      </c>
      <c r="L129" s="88"/>
      <c r="M129" s="88"/>
      <c r="V129" s="91"/>
      <c r="AK129" s="71"/>
    </row>
    <row r="130" spans="2:37" x14ac:dyDescent="0.2">
      <c r="I130" s="89" t="s">
        <v>53</v>
      </c>
      <c r="J130" s="90">
        <f>+J119*2%</f>
        <v>8107.1185999999952</v>
      </c>
      <c r="V130" s="91"/>
      <c r="AK130" s="71"/>
    </row>
    <row r="131" spans="2:37" x14ac:dyDescent="0.2">
      <c r="I131" s="89" t="s">
        <v>54</v>
      </c>
      <c r="J131" s="89">
        <f>+J128+J129+J130</f>
        <v>532295.86679999996</v>
      </c>
      <c r="AK131" s="71"/>
    </row>
    <row r="132" spans="2:37" x14ac:dyDescent="0.2">
      <c r="I132" s="89" t="s">
        <v>420</v>
      </c>
      <c r="J132" s="89">
        <v>0</v>
      </c>
      <c r="AK132" s="71"/>
    </row>
    <row r="133" spans="2:37" x14ac:dyDescent="0.2">
      <c r="B133" s="70"/>
      <c r="I133" s="89" t="s">
        <v>55</v>
      </c>
      <c r="J133" s="90">
        <f>(+J131+J132)*0.16</f>
        <v>85167.338687999989</v>
      </c>
      <c r="AK133" s="71"/>
    </row>
    <row r="134" spans="2:37" x14ac:dyDescent="0.2">
      <c r="I134" s="89" t="s">
        <v>56</v>
      </c>
      <c r="J134" s="89">
        <f>+J131+J132+J133</f>
        <v>617463.20548799995</v>
      </c>
      <c r="AK134" s="71"/>
    </row>
    <row r="135" spans="2:37" x14ac:dyDescent="0.2">
      <c r="AK135" s="71"/>
    </row>
    <row r="136" spans="2:37" x14ac:dyDescent="0.2">
      <c r="AK136" s="71"/>
    </row>
    <row r="137" spans="2:37" x14ac:dyDescent="0.2">
      <c r="AK137" s="71"/>
    </row>
    <row r="138" spans="2:37" x14ac:dyDescent="0.2">
      <c r="AK138" s="71"/>
    </row>
    <row r="139" spans="2:37" x14ac:dyDescent="0.2">
      <c r="AK139" s="71"/>
    </row>
    <row r="140" spans="2:37" x14ac:dyDescent="0.2">
      <c r="AK140" s="71"/>
    </row>
    <row r="141" spans="2:37" x14ac:dyDescent="0.2">
      <c r="AK141" s="71"/>
    </row>
    <row r="142" spans="2:37" x14ac:dyDescent="0.2">
      <c r="AK142" s="71"/>
    </row>
    <row r="143" spans="2:37" x14ac:dyDescent="0.2">
      <c r="AK143" s="71"/>
    </row>
    <row r="144" spans="2:37" x14ac:dyDescent="0.2">
      <c r="AK144" s="71"/>
    </row>
    <row r="145" spans="37:37" x14ac:dyDescent="0.2">
      <c r="AK145" s="71"/>
    </row>
    <row r="146" spans="37:37" x14ac:dyDescent="0.2">
      <c r="AK146" s="71"/>
    </row>
    <row r="147" spans="37:37" x14ac:dyDescent="0.2">
      <c r="AK147" s="71"/>
    </row>
    <row r="148" spans="37:37" x14ac:dyDescent="0.2">
      <c r="AK148" s="71"/>
    </row>
    <row r="149" spans="37:37" x14ac:dyDescent="0.2">
      <c r="AK149" s="71"/>
    </row>
    <row r="150" spans="37:37" x14ac:dyDescent="0.2">
      <c r="AK150" s="71"/>
    </row>
    <row r="151" spans="37:37" x14ac:dyDescent="0.2">
      <c r="AK151" s="71"/>
    </row>
    <row r="152" spans="37:37" x14ac:dyDescent="0.2">
      <c r="AK152" s="71"/>
    </row>
    <row r="153" spans="37:37" x14ac:dyDescent="0.2">
      <c r="AK153" s="71"/>
    </row>
  </sheetData>
  <autoFilter ref="A8:AO134"/>
  <mergeCells count="4">
    <mergeCell ref="B5:I5"/>
    <mergeCell ref="B1:I1"/>
    <mergeCell ref="B2:I2"/>
    <mergeCell ref="B3:I3"/>
  </mergeCells>
  <pageMargins left="0.7" right="0.7" top="0.75" bottom="0.75" header="0.3" footer="0.3"/>
  <pageSetup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AR155"/>
  <sheetViews>
    <sheetView showGridLines="0" zoomScale="80" zoomScaleNormal="80" workbookViewId="0">
      <pane xSplit="3" ySplit="8" topLeftCell="D128" activePane="bottomRight" state="frozen"/>
      <selection pane="topRight" activeCell="C1" sqref="C1"/>
      <selection pane="bottomLeft" activeCell="A10" sqref="A10"/>
      <selection pane="bottomRight" activeCell="H124" sqref="H124"/>
    </sheetView>
  </sheetViews>
  <sheetFormatPr baseColWidth="10" defaultColWidth="11.42578125" defaultRowHeight="12.75" outlineLevelRow="2" x14ac:dyDescent="0.2"/>
  <cols>
    <col min="1" max="2" width="11.42578125" style="71"/>
    <col min="3" max="3" width="45" style="71" customWidth="1"/>
    <col min="4" max="5" width="15" style="71" customWidth="1"/>
    <col min="6" max="6" width="13.28515625" style="71" hidden="1" customWidth="1"/>
    <col min="7" max="7" width="20.28515625" style="71" hidden="1" customWidth="1"/>
    <col min="8" max="8" width="19.5703125" style="71" customWidth="1"/>
    <col min="9" max="9" width="15.28515625" style="71" customWidth="1"/>
    <col min="10" max="10" width="21.85546875" style="71" customWidth="1"/>
    <col min="11" max="11" width="18.7109375" style="71" customWidth="1"/>
    <col min="12" max="12" width="18.85546875" style="71" customWidth="1"/>
    <col min="13" max="13" width="16.85546875" style="71" customWidth="1"/>
    <col min="14" max="14" width="15.7109375" style="71" customWidth="1"/>
    <col min="15" max="17" width="20.28515625" style="71" customWidth="1"/>
    <col min="18" max="18" width="16.85546875" style="71" customWidth="1"/>
    <col min="19" max="19" width="16.140625" style="71" customWidth="1"/>
    <col min="20" max="20" width="20.28515625" style="71" customWidth="1"/>
    <col min="21" max="21" width="15.42578125" style="71" customWidth="1"/>
    <col min="22" max="22" width="17.140625" style="71" customWidth="1"/>
    <col min="23" max="23" width="18.7109375" style="71" customWidth="1"/>
    <col min="24" max="24" width="17.85546875" style="71" customWidth="1"/>
    <col min="25" max="26" width="13.85546875" style="71" customWidth="1"/>
    <col min="27" max="28" width="19.28515625" style="71" customWidth="1"/>
    <col min="29" max="29" width="13.85546875" style="71" customWidth="1"/>
    <col min="30" max="32" width="13.5703125" style="71" customWidth="1"/>
    <col min="33" max="33" width="15.42578125" style="71" customWidth="1"/>
    <col min="34" max="37" width="13.5703125" style="71" customWidth="1"/>
    <col min="38" max="38" width="13.5703125" style="75" customWidth="1"/>
    <col min="39" max="40" width="13.5703125" style="71" customWidth="1"/>
    <col min="41" max="41" width="17.140625" style="71" customWidth="1"/>
    <col min="42" max="42" width="11.42578125" style="71" customWidth="1"/>
    <col min="43" max="16384" width="11.42578125" style="71"/>
  </cols>
  <sheetData>
    <row r="1" spans="2:44" x14ac:dyDescent="0.2">
      <c r="B1" s="69"/>
      <c r="C1" s="169" t="s">
        <v>177</v>
      </c>
      <c r="D1" s="169"/>
      <c r="E1" s="169"/>
      <c r="F1" s="169"/>
      <c r="G1" s="169"/>
      <c r="H1" s="170"/>
      <c r="I1" s="170"/>
      <c r="J1" s="170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70"/>
      <c r="AM1" s="68"/>
      <c r="AN1" s="68"/>
    </row>
    <row r="2" spans="2:44" x14ac:dyDescent="0.2">
      <c r="B2" s="72"/>
      <c r="C2" s="171" t="s">
        <v>184</v>
      </c>
      <c r="D2" s="171"/>
      <c r="E2" s="171"/>
      <c r="F2" s="171"/>
      <c r="G2" s="171"/>
      <c r="H2" s="172"/>
      <c r="I2" s="172"/>
      <c r="J2" s="172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70"/>
      <c r="AM2" s="68"/>
      <c r="AN2" s="68"/>
    </row>
    <row r="3" spans="2:44" x14ac:dyDescent="0.2">
      <c r="B3" s="68"/>
      <c r="C3" s="168" t="s">
        <v>178</v>
      </c>
      <c r="D3" s="168"/>
      <c r="E3" s="168"/>
      <c r="F3" s="168"/>
      <c r="G3" s="168"/>
      <c r="H3" s="168"/>
      <c r="I3" s="168"/>
      <c r="J3" s="1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70"/>
      <c r="AM3" s="68"/>
      <c r="AN3" s="68"/>
    </row>
    <row r="4" spans="2:44" x14ac:dyDescent="0.2">
      <c r="B4" s="68"/>
      <c r="C4" s="149" t="s">
        <v>185</v>
      </c>
      <c r="D4" s="149"/>
      <c r="E4" s="149"/>
      <c r="F4" s="149"/>
      <c r="G4" s="149"/>
      <c r="H4" s="149"/>
      <c r="I4" s="149"/>
      <c r="J4" s="149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70"/>
      <c r="AM4" s="68"/>
      <c r="AN4" s="68"/>
    </row>
    <row r="5" spans="2:44" x14ac:dyDescent="0.2">
      <c r="B5" s="68"/>
      <c r="C5" s="168" t="s">
        <v>186</v>
      </c>
      <c r="D5" s="168"/>
      <c r="E5" s="168"/>
      <c r="F5" s="168"/>
      <c r="G5" s="168"/>
      <c r="H5" s="168"/>
      <c r="I5" s="168"/>
      <c r="J5" s="1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70"/>
      <c r="AM5" s="68"/>
      <c r="AN5" s="68"/>
    </row>
    <row r="6" spans="2:44" x14ac:dyDescent="0.2">
      <c r="B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70"/>
      <c r="AM6" s="68"/>
      <c r="AN6" s="68"/>
    </row>
    <row r="7" spans="2:44" x14ac:dyDescent="0.2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</row>
    <row r="8" spans="2:44" ht="30.75" customHeight="1" thickBot="1" x14ac:dyDescent="0.25">
      <c r="B8" s="76" t="s">
        <v>181</v>
      </c>
      <c r="C8" s="76" t="s">
        <v>182</v>
      </c>
      <c r="D8" s="76" t="s">
        <v>399</v>
      </c>
      <c r="E8" s="76" t="s">
        <v>421</v>
      </c>
      <c r="F8" s="76" t="s">
        <v>588</v>
      </c>
      <c r="G8" s="76" t="s">
        <v>589</v>
      </c>
      <c r="H8" s="76" t="s">
        <v>147</v>
      </c>
      <c r="I8" s="76" t="s">
        <v>394</v>
      </c>
      <c r="J8" s="76" t="s">
        <v>395</v>
      </c>
      <c r="K8" s="76" t="s">
        <v>151</v>
      </c>
      <c r="L8" s="76" t="s">
        <v>152</v>
      </c>
      <c r="M8" s="76" t="s">
        <v>153</v>
      </c>
      <c r="N8" s="76" t="s">
        <v>154</v>
      </c>
      <c r="O8" s="76" t="s">
        <v>155</v>
      </c>
      <c r="P8" s="76" t="s">
        <v>541</v>
      </c>
      <c r="Q8" s="76" t="s">
        <v>542</v>
      </c>
      <c r="R8" s="76" t="s">
        <v>646</v>
      </c>
      <c r="S8" s="76" t="s">
        <v>146</v>
      </c>
      <c r="T8" s="76" t="s">
        <v>215</v>
      </c>
      <c r="U8" s="76" t="s">
        <v>156</v>
      </c>
      <c r="V8" s="76" t="s">
        <v>157</v>
      </c>
      <c r="W8" s="77" t="s">
        <v>158</v>
      </c>
      <c r="X8" s="76" t="s">
        <v>161</v>
      </c>
      <c r="Y8" s="76" t="s">
        <v>162</v>
      </c>
      <c r="Z8" s="76" t="s">
        <v>163</v>
      </c>
      <c r="AA8" s="76" t="s">
        <v>159</v>
      </c>
      <c r="AB8" s="76" t="s">
        <v>160</v>
      </c>
      <c r="AC8" s="76" t="s">
        <v>660</v>
      </c>
      <c r="AD8" s="76" t="s">
        <v>164</v>
      </c>
      <c r="AE8" s="76" t="s">
        <v>165</v>
      </c>
      <c r="AF8" s="76" t="s">
        <v>166</v>
      </c>
      <c r="AG8" s="76" t="s">
        <v>167</v>
      </c>
      <c r="AH8" s="76" t="s">
        <v>168</v>
      </c>
      <c r="AI8" s="76" t="s">
        <v>169</v>
      </c>
      <c r="AJ8" s="76" t="s">
        <v>170</v>
      </c>
      <c r="AK8" s="76" t="s">
        <v>171</v>
      </c>
      <c r="AL8" s="76" t="s">
        <v>172</v>
      </c>
      <c r="AM8" s="76" t="s">
        <v>173</v>
      </c>
      <c r="AN8" s="76" t="s">
        <v>666</v>
      </c>
      <c r="AO8" s="76" t="s">
        <v>653</v>
      </c>
    </row>
    <row r="9" spans="2:44" ht="13.5" hidden="1" outlineLevel="2" thickTop="1" x14ac:dyDescent="0.2">
      <c r="B9" s="68" t="s">
        <v>68</v>
      </c>
      <c r="C9" s="78" t="s">
        <v>355</v>
      </c>
      <c r="D9" s="68">
        <v>15</v>
      </c>
      <c r="E9" s="68">
        <v>0</v>
      </c>
      <c r="F9" s="68">
        <v>266.67</v>
      </c>
      <c r="G9" s="68">
        <v>278.72000000000003</v>
      </c>
      <c r="H9" s="68">
        <v>4000.05</v>
      </c>
      <c r="I9" s="68">
        <v>0</v>
      </c>
      <c r="J9" s="68">
        <v>0</v>
      </c>
      <c r="K9" s="68">
        <v>4000.05</v>
      </c>
      <c r="L9" s="68">
        <v>313.87</v>
      </c>
      <c r="M9" s="68">
        <v>0</v>
      </c>
      <c r="N9" s="68">
        <v>100.81</v>
      </c>
      <c r="O9" s="68">
        <v>0</v>
      </c>
      <c r="P9" s="68">
        <v>0</v>
      </c>
      <c r="Q9" s="68"/>
      <c r="R9" s="68">
        <v>0</v>
      </c>
      <c r="S9" s="68">
        <v>0</v>
      </c>
      <c r="T9" s="68">
        <v>0</v>
      </c>
      <c r="U9" s="79">
        <v>0.17</v>
      </c>
      <c r="V9" s="68">
        <v>414.85</v>
      </c>
      <c r="W9" s="68">
        <v>3585.2</v>
      </c>
      <c r="X9" s="68">
        <v>26.13</v>
      </c>
      <c r="Y9" s="68">
        <v>47.03</v>
      </c>
      <c r="Z9" s="68">
        <v>27.65</v>
      </c>
      <c r="AA9" s="68">
        <v>0</v>
      </c>
      <c r="AB9" s="68">
        <v>313.87</v>
      </c>
      <c r="AD9" s="68">
        <v>73.16</v>
      </c>
      <c r="AE9" s="71">
        <v>131.69999999999999</v>
      </c>
      <c r="AF9" s="71">
        <v>335.88</v>
      </c>
      <c r="AG9" s="71">
        <v>4000.05</v>
      </c>
      <c r="AH9" s="71">
        <v>266.64</v>
      </c>
      <c r="AI9" s="71">
        <v>80</v>
      </c>
      <c r="AJ9" s="68">
        <v>47.27</v>
      </c>
      <c r="AK9" s="68">
        <v>540.74</v>
      </c>
      <c r="AL9" s="68">
        <v>209.04</v>
      </c>
      <c r="AM9" s="68">
        <v>224.83</v>
      </c>
      <c r="AN9" s="68">
        <v>219.03679772204578</v>
      </c>
      <c r="AO9" s="71" t="s">
        <v>651</v>
      </c>
    </row>
    <row r="10" spans="2:44" hidden="1" outlineLevel="2" x14ac:dyDescent="0.2">
      <c r="B10" s="68" t="s">
        <v>76</v>
      </c>
      <c r="C10" s="78" t="s">
        <v>591</v>
      </c>
      <c r="D10" s="68">
        <v>15</v>
      </c>
      <c r="E10" s="68">
        <v>0</v>
      </c>
      <c r="F10" s="68">
        <v>266.67</v>
      </c>
      <c r="G10" s="68">
        <v>278.72000000000003</v>
      </c>
      <c r="H10" s="68">
        <v>4000.05</v>
      </c>
      <c r="I10" s="68">
        <v>0</v>
      </c>
      <c r="J10" s="68">
        <v>0</v>
      </c>
      <c r="K10" s="68">
        <v>4000.05</v>
      </c>
      <c r="L10" s="68">
        <v>313.87</v>
      </c>
      <c r="M10" s="68">
        <v>0</v>
      </c>
      <c r="N10" s="68">
        <v>100.81</v>
      </c>
      <c r="O10" s="68">
        <v>0</v>
      </c>
      <c r="P10" s="68">
        <v>0</v>
      </c>
      <c r="Q10" s="68"/>
      <c r="R10" s="68">
        <v>0</v>
      </c>
      <c r="S10" s="68">
        <v>0</v>
      </c>
      <c r="T10" s="68">
        <v>0</v>
      </c>
      <c r="U10" s="68">
        <v>-0.03</v>
      </c>
      <c r="V10" s="68">
        <v>414.65</v>
      </c>
      <c r="W10" s="68">
        <v>3585.4</v>
      </c>
      <c r="X10" s="68">
        <v>26.13</v>
      </c>
      <c r="Y10" s="68">
        <v>47.03</v>
      </c>
      <c r="Z10" s="68">
        <v>27.65</v>
      </c>
      <c r="AA10" s="79">
        <v>0</v>
      </c>
      <c r="AB10" s="68">
        <v>313.87</v>
      </c>
      <c r="AD10" s="68">
        <v>73.16</v>
      </c>
      <c r="AE10" s="71">
        <v>131.69999999999999</v>
      </c>
      <c r="AF10" s="71">
        <v>335.88</v>
      </c>
      <c r="AG10" s="71">
        <v>4000.05</v>
      </c>
      <c r="AH10" s="71">
        <v>266.64</v>
      </c>
      <c r="AI10" s="71">
        <v>80</v>
      </c>
      <c r="AJ10" s="68">
        <v>47.27</v>
      </c>
      <c r="AK10" s="68">
        <v>540.74</v>
      </c>
      <c r="AL10" s="68">
        <v>209.04</v>
      </c>
      <c r="AM10" s="68">
        <v>224.83</v>
      </c>
      <c r="AN10" s="68">
        <v>219.03679772204578</v>
      </c>
      <c r="AO10" s="71" t="s">
        <v>651</v>
      </c>
    </row>
    <row r="11" spans="2:44" hidden="1" outlineLevel="2" x14ac:dyDescent="0.2">
      <c r="B11" s="68" t="s">
        <v>78</v>
      </c>
      <c r="C11" s="68" t="s">
        <v>664</v>
      </c>
      <c r="D11" s="68">
        <v>15</v>
      </c>
      <c r="E11" s="68">
        <v>0</v>
      </c>
      <c r="F11" s="68">
        <v>200</v>
      </c>
      <c r="G11" s="68">
        <v>209.04</v>
      </c>
      <c r="H11" s="68">
        <v>3000</v>
      </c>
      <c r="I11" s="68">
        <v>0</v>
      </c>
      <c r="J11" s="68">
        <v>0</v>
      </c>
      <c r="K11" s="68">
        <v>3000</v>
      </c>
      <c r="L11" s="68">
        <v>59.69</v>
      </c>
      <c r="M11" s="68">
        <v>0</v>
      </c>
      <c r="N11" s="68">
        <v>74.48</v>
      </c>
      <c r="O11" s="68">
        <v>0</v>
      </c>
      <c r="P11" s="68">
        <v>0</v>
      </c>
      <c r="Q11" s="68"/>
      <c r="R11" s="68">
        <v>0</v>
      </c>
      <c r="S11" s="68">
        <v>0</v>
      </c>
      <c r="T11" s="68">
        <v>0</v>
      </c>
      <c r="U11" s="68">
        <v>0.03</v>
      </c>
      <c r="V11" s="68">
        <v>134.19999999999999</v>
      </c>
      <c r="W11" s="68">
        <v>2865.8</v>
      </c>
      <c r="X11" s="68">
        <v>19.600000000000001</v>
      </c>
      <c r="Y11" s="68">
        <v>35.28</v>
      </c>
      <c r="Z11" s="68">
        <v>19.600000000000001</v>
      </c>
      <c r="AA11" s="79">
        <v>-145.38</v>
      </c>
      <c r="AB11" s="68">
        <v>205.07</v>
      </c>
      <c r="AD11" s="68">
        <v>54.87</v>
      </c>
      <c r="AE11" s="71">
        <v>98.77</v>
      </c>
      <c r="AF11" s="71">
        <v>313.41000000000003</v>
      </c>
      <c r="AG11" s="71">
        <v>3000</v>
      </c>
      <c r="AH11" s="71">
        <v>245.73000000000002</v>
      </c>
      <c r="AI11" s="71">
        <v>60</v>
      </c>
      <c r="AJ11" s="68">
        <v>35.450000000000003</v>
      </c>
      <c r="AK11" s="68">
        <v>467.05</v>
      </c>
      <c r="AL11" s="68">
        <v>156.78</v>
      </c>
      <c r="AM11" s="68">
        <v>214.38</v>
      </c>
      <c r="AN11" s="68">
        <v>164.27554484722373</v>
      </c>
      <c r="AO11" s="71" t="s">
        <v>651</v>
      </c>
    </row>
    <row r="12" spans="2:44" s="75" customFormat="1" hidden="1" outlineLevel="2" x14ac:dyDescent="0.2">
      <c r="B12" s="68" t="s">
        <v>82</v>
      </c>
      <c r="C12" s="78" t="s">
        <v>358</v>
      </c>
      <c r="D12" s="68">
        <v>15</v>
      </c>
      <c r="E12" s="68">
        <v>0</v>
      </c>
      <c r="F12" s="68">
        <v>266.67</v>
      </c>
      <c r="G12" s="68">
        <v>278.72000000000003</v>
      </c>
      <c r="H12" s="68">
        <v>4000.05</v>
      </c>
      <c r="I12" s="68">
        <v>0</v>
      </c>
      <c r="J12" s="68">
        <v>0</v>
      </c>
      <c r="K12" s="68">
        <v>4000.05</v>
      </c>
      <c r="L12" s="68">
        <v>313.87</v>
      </c>
      <c r="M12" s="68">
        <v>0</v>
      </c>
      <c r="N12" s="68">
        <v>100.81</v>
      </c>
      <c r="O12" s="68">
        <v>878.36</v>
      </c>
      <c r="P12" s="68">
        <v>0</v>
      </c>
      <c r="Q12" s="68"/>
      <c r="R12" s="68">
        <v>0</v>
      </c>
      <c r="S12" s="68">
        <v>0</v>
      </c>
      <c r="T12" s="68">
        <v>0</v>
      </c>
      <c r="U12" s="79">
        <v>0.01</v>
      </c>
      <c r="V12" s="68">
        <v>1293.05</v>
      </c>
      <c r="W12" s="68">
        <v>2707</v>
      </c>
      <c r="X12" s="68">
        <v>26.13</v>
      </c>
      <c r="Y12" s="68">
        <v>47.03</v>
      </c>
      <c r="Z12" s="68">
        <v>27.65</v>
      </c>
      <c r="AA12" s="68">
        <v>0</v>
      </c>
      <c r="AB12" s="68">
        <v>313.87</v>
      </c>
      <c r="AC12" s="71"/>
      <c r="AD12" s="68">
        <v>73.16</v>
      </c>
      <c r="AE12" s="71">
        <v>131.69999999999999</v>
      </c>
      <c r="AF12" s="71">
        <v>335.88</v>
      </c>
      <c r="AG12" s="71">
        <v>4000.05</v>
      </c>
      <c r="AH12" s="71">
        <v>266.64</v>
      </c>
      <c r="AI12" s="71">
        <v>80</v>
      </c>
      <c r="AJ12" s="68">
        <v>47.27</v>
      </c>
      <c r="AK12" s="68">
        <v>540.74</v>
      </c>
      <c r="AL12" s="68">
        <v>209.04</v>
      </c>
      <c r="AM12" s="68">
        <v>224.83</v>
      </c>
      <c r="AN12" s="68">
        <v>219.03679772204578</v>
      </c>
      <c r="AO12" s="71" t="s">
        <v>651</v>
      </c>
      <c r="AP12" s="71"/>
      <c r="AQ12" s="71"/>
      <c r="AR12" s="71"/>
    </row>
    <row r="13" spans="2:44" hidden="1" outlineLevel="2" x14ac:dyDescent="0.2">
      <c r="B13" s="68" t="s">
        <v>84</v>
      </c>
      <c r="C13" s="78" t="s">
        <v>359</v>
      </c>
      <c r="D13" s="68">
        <v>15</v>
      </c>
      <c r="E13" s="68">
        <v>0</v>
      </c>
      <c r="F13" s="68">
        <v>300</v>
      </c>
      <c r="G13" s="68">
        <v>313.56</v>
      </c>
      <c r="H13" s="68">
        <v>4500</v>
      </c>
      <c r="I13" s="68">
        <v>0</v>
      </c>
      <c r="J13" s="68">
        <v>0</v>
      </c>
      <c r="K13" s="68">
        <v>4500</v>
      </c>
      <c r="L13" s="68">
        <v>380.67</v>
      </c>
      <c r="M13" s="68">
        <v>0</v>
      </c>
      <c r="N13" s="68">
        <v>115.32</v>
      </c>
      <c r="O13" s="68">
        <v>0</v>
      </c>
      <c r="P13" s="68">
        <v>0</v>
      </c>
      <c r="Q13" s="68"/>
      <c r="R13" s="68">
        <v>0</v>
      </c>
      <c r="S13" s="68">
        <v>0</v>
      </c>
      <c r="T13" s="68">
        <v>0</v>
      </c>
      <c r="U13" s="79">
        <v>0.01</v>
      </c>
      <c r="V13" s="68">
        <v>496</v>
      </c>
      <c r="W13" s="68">
        <v>4004</v>
      </c>
      <c r="X13" s="68">
        <v>29.4</v>
      </c>
      <c r="Y13" s="68">
        <v>52.91</v>
      </c>
      <c r="Z13" s="68">
        <v>33.01</v>
      </c>
      <c r="AA13" s="68">
        <v>0</v>
      </c>
      <c r="AB13" s="68">
        <v>380.67</v>
      </c>
      <c r="AD13" s="68">
        <v>82.31</v>
      </c>
      <c r="AE13" s="71">
        <v>148.16</v>
      </c>
      <c r="AF13" s="71">
        <v>350.76</v>
      </c>
      <c r="AG13" s="71">
        <v>4500</v>
      </c>
      <c r="AH13" s="71">
        <v>277.09000000000003</v>
      </c>
      <c r="AI13" s="71">
        <v>90</v>
      </c>
      <c r="AJ13" s="68">
        <v>53.18</v>
      </c>
      <c r="AK13" s="68">
        <v>581.23</v>
      </c>
      <c r="AL13" s="68">
        <v>235.17</v>
      </c>
      <c r="AM13" s="68">
        <v>230.05</v>
      </c>
      <c r="AN13" s="68">
        <v>246.41331727083559</v>
      </c>
      <c r="AO13" s="71" t="s">
        <v>651</v>
      </c>
    </row>
    <row r="14" spans="2:44" hidden="1" outlineLevel="2" x14ac:dyDescent="0.2">
      <c r="B14" s="68" t="s">
        <v>86</v>
      </c>
      <c r="C14" s="78" t="s">
        <v>360</v>
      </c>
      <c r="D14" s="68">
        <v>13</v>
      </c>
      <c r="E14" s="68">
        <v>2</v>
      </c>
      <c r="F14" s="68">
        <v>400</v>
      </c>
      <c r="G14" s="68">
        <v>424.2</v>
      </c>
      <c r="H14" s="68">
        <v>5200</v>
      </c>
      <c r="I14" s="68">
        <v>800</v>
      </c>
      <c r="J14" s="68">
        <v>240</v>
      </c>
      <c r="K14" s="68">
        <v>6240</v>
      </c>
      <c r="L14" s="68">
        <v>643.38</v>
      </c>
      <c r="M14" s="68">
        <v>0</v>
      </c>
      <c r="N14" s="68">
        <v>161.36000000000001</v>
      </c>
      <c r="O14" s="68">
        <v>0</v>
      </c>
      <c r="P14" s="68">
        <v>0</v>
      </c>
      <c r="Q14" s="68"/>
      <c r="R14" s="68">
        <v>0</v>
      </c>
      <c r="S14" s="68">
        <v>0</v>
      </c>
      <c r="T14" s="68">
        <v>0</v>
      </c>
      <c r="U14" s="79">
        <v>0.06</v>
      </c>
      <c r="V14" s="68">
        <v>804.8</v>
      </c>
      <c r="W14" s="68">
        <v>5435.2</v>
      </c>
      <c r="X14" s="68">
        <v>39.770000000000003</v>
      </c>
      <c r="Y14" s="68">
        <v>71.58</v>
      </c>
      <c r="Z14" s="68">
        <v>50.01</v>
      </c>
      <c r="AA14" s="68">
        <v>0</v>
      </c>
      <c r="AB14" s="68">
        <v>643.38</v>
      </c>
      <c r="AD14" s="68">
        <v>111.35</v>
      </c>
      <c r="AE14" s="71">
        <v>200.43</v>
      </c>
      <c r="AF14" s="71">
        <v>398.06</v>
      </c>
      <c r="AG14" s="71">
        <v>6240</v>
      </c>
      <c r="AH14" s="71">
        <v>310.28000000000003</v>
      </c>
      <c r="AI14" s="71">
        <v>124.8</v>
      </c>
      <c r="AJ14" s="68">
        <v>71.94</v>
      </c>
      <c r="AK14" s="68">
        <v>709.84</v>
      </c>
      <c r="AL14" s="68">
        <v>318.14999999999998</v>
      </c>
      <c r="AM14" s="68">
        <v>246.65</v>
      </c>
      <c r="AN14" s="68">
        <v>328.55108969444746</v>
      </c>
      <c r="AO14" s="71" t="s">
        <v>651</v>
      </c>
    </row>
    <row r="15" spans="2:44" hidden="1" outlineLevel="2" x14ac:dyDescent="0.2">
      <c r="B15" s="70" t="s">
        <v>88</v>
      </c>
      <c r="C15" s="70" t="s">
        <v>592</v>
      </c>
      <c r="D15" s="68">
        <v>15</v>
      </c>
      <c r="E15" s="68">
        <v>0</v>
      </c>
      <c r="F15" s="68">
        <v>266.67</v>
      </c>
      <c r="G15" s="68">
        <v>278.72000000000003</v>
      </c>
      <c r="H15" s="68">
        <v>4000.05</v>
      </c>
      <c r="I15" s="68">
        <v>0</v>
      </c>
      <c r="J15" s="68">
        <v>0</v>
      </c>
      <c r="K15" s="68">
        <v>4000.05</v>
      </c>
      <c r="L15" s="68">
        <v>313.87</v>
      </c>
      <c r="M15" s="68">
        <v>0</v>
      </c>
      <c r="N15" s="68">
        <v>100.81</v>
      </c>
      <c r="O15" s="68">
        <v>0</v>
      </c>
      <c r="P15" s="68">
        <v>0</v>
      </c>
      <c r="Q15" s="68"/>
      <c r="R15" s="70">
        <v>0</v>
      </c>
      <c r="S15" s="68">
        <v>0</v>
      </c>
      <c r="T15" s="70">
        <v>0</v>
      </c>
      <c r="U15" s="79">
        <v>-0.03</v>
      </c>
      <c r="V15" s="68">
        <v>414.65</v>
      </c>
      <c r="W15" s="68">
        <v>3585.4</v>
      </c>
      <c r="X15" s="68">
        <v>26.13</v>
      </c>
      <c r="Y15" s="68">
        <v>47.03</v>
      </c>
      <c r="Z15" s="68">
        <v>27.65</v>
      </c>
      <c r="AA15" s="79">
        <v>0</v>
      </c>
      <c r="AB15" s="68">
        <v>313.87</v>
      </c>
      <c r="AC15" s="75"/>
      <c r="AD15" s="68">
        <v>73.16</v>
      </c>
      <c r="AE15" s="75">
        <v>131.69999999999999</v>
      </c>
      <c r="AF15" s="75">
        <v>335.88</v>
      </c>
      <c r="AG15" s="75">
        <v>4000.05</v>
      </c>
      <c r="AH15" s="75">
        <v>266.64</v>
      </c>
      <c r="AI15" s="75">
        <v>80</v>
      </c>
      <c r="AJ15" s="68">
        <v>47.27</v>
      </c>
      <c r="AK15" s="68">
        <v>540.74</v>
      </c>
      <c r="AL15" s="68">
        <v>209.04</v>
      </c>
      <c r="AM15" s="68">
        <v>224.83</v>
      </c>
      <c r="AN15" s="68">
        <v>219.03679772204578</v>
      </c>
      <c r="AO15" s="71" t="s">
        <v>651</v>
      </c>
    </row>
    <row r="16" spans="2:44" s="75" customFormat="1" hidden="1" outlineLevel="2" x14ac:dyDescent="0.2">
      <c r="B16" s="68" t="s">
        <v>90</v>
      </c>
      <c r="C16" s="78" t="s">
        <v>361</v>
      </c>
      <c r="D16" s="68">
        <v>15</v>
      </c>
      <c r="E16" s="68">
        <v>0</v>
      </c>
      <c r="F16" s="68">
        <v>200</v>
      </c>
      <c r="G16" s="68">
        <v>212.1</v>
      </c>
      <c r="H16" s="68">
        <v>3000</v>
      </c>
      <c r="I16" s="68">
        <v>0</v>
      </c>
      <c r="J16" s="68">
        <v>0</v>
      </c>
      <c r="K16" s="68">
        <v>3000</v>
      </c>
      <c r="L16" s="68">
        <v>59.69</v>
      </c>
      <c r="M16" s="68">
        <v>0</v>
      </c>
      <c r="N16" s="68">
        <v>75.55</v>
      </c>
      <c r="O16" s="68">
        <v>1362.48</v>
      </c>
      <c r="P16" s="68">
        <v>0</v>
      </c>
      <c r="Q16" s="68"/>
      <c r="R16" s="68">
        <v>0</v>
      </c>
      <c r="S16" s="68">
        <v>0</v>
      </c>
      <c r="T16" s="68">
        <v>0</v>
      </c>
      <c r="U16" s="79">
        <v>-0.12</v>
      </c>
      <c r="V16" s="68">
        <v>1497.6</v>
      </c>
      <c r="W16" s="68">
        <v>1502.4</v>
      </c>
      <c r="X16" s="68">
        <v>19.88</v>
      </c>
      <c r="Y16" s="68">
        <v>35.79</v>
      </c>
      <c r="Z16" s="68">
        <v>19.88</v>
      </c>
      <c r="AA16" s="68">
        <v>-145.38</v>
      </c>
      <c r="AB16" s="68">
        <v>205.07</v>
      </c>
      <c r="AC16" s="71"/>
      <c r="AD16" s="68">
        <v>55.68</v>
      </c>
      <c r="AE16" s="71">
        <v>100.22</v>
      </c>
      <c r="AF16" s="71">
        <v>314.22000000000003</v>
      </c>
      <c r="AG16" s="71">
        <v>3000</v>
      </c>
      <c r="AH16" s="71">
        <v>246.65</v>
      </c>
      <c r="AI16" s="71">
        <v>60</v>
      </c>
      <c r="AJ16" s="68">
        <v>35.97</v>
      </c>
      <c r="AK16" s="68">
        <v>470.12</v>
      </c>
      <c r="AL16" s="68">
        <v>159.08000000000001</v>
      </c>
      <c r="AM16" s="68">
        <v>214.84</v>
      </c>
      <c r="AN16" s="68">
        <v>164.27554484722373</v>
      </c>
      <c r="AO16" s="71" t="s">
        <v>651</v>
      </c>
      <c r="AP16" s="71"/>
      <c r="AQ16" s="71"/>
      <c r="AR16" s="71"/>
    </row>
    <row r="17" spans="2:44" hidden="1" outlineLevel="2" x14ac:dyDescent="0.2">
      <c r="B17" s="68" t="s">
        <v>92</v>
      </c>
      <c r="C17" s="78" t="s">
        <v>362</v>
      </c>
      <c r="D17" s="68">
        <v>15</v>
      </c>
      <c r="E17" s="68">
        <v>0</v>
      </c>
      <c r="F17" s="68">
        <v>333.33</v>
      </c>
      <c r="G17" s="68">
        <v>353.5</v>
      </c>
      <c r="H17" s="68">
        <v>4999.95</v>
      </c>
      <c r="I17" s="68">
        <v>0</v>
      </c>
      <c r="J17" s="68">
        <v>0</v>
      </c>
      <c r="K17" s="68">
        <v>4999.95</v>
      </c>
      <c r="L17" s="68">
        <v>461.63</v>
      </c>
      <c r="M17" s="68">
        <v>0</v>
      </c>
      <c r="N17" s="68">
        <v>131.93</v>
      </c>
      <c r="O17" s="68">
        <v>0</v>
      </c>
      <c r="P17" s="68">
        <v>0</v>
      </c>
      <c r="Q17" s="68"/>
      <c r="R17" s="68">
        <v>0</v>
      </c>
      <c r="S17" s="68">
        <v>0</v>
      </c>
      <c r="T17" s="68">
        <v>0</v>
      </c>
      <c r="U17" s="68">
        <v>-0.01</v>
      </c>
      <c r="V17" s="68">
        <v>593.54999999999995</v>
      </c>
      <c r="W17" s="68">
        <v>4406.3999999999996</v>
      </c>
      <c r="X17" s="68">
        <v>33.14</v>
      </c>
      <c r="Y17" s="68">
        <v>59.65</v>
      </c>
      <c r="Z17" s="68">
        <v>39.14</v>
      </c>
      <c r="AA17" s="79">
        <v>0</v>
      </c>
      <c r="AB17" s="68">
        <v>461.63</v>
      </c>
      <c r="AD17" s="68">
        <v>92.79</v>
      </c>
      <c r="AE17" s="71">
        <v>167.03</v>
      </c>
      <c r="AF17" s="71">
        <v>367.84</v>
      </c>
      <c r="AG17" s="71">
        <v>4999.95</v>
      </c>
      <c r="AH17" s="71">
        <v>289.07</v>
      </c>
      <c r="AI17" s="71">
        <v>100</v>
      </c>
      <c r="AJ17" s="68">
        <v>59.95</v>
      </c>
      <c r="AK17" s="68">
        <v>627.66</v>
      </c>
      <c r="AL17" s="68">
        <v>265.12</v>
      </c>
      <c r="AM17" s="68">
        <v>236.04000000000002</v>
      </c>
      <c r="AN17" s="68">
        <v>273.78983681962541</v>
      </c>
      <c r="AO17" s="71" t="s">
        <v>651</v>
      </c>
    </row>
    <row r="18" spans="2:44" hidden="1" outlineLevel="2" x14ac:dyDescent="0.2">
      <c r="B18" s="68" t="s">
        <v>94</v>
      </c>
      <c r="C18" s="78" t="s">
        <v>363</v>
      </c>
      <c r="D18" s="68">
        <v>15</v>
      </c>
      <c r="E18" s="68">
        <v>0</v>
      </c>
      <c r="F18" s="68">
        <v>233.33</v>
      </c>
      <c r="G18" s="68">
        <v>247.45</v>
      </c>
      <c r="H18" s="68">
        <v>3499.95</v>
      </c>
      <c r="I18" s="68">
        <v>0</v>
      </c>
      <c r="J18" s="68">
        <v>0</v>
      </c>
      <c r="K18" s="68">
        <v>3499.95</v>
      </c>
      <c r="L18" s="68">
        <v>134.36000000000001</v>
      </c>
      <c r="M18" s="68">
        <v>0</v>
      </c>
      <c r="N18" s="68">
        <v>88.16</v>
      </c>
      <c r="O18" s="68">
        <v>0</v>
      </c>
      <c r="P18" s="68">
        <v>0</v>
      </c>
      <c r="Q18" s="68"/>
      <c r="R18" s="68">
        <v>0</v>
      </c>
      <c r="S18" s="68">
        <v>0</v>
      </c>
      <c r="T18" s="68">
        <v>0</v>
      </c>
      <c r="U18" s="79">
        <v>0.03</v>
      </c>
      <c r="V18" s="68">
        <v>222.55</v>
      </c>
      <c r="W18" s="68">
        <v>3277.4</v>
      </c>
      <c r="X18" s="68">
        <v>23.2</v>
      </c>
      <c r="Y18" s="68">
        <v>41.76</v>
      </c>
      <c r="Z18" s="68">
        <v>23.2</v>
      </c>
      <c r="AA18" s="79">
        <v>-125.1</v>
      </c>
      <c r="AB18" s="68">
        <v>259.45999999999998</v>
      </c>
      <c r="AD18" s="68">
        <v>64.95</v>
      </c>
      <c r="AE18" s="71">
        <v>116.92</v>
      </c>
      <c r="AF18" s="71">
        <v>323.49</v>
      </c>
      <c r="AG18" s="71">
        <v>3499.95</v>
      </c>
      <c r="AH18" s="71">
        <v>257.25</v>
      </c>
      <c r="AI18" s="71">
        <v>70</v>
      </c>
      <c r="AJ18" s="68">
        <v>41.97</v>
      </c>
      <c r="AK18" s="68">
        <v>505.36</v>
      </c>
      <c r="AL18" s="68">
        <v>185.58</v>
      </c>
      <c r="AM18" s="68">
        <v>220.14000000000001</v>
      </c>
      <c r="AN18" s="68">
        <v>191.65206439601357</v>
      </c>
      <c r="AO18" s="71" t="s">
        <v>651</v>
      </c>
    </row>
    <row r="19" spans="2:44" s="75" customFormat="1" hidden="1" outlineLevel="2" x14ac:dyDescent="0.2">
      <c r="B19" s="68" t="s">
        <v>102</v>
      </c>
      <c r="C19" s="78" t="s">
        <v>364</v>
      </c>
      <c r="D19" s="68">
        <v>15</v>
      </c>
      <c r="E19" s="68">
        <v>0</v>
      </c>
      <c r="F19" s="68">
        <v>200</v>
      </c>
      <c r="G19" s="68">
        <v>212.1</v>
      </c>
      <c r="H19" s="68">
        <v>3000</v>
      </c>
      <c r="I19" s="68">
        <v>0</v>
      </c>
      <c r="J19" s="68">
        <v>0</v>
      </c>
      <c r="K19" s="68">
        <v>3000</v>
      </c>
      <c r="L19" s="68">
        <v>59.69</v>
      </c>
      <c r="M19" s="68">
        <v>0</v>
      </c>
      <c r="N19" s="68">
        <v>75.55</v>
      </c>
      <c r="O19" s="68">
        <v>0</v>
      </c>
      <c r="P19" s="68">
        <v>0</v>
      </c>
      <c r="Q19" s="68"/>
      <c r="R19" s="68">
        <v>1800</v>
      </c>
      <c r="S19" s="68">
        <v>0</v>
      </c>
      <c r="T19" s="68">
        <v>0</v>
      </c>
      <c r="U19" s="68">
        <v>-0.04</v>
      </c>
      <c r="V19" s="68">
        <v>1935.2</v>
      </c>
      <c r="W19" s="68">
        <v>1064.8</v>
      </c>
      <c r="X19" s="68">
        <v>19.88</v>
      </c>
      <c r="Y19" s="68">
        <v>35.79</v>
      </c>
      <c r="Z19" s="68">
        <v>19.88</v>
      </c>
      <c r="AA19" s="68">
        <v>-145.38</v>
      </c>
      <c r="AB19" s="68">
        <v>205.07</v>
      </c>
      <c r="AC19" s="71"/>
      <c r="AD19" s="68">
        <v>55.68</v>
      </c>
      <c r="AE19" s="71">
        <v>100.22</v>
      </c>
      <c r="AF19" s="71">
        <v>314.22000000000003</v>
      </c>
      <c r="AG19" s="71">
        <v>3000</v>
      </c>
      <c r="AH19" s="71">
        <v>246.65</v>
      </c>
      <c r="AI19" s="71">
        <v>60</v>
      </c>
      <c r="AJ19" s="68">
        <v>35.97</v>
      </c>
      <c r="AK19" s="68">
        <v>470.12</v>
      </c>
      <c r="AL19" s="68">
        <v>159.08000000000001</v>
      </c>
      <c r="AM19" s="68">
        <v>214.84</v>
      </c>
      <c r="AN19" s="68">
        <v>164.27554484722373</v>
      </c>
      <c r="AO19" s="71" t="s">
        <v>651</v>
      </c>
      <c r="AP19" s="71"/>
      <c r="AQ19" s="71"/>
      <c r="AR19" s="71"/>
    </row>
    <row r="20" spans="2:44" hidden="1" outlineLevel="2" x14ac:dyDescent="0.2">
      <c r="B20" s="70" t="s">
        <v>242</v>
      </c>
      <c r="C20" s="70" t="s">
        <v>382</v>
      </c>
      <c r="D20" s="70">
        <v>15</v>
      </c>
      <c r="E20" s="70">
        <v>0</v>
      </c>
      <c r="F20" s="70">
        <v>266.67</v>
      </c>
      <c r="G20" s="70">
        <v>282.81</v>
      </c>
      <c r="H20" s="70">
        <v>4000.05</v>
      </c>
      <c r="I20" s="70">
        <v>0</v>
      </c>
      <c r="J20" s="70">
        <v>0</v>
      </c>
      <c r="K20" s="70">
        <v>4000.05</v>
      </c>
      <c r="L20" s="70">
        <v>313.87</v>
      </c>
      <c r="M20" s="70">
        <v>0</v>
      </c>
      <c r="N20" s="70">
        <v>102.51</v>
      </c>
      <c r="O20" s="70">
        <v>0</v>
      </c>
      <c r="P20" s="70">
        <v>0</v>
      </c>
      <c r="Q20" s="70"/>
      <c r="R20" s="70">
        <v>0</v>
      </c>
      <c r="S20" s="70">
        <v>1666.67</v>
      </c>
      <c r="T20" s="70">
        <v>0</v>
      </c>
      <c r="U20" s="80">
        <v>0</v>
      </c>
      <c r="V20" s="70">
        <v>2083.0500000000002</v>
      </c>
      <c r="W20" s="70">
        <v>1917</v>
      </c>
      <c r="X20" s="70">
        <v>26.51</v>
      </c>
      <c r="Y20" s="70">
        <v>47.72</v>
      </c>
      <c r="Z20" s="70">
        <v>28.28</v>
      </c>
      <c r="AA20" s="70">
        <v>0</v>
      </c>
      <c r="AB20" s="70">
        <v>313.87</v>
      </c>
      <c r="AC20" s="75"/>
      <c r="AD20" s="70">
        <v>74.239999999999995</v>
      </c>
      <c r="AE20" s="75">
        <v>133.63</v>
      </c>
      <c r="AF20" s="75">
        <v>337.62</v>
      </c>
      <c r="AG20" s="75">
        <v>4000.05</v>
      </c>
      <c r="AH20" s="75">
        <v>267.86</v>
      </c>
      <c r="AI20" s="75">
        <v>80</v>
      </c>
      <c r="AJ20" s="70">
        <v>47.96</v>
      </c>
      <c r="AK20" s="70">
        <v>545.49</v>
      </c>
      <c r="AL20" s="70">
        <v>212.11</v>
      </c>
      <c r="AM20" s="70">
        <v>225.44</v>
      </c>
      <c r="AN20" s="70">
        <v>219.03679772204578</v>
      </c>
      <c r="AO20" s="71" t="s">
        <v>651</v>
      </c>
    </row>
    <row r="21" spans="2:44" s="75" customFormat="1" hidden="1" outlineLevel="2" x14ac:dyDescent="0.2">
      <c r="B21" s="70" t="s">
        <v>396</v>
      </c>
      <c r="C21" s="70" t="s">
        <v>397</v>
      </c>
      <c r="D21" s="70">
        <v>15</v>
      </c>
      <c r="E21" s="70">
        <v>0</v>
      </c>
      <c r="F21" s="70">
        <v>166.67</v>
      </c>
      <c r="G21" s="70">
        <v>174.2</v>
      </c>
      <c r="H21" s="70">
        <v>2500.0500000000002</v>
      </c>
      <c r="I21" s="70">
        <v>0</v>
      </c>
      <c r="J21" s="70">
        <v>0</v>
      </c>
      <c r="K21" s="70">
        <v>2500.0500000000002</v>
      </c>
      <c r="L21" s="70">
        <v>0</v>
      </c>
      <c r="M21" s="70">
        <v>-9.6199999999999992</v>
      </c>
      <c r="N21" s="70">
        <v>62.06</v>
      </c>
      <c r="O21" s="70">
        <v>0</v>
      </c>
      <c r="P21" s="70">
        <v>0</v>
      </c>
      <c r="Q21" s="70"/>
      <c r="R21" s="70">
        <v>0</v>
      </c>
      <c r="S21" s="70">
        <v>395.33</v>
      </c>
      <c r="T21" s="70">
        <v>0</v>
      </c>
      <c r="U21" s="70">
        <v>0.08</v>
      </c>
      <c r="V21" s="70">
        <v>447.85</v>
      </c>
      <c r="W21" s="70">
        <v>2052.1999999999998</v>
      </c>
      <c r="X21" s="70">
        <v>16.329999999999998</v>
      </c>
      <c r="Y21" s="70">
        <v>29.4</v>
      </c>
      <c r="Z21" s="70">
        <v>16.329999999999998</v>
      </c>
      <c r="AA21" s="80">
        <v>-160.30000000000001</v>
      </c>
      <c r="AB21" s="70">
        <v>150.66999999999999</v>
      </c>
      <c r="AD21" s="70">
        <v>45.73</v>
      </c>
      <c r="AE21" s="75">
        <v>82.31</v>
      </c>
      <c r="AF21" s="75">
        <v>304.27</v>
      </c>
      <c r="AG21" s="75">
        <v>2500.0500000000002</v>
      </c>
      <c r="AH21" s="75">
        <v>235.28</v>
      </c>
      <c r="AI21" s="75">
        <v>50</v>
      </c>
      <c r="AJ21" s="70">
        <v>29.54</v>
      </c>
      <c r="AK21" s="70">
        <v>432.31</v>
      </c>
      <c r="AL21" s="70">
        <v>130.65</v>
      </c>
      <c r="AM21" s="70">
        <v>209.15</v>
      </c>
      <c r="AN21" s="70">
        <v>136.89902529843388</v>
      </c>
      <c r="AO21" s="71" t="s">
        <v>651</v>
      </c>
    </row>
    <row r="22" spans="2:44" hidden="1" outlineLevel="2" x14ac:dyDescent="0.2">
      <c r="B22" s="70" t="s">
        <v>422</v>
      </c>
      <c r="C22" s="70" t="s">
        <v>423</v>
      </c>
      <c r="D22" s="70">
        <v>15</v>
      </c>
      <c r="E22" s="70">
        <v>0</v>
      </c>
      <c r="F22" s="70">
        <v>266.67</v>
      </c>
      <c r="G22" s="70">
        <v>282.81</v>
      </c>
      <c r="H22" s="70">
        <v>4000.05</v>
      </c>
      <c r="I22" s="70">
        <v>0</v>
      </c>
      <c r="J22" s="70">
        <v>0</v>
      </c>
      <c r="K22" s="70">
        <v>4000.05</v>
      </c>
      <c r="L22" s="70">
        <v>313.87</v>
      </c>
      <c r="M22" s="70">
        <v>0</v>
      </c>
      <c r="N22" s="70">
        <v>102.51</v>
      </c>
      <c r="O22" s="70">
        <v>0</v>
      </c>
      <c r="P22" s="70">
        <v>0</v>
      </c>
      <c r="Q22" s="70"/>
      <c r="R22" s="70">
        <v>0</v>
      </c>
      <c r="S22" s="70">
        <v>0</v>
      </c>
      <c r="T22" s="70">
        <v>0</v>
      </c>
      <c r="U22" s="70">
        <v>7.0000000000000007E-2</v>
      </c>
      <c r="V22" s="70">
        <v>416.45</v>
      </c>
      <c r="W22" s="70">
        <v>3583.6</v>
      </c>
      <c r="X22" s="70">
        <v>26.51</v>
      </c>
      <c r="Y22" s="70">
        <v>47.72</v>
      </c>
      <c r="Z22" s="70">
        <v>28.28</v>
      </c>
      <c r="AA22" s="70">
        <v>0</v>
      </c>
      <c r="AB22" s="70">
        <v>313.87</v>
      </c>
      <c r="AC22" s="75"/>
      <c r="AD22" s="70">
        <v>74.239999999999995</v>
      </c>
      <c r="AE22" s="75">
        <v>133.63</v>
      </c>
      <c r="AF22" s="75">
        <v>337.62</v>
      </c>
      <c r="AG22" s="75">
        <v>4000.05</v>
      </c>
      <c r="AH22" s="75">
        <v>267.86</v>
      </c>
      <c r="AI22" s="75">
        <v>80</v>
      </c>
      <c r="AJ22" s="70">
        <v>47.96</v>
      </c>
      <c r="AK22" s="70">
        <v>545.49</v>
      </c>
      <c r="AL22" s="70">
        <v>212.11</v>
      </c>
      <c r="AM22" s="70">
        <v>225.44</v>
      </c>
      <c r="AN22" s="70">
        <v>219.03679772204578</v>
      </c>
      <c r="AO22" s="71" t="s">
        <v>651</v>
      </c>
    </row>
    <row r="23" spans="2:44" s="75" customFormat="1" hidden="1" outlineLevel="2" x14ac:dyDescent="0.2">
      <c r="B23" s="70" t="s">
        <v>437</v>
      </c>
      <c r="C23" s="70" t="s">
        <v>438</v>
      </c>
      <c r="D23" s="70">
        <v>15</v>
      </c>
      <c r="E23" s="70">
        <v>0</v>
      </c>
      <c r="F23" s="70">
        <v>266.67</v>
      </c>
      <c r="G23" s="70">
        <v>282.81</v>
      </c>
      <c r="H23" s="70">
        <v>4000.05</v>
      </c>
      <c r="I23" s="70">
        <v>0</v>
      </c>
      <c r="J23" s="70">
        <v>320</v>
      </c>
      <c r="K23" s="70">
        <v>4320.05</v>
      </c>
      <c r="L23" s="70">
        <v>313.87</v>
      </c>
      <c r="M23" s="70">
        <v>0</v>
      </c>
      <c r="N23" s="70">
        <v>102.51</v>
      </c>
      <c r="O23" s="70">
        <v>0</v>
      </c>
      <c r="P23" s="70">
        <v>0</v>
      </c>
      <c r="Q23" s="70"/>
      <c r="R23" s="70">
        <v>0</v>
      </c>
      <c r="S23" s="70">
        <v>0</v>
      </c>
      <c r="T23" s="70">
        <v>0</v>
      </c>
      <c r="U23" s="70">
        <v>-0.13</v>
      </c>
      <c r="V23" s="70">
        <v>416.25</v>
      </c>
      <c r="W23" s="70">
        <v>3903.8</v>
      </c>
      <c r="X23" s="70">
        <v>26.51</v>
      </c>
      <c r="Y23" s="70">
        <v>47.72</v>
      </c>
      <c r="Z23" s="70">
        <v>28.28</v>
      </c>
      <c r="AA23" s="70">
        <v>0</v>
      </c>
      <c r="AB23" s="70">
        <v>313.87</v>
      </c>
      <c r="AD23" s="70">
        <v>74.239999999999995</v>
      </c>
      <c r="AE23" s="75">
        <v>133.63</v>
      </c>
      <c r="AF23" s="75">
        <v>337.62</v>
      </c>
      <c r="AG23" s="75">
        <v>4320.05</v>
      </c>
      <c r="AH23" s="75">
        <v>267.86</v>
      </c>
      <c r="AI23" s="75">
        <v>86.4</v>
      </c>
      <c r="AJ23" s="70">
        <v>47.96</v>
      </c>
      <c r="AK23" s="70">
        <v>545.49</v>
      </c>
      <c r="AL23" s="70">
        <v>212.11</v>
      </c>
      <c r="AM23" s="70">
        <v>225.44</v>
      </c>
      <c r="AN23" s="70">
        <v>219.03679772204578</v>
      </c>
      <c r="AO23" s="71" t="s">
        <v>651</v>
      </c>
      <c r="AP23" s="71"/>
      <c r="AQ23" s="71"/>
      <c r="AR23" s="71"/>
    </row>
    <row r="24" spans="2:44" s="75" customFormat="1" hidden="1" outlineLevel="2" x14ac:dyDescent="0.2">
      <c r="B24" s="70" t="s">
        <v>424</v>
      </c>
      <c r="C24" s="70" t="s">
        <v>425</v>
      </c>
      <c r="D24" s="70">
        <v>14</v>
      </c>
      <c r="E24" s="70">
        <v>0</v>
      </c>
      <c r="F24" s="70">
        <v>150</v>
      </c>
      <c r="G24" s="70">
        <v>159.08000000000001</v>
      </c>
      <c r="H24" s="70">
        <v>2100</v>
      </c>
      <c r="I24" s="70">
        <v>0</v>
      </c>
      <c r="J24" s="70">
        <v>0</v>
      </c>
      <c r="K24" s="70">
        <v>2100</v>
      </c>
      <c r="L24" s="70">
        <v>0</v>
      </c>
      <c r="M24" s="80">
        <v>-67.099999999999994</v>
      </c>
      <c r="N24" s="70">
        <v>53.9</v>
      </c>
      <c r="O24" s="70">
        <v>0</v>
      </c>
      <c r="P24" s="70">
        <v>0</v>
      </c>
      <c r="Q24" s="70"/>
      <c r="R24" s="70">
        <v>0</v>
      </c>
      <c r="S24" s="70">
        <v>0</v>
      </c>
      <c r="T24" s="70">
        <v>0</v>
      </c>
      <c r="U24" s="80">
        <v>0</v>
      </c>
      <c r="V24" s="70">
        <v>-13.2</v>
      </c>
      <c r="W24" s="70">
        <v>2113.1999999999998</v>
      </c>
      <c r="X24" s="70">
        <v>13.92</v>
      </c>
      <c r="Y24" s="70">
        <v>25.06</v>
      </c>
      <c r="Z24" s="70">
        <v>14.92</v>
      </c>
      <c r="AA24" s="80">
        <v>-188.71</v>
      </c>
      <c r="AB24" s="70">
        <v>121.61</v>
      </c>
      <c r="AD24" s="70">
        <v>41.76</v>
      </c>
      <c r="AE24" s="75">
        <v>75.17</v>
      </c>
      <c r="AF24" s="75">
        <v>300.3</v>
      </c>
      <c r="AG24" s="75">
        <v>2100</v>
      </c>
      <c r="AH24" s="75">
        <v>230.74</v>
      </c>
      <c r="AI24" s="75">
        <v>42</v>
      </c>
      <c r="AJ24" s="70">
        <v>26.98</v>
      </c>
      <c r="AK24" s="70">
        <v>417.23</v>
      </c>
      <c r="AL24" s="70">
        <v>119.31</v>
      </c>
      <c r="AM24" s="70">
        <v>206.88</v>
      </c>
      <c r="AN24" s="70">
        <v>123.2066586354178</v>
      </c>
      <c r="AO24" s="71" t="s">
        <v>651</v>
      </c>
      <c r="AP24" s="71"/>
      <c r="AQ24" s="71"/>
      <c r="AR24" s="71"/>
    </row>
    <row r="25" spans="2:44" s="75" customFormat="1" hidden="1" outlineLevel="2" x14ac:dyDescent="0.2">
      <c r="B25" s="70" t="s">
        <v>426</v>
      </c>
      <c r="C25" s="70" t="s">
        <v>427</v>
      </c>
      <c r="D25" s="70">
        <v>14</v>
      </c>
      <c r="E25" s="70">
        <v>0</v>
      </c>
      <c r="F25" s="70">
        <v>200</v>
      </c>
      <c r="G25" s="70">
        <v>212.11</v>
      </c>
      <c r="H25" s="70">
        <v>2800</v>
      </c>
      <c r="I25" s="70">
        <v>0</v>
      </c>
      <c r="J25" s="70">
        <v>0</v>
      </c>
      <c r="K25" s="70">
        <v>2800</v>
      </c>
      <c r="L25" s="70">
        <v>37.93</v>
      </c>
      <c r="M25" s="70">
        <v>0</v>
      </c>
      <c r="N25" s="70">
        <v>71.849999999999994</v>
      </c>
      <c r="O25" s="70">
        <v>0</v>
      </c>
      <c r="P25" s="70">
        <v>1487.31</v>
      </c>
      <c r="Q25" s="70"/>
      <c r="R25" s="70">
        <v>600</v>
      </c>
      <c r="S25" s="70">
        <v>0</v>
      </c>
      <c r="T25" s="70">
        <v>0</v>
      </c>
      <c r="U25" s="70">
        <v>0.11</v>
      </c>
      <c r="V25" s="70">
        <v>2197.1999999999998</v>
      </c>
      <c r="W25" s="70">
        <v>602.79999999999995</v>
      </c>
      <c r="X25" s="70">
        <v>18.559999999999999</v>
      </c>
      <c r="Y25" s="70">
        <v>33.409999999999997</v>
      </c>
      <c r="Z25" s="70">
        <v>19.88</v>
      </c>
      <c r="AA25" s="80">
        <v>-145.38</v>
      </c>
      <c r="AB25" s="70">
        <v>183.31</v>
      </c>
      <c r="AD25" s="70">
        <v>55.68</v>
      </c>
      <c r="AE25" s="75">
        <v>100.22</v>
      </c>
      <c r="AF25" s="75">
        <v>314.22000000000003</v>
      </c>
      <c r="AG25" s="75">
        <v>2800</v>
      </c>
      <c r="AH25" s="75">
        <v>246.65</v>
      </c>
      <c r="AI25" s="75">
        <v>56</v>
      </c>
      <c r="AJ25" s="70">
        <v>35.97</v>
      </c>
      <c r="AK25" s="70">
        <v>470.12</v>
      </c>
      <c r="AL25" s="70">
        <v>159.08000000000001</v>
      </c>
      <c r="AM25" s="70">
        <v>214.84</v>
      </c>
      <c r="AN25" s="70">
        <v>164.27554484722373</v>
      </c>
      <c r="AO25" s="71" t="s">
        <v>651</v>
      </c>
      <c r="AP25" s="71"/>
      <c r="AQ25" s="71"/>
      <c r="AR25" s="71"/>
    </row>
    <row r="26" spans="2:44" s="75" customFormat="1" hidden="1" outlineLevel="2" x14ac:dyDescent="0.2">
      <c r="B26" s="70" t="s">
        <v>434</v>
      </c>
      <c r="C26" s="70" t="s">
        <v>430</v>
      </c>
      <c r="D26" s="70">
        <v>15</v>
      </c>
      <c r="E26" s="70">
        <v>0</v>
      </c>
      <c r="F26" s="70">
        <v>466.67</v>
      </c>
      <c r="G26" s="70">
        <v>494.92</v>
      </c>
      <c r="H26" s="70">
        <v>7000.05</v>
      </c>
      <c r="I26" s="70">
        <v>0</v>
      </c>
      <c r="J26" s="70">
        <v>0</v>
      </c>
      <c r="K26" s="70">
        <v>7000.05</v>
      </c>
      <c r="L26" s="70">
        <v>856.99</v>
      </c>
      <c r="M26" s="70">
        <v>0</v>
      </c>
      <c r="N26" s="70">
        <v>190.81</v>
      </c>
      <c r="O26" s="70">
        <v>0</v>
      </c>
      <c r="P26" s="70">
        <v>0</v>
      </c>
      <c r="Q26" s="70"/>
      <c r="R26" s="70">
        <v>0</v>
      </c>
      <c r="S26" s="70">
        <v>0</v>
      </c>
      <c r="T26" s="70">
        <v>0</v>
      </c>
      <c r="U26" s="80">
        <v>-0.15</v>
      </c>
      <c r="V26" s="70">
        <v>1047.6500000000001</v>
      </c>
      <c r="W26" s="70">
        <v>5952.4</v>
      </c>
      <c r="X26" s="70">
        <v>46.4</v>
      </c>
      <c r="Y26" s="70">
        <v>83.52</v>
      </c>
      <c r="Z26" s="70">
        <v>60.89</v>
      </c>
      <c r="AA26" s="70">
        <v>0</v>
      </c>
      <c r="AB26" s="70">
        <v>856.99</v>
      </c>
      <c r="AD26" s="70">
        <v>129.91999999999999</v>
      </c>
      <c r="AE26" s="75">
        <v>233.85</v>
      </c>
      <c r="AF26" s="75">
        <v>428.3</v>
      </c>
      <c r="AG26" s="75">
        <v>7000.05</v>
      </c>
      <c r="AH26" s="75">
        <v>331.5</v>
      </c>
      <c r="AI26" s="75">
        <v>140</v>
      </c>
      <c r="AJ26" s="70">
        <v>83.94</v>
      </c>
      <c r="AK26" s="70">
        <v>792.07</v>
      </c>
      <c r="AL26" s="70">
        <v>371.19</v>
      </c>
      <c r="AM26" s="70">
        <v>257.26</v>
      </c>
      <c r="AN26" s="70">
        <v>383.3123425692695</v>
      </c>
      <c r="AO26" s="71" t="s">
        <v>651</v>
      </c>
      <c r="AP26" s="71"/>
      <c r="AQ26" s="71"/>
      <c r="AR26" s="71"/>
    </row>
    <row r="27" spans="2:44" s="75" customFormat="1" hidden="1" outlineLevel="2" x14ac:dyDescent="0.2">
      <c r="B27" s="70" t="s">
        <v>436</v>
      </c>
      <c r="C27" s="70" t="s">
        <v>432</v>
      </c>
      <c r="D27" s="70">
        <v>15</v>
      </c>
      <c r="E27" s="70">
        <v>0</v>
      </c>
      <c r="F27" s="70">
        <v>466.67</v>
      </c>
      <c r="G27" s="70">
        <v>494.92</v>
      </c>
      <c r="H27" s="70">
        <v>7000.05</v>
      </c>
      <c r="I27" s="70">
        <v>0</v>
      </c>
      <c r="J27" s="70">
        <v>0</v>
      </c>
      <c r="K27" s="70">
        <v>7000.05</v>
      </c>
      <c r="L27" s="70">
        <v>856.99</v>
      </c>
      <c r="M27" s="70">
        <v>0</v>
      </c>
      <c r="N27" s="70">
        <v>190.81</v>
      </c>
      <c r="O27" s="70">
        <v>0</v>
      </c>
      <c r="P27" s="70">
        <v>0</v>
      </c>
      <c r="Q27" s="70"/>
      <c r="R27" s="70">
        <v>0</v>
      </c>
      <c r="S27" s="70">
        <v>0</v>
      </c>
      <c r="T27" s="70">
        <v>0</v>
      </c>
      <c r="U27" s="80">
        <v>0.05</v>
      </c>
      <c r="V27" s="70">
        <v>1047.8499999999999</v>
      </c>
      <c r="W27" s="70">
        <v>5952.2</v>
      </c>
      <c r="X27" s="70">
        <v>46.4</v>
      </c>
      <c r="Y27" s="70">
        <v>83.52</v>
      </c>
      <c r="Z27" s="70">
        <v>60.89</v>
      </c>
      <c r="AA27" s="70">
        <v>0</v>
      </c>
      <c r="AB27" s="70">
        <v>856.99</v>
      </c>
      <c r="AD27" s="70">
        <v>129.91999999999999</v>
      </c>
      <c r="AE27" s="75">
        <v>233.85</v>
      </c>
      <c r="AF27" s="75">
        <v>428.3</v>
      </c>
      <c r="AG27" s="75">
        <v>7000.05</v>
      </c>
      <c r="AH27" s="75">
        <v>331.5</v>
      </c>
      <c r="AI27" s="75">
        <v>140</v>
      </c>
      <c r="AJ27" s="70">
        <v>83.94</v>
      </c>
      <c r="AK27" s="70">
        <v>792.07</v>
      </c>
      <c r="AL27" s="70">
        <v>371.19</v>
      </c>
      <c r="AM27" s="70">
        <v>257.26</v>
      </c>
      <c r="AN27" s="70">
        <v>383.3123425692695</v>
      </c>
      <c r="AO27" s="71" t="s">
        <v>651</v>
      </c>
      <c r="AP27" s="71"/>
      <c r="AQ27" s="71"/>
      <c r="AR27" s="71"/>
    </row>
    <row r="28" spans="2:44" s="75" customFormat="1" hidden="1" outlineLevel="2" x14ac:dyDescent="0.2">
      <c r="B28" s="70" t="s">
        <v>444</v>
      </c>
      <c r="C28" s="70" t="s">
        <v>445</v>
      </c>
      <c r="D28" s="70">
        <v>14</v>
      </c>
      <c r="E28" s="70">
        <v>1</v>
      </c>
      <c r="F28" s="70">
        <v>200</v>
      </c>
      <c r="G28" s="70">
        <v>212.11</v>
      </c>
      <c r="H28" s="70">
        <v>2800</v>
      </c>
      <c r="I28" s="70">
        <v>200</v>
      </c>
      <c r="J28" s="70">
        <v>60</v>
      </c>
      <c r="K28" s="70">
        <v>3060</v>
      </c>
      <c r="L28" s="70">
        <v>59.69</v>
      </c>
      <c r="M28" s="70">
        <v>0</v>
      </c>
      <c r="N28" s="70">
        <v>75.56</v>
      </c>
      <c r="O28" s="70">
        <v>0</v>
      </c>
      <c r="P28" s="70">
        <v>0</v>
      </c>
      <c r="Q28" s="70"/>
      <c r="R28" s="70">
        <v>0</v>
      </c>
      <c r="S28" s="70">
        <v>0</v>
      </c>
      <c r="T28" s="70">
        <v>0</v>
      </c>
      <c r="U28" s="70">
        <v>-0.05</v>
      </c>
      <c r="V28" s="70">
        <v>135.19999999999999</v>
      </c>
      <c r="W28" s="70">
        <v>2924.8</v>
      </c>
      <c r="X28" s="70">
        <v>19.89</v>
      </c>
      <c r="Y28" s="70">
        <v>35.79</v>
      </c>
      <c r="Z28" s="70">
        <v>19.88</v>
      </c>
      <c r="AA28" s="80">
        <v>-145.38</v>
      </c>
      <c r="AB28" s="70">
        <v>205.07</v>
      </c>
      <c r="AD28" s="70">
        <v>55.68</v>
      </c>
      <c r="AE28" s="75">
        <v>100.22</v>
      </c>
      <c r="AF28" s="75">
        <v>314.22000000000003</v>
      </c>
      <c r="AG28" s="75">
        <v>3060</v>
      </c>
      <c r="AH28" s="75">
        <v>246.65</v>
      </c>
      <c r="AI28" s="75">
        <v>61.2</v>
      </c>
      <c r="AJ28" s="70">
        <v>35.97</v>
      </c>
      <c r="AK28" s="70">
        <v>470.12</v>
      </c>
      <c r="AL28" s="70">
        <v>159.08000000000001</v>
      </c>
      <c r="AM28" s="70">
        <v>214.84</v>
      </c>
      <c r="AN28" s="70">
        <v>164.27554484722373</v>
      </c>
      <c r="AO28" s="71" t="s">
        <v>651</v>
      </c>
      <c r="AP28" s="71"/>
      <c r="AQ28" s="71"/>
      <c r="AR28" s="71"/>
    </row>
    <row r="29" spans="2:44" s="75" customFormat="1" hidden="1" outlineLevel="2" x14ac:dyDescent="0.2">
      <c r="B29" s="70" t="s">
        <v>446</v>
      </c>
      <c r="C29" s="70" t="s">
        <v>447</v>
      </c>
      <c r="D29" s="70">
        <v>14</v>
      </c>
      <c r="E29" s="70">
        <v>1</v>
      </c>
      <c r="F29" s="70">
        <v>266.67</v>
      </c>
      <c r="G29" s="70">
        <v>282.81</v>
      </c>
      <c r="H29" s="70">
        <v>3733.38</v>
      </c>
      <c r="I29" s="70">
        <v>266.67</v>
      </c>
      <c r="J29" s="70">
        <v>80</v>
      </c>
      <c r="K29" s="70">
        <v>4080.05</v>
      </c>
      <c r="L29" s="70">
        <v>313.87</v>
      </c>
      <c r="M29" s="70">
        <v>0</v>
      </c>
      <c r="N29" s="70">
        <v>102.51</v>
      </c>
      <c r="O29" s="70">
        <v>0</v>
      </c>
      <c r="P29" s="70">
        <v>0</v>
      </c>
      <c r="Q29" s="70"/>
      <c r="R29" s="70">
        <v>0</v>
      </c>
      <c r="S29" s="70">
        <v>0</v>
      </c>
      <c r="T29" s="70">
        <v>0</v>
      </c>
      <c r="U29" s="70">
        <v>7.0000000000000007E-2</v>
      </c>
      <c r="V29" s="70">
        <v>416.45</v>
      </c>
      <c r="W29" s="70">
        <v>3663.6</v>
      </c>
      <c r="X29" s="70">
        <v>26.51</v>
      </c>
      <c r="Y29" s="70">
        <v>47.72</v>
      </c>
      <c r="Z29" s="70">
        <v>28.28</v>
      </c>
      <c r="AA29" s="70">
        <v>0</v>
      </c>
      <c r="AB29" s="70">
        <v>313.87</v>
      </c>
      <c r="AD29" s="70">
        <v>74.239999999999995</v>
      </c>
      <c r="AE29" s="75">
        <v>133.63</v>
      </c>
      <c r="AF29" s="75">
        <v>337.62</v>
      </c>
      <c r="AG29" s="75">
        <v>4080.05</v>
      </c>
      <c r="AH29" s="75">
        <v>267.86</v>
      </c>
      <c r="AI29" s="75">
        <v>81.599999999999994</v>
      </c>
      <c r="AJ29" s="70">
        <v>47.96</v>
      </c>
      <c r="AK29" s="70">
        <v>545.49</v>
      </c>
      <c r="AL29" s="70">
        <v>212.11</v>
      </c>
      <c r="AM29" s="70">
        <v>225.44</v>
      </c>
      <c r="AN29" s="70">
        <v>219.03679772204578</v>
      </c>
      <c r="AO29" s="71" t="s">
        <v>651</v>
      </c>
      <c r="AP29" s="71"/>
      <c r="AQ29" s="71"/>
      <c r="AR29" s="71"/>
    </row>
    <row r="30" spans="2:44" s="75" customFormat="1" hidden="1" outlineLevel="2" x14ac:dyDescent="0.2">
      <c r="B30" s="70" t="s">
        <v>469</v>
      </c>
      <c r="C30" s="70" t="s">
        <v>470</v>
      </c>
      <c r="D30" s="70">
        <v>15</v>
      </c>
      <c r="E30" s="70">
        <v>0</v>
      </c>
      <c r="F30" s="70">
        <v>266.67</v>
      </c>
      <c r="G30" s="70">
        <v>282.81</v>
      </c>
      <c r="H30" s="70">
        <v>4000.05</v>
      </c>
      <c r="I30" s="70">
        <v>0</v>
      </c>
      <c r="J30" s="70">
        <v>0</v>
      </c>
      <c r="K30" s="70">
        <v>4000.05</v>
      </c>
      <c r="L30" s="70">
        <v>313.87</v>
      </c>
      <c r="M30" s="70">
        <v>0</v>
      </c>
      <c r="N30" s="70">
        <v>102.51</v>
      </c>
      <c r="O30" s="70">
        <v>0</v>
      </c>
      <c r="P30" s="70">
        <v>0</v>
      </c>
      <c r="Q30" s="70"/>
      <c r="R30" s="70">
        <v>0</v>
      </c>
      <c r="S30" s="70">
        <v>0</v>
      </c>
      <c r="T30" s="70">
        <v>0</v>
      </c>
      <c r="U30" s="70">
        <v>7.0000000000000007E-2</v>
      </c>
      <c r="V30" s="70">
        <v>416.45</v>
      </c>
      <c r="W30" s="70">
        <v>3583.6</v>
      </c>
      <c r="X30" s="70">
        <v>26.51</v>
      </c>
      <c r="Y30" s="70">
        <v>47.72</v>
      </c>
      <c r="Z30" s="70">
        <v>28.28</v>
      </c>
      <c r="AA30" s="70">
        <v>0</v>
      </c>
      <c r="AB30" s="70">
        <v>313.87</v>
      </c>
      <c r="AD30" s="70">
        <v>74.239999999999995</v>
      </c>
      <c r="AE30" s="75">
        <v>133.63</v>
      </c>
      <c r="AF30" s="75">
        <v>337.62</v>
      </c>
      <c r="AG30" s="75">
        <v>4000.05</v>
      </c>
      <c r="AH30" s="75">
        <v>267.86</v>
      </c>
      <c r="AI30" s="75">
        <v>80</v>
      </c>
      <c r="AJ30" s="70">
        <v>47.96</v>
      </c>
      <c r="AK30" s="70">
        <v>545.49</v>
      </c>
      <c r="AL30" s="70">
        <v>212.11</v>
      </c>
      <c r="AM30" s="70">
        <v>225.44</v>
      </c>
      <c r="AN30" s="70">
        <v>219.03679772204578</v>
      </c>
      <c r="AO30" s="71" t="s">
        <v>651</v>
      </c>
      <c r="AP30" s="71"/>
      <c r="AQ30" s="71"/>
      <c r="AR30" s="71"/>
    </row>
    <row r="31" spans="2:44" s="75" customFormat="1" hidden="1" outlineLevel="2" x14ac:dyDescent="0.2">
      <c r="B31" s="70" t="s">
        <v>479</v>
      </c>
      <c r="C31" s="70" t="s">
        <v>480</v>
      </c>
      <c r="D31" s="70">
        <v>15</v>
      </c>
      <c r="E31" s="70">
        <v>0</v>
      </c>
      <c r="F31" s="70">
        <v>266.67</v>
      </c>
      <c r="G31" s="70">
        <v>282.81</v>
      </c>
      <c r="H31" s="70">
        <v>4000</v>
      </c>
      <c r="I31" s="70">
        <v>0</v>
      </c>
      <c r="J31" s="70">
        <v>0</v>
      </c>
      <c r="K31" s="70">
        <v>4000</v>
      </c>
      <c r="L31" s="70">
        <v>313.87</v>
      </c>
      <c r="M31" s="70">
        <v>0</v>
      </c>
      <c r="N31" s="70">
        <v>102.51</v>
      </c>
      <c r="O31" s="70">
        <v>0</v>
      </c>
      <c r="P31" s="70">
        <v>0</v>
      </c>
      <c r="Q31" s="70"/>
      <c r="R31" s="70">
        <v>0</v>
      </c>
      <c r="S31" s="70">
        <v>1025.44</v>
      </c>
      <c r="T31" s="70">
        <v>0</v>
      </c>
      <c r="U31" s="70">
        <v>-0.02</v>
      </c>
      <c r="V31" s="70">
        <v>1441.8</v>
      </c>
      <c r="W31" s="70">
        <v>2558.1999999999998</v>
      </c>
      <c r="X31" s="70">
        <v>26.51</v>
      </c>
      <c r="Y31" s="70">
        <v>47.72</v>
      </c>
      <c r="Z31" s="70">
        <v>28.28</v>
      </c>
      <c r="AA31" s="70">
        <v>0</v>
      </c>
      <c r="AB31" s="70">
        <v>313.87</v>
      </c>
      <c r="AD31" s="70">
        <v>74.239999999999995</v>
      </c>
      <c r="AE31" s="75">
        <v>133.63</v>
      </c>
      <c r="AF31" s="75">
        <v>337.62</v>
      </c>
      <c r="AG31" s="75">
        <v>4000</v>
      </c>
      <c r="AH31" s="75">
        <v>267.86</v>
      </c>
      <c r="AI31" s="75">
        <v>80</v>
      </c>
      <c r="AJ31" s="70">
        <v>47.96</v>
      </c>
      <c r="AK31" s="70">
        <v>545.49</v>
      </c>
      <c r="AL31" s="70">
        <v>212.11</v>
      </c>
      <c r="AM31" s="70">
        <v>225.44</v>
      </c>
      <c r="AN31" s="70">
        <v>219.03679772204578</v>
      </c>
      <c r="AO31" s="71" t="s">
        <v>651</v>
      </c>
      <c r="AP31" s="71"/>
      <c r="AQ31" s="71"/>
      <c r="AR31" s="71"/>
    </row>
    <row r="32" spans="2:44" s="75" customFormat="1" hidden="1" outlineLevel="2" x14ac:dyDescent="0.2">
      <c r="B32" s="70" t="s">
        <v>481</v>
      </c>
      <c r="C32" s="70" t="s">
        <v>482</v>
      </c>
      <c r="D32" s="70">
        <v>15</v>
      </c>
      <c r="E32" s="70">
        <v>0</v>
      </c>
      <c r="F32" s="70">
        <v>333.33</v>
      </c>
      <c r="G32" s="70">
        <v>353.52</v>
      </c>
      <c r="H32" s="70">
        <v>5000</v>
      </c>
      <c r="I32" s="70">
        <v>0</v>
      </c>
      <c r="J32" s="70">
        <v>0</v>
      </c>
      <c r="K32" s="70">
        <v>5000</v>
      </c>
      <c r="L32" s="70">
        <v>461.64</v>
      </c>
      <c r="M32" s="70">
        <v>0</v>
      </c>
      <c r="N32" s="70">
        <v>131.94999999999999</v>
      </c>
      <c r="O32" s="70">
        <v>0</v>
      </c>
      <c r="P32" s="70">
        <v>0</v>
      </c>
      <c r="Q32" s="70"/>
      <c r="R32" s="70">
        <v>0</v>
      </c>
      <c r="S32" s="70">
        <v>0</v>
      </c>
      <c r="T32" s="70">
        <v>0</v>
      </c>
      <c r="U32" s="70">
        <v>0.01</v>
      </c>
      <c r="V32" s="70">
        <v>593.6</v>
      </c>
      <c r="W32" s="70">
        <v>4406.3999999999996</v>
      </c>
      <c r="X32" s="70">
        <v>33.14</v>
      </c>
      <c r="Y32" s="70">
        <v>59.66</v>
      </c>
      <c r="Z32" s="70">
        <v>39.15</v>
      </c>
      <c r="AA32" s="70">
        <v>0</v>
      </c>
      <c r="AB32" s="70">
        <v>461.64</v>
      </c>
      <c r="AD32" s="70">
        <v>92.8</v>
      </c>
      <c r="AE32" s="75">
        <v>167.04</v>
      </c>
      <c r="AF32" s="75">
        <v>367.85</v>
      </c>
      <c r="AG32" s="75">
        <v>5000</v>
      </c>
      <c r="AH32" s="75">
        <v>289.07</v>
      </c>
      <c r="AI32" s="75">
        <v>100</v>
      </c>
      <c r="AJ32" s="70">
        <v>59.96</v>
      </c>
      <c r="AK32" s="70">
        <v>627.69000000000005</v>
      </c>
      <c r="AL32" s="70">
        <v>265.14</v>
      </c>
      <c r="AM32" s="70">
        <v>236.05</v>
      </c>
      <c r="AN32" s="70">
        <v>273.78983681962541</v>
      </c>
      <c r="AO32" s="71" t="s">
        <v>651</v>
      </c>
      <c r="AP32" s="71"/>
      <c r="AQ32" s="71"/>
      <c r="AR32" s="71"/>
    </row>
    <row r="33" spans="2:44" s="75" customFormat="1" hidden="1" outlineLevel="2" x14ac:dyDescent="0.2">
      <c r="B33" s="70" t="s">
        <v>483</v>
      </c>
      <c r="C33" s="70" t="s">
        <v>484</v>
      </c>
      <c r="D33" s="70">
        <v>15</v>
      </c>
      <c r="E33" s="70">
        <v>0</v>
      </c>
      <c r="F33" s="70">
        <v>266.67</v>
      </c>
      <c r="G33" s="70">
        <v>282.81</v>
      </c>
      <c r="H33" s="70">
        <v>4000</v>
      </c>
      <c r="I33" s="70">
        <v>0</v>
      </c>
      <c r="J33" s="70">
        <v>0</v>
      </c>
      <c r="K33" s="70">
        <v>4000</v>
      </c>
      <c r="L33" s="70">
        <v>313.87</v>
      </c>
      <c r="M33" s="70">
        <v>0</v>
      </c>
      <c r="N33" s="70">
        <v>102.51</v>
      </c>
      <c r="O33" s="70">
        <v>0</v>
      </c>
      <c r="P33" s="70">
        <v>0</v>
      </c>
      <c r="Q33" s="70"/>
      <c r="R33" s="70">
        <v>0</v>
      </c>
      <c r="S33" s="70">
        <v>0</v>
      </c>
      <c r="T33" s="70">
        <v>0</v>
      </c>
      <c r="U33" s="70">
        <v>0.02</v>
      </c>
      <c r="V33" s="70">
        <v>416.4</v>
      </c>
      <c r="W33" s="70">
        <v>3583.6</v>
      </c>
      <c r="X33" s="70">
        <v>26.51</v>
      </c>
      <c r="Y33" s="70">
        <v>47.72</v>
      </c>
      <c r="Z33" s="70">
        <v>28.28</v>
      </c>
      <c r="AA33" s="70">
        <v>0</v>
      </c>
      <c r="AB33" s="70">
        <v>313.87</v>
      </c>
      <c r="AD33" s="70">
        <v>74.239999999999995</v>
      </c>
      <c r="AE33" s="75">
        <v>133.63</v>
      </c>
      <c r="AF33" s="75">
        <v>337.62</v>
      </c>
      <c r="AG33" s="75">
        <v>4000</v>
      </c>
      <c r="AH33" s="75">
        <v>267.86</v>
      </c>
      <c r="AI33" s="75">
        <v>80</v>
      </c>
      <c r="AJ33" s="70">
        <v>47.96</v>
      </c>
      <c r="AK33" s="70">
        <v>545.49</v>
      </c>
      <c r="AL33" s="70">
        <v>212.11</v>
      </c>
      <c r="AM33" s="70">
        <v>225.44</v>
      </c>
      <c r="AN33" s="70">
        <v>219.03679772204578</v>
      </c>
      <c r="AO33" s="71" t="s">
        <v>651</v>
      </c>
      <c r="AP33" s="71"/>
      <c r="AQ33" s="71"/>
      <c r="AR33" s="71"/>
    </row>
    <row r="34" spans="2:44" s="75" customFormat="1" hidden="1" outlineLevel="2" x14ac:dyDescent="0.2">
      <c r="B34" s="70" t="s">
        <v>485</v>
      </c>
      <c r="C34" s="70" t="s">
        <v>486</v>
      </c>
      <c r="D34" s="70">
        <v>15</v>
      </c>
      <c r="E34" s="70">
        <v>0</v>
      </c>
      <c r="F34" s="70">
        <v>318.33</v>
      </c>
      <c r="G34" s="70">
        <v>337.61</v>
      </c>
      <c r="H34" s="70">
        <v>4775</v>
      </c>
      <c r="I34" s="70">
        <v>0</v>
      </c>
      <c r="J34" s="70">
        <v>0</v>
      </c>
      <c r="K34" s="70">
        <v>4775</v>
      </c>
      <c r="L34" s="70">
        <v>424.67</v>
      </c>
      <c r="M34" s="70">
        <v>0</v>
      </c>
      <c r="N34" s="70">
        <v>125.32</v>
      </c>
      <c r="O34" s="70">
        <v>1532.64</v>
      </c>
      <c r="P34" s="70">
        <v>0</v>
      </c>
      <c r="Q34" s="70"/>
      <c r="R34" s="70">
        <v>0</v>
      </c>
      <c r="S34" s="70">
        <v>0</v>
      </c>
      <c r="T34" s="70">
        <v>0</v>
      </c>
      <c r="U34" s="80">
        <v>-0.03</v>
      </c>
      <c r="V34" s="70">
        <v>2082.6</v>
      </c>
      <c r="W34" s="70">
        <v>2692.4</v>
      </c>
      <c r="X34" s="70">
        <v>31.65</v>
      </c>
      <c r="Y34" s="70">
        <v>56.97</v>
      </c>
      <c r="Z34" s="70">
        <v>36.700000000000003</v>
      </c>
      <c r="AA34" s="70">
        <v>0</v>
      </c>
      <c r="AB34" s="70">
        <v>424.67</v>
      </c>
      <c r="AD34" s="70">
        <v>88.62</v>
      </c>
      <c r="AE34" s="75">
        <v>159.52000000000001</v>
      </c>
      <c r="AF34" s="75">
        <v>361.04</v>
      </c>
      <c r="AG34" s="75">
        <v>4775</v>
      </c>
      <c r="AH34" s="75">
        <v>284.3</v>
      </c>
      <c r="AI34" s="75">
        <v>95.5</v>
      </c>
      <c r="AJ34" s="70">
        <v>57.26</v>
      </c>
      <c r="AK34" s="70">
        <v>609.17999999999995</v>
      </c>
      <c r="AL34" s="70">
        <v>253.21</v>
      </c>
      <c r="AM34" s="70">
        <v>233.66000000000003</v>
      </c>
      <c r="AN34" s="70">
        <v>261.46917095608364</v>
      </c>
      <c r="AO34" s="71" t="s">
        <v>651</v>
      </c>
      <c r="AP34" s="71"/>
      <c r="AQ34" s="71"/>
      <c r="AR34" s="71"/>
    </row>
    <row r="35" spans="2:44" s="75" customFormat="1" hidden="1" outlineLevel="2" x14ac:dyDescent="0.2">
      <c r="B35" s="70" t="s">
        <v>487</v>
      </c>
      <c r="C35" s="70" t="s">
        <v>488</v>
      </c>
      <c r="D35" s="70">
        <v>15</v>
      </c>
      <c r="E35" s="70">
        <v>0</v>
      </c>
      <c r="F35" s="70">
        <v>250</v>
      </c>
      <c r="G35" s="70">
        <v>265.14</v>
      </c>
      <c r="H35" s="70">
        <v>3750</v>
      </c>
      <c r="I35" s="70">
        <v>0</v>
      </c>
      <c r="J35" s="70">
        <v>0</v>
      </c>
      <c r="K35" s="70">
        <v>3750</v>
      </c>
      <c r="L35" s="70">
        <v>286.67</v>
      </c>
      <c r="M35" s="70">
        <v>0</v>
      </c>
      <c r="N35" s="70">
        <v>95.15</v>
      </c>
      <c r="O35" s="70">
        <v>0</v>
      </c>
      <c r="P35" s="70">
        <v>0</v>
      </c>
      <c r="Q35" s="70"/>
      <c r="R35" s="70">
        <v>0</v>
      </c>
      <c r="S35" s="70">
        <v>247.2</v>
      </c>
      <c r="T35" s="70">
        <v>0</v>
      </c>
      <c r="U35" s="70">
        <v>-0.02</v>
      </c>
      <c r="V35" s="70">
        <v>629</v>
      </c>
      <c r="W35" s="70">
        <v>3121</v>
      </c>
      <c r="X35" s="70">
        <v>24.86</v>
      </c>
      <c r="Y35" s="70">
        <v>44.74</v>
      </c>
      <c r="Z35" s="70">
        <v>25.55</v>
      </c>
      <c r="AA35" s="70">
        <v>0</v>
      </c>
      <c r="AB35" s="70">
        <v>286.67</v>
      </c>
      <c r="AD35" s="70">
        <v>69.599999999999994</v>
      </c>
      <c r="AE35" s="75">
        <v>125.28</v>
      </c>
      <c r="AF35" s="75">
        <v>330.07</v>
      </c>
      <c r="AG35" s="75">
        <v>3750</v>
      </c>
      <c r="AH35" s="75">
        <v>262.56</v>
      </c>
      <c r="AI35" s="75">
        <v>75</v>
      </c>
      <c r="AJ35" s="70">
        <v>44.97</v>
      </c>
      <c r="AK35" s="70">
        <v>524.95000000000005</v>
      </c>
      <c r="AL35" s="70">
        <v>198.85</v>
      </c>
      <c r="AM35" s="70">
        <v>222.79000000000002</v>
      </c>
      <c r="AN35" s="70">
        <v>205.34443105902966</v>
      </c>
      <c r="AO35" s="71" t="s">
        <v>651</v>
      </c>
      <c r="AP35" s="71"/>
      <c r="AQ35" s="71"/>
      <c r="AR35" s="71"/>
    </row>
    <row r="36" spans="2:44" s="75" customFormat="1" hidden="1" outlineLevel="2" x14ac:dyDescent="0.2">
      <c r="B36" s="70" t="s">
        <v>489</v>
      </c>
      <c r="C36" s="70" t="s">
        <v>490</v>
      </c>
      <c r="D36" s="70">
        <v>15</v>
      </c>
      <c r="E36" s="70">
        <v>0</v>
      </c>
      <c r="F36" s="70">
        <v>283.33</v>
      </c>
      <c r="G36" s="70">
        <v>300.49</v>
      </c>
      <c r="H36" s="70">
        <v>4250</v>
      </c>
      <c r="I36" s="70">
        <v>0</v>
      </c>
      <c r="J36" s="70">
        <v>934.98</v>
      </c>
      <c r="K36" s="70">
        <v>5184.9799999999996</v>
      </c>
      <c r="L36" s="70">
        <v>341.07</v>
      </c>
      <c r="M36" s="70">
        <v>0</v>
      </c>
      <c r="N36" s="70">
        <v>109.87</v>
      </c>
      <c r="O36" s="70">
        <v>0</v>
      </c>
      <c r="P36" s="70">
        <v>0</v>
      </c>
      <c r="Q36" s="70"/>
      <c r="R36" s="70">
        <v>0</v>
      </c>
      <c r="S36" s="70">
        <v>0</v>
      </c>
      <c r="T36" s="70">
        <v>0</v>
      </c>
      <c r="U36" s="80">
        <v>0.04</v>
      </c>
      <c r="V36" s="70">
        <v>450.98</v>
      </c>
      <c r="W36" s="70">
        <v>4734</v>
      </c>
      <c r="X36" s="70">
        <v>28.17</v>
      </c>
      <c r="Y36" s="70">
        <v>50.71</v>
      </c>
      <c r="Z36" s="70">
        <v>30.99</v>
      </c>
      <c r="AA36" s="70">
        <v>0</v>
      </c>
      <c r="AB36" s="70">
        <v>341.07</v>
      </c>
      <c r="AD36" s="70">
        <v>78.88</v>
      </c>
      <c r="AE36" s="75">
        <v>141.97999999999999</v>
      </c>
      <c r="AF36" s="75">
        <v>345.18</v>
      </c>
      <c r="AG36" s="75">
        <v>5184.9799999999996</v>
      </c>
      <c r="AH36" s="75">
        <v>273.17</v>
      </c>
      <c r="AI36" s="75">
        <v>103.7</v>
      </c>
      <c r="AJ36" s="70">
        <v>50.96</v>
      </c>
      <c r="AK36" s="70">
        <v>566.04</v>
      </c>
      <c r="AL36" s="70">
        <v>225.37</v>
      </c>
      <c r="AM36" s="70">
        <v>228.09</v>
      </c>
      <c r="AN36" s="70">
        <v>232.72095060781947</v>
      </c>
      <c r="AO36" s="71" t="s">
        <v>651</v>
      </c>
      <c r="AP36" s="71"/>
      <c r="AQ36" s="71"/>
      <c r="AR36" s="71"/>
    </row>
    <row r="37" spans="2:44" s="75" customFormat="1" hidden="1" outlineLevel="2" x14ac:dyDescent="0.2">
      <c r="B37" s="70" t="s">
        <v>574</v>
      </c>
      <c r="C37" s="70" t="s">
        <v>575</v>
      </c>
      <c r="D37" s="70">
        <v>15</v>
      </c>
      <c r="E37" s="70">
        <v>0</v>
      </c>
      <c r="F37" s="70">
        <v>266.67</v>
      </c>
      <c r="G37" s="70">
        <v>278.72000000000003</v>
      </c>
      <c r="H37" s="70">
        <v>4000.05</v>
      </c>
      <c r="I37" s="70">
        <v>0</v>
      </c>
      <c r="J37" s="70">
        <v>0</v>
      </c>
      <c r="K37" s="70">
        <v>4000.05</v>
      </c>
      <c r="L37" s="70">
        <v>313.87</v>
      </c>
      <c r="M37" s="70">
        <v>0</v>
      </c>
      <c r="N37" s="70">
        <v>100.81</v>
      </c>
      <c r="O37" s="70">
        <v>0</v>
      </c>
      <c r="P37" s="70">
        <v>0</v>
      </c>
      <c r="Q37" s="70"/>
      <c r="R37" s="70">
        <v>0</v>
      </c>
      <c r="S37" s="70">
        <v>0</v>
      </c>
      <c r="T37" s="70">
        <v>0</v>
      </c>
      <c r="U37" s="70">
        <v>-0.03</v>
      </c>
      <c r="V37" s="70">
        <v>414.65</v>
      </c>
      <c r="W37" s="70">
        <v>3585.4</v>
      </c>
      <c r="X37" s="70">
        <v>26.13</v>
      </c>
      <c r="Y37" s="70">
        <v>47.03</v>
      </c>
      <c r="Z37" s="70">
        <v>27.65</v>
      </c>
      <c r="AA37" s="70">
        <v>0</v>
      </c>
      <c r="AB37" s="70">
        <v>313.87</v>
      </c>
      <c r="AD37" s="70">
        <v>73.17</v>
      </c>
      <c r="AE37" s="75">
        <v>131.69999999999999</v>
      </c>
      <c r="AF37" s="75">
        <v>335.88</v>
      </c>
      <c r="AG37" s="75">
        <v>4000.05</v>
      </c>
      <c r="AH37" s="75">
        <v>266.64</v>
      </c>
      <c r="AI37" s="75">
        <v>80</v>
      </c>
      <c r="AJ37" s="70">
        <v>47.27</v>
      </c>
      <c r="AK37" s="70">
        <v>540.75</v>
      </c>
      <c r="AL37" s="70">
        <v>209.04</v>
      </c>
      <c r="AM37" s="70">
        <v>224.83</v>
      </c>
      <c r="AN37" s="70">
        <v>219.03679772204578</v>
      </c>
      <c r="AO37" s="71" t="s">
        <v>651</v>
      </c>
      <c r="AP37" s="71"/>
      <c r="AQ37" s="71"/>
      <c r="AR37" s="71"/>
    </row>
    <row r="38" spans="2:44" s="75" customFormat="1" hidden="1" outlineLevel="2" x14ac:dyDescent="0.2">
      <c r="B38" s="70" t="s">
        <v>493</v>
      </c>
      <c r="C38" s="70" t="s">
        <v>494</v>
      </c>
      <c r="D38" s="70">
        <v>15</v>
      </c>
      <c r="E38" s="70">
        <v>0</v>
      </c>
      <c r="F38" s="70">
        <v>283.33</v>
      </c>
      <c r="G38" s="70">
        <v>300.49</v>
      </c>
      <c r="H38" s="70">
        <v>4250</v>
      </c>
      <c r="I38" s="70">
        <v>0</v>
      </c>
      <c r="J38" s="70">
        <v>0</v>
      </c>
      <c r="K38" s="70">
        <v>4250</v>
      </c>
      <c r="L38" s="70">
        <v>341.07</v>
      </c>
      <c r="M38" s="70">
        <v>0</v>
      </c>
      <c r="N38" s="70">
        <v>109.87</v>
      </c>
      <c r="O38" s="70">
        <v>0</v>
      </c>
      <c r="P38" s="70">
        <v>553.04999999999995</v>
      </c>
      <c r="Q38" s="70"/>
      <c r="R38" s="70">
        <v>0</v>
      </c>
      <c r="S38" s="70">
        <v>500</v>
      </c>
      <c r="T38" s="70">
        <v>0</v>
      </c>
      <c r="U38" s="80">
        <v>0.01</v>
      </c>
      <c r="V38" s="70">
        <v>1504</v>
      </c>
      <c r="W38" s="70">
        <v>2746</v>
      </c>
      <c r="X38" s="70">
        <v>28.17</v>
      </c>
      <c r="Y38" s="70">
        <v>50.71</v>
      </c>
      <c r="Z38" s="70">
        <v>30.99</v>
      </c>
      <c r="AA38" s="70">
        <v>0</v>
      </c>
      <c r="AB38" s="70">
        <v>341.07</v>
      </c>
      <c r="AD38" s="70">
        <v>78.88</v>
      </c>
      <c r="AE38" s="75">
        <v>141.97999999999999</v>
      </c>
      <c r="AF38" s="75">
        <v>345.18</v>
      </c>
      <c r="AG38" s="75">
        <v>4250</v>
      </c>
      <c r="AH38" s="75">
        <v>273.17</v>
      </c>
      <c r="AI38" s="75">
        <v>85</v>
      </c>
      <c r="AJ38" s="70">
        <v>50.96</v>
      </c>
      <c r="AK38" s="70">
        <v>566.04</v>
      </c>
      <c r="AL38" s="70">
        <v>225.37</v>
      </c>
      <c r="AM38" s="70">
        <v>228.09</v>
      </c>
      <c r="AN38" s="70">
        <v>232.72095060781947</v>
      </c>
      <c r="AO38" s="71" t="s">
        <v>651</v>
      </c>
      <c r="AP38" s="71"/>
      <c r="AQ38" s="71"/>
      <c r="AR38" s="71"/>
    </row>
    <row r="39" spans="2:44" s="75" customFormat="1" hidden="1" outlineLevel="2" x14ac:dyDescent="0.2">
      <c r="B39" s="70" t="s">
        <v>498</v>
      </c>
      <c r="C39" s="70" t="s">
        <v>499</v>
      </c>
      <c r="D39" s="70">
        <v>15</v>
      </c>
      <c r="E39" s="70">
        <v>0</v>
      </c>
      <c r="F39" s="70">
        <v>266.67</v>
      </c>
      <c r="G39" s="70">
        <v>282.81</v>
      </c>
      <c r="H39" s="70">
        <v>4000.05</v>
      </c>
      <c r="I39" s="70">
        <v>0</v>
      </c>
      <c r="J39" s="70">
        <v>0</v>
      </c>
      <c r="K39" s="70">
        <v>4000.05</v>
      </c>
      <c r="L39" s="70">
        <v>313.87</v>
      </c>
      <c r="M39" s="70">
        <v>0</v>
      </c>
      <c r="N39" s="70">
        <v>102.51</v>
      </c>
      <c r="O39" s="70">
        <v>0</v>
      </c>
      <c r="P39" s="70">
        <v>0</v>
      </c>
      <c r="Q39" s="70"/>
      <c r="R39" s="70">
        <v>0</v>
      </c>
      <c r="S39" s="70">
        <v>0</v>
      </c>
      <c r="T39" s="70">
        <v>0</v>
      </c>
      <c r="U39" s="80">
        <v>7.0000000000000007E-2</v>
      </c>
      <c r="V39" s="70">
        <v>416.45</v>
      </c>
      <c r="W39" s="70">
        <v>3583.6</v>
      </c>
      <c r="X39" s="70">
        <v>26.51</v>
      </c>
      <c r="Y39" s="70">
        <v>47.72</v>
      </c>
      <c r="Z39" s="70">
        <v>28.28</v>
      </c>
      <c r="AA39" s="70">
        <v>0</v>
      </c>
      <c r="AB39" s="70">
        <v>313.87</v>
      </c>
      <c r="AD39" s="70">
        <v>74.239999999999995</v>
      </c>
      <c r="AE39" s="75">
        <v>133.63</v>
      </c>
      <c r="AF39" s="75">
        <v>337.62</v>
      </c>
      <c r="AG39" s="75">
        <v>4000.05</v>
      </c>
      <c r="AH39" s="75">
        <v>267.86</v>
      </c>
      <c r="AI39" s="75">
        <v>80</v>
      </c>
      <c r="AJ39" s="70">
        <v>47.96</v>
      </c>
      <c r="AK39" s="70">
        <v>545.49</v>
      </c>
      <c r="AL39" s="70">
        <v>212.11</v>
      </c>
      <c r="AM39" s="70">
        <v>225.44</v>
      </c>
      <c r="AN39" s="70">
        <v>219.03679772204578</v>
      </c>
      <c r="AO39" s="71" t="s">
        <v>651</v>
      </c>
      <c r="AP39" s="71"/>
      <c r="AQ39" s="71"/>
      <c r="AR39" s="71"/>
    </row>
    <row r="40" spans="2:44" s="75" customFormat="1" hidden="1" outlineLevel="2" x14ac:dyDescent="0.2">
      <c r="B40" s="70" t="s">
        <v>502</v>
      </c>
      <c r="C40" s="70" t="s">
        <v>503</v>
      </c>
      <c r="D40" s="70">
        <v>15</v>
      </c>
      <c r="E40" s="70">
        <v>0</v>
      </c>
      <c r="F40" s="70">
        <v>266.67</v>
      </c>
      <c r="G40" s="70">
        <v>282.81</v>
      </c>
      <c r="H40" s="70">
        <v>4000.05</v>
      </c>
      <c r="I40" s="70">
        <v>0</v>
      </c>
      <c r="J40" s="70">
        <v>0</v>
      </c>
      <c r="K40" s="70">
        <v>4000.05</v>
      </c>
      <c r="L40" s="70">
        <v>313.87</v>
      </c>
      <c r="M40" s="70">
        <v>0</v>
      </c>
      <c r="N40" s="70">
        <v>102.51</v>
      </c>
      <c r="O40" s="70">
        <v>1854.13</v>
      </c>
      <c r="P40" s="70">
        <v>0</v>
      </c>
      <c r="Q40" s="70"/>
      <c r="R40" s="70">
        <v>0</v>
      </c>
      <c r="S40" s="70">
        <v>0</v>
      </c>
      <c r="T40" s="70">
        <v>0</v>
      </c>
      <c r="U40" s="70">
        <v>-0.06</v>
      </c>
      <c r="V40" s="70">
        <v>2270.4499999999998</v>
      </c>
      <c r="W40" s="70">
        <v>1729.6</v>
      </c>
      <c r="X40" s="70">
        <v>26.51</v>
      </c>
      <c r="Y40" s="70">
        <v>47.72</v>
      </c>
      <c r="Z40" s="70">
        <v>28.28</v>
      </c>
      <c r="AA40" s="70">
        <v>0</v>
      </c>
      <c r="AB40" s="70">
        <v>313.87</v>
      </c>
      <c r="AD40" s="70">
        <v>74.239999999999995</v>
      </c>
      <c r="AE40" s="75">
        <v>133.63</v>
      </c>
      <c r="AF40" s="75">
        <v>337.62</v>
      </c>
      <c r="AG40" s="75">
        <v>4000.05</v>
      </c>
      <c r="AH40" s="75">
        <v>267.86</v>
      </c>
      <c r="AI40" s="75">
        <v>80</v>
      </c>
      <c r="AJ40" s="70">
        <v>47.96</v>
      </c>
      <c r="AK40" s="70">
        <v>545.49</v>
      </c>
      <c r="AL40" s="70">
        <v>212.11</v>
      </c>
      <c r="AM40" s="70">
        <v>225.44</v>
      </c>
      <c r="AN40" s="70">
        <v>219.03679772204578</v>
      </c>
      <c r="AO40" s="71" t="s">
        <v>651</v>
      </c>
      <c r="AP40" s="71"/>
      <c r="AQ40" s="71"/>
      <c r="AR40" s="71"/>
    </row>
    <row r="41" spans="2:44" s="75" customFormat="1" hidden="1" outlineLevel="2" x14ac:dyDescent="0.2">
      <c r="B41" s="70" t="s">
        <v>507</v>
      </c>
      <c r="C41" s="70" t="s">
        <v>508</v>
      </c>
      <c r="D41" s="70">
        <v>15</v>
      </c>
      <c r="E41" s="70">
        <v>0</v>
      </c>
      <c r="F41" s="70">
        <v>466.67</v>
      </c>
      <c r="G41" s="70">
        <v>494.92</v>
      </c>
      <c r="H41" s="70">
        <v>7000.05</v>
      </c>
      <c r="I41" s="70">
        <v>0</v>
      </c>
      <c r="J41" s="70">
        <v>0</v>
      </c>
      <c r="K41" s="70">
        <v>7000.05</v>
      </c>
      <c r="L41" s="70">
        <v>856.99</v>
      </c>
      <c r="M41" s="70">
        <v>0</v>
      </c>
      <c r="N41" s="70">
        <v>190.81</v>
      </c>
      <c r="O41" s="70">
        <v>0</v>
      </c>
      <c r="P41" s="70">
        <v>0</v>
      </c>
      <c r="Q41" s="70"/>
      <c r="R41" s="70">
        <v>0</v>
      </c>
      <c r="S41" s="70">
        <v>0</v>
      </c>
      <c r="T41" s="70">
        <v>0</v>
      </c>
      <c r="U41" s="70">
        <v>0.05</v>
      </c>
      <c r="V41" s="70">
        <v>1047.8499999999999</v>
      </c>
      <c r="W41" s="70">
        <v>5952.2</v>
      </c>
      <c r="X41" s="70">
        <v>46.4</v>
      </c>
      <c r="Y41" s="70">
        <v>83.52</v>
      </c>
      <c r="Z41" s="70">
        <v>60.89</v>
      </c>
      <c r="AA41" s="70">
        <v>0</v>
      </c>
      <c r="AB41" s="70">
        <v>856.99</v>
      </c>
      <c r="AD41" s="70">
        <v>129.91999999999999</v>
      </c>
      <c r="AE41" s="75">
        <v>233.85</v>
      </c>
      <c r="AF41" s="75">
        <v>428.3</v>
      </c>
      <c r="AG41" s="75">
        <v>7000.05</v>
      </c>
      <c r="AH41" s="75">
        <v>331.5</v>
      </c>
      <c r="AI41" s="75">
        <v>140</v>
      </c>
      <c r="AJ41" s="70">
        <v>83.94</v>
      </c>
      <c r="AK41" s="70">
        <v>792.07</v>
      </c>
      <c r="AL41" s="70">
        <v>371.19</v>
      </c>
      <c r="AM41" s="70">
        <v>257.26</v>
      </c>
      <c r="AN41" s="70">
        <v>383.3123425692695</v>
      </c>
      <c r="AO41" s="71" t="s">
        <v>651</v>
      </c>
      <c r="AP41" s="71"/>
      <c r="AQ41" s="71"/>
      <c r="AR41" s="71"/>
    </row>
    <row r="42" spans="2:44" s="75" customFormat="1" hidden="1" outlineLevel="2" x14ac:dyDescent="0.2">
      <c r="B42" s="70" t="s">
        <v>509</v>
      </c>
      <c r="C42" s="70" t="s">
        <v>595</v>
      </c>
      <c r="D42" s="70">
        <v>15</v>
      </c>
      <c r="E42" s="70">
        <v>0</v>
      </c>
      <c r="F42" s="70">
        <v>266.67</v>
      </c>
      <c r="G42" s="70">
        <v>282.81</v>
      </c>
      <c r="H42" s="70">
        <v>4000.05</v>
      </c>
      <c r="I42" s="70">
        <v>0</v>
      </c>
      <c r="J42" s="70">
        <v>0</v>
      </c>
      <c r="K42" s="70">
        <v>4000.05</v>
      </c>
      <c r="L42" s="70">
        <v>313.87</v>
      </c>
      <c r="M42" s="70">
        <v>0</v>
      </c>
      <c r="N42" s="70">
        <v>102.51</v>
      </c>
      <c r="O42" s="70">
        <v>0</v>
      </c>
      <c r="P42" s="70">
        <v>0</v>
      </c>
      <c r="Q42" s="70"/>
      <c r="R42" s="70">
        <v>0</v>
      </c>
      <c r="S42" s="70">
        <v>313.8</v>
      </c>
      <c r="T42" s="70">
        <v>0</v>
      </c>
      <c r="U42" s="80">
        <v>-0.13</v>
      </c>
      <c r="V42" s="70">
        <v>730.05</v>
      </c>
      <c r="W42" s="70">
        <v>3270</v>
      </c>
      <c r="X42" s="70">
        <v>26.51</v>
      </c>
      <c r="Y42" s="70">
        <v>47.72</v>
      </c>
      <c r="Z42" s="70">
        <v>28.28</v>
      </c>
      <c r="AA42" s="70">
        <v>0</v>
      </c>
      <c r="AB42" s="70">
        <v>313.87</v>
      </c>
      <c r="AD42" s="70">
        <v>74.239999999999995</v>
      </c>
      <c r="AE42" s="75">
        <v>133.63</v>
      </c>
      <c r="AF42" s="75">
        <v>337.62</v>
      </c>
      <c r="AG42" s="75">
        <v>4000.05</v>
      </c>
      <c r="AH42" s="75">
        <v>267.86</v>
      </c>
      <c r="AI42" s="75">
        <v>80</v>
      </c>
      <c r="AJ42" s="70">
        <v>47.96</v>
      </c>
      <c r="AK42" s="70">
        <v>545.49</v>
      </c>
      <c r="AL42" s="70">
        <v>212.11</v>
      </c>
      <c r="AM42" s="70">
        <v>225.44</v>
      </c>
      <c r="AN42" s="70">
        <v>219.03679772204578</v>
      </c>
      <c r="AO42" s="71" t="s">
        <v>651</v>
      </c>
      <c r="AP42" s="71"/>
      <c r="AQ42" s="71"/>
      <c r="AR42" s="71"/>
    </row>
    <row r="43" spans="2:44" s="75" customFormat="1" hidden="1" outlineLevel="2" x14ac:dyDescent="0.2">
      <c r="B43" s="70" t="s">
        <v>519</v>
      </c>
      <c r="C43" s="70" t="s">
        <v>520</v>
      </c>
      <c r="D43" s="70">
        <v>15</v>
      </c>
      <c r="E43" s="70">
        <v>0</v>
      </c>
      <c r="F43" s="70">
        <v>266.67</v>
      </c>
      <c r="G43" s="70">
        <v>282.81</v>
      </c>
      <c r="H43" s="70">
        <v>4000.05</v>
      </c>
      <c r="I43" s="70">
        <v>0</v>
      </c>
      <c r="J43" s="70">
        <v>0</v>
      </c>
      <c r="K43" s="70">
        <v>4000.05</v>
      </c>
      <c r="L43" s="70">
        <v>313.87</v>
      </c>
      <c r="M43" s="70">
        <v>0</v>
      </c>
      <c r="N43" s="70">
        <v>102.51</v>
      </c>
      <c r="O43" s="70">
        <v>0</v>
      </c>
      <c r="P43" s="70">
        <v>0</v>
      </c>
      <c r="Q43" s="70"/>
      <c r="R43" s="70">
        <v>0</v>
      </c>
      <c r="S43" s="70">
        <v>0</v>
      </c>
      <c r="T43" s="70">
        <v>0</v>
      </c>
      <c r="U43" s="70">
        <v>7.0000000000000007E-2</v>
      </c>
      <c r="V43" s="70">
        <v>416.45</v>
      </c>
      <c r="W43" s="70">
        <v>3583.6</v>
      </c>
      <c r="X43" s="70">
        <v>26.51</v>
      </c>
      <c r="Y43" s="70">
        <v>47.72</v>
      </c>
      <c r="Z43" s="70">
        <v>28.28</v>
      </c>
      <c r="AA43" s="70">
        <v>0</v>
      </c>
      <c r="AB43" s="70">
        <v>313.87</v>
      </c>
      <c r="AD43" s="70">
        <v>74.239999999999995</v>
      </c>
      <c r="AE43" s="75">
        <v>133.63</v>
      </c>
      <c r="AF43" s="75">
        <v>337.62</v>
      </c>
      <c r="AG43" s="75">
        <v>4000.05</v>
      </c>
      <c r="AH43" s="75">
        <v>267.86</v>
      </c>
      <c r="AI43" s="75">
        <v>80</v>
      </c>
      <c r="AJ43" s="70">
        <v>47.96</v>
      </c>
      <c r="AK43" s="70">
        <v>545.49</v>
      </c>
      <c r="AL43" s="70">
        <v>212.11</v>
      </c>
      <c r="AM43" s="70">
        <v>225.44</v>
      </c>
      <c r="AN43" s="70">
        <v>219.03679772204578</v>
      </c>
      <c r="AO43" s="71" t="s">
        <v>651</v>
      </c>
      <c r="AP43" s="71"/>
      <c r="AQ43" s="71"/>
      <c r="AR43" s="71"/>
    </row>
    <row r="44" spans="2:44" s="75" customFormat="1" hidden="1" outlineLevel="2" x14ac:dyDescent="0.2">
      <c r="B44" s="70" t="s">
        <v>521</v>
      </c>
      <c r="C44" s="70" t="s">
        <v>522</v>
      </c>
      <c r="D44" s="70">
        <v>12</v>
      </c>
      <c r="E44" s="70">
        <v>2</v>
      </c>
      <c r="F44" s="70">
        <v>200</v>
      </c>
      <c r="G44" s="70">
        <v>212.11</v>
      </c>
      <c r="H44" s="70">
        <v>2400</v>
      </c>
      <c r="I44" s="70">
        <v>400</v>
      </c>
      <c r="J44" s="70">
        <v>120</v>
      </c>
      <c r="K44" s="70">
        <v>2920</v>
      </c>
      <c r="L44" s="70">
        <v>37.93</v>
      </c>
      <c r="M44" s="70">
        <v>0</v>
      </c>
      <c r="N44" s="70">
        <v>71.849999999999994</v>
      </c>
      <c r="O44" s="70">
        <v>0</v>
      </c>
      <c r="P44" s="70">
        <v>0</v>
      </c>
      <c r="Q44" s="70"/>
      <c r="R44" s="70">
        <v>0</v>
      </c>
      <c r="S44" s="70">
        <v>0</v>
      </c>
      <c r="T44" s="70">
        <v>0</v>
      </c>
      <c r="U44" s="70">
        <v>0.02</v>
      </c>
      <c r="V44" s="70">
        <v>109.8</v>
      </c>
      <c r="W44" s="70">
        <v>2810.2</v>
      </c>
      <c r="X44" s="70">
        <v>18.559999999999999</v>
      </c>
      <c r="Y44" s="70">
        <v>33.409999999999997</v>
      </c>
      <c r="Z44" s="70">
        <v>19.88</v>
      </c>
      <c r="AA44" s="70">
        <v>-145.38</v>
      </c>
      <c r="AB44" s="70">
        <v>183.31</v>
      </c>
      <c r="AD44" s="70">
        <v>55.68</v>
      </c>
      <c r="AE44" s="75">
        <v>100.22</v>
      </c>
      <c r="AF44" s="75">
        <v>314.22000000000003</v>
      </c>
      <c r="AG44" s="75">
        <v>2920</v>
      </c>
      <c r="AH44" s="75">
        <v>246.65</v>
      </c>
      <c r="AI44" s="75">
        <v>58.4</v>
      </c>
      <c r="AJ44" s="70">
        <v>35.97</v>
      </c>
      <c r="AK44" s="70">
        <v>470.12</v>
      </c>
      <c r="AL44" s="70">
        <v>159.08000000000001</v>
      </c>
      <c r="AM44" s="70">
        <v>214.84</v>
      </c>
      <c r="AN44" s="70">
        <v>164.27554484722373</v>
      </c>
      <c r="AO44" s="71" t="s">
        <v>651</v>
      </c>
      <c r="AP44" s="71"/>
      <c r="AQ44" s="71"/>
      <c r="AR44" s="71"/>
    </row>
    <row r="45" spans="2:44" s="75" customFormat="1" hidden="1" outlineLevel="2" x14ac:dyDescent="0.2">
      <c r="B45" s="70" t="s">
        <v>523</v>
      </c>
      <c r="C45" s="70" t="s">
        <v>524</v>
      </c>
      <c r="D45" s="70">
        <v>15</v>
      </c>
      <c r="E45" s="70">
        <v>0</v>
      </c>
      <c r="F45" s="70">
        <v>266.67</v>
      </c>
      <c r="G45" s="70">
        <v>282.81</v>
      </c>
      <c r="H45" s="70">
        <v>4000.05</v>
      </c>
      <c r="I45" s="70">
        <v>0</v>
      </c>
      <c r="J45" s="70">
        <v>0</v>
      </c>
      <c r="K45" s="70">
        <v>4000.05</v>
      </c>
      <c r="L45" s="70">
        <v>313.87</v>
      </c>
      <c r="M45" s="70">
        <v>0</v>
      </c>
      <c r="N45" s="70">
        <v>102.51</v>
      </c>
      <c r="O45" s="70">
        <v>0</v>
      </c>
      <c r="P45" s="70">
        <v>0</v>
      </c>
      <c r="Q45" s="70"/>
      <c r="R45" s="70">
        <v>0</v>
      </c>
      <c r="S45" s="70">
        <v>0</v>
      </c>
      <c r="T45" s="70">
        <v>0</v>
      </c>
      <c r="U45" s="80">
        <v>-0.13</v>
      </c>
      <c r="V45" s="70">
        <v>416.25</v>
      </c>
      <c r="W45" s="70">
        <v>3583.8</v>
      </c>
      <c r="X45" s="70">
        <v>26.51</v>
      </c>
      <c r="Y45" s="70">
        <v>47.72</v>
      </c>
      <c r="Z45" s="70">
        <v>28.28</v>
      </c>
      <c r="AA45" s="80">
        <v>0</v>
      </c>
      <c r="AB45" s="70">
        <v>313.87</v>
      </c>
      <c r="AD45" s="70">
        <v>74.239999999999995</v>
      </c>
      <c r="AE45" s="75">
        <v>133.63</v>
      </c>
      <c r="AF45" s="75">
        <v>337.62</v>
      </c>
      <c r="AG45" s="75">
        <v>4000.05</v>
      </c>
      <c r="AH45" s="75">
        <v>267.86</v>
      </c>
      <c r="AI45" s="75">
        <v>80</v>
      </c>
      <c r="AJ45" s="70">
        <v>47.96</v>
      </c>
      <c r="AK45" s="70">
        <v>545.49</v>
      </c>
      <c r="AL45" s="70">
        <v>212.11</v>
      </c>
      <c r="AM45" s="70">
        <v>225.44</v>
      </c>
      <c r="AN45" s="70">
        <v>219.03679772204578</v>
      </c>
      <c r="AO45" s="71" t="s">
        <v>651</v>
      </c>
      <c r="AP45" s="71"/>
      <c r="AQ45" s="71"/>
      <c r="AR45" s="71"/>
    </row>
    <row r="46" spans="2:44" s="75" customFormat="1" hidden="1" outlineLevel="2" x14ac:dyDescent="0.2">
      <c r="B46" s="70" t="s">
        <v>525</v>
      </c>
      <c r="C46" s="70" t="s">
        <v>526</v>
      </c>
      <c r="D46" s="70">
        <v>15</v>
      </c>
      <c r="E46" s="70">
        <v>0</v>
      </c>
      <c r="F46" s="70">
        <v>266.67</v>
      </c>
      <c r="G46" s="70">
        <v>278.72000000000003</v>
      </c>
      <c r="H46" s="70">
        <v>4000.05</v>
      </c>
      <c r="I46" s="70">
        <v>0</v>
      </c>
      <c r="J46" s="70">
        <v>0</v>
      </c>
      <c r="K46" s="70">
        <v>4000.05</v>
      </c>
      <c r="L46" s="70">
        <v>313.87</v>
      </c>
      <c r="M46" s="70">
        <v>0</v>
      </c>
      <c r="N46" s="70">
        <v>100.81</v>
      </c>
      <c r="O46" s="70">
        <v>0</v>
      </c>
      <c r="P46" s="70">
        <v>0</v>
      </c>
      <c r="Q46" s="70"/>
      <c r="R46" s="70">
        <v>0</v>
      </c>
      <c r="S46" s="70">
        <v>0</v>
      </c>
      <c r="T46" s="70">
        <v>0</v>
      </c>
      <c r="U46" s="70">
        <v>-0.03</v>
      </c>
      <c r="V46" s="70">
        <v>414.65</v>
      </c>
      <c r="W46" s="70">
        <v>3585.4</v>
      </c>
      <c r="X46" s="70">
        <v>26.13</v>
      </c>
      <c r="Y46" s="70">
        <v>47.03</v>
      </c>
      <c r="Z46" s="70">
        <v>27.65</v>
      </c>
      <c r="AA46" s="70">
        <v>0</v>
      </c>
      <c r="AB46" s="70">
        <v>313.87</v>
      </c>
      <c r="AD46" s="70">
        <v>73.17</v>
      </c>
      <c r="AE46" s="75">
        <v>131.69999999999999</v>
      </c>
      <c r="AF46" s="75">
        <v>335.88</v>
      </c>
      <c r="AG46" s="75">
        <v>4000.05</v>
      </c>
      <c r="AH46" s="75">
        <v>266.64</v>
      </c>
      <c r="AI46" s="75">
        <v>80</v>
      </c>
      <c r="AJ46" s="70">
        <v>47.27</v>
      </c>
      <c r="AK46" s="70">
        <v>540.75</v>
      </c>
      <c r="AL46" s="70">
        <v>209.04</v>
      </c>
      <c r="AM46" s="70">
        <v>224.83</v>
      </c>
      <c r="AN46" s="70">
        <v>219.03679772204578</v>
      </c>
      <c r="AO46" s="71" t="s">
        <v>651</v>
      </c>
      <c r="AP46" s="71"/>
      <c r="AQ46" s="71"/>
      <c r="AR46" s="71"/>
    </row>
    <row r="47" spans="2:44" s="75" customFormat="1" hidden="1" outlineLevel="2" x14ac:dyDescent="0.2">
      <c r="B47" s="70" t="s">
        <v>529</v>
      </c>
      <c r="C47" s="70" t="s">
        <v>530</v>
      </c>
      <c r="D47" s="70">
        <v>15</v>
      </c>
      <c r="E47" s="70">
        <v>0</v>
      </c>
      <c r="F47" s="70">
        <v>266.67</v>
      </c>
      <c r="G47" s="70">
        <v>278.72000000000003</v>
      </c>
      <c r="H47" s="70">
        <v>4000.05</v>
      </c>
      <c r="I47" s="70">
        <v>0</v>
      </c>
      <c r="J47" s="70">
        <v>0</v>
      </c>
      <c r="K47" s="70">
        <v>4000.05</v>
      </c>
      <c r="L47" s="70">
        <v>313.87</v>
      </c>
      <c r="M47" s="70">
        <v>0</v>
      </c>
      <c r="N47" s="70">
        <v>100.81</v>
      </c>
      <c r="O47" s="70">
        <v>0</v>
      </c>
      <c r="P47" s="70">
        <v>0</v>
      </c>
      <c r="Q47" s="70"/>
      <c r="R47" s="70">
        <v>0</v>
      </c>
      <c r="S47" s="70">
        <v>0</v>
      </c>
      <c r="T47" s="70">
        <v>0</v>
      </c>
      <c r="U47" s="80">
        <v>0.17</v>
      </c>
      <c r="V47" s="70">
        <v>414.85</v>
      </c>
      <c r="W47" s="70">
        <v>3585.2</v>
      </c>
      <c r="X47" s="70">
        <v>26.13</v>
      </c>
      <c r="Y47" s="70">
        <v>47.03</v>
      </c>
      <c r="Z47" s="70">
        <v>27.65</v>
      </c>
      <c r="AA47" s="70">
        <v>0</v>
      </c>
      <c r="AB47" s="70">
        <v>313.87</v>
      </c>
      <c r="AD47" s="70">
        <v>73.17</v>
      </c>
      <c r="AE47" s="75">
        <v>131.69999999999999</v>
      </c>
      <c r="AF47" s="75">
        <v>335.88</v>
      </c>
      <c r="AG47" s="75">
        <v>4000.05</v>
      </c>
      <c r="AH47" s="75">
        <v>266.64</v>
      </c>
      <c r="AI47" s="75">
        <v>80</v>
      </c>
      <c r="AJ47" s="70">
        <v>47.27</v>
      </c>
      <c r="AK47" s="70">
        <v>540.75</v>
      </c>
      <c r="AL47" s="70">
        <v>209.04</v>
      </c>
      <c r="AM47" s="70">
        <v>224.83</v>
      </c>
      <c r="AN47" s="70">
        <v>219.03679772204578</v>
      </c>
      <c r="AO47" s="71" t="s">
        <v>651</v>
      </c>
      <c r="AP47" s="71"/>
      <c r="AQ47" s="71"/>
      <c r="AR47" s="71"/>
    </row>
    <row r="48" spans="2:44" s="75" customFormat="1" hidden="1" outlineLevel="2" x14ac:dyDescent="0.2">
      <c r="B48" s="70" t="s">
        <v>545</v>
      </c>
      <c r="C48" s="70" t="s">
        <v>372</v>
      </c>
      <c r="D48" s="70">
        <v>15</v>
      </c>
      <c r="E48" s="70">
        <v>0</v>
      </c>
      <c r="F48" s="70">
        <v>220.83</v>
      </c>
      <c r="G48" s="70">
        <v>234.2</v>
      </c>
      <c r="H48" s="70">
        <v>3312.45</v>
      </c>
      <c r="I48" s="70">
        <v>0</v>
      </c>
      <c r="J48" s="70">
        <v>0</v>
      </c>
      <c r="K48" s="70">
        <v>3312.45</v>
      </c>
      <c r="L48" s="70">
        <v>113.96</v>
      </c>
      <c r="M48" s="70">
        <v>0</v>
      </c>
      <c r="N48" s="70">
        <v>83.43</v>
      </c>
      <c r="O48" s="70">
        <v>2041.01</v>
      </c>
      <c r="P48" s="70">
        <v>0</v>
      </c>
      <c r="Q48" s="70"/>
      <c r="R48" s="70">
        <v>0</v>
      </c>
      <c r="S48" s="70">
        <v>0</v>
      </c>
      <c r="T48" s="70">
        <v>0</v>
      </c>
      <c r="U48" s="80">
        <v>0.05</v>
      </c>
      <c r="V48" s="70">
        <v>2238.4499999999998</v>
      </c>
      <c r="W48" s="70">
        <v>1074</v>
      </c>
      <c r="X48" s="70">
        <v>21.96</v>
      </c>
      <c r="Y48" s="70">
        <v>39.520000000000003</v>
      </c>
      <c r="Z48" s="70">
        <v>21.95</v>
      </c>
      <c r="AA48" s="80">
        <v>-125.1</v>
      </c>
      <c r="AB48" s="70">
        <v>239.06</v>
      </c>
      <c r="AD48" s="70">
        <v>61.48</v>
      </c>
      <c r="AE48" s="75">
        <v>110.66</v>
      </c>
      <c r="AF48" s="75">
        <v>320.02</v>
      </c>
      <c r="AG48" s="75">
        <v>3312.45</v>
      </c>
      <c r="AH48" s="75">
        <v>253.28000000000003</v>
      </c>
      <c r="AI48" s="75">
        <v>66.25</v>
      </c>
      <c r="AJ48" s="70">
        <v>39.72</v>
      </c>
      <c r="AK48" s="70">
        <v>492.16</v>
      </c>
      <c r="AL48" s="70">
        <v>175.65</v>
      </c>
      <c r="AM48" s="70">
        <v>218.15</v>
      </c>
      <c r="AN48" s="70">
        <v>181.3848428430621</v>
      </c>
      <c r="AO48" s="71" t="s">
        <v>651</v>
      </c>
      <c r="AP48" s="71"/>
      <c r="AQ48" s="71"/>
      <c r="AR48" s="71"/>
    </row>
    <row r="49" spans="2:44" s="75" customFormat="1" hidden="1" outlineLevel="2" x14ac:dyDescent="0.2">
      <c r="B49" s="70" t="s">
        <v>546</v>
      </c>
      <c r="C49" s="70" t="s">
        <v>367</v>
      </c>
      <c r="D49" s="70">
        <v>15</v>
      </c>
      <c r="E49" s="70">
        <v>0</v>
      </c>
      <c r="F49" s="70">
        <v>150</v>
      </c>
      <c r="G49" s="70">
        <v>156.78</v>
      </c>
      <c r="H49" s="70">
        <v>2250</v>
      </c>
      <c r="I49" s="70">
        <v>0</v>
      </c>
      <c r="J49" s="70">
        <v>0</v>
      </c>
      <c r="K49" s="70">
        <v>2250</v>
      </c>
      <c r="L49" s="70">
        <v>0</v>
      </c>
      <c r="M49" s="70">
        <v>-43.57</v>
      </c>
      <c r="N49" s="70">
        <v>55.86</v>
      </c>
      <c r="O49" s="70">
        <v>0</v>
      </c>
      <c r="P49" s="70">
        <v>772.15</v>
      </c>
      <c r="Q49" s="70"/>
      <c r="R49" s="70">
        <v>0</v>
      </c>
      <c r="S49" s="70">
        <v>0</v>
      </c>
      <c r="T49" s="70">
        <v>0</v>
      </c>
      <c r="U49" s="70">
        <v>-0.04</v>
      </c>
      <c r="V49" s="70">
        <v>784.4</v>
      </c>
      <c r="W49" s="70">
        <v>1465.6</v>
      </c>
      <c r="X49" s="70">
        <v>14.7</v>
      </c>
      <c r="Y49" s="70">
        <v>26.46</v>
      </c>
      <c r="Z49" s="70">
        <v>14.7</v>
      </c>
      <c r="AA49" s="80">
        <v>-174.78</v>
      </c>
      <c r="AB49" s="70">
        <v>131.21</v>
      </c>
      <c r="AD49" s="70">
        <v>41.15</v>
      </c>
      <c r="AE49" s="75">
        <v>74.08</v>
      </c>
      <c r="AF49" s="75">
        <v>299.69</v>
      </c>
      <c r="AG49" s="75">
        <v>2250</v>
      </c>
      <c r="AH49" s="75">
        <v>230.05</v>
      </c>
      <c r="AI49" s="75">
        <v>45</v>
      </c>
      <c r="AJ49" s="70">
        <v>26.59</v>
      </c>
      <c r="AK49" s="70">
        <v>414.92</v>
      </c>
      <c r="AL49" s="70">
        <v>117.58</v>
      </c>
      <c r="AM49" s="70">
        <v>206.54000000000002</v>
      </c>
      <c r="AN49" s="70">
        <v>123.2066586354178</v>
      </c>
      <c r="AO49" s="71" t="s">
        <v>651</v>
      </c>
      <c r="AP49" s="71"/>
      <c r="AQ49" s="71"/>
      <c r="AR49" s="71"/>
    </row>
    <row r="50" spans="2:44" s="75" customFormat="1" hidden="1" outlineLevel="2" x14ac:dyDescent="0.2">
      <c r="B50" s="70" t="s">
        <v>547</v>
      </c>
      <c r="C50" s="70" t="s">
        <v>409</v>
      </c>
      <c r="D50" s="70">
        <v>15</v>
      </c>
      <c r="E50" s="70">
        <v>0</v>
      </c>
      <c r="F50" s="70">
        <v>150</v>
      </c>
      <c r="G50" s="70">
        <v>156.78</v>
      </c>
      <c r="H50" s="70">
        <v>2250</v>
      </c>
      <c r="I50" s="70">
        <v>0</v>
      </c>
      <c r="J50" s="70">
        <v>0</v>
      </c>
      <c r="K50" s="70">
        <v>2250</v>
      </c>
      <c r="L50" s="70">
        <v>0</v>
      </c>
      <c r="M50" s="80">
        <v>-43.57</v>
      </c>
      <c r="N50" s="70">
        <v>55.86</v>
      </c>
      <c r="O50" s="70">
        <v>0</v>
      </c>
      <c r="P50" s="70">
        <v>0</v>
      </c>
      <c r="Q50" s="70"/>
      <c r="R50" s="70">
        <v>0</v>
      </c>
      <c r="S50" s="70">
        <v>0</v>
      </c>
      <c r="T50" s="70">
        <v>0</v>
      </c>
      <c r="U50" s="70">
        <v>-0.09</v>
      </c>
      <c r="V50" s="70">
        <v>12.2</v>
      </c>
      <c r="W50" s="70">
        <v>2237.8000000000002</v>
      </c>
      <c r="X50" s="70">
        <v>14.7</v>
      </c>
      <c r="Y50" s="70">
        <v>26.46</v>
      </c>
      <c r="Z50" s="70">
        <v>14.7</v>
      </c>
      <c r="AA50" s="80">
        <v>-174.78</v>
      </c>
      <c r="AB50" s="70">
        <v>131.21</v>
      </c>
      <c r="AD50" s="70">
        <v>41.15</v>
      </c>
      <c r="AE50" s="75">
        <v>74.08</v>
      </c>
      <c r="AF50" s="75">
        <v>299.69</v>
      </c>
      <c r="AG50" s="75">
        <v>2250</v>
      </c>
      <c r="AH50" s="75">
        <v>230.05</v>
      </c>
      <c r="AI50" s="75">
        <v>45</v>
      </c>
      <c r="AJ50" s="70">
        <v>26.59</v>
      </c>
      <c r="AK50" s="70">
        <v>414.92</v>
      </c>
      <c r="AL50" s="70">
        <v>117.58</v>
      </c>
      <c r="AM50" s="70">
        <v>206.54000000000002</v>
      </c>
      <c r="AN50" s="70">
        <v>123.2066586354178</v>
      </c>
      <c r="AO50" s="71" t="s">
        <v>651</v>
      </c>
      <c r="AP50" s="71"/>
      <c r="AQ50" s="71"/>
      <c r="AR50" s="71"/>
    </row>
    <row r="51" spans="2:44" s="75" customFormat="1" hidden="1" outlineLevel="2" x14ac:dyDescent="0.2">
      <c r="B51" s="70" t="s">
        <v>548</v>
      </c>
      <c r="C51" s="70" t="s">
        <v>414</v>
      </c>
      <c r="D51" s="70">
        <v>15</v>
      </c>
      <c r="E51" s="70">
        <v>0</v>
      </c>
      <c r="F51" s="70">
        <v>233.33</v>
      </c>
      <c r="G51" s="70">
        <v>243.88</v>
      </c>
      <c r="H51" s="70">
        <v>3499.95</v>
      </c>
      <c r="I51" s="70">
        <v>0</v>
      </c>
      <c r="J51" s="70">
        <v>0</v>
      </c>
      <c r="K51" s="70">
        <v>3499.95</v>
      </c>
      <c r="L51" s="70">
        <v>134.36000000000001</v>
      </c>
      <c r="M51" s="80">
        <v>0</v>
      </c>
      <c r="N51" s="70">
        <v>86.88</v>
      </c>
      <c r="O51" s="70">
        <v>0</v>
      </c>
      <c r="P51" s="70">
        <v>0</v>
      </c>
      <c r="Q51" s="70"/>
      <c r="R51" s="70">
        <v>0</v>
      </c>
      <c r="S51" s="70">
        <v>0</v>
      </c>
      <c r="T51" s="70">
        <v>0</v>
      </c>
      <c r="U51" s="80">
        <v>-0.09</v>
      </c>
      <c r="V51" s="70">
        <v>221.15</v>
      </c>
      <c r="W51" s="70">
        <v>3278.8</v>
      </c>
      <c r="X51" s="70">
        <v>22.86</v>
      </c>
      <c r="Y51" s="70">
        <v>41.15</v>
      </c>
      <c r="Z51" s="70">
        <v>22.87</v>
      </c>
      <c r="AA51" s="80">
        <v>-125.1</v>
      </c>
      <c r="AB51" s="70">
        <v>259.45999999999998</v>
      </c>
      <c r="AD51" s="70">
        <v>64.02</v>
      </c>
      <c r="AE51" s="75">
        <v>115.23</v>
      </c>
      <c r="AF51" s="75">
        <v>322.56</v>
      </c>
      <c r="AG51" s="75">
        <v>3499.95</v>
      </c>
      <c r="AH51" s="75">
        <v>256.18</v>
      </c>
      <c r="AI51" s="75">
        <v>70</v>
      </c>
      <c r="AJ51" s="70">
        <v>41.36</v>
      </c>
      <c r="AK51" s="70">
        <v>501.81</v>
      </c>
      <c r="AL51" s="70">
        <v>182.91</v>
      </c>
      <c r="AM51" s="70">
        <v>219.60000000000002</v>
      </c>
      <c r="AN51" s="70">
        <v>191.65206439601357</v>
      </c>
      <c r="AO51" s="71" t="s">
        <v>651</v>
      </c>
      <c r="AP51" s="71"/>
      <c r="AQ51" s="71"/>
      <c r="AR51" s="71"/>
    </row>
    <row r="52" spans="2:44" s="75" customFormat="1" hidden="1" outlineLevel="2" x14ac:dyDescent="0.2">
      <c r="B52" s="70" t="s">
        <v>549</v>
      </c>
      <c r="C52" s="70" t="s">
        <v>415</v>
      </c>
      <c r="D52" s="70">
        <v>15</v>
      </c>
      <c r="E52" s="70">
        <v>0</v>
      </c>
      <c r="F52" s="70">
        <v>233.33</v>
      </c>
      <c r="G52" s="70">
        <v>243.88</v>
      </c>
      <c r="H52" s="70">
        <v>3499.95</v>
      </c>
      <c r="I52" s="70">
        <v>0</v>
      </c>
      <c r="J52" s="70">
        <v>0</v>
      </c>
      <c r="K52" s="70">
        <v>3499.95</v>
      </c>
      <c r="L52" s="70">
        <v>134.36000000000001</v>
      </c>
      <c r="M52" s="70">
        <v>0</v>
      </c>
      <c r="N52" s="70">
        <v>86.88</v>
      </c>
      <c r="O52" s="70">
        <v>0</v>
      </c>
      <c r="P52" s="70">
        <v>0</v>
      </c>
      <c r="Q52" s="70"/>
      <c r="R52" s="70">
        <v>0</v>
      </c>
      <c r="S52" s="70">
        <v>909.5</v>
      </c>
      <c r="T52" s="70">
        <v>0</v>
      </c>
      <c r="U52" s="70">
        <v>0.01</v>
      </c>
      <c r="V52" s="70">
        <v>1130.75</v>
      </c>
      <c r="W52" s="70">
        <v>2369.1999999999998</v>
      </c>
      <c r="X52" s="70">
        <v>22.86</v>
      </c>
      <c r="Y52" s="70">
        <v>41.15</v>
      </c>
      <c r="Z52" s="70">
        <v>22.87</v>
      </c>
      <c r="AA52" s="80">
        <v>-125.1</v>
      </c>
      <c r="AB52" s="70">
        <v>259.45999999999998</v>
      </c>
      <c r="AD52" s="70">
        <v>64.02</v>
      </c>
      <c r="AE52" s="75">
        <v>115.23</v>
      </c>
      <c r="AF52" s="75">
        <v>322.56</v>
      </c>
      <c r="AG52" s="75">
        <v>3499.95</v>
      </c>
      <c r="AH52" s="75">
        <v>256.18</v>
      </c>
      <c r="AI52" s="75">
        <v>70</v>
      </c>
      <c r="AJ52" s="70">
        <v>41.36</v>
      </c>
      <c r="AK52" s="70">
        <v>501.81</v>
      </c>
      <c r="AL52" s="70">
        <v>182.91</v>
      </c>
      <c r="AM52" s="70">
        <v>219.60000000000002</v>
      </c>
      <c r="AN52" s="70">
        <v>191.65206439601357</v>
      </c>
      <c r="AO52" s="71" t="s">
        <v>651</v>
      </c>
      <c r="AP52" s="71"/>
      <c r="AQ52" s="71"/>
      <c r="AR52" s="71"/>
    </row>
    <row r="53" spans="2:44" s="75" customFormat="1" hidden="1" outlineLevel="2" x14ac:dyDescent="0.2">
      <c r="B53" s="70" t="s">
        <v>551</v>
      </c>
      <c r="C53" s="70" t="s">
        <v>452</v>
      </c>
      <c r="D53" s="70">
        <v>15</v>
      </c>
      <c r="E53" s="70">
        <v>0</v>
      </c>
      <c r="F53" s="70">
        <v>312.87</v>
      </c>
      <c r="G53" s="70">
        <v>327.01</v>
      </c>
      <c r="H53" s="70">
        <v>4693.05</v>
      </c>
      <c r="I53" s="70">
        <v>0</v>
      </c>
      <c r="J53" s="70">
        <v>0</v>
      </c>
      <c r="K53" s="70">
        <v>4693.05</v>
      </c>
      <c r="L53" s="70">
        <v>411.56</v>
      </c>
      <c r="M53" s="70">
        <v>0</v>
      </c>
      <c r="N53" s="70">
        <v>120.9</v>
      </c>
      <c r="O53" s="70">
        <v>1887.16</v>
      </c>
      <c r="P53" s="70">
        <v>0</v>
      </c>
      <c r="Q53" s="70"/>
      <c r="R53" s="70">
        <v>0</v>
      </c>
      <c r="S53" s="70">
        <v>0</v>
      </c>
      <c r="T53" s="70">
        <v>0</v>
      </c>
      <c r="U53" s="70">
        <v>0.03</v>
      </c>
      <c r="V53" s="70">
        <v>2419.65</v>
      </c>
      <c r="W53" s="70">
        <v>2273.4</v>
      </c>
      <c r="X53" s="70">
        <v>30.66</v>
      </c>
      <c r="Y53" s="70">
        <v>55.18</v>
      </c>
      <c r="Z53" s="70">
        <v>35.06</v>
      </c>
      <c r="AA53" s="80">
        <v>0</v>
      </c>
      <c r="AB53" s="70">
        <v>411.56</v>
      </c>
      <c r="AD53" s="70">
        <v>85.84</v>
      </c>
      <c r="AE53" s="75">
        <v>154.51</v>
      </c>
      <c r="AF53" s="75">
        <v>356.51</v>
      </c>
      <c r="AG53" s="75">
        <v>4693.05</v>
      </c>
      <c r="AH53" s="75">
        <v>281.12</v>
      </c>
      <c r="AI53" s="75">
        <v>93.86</v>
      </c>
      <c r="AJ53" s="70">
        <v>55.46</v>
      </c>
      <c r="AK53" s="70">
        <v>596.86</v>
      </c>
      <c r="AL53" s="70">
        <v>245.26</v>
      </c>
      <c r="AM53" s="70">
        <v>232.07</v>
      </c>
      <c r="AN53" s="70">
        <v>256.98444858175446</v>
      </c>
      <c r="AO53" s="71" t="s">
        <v>651</v>
      </c>
      <c r="AP53" s="71"/>
      <c r="AQ53" s="71"/>
      <c r="AR53" s="71"/>
    </row>
    <row r="54" spans="2:44" s="75" customFormat="1" hidden="1" outlineLevel="2" x14ac:dyDescent="0.2">
      <c r="B54" s="70" t="s">
        <v>552</v>
      </c>
      <c r="C54" s="70" t="s">
        <v>453</v>
      </c>
      <c r="D54" s="70">
        <v>15</v>
      </c>
      <c r="E54" s="70">
        <v>0</v>
      </c>
      <c r="F54" s="70">
        <v>312.87</v>
      </c>
      <c r="G54" s="70">
        <v>327.01</v>
      </c>
      <c r="H54" s="70">
        <v>4693.05</v>
      </c>
      <c r="I54" s="70">
        <v>0</v>
      </c>
      <c r="J54" s="70">
        <v>0</v>
      </c>
      <c r="K54" s="70">
        <v>4693.05</v>
      </c>
      <c r="L54" s="70">
        <v>411.56</v>
      </c>
      <c r="M54" s="70">
        <v>0</v>
      </c>
      <c r="N54" s="70">
        <v>120.9</v>
      </c>
      <c r="O54" s="70">
        <v>2184.8200000000002</v>
      </c>
      <c r="P54" s="70">
        <v>0</v>
      </c>
      <c r="Q54" s="70"/>
      <c r="R54" s="70">
        <v>0</v>
      </c>
      <c r="S54" s="70">
        <v>0</v>
      </c>
      <c r="T54" s="70">
        <v>0</v>
      </c>
      <c r="U54" s="80">
        <v>-0.03</v>
      </c>
      <c r="V54" s="70">
        <v>2717.25</v>
      </c>
      <c r="W54" s="70">
        <v>1975.8</v>
      </c>
      <c r="X54" s="70">
        <v>30.66</v>
      </c>
      <c r="Y54" s="70">
        <v>55.18</v>
      </c>
      <c r="Z54" s="70">
        <v>35.06</v>
      </c>
      <c r="AA54" s="70">
        <v>0</v>
      </c>
      <c r="AB54" s="70">
        <v>411.56</v>
      </c>
      <c r="AD54" s="70">
        <v>85.84</v>
      </c>
      <c r="AE54" s="75">
        <v>154.51</v>
      </c>
      <c r="AF54" s="75">
        <v>356.51</v>
      </c>
      <c r="AG54" s="75">
        <v>4693.05</v>
      </c>
      <c r="AH54" s="75">
        <v>281.12</v>
      </c>
      <c r="AI54" s="75">
        <v>93.86</v>
      </c>
      <c r="AJ54" s="70">
        <v>55.46</v>
      </c>
      <c r="AK54" s="70">
        <v>596.86</v>
      </c>
      <c r="AL54" s="70">
        <v>245.26</v>
      </c>
      <c r="AM54" s="70">
        <v>232.07</v>
      </c>
      <c r="AN54" s="70">
        <v>256.98444858175446</v>
      </c>
      <c r="AO54" s="71" t="s">
        <v>651</v>
      </c>
      <c r="AP54" s="71"/>
      <c r="AQ54" s="71"/>
      <c r="AR54" s="71"/>
    </row>
    <row r="55" spans="2:44" s="75" customFormat="1" hidden="1" outlineLevel="2" x14ac:dyDescent="0.2">
      <c r="B55" s="70" t="s">
        <v>553</v>
      </c>
      <c r="C55" s="70" t="s">
        <v>454</v>
      </c>
      <c r="D55" s="70">
        <v>15</v>
      </c>
      <c r="E55" s="70">
        <v>0</v>
      </c>
      <c r="F55" s="70">
        <v>238.84</v>
      </c>
      <c r="G55" s="70">
        <v>249.64</v>
      </c>
      <c r="H55" s="70">
        <v>3582.6</v>
      </c>
      <c r="I55" s="70">
        <v>0</v>
      </c>
      <c r="J55" s="70">
        <v>0</v>
      </c>
      <c r="K55" s="70">
        <v>3582.6</v>
      </c>
      <c r="L55" s="70">
        <v>161.08000000000001</v>
      </c>
      <c r="M55" s="70">
        <v>0</v>
      </c>
      <c r="N55" s="70">
        <v>88.93</v>
      </c>
      <c r="O55" s="70">
        <v>0</v>
      </c>
      <c r="P55" s="70">
        <v>0</v>
      </c>
      <c r="Q55" s="70"/>
      <c r="R55" s="70">
        <v>0</v>
      </c>
      <c r="S55" s="70">
        <v>0</v>
      </c>
      <c r="T55" s="70">
        <v>0</v>
      </c>
      <c r="U55" s="80">
        <v>-0.01</v>
      </c>
      <c r="V55" s="70">
        <v>250</v>
      </c>
      <c r="W55" s="70">
        <v>3332.6</v>
      </c>
      <c r="X55" s="70">
        <v>23.4</v>
      </c>
      <c r="Y55" s="70">
        <v>42.13</v>
      </c>
      <c r="Z55" s="70">
        <v>23.4</v>
      </c>
      <c r="AA55" s="70">
        <v>-107.37</v>
      </c>
      <c r="AB55" s="70">
        <v>268.45999999999998</v>
      </c>
      <c r="AD55" s="70">
        <v>65.53</v>
      </c>
      <c r="AE55" s="75">
        <v>117.95</v>
      </c>
      <c r="AF55" s="75">
        <v>324.07</v>
      </c>
      <c r="AG55" s="75">
        <v>3582.6</v>
      </c>
      <c r="AH55" s="75">
        <v>257.91000000000003</v>
      </c>
      <c r="AI55" s="75">
        <v>71.650000000000006</v>
      </c>
      <c r="AJ55" s="70">
        <v>42.34</v>
      </c>
      <c r="AK55" s="70">
        <v>507.55</v>
      </c>
      <c r="AL55" s="70">
        <v>187.23</v>
      </c>
      <c r="AM55" s="70">
        <v>220.47000000000003</v>
      </c>
      <c r="AN55" s="70">
        <v>196.17785565655458</v>
      </c>
      <c r="AO55" s="71" t="s">
        <v>651</v>
      </c>
      <c r="AP55" s="71"/>
      <c r="AQ55" s="71"/>
      <c r="AR55" s="71"/>
    </row>
    <row r="56" spans="2:44" s="75" customFormat="1" hidden="1" outlineLevel="2" x14ac:dyDescent="0.2">
      <c r="B56" s="70" t="s">
        <v>555</v>
      </c>
      <c r="C56" s="70" t="s">
        <v>457</v>
      </c>
      <c r="D56" s="70">
        <v>15</v>
      </c>
      <c r="E56" s="70">
        <v>0</v>
      </c>
      <c r="F56" s="70">
        <v>238.84</v>
      </c>
      <c r="G56" s="70">
        <v>249.64</v>
      </c>
      <c r="H56" s="70">
        <v>3582.6</v>
      </c>
      <c r="I56" s="70">
        <v>0</v>
      </c>
      <c r="J56" s="70">
        <v>0</v>
      </c>
      <c r="K56" s="70">
        <v>3582.6</v>
      </c>
      <c r="L56" s="70">
        <v>161.08000000000001</v>
      </c>
      <c r="M56" s="70">
        <v>0</v>
      </c>
      <c r="N56" s="70">
        <v>88.93</v>
      </c>
      <c r="O56" s="70">
        <v>1204.8699999999999</v>
      </c>
      <c r="P56" s="70">
        <v>0</v>
      </c>
      <c r="Q56" s="70"/>
      <c r="R56" s="70">
        <v>0</v>
      </c>
      <c r="S56" s="70">
        <v>0</v>
      </c>
      <c r="T56" s="70">
        <v>0</v>
      </c>
      <c r="U56" s="80">
        <v>-0.08</v>
      </c>
      <c r="V56" s="70">
        <v>1454.8</v>
      </c>
      <c r="W56" s="70">
        <v>2127.8000000000002</v>
      </c>
      <c r="X56" s="70">
        <v>23.4</v>
      </c>
      <c r="Y56" s="70">
        <v>42.13</v>
      </c>
      <c r="Z56" s="70">
        <v>23.4</v>
      </c>
      <c r="AA56" s="80">
        <v>-107.37</v>
      </c>
      <c r="AB56" s="70">
        <v>268.45999999999998</v>
      </c>
      <c r="AD56" s="70">
        <v>65.53</v>
      </c>
      <c r="AE56" s="75">
        <v>117.95</v>
      </c>
      <c r="AF56" s="75">
        <v>324.07</v>
      </c>
      <c r="AG56" s="75">
        <v>3582.6</v>
      </c>
      <c r="AH56" s="75">
        <v>257.91000000000003</v>
      </c>
      <c r="AI56" s="75">
        <v>71.650000000000006</v>
      </c>
      <c r="AJ56" s="70">
        <v>42.34</v>
      </c>
      <c r="AK56" s="70">
        <v>507.55</v>
      </c>
      <c r="AL56" s="70">
        <v>187.23</v>
      </c>
      <c r="AM56" s="70">
        <v>220.47000000000003</v>
      </c>
      <c r="AN56" s="70">
        <v>196.17785565655458</v>
      </c>
      <c r="AO56" s="71" t="s">
        <v>651</v>
      </c>
      <c r="AP56" s="71"/>
      <c r="AQ56" s="71"/>
      <c r="AR56" s="71"/>
    </row>
    <row r="57" spans="2:44" s="75" customFormat="1" hidden="1" outlineLevel="2" x14ac:dyDescent="0.2">
      <c r="B57" s="70" t="s">
        <v>556</v>
      </c>
      <c r="C57" s="70" t="s">
        <v>458</v>
      </c>
      <c r="D57" s="70">
        <v>15</v>
      </c>
      <c r="E57" s="70">
        <v>0</v>
      </c>
      <c r="F57" s="70">
        <v>238.84</v>
      </c>
      <c r="G57" s="70">
        <v>249.64</v>
      </c>
      <c r="H57" s="70">
        <v>3582.6</v>
      </c>
      <c r="I57" s="70">
        <v>0</v>
      </c>
      <c r="J57" s="70">
        <v>573.21</v>
      </c>
      <c r="K57" s="70">
        <v>4155.8100000000004</v>
      </c>
      <c r="L57" s="70">
        <v>161.08000000000001</v>
      </c>
      <c r="M57" s="70">
        <v>0</v>
      </c>
      <c r="N57" s="70">
        <v>88.93</v>
      </c>
      <c r="O57" s="70">
        <v>0</v>
      </c>
      <c r="P57" s="70">
        <v>1137.8399999999999</v>
      </c>
      <c r="Q57" s="70"/>
      <c r="R57" s="70">
        <v>0</v>
      </c>
      <c r="S57" s="70">
        <v>0</v>
      </c>
      <c r="T57" s="70">
        <v>0</v>
      </c>
      <c r="U57" s="70">
        <v>0.16</v>
      </c>
      <c r="V57" s="70">
        <v>1388.01</v>
      </c>
      <c r="W57" s="70">
        <v>2767.8</v>
      </c>
      <c r="X57" s="70">
        <v>23.4</v>
      </c>
      <c r="Y57" s="70">
        <v>42.13</v>
      </c>
      <c r="Z57" s="70">
        <v>23.4</v>
      </c>
      <c r="AA57" s="70">
        <v>-107.37</v>
      </c>
      <c r="AB57" s="70">
        <v>268.45999999999998</v>
      </c>
      <c r="AD57" s="70">
        <v>65.53</v>
      </c>
      <c r="AE57" s="75">
        <v>117.95</v>
      </c>
      <c r="AF57" s="75">
        <v>324.07</v>
      </c>
      <c r="AG57" s="75">
        <v>4155.8100000000004</v>
      </c>
      <c r="AH57" s="75">
        <v>257.91000000000003</v>
      </c>
      <c r="AI57" s="75">
        <v>83.12</v>
      </c>
      <c r="AJ57" s="70">
        <v>42.34</v>
      </c>
      <c r="AK57" s="70">
        <v>507.55</v>
      </c>
      <c r="AL57" s="70">
        <v>187.23</v>
      </c>
      <c r="AM57" s="70">
        <v>220.47000000000003</v>
      </c>
      <c r="AN57" s="70">
        <v>196.17785565655458</v>
      </c>
      <c r="AO57" s="71" t="s">
        <v>651</v>
      </c>
      <c r="AP57" s="71"/>
      <c r="AQ57" s="71"/>
      <c r="AR57" s="71"/>
    </row>
    <row r="58" spans="2:44" s="75" customFormat="1" hidden="1" outlineLevel="2" x14ac:dyDescent="0.2">
      <c r="B58" s="70" t="s">
        <v>557</v>
      </c>
      <c r="C58" s="70" t="s">
        <v>460</v>
      </c>
      <c r="D58" s="70">
        <v>15</v>
      </c>
      <c r="E58" s="70">
        <v>0</v>
      </c>
      <c r="F58" s="70">
        <v>238.84</v>
      </c>
      <c r="G58" s="70">
        <v>249.64</v>
      </c>
      <c r="H58" s="70">
        <v>3582.6</v>
      </c>
      <c r="I58" s="70">
        <v>0</v>
      </c>
      <c r="J58" s="70">
        <v>0</v>
      </c>
      <c r="K58" s="70">
        <v>3582.6</v>
      </c>
      <c r="L58" s="70">
        <v>161.08000000000001</v>
      </c>
      <c r="M58" s="70">
        <v>0</v>
      </c>
      <c r="N58" s="70">
        <v>88.93</v>
      </c>
      <c r="O58" s="70">
        <v>0</v>
      </c>
      <c r="P58" s="70">
        <v>0</v>
      </c>
      <c r="Q58" s="70"/>
      <c r="R58" s="70">
        <v>0</v>
      </c>
      <c r="S58" s="70">
        <v>0</v>
      </c>
      <c r="T58" s="70">
        <v>0</v>
      </c>
      <c r="U58" s="70">
        <v>-0.01</v>
      </c>
      <c r="V58" s="70">
        <v>250</v>
      </c>
      <c r="W58" s="70">
        <v>3332.6</v>
      </c>
      <c r="X58" s="70">
        <v>23.4</v>
      </c>
      <c r="Y58" s="70">
        <v>42.13</v>
      </c>
      <c r="Z58" s="70">
        <v>23.4</v>
      </c>
      <c r="AA58" s="80">
        <v>-107.37</v>
      </c>
      <c r="AB58" s="70">
        <v>268.45999999999998</v>
      </c>
      <c r="AD58" s="70">
        <v>65.53</v>
      </c>
      <c r="AE58" s="75">
        <v>117.95</v>
      </c>
      <c r="AF58" s="75">
        <v>324.07</v>
      </c>
      <c r="AG58" s="75">
        <v>3582.6</v>
      </c>
      <c r="AH58" s="75">
        <v>257.91000000000003</v>
      </c>
      <c r="AI58" s="75">
        <v>71.650000000000006</v>
      </c>
      <c r="AJ58" s="70">
        <v>42.34</v>
      </c>
      <c r="AK58" s="70">
        <v>507.55</v>
      </c>
      <c r="AL58" s="70">
        <v>187.23</v>
      </c>
      <c r="AM58" s="70">
        <v>220.47000000000003</v>
      </c>
      <c r="AN58" s="70">
        <v>196.17785565655458</v>
      </c>
      <c r="AO58" s="71" t="s">
        <v>651</v>
      </c>
      <c r="AP58" s="71"/>
      <c r="AQ58" s="71"/>
      <c r="AR58" s="71"/>
    </row>
    <row r="59" spans="2:44" s="75" customFormat="1" hidden="1" outlineLevel="2" x14ac:dyDescent="0.2">
      <c r="B59" s="68" t="s">
        <v>558</v>
      </c>
      <c r="C59" s="68" t="s">
        <v>461</v>
      </c>
      <c r="D59" s="70">
        <v>15</v>
      </c>
      <c r="E59" s="70">
        <v>0</v>
      </c>
      <c r="F59" s="70">
        <v>200</v>
      </c>
      <c r="G59" s="70">
        <v>212.11</v>
      </c>
      <c r="H59" s="70">
        <v>3000</v>
      </c>
      <c r="I59" s="70">
        <v>0</v>
      </c>
      <c r="J59" s="70">
        <v>0</v>
      </c>
      <c r="K59" s="70">
        <v>3000</v>
      </c>
      <c r="L59" s="70">
        <v>59.69</v>
      </c>
      <c r="M59" s="70">
        <v>0</v>
      </c>
      <c r="N59" s="70">
        <v>75.56</v>
      </c>
      <c r="O59" s="70">
        <v>0</v>
      </c>
      <c r="P59" s="70">
        <v>0</v>
      </c>
      <c r="Q59" s="70"/>
      <c r="R59" s="70">
        <v>0</v>
      </c>
      <c r="S59" s="70">
        <v>0</v>
      </c>
      <c r="T59" s="70">
        <v>0</v>
      </c>
      <c r="U59" s="70">
        <v>0.15</v>
      </c>
      <c r="V59" s="70">
        <v>135.4</v>
      </c>
      <c r="W59" s="70">
        <v>2864.6</v>
      </c>
      <c r="X59" s="70">
        <v>19.89</v>
      </c>
      <c r="Y59" s="70">
        <v>35.79</v>
      </c>
      <c r="Z59" s="70">
        <v>19.88</v>
      </c>
      <c r="AA59" s="80">
        <v>-145.38</v>
      </c>
      <c r="AB59" s="70">
        <v>205.07</v>
      </c>
      <c r="AD59" s="70">
        <v>55.68</v>
      </c>
      <c r="AE59" s="75">
        <v>100.22</v>
      </c>
      <c r="AF59" s="75">
        <v>314.22000000000003</v>
      </c>
      <c r="AG59" s="75">
        <v>3000</v>
      </c>
      <c r="AH59" s="75">
        <v>246.65</v>
      </c>
      <c r="AI59" s="75">
        <v>60</v>
      </c>
      <c r="AJ59" s="70">
        <v>35.97</v>
      </c>
      <c r="AK59" s="70">
        <v>470.12</v>
      </c>
      <c r="AL59" s="70">
        <v>159.08000000000001</v>
      </c>
      <c r="AM59" s="70">
        <v>214.84</v>
      </c>
      <c r="AN59" s="70">
        <v>164.27554484722373</v>
      </c>
      <c r="AO59" s="71" t="s">
        <v>651</v>
      </c>
      <c r="AP59" s="71"/>
      <c r="AQ59" s="71"/>
      <c r="AR59" s="71"/>
    </row>
    <row r="60" spans="2:44" s="75" customFormat="1" hidden="1" outlineLevel="2" x14ac:dyDescent="0.2">
      <c r="B60" s="70" t="s">
        <v>559</v>
      </c>
      <c r="C60" s="70" t="s">
        <v>462</v>
      </c>
      <c r="D60" s="70">
        <v>15</v>
      </c>
      <c r="E60" s="70">
        <v>0</v>
      </c>
      <c r="F60" s="70">
        <v>238.84</v>
      </c>
      <c r="G60" s="70">
        <v>249.64</v>
      </c>
      <c r="H60" s="70">
        <v>3582.6</v>
      </c>
      <c r="I60" s="70">
        <v>0</v>
      </c>
      <c r="J60" s="70">
        <v>0</v>
      </c>
      <c r="K60" s="70">
        <v>3582.6</v>
      </c>
      <c r="L60" s="70">
        <v>161.08000000000001</v>
      </c>
      <c r="M60" s="70">
        <v>0</v>
      </c>
      <c r="N60" s="70">
        <v>88.93</v>
      </c>
      <c r="O60" s="70">
        <v>692.74</v>
      </c>
      <c r="P60" s="70">
        <v>0</v>
      </c>
      <c r="Q60" s="70"/>
      <c r="R60" s="70">
        <v>0</v>
      </c>
      <c r="S60" s="70">
        <v>550.83000000000004</v>
      </c>
      <c r="T60" s="70">
        <v>0</v>
      </c>
      <c r="U60" s="80">
        <v>0.02</v>
      </c>
      <c r="V60" s="70">
        <v>1493.6</v>
      </c>
      <c r="W60" s="70">
        <v>2089</v>
      </c>
      <c r="X60" s="70">
        <v>23.4</v>
      </c>
      <c r="Y60" s="70">
        <v>42.13</v>
      </c>
      <c r="Z60" s="70">
        <v>23.4</v>
      </c>
      <c r="AA60" s="80">
        <v>-107.37</v>
      </c>
      <c r="AB60" s="70">
        <v>268.45999999999998</v>
      </c>
      <c r="AD60" s="70">
        <v>65.53</v>
      </c>
      <c r="AE60" s="75">
        <v>117.95</v>
      </c>
      <c r="AF60" s="75">
        <v>324.07</v>
      </c>
      <c r="AG60" s="75">
        <v>3582.6</v>
      </c>
      <c r="AH60" s="75">
        <v>257.91000000000003</v>
      </c>
      <c r="AI60" s="75">
        <v>71.650000000000006</v>
      </c>
      <c r="AJ60" s="70">
        <v>42.34</v>
      </c>
      <c r="AK60" s="70">
        <v>507.55</v>
      </c>
      <c r="AL60" s="70">
        <v>187.23</v>
      </c>
      <c r="AM60" s="70">
        <v>220.47000000000003</v>
      </c>
      <c r="AN60" s="70">
        <v>196.17785565655458</v>
      </c>
      <c r="AO60" s="71" t="s">
        <v>651</v>
      </c>
      <c r="AP60" s="71"/>
      <c r="AQ60" s="71"/>
      <c r="AR60" s="71"/>
    </row>
    <row r="61" spans="2:44" s="75" customFormat="1" hidden="1" outlineLevel="2" x14ac:dyDescent="0.2">
      <c r="B61" s="70" t="s">
        <v>560</v>
      </c>
      <c r="C61" s="70" t="s">
        <v>463</v>
      </c>
      <c r="D61" s="70">
        <v>15</v>
      </c>
      <c r="E61" s="70">
        <v>0</v>
      </c>
      <c r="F61" s="70">
        <v>238.84</v>
      </c>
      <c r="G61" s="70">
        <v>249.64</v>
      </c>
      <c r="H61" s="70">
        <v>3582.6</v>
      </c>
      <c r="I61" s="70">
        <v>0</v>
      </c>
      <c r="J61" s="70">
        <v>0</v>
      </c>
      <c r="K61" s="70">
        <v>3582.6</v>
      </c>
      <c r="L61" s="70">
        <v>161.08000000000001</v>
      </c>
      <c r="M61" s="70">
        <v>0</v>
      </c>
      <c r="N61" s="70">
        <v>88.93</v>
      </c>
      <c r="O61" s="70">
        <v>0</v>
      </c>
      <c r="P61" s="70">
        <v>996.12</v>
      </c>
      <c r="Q61" s="70"/>
      <c r="R61" s="70">
        <v>0</v>
      </c>
      <c r="S61" s="70">
        <v>283.2</v>
      </c>
      <c r="T61" s="70">
        <v>0</v>
      </c>
      <c r="U61" s="80">
        <v>7.0000000000000007E-2</v>
      </c>
      <c r="V61" s="70">
        <v>1529.4</v>
      </c>
      <c r="W61" s="70">
        <v>2053.1999999999998</v>
      </c>
      <c r="X61" s="70">
        <v>23.4</v>
      </c>
      <c r="Y61" s="70">
        <v>42.13</v>
      </c>
      <c r="Z61" s="70">
        <v>23.4</v>
      </c>
      <c r="AA61" s="80">
        <v>-107.37</v>
      </c>
      <c r="AB61" s="70">
        <v>268.45999999999998</v>
      </c>
      <c r="AD61" s="70">
        <v>65.53</v>
      </c>
      <c r="AE61" s="75">
        <v>117.95</v>
      </c>
      <c r="AF61" s="75">
        <v>324.07</v>
      </c>
      <c r="AG61" s="75">
        <v>3582.6</v>
      </c>
      <c r="AH61" s="75">
        <v>257.91000000000003</v>
      </c>
      <c r="AI61" s="75">
        <v>71.650000000000006</v>
      </c>
      <c r="AJ61" s="70">
        <v>42.34</v>
      </c>
      <c r="AK61" s="70">
        <v>507.55</v>
      </c>
      <c r="AL61" s="70">
        <v>187.23</v>
      </c>
      <c r="AM61" s="70">
        <v>220.47000000000003</v>
      </c>
      <c r="AN61" s="70">
        <v>196.17785565655458</v>
      </c>
      <c r="AO61" s="71" t="s">
        <v>651</v>
      </c>
      <c r="AP61" s="71"/>
      <c r="AQ61" s="71"/>
      <c r="AR61" s="71"/>
    </row>
    <row r="62" spans="2:44" s="75" customFormat="1" hidden="1" outlineLevel="2" x14ac:dyDescent="0.2">
      <c r="B62" s="70" t="s">
        <v>561</v>
      </c>
      <c r="C62" s="70" t="s">
        <v>465</v>
      </c>
      <c r="D62" s="70">
        <v>15</v>
      </c>
      <c r="E62" s="70">
        <v>0</v>
      </c>
      <c r="F62" s="70">
        <v>166.67</v>
      </c>
      <c r="G62" s="70">
        <v>174.2</v>
      </c>
      <c r="H62" s="70">
        <v>2500.0500000000002</v>
      </c>
      <c r="I62" s="70">
        <v>0</v>
      </c>
      <c r="J62" s="70">
        <v>0</v>
      </c>
      <c r="K62" s="70">
        <v>2500.0500000000002</v>
      </c>
      <c r="L62" s="70">
        <v>0</v>
      </c>
      <c r="M62" s="70">
        <v>-9.6199999999999992</v>
      </c>
      <c r="N62" s="70">
        <v>62.06</v>
      </c>
      <c r="O62" s="70">
        <v>0</v>
      </c>
      <c r="P62" s="70">
        <v>0</v>
      </c>
      <c r="Q62" s="70"/>
      <c r="R62" s="70">
        <v>0</v>
      </c>
      <c r="S62" s="70">
        <v>0</v>
      </c>
      <c r="T62" s="70">
        <v>0</v>
      </c>
      <c r="U62" s="80">
        <v>0.01</v>
      </c>
      <c r="V62" s="70">
        <v>52.45</v>
      </c>
      <c r="W62" s="70">
        <v>2447.6</v>
      </c>
      <c r="X62" s="70">
        <v>16.329999999999998</v>
      </c>
      <c r="Y62" s="70">
        <v>29.4</v>
      </c>
      <c r="Z62" s="70">
        <v>16.329999999999998</v>
      </c>
      <c r="AA62" s="80">
        <v>-160.30000000000001</v>
      </c>
      <c r="AB62" s="70">
        <v>150.66999999999999</v>
      </c>
      <c r="AD62" s="70">
        <v>45.73</v>
      </c>
      <c r="AE62" s="75">
        <v>82.31</v>
      </c>
      <c r="AF62" s="75">
        <v>304.27</v>
      </c>
      <c r="AG62" s="75">
        <v>2500.0500000000002</v>
      </c>
      <c r="AH62" s="75">
        <v>235.28</v>
      </c>
      <c r="AI62" s="75">
        <v>50</v>
      </c>
      <c r="AJ62" s="70">
        <v>29.54</v>
      </c>
      <c r="AK62" s="70">
        <v>432.31</v>
      </c>
      <c r="AL62" s="70">
        <v>130.65</v>
      </c>
      <c r="AM62" s="70">
        <v>209.15</v>
      </c>
      <c r="AN62" s="70">
        <v>136.89902529843388</v>
      </c>
      <c r="AO62" s="71" t="s">
        <v>651</v>
      </c>
      <c r="AP62" s="71"/>
      <c r="AQ62" s="71"/>
      <c r="AR62" s="71"/>
    </row>
    <row r="63" spans="2:44" s="75" customFormat="1" ht="14.25" hidden="1" customHeight="1" outlineLevel="2" x14ac:dyDescent="0.2">
      <c r="B63" s="70" t="s">
        <v>562</v>
      </c>
      <c r="C63" s="70" t="s">
        <v>466</v>
      </c>
      <c r="D63" s="70">
        <v>15</v>
      </c>
      <c r="E63" s="70">
        <v>0</v>
      </c>
      <c r="F63" s="70">
        <v>195.38</v>
      </c>
      <c r="G63" s="70">
        <v>204.21</v>
      </c>
      <c r="H63" s="70">
        <v>2930.7</v>
      </c>
      <c r="I63" s="70">
        <v>0</v>
      </c>
      <c r="J63" s="70">
        <v>0</v>
      </c>
      <c r="K63" s="70">
        <v>2930.7</v>
      </c>
      <c r="L63" s="70">
        <v>52.15</v>
      </c>
      <c r="M63" s="70">
        <v>0</v>
      </c>
      <c r="N63" s="70">
        <v>72.75</v>
      </c>
      <c r="O63" s="70">
        <v>888.39</v>
      </c>
      <c r="P63" s="70">
        <v>0</v>
      </c>
      <c r="Q63" s="70"/>
      <c r="R63" s="70">
        <v>0</v>
      </c>
      <c r="S63" s="70">
        <v>0</v>
      </c>
      <c r="T63" s="70">
        <v>0</v>
      </c>
      <c r="U63" s="80">
        <v>0.01</v>
      </c>
      <c r="V63" s="70">
        <v>1013.3</v>
      </c>
      <c r="W63" s="70">
        <v>1917.4</v>
      </c>
      <c r="X63" s="70">
        <v>19.14</v>
      </c>
      <c r="Y63" s="70">
        <v>34.46</v>
      </c>
      <c r="Z63" s="70">
        <v>19.149999999999999</v>
      </c>
      <c r="AA63" s="80">
        <v>-145.38</v>
      </c>
      <c r="AB63" s="70">
        <v>197.53</v>
      </c>
      <c r="AD63" s="70">
        <v>53.61</v>
      </c>
      <c r="AE63" s="75">
        <v>96.49</v>
      </c>
      <c r="AF63" s="75">
        <v>312.14</v>
      </c>
      <c r="AG63" s="75">
        <v>2930.7</v>
      </c>
      <c r="AH63" s="75">
        <v>244.28</v>
      </c>
      <c r="AI63" s="75">
        <v>58.61</v>
      </c>
      <c r="AJ63" s="70">
        <v>34.630000000000003</v>
      </c>
      <c r="AK63" s="70">
        <v>462.24</v>
      </c>
      <c r="AL63" s="70">
        <v>153.16</v>
      </c>
      <c r="AM63" s="70">
        <v>213.65</v>
      </c>
      <c r="AN63" s="70">
        <v>160.48077976125285</v>
      </c>
      <c r="AO63" s="71" t="s">
        <v>651</v>
      </c>
      <c r="AP63" s="71"/>
      <c r="AQ63" s="71"/>
      <c r="AR63" s="71"/>
    </row>
    <row r="64" spans="2:44" s="75" customFormat="1" hidden="1" outlineLevel="2" x14ac:dyDescent="0.2">
      <c r="B64" s="70" t="s">
        <v>563</v>
      </c>
      <c r="C64" s="70" t="s">
        <v>468</v>
      </c>
      <c r="D64" s="70">
        <v>15</v>
      </c>
      <c r="E64" s="70">
        <v>0</v>
      </c>
      <c r="F64" s="70">
        <v>195.38</v>
      </c>
      <c r="G64" s="70">
        <v>204.21</v>
      </c>
      <c r="H64" s="70">
        <v>2930.7</v>
      </c>
      <c r="I64" s="70">
        <v>0</v>
      </c>
      <c r="J64" s="70">
        <v>0</v>
      </c>
      <c r="K64" s="70">
        <v>2930.7</v>
      </c>
      <c r="L64" s="70">
        <v>52.15</v>
      </c>
      <c r="M64" s="70">
        <v>0</v>
      </c>
      <c r="N64" s="70">
        <v>72.75</v>
      </c>
      <c r="O64" s="70">
        <v>910.13</v>
      </c>
      <c r="P64" s="70">
        <v>0</v>
      </c>
      <c r="Q64" s="70"/>
      <c r="R64" s="70">
        <v>0</v>
      </c>
      <c r="S64" s="70">
        <v>352.08</v>
      </c>
      <c r="T64" s="70">
        <v>0</v>
      </c>
      <c r="U64" s="70">
        <v>-0.01</v>
      </c>
      <c r="V64" s="70">
        <v>1387.1</v>
      </c>
      <c r="W64" s="70">
        <v>1543.6</v>
      </c>
      <c r="X64" s="70">
        <v>19.14</v>
      </c>
      <c r="Y64" s="70">
        <v>34.46</v>
      </c>
      <c r="Z64" s="70">
        <v>19.149999999999999</v>
      </c>
      <c r="AA64" s="80">
        <v>-145.38</v>
      </c>
      <c r="AB64" s="70">
        <v>197.53</v>
      </c>
      <c r="AD64" s="70">
        <v>53.61</v>
      </c>
      <c r="AE64" s="75">
        <v>96.49</v>
      </c>
      <c r="AF64" s="75">
        <v>312.14</v>
      </c>
      <c r="AG64" s="75">
        <v>2930.7</v>
      </c>
      <c r="AH64" s="75">
        <v>244.28</v>
      </c>
      <c r="AI64" s="75">
        <v>58.61</v>
      </c>
      <c r="AJ64" s="70">
        <v>34.630000000000003</v>
      </c>
      <c r="AK64" s="70">
        <v>462.24</v>
      </c>
      <c r="AL64" s="70">
        <v>153.16</v>
      </c>
      <c r="AM64" s="70">
        <v>213.65</v>
      </c>
      <c r="AN64" s="70">
        <v>160.48077976125285</v>
      </c>
      <c r="AO64" s="71" t="s">
        <v>651</v>
      </c>
      <c r="AP64" s="71"/>
      <c r="AQ64" s="71"/>
      <c r="AR64" s="71"/>
    </row>
    <row r="65" spans="2:44" s="75" customFormat="1" hidden="1" outlineLevel="2" x14ac:dyDescent="0.2">
      <c r="B65" s="70" t="s">
        <v>564</v>
      </c>
      <c r="C65" s="70" t="s">
        <v>501</v>
      </c>
      <c r="D65" s="70">
        <v>15</v>
      </c>
      <c r="E65" s="70">
        <v>0</v>
      </c>
      <c r="F65" s="70">
        <v>166.67</v>
      </c>
      <c r="G65" s="70">
        <v>176.76</v>
      </c>
      <c r="H65" s="70">
        <v>2500.0500000000002</v>
      </c>
      <c r="I65" s="70">
        <v>0</v>
      </c>
      <c r="J65" s="70">
        <v>0</v>
      </c>
      <c r="K65" s="70">
        <v>2500.0500000000002</v>
      </c>
      <c r="L65" s="70">
        <v>0</v>
      </c>
      <c r="M65" s="80">
        <v>-9.6199999999999992</v>
      </c>
      <c r="N65" s="70">
        <v>62.97</v>
      </c>
      <c r="O65" s="70">
        <v>0</v>
      </c>
      <c r="P65" s="70">
        <v>127.82</v>
      </c>
      <c r="Q65" s="82"/>
      <c r="R65" s="82">
        <v>0</v>
      </c>
      <c r="S65" s="70">
        <v>285.48</v>
      </c>
      <c r="T65" s="70">
        <v>0</v>
      </c>
      <c r="U65" s="70">
        <v>0</v>
      </c>
      <c r="V65" s="70">
        <v>466.65</v>
      </c>
      <c r="W65" s="70">
        <v>2033.4</v>
      </c>
      <c r="X65" s="70">
        <v>16.57</v>
      </c>
      <c r="Y65" s="70">
        <v>29.83</v>
      </c>
      <c r="Z65" s="70">
        <v>16.57</v>
      </c>
      <c r="AA65" s="80">
        <v>-160.30000000000001</v>
      </c>
      <c r="AB65" s="70">
        <v>150.66999999999999</v>
      </c>
      <c r="AD65" s="70">
        <v>46.4</v>
      </c>
      <c r="AE65" s="75">
        <v>83.52</v>
      </c>
      <c r="AF65" s="70">
        <v>304.94</v>
      </c>
      <c r="AG65" s="70">
        <v>2500.0500000000002</v>
      </c>
      <c r="AH65" s="70">
        <v>236.05</v>
      </c>
      <c r="AI65" s="70">
        <v>50</v>
      </c>
      <c r="AJ65" s="70">
        <v>29.98</v>
      </c>
      <c r="AK65" s="70">
        <v>434.86</v>
      </c>
      <c r="AL65" s="70">
        <v>132.57</v>
      </c>
      <c r="AM65" s="70">
        <v>209.53</v>
      </c>
      <c r="AN65" s="70">
        <v>136.89902529843388</v>
      </c>
      <c r="AO65" s="71" t="s">
        <v>651</v>
      </c>
      <c r="AP65" s="71"/>
      <c r="AQ65" s="71"/>
      <c r="AR65" s="71"/>
    </row>
    <row r="66" spans="2:44" s="75" customFormat="1" hidden="1" outlineLevel="2" x14ac:dyDescent="0.2">
      <c r="B66" s="70" t="s">
        <v>566</v>
      </c>
      <c r="C66" s="70" t="s">
        <v>506</v>
      </c>
      <c r="D66" s="70">
        <v>15</v>
      </c>
      <c r="E66" s="70">
        <v>0</v>
      </c>
      <c r="F66" s="70">
        <v>166.67</v>
      </c>
      <c r="G66" s="70">
        <v>177.03</v>
      </c>
      <c r="H66" s="70">
        <v>2500.0500000000002</v>
      </c>
      <c r="I66" s="70">
        <v>0</v>
      </c>
      <c r="J66" s="70">
        <v>0</v>
      </c>
      <c r="K66" s="70">
        <v>2500.0500000000002</v>
      </c>
      <c r="L66" s="70">
        <v>0</v>
      </c>
      <c r="M66" s="70">
        <v>-9.6199999999999992</v>
      </c>
      <c r="N66" s="70">
        <v>63.07</v>
      </c>
      <c r="O66" s="70">
        <v>0</v>
      </c>
      <c r="P66" s="70">
        <v>0</v>
      </c>
      <c r="Q66" s="70"/>
      <c r="R66" s="70">
        <v>0</v>
      </c>
      <c r="S66" s="70">
        <v>0</v>
      </c>
      <c r="T66" s="70">
        <v>0</v>
      </c>
      <c r="U66" s="70">
        <v>0</v>
      </c>
      <c r="V66" s="70">
        <v>53.45</v>
      </c>
      <c r="W66" s="70">
        <v>2446.6</v>
      </c>
      <c r="X66" s="70">
        <v>16.600000000000001</v>
      </c>
      <c r="Y66" s="70">
        <v>29.87</v>
      </c>
      <c r="Z66" s="70">
        <v>16.600000000000001</v>
      </c>
      <c r="AA66" s="80">
        <v>-160.30000000000001</v>
      </c>
      <c r="AB66" s="70">
        <v>150.66999999999999</v>
      </c>
      <c r="AD66" s="70">
        <v>46.47</v>
      </c>
      <c r="AE66" s="75">
        <v>83.65</v>
      </c>
      <c r="AF66" s="75">
        <v>305.01</v>
      </c>
      <c r="AG66" s="75">
        <v>2500.0500000000002</v>
      </c>
      <c r="AH66" s="75">
        <v>236.13</v>
      </c>
      <c r="AI66" s="75">
        <v>50</v>
      </c>
      <c r="AJ66" s="70">
        <v>30.02</v>
      </c>
      <c r="AK66" s="70">
        <v>435.13</v>
      </c>
      <c r="AL66" s="70">
        <v>132.77000000000001</v>
      </c>
      <c r="AM66" s="70">
        <v>209.57000000000002</v>
      </c>
      <c r="AN66" s="70">
        <v>136.89902529843388</v>
      </c>
      <c r="AO66" s="71" t="s">
        <v>651</v>
      </c>
      <c r="AP66" s="71"/>
      <c r="AQ66" s="71"/>
      <c r="AR66" s="71"/>
    </row>
    <row r="67" spans="2:44" s="75" customFormat="1" hidden="1" outlineLevel="2" x14ac:dyDescent="0.2">
      <c r="B67" s="70" t="s">
        <v>568</v>
      </c>
      <c r="C67" s="70" t="s">
        <v>567</v>
      </c>
      <c r="D67" s="70">
        <v>15</v>
      </c>
      <c r="E67" s="70">
        <v>0</v>
      </c>
      <c r="F67" s="70">
        <v>200</v>
      </c>
      <c r="G67" s="70">
        <v>209.04</v>
      </c>
      <c r="H67" s="70">
        <v>3000</v>
      </c>
      <c r="I67" s="70">
        <v>0</v>
      </c>
      <c r="J67" s="70">
        <v>0</v>
      </c>
      <c r="K67" s="70">
        <v>3000</v>
      </c>
      <c r="L67" s="70">
        <v>59.69</v>
      </c>
      <c r="M67" s="70">
        <v>0</v>
      </c>
      <c r="N67" s="70">
        <v>74.48</v>
      </c>
      <c r="O67" s="70">
        <v>0</v>
      </c>
      <c r="P67" s="70">
        <v>0</v>
      </c>
      <c r="Q67" s="70"/>
      <c r="R67" s="70">
        <v>0</v>
      </c>
      <c r="S67" s="70">
        <v>0</v>
      </c>
      <c r="T67" s="70">
        <v>0</v>
      </c>
      <c r="U67" s="80">
        <v>0.03</v>
      </c>
      <c r="V67" s="70">
        <v>134.19999999999999</v>
      </c>
      <c r="W67" s="70">
        <v>2865.8</v>
      </c>
      <c r="X67" s="70">
        <v>19.600000000000001</v>
      </c>
      <c r="Y67" s="70">
        <v>35.28</v>
      </c>
      <c r="Z67" s="70">
        <v>19.600000000000001</v>
      </c>
      <c r="AA67" s="80">
        <v>-145.38</v>
      </c>
      <c r="AB67" s="70">
        <v>205.07</v>
      </c>
      <c r="AD67" s="70">
        <v>54.87</v>
      </c>
      <c r="AE67" s="75">
        <v>98.77</v>
      </c>
      <c r="AF67" s="75">
        <v>313.41000000000003</v>
      </c>
      <c r="AG67" s="75">
        <v>3000</v>
      </c>
      <c r="AH67" s="75">
        <v>245.73000000000002</v>
      </c>
      <c r="AI67" s="75">
        <v>60</v>
      </c>
      <c r="AJ67" s="70">
        <v>35.450000000000003</v>
      </c>
      <c r="AK67" s="70">
        <v>467.05</v>
      </c>
      <c r="AL67" s="70">
        <v>156.78</v>
      </c>
      <c r="AM67" s="70">
        <v>214.38</v>
      </c>
      <c r="AN67" s="70">
        <v>164.27554484722373</v>
      </c>
      <c r="AO67" s="71" t="s">
        <v>651</v>
      </c>
      <c r="AP67" s="71"/>
      <c r="AQ67" s="71"/>
      <c r="AR67" s="71"/>
    </row>
    <row r="68" spans="2:44" s="75" customFormat="1" hidden="1" outlineLevel="2" x14ac:dyDescent="0.2">
      <c r="B68" s="70" t="s">
        <v>572</v>
      </c>
      <c r="C68" s="70" t="s">
        <v>573</v>
      </c>
      <c r="D68" s="70">
        <v>15</v>
      </c>
      <c r="E68" s="70">
        <v>0</v>
      </c>
      <c r="F68" s="70">
        <v>166.67</v>
      </c>
      <c r="G68" s="70">
        <v>175.8</v>
      </c>
      <c r="H68" s="70">
        <v>2500.0500000000002</v>
      </c>
      <c r="I68" s="70">
        <v>0</v>
      </c>
      <c r="J68" s="70">
        <v>0</v>
      </c>
      <c r="K68" s="70">
        <v>2500.0500000000002</v>
      </c>
      <c r="L68" s="70">
        <v>0</v>
      </c>
      <c r="M68" s="70">
        <v>-9.6199999999999992</v>
      </c>
      <c r="N68" s="70">
        <v>62.63</v>
      </c>
      <c r="O68" s="70">
        <v>0</v>
      </c>
      <c r="P68" s="70">
        <v>0</v>
      </c>
      <c r="Q68" s="70"/>
      <c r="R68" s="70">
        <v>0</v>
      </c>
      <c r="S68" s="70">
        <v>0</v>
      </c>
      <c r="T68" s="70">
        <v>0</v>
      </c>
      <c r="U68" s="80">
        <v>0.04</v>
      </c>
      <c r="V68" s="70">
        <v>53.05</v>
      </c>
      <c r="W68" s="70">
        <v>2447</v>
      </c>
      <c r="X68" s="70">
        <v>16.48</v>
      </c>
      <c r="Y68" s="70">
        <v>29.67</v>
      </c>
      <c r="Z68" s="70">
        <v>16.48</v>
      </c>
      <c r="AA68" s="80">
        <v>-160.30000000000001</v>
      </c>
      <c r="AB68" s="70">
        <v>150.66999999999999</v>
      </c>
      <c r="AD68" s="70">
        <v>46.15</v>
      </c>
      <c r="AE68" s="75">
        <v>83.07</v>
      </c>
      <c r="AF68" s="75">
        <v>304.69</v>
      </c>
      <c r="AG68" s="75">
        <v>2500.0500000000002</v>
      </c>
      <c r="AH68" s="75">
        <v>235.76000000000002</v>
      </c>
      <c r="AI68" s="75">
        <v>50</v>
      </c>
      <c r="AJ68" s="70">
        <v>29.82</v>
      </c>
      <c r="AK68" s="70">
        <v>433.91</v>
      </c>
      <c r="AL68" s="70">
        <v>131.85</v>
      </c>
      <c r="AM68" s="70">
        <v>209.39000000000001</v>
      </c>
      <c r="AN68" s="70">
        <v>136.89902529843388</v>
      </c>
      <c r="AO68" s="71" t="s">
        <v>651</v>
      </c>
      <c r="AP68" s="71"/>
      <c r="AQ68" s="71"/>
      <c r="AR68" s="71"/>
    </row>
    <row r="69" spans="2:44" s="75" customFormat="1" hidden="1" outlineLevel="2" x14ac:dyDescent="0.2">
      <c r="B69" s="70" t="s">
        <v>598</v>
      </c>
      <c r="C69" s="70" t="s">
        <v>599</v>
      </c>
      <c r="D69" s="70">
        <v>15</v>
      </c>
      <c r="E69" s="70">
        <v>0</v>
      </c>
      <c r="F69" s="70">
        <v>166.66</v>
      </c>
      <c r="G69" s="70">
        <v>174.19</v>
      </c>
      <c r="H69" s="70">
        <v>2499.9</v>
      </c>
      <c r="I69" s="70">
        <v>0</v>
      </c>
      <c r="J69" s="70">
        <v>0</v>
      </c>
      <c r="K69" s="70">
        <v>2499.9</v>
      </c>
      <c r="L69" s="70">
        <v>0</v>
      </c>
      <c r="M69" s="70">
        <v>-9.64</v>
      </c>
      <c r="N69" s="70">
        <v>62.06</v>
      </c>
      <c r="O69" s="70">
        <v>412.42</v>
      </c>
      <c r="P69" s="70">
        <v>0</v>
      </c>
      <c r="Q69" s="70"/>
      <c r="R69" s="70">
        <v>0</v>
      </c>
      <c r="S69" s="70">
        <v>0</v>
      </c>
      <c r="T69" s="70">
        <v>0</v>
      </c>
      <c r="U69" s="70">
        <v>-0.14000000000000001</v>
      </c>
      <c r="V69" s="70">
        <v>464.7</v>
      </c>
      <c r="W69" s="70">
        <v>2035.2</v>
      </c>
      <c r="X69" s="70">
        <v>16.329999999999998</v>
      </c>
      <c r="Y69" s="70">
        <v>29.4</v>
      </c>
      <c r="Z69" s="70">
        <v>16.329999999999998</v>
      </c>
      <c r="AA69" s="80">
        <v>-160.30000000000001</v>
      </c>
      <c r="AB69" s="70">
        <v>150.66</v>
      </c>
      <c r="AD69" s="70">
        <v>45.73</v>
      </c>
      <c r="AE69" s="75">
        <v>82.31</v>
      </c>
      <c r="AF69" s="75">
        <v>304.27</v>
      </c>
      <c r="AG69" s="75">
        <v>2499.9</v>
      </c>
      <c r="AH69" s="75">
        <v>235.28</v>
      </c>
      <c r="AI69" s="75">
        <v>50</v>
      </c>
      <c r="AJ69" s="70">
        <v>29.54</v>
      </c>
      <c r="AK69" s="70">
        <v>432.31</v>
      </c>
      <c r="AL69" s="70">
        <v>130.65</v>
      </c>
      <c r="AM69" s="70">
        <v>209.15</v>
      </c>
      <c r="AN69" s="70">
        <v>136.89081152119152</v>
      </c>
      <c r="AO69" s="71" t="s">
        <v>651</v>
      </c>
      <c r="AP69" s="71"/>
      <c r="AQ69" s="71"/>
      <c r="AR69" s="71"/>
    </row>
    <row r="70" spans="2:44" s="75" customFormat="1" hidden="1" outlineLevel="2" x14ac:dyDescent="0.2">
      <c r="B70" s="70" t="s">
        <v>604</v>
      </c>
      <c r="C70" s="70" t="s">
        <v>605</v>
      </c>
      <c r="D70" s="70">
        <v>15</v>
      </c>
      <c r="E70" s="70">
        <v>0</v>
      </c>
      <c r="F70" s="70">
        <v>200</v>
      </c>
      <c r="G70" s="70">
        <v>212.11</v>
      </c>
      <c r="H70" s="70">
        <v>3000</v>
      </c>
      <c r="I70" s="70">
        <v>0</v>
      </c>
      <c r="J70" s="70">
        <v>0</v>
      </c>
      <c r="K70" s="70">
        <v>3000</v>
      </c>
      <c r="L70" s="70">
        <v>59.69</v>
      </c>
      <c r="M70" s="70">
        <v>0</v>
      </c>
      <c r="N70" s="70">
        <v>75.56</v>
      </c>
      <c r="O70" s="70">
        <v>0</v>
      </c>
      <c r="P70" s="70">
        <v>0</v>
      </c>
      <c r="Q70" s="70"/>
      <c r="R70" s="70">
        <v>581.73</v>
      </c>
      <c r="S70" s="70">
        <v>0</v>
      </c>
      <c r="T70" s="70">
        <v>0</v>
      </c>
      <c r="U70" s="70">
        <v>0.02</v>
      </c>
      <c r="V70" s="70">
        <v>717</v>
      </c>
      <c r="W70" s="70">
        <v>2283</v>
      </c>
      <c r="X70" s="70">
        <v>19.89</v>
      </c>
      <c r="Y70" s="70">
        <v>35.79</v>
      </c>
      <c r="Z70" s="70">
        <v>19.88</v>
      </c>
      <c r="AA70" s="80">
        <v>-145.38</v>
      </c>
      <c r="AB70" s="70">
        <v>205.07</v>
      </c>
      <c r="AD70" s="70">
        <v>55.68</v>
      </c>
      <c r="AE70" s="75">
        <v>100.22</v>
      </c>
      <c r="AF70" s="75">
        <v>314.22000000000003</v>
      </c>
      <c r="AG70" s="75">
        <v>3000</v>
      </c>
      <c r="AH70" s="75">
        <v>246.65</v>
      </c>
      <c r="AI70" s="75">
        <v>60</v>
      </c>
      <c r="AJ70" s="70">
        <v>35.97</v>
      </c>
      <c r="AK70" s="70">
        <v>470.12</v>
      </c>
      <c r="AL70" s="70">
        <v>159.08000000000001</v>
      </c>
      <c r="AM70" s="70">
        <v>214.84</v>
      </c>
      <c r="AN70" s="70">
        <v>164.27554484722373</v>
      </c>
      <c r="AO70" s="71" t="s">
        <v>651</v>
      </c>
      <c r="AP70" s="71"/>
      <c r="AQ70" s="71"/>
      <c r="AR70" s="71"/>
    </row>
    <row r="71" spans="2:44" s="75" customFormat="1" hidden="1" outlineLevel="2" x14ac:dyDescent="0.2">
      <c r="B71" s="70" t="s">
        <v>608</v>
      </c>
      <c r="C71" s="70" t="s">
        <v>609</v>
      </c>
      <c r="D71" s="70">
        <v>15</v>
      </c>
      <c r="E71" s="70">
        <v>0</v>
      </c>
      <c r="F71" s="70">
        <v>256.67</v>
      </c>
      <c r="G71" s="70">
        <v>272.20999999999998</v>
      </c>
      <c r="H71" s="70">
        <v>3850.05</v>
      </c>
      <c r="I71" s="70">
        <v>0</v>
      </c>
      <c r="J71" s="70">
        <v>0</v>
      </c>
      <c r="K71" s="70">
        <v>3850.05</v>
      </c>
      <c r="L71" s="70">
        <v>297.55</v>
      </c>
      <c r="M71" s="70">
        <v>0</v>
      </c>
      <c r="N71" s="70">
        <v>98.1</v>
      </c>
      <c r="O71" s="70">
        <v>0</v>
      </c>
      <c r="P71" s="70">
        <v>0</v>
      </c>
      <c r="Q71" s="70"/>
      <c r="R71" s="70">
        <v>0</v>
      </c>
      <c r="S71" s="70">
        <v>616.65</v>
      </c>
      <c r="T71" s="70">
        <v>0</v>
      </c>
      <c r="U71" s="70">
        <v>0.15</v>
      </c>
      <c r="V71" s="70">
        <v>1012.45</v>
      </c>
      <c r="W71" s="70">
        <v>2837.6</v>
      </c>
      <c r="X71" s="70">
        <v>25.52</v>
      </c>
      <c r="Y71" s="70">
        <v>45.94</v>
      </c>
      <c r="Z71" s="70">
        <v>26.64</v>
      </c>
      <c r="AA71" s="80">
        <v>0</v>
      </c>
      <c r="AB71" s="70">
        <v>297.55</v>
      </c>
      <c r="AD71" s="70">
        <v>71.459999999999994</v>
      </c>
      <c r="AE71" s="75">
        <v>128.62</v>
      </c>
      <c r="AF71" s="75">
        <v>333.08</v>
      </c>
      <c r="AG71" s="75">
        <v>3850.05</v>
      </c>
      <c r="AH71" s="75">
        <v>264.68</v>
      </c>
      <c r="AI71" s="75">
        <v>77</v>
      </c>
      <c r="AJ71" s="70">
        <v>46.17</v>
      </c>
      <c r="AK71" s="70">
        <v>533.16</v>
      </c>
      <c r="AL71" s="70">
        <v>204.16</v>
      </c>
      <c r="AM71" s="70">
        <v>223.85000000000002</v>
      </c>
      <c r="AN71" s="70">
        <v>210.8230204796846</v>
      </c>
      <c r="AO71" s="71" t="s">
        <v>651</v>
      </c>
      <c r="AP71" s="71"/>
      <c r="AQ71" s="71"/>
      <c r="AR71" s="71"/>
    </row>
    <row r="72" spans="2:44" s="75" customFormat="1" hidden="1" outlineLevel="2" x14ac:dyDescent="0.2">
      <c r="B72" s="63" t="s">
        <v>612</v>
      </c>
      <c r="C72" s="63" t="s">
        <v>613</v>
      </c>
      <c r="D72" s="68">
        <v>15</v>
      </c>
      <c r="E72" s="68">
        <v>0</v>
      </c>
      <c r="F72" s="68">
        <v>166.67</v>
      </c>
      <c r="G72" s="68">
        <v>174.2</v>
      </c>
      <c r="H72" s="68">
        <v>2500.0500000000002</v>
      </c>
      <c r="I72" s="68">
        <v>0</v>
      </c>
      <c r="J72" s="68">
        <v>0</v>
      </c>
      <c r="K72" s="68">
        <v>2500.0500000000002</v>
      </c>
      <c r="L72" s="68">
        <v>0</v>
      </c>
      <c r="M72" s="68">
        <v>-9.6199999999999992</v>
      </c>
      <c r="N72" s="68">
        <v>62.06</v>
      </c>
      <c r="O72" s="68">
        <v>0</v>
      </c>
      <c r="P72" s="68">
        <v>0</v>
      </c>
      <c r="Q72" s="68"/>
      <c r="R72" s="68">
        <v>0</v>
      </c>
      <c r="S72" s="68">
        <v>0</v>
      </c>
      <c r="T72" s="68">
        <v>0</v>
      </c>
      <c r="U72" s="68">
        <v>0.01</v>
      </c>
      <c r="V72" s="68">
        <v>52.45</v>
      </c>
      <c r="W72" s="68">
        <v>2447.6</v>
      </c>
      <c r="X72" s="68">
        <v>16.329999999999998</v>
      </c>
      <c r="Y72" s="68">
        <v>29.4</v>
      </c>
      <c r="Z72" s="68">
        <v>16.329999999999998</v>
      </c>
      <c r="AA72" s="79">
        <v>-160.30000000000001</v>
      </c>
      <c r="AB72" s="68">
        <v>150.66999999999999</v>
      </c>
      <c r="AC72" s="71"/>
      <c r="AD72" s="68">
        <v>45.73</v>
      </c>
      <c r="AE72" s="71">
        <v>82.31</v>
      </c>
      <c r="AF72" s="71">
        <v>304.27</v>
      </c>
      <c r="AG72" s="71">
        <v>2500.0500000000002</v>
      </c>
      <c r="AH72" s="71">
        <v>235.28</v>
      </c>
      <c r="AI72" s="71">
        <v>50</v>
      </c>
      <c r="AJ72" s="68">
        <v>29.54</v>
      </c>
      <c r="AK72" s="68">
        <v>432.31</v>
      </c>
      <c r="AL72" s="68">
        <v>130.65</v>
      </c>
      <c r="AM72" s="68">
        <v>209.15</v>
      </c>
      <c r="AN72" s="68">
        <v>136.89902529843388</v>
      </c>
      <c r="AO72" s="71" t="s">
        <v>651</v>
      </c>
      <c r="AP72" s="71"/>
      <c r="AQ72" s="71"/>
      <c r="AR72" s="71"/>
    </row>
    <row r="73" spans="2:44" s="75" customFormat="1" hidden="1" outlineLevel="2" x14ac:dyDescent="0.2">
      <c r="B73" s="63" t="s">
        <v>618</v>
      </c>
      <c r="C73" s="63" t="s">
        <v>619</v>
      </c>
      <c r="D73" s="68">
        <v>15</v>
      </c>
      <c r="E73" s="68">
        <v>0</v>
      </c>
      <c r="F73" s="68">
        <v>233.33</v>
      </c>
      <c r="G73" s="68">
        <v>243.88</v>
      </c>
      <c r="H73" s="68">
        <v>3499.95</v>
      </c>
      <c r="I73" s="68">
        <v>0</v>
      </c>
      <c r="J73" s="68">
        <v>0</v>
      </c>
      <c r="K73" s="68">
        <v>3499.95</v>
      </c>
      <c r="L73" s="68">
        <v>134.36000000000001</v>
      </c>
      <c r="M73" s="68">
        <v>0</v>
      </c>
      <c r="N73" s="68">
        <v>86.88</v>
      </c>
      <c r="O73" s="68">
        <v>0</v>
      </c>
      <c r="P73" s="68">
        <v>0</v>
      </c>
      <c r="Q73" s="68"/>
      <c r="R73" s="68">
        <v>0</v>
      </c>
      <c r="S73" s="68">
        <v>0</v>
      </c>
      <c r="T73" s="68">
        <v>0</v>
      </c>
      <c r="U73" s="68">
        <v>-0.09</v>
      </c>
      <c r="V73" s="68">
        <v>221.15</v>
      </c>
      <c r="W73" s="68">
        <v>3278.8</v>
      </c>
      <c r="X73" s="68">
        <v>22.86</v>
      </c>
      <c r="Y73" s="68">
        <v>41.15</v>
      </c>
      <c r="Z73" s="68">
        <v>22.87</v>
      </c>
      <c r="AA73" s="79">
        <v>-125.1</v>
      </c>
      <c r="AB73" s="68">
        <v>259.45999999999998</v>
      </c>
      <c r="AC73" s="71"/>
      <c r="AD73" s="68">
        <v>64.02</v>
      </c>
      <c r="AE73" s="71">
        <v>115.23</v>
      </c>
      <c r="AF73" s="71">
        <v>322.56</v>
      </c>
      <c r="AG73" s="71">
        <v>3499.95</v>
      </c>
      <c r="AH73" s="71">
        <v>256.18</v>
      </c>
      <c r="AI73" s="71">
        <v>70</v>
      </c>
      <c r="AJ73" s="68">
        <v>41.36</v>
      </c>
      <c r="AK73" s="68">
        <v>501.81</v>
      </c>
      <c r="AL73" s="68">
        <v>182.91</v>
      </c>
      <c r="AM73" s="68">
        <v>219.60000000000002</v>
      </c>
      <c r="AN73" s="68">
        <v>191.65206439601357</v>
      </c>
      <c r="AO73" s="71" t="s">
        <v>651</v>
      </c>
      <c r="AP73" s="71"/>
      <c r="AQ73" s="71"/>
      <c r="AR73" s="71"/>
    </row>
    <row r="74" spans="2:44" s="75" customFormat="1" hidden="1" outlineLevel="2" x14ac:dyDescent="0.2">
      <c r="B74" s="63" t="s">
        <v>622</v>
      </c>
      <c r="C74" s="63" t="s">
        <v>623</v>
      </c>
      <c r="D74" s="68">
        <v>15</v>
      </c>
      <c r="E74" s="68">
        <v>0</v>
      </c>
      <c r="F74" s="68">
        <v>233.33</v>
      </c>
      <c r="G74" s="68">
        <v>247.46</v>
      </c>
      <c r="H74" s="68">
        <v>3499.95</v>
      </c>
      <c r="I74" s="68">
        <v>0</v>
      </c>
      <c r="J74" s="68">
        <v>0</v>
      </c>
      <c r="K74" s="68">
        <v>3499.95</v>
      </c>
      <c r="L74" s="68">
        <v>134.36000000000001</v>
      </c>
      <c r="M74" s="68">
        <v>0</v>
      </c>
      <c r="N74" s="68">
        <v>88.16</v>
      </c>
      <c r="O74" s="68">
        <v>1599.02</v>
      </c>
      <c r="P74" s="68">
        <v>0</v>
      </c>
      <c r="Q74" s="68"/>
      <c r="R74" s="68">
        <v>0</v>
      </c>
      <c r="S74" s="68">
        <v>0</v>
      </c>
      <c r="T74" s="68">
        <v>0</v>
      </c>
      <c r="U74" s="68">
        <v>0.01</v>
      </c>
      <c r="V74" s="68">
        <v>1821.55</v>
      </c>
      <c r="W74" s="68">
        <v>1678.4</v>
      </c>
      <c r="X74" s="68">
        <v>23.2</v>
      </c>
      <c r="Y74" s="68">
        <v>41.76</v>
      </c>
      <c r="Z74" s="68">
        <v>23.2</v>
      </c>
      <c r="AA74" s="79">
        <v>-125.1</v>
      </c>
      <c r="AB74" s="68">
        <v>259.45999999999998</v>
      </c>
      <c r="AC74" s="71"/>
      <c r="AD74" s="68">
        <v>64.959999999999994</v>
      </c>
      <c r="AE74" s="71">
        <v>116.92</v>
      </c>
      <c r="AF74" s="71">
        <v>323.5</v>
      </c>
      <c r="AG74" s="71">
        <v>3499.95</v>
      </c>
      <c r="AH74" s="71">
        <v>257.26</v>
      </c>
      <c r="AI74" s="71">
        <v>70</v>
      </c>
      <c r="AJ74" s="68">
        <v>41.97</v>
      </c>
      <c r="AK74" s="68">
        <v>505.38</v>
      </c>
      <c r="AL74" s="68">
        <v>185.6</v>
      </c>
      <c r="AM74" s="68">
        <v>220.14000000000001</v>
      </c>
      <c r="AN74" s="68">
        <v>191.65206439601357</v>
      </c>
      <c r="AO74" s="71" t="s">
        <v>651</v>
      </c>
      <c r="AP74" s="71"/>
      <c r="AQ74" s="71"/>
      <c r="AR74" s="71"/>
    </row>
    <row r="75" spans="2:44" s="75" customFormat="1" hidden="1" outlineLevel="2" x14ac:dyDescent="0.2">
      <c r="B75" s="63" t="s">
        <v>624</v>
      </c>
      <c r="C75" s="63" t="s">
        <v>625</v>
      </c>
      <c r="D75" s="68">
        <v>15</v>
      </c>
      <c r="E75" s="68">
        <v>0</v>
      </c>
      <c r="F75" s="68">
        <v>210</v>
      </c>
      <c r="G75" s="68">
        <v>222.72</v>
      </c>
      <c r="H75" s="68">
        <v>3150</v>
      </c>
      <c r="I75" s="68">
        <v>0</v>
      </c>
      <c r="J75" s="68">
        <v>0</v>
      </c>
      <c r="K75" s="68">
        <v>3150</v>
      </c>
      <c r="L75" s="68">
        <v>96.29</v>
      </c>
      <c r="M75" s="68">
        <v>0</v>
      </c>
      <c r="N75" s="68">
        <v>79.34</v>
      </c>
      <c r="O75" s="68">
        <v>0</v>
      </c>
      <c r="P75" s="68">
        <v>0</v>
      </c>
      <c r="Q75" s="68"/>
      <c r="R75" s="68">
        <v>0</v>
      </c>
      <c r="S75" s="68">
        <v>0</v>
      </c>
      <c r="T75" s="68">
        <v>0</v>
      </c>
      <c r="U75" s="68">
        <v>-0.03</v>
      </c>
      <c r="V75" s="68">
        <v>175.6</v>
      </c>
      <c r="W75" s="68">
        <v>2974.4</v>
      </c>
      <c r="X75" s="68">
        <v>20.88</v>
      </c>
      <c r="Y75" s="68">
        <v>37.58</v>
      </c>
      <c r="Z75" s="68">
        <v>20.88</v>
      </c>
      <c r="AA75" s="79">
        <v>-125.1</v>
      </c>
      <c r="AB75" s="68">
        <v>221.39</v>
      </c>
      <c r="AC75" s="71"/>
      <c r="AD75" s="68">
        <v>58.46</v>
      </c>
      <c r="AE75" s="71">
        <v>105.24</v>
      </c>
      <c r="AF75" s="71">
        <v>317.01</v>
      </c>
      <c r="AG75" s="71">
        <v>3150</v>
      </c>
      <c r="AH75" s="71">
        <v>249.84</v>
      </c>
      <c r="AI75" s="71">
        <v>63</v>
      </c>
      <c r="AJ75" s="68">
        <v>37.770000000000003</v>
      </c>
      <c r="AK75" s="68">
        <v>480.71</v>
      </c>
      <c r="AL75" s="68">
        <v>167.04</v>
      </c>
      <c r="AM75" s="68">
        <v>216.43</v>
      </c>
      <c r="AN75" s="68">
        <v>172.48932208958493</v>
      </c>
      <c r="AO75" s="71" t="s">
        <v>651</v>
      </c>
      <c r="AP75" s="71"/>
      <c r="AQ75" s="71"/>
      <c r="AR75" s="71"/>
    </row>
    <row r="76" spans="2:44" s="75" customFormat="1" hidden="1" outlineLevel="2" x14ac:dyDescent="0.2">
      <c r="B76" s="63" t="s">
        <v>626</v>
      </c>
      <c r="C76" s="63" t="s">
        <v>627</v>
      </c>
      <c r="D76" s="68">
        <v>15</v>
      </c>
      <c r="E76" s="68">
        <v>0</v>
      </c>
      <c r="F76" s="68">
        <v>210</v>
      </c>
      <c r="G76" s="68">
        <v>222.72</v>
      </c>
      <c r="H76" s="68">
        <v>3150</v>
      </c>
      <c r="I76" s="68">
        <v>0</v>
      </c>
      <c r="J76" s="68">
        <v>0</v>
      </c>
      <c r="K76" s="68">
        <v>3150</v>
      </c>
      <c r="L76" s="68">
        <v>96.29</v>
      </c>
      <c r="M76" s="68">
        <v>0</v>
      </c>
      <c r="N76" s="68">
        <v>79.34</v>
      </c>
      <c r="O76" s="68">
        <v>0</v>
      </c>
      <c r="P76" s="68">
        <v>313.83</v>
      </c>
      <c r="Q76" s="68"/>
      <c r="R76" s="68">
        <v>0</v>
      </c>
      <c r="S76" s="68">
        <v>0</v>
      </c>
      <c r="T76" s="68">
        <v>0</v>
      </c>
      <c r="U76" s="68">
        <v>-0.06</v>
      </c>
      <c r="V76" s="68">
        <v>489.4</v>
      </c>
      <c r="W76" s="68">
        <v>2660.6</v>
      </c>
      <c r="X76" s="68">
        <v>20.88</v>
      </c>
      <c r="Y76" s="68">
        <v>37.58</v>
      </c>
      <c r="Z76" s="68">
        <v>20.88</v>
      </c>
      <c r="AA76" s="79">
        <v>-125.1</v>
      </c>
      <c r="AB76" s="68">
        <v>221.39</v>
      </c>
      <c r="AC76" s="71"/>
      <c r="AD76" s="68">
        <v>58.46</v>
      </c>
      <c r="AE76" s="71">
        <v>105.24</v>
      </c>
      <c r="AF76" s="71">
        <v>317.01</v>
      </c>
      <c r="AG76" s="71">
        <v>3150</v>
      </c>
      <c r="AH76" s="71">
        <v>249.84</v>
      </c>
      <c r="AI76" s="71">
        <v>63</v>
      </c>
      <c r="AJ76" s="68">
        <v>37.770000000000003</v>
      </c>
      <c r="AK76" s="68">
        <v>480.71</v>
      </c>
      <c r="AL76" s="68">
        <v>167.04</v>
      </c>
      <c r="AM76" s="68">
        <v>216.43</v>
      </c>
      <c r="AN76" s="68">
        <v>172.48932208958493</v>
      </c>
      <c r="AO76" s="71" t="s">
        <v>651</v>
      </c>
      <c r="AP76" s="71"/>
      <c r="AQ76" s="71"/>
      <c r="AR76" s="71"/>
    </row>
    <row r="77" spans="2:44" s="75" customFormat="1" hidden="1" outlineLevel="2" x14ac:dyDescent="0.2">
      <c r="B77" s="63" t="s">
        <v>628</v>
      </c>
      <c r="C77" s="63" t="s">
        <v>629</v>
      </c>
      <c r="D77" s="68">
        <v>15</v>
      </c>
      <c r="E77" s="68">
        <v>0</v>
      </c>
      <c r="F77" s="68">
        <v>210</v>
      </c>
      <c r="G77" s="68">
        <v>222.72</v>
      </c>
      <c r="H77" s="68">
        <v>3150</v>
      </c>
      <c r="I77" s="68">
        <v>0</v>
      </c>
      <c r="J77" s="68">
        <v>0</v>
      </c>
      <c r="K77" s="68">
        <v>3150</v>
      </c>
      <c r="L77" s="68">
        <v>96.29</v>
      </c>
      <c r="M77" s="68">
        <v>0</v>
      </c>
      <c r="N77" s="68">
        <v>79.34</v>
      </c>
      <c r="O77" s="68">
        <v>852.79</v>
      </c>
      <c r="P77" s="68">
        <v>0</v>
      </c>
      <c r="Q77" s="68"/>
      <c r="R77" s="68">
        <v>1782.2</v>
      </c>
      <c r="S77" s="68">
        <v>0</v>
      </c>
      <c r="T77" s="68">
        <v>0</v>
      </c>
      <c r="U77" s="68">
        <v>-0.02</v>
      </c>
      <c r="V77" s="68">
        <v>2810.6</v>
      </c>
      <c r="W77" s="68">
        <v>339.4</v>
      </c>
      <c r="X77" s="68">
        <v>20.88</v>
      </c>
      <c r="Y77" s="68">
        <v>37.58</v>
      </c>
      <c r="Z77" s="68">
        <v>20.88</v>
      </c>
      <c r="AA77" s="79">
        <v>-125.1</v>
      </c>
      <c r="AB77" s="68">
        <v>221.39</v>
      </c>
      <c r="AC77" s="71"/>
      <c r="AD77" s="68">
        <v>58.46</v>
      </c>
      <c r="AE77" s="71">
        <v>105.24</v>
      </c>
      <c r="AF77" s="71">
        <v>317.01</v>
      </c>
      <c r="AG77" s="71">
        <v>3150</v>
      </c>
      <c r="AH77" s="71">
        <v>249.84</v>
      </c>
      <c r="AI77" s="71">
        <v>63</v>
      </c>
      <c r="AJ77" s="68">
        <v>37.770000000000003</v>
      </c>
      <c r="AK77" s="68">
        <v>480.71</v>
      </c>
      <c r="AL77" s="68">
        <v>167.04</v>
      </c>
      <c r="AM77" s="68">
        <v>216.43</v>
      </c>
      <c r="AN77" s="68">
        <v>172.48932208958493</v>
      </c>
      <c r="AO77" s="71" t="s">
        <v>651</v>
      </c>
      <c r="AP77" s="71"/>
      <c r="AQ77" s="71"/>
      <c r="AR77" s="71"/>
    </row>
    <row r="78" spans="2:44" s="75" customFormat="1" hidden="1" outlineLevel="2" x14ac:dyDescent="0.2">
      <c r="B78" s="68" t="s">
        <v>630</v>
      </c>
      <c r="C78" s="68" t="s">
        <v>631</v>
      </c>
      <c r="D78" s="68">
        <v>15</v>
      </c>
      <c r="E78" s="68">
        <v>0</v>
      </c>
      <c r="F78" s="68">
        <v>210</v>
      </c>
      <c r="G78" s="68">
        <v>222.72</v>
      </c>
      <c r="H78" s="68">
        <v>3150</v>
      </c>
      <c r="I78" s="68">
        <v>0</v>
      </c>
      <c r="J78" s="68">
        <v>0</v>
      </c>
      <c r="K78" s="68">
        <v>3150</v>
      </c>
      <c r="L78" s="68">
        <v>96.29</v>
      </c>
      <c r="M78" s="68">
        <v>0</v>
      </c>
      <c r="N78" s="68">
        <v>79.34</v>
      </c>
      <c r="O78" s="68">
        <v>0</v>
      </c>
      <c r="P78" s="68">
        <v>0</v>
      </c>
      <c r="Q78" s="68"/>
      <c r="R78" s="68">
        <v>0</v>
      </c>
      <c r="S78" s="68">
        <v>0</v>
      </c>
      <c r="T78" s="68">
        <v>0</v>
      </c>
      <c r="U78" s="68">
        <v>-0.03</v>
      </c>
      <c r="V78" s="68">
        <v>175.6</v>
      </c>
      <c r="W78" s="68">
        <v>2974.4</v>
      </c>
      <c r="X78" s="68">
        <v>20.88</v>
      </c>
      <c r="Y78" s="68">
        <v>37.58</v>
      </c>
      <c r="Z78" s="68">
        <v>20.88</v>
      </c>
      <c r="AA78" s="79">
        <v>-125.1</v>
      </c>
      <c r="AB78" s="68">
        <v>221.39</v>
      </c>
      <c r="AC78" s="71"/>
      <c r="AD78" s="68">
        <v>58.46</v>
      </c>
      <c r="AE78" s="71">
        <v>105.24</v>
      </c>
      <c r="AF78" s="71">
        <v>317.01</v>
      </c>
      <c r="AG78" s="71">
        <v>3150</v>
      </c>
      <c r="AH78" s="71">
        <v>249.84</v>
      </c>
      <c r="AI78" s="71">
        <v>63</v>
      </c>
      <c r="AJ78" s="68">
        <v>37.770000000000003</v>
      </c>
      <c r="AK78" s="68">
        <v>480.71</v>
      </c>
      <c r="AL78" s="68">
        <v>167.04</v>
      </c>
      <c r="AM78" s="68">
        <v>216.43</v>
      </c>
      <c r="AN78" s="68">
        <v>172.48932208958493</v>
      </c>
      <c r="AO78" s="71" t="s">
        <v>651</v>
      </c>
      <c r="AP78" s="71"/>
      <c r="AQ78" s="71"/>
      <c r="AR78" s="71"/>
    </row>
    <row r="79" spans="2:44" s="75" customFormat="1" hidden="1" outlineLevel="2" x14ac:dyDescent="0.2">
      <c r="B79" s="70" t="s">
        <v>632</v>
      </c>
      <c r="C79" s="70" t="s">
        <v>633</v>
      </c>
      <c r="D79" s="70">
        <v>15</v>
      </c>
      <c r="E79" s="70">
        <v>0</v>
      </c>
      <c r="F79" s="70">
        <v>210</v>
      </c>
      <c r="G79" s="70">
        <v>222.72</v>
      </c>
      <c r="H79" s="70">
        <v>3150</v>
      </c>
      <c r="I79" s="70">
        <v>0</v>
      </c>
      <c r="J79" s="70">
        <v>0</v>
      </c>
      <c r="K79" s="70">
        <v>3150</v>
      </c>
      <c r="L79" s="70">
        <v>96.29</v>
      </c>
      <c r="M79" s="70">
        <v>0</v>
      </c>
      <c r="N79" s="70">
        <v>79.34</v>
      </c>
      <c r="O79" s="70">
        <v>0</v>
      </c>
      <c r="P79" s="70">
        <v>1074.28</v>
      </c>
      <c r="Q79" s="70"/>
      <c r="R79" s="70">
        <v>0</v>
      </c>
      <c r="S79" s="70">
        <v>0</v>
      </c>
      <c r="T79" s="70">
        <v>0</v>
      </c>
      <c r="U79" s="70">
        <v>-0.11</v>
      </c>
      <c r="V79" s="70">
        <v>1249.8</v>
      </c>
      <c r="W79" s="70">
        <v>1900.2</v>
      </c>
      <c r="X79" s="70">
        <v>20.88</v>
      </c>
      <c r="Y79" s="70">
        <v>37.58</v>
      </c>
      <c r="Z79" s="70">
        <v>20.88</v>
      </c>
      <c r="AA79" s="80">
        <v>-125.1</v>
      </c>
      <c r="AB79" s="70">
        <v>221.39</v>
      </c>
      <c r="AD79" s="70">
        <v>58.46</v>
      </c>
      <c r="AE79" s="75">
        <v>105.24</v>
      </c>
      <c r="AF79" s="75">
        <v>317.01</v>
      </c>
      <c r="AG79" s="75">
        <v>3150</v>
      </c>
      <c r="AH79" s="75">
        <v>249.84</v>
      </c>
      <c r="AI79" s="75">
        <v>63</v>
      </c>
      <c r="AJ79" s="70">
        <v>37.770000000000003</v>
      </c>
      <c r="AK79" s="70">
        <v>480.71</v>
      </c>
      <c r="AL79" s="70">
        <v>167.04</v>
      </c>
      <c r="AM79" s="70">
        <v>216.43</v>
      </c>
      <c r="AN79" s="70">
        <v>172.48932208958493</v>
      </c>
      <c r="AO79" s="71" t="s">
        <v>651</v>
      </c>
      <c r="AP79" s="71"/>
      <c r="AQ79" s="71"/>
      <c r="AR79" s="71"/>
    </row>
    <row r="80" spans="2:44" s="75" customFormat="1" hidden="1" outlineLevel="2" x14ac:dyDescent="0.2">
      <c r="B80" s="68" t="s">
        <v>636</v>
      </c>
      <c r="C80" s="68" t="s">
        <v>637</v>
      </c>
      <c r="D80" s="68">
        <v>15</v>
      </c>
      <c r="E80" s="68">
        <v>0</v>
      </c>
      <c r="F80" s="68">
        <v>200</v>
      </c>
      <c r="G80" s="68">
        <v>209.04</v>
      </c>
      <c r="H80" s="68">
        <v>3000</v>
      </c>
      <c r="I80" s="68">
        <v>0</v>
      </c>
      <c r="J80" s="68">
        <v>0</v>
      </c>
      <c r="K80" s="68">
        <v>3000</v>
      </c>
      <c r="L80" s="68">
        <v>59.69</v>
      </c>
      <c r="M80" s="68">
        <v>0</v>
      </c>
      <c r="N80" s="68">
        <v>74.48</v>
      </c>
      <c r="O80" s="68">
        <v>0</v>
      </c>
      <c r="P80" s="68">
        <v>1718.44</v>
      </c>
      <c r="Q80" s="68"/>
      <c r="R80" s="68">
        <v>0</v>
      </c>
      <c r="S80" s="68">
        <v>0</v>
      </c>
      <c r="T80" s="68">
        <v>0</v>
      </c>
      <c r="U80" s="68">
        <v>-0.01</v>
      </c>
      <c r="V80" s="68">
        <v>1852.6</v>
      </c>
      <c r="W80" s="68">
        <v>1147.4000000000001</v>
      </c>
      <c r="X80" s="68">
        <v>19.600000000000001</v>
      </c>
      <c r="Y80" s="68">
        <v>35.28</v>
      </c>
      <c r="Z80" s="68">
        <v>19.600000000000001</v>
      </c>
      <c r="AA80" s="79">
        <v>-145.38</v>
      </c>
      <c r="AB80" s="68">
        <v>205.07</v>
      </c>
      <c r="AC80" s="71"/>
      <c r="AD80" s="68">
        <v>54.87</v>
      </c>
      <c r="AE80" s="71">
        <v>98.77</v>
      </c>
      <c r="AF80" s="71">
        <v>313.41000000000003</v>
      </c>
      <c r="AG80" s="71">
        <v>3000</v>
      </c>
      <c r="AH80" s="71">
        <v>245.73000000000002</v>
      </c>
      <c r="AI80" s="71">
        <v>60</v>
      </c>
      <c r="AJ80" s="68">
        <v>35.450000000000003</v>
      </c>
      <c r="AK80" s="68">
        <v>467.05</v>
      </c>
      <c r="AL80" s="68">
        <v>156.78</v>
      </c>
      <c r="AM80" s="68">
        <v>214.38</v>
      </c>
      <c r="AN80" s="68">
        <v>164.27554484722373</v>
      </c>
      <c r="AO80" s="71" t="s">
        <v>651</v>
      </c>
      <c r="AP80" s="71"/>
      <c r="AQ80" s="71"/>
      <c r="AR80" s="71"/>
    </row>
    <row r="81" spans="1:44" s="75" customFormat="1" hidden="1" outlineLevel="2" x14ac:dyDescent="0.2">
      <c r="B81" s="68" t="s">
        <v>638</v>
      </c>
      <c r="C81" s="68" t="s">
        <v>639</v>
      </c>
      <c r="D81" s="68">
        <v>15</v>
      </c>
      <c r="E81" s="68">
        <v>0</v>
      </c>
      <c r="F81" s="68">
        <v>200</v>
      </c>
      <c r="G81" s="68">
        <v>209.04</v>
      </c>
      <c r="H81" s="68">
        <v>3000</v>
      </c>
      <c r="I81" s="68">
        <v>0</v>
      </c>
      <c r="J81" s="68">
        <v>0</v>
      </c>
      <c r="K81" s="68">
        <v>3000</v>
      </c>
      <c r="L81" s="68">
        <v>59.69</v>
      </c>
      <c r="M81" s="68">
        <v>0</v>
      </c>
      <c r="N81" s="68">
        <v>74.48</v>
      </c>
      <c r="O81" s="68">
        <v>0</v>
      </c>
      <c r="P81" s="68">
        <v>0</v>
      </c>
      <c r="Q81" s="68"/>
      <c r="R81" s="68">
        <v>0</v>
      </c>
      <c r="S81" s="68">
        <v>0</v>
      </c>
      <c r="T81" s="68">
        <v>0</v>
      </c>
      <c r="U81" s="68">
        <v>0.03</v>
      </c>
      <c r="V81" s="68">
        <v>134.19999999999999</v>
      </c>
      <c r="W81" s="68">
        <v>2865.8</v>
      </c>
      <c r="X81" s="68">
        <v>19.600000000000001</v>
      </c>
      <c r="Y81" s="68">
        <v>35.28</v>
      </c>
      <c r="Z81" s="68">
        <v>19.600000000000001</v>
      </c>
      <c r="AA81" s="79">
        <v>-145.38</v>
      </c>
      <c r="AB81" s="68">
        <v>205.07</v>
      </c>
      <c r="AC81" s="71"/>
      <c r="AD81" s="68">
        <v>54.87</v>
      </c>
      <c r="AE81" s="71">
        <v>98.77</v>
      </c>
      <c r="AF81" s="71">
        <v>313.41000000000003</v>
      </c>
      <c r="AG81" s="71">
        <v>3000</v>
      </c>
      <c r="AH81" s="71">
        <v>245.73000000000002</v>
      </c>
      <c r="AI81" s="71">
        <v>60</v>
      </c>
      <c r="AJ81" s="68">
        <v>35.450000000000003</v>
      </c>
      <c r="AK81" s="68">
        <v>467.05</v>
      </c>
      <c r="AL81" s="68">
        <v>156.78</v>
      </c>
      <c r="AM81" s="68">
        <v>214.38</v>
      </c>
      <c r="AN81" s="68">
        <v>164.27554484722373</v>
      </c>
      <c r="AO81" s="71" t="s">
        <v>651</v>
      </c>
      <c r="AP81" s="71"/>
      <c r="AQ81" s="71"/>
      <c r="AR81" s="71"/>
    </row>
    <row r="82" spans="1:44" s="75" customFormat="1" hidden="1" outlineLevel="2" x14ac:dyDescent="0.2">
      <c r="B82" s="68" t="s">
        <v>640</v>
      </c>
      <c r="C82" s="68" t="s">
        <v>641</v>
      </c>
      <c r="D82" s="68">
        <v>15</v>
      </c>
      <c r="E82" s="68">
        <v>0</v>
      </c>
      <c r="F82" s="68">
        <v>200</v>
      </c>
      <c r="G82" s="68">
        <v>209.04</v>
      </c>
      <c r="H82" s="68">
        <v>3000</v>
      </c>
      <c r="I82" s="68">
        <v>0</v>
      </c>
      <c r="J82" s="68">
        <v>0</v>
      </c>
      <c r="K82" s="68">
        <v>3000</v>
      </c>
      <c r="L82" s="68">
        <v>59.69</v>
      </c>
      <c r="M82" s="68">
        <v>0</v>
      </c>
      <c r="N82" s="68">
        <v>74.48</v>
      </c>
      <c r="O82" s="68">
        <v>0</v>
      </c>
      <c r="P82" s="68">
        <v>0</v>
      </c>
      <c r="Q82" s="68"/>
      <c r="R82" s="68">
        <v>0</v>
      </c>
      <c r="S82" s="68">
        <v>0</v>
      </c>
      <c r="T82" s="68">
        <v>0</v>
      </c>
      <c r="U82" s="68">
        <v>0.03</v>
      </c>
      <c r="V82" s="68">
        <v>134.19999999999999</v>
      </c>
      <c r="W82" s="68">
        <v>2865.8</v>
      </c>
      <c r="X82" s="68">
        <v>19.600000000000001</v>
      </c>
      <c r="Y82" s="68">
        <v>35.28</v>
      </c>
      <c r="Z82" s="68">
        <v>19.600000000000001</v>
      </c>
      <c r="AA82" s="79">
        <v>-145.38</v>
      </c>
      <c r="AB82" s="68">
        <v>205.07</v>
      </c>
      <c r="AC82" s="71"/>
      <c r="AD82" s="68">
        <v>54.87</v>
      </c>
      <c r="AE82" s="71">
        <v>98.77</v>
      </c>
      <c r="AF82" s="71">
        <v>313.41000000000003</v>
      </c>
      <c r="AG82" s="71">
        <v>3000</v>
      </c>
      <c r="AH82" s="71">
        <v>245.73000000000002</v>
      </c>
      <c r="AI82" s="71">
        <v>60</v>
      </c>
      <c r="AJ82" s="68">
        <v>35.450000000000003</v>
      </c>
      <c r="AK82" s="68">
        <v>467.05</v>
      </c>
      <c r="AL82" s="68">
        <v>156.78</v>
      </c>
      <c r="AM82" s="68">
        <v>214.38</v>
      </c>
      <c r="AN82" s="68">
        <v>164.27554484722373</v>
      </c>
      <c r="AO82" s="71" t="s">
        <v>651</v>
      </c>
      <c r="AP82" s="71"/>
      <c r="AQ82" s="71"/>
      <c r="AR82" s="71"/>
    </row>
    <row r="83" spans="1:44" s="75" customFormat="1" hidden="1" outlineLevel="2" x14ac:dyDescent="0.2">
      <c r="B83" s="68" t="s">
        <v>642</v>
      </c>
      <c r="C83" s="68" t="s">
        <v>643</v>
      </c>
      <c r="D83" s="68">
        <v>15</v>
      </c>
      <c r="E83" s="68">
        <v>0</v>
      </c>
      <c r="F83" s="68">
        <v>200</v>
      </c>
      <c r="G83" s="68">
        <v>209.04</v>
      </c>
      <c r="H83" s="68">
        <v>3000</v>
      </c>
      <c r="I83" s="68">
        <v>0</v>
      </c>
      <c r="J83" s="68">
        <v>0</v>
      </c>
      <c r="K83" s="68">
        <v>3000</v>
      </c>
      <c r="L83" s="68">
        <v>59.69</v>
      </c>
      <c r="M83" s="68">
        <v>0</v>
      </c>
      <c r="N83" s="68">
        <v>74.48</v>
      </c>
      <c r="O83" s="68">
        <v>0</v>
      </c>
      <c r="P83" s="68">
        <v>0</v>
      </c>
      <c r="Q83" s="68"/>
      <c r="R83" s="68">
        <v>0</v>
      </c>
      <c r="S83" s="68">
        <v>0</v>
      </c>
      <c r="T83" s="68">
        <v>0</v>
      </c>
      <c r="U83" s="68">
        <v>0.03</v>
      </c>
      <c r="V83" s="68">
        <v>134.19999999999999</v>
      </c>
      <c r="W83" s="68">
        <v>2865.8</v>
      </c>
      <c r="X83" s="68">
        <v>19.600000000000001</v>
      </c>
      <c r="Y83" s="68">
        <v>35.28</v>
      </c>
      <c r="Z83" s="68">
        <v>19.600000000000001</v>
      </c>
      <c r="AA83" s="79">
        <v>-145.38</v>
      </c>
      <c r="AB83" s="68">
        <v>205.07</v>
      </c>
      <c r="AC83" s="71"/>
      <c r="AD83" s="68">
        <v>54.87</v>
      </c>
      <c r="AE83" s="71">
        <v>98.77</v>
      </c>
      <c r="AF83" s="71">
        <v>313.41000000000003</v>
      </c>
      <c r="AG83" s="71">
        <v>3000</v>
      </c>
      <c r="AH83" s="71">
        <v>245.73000000000002</v>
      </c>
      <c r="AI83" s="71">
        <v>60</v>
      </c>
      <c r="AJ83" s="68">
        <v>35.450000000000003</v>
      </c>
      <c r="AK83" s="68">
        <v>467.05</v>
      </c>
      <c r="AL83" s="68">
        <v>156.78</v>
      </c>
      <c r="AM83" s="68">
        <v>214.38</v>
      </c>
      <c r="AN83" s="68">
        <v>164.27554484722373</v>
      </c>
      <c r="AO83" s="71" t="s">
        <v>651</v>
      </c>
      <c r="AP83" s="71"/>
      <c r="AQ83" s="71"/>
      <c r="AR83" s="71"/>
    </row>
    <row r="84" spans="1:44" s="75" customFormat="1" hidden="1" outlineLevel="2" x14ac:dyDescent="0.2">
      <c r="B84" s="68" t="s">
        <v>648</v>
      </c>
      <c r="C84" s="68" t="s">
        <v>649</v>
      </c>
      <c r="D84" s="68">
        <v>15</v>
      </c>
      <c r="E84" s="68">
        <v>0</v>
      </c>
      <c r="F84" s="68">
        <v>200</v>
      </c>
      <c r="G84" s="68">
        <v>212.11</v>
      </c>
      <c r="H84" s="68">
        <v>3000</v>
      </c>
      <c r="I84" s="68">
        <v>0</v>
      </c>
      <c r="J84" s="68">
        <v>0</v>
      </c>
      <c r="K84" s="68">
        <v>3000</v>
      </c>
      <c r="L84" s="68">
        <v>59.69</v>
      </c>
      <c r="M84" s="68">
        <v>0</v>
      </c>
      <c r="N84" s="68">
        <v>75.56</v>
      </c>
      <c r="O84" s="68">
        <v>0</v>
      </c>
      <c r="P84" s="68">
        <v>482.09</v>
      </c>
      <c r="Q84" s="68"/>
      <c r="R84" s="68">
        <v>0</v>
      </c>
      <c r="S84" s="68">
        <v>0</v>
      </c>
      <c r="T84" s="68">
        <v>0</v>
      </c>
      <c r="U84" s="68">
        <v>0.06</v>
      </c>
      <c r="V84" s="68">
        <v>617.4</v>
      </c>
      <c r="W84" s="68">
        <v>2382.6</v>
      </c>
      <c r="X84" s="68">
        <v>19.89</v>
      </c>
      <c r="Y84" s="68">
        <v>35.79</v>
      </c>
      <c r="Z84" s="68">
        <v>19.88</v>
      </c>
      <c r="AA84" s="79">
        <v>-145.38</v>
      </c>
      <c r="AB84" s="68">
        <v>205.07</v>
      </c>
      <c r="AC84" s="71"/>
      <c r="AD84" s="68">
        <v>55.68</v>
      </c>
      <c r="AE84" s="71">
        <v>100.22</v>
      </c>
      <c r="AF84" s="71">
        <v>314.22000000000003</v>
      </c>
      <c r="AG84" s="71">
        <v>3000</v>
      </c>
      <c r="AH84" s="71">
        <v>246.65</v>
      </c>
      <c r="AI84" s="71">
        <v>60</v>
      </c>
      <c r="AJ84" s="68">
        <v>35.97</v>
      </c>
      <c r="AK84" s="68">
        <v>470.12</v>
      </c>
      <c r="AL84" s="68">
        <v>159.08000000000001</v>
      </c>
      <c r="AM84" s="68">
        <v>214.84</v>
      </c>
      <c r="AN84" s="68">
        <v>164.27554484722373</v>
      </c>
      <c r="AO84" s="71" t="s">
        <v>651</v>
      </c>
      <c r="AP84" s="71"/>
      <c r="AQ84" s="71"/>
      <c r="AR84" s="71"/>
    </row>
    <row r="85" spans="1:44" s="75" customFormat="1" hidden="1" outlineLevel="2" x14ac:dyDescent="0.2">
      <c r="B85" s="68" t="s">
        <v>656</v>
      </c>
      <c r="C85" s="68" t="s">
        <v>657</v>
      </c>
      <c r="D85" s="68">
        <v>15</v>
      </c>
      <c r="E85" s="68">
        <v>0</v>
      </c>
      <c r="F85" s="68">
        <v>116.67</v>
      </c>
      <c r="G85" s="68">
        <v>123.73</v>
      </c>
      <c r="H85" s="68">
        <v>1750.05</v>
      </c>
      <c r="I85" s="68">
        <v>0</v>
      </c>
      <c r="J85" s="68">
        <v>0</v>
      </c>
      <c r="K85" s="68">
        <v>1750.05</v>
      </c>
      <c r="L85" s="68">
        <v>0</v>
      </c>
      <c r="M85" s="68">
        <v>-89.5</v>
      </c>
      <c r="N85" s="68">
        <v>44.08</v>
      </c>
      <c r="O85" s="68">
        <v>0</v>
      </c>
      <c r="P85" s="68">
        <v>866.85</v>
      </c>
      <c r="Q85" s="68"/>
      <c r="R85" s="68">
        <v>0</v>
      </c>
      <c r="S85" s="68">
        <v>0</v>
      </c>
      <c r="T85" s="68">
        <v>0</v>
      </c>
      <c r="U85" s="68">
        <v>0.02</v>
      </c>
      <c r="V85" s="68">
        <v>821.45</v>
      </c>
      <c r="W85" s="68">
        <v>928.6</v>
      </c>
      <c r="X85" s="68">
        <v>11.6</v>
      </c>
      <c r="Y85" s="68">
        <v>20.88</v>
      </c>
      <c r="Z85" s="68">
        <v>11.6</v>
      </c>
      <c r="AA85" s="79">
        <v>-188.71</v>
      </c>
      <c r="AB85" s="68">
        <v>99.22</v>
      </c>
      <c r="AC85" s="71"/>
      <c r="AD85" s="68">
        <v>32.479999999999997</v>
      </c>
      <c r="AE85" s="71">
        <v>58.46</v>
      </c>
      <c r="AF85" s="71">
        <v>291.02</v>
      </c>
      <c r="AG85" s="71">
        <v>1750.05</v>
      </c>
      <c r="AH85" s="71">
        <v>220.14000000000001</v>
      </c>
      <c r="AI85" s="71">
        <v>35</v>
      </c>
      <c r="AJ85" s="68">
        <v>20.98</v>
      </c>
      <c r="AK85" s="68">
        <v>381.96</v>
      </c>
      <c r="AL85" s="68">
        <v>92.8</v>
      </c>
      <c r="AM85" s="68">
        <v>201.58</v>
      </c>
      <c r="AN85" s="68">
        <v>95.830139086627966</v>
      </c>
      <c r="AO85" s="71" t="s">
        <v>651</v>
      </c>
      <c r="AP85" s="71"/>
      <c r="AQ85" s="71"/>
      <c r="AR85" s="71"/>
    </row>
    <row r="86" spans="1:44" s="75" customFormat="1" hidden="1" outlineLevel="2" x14ac:dyDescent="0.2">
      <c r="B86" s="68" t="s">
        <v>658</v>
      </c>
      <c r="C86" s="68" t="s">
        <v>659</v>
      </c>
      <c r="D86" s="68">
        <v>15</v>
      </c>
      <c r="E86" s="68">
        <v>0</v>
      </c>
      <c r="F86" s="68">
        <v>116.67</v>
      </c>
      <c r="G86" s="68">
        <v>123.73</v>
      </c>
      <c r="H86" s="68">
        <v>1750.05</v>
      </c>
      <c r="I86" s="68">
        <v>0</v>
      </c>
      <c r="J86" s="68">
        <v>0</v>
      </c>
      <c r="K86" s="68">
        <v>1750.05</v>
      </c>
      <c r="L86" s="68">
        <v>0</v>
      </c>
      <c r="M86" s="68">
        <v>-89.5</v>
      </c>
      <c r="N86" s="68">
        <v>44.08</v>
      </c>
      <c r="O86" s="68">
        <v>745.98</v>
      </c>
      <c r="P86" s="68">
        <v>0</v>
      </c>
      <c r="Q86" s="68"/>
      <c r="R86" s="68">
        <v>0</v>
      </c>
      <c r="S86" s="68">
        <v>0</v>
      </c>
      <c r="T86" s="68">
        <v>0</v>
      </c>
      <c r="U86" s="68">
        <v>-0.11</v>
      </c>
      <c r="V86" s="68">
        <v>700.45</v>
      </c>
      <c r="W86" s="68">
        <v>1049.5999999999999</v>
      </c>
      <c r="X86" s="68">
        <v>11.6</v>
      </c>
      <c r="Y86" s="68">
        <v>20.88</v>
      </c>
      <c r="Z86" s="68">
        <v>11.6</v>
      </c>
      <c r="AA86" s="79">
        <v>-188.71</v>
      </c>
      <c r="AB86" s="68">
        <v>99.22</v>
      </c>
      <c r="AC86" s="71"/>
      <c r="AD86" s="68">
        <v>32.479999999999997</v>
      </c>
      <c r="AE86" s="71">
        <v>58.46</v>
      </c>
      <c r="AF86" s="71">
        <v>291.02</v>
      </c>
      <c r="AG86" s="71">
        <v>1750.05</v>
      </c>
      <c r="AH86" s="71">
        <v>220.14000000000001</v>
      </c>
      <c r="AI86" s="71">
        <v>35</v>
      </c>
      <c r="AJ86" s="68">
        <v>20.98</v>
      </c>
      <c r="AK86" s="68">
        <v>381.96</v>
      </c>
      <c r="AL86" s="68">
        <v>92.8</v>
      </c>
      <c r="AM86" s="68">
        <v>201.58</v>
      </c>
      <c r="AN86" s="68">
        <v>95.830139086627966</v>
      </c>
      <c r="AO86" s="71" t="s">
        <v>651</v>
      </c>
      <c r="AP86" s="71"/>
      <c r="AQ86" s="71"/>
      <c r="AR86" s="71"/>
    </row>
    <row r="87" spans="1:44" s="75" customFormat="1" hidden="1" outlineLevel="2" x14ac:dyDescent="0.2">
      <c r="B87" s="68" t="s">
        <v>662</v>
      </c>
      <c r="C87" s="68" t="s">
        <v>663</v>
      </c>
      <c r="D87" s="68">
        <v>5</v>
      </c>
      <c r="E87" s="68">
        <v>0</v>
      </c>
      <c r="F87" s="68">
        <v>105</v>
      </c>
      <c r="G87" s="68">
        <v>111.36</v>
      </c>
      <c r="H87" s="68">
        <v>525</v>
      </c>
      <c r="I87" s="68">
        <v>0</v>
      </c>
      <c r="J87" s="68">
        <v>0</v>
      </c>
      <c r="K87" s="68">
        <v>525</v>
      </c>
      <c r="L87" s="68">
        <v>0</v>
      </c>
      <c r="M87" s="68">
        <v>-180.02</v>
      </c>
      <c r="N87" s="68">
        <v>13.22</v>
      </c>
      <c r="O87" s="68">
        <v>0</v>
      </c>
      <c r="P87" s="68">
        <v>0</v>
      </c>
      <c r="Q87" s="68"/>
      <c r="R87" s="68">
        <v>0</v>
      </c>
      <c r="S87" s="68">
        <v>0</v>
      </c>
      <c r="T87" s="68">
        <v>0</v>
      </c>
      <c r="U87" s="68">
        <v>0</v>
      </c>
      <c r="V87" s="68">
        <v>-166.8</v>
      </c>
      <c r="W87" s="68">
        <v>691.8</v>
      </c>
      <c r="X87" s="68">
        <v>3.48</v>
      </c>
      <c r="Y87" s="68">
        <v>6.26</v>
      </c>
      <c r="Z87" s="68">
        <v>3.48</v>
      </c>
      <c r="AA87" s="79">
        <v>-200.83</v>
      </c>
      <c r="AB87" s="68">
        <v>20.81</v>
      </c>
      <c r="AC87" s="71"/>
      <c r="AD87" s="68">
        <v>9.74</v>
      </c>
      <c r="AE87" s="71">
        <v>17.54</v>
      </c>
      <c r="AF87" s="71">
        <v>95.93</v>
      </c>
      <c r="AG87" s="71">
        <v>525</v>
      </c>
      <c r="AH87" s="71">
        <v>194.16000000000003</v>
      </c>
      <c r="AI87" s="71">
        <v>10.5</v>
      </c>
      <c r="AJ87" s="68">
        <v>6.3</v>
      </c>
      <c r="AK87" s="68">
        <v>123.21</v>
      </c>
      <c r="AL87" s="68">
        <v>27.84</v>
      </c>
      <c r="AM87" s="68">
        <v>188.59</v>
      </c>
      <c r="AN87" s="68">
        <v>86.244661044792466</v>
      </c>
      <c r="AO87" s="71" t="s">
        <v>651</v>
      </c>
      <c r="AP87" s="71"/>
      <c r="AQ87" s="71"/>
      <c r="AR87" s="71"/>
    </row>
    <row r="88" spans="1:44" s="75" customFormat="1" hidden="1" outlineLevel="2" x14ac:dyDescent="0.2">
      <c r="B88" s="68" t="s">
        <v>534</v>
      </c>
      <c r="C88" s="68" t="s">
        <v>532</v>
      </c>
      <c r="D88" s="68">
        <v>15</v>
      </c>
      <c r="E88" s="68">
        <v>0</v>
      </c>
      <c r="F88" s="68">
        <v>266.67</v>
      </c>
      <c r="G88" s="68">
        <v>282.81</v>
      </c>
      <c r="H88" s="68">
        <v>4000.05</v>
      </c>
      <c r="I88" s="68">
        <v>0</v>
      </c>
      <c r="J88" s="68">
        <v>0</v>
      </c>
      <c r="K88" s="68">
        <v>4000.05</v>
      </c>
      <c r="L88" s="68">
        <v>313.87</v>
      </c>
      <c r="M88" s="68">
        <v>0</v>
      </c>
      <c r="N88" s="68">
        <v>102.51</v>
      </c>
      <c r="O88" s="68">
        <v>0</v>
      </c>
      <c r="P88" s="68">
        <v>0</v>
      </c>
      <c r="Q88" s="68"/>
      <c r="R88" s="68">
        <v>0</v>
      </c>
      <c r="S88" s="68">
        <v>0</v>
      </c>
      <c r="T88" s="68">
        <v>0</v>
      </c>
      <c r="U88" s="68">
        <v>7.0000000000000007E-2</v>
      </c>
      <c r="V88" s="68">
        <v>416.45</v>
      </c>
      <c r="W88" s="68">
        <v>3583.6</v>
      </c>
      <c r="X88" s="68">
        <v>26.51</v>
      </c>
      <c r="Y88" s="68">
        <v>47.72</v>
      </c>
      <c r="Z88" s="68">
        <v>28.28</v>
      </c>
      <c r="AA88" s="79">
        <v>0</v>
      </c>
      <c r="AB88" s="68">
        <v>313.87</v>
      </c>
      <c r="AC88" s="71"/>
      <c r="AD88" s="68">
        <v>74.239999999999995</v>
      </c>
      <c r="AE88" s="71">
        <v>133.63</v>
      </c>
      <c r="AF88" s="71">
        <v>337.62</v>
      </c>
      <c r="AG88" s="71">
        <v>4000.05</v>
      </c>
      <c r="AH88" s="71">
        <v>267.86</v>
      </c>
      <c r="AI88" s="71">
        <v>80</v>
      </c>
      <c r="AJ88" s="68">
        <v>47.96</v>
      </c>
      <c r="AK88" s="68">
        <v>545.49</v>
      </c>
      <c r="AL88" s="68">
        <v>212.11</v>
      </c>
      <c r="AM88" s="68">
        <v>225.44</v>
      </c>
      <c r="AN88" s="68">
        <v>219.03679772204578</v>
      </c>
      <c r="AO88" s="71" t="s">
        <v>651</v>
      </c>
      <c r="AP88" s="71"/>
      <c r="AQ88" s="71"/>
      <c r="AR88" s="71"/>
    </row>
    <row r="89" spans="1:44" s="75" customFormat="1" ht="13.5" outlineLevel="1" collapsed="1" thickTop="1" x14ac:dyDescent="0.2">
      <c r="A89" s="152" t="s">
        <v>667</v>
      </c>
      <c r="B89" s="68">
        <f t="shared" ref="B89:AO89" si="0">SUBTOTAL(9,B9:B88)</f>
        <v>0</v>
      </c>
      <c r="C89" s="68">
        <f t="shared" si="0"/>
        <v>0</v>
      </c>
      <c r="D89" s="68">
        <f t="shared" si="0"/>
        <v>1181</v>
      </c>
      <c r="E89" s="68">
        <f t="shared" si="0"/>
        <v>6</v>
      </c>
      <c r="F89" s="68">
        <f t="shared" si="0"/>
        <v>19133.769999999997</v>
      </c>
      <c r="G89" s="68">
        <f t="shared" si="0"/>
        <v>20176.620000000006</v>
      </c>
      <c r="H89" s="68">
        <f t="shared" si="0"/>
        <v>283739.97999999992</v>
      </c>
      <c r="I89" s="68">
        <f t="shared" si="0"/>
        <v>1666.67</v>
      </c>
      <c r="J89" s="68">
        <f t="shared" si="0"/>
        <v>2328.19</v>
      </c>
      <c r="K89" s="68">
        <f t="shared" si="0"/>
        <v>287734.83999999991</v>
      </c>
      <c r="L89" s="68">
        <f t="shared" si="0"/>
        <v>16439.970000000012</v>
      </c>
      <c r="M89" s="68">
        <f t="shared" si="0"/>
        <v>-580.62</v>
      </c>
      <c r="N89" s="68">
        <f t="shared" si="0"/>
        <v>7275.4000000000042</v>
      </c>
      <c r="O89" s="68">
        <f t="shared" si="0"/>
        <v>19046.939999999999</v>
      </c>
      <c r="P89" s="68">
        <f t="shared" si="0"/>
        <v>9529.7799999999988</v>
      </c>
      <c r="Q89" s="68">
        <f t="shared" si="0"/>
        <v>0</v>
      </c>
      <c r="R89" s="68">
        <f t="shared" si="0"/>
        <v>4763.93</v>
      </c>
      <c r="S89" s="68">
        <f t="shared" si="0"/>
        <v>7146.1799999999985</v>
      </c>
      <c r="T89" s="68">
        <f t="shared" si="0"/>
        <v>0</v>
      </c>
      <c r="U89" s="68">
        <f t="shared" si="0"/>
        <v>0.26000000000000018</v>
      </c>
      <c r="V89" s="68">
        <f t="shared" si="0"/>
        <v>63621.839999999982</v>
      </c>
      <c r="W89" s="68">
        <f t="shared" si="0"/>
        <v>224112.99999999997</v>
      </c>
      <c r="X89" s="68">
        <f t="shared" si="0"/>
        <v>1880.9100000000005</v>
      </c>
      <c r="Y89" s="68">
        <f t="shared" si="0"/>
        <v>3385.6600000000021</v>
      </c>
      <c r="Z89" s="68">
        <f t="shared" si="0"/>
        <v>2008.8300000000006</v>
      </c>
      <c r="AA89" s="79">
        <f t="shared" si="0"/>
        <v>-6585.0200000000041</v>
      </c>
      <c r="AB89" s="68">
        <f t="shared" si="0"/>
        <v>22444.389999999981</v>
      </c>
      <c r="AC89" s="71">
        <f t="shared" si="0"/>
        <v>0</v>
      </c>
      <c r="AD89" s="68">
        <f t="shared" si="0"/>
        <v>5276.9099999999989</v>
      </c>
      <c r="AE89" s="71">
        <f t="shared" si="0"/>
        <v>9498.4199999999983</v>
      </c>
      <c r="AF89" s="71">
        <f t="shared" si="0"/>
        <v>26129.229999999996</v>
      </c>
      <c r="AG89" s="71">
        <f t="shared" si="0"/>
        <v>287734.83999999991</v>
      </c>
      <c r="AH89" s="71">
        <f t="shared" si="0"/>
        <v>20672.259999999998</v>
      </c>
      <c r="AI89" s="71">
        <f t="shared" si="0"/>
        <v>5754.6599999999989</v>
      </c>
      <c r="AJ89" s="68">
        <f t="shared" si="0"/>
        <v>3409.2100000000005</v>
      </c>
      <c r="AK89" s="68">
        <f t="shared" si="0"/>
        <v>40904.560000000005</v>
      </c>
      <c r="AL89" s="68">
        <f t="shared" si="0"/>
        <v>15076.820000000002</v>
      </c>
      <c r="AM89" s="68">
        <f t="shared" si="0"/>
        <v>17657.019999999997</v>
      </c>
      <c r="AN89" s="68">
        <f t="shared" si="0"/>
        <v>15716.052458657312</v>
      </c>
      <c r="AO89" s="71">
        <f t="shared" si="0"/>
        <v>0</v>
      </c>
      <c r="AP89" s="71"/>
      <c r="AQ89" s="71"/>
      <c r="AR89" s="71"/>
    </row>
    <row r="90" spans="1:44" s="75" customFormat="1" hidden="1" outlineLevel="2" x14ac:dyDescent="0.2">
      <c r="B90" s="63" t="s">
        <v>620</v>
      </c>
      <c r="C90" s="63" t="s">
        <v>621</v>
      </c>
      <c r="D90" s="68">
        <v>15</v>
      </c>
      <c r="E90" s="68">
        <v>0</v>
      </c>
      <c r="F90" s="68">
        <v>230</v>
      </c>
      <c r="G90" s="68">
        <v>243.93</v>
      </c>
      <c r="H90" s="68">
        <v>3450</v>
      </c>
      <c r="I90" s="68">
        <v>0</v>
      </c>
      <c r="J90" s="68">
        <v>0</v>
      </c>
      <c r="K90" s="68">
        <v>3450</v>
      </c>
      <c r="L90" s="68">
        <v>128.93</v>
      </c>
      <c r="M90" s="68">
        <v>0</v>
      </c>
      <c r="N90" s="68">
        <v>86.9</v>
      </c>
      <c r="O90" s="68">
        <v>0</v>
      </c>
      <c r="P90" s="68">
        <v>0</v>
      </c>
      <c r="Q90" s="68"/>
      <c r="R90" s="68">
        <v>0</v>
      </c>
      <c r="S90" s="68">
        <v>0</v>
      </c>
      <c r="T90" s="68">
        <v>0</v>
      </c>
      <c r="U90" s="68">
        <v>0.17</v>
      </c>
      <c r="V90" s="68">
        <v>216</v>
      </c>
      <c r="W90" s="68">
        <v>3234</v>
      </c>
      <c r="X90" s="68">
        <v>22.87</v>
      </c>
      <c r="Y90" s="68">
        <v>41.16</v>
      </c>
      <c r="Z90" s="68">
        <v>22.87</v>
      </c>
      <c r="AA90" s="79">
        <v>-125.1</v>
      </c>
      <c r="AB90" s="68">
        <v>254.03</v>
      </c>
      <c r="AC90" s="71"/>
      <c r="AD90" s="68">
        <v>64.03</v>
      </c>
      <c r="AE90" s="71">
        <v>115.26</v>
      </c>
      <c r="AF90" s="71">
        <v>322.57</v>
      </c>
      <c r="AG90" s="71">
        <v>3450</v>
      </c>
      <c r="AH90" s="71">
        <v>256.20000000000005</v>
      </c>
      <c r="AI90" s="71">
        <v>69</v>
      </c>
      <c r="AJ90" s="68">
        <v>41.37</v>
      </c>
      <c r="AK90" s="68">
        <v>501.86</v>
      </c>
      <c r="AL90" s="68">
        <v>182.95</v>
      </c>
      <c r="AM90" s="68">
        <v>219.61</v>
      </c>
      <c r="AN90" s="68">
        <v>188.91687657430728</v>
      </c>
      <c r="AO90" s="159" t="s">
        <v>652</v>
      </c>
      <c r="AP90" s="71"/>
      <c r="AQ90" s="71"/>
      <c r="AR90" s="71"/>
    </row>
    <row r="91" spans="1:44" hidden="1" outlineLevel="2" x14ac:dyDescent="0.2">
      <c r="B91" s="70" t="s">
        <v>607</v>
      </c>
      <c r="C91" s="78" t="s">
        <v>606</v>
      </c>
      <c r="D91" s="68">
        <v>15</v>
      </c>
      <c r="E91" s="68">
        <v>0</v>
      </c>
      <c r="F91" s="68">
        <v>200</v>
      </c>
      <c r="G91" s="68">
        <v>212.11</v>
      </c>
      <c r="H91" s="68">
        <v>3000</v>
      </c>
      <c r="I91" s="68">
        <v>0</v>
      </c>
      <c r="J91" s="68">
        <v>0</v>
      </c>
      <c r="K91" s="68">
        <v>3000</v>
      </c>
      <c r="L91" s="70">
        <v>59.69</v>
      </c>
      <c r="M91" s="70">
        <v>0</v>
      </c>
      <c r="N91" s="70">
        <v>75.56</v>
      </c>
      <c r="O91" s="70">
        <v>0</v>
      </c>
      <c r="P91" s="70">
        <v>0</v>
      </c>
      <c r="Q91" s="70"/>
      <c r="R91" s="70">
        <v>0</v>
      </c>
      <c r="S91" s="70">
        <v>0</v>
      </c>
      <c r="T91" s="70">
        <v>0</v>
      </c>
      <c r="U91" s="80">
        <v>-0.05</v>
      </c>
      <c r="V91" s="70">
        <v>135.19999999999999</v>
      </c>
      <c r="W91" s="70">
        <v>2864.8</v>
      </c>
      <c r="X91" s="70">
        <v>19.89</v>
      </c>
      <c r="Y91" s="70">
        <v>35.79</v>
      </c>
      <c r="Z91" s="70">
        <v>19.88</v>
      </c>
      <c r="AA91" s="80">
        <v>-145.38</v>
      </c>
      <c r="AB91" s="70">
        <v>205.07</v>
      </c>
      <c r="AC91" s="75"/>
      <c r="AD91" s="70">
        <v>55.68</v>
      </c>
      <c r="AE91" s="75">
        <v>100.22</v>
      </c>
      <c r="AF91" s="75">
        <v>314.22000000000003</v>
      </c>
      <c r="AG91" s="75">
        <v>3000</v>
      </c>
      <c r="AH91" s="75">
        <v>246.65</v>
      </c>
      <c r="AI91" s="75">
        <v>60</v>
      </c>
      <c r="AJ91" s="70">
        <v>35.97</v>
      </c>
      <c r="AK91" s="70">
        <v>470.12</v>
      </c>
      <c r="AL91" s="70">
        <v>159.08000000000001</v>
      </c>
      <c r="AM91" s="70">
        <v>214.84</v>
      </c>
      <c r="AN91" s="70">
        <v>164.27554484722373</v>
      </c>
      <c r="AO91" s="159" t="s">
        <v>652</v>
      </c>
    </row>
    <row r="92" spans="1:44" s="75" customFormat="1" hidden="1" outlineLevel="2" x14ac:dyDescent="0.2">
      <c r="B92" s="70" t="s">
        <v>80</v>
      </c>
      <c r="C92" s="70" t="s">
        <v>357</v>
      </c>
      <c r="D92" s="68">
        <v>15</v>
      </c>
      <c r="E92" s="68">
        <v>0</v>
      </c>
      <c r="F92" s="68">
        <v>154</v>
      </c>
      <c r="G92" s="68">
        <v>160.96</v>
      </c>
      <c r="H92" s="68">
        <v>2310</v>
      </c>
      <c r="I92" s="68">
        <v>0</v>
      </c>
      <c r="J92" s="68">
        <v>0</v>
      </c>
      <c r="K92" s="68">
        <v>2310</v>
      </c>
      <c r="L92" s="70">
        <v>0</v>
      </c>
      <c r="M92" s="70">
        <v>-39.729999999999997</v>
      </c>
      <c r="N92" s="70">
        <v>57.34</v>
      </c>
      <c r="O92" s="70">
        <v>1188.73</v>
      </c>
      <c r="P92" s="70">
        <v>0</v>
      </c>
      <c r="Q92" s="70"/>
      <c r="R92" s="70">
        <v>0</v>
      </c>
      <c r="S92" s="70">
        <v>0</v>
      </c>
      <c r="T92" s="70">
        <v>0</v>
      </c>
      <c r="U92" s="80">
        <v>0.06</v>
      </c>
      <c r="V92" s="70">
        <v>1206.4000000000001</v>
      </c>
      <c r="W92" s="70">
        <v>1103.5999999999999</v>
      </c>
      <c r="X92" s="70">
        <v>15.09</v>
      </c>
      <c r="Y92" s="70">
        <v>27.16</v>
      </c>
      <c r="Z92" s="70">
        <v>15.09</v>
      </c>
      <c r="AA92" s="70">
        <v>-174.78</v>
      </c>
      <c r="AB92" s="70">
        <v>135.05000000000001</v>
      </c>
      <c r="AD92" s="70">
        <v>42.25</v>
      </c>
      <c r="AE92" s="75">
        <v>76.05</v>
      </c>
      <c r="AF92" s="75">
        <v>300.79000000000002</v>
      </c>
      <c r="AG92" s="75">
        <v>2310</v>
      </c>
      <c r="AH92" s="75">
        <v>231.31</v>
      </c>
      <c r="AI92" s="75">
        <v>46.2</v>
      </c>
      <c r="AJ92" s="70">
        <v>27.3</v>
      </c>
      <c r="AK92" s="70">
        <v>419.09</v>
      </c>
      <c r="AL92" s="70">
        <v>120.72</v>
      </c>
      <c r="AM92" s="70">
        <v>207.16000000000003</v>
      </c>
      <c r="AN92" s="70">
        <v>126.49216953236227</v>
      </c>
      <c r="AO92" s="71" t="s">
        <v>652</v>
      </c>
      <c r="AP92" s="71"/>
      <c r="AQ92" s="71"/>
      <c r="AR92" s="71"/>
    </row>
    <row r="93" spans="1:44" s="75" customFormat="1" hidden="1" outlineLevel="2" x14ac:dyDescent="0.2">
      <c r="B93" s="70" t="s">
        <v>106</v>
      </c>
      <c r="C93" s="70" t="s">
        <v>366</v>
      </c>
      <c r="D93" s="70">
        <v>15</v>
      </c>
      <c r="E93" s="70">
        <v>0</v>
      </c>
      <c r="F93" s="70">
        <v>230</v>
      </c>
      <c r="G93" s="70">
        <v>243.91</v>
      </c>
      <c r="H93" s="70">
        <v>3450</v>
      </c>
      <c r="I93" s="70">
        <v>0</v>
      </c>
      <c r="J93" s="70">
        <v>0</v>
      </c>
      <c r="K93" s="70">
        <v>3450</v>
      </c>
      <c r="L93" s="70">
        <v>128.93</v>
      </c>
      <c r="M93" s="70">
        <v>0</v>
      </c>
      <c r="N93" s="70">
        <v>86.9</v>
      </c>
      <c r="O93" s="70">
        <v>0</v>
      </c>
      <c r="P93" s="70">
        <v>0</v>
      </c>
      <c r="Q93" s="70"/>
      <c r="R93" s="70">
        <v>0</v>
      </c>
      <c r="S93" s="70">
        <v>0</v>
      </c>
      <c r="T93" s="70">
        <v>0</v>
      </c>
      <c r="U93" s="80">
        <v>-0.03</v>
      </c>
      <c r="V93" s="70">
        <v>215.8</v>
      </c>
      <c r="W93" s="70">
        <v>3234.2</v>
      </c>
      <c r="X93" s="70">
        <v>22.87</v>
      </c>
      <c r="Y93" s="70">
        <v>41.16</v>
      </c>
      <c r="Z93" s="70">
        <v>22.87</v>
      </c>
      <c r="AA93" s="80">
        <v>-125.1</v>
      </c>
      <c r="AB93" s="70">
        <v>254.03</v>
      </c>
      <c r="AD93" s="70">
        <v>64.03</v>
      </c>
      <c r="AE93" s="75">
        <v>115.25</v>
      </c>
      <c r="AF93" s="75">
        <v>322.57</v>
      </c>
      <c r="AG93" s="75">
        <v>3450</v>
      </c>
      <c r="AH93" s="75">
        <v>256.19</v>
      </c>
      <c r="AI93" s="75">
        <v>69</v>
      </c>
      <c r="AJ93" s="70">
        <v>41.37</v>
      </c>
      <c r="AK93" s="70">
        <v>501.85</v>
      </c>
      <c r="AL93" s="70">
        <v>182.93</v>
      </c>
      <c r="AM93" s="70">
        <v>219.61</v>
      </c>
      <c r="AN93" s="70">
        <v>188.91687657430728</v>
      </c>
      <c r="AO93" s="75" t="s">
        <v>652</v>
      </c>
      <c r="AP93" s="71"/>
      <c r="AQ93" s="71"/>
      <c r="AR93" s="71"/>
    </row>
    <row r="94" spans="1:44" s="75" customFormat="1" hidden="1" outlineLevel="2" x14ac:dyDescent="0.2">
      <c r="B94" s="68" t="s">
        <v>222</v>
      </c>
      <c r="C94" s="78" t="s">
        <v>368</v>
      </c>
      <c r="D94" s="68">
        <v>15</v>
      </c>
      <c r="E94" s="68">
        <v>0</v>
      </c>
      <c r="F94" s="68">
        <v>200</v>
      </c>
      <c r="G94" s="68">
        <v>212.11</v>
      </c>
      <c r="H94" s="68">
        <v>3000</v>
      </c>
      <c r="I94" s="68">
        <v>0</v>
      </c>
      <c r="J94" s="68">
        <v>0</v>
      </c>
      <c r="K94" s="68">
        <v>3000</v>
      </c>
      <c r="L94" s="68">
        <v>59.69</v>
      </c>
      <c r="M94" s="68">
        <v>0</v>
      </c>
      <c r="N94" s="68">
        <v>75.56</v>
      </c>
      <c r="O94" s="68">
        <v>0</v>
      </c>
      <c r="P94" s="68">
        <v>0</v>
      </c>
      <c r="Q94" s="68"/>
      <c r="R94" s="68">
        <v>0</v>
      </c>
      <c r="S94" s="68">
        <v>0</v>
      </c>
      <c r="T94" s="68">
        <v>0</v>
      </c>
      <c r="U94" s="79">
        <v>-0.05</v>
      </c>
      <c r="V94" s="68">
        <v>135.19999999999999</v>
      </c>
      <c r="W94" s="68">
        <v>2864.8</v>
      </c>
      <c r="X94" s="68">
        <v>19.89</v>
      </c>
      <c r="Y94" s="68">
        <v>35.79</v>
      </c>
      <c r="Z94" s="68">
        <v>19.88</v>
      </c>
      <c r="AA94" s="79">
        <v>-145.38</v>
      </c>
      <c r="AB94" s="68">
        <v>205.07</v>
      </c>
      <c r="AC94" s="71"/>
      <c r="AD94" s="68">
        <v>55.68</v>
      </c>
      <c r="AE94" s="71">
        <v>100.22</v>
      </c>
      <c r="AF94" s="71">
        <v>314.22000000000003</v>
      </c>
      <c r="AG94" s="71">
        <v>3000</v>
      </c>
      <c r="AH94" s="71">
        <v>246.65</v>
      </c>
      <c r="AI94" s="71">
        <v>60</v>
      </c>
      <c r="AJ94" s="68">
        <v>35.97</v>
      </c>
      <c r="AK94" s="68">
        <v>470.12</v>
      </c>
      <c r="AL94" s="68">
        <v>159.08000000000001</v>
      </c>
      <c r="AM94" s="68">
        <v>214.84</v>
      </c>
      <c r="AN94" s="68">
        <v>164.27554484722373</v>
      </c>
      <c r="AO94" s="71" t="s">
        <v>652</v>
      </c>
      <c r="AP94" s="71"/>
      <c r="AQ94" s="71"/>
      <c r="AR94" s="71"/>
    </row>
    <row r="95" spans="1:44" s="75" customFormat="1" hidden="1" outlineLevel="2" x14ac:dyDescent="0.2">
      <c r="B95" s="70" t="s">
        <v>226</v>
      </c>
      <c r="C95" s="70" t="s">
        <v>369</v>
      </c>
      <c r="D95" s="70">
        <v>15</v>
      </c>
      <c r="E95" s="70">
        <v>0</v>
      </c>
      <c r="F95" s="70">
        <v>266.67</v>
      </c>
      <c r="G95" s="70">
        <v>282.81</v>
      </c>
      <c r="H95" s="70">
        <v>4000.05</v>
      </c>
      <c r="I95" s="70">
        <v>0</v>
      </c>
      <c r="J95" s="70">
        <v>0</v>
      </c>
      <c r="K95" s="70">
        <v>4000.05</v>
      </c>
      <c r="L95" s="70">
        <v>313.87</v>
      </c>
      <c r="M95" s="70">
        <v>0</v>
      </c>
      <c r="N95" s="70">
        <v>102.51</v>
      </c>
      <c r="O95" s="70">
        <v>0</v>
      </c>
      <c r="P95" s="70">
        <v>0</v>
      </c>
      <c r="Q95" s="70"/>
      <c r="R95" s="70">
        <v>0</v>
      </c>
      <c r="S95" s="70">
        <v>0</v>
      </c>
      <c r="T95" s="70">
        <v>0</v>
      </c>
      <c r="U95" s="70">
        <v>7.0000000000000007E-2</v>
      </c>
      <c r="V95" s="70">
        <v>416.45</v>
      </c>
      <c r="W95" s="70">
        <v>3583.6</v>
      </c>
      <c r="X95" s="70">
        <v>26.51</v>
      </c>
      <c r="Y95" s="70">
        <v>47.72</v>
      </c>
      <c r="Z95" s="70">
        <v>28.28</v>
      </c>
      <c r="AA95" s="70">
        <v>0</v>
      </c>
      <c r="AB95" s="70">
        <v>313.87</v>
      </c>
      <c r="AD95" s="70">
        <v>74.239999999999995</v>
      </c>
      <c r="AE95" s="75">
        <v>133.63</v>
      </c>
      <c r="AF95" s="75">
        <v>337.62</v>
      </c>
      <c r="AG95" s="75">
        <v>4000.05</v>
      </c>
      <c r="AH95" s="75">
        <v>267.86</v>
      </c>
      <c r="AI95" s="75">
        <v>80</v>
      </c>
      <c r="AJ95" s="70">
        <v>47.96</v>
      </c>
      <c r="AK95" s="70">
        <v>545.49</v>
      </c>
      <c r="AL95" s="70">
        <v>212.11</v>
      </c>
      <c r="AM95" s="70">
        <v>225.44</v>
      </c>
      <c r="AN95" s="70">
        <v>219.03679772204578</v>
      </c>
      <c r="AO95" s="71" t="s">
        <v>652</v>
      </c>
      <c r="AP95" s="71"/>
      <c r="AQ95" s="71"/>
      <c r="AR95" s="71"/>
    </row>
    <row r="96" spans="1:44" s="75" customFormat="1" hidden="1" outlineLevel="2" x14ac:dyDescent="0.2">
      <c r="B96" s="70" t="s">
        <v>227</v>
      </c>
      <c r="C96" s="70" t="s">
        <v>370</v>
      </c>
      <c r="D96" s="70">
        <v>15</v>
      </c>
      <c r="E96" s="70">
        <v>0</v>
      </c>
      <c r="F96" s="70">
        <v>566.66999999999996</v>
      </c>
      <c r="G96" s="70">
        <v>600.98</v>
      </c>
      <c r="H96" s="70">
        <v>8500.0499999999993</v>
      </c>
      <c r="I96" s="70">
        <v>0</v>
      </c>
      <c r="J96" s="70">
        <v>0</v>
      </c>
      <c r="K96" s="70">
        <v>8500.0499999999993</v>
      </c>
      <c r="L96" s="70">
        <v>1177.3900000000001</v>
      </c>
      <c r="M96" s="70">
        <v>0</v>
      </c>
      <c r="N96" s="70">
        <v>234.96</v>
      </c>
      <c r="O96" s="70">
        <v>0</v>
      </c>
      <c r="P96" s="70">
        <v>0</v>
      </c>
      <c r="Q96" s="70"/>
      <c r="R96" s="70">
        <v>0</v>
      </c>
      <c r="S96" s="70">
        <v>0</v>
      </c>
      <c r="T96" s="70">
        <v>0</v>
      </c>
      <c r="U96" s="70">
        <v>0.1</v>
      </c>
      <c r="V96" s="70">
        <v>1412.45</v>
      </c>
      <c r="W96" s="70">
        <v>7087.6</v>
      </c>
      <c r="X96" s="70">
        <v>56.34</v>
      </c>
      <c r="Y96" s="70">
        <v>101.42</v>
      </c>
      <c r="Z96" s="70">
        <v>77.2</v>
      </c>
      <c r="AA96" s="70">
        <v>0</v>
      </c>
      <c r="AB96" s="70">
        <v>1177.3900000000001</v>
      </c>
      <c r="AD96" s="70">
        <v>157.76</v>
      </c>
      <c r="AE96" s="75">
        <v>283.95999999999998</v>
      </c>
      <c r="AF96" s="75">
        <v>473.63</v>
      </c>
      <c r="AG96" s="75">
        <v>8500.0499999999993</v>
      </c>
      <c r="AH96" s="75">
        <v>363.31</v>
      </c>
      <c r="AI96" s="75">
        <v>170</v>
      </c>
      <c r="AJ96" s="70">
        <v>101.92</v>
      </c>
      <c r="AK96" s="70">
        <v>915.35</v>
      </c>
      <c r="AL96" s="70">
        <v>450.74</v>
      </c>
      <c r="AM96" s="70">
        <v>273.17</v>
      </c>
      <c r="AN96" s="70">
        <v>465.45011499288131</v>
      </c>
      <c r="AO96" s="71" t="s">
        <v>652</v>
      </c>
      <c r="AP96" s="71"/>
      <c r="AQ96" s="71"/>
      <c r="AR96" s="71"/>
    </row>
    <row r="97" spans="2:44" s="75" customFormat="1" hidden="1" outlineLevel="2" x14ac:dyDescent="0.2">
      <c r="B97" s="70" t="s">
        <v>228</v>
      </c>
      <c r="C97" s="70" t="s">
        <v>371</v>
      </c>
      <c r="D97" s="70">
        <v>15</v>
      </c>
      <c r="E97" s="70">
        <v>0</v>
      </c>
      <c r="F97" s="70">
        <v>250</v>
      </c>
      <c r="G97" s="70">
        <v>265.14</v>
      </c>
      <c r="H97" s="70">
        <v>3750</v>
      </c>
      <c r="I97" s="70">
        <v>0</v>
      </c>
      <c r="J97" s="70">
        <v>0</v>
      </c>
      <c r="K97" s="70">
        <v>3750</v>
      </c>
      <c r="L97" s="70">
        <v>286.67</v>
      </c>
      <c r="M97" s="70">
        <v>0</v>
      </c>
      <c r="N97" s="70">
        <v>95.15</v>
      </c>
      <c r="O97" s="70">
        <v>0</v>
      </c>
      <c r="P97" s="70">
        <v>0</v>
      </c>
      <c r="Q97" s="70"/>
      <c r="R97" s="70">
        <v>0</v>
      </c>
      <c r="S97" s="70">
        <v>0</v>
      </c>
      <c r="T97" s="70">
        <v>0</v>
      </c>
      <c r="U97" s="80">
        <v>-0.02</v>
      </c>
      <c r="V97" s="70">
        <v>381.8</v>
      </c>
      <c r="W97" s="70">
        <v>3368.2</v>
      </c>
      <c r="X97" s="70">
        <v>24.86</v>
      </c>
      <c r="Y97" s="70">
        <v>44.74</v>
      </c>
      <c r="Z97" s="70">
        <v>25.55</v>
      </c>
      <c r="AA97" s="70">
        <v>0</v>
      </c>
      <c r="AB97" s="70">
        <v>286.67</v>
      </c>
      <c r="AD97" s="70">
        <v>69.599999999999994</v>
      </c>
      <c r="AE97" s="75">
        <v>125.28</v>
      </c>
      <c r="AF97" s="75">
        <v>330.07</v>
      </c>
      <c r="AG97" s="75">
        <v>3750</v>
      </c>
      <c r="AH97" s="75">
        <v>262.56</v>
      </c>
      <c r="AI97" s="75">
        <v>75</v>
      </c>
      <c r="AJ97" s="70">
        <v>44.97</v>
      </c>
      <c r="AK97" s="70">
        <v>524.95000000000005</v>
      </c>
      <c r="AL97" s="70">
        <v>198.86</v>
      </c>
      <c r="AM97" s="70">
        <v>222.79000000000002</v>
      </c>
      <c r="AN97" s="70">
        <v>205.34443105902966</v>
      </c>
      <c r="AO97" s="71" t="s">
        <v>652</v>
      </c>
      <c r="AP97" s="71"/>
      <c r="AQ97" s="71"/>
      <c r="AR97" s="71"/>
    </row>
    <row r="98" spans="2:44" s="75" customFormat="1" hidden="1" outlineLevel="2" x14ac:dyDescent="0.2">
      <c r="B98" s="70" t="s">
        <v>231</v>
      </c>
      <c r="C98" s="70" t="s">
        <v>374</v>
      </c>
      <c r="D98" s="70">
        <v>15</v>
      </c>
      <c r="E98" s="70">
        <v>0</v>
      </c>
      <c r="F98" s="70">
        <v>333.33</v>
      </c>
      <c r="G98" s="70">
        <v>353.52</v>
      </c>
      <c r="H98" s="70">
        <v>4999.95</v>
      </c>
      <c r="I98" s="70">
        <v>0</v>
      </c>
      <c r="J98" s="70">
        <v>0</v>
      </c>
      <c r="K98" s="70">
        <v>4999.95</v>
      </c>
      <c r="L98" s="70">
        <v>461.63</v>
      </c>
      <c r="M98" s="70">
        <v>0</v>
      </c>
      <c r="N98" s="70">
        <v>131.94999999999999</v>
      </c>
      <c r="O98" s="70">
        <v>0</v>
      </c>
      <c r="P98" s="70">
        <v>0</v>
      </c>
      <c r="Q98" s="70"/>
      <c r="R98" s="70">
        <v>0</v>
      </c>
      <c r="S98" s="70">
        <v>0</v>
      </c>
      <c r="T98" s="70">
        <v>500</v>
      </c>
      <c r="U98" s="80">
        <v>-0.03</v>
      </c>
      <c r="V98" s="70">
        <v>1093.55</v>
      </c>
      <c r="W98" s="70">
        <v>3906.4</v>
      </c>
      <c r="X98" s="70">
        <v>33.14</v>
      </c>
      <c r="Y98" s="70">
        <v>59.66</v>
      </c>
      <c r="Z98" s="70">
        <v>39.15</v>
      </c>
      <c r="AA98" s="70">
        <v>0</v>
      </c>
      <c r="AB98" s="70">
        <v>461.63</v>
      </c>
      <c r="AD98" s="70">
        <v>92.8</v>
      </c>
      <c r="AE98" s="75">
        <v>167.04</v>
      </c>
      <c r="AF98" s="75">
        <v>367.85</v>
      </c>
      <c r="AG98" s="75">
        <v>4999.95</v>
      </c>
      <c r="AH98" s="75">
        <v>289.08000000000004</v>
      </c>
      <c r="AI98" s="75">
        <v>100</v>
      </c>
      <c r="AJ98" s="70">
        <v>59.96</v>
      </c>
      <c r="AK98" s="70">
        <v>627.69000000000005</v>
      </c>
      <c r="AL98" s="70">
        <v>265.14</v>
      </c>
      <c r="AM98" s="70">
        <v>236.05</v>
      </c>
      <c r="AN98" s="70">
        <v>273.78983681962541</v>
      </c>
      <c r="AO98" s="71" t="s">
        <v>652</v>
      </c>
      <c r="AP98" s="71"/>
      <c r="AQ98" s="71"/>
      <c r="AR98" s="71"/>
    </row>
    <row r="99" spans="2:44" s="75" customFormat="1" hidden="1" outlineLevel="2" x14ac:dyDescent="0.2">
      <c r="B99" s="70" t="s">
        <v>232</v>
      </c>
      <c r="C99" s="70" t="s">
        <v>375</v>
      </c>
      <c r="D99" s="70">
        <v>15</v>
      </c>
      <c r="E99" s="70">
        <v>0</v>
      </c>
      <c r="F99" s="70">
        <v>281.67</v>
      </c>
      <c r="G99" s="70">
        <v>298.72000000000003</v>
      </c>
      <c r="H99" s="70">
        <v>4225.05</v>
      </c>
      <c r="I99" s="70">
        <v>0</v>
      </c>
      <c r="J99" s="70">
        <v>0</v>
      </c>
      <c r="K99" s="70">
        <v>4225.05</v>
      </c>
      <c r="L99" s="70">
        <v>338.35</v>
      </c>
      <c r="M99" s="70">
        <v>0</v>
      </c>
      <c r="N99" s="70">
        <v>109.14</v>
      </c>
      <c r="O99" s="70">
        <v>1642.17</v>
      </c>
      <c r="P99" s="70">
        <v>0</v>
      </c>
      <c r="Q99" s="70"/>
      <c r="R99" s="70">
        <v>0</v>
      </c>
      <c r="S99" s="70">
        <v>0</v>
      </c>
      <c r="T99" s="70">
        <v>0</v>
      </c>
      <c r="U99" s="80">
        <v>-0.01</v>
      </c>
      <c r="V99" s="70">
        <v>2089.65</v>
      </c>
      <c r="W99" s="70">
        <v>2135.4</v>
      </c>
      <c r="X99" s="70">
        <v>28.01</v>
      </c>
      <c r="Y99" s="70">
        <v>50.41</v>
      </c>
      <c r="Z99" s="70">
        <v>30.72</v>
      </c>
      <c r="AA99" s="70">
        <v>0</v>
      </c>
      <c r="AB99" s="70">
        <v>338.35</v>
      </c>
      <c r="AD99" s="70">
        <v>78.41</v>
      </c>
      <c r="AE99" s="75">
        <v>141.15</v>
      </c>
      <c r="AF99" s="75">
        <v>344.43</v>
      </c>
      <c r="AG99" s="75">
        <v>4225.05</v>
      </c>
      <c r="AH99" s="75">
        <v>272.64</v>
      </c>
      <c r="AI99" s="75">
        <v>84.5</v>
      </c>
      <c r="AJ99" s="70">
        <v>50.66</v>
      </c>
      <c r="AK99" s="70">
        <v>563.99</v>
      </c>
      <c r="AL99" s="70">
        <v>224.04</v>
      </c>
      <c r="AM99" s="70">
        <v>227.83</v>
      </c>
      <c r="AN99" s="70">
        <v>231.35746358558757</v>
      </c>
      <c r="AO99" s="71" t="s">
        <v>652</v>
      </c>
      <c r="AP99" s="71"/>
      <c r="AQ99" s="71"/>
      <c r="AR99" s="71"/>
    </row>
    <row r="100" spans="2:44" hidden="1" outlineLevel="2" x14ac:dyDescent="0.2">
      <c r="B100" s="70" t="s">
        <v>234</v>
      </c>
      <c r="C100" s="70" t="s">
        <v>376</v>
      </c>
      <c r="D100" s="70">
        <v>15</v>
      </c>
      <c r="E100" s="70">
        <v>0</v>
      </c>
      <c r="F100" s="70">
        <v>341.35</v>
      </c>
      <c r="G100" s="70">
        <v>357.25</v>
      </c>
      <c r="H100" s="70">
        <v>5120.25</v>
      </c>
      <c r="I100" s="70">
        <v>0</v>
      </c>
      <c r="J100" s="70">
        <v>0</v>
      </c>
      <c r="K100" s="70">
        <v>5120.25</v>
      </c>
      <c r="L100" s="70">
        <v>483.19</v>
      </c>
      <c r="M100" s="70">
        <v>0</v>
      </c>
      <c r="N100" s="70">
        <v>133.51</v>
      </c>
      <c r="O100" s="70">
        <v>0</v>
      </c>
      <c r="P100" s="70">
        <v>0</v>
      </c>
      <c r="Q100" s="70"/>
      <c r="R100" s="70">
        <v>0</v>
      </c>
      <c r="S100" s="70">
        <v>0</v>
      </c>
      <c r="T100" s="70">
        <v>0</v>
      </c>
      <c r="U100" s="70">
        <v>0.15</v>
      </c>
      <c r="V100" s="70">
        <v>616.85</v>
      </c>
      <c r="W100" s="70">
        <v>4503.3999999999996</v>
      </c>
      <c r="X100" s="70">
        <v>33.49</v>
      </c>
      <c r="Y100" s="70">
        <v>60.29</v>
      </c>
      <c r="Z100" s="70">
        <v>39.729999999999997</v>
      </c>
      <c r="AA100" s="80">
        <v>0</v>
      </c>
      <c r="AB100" s="70">
        <v>483.19</v>
      </c>
      <c r="AC100" s="75"/>
      <c r="AD100" s="70">
        <v>93.78</v>
      </c>
      <c r="AE100" s="75">
        <v>168.8</v>
      </c>
      <c r="AF100" s="75">
        <v>369.44</v>
      </c>
      <c r="AG100" s="75">
        <v>5120.25</v>
      </c>
      <c r="AH100" s="75">
        <v>290.19</v>
      </c>
      <c r="AI100" s="75">
        <v>102.41</v>
      </c>
      <c r="AJ100" s="70">
        <v>60.59</v>
      </c>
      <c r="AK100" s="70">
        <v>632.02</v>
      </c>
      <c r="AL100" s="70">
        <v>267.94</v>
      </c>
      <c r="AM100" s="70">
        <v>236.61</v>
      </c>
      <c r="AN100" s="70">
        <v>280.3772861679991</v>
      </c>
      <c r="AO100" s="71" t="s">
        <v>652</v>
      </c>
    </row>
    <row r="101" spans="2:44" hidden="1" outlineLevel="2" x14ac:dyDescent="0.2">
      <c r="B101" s="70" t="s">
        <v>235</v>
      </c>
      <c r="C101" s="70" t="s">
        <v>377</v>
      </c>
      <c r="D101" s="70">
        <v>13</v>
      </c>
      <c r="E101" s="70">
        <v>2</v>
      </c>
      <c r="F101" s="70">
        <v>266.67</v>
      </c>
      <c r="G101" s="70">
        <v>282.81</v>
      </c>
      <c r="H101" s="70">
        <v>3466.71</v>
      </c>
      <c r="I101" s="70">
        <v>533.34</v>
      </c>
      <c r="J101" s="70">
        <v>160</v>
      </c>
      <c r="K101" s="70">
        <v>4160.05</v>
      </c>
      <c r="L101" s="70">
        <v>313.87</v>
      </c>
      <c r="M101" s="70">
        <v>0</v>
      </c>
      <c r="N101" s="70">
        <v>102.51</v>
      </c>
      <c r="O101" s="70">
        <v>1090.32</v>
      </c>
      <c r="P101" s="70">
        <v>0</v>
      </c>
      <c r="Q101" s="70"/>
      <c r="R101" s="70">
        <v>0</v>
      </c>
      <c r="S101" s="70">
        <v>0</v>
      </c>
      <c r="T101" s="70">
        <v>0</v>
      </c>
      <c r="U101" s="70">
        <v>-0.05</v>
      </c>
      <c r="V101" s="70">
        <v>1506.65</v>
      </c>
      <c r="W101" s="70">
        <v>2653.4</v>
      </c>
      <c r="X101" s="70">
        <v>26.51</v>
      </c>
      <c r="Y101" s="70">
        <v>47.72</v>
      </c>
      <c r="Z101" s="70">
        <v>28.28</v>
      </c>
      <c r="AA101" s="70">
        <v>0</v>
      </c>
      <c r="AB101" s="70">
        <v>313.87</v>
      </c>
      <c r="AC101" s="75"/>
      <c r="AD101" s="70">
        <v>74.239999999999995</v>
      </c>
      <c r="AE101" s="75">
        <v>133.63</v>
      </c>
      <c r="AF101" s="75">
        <v>337.62</v>
      </c>
      <c r="AG101" s="75">
        <v>4160.05</v>
      </c>
      <c r="AH101" s="75">
        <v>267.86</v>
      </c>
      <c r="AI101" s="75">
        <v>83.2</v>
      </c>
      <c r="AJ101" s="70">
        <v>47.96</v>
      </c>
      <c r="AK101" s="70">
        <v>545.49</v>
      </c>
      <c r="AL101" s="70">
        <v>212.11</v>
      </c>
      <c r="AM101" s="70">
        <v>225.44</v>
      </c>
      <c r="AN101" s="70">
        <v>219.03679772204578</v>
      </c>
      <c r="AO101" s="71" t="s">
        <v>652</v>
      </c>
    </row>
    <row r="102" spans="2:44" hidden="1" outlineLevel="2" x14ac:dyDescent="0.2">
      <c r="B102" s="70" t="s">
        <v>236</v>
      </c>
      <c r="C102" s="70" t="s">
        <v>378</v>
      </c>
      <c r="D102" s="70">
        <v>15</v>
      </c>
      <c r="E102" s="70">
        <v>0</v>
      </c>
      <c r="F102" s="70">
        <v>266.67</v>
      </c>
      <c r="G102" s="70">
        <v>282.81</v>
      </c>
      <c r="H102" s="70">
        <v>4000.05</v>
      </c>
      <c r="I102" s="70">
        <v>0</v>
      </c>
      <c r="J102" s="70">
        <v>0</v>
      </c>
      <c r="K102" s="70">
        <v>4000.05</v>
      </c>
      <c r="L102" s="70">
        <v>313.87</v>
      </c>
      <c r="M102" s="70">
        <v>0</v>
      </c>
      <c r="N102" s="70">
        <v>102.51</v>
      </c>
      <c r="O102" s="70">
        <v>879.61</v>
      </c>
      <c r="P102" s="70">
        <v>0</v>
      </c>
      <c r="Q102" s="70"/>
      <c r="R102" s="70">
        <v>0</v>
      </c>
      <c r="S102" s="70">
        <v>0</v>
      </c>
      <c r="T102" s="70">
        <v>0</v>
      </c>
      <c r="U102" s="80">
        <v>0.06</v>
      </c>
      <c r="V102" s="70">
        <v>1296.05</v>
      </c>
      <c r="W102" s="70">
        <v>2704</v>
      </c>
      <c r="X102" s="70">
        <v>26.51</v>
      </c>
      <c r="Y102" s="70">
        <v>47.72</v>
      </c>
      <c r="Z102" s="70">
        <v>28.28</v>
      </c>
      <c r="AA102" s="70">
        <v>0</v>
      </c>
      <c r="AB102" s="70">
        <v>313.87</v>
      </c>
      <c r="AC102" s="75"/>
      <c r="AD102" s="70">
        <v>74.239999999999995</v>
      </c>
      <c r="AE102" s="75">
        <v>133.63</v>
      </c>
      <c r="AF102" s="75">
        <v>337.62</v>
      </c>
      <c r="AG102" s="75">
        <v>4000.05</v>
      </c>
      <c r="AH102" s="75">
        <v>267.86</v>
      </c>
      <c r="AI102" s="75">
        <v>80</v>
      </c>
      <c r="AJ102" s="70">
        <v>47.96</v>
      </c>
      <c r="AK102" s="70">
        <v>545.49</v>
      </c>
      <c r="AL102" s="70">
        <v>212.11</v>
      </c>
      <c r="AM102" s="70">
        <v>225.44</v>
      </c>
      <c r="AN102" s="70">
        <v>219.03679772204578</v>
      </c>
      <c r="AO102" s="71" t="s">
        <v>652</v>
      </c>
    </row>
    <row r="103" spans="2:44" hidden="1" outlineLevel="2" x14ac:dyDescent="0.2">
      <c r="B103" s="70" t="s">
        <v>240</v>
      </c>
      <c r="C103" s="70" t="s">
        <v>379</v>
      </c>
      <c r="D103" s="70">
        <v>15</v>
      </c>
      <c r="E103" s="70">
        <v>0</v>
      </c>
      <c r="F103" s="70">
        <v>266.67</v>
      </c>
      <c r="G103" s="70">
        <v>282.81</v>
      </c>
      <c r="H103" s="70">
        <v>4000.05</v>
      </c>
      <c r="I103" s="70">
        <v>0</v>
      </c>
      <c r="J103" s="70">
        <v>0</v>
      </c>
      <c r="K103" s="70">
        <v>4000.05</v>
      </c>
      <c r="L103" s="70">
        <v>313.87</v>
      </c>
      <c r="M103" s="70">
        <v>0</v>
      </c>
      <c r="N103" s="70">
        <v>102.51</v>
      </c>
      <c r="O103" s="70">
        <v>0</v>
      </c>
      <c r="P103" s="70">
        <v>0</v>
      </c>
      <c r="Q103" s="70"/>
      <c r="R103" s="70">
        <v>0</v>
      </c>
      <c r="S103" s="70">
        <v>0</v>
      </c>
      <c r="T103" s="70">
        <v>0</v>
      </c>
      <c r="U103" s="70">
        <v>7.0000000000000007E-2</v>
      </c>
      <c r="V103" s="70">
        <v>416.45</v>
      </c>
      <c r="W103" s="70">
        <v>3583.6</v>
      </c>
      <c r="X103" s="70">
        <v>26.51</v>
      </c>
      <c r="Y103" s="70">
        <v>47.72</v>
      </c>
      <c r="Z103" s="70">
        <v>28.28</v>
      </c>
      <c r="AA103" s="70">
        <v>0</v>
      </c>
      <c r="AB103" s="70">
        <v>313.87</v>
      </c>
      <c r="AC103" s="75"/>
      <c r="AD103" s="70">
        <v>74.239999999999995</v>
      </c>
      <c r="AE103" s="75">
        <v>133.63</v>
      </c>
      <c r="AF103" s="75">
        <v>337.62</v>
      </c>
      <c r="AG103" s="75">
        <v>4000.05</v>
      </c>
      <c r="AH103" s="75">
        <v>267.86</v>
      </c>
      <c r="AI103" s="75">
        <v>80</v>
      </c>
      <c r="AJ103" s="70">
        <v>47.96</v>
      </c>
      <c r="AK103" s="70">
        <v>545.49</v>
      </c>
      <c r="AL103" s="70">
        <v>212.11</v>
      </c>
      <c r="AM103" s="70">
        <v>225.44</v>
      </c>
      <c r="AN103" s="70">
        <v>219.03679772204578</v>
      </c>
      <c r="AO103" s="71" t="s">
        <v>652</v>
      </c>
    </row>
    <row r="104" spans="2:44" hidden="1" outlineLevel="2" x14ac:dyDescent="0.2">
      <c r="B104" s="70" t="s">
        <v>241</v>
      </c>
      <c r="C104" s="70" t="s">
        <v>380</v>
      </c>
      <c r="D104" s="70">
        <v>15</v>
      </c>
      <c r="E104" s="70">
        <v>0</v>
      </c>
      <c r="F104" s="70">
        <v>362.41</v>
      </c>
      <c r="G104" s="70">
        <v>379.29</v>
      </c>
      <c r="H104" s="70">
        <v>5436.15</v>
      </c>
      <c r="I104" s="70">
        <v>0</v>
      </c>
      <c r="J104" s="70">
        <v>0</v>
      </c>
      <c r="K104" s="70">
        <v>5436.15</v>
      </c>
      <c r="L104" s="70">
        <v>539.79</v>
      </c>
      <c r="M104" s="70">
        <v>0</v>
      </c>
      <c r="N104" s="70">
        <v>142.68</v>
      </c>
      <c r="O104" s="70">
        <v>0</v>
      </c>
      <c r="P104" s="70">
        <v>0</v>
      </c>
      <c r="Q104" s="70"/>
      <c r="R104" s="70">
        <v>0</v>
      </c>
      <c r="S104" s="70">
        <v>0</v>
      </c>
      <c r="T104" s="70">
        <v>0</v>
      </c>
      <c r="U104" s="70">
        <v>-0.12</v>
      </c>
      <c r="V104" s="70">
        <v>682.35</v>
      </c>
      <c r="W104" s="70">
        <v>4753.8</v>
      </c>
      <c r="X104" s="70">
        <v>35.56</v>
      </c>
      <c r="Y104" s="70">
        <v>64.010000000000005</v>
      </c>
      <c r="Z104" s="70">
        <v>43.11</v>
      </c>
      <c r="AA104" s="80">
        <v>0</v>
      </c>
      <c r="AB104" s="70">
        <v>539.79</v>
      </c>
      <c r="AC104" s="75"/>
      <c r="AD104" s="70">
        <v>99.56</v>
      </c>
      <c r="AE104" s="75">
        <v>179.21</v>
      </c>
      <c r="AF104" s="75">
        <v>378.87</v>
      </c>
      <c r="AG104" s="75">
        <v>5436.15</v>
      </c>
      <c r="AH104" s="75">
        <v>296.81</v>
      </c>
      <c r="AI104" s="75">
        <v>108.72</v>
      </c>
      <c r="AJ104" s="70">
        <v>64.33</v>
      </c>
      <c r="AK104" s="70">
        <v>657.64</v>
      </c>
      <c r="AL104" s="70">
        <v>284.47000000000003</v>
      </c>
      <c r="AM104" s="70">
        <v>239.91000000000003</v>
      </c>
      <c r="AN104" s="70">
        <v>297.6755010404118</v>
      </c>
      <c r="AO104" s="71" t="s">
        <v>652</v>
      </c>
    </row>
    <row r="105" spans="2:44" hidden="1" outlineLevel="2" x14ac:dyDescent="0.2">
      <c r="B105" s="70" t="s">
        <v>114</v>
      </c>
      <c r="C105" s="70" t="s">
        <v>381</v>
      </c>
      <c r="D105" s="70">
        <v>15</v>
      </c>
      <c r="E105" s="70">
        <v>0</v>
      </c>
      <c r="F105" s="70">
        <v>266.67</v>
      </c>
      <c r="G105" s="70">
        <v>282.8</v>
      </c>
      <c r="H105" s="70">
        <v>4000.05</v>
      </c>
      <c r="I105" s="70">
        <v>0</v>
      </c>
      <c r="J105" s="70">
        <v>0</v>
      </c>
      <c r="K105" s="70">
        <v>4000.05</v>
      </c>
      <c r="L105" s="70">
        <v>313.87</v>
      </c>
      <c r="M105" s="70">
        <v>0</v>
      </c>
      <c r="N105" s="70">
        <v>102.51</v>
      </c>
      <c r="O105" s="70">
        <v>564.39</v>
      </c>
      <c r="P105" s="70">
        <v>0</v>
      </c>
      <c r="Q105" s="70"/>
      <c r="R105" s="70">
        <v>0</v>
      </c>
      <c r="S105" s="70">
        <v>0</v>
      </c>
      <c r="T105" s="70">
        <v>0</v>
      </c>
      <c r="U105" s="70">
        <v>0.08</v>
      </c>
      <c r="V105" s="70">
        <v>980.85</v>
      </c>
      <c r="W105" s="70">
        <v>3019.2</v>
      </c>
      <c r="X105" s="70">
        <v>26.51</v>
      </c>
      <c r="Y105" s="70">
        <v>47.72</v>
      </c>
      <c r="Z105" s="70">
        <v>28.28</v>
      </c>
      <c r="AA105" s="70">
        <v>0</v>
      </c>
      <c r="AB105" s="70">
        <v>313.87</v>
      </c>
      <c r="AC105" s="75"/>
      <c r="AD105" s="70">
        <v>74.239999999999995</v>
      </c>
      <c r="AE105" s="75">
        <v>133.62</v>
      </c>
      <c r="AF105" s="75">
        <v>337.61</v>
      </c>
      <c r="AG105" s="75">
        <v>4000.05</v>
      </c>
      <c r="AH105" s="75">
        <v>267.86</v>
      </c>
      <c r="AI105" s="75">
        <v>80</v>
      </c>
      <c r="AJ105" s="70">
        <v>47.96</v>
      </c>
      <c r="AK105" s="70">
        <v>545.47</v>
      </c>
      <c r="AL105" s="70">
        <v>212.1</v>
      </c>
      <c r="AM105" s="70">
        <v>225.44</v>
      </c>
      <c r="AN105" s="70">
        <v>219.03679772204578</v>
      </c>
      <c r="AO105" s="71" t="s">
        <v>652</v>
      </c>
    </row>
    <row r="106" spans="2:44" hidden="1" outlineLevel="2" x14ac:dyDescent="0.2">
      <c r="B106" s="70" t="s">
        <v>116</v>
      </c>
      <c r="C106" s="70" t="s">
        <v>383</v>
      </c>
      <c r="D106" s="70">
        <v>15</v>
      </c>
      <c r="E106" s="70">
        <v>0</v>
      </c>
      <c r="F106" s="70">
        <v>266.67</v>
      </c>
      <c r="G106" s="70">
        <v>282.8</v>
      </c>
      <c r="H106" s="70">
        <v>4000.05</v>
      </c>
      <c r="I106" s="70">
        <v>0</v>
      </c>
      <c r="J106" s="70">
        <v>0</v>
      </c>
      <c r="K106" s="70">
        <v>4000.05</v>
      </c>
      <c r="L106" s="70">
        <v>313.87</v>
      </c>
      <c r="M106" s="70">
        <v>0</v>
      </c>
      <c r="N106" s="70">
        <v>102.51</v>
      </c>
      <c r="O106" s="70">
        <v>0</v>
      </c>
      <c r="P106" s="70">
        <v>1343.42</v>
      </c>
      <c r="Q106" s="70"/>
      <c r="R106" s="70">
        <v>0</v>
      </c>
      <c r="S106" s="70">
        <v>0</v>
      </c>
      <c r="T106" s="70">
        <v>0</v>
      </c>
      <c r="U106" s="80">
        <v>-0.15</v>
      </c>
      <c r="V106" s="70">
        <v>1759.65</v>
      </c>
      <c r="W106" s="70">
        <v>2240.4</v>
      </c>
      <c r="X106" s="70">
        <v>26.51</v>
      </c>
      <c r="Y106" s="70">
        <v>47.72</v>
      </c>
      <c r="Z106" s="70">
        <v>28.28</v>
      </c>
      <c r="AA106" s="70">
        <v>0</v>
      </c>
      <c r="AB106" s="70">
        <v>313.87</v>
      </c>
      <c r="AC106" s="75"/>
      <c r="AD106" s="70">
        <v>74.239999999999995</v>
      </c>
      <c r="AE106" s="75">
        <v>133.62</v>
      </c>
      <c r="AF106" s="75">
        <v>337.61</v>
      </c>
      <c r="AG106" s="75">
        <v>4000.05</v>
      </c>
      <c r="AH106" s="75">
        <v>267.86</v>
      </c>
      <c r="AI106" s="75">
        <v>80</v>
      </c>
      <c r="AJ106" s="70">
        <v>47.96</v>
      </c>
      <c r="AK106" s="70">
        <v>545.47</v>
      </c>
      <c r="AL106" s="70">
        <v>212.1</v>
      </c>
      <c r="AM106" s="70">
        <v>225.44</v>
      </c>
      <c r="AN106" s="70">
        <v>219.03679772204578</v>
      </c>
      <c r="AO106" s="71" t="s">
        <v>652</v>
      </c>
    </row>
    <row r="107" spans="2:44" hidden="1" outlineLevel="2" x14ac:dyDescent="0.2">
      <c r="B107" s="70" t="s">
        <v>244</v>
      </c>
      <c r="C107" s="70" t="s">
        <v>384</v>
      </c>
      <c r="D107" s="70">
        <v>10</v>
      </c>
      <c r="E107" s="70">
        <v>5</v>
      </c>
      <c r="F107" s="70">
        <v>200</v>
      </c>
      <c r="G107" s="70">
        <v>212.11</v>
      </c>
      <c r="H107" s="70">
        <v>2000</v>
      </c>
      <c r="I107" s="70">
        <v>1000</v>
      </c>
      <c r="J107" s="70">
        <v>300</v>
      </c>
      <c r="K107" s="70">
        <v>3300</v>
      </c>
      <c r="L107" s="70">
        <v>59.69</v>
      </c>
      <c r="M107" s="70">
        <v>0</v>
      </c>
      <c r="N107" s="70">
        <v>75.56</v>
      </c>
      <c r="O107" s="70">
        <v>1077.78</v>
      </c>
      <c r="P107" s="70">
        <v>0</v>
      </c>
      <c r="Q107" s="70"/>
      <c r="R107" s="70">
        <v>0</v>
      </c>
      <c r="S107" s="70">
        <v>0</v>
      </c>
      <c r="T107" s="70">
        <v>0</v>
      </c>
      <c r="U107" s="80">
        <v>-0.03</v>
      </c>
      <c r="V107" s="70">
        <v>1213</v>
      </c>
      <c r="W107" s="70">
        <v>2087</v>
      </c>
      <c r="X107" s="70">
        <v>19.89</v>
      </c>
      <c r="Y107" s="70">
        <v>35.79</v>
      </c>
      <c r="Z107" s="70">
        <v>19.88</v>
      </c>
      <c r="AA107" s="80">
        <v>-145.38</v>
      </c>
      <c r="AB107" s="70">
        <v>205.07</v>
      </c>
      <c r="AC107" s="75"/>
      <c r="AD107" s="70">
        <v>55.68</v>
      </c>
      <c r="AE107" s="75">
        <v>100.22</v>
      </c>
      <c r="AF107" s="75">
        <v>314.22000000000003</v>
      </c>
      <c r="AG107" s="75">
        <v>3300</v>
      </c>
      <c r="AH107" s="75">
        <v>246.65</v>
      </c>
      <c r="AI107" s="75">
        <v>66</v>
      </c>
      <c r="AJ107" s="70">
        <v>35.97</v>
      </c>
      <c r="AK107" s="70">
        <v>470.12</v>
      </c>
      <c r="AL107" s="70">
        <v>159.08000000000001</v>
      </c>
      <c r="AM107" s="70">
        <v>214.84</v>
      </c>
      <c r="AN107" s="70">
        <v>164.27554484722373</v>
      </c>
      <c r="AO107" s="71" t="s">
        <v>652</v>
      </c>
    </row>
    <row r="108" spans="2:44" hidden="1" outlineLevel="2" x14ac:dyDescent="0.2">
      <c r="B108" s="70" t="s">
        <v>408</v>
      </c>
      <c r="C108" s="70" t="s">
        <v>405</v>
      </c>
      <c r="D108" s="70">
        <v>15</v>
      </c>
      <c r="E108" s="70">
        <v>0</v>
      </c>
      <c r="F108" s="70">
        <v>275</v>
      </c>
      <c r="G108" s="70">
        <v>287.43</v>
      </c>
      <c r="H108" s="70">
        <v>4125</v>
      </c>
      <c r="I108" s="70">
        <v>0</v>
      </c>
      <c r="J108" s="70">
        <v>0</v>
      </c>
      <c r="K108" s="70">
        <v>4125</v>
      </c>
      <c r="L108" s="70">
        <v>327.47000000000003</v>
      </c>
      <c r="M108" s="70">
        <v>0</v>
      </c>
      <c r="N108" s="70">
        <v>104.44</v>
      </c>
      <c r="O108" s="70">
        <v>0</v>
      </c>
      <c r="P108" s="70">
        <v>0</v>
      </c>
      <c r="Q108" s="70"/>
      <c r="R108" s="70">
        <v>0</v>
      </c>
      <c r="S108" s="70">
        <v>0</v>
      </c>
      <c r="T108" s="70">
        <v>0</v>
      </c>
      <c r="U108" s="70">
        <v>0.09</v>
      </c>
      <c r="V108" s="70">
        <v>432</v>
      </c>
      <c r="W108" s="70">
        <v>3693</v>
      </c>
      <c r="X108" s="70">
        <v>26.95</v>
      </c>
      <c r="Y108" s="70">
        <v>48.5</v>
      </c>
      <c r="Z108" s="70">
        <v>28.99</v>
      </c>
      <c r="AA108" s="70">
        <v>0</v>
      </c>
      <c r="AB108" s="70">
        <v>327.47000000000003</v>
      </c>
      <c r="AC108" s="75"/>
      <c r="AD108" s="70">
        <v>75.45</v>
      </c>
      <c r="AE108" s="75">
        <v>135.81</v>
      </c>
      <c r="AF108" s="75">
        <v>339.59</v>
      </c>
      <c r="AG108" s="75">
        <v>4125</v>
      </c>
      <c r="AH108" s="75">
        <v>269.25</v>
      </c>
      <c r="AI108" s="75">
        <v>82.5</v>
      </c>
      <c r="AJ108" s="70">
        <v>48.75</v>
      </c>
      <c r="AK108" s="70">
        <v>550.85</v>
      </c>
      <c r="AL108" s="70">
        <v>215.57</v>
      </c>
      <c r="AM108" s="70">
        <v>226.13</v>
      </c>
      <c r="AN108" s="70">
        <v>225.87887416493263</v>
      </c>
      <c r="AO108" s="71" t="s">
        <v>652</v>
      </c>
    </row>
    <row r="109" spans="2:44" s="75" customFormat="1" hidden="1" outlineLevel="2" x14ac:dyDescent="0.2">
      <c r="B109" s="70" t="s">
        <v>471</v>
      </c>
      <c r="C109" s="70" t="s">
        <v>472</v>
      </c>
      <c r="D109" s="70">
        <v>15</v>
      </c>
      <c r="E109" s="70">
        <v>0</v>
      </c>
      <c r="F109" s="70">
        <v>200</v>
      </c>
      <c r="G109" s="70">
        <v>212.11</v>
      </c>
      <c r="H109" s="70">
        <v>3000</v>
      </c>
      <c r="I109" s="70">
        <v>0</v>
      </c>
      <c r="J109" s="70">
        <v>0</v>
      </c>
      <c r="K109" s="70">
        <v>3000</v>
      </c>
      <c r="L109" s="70">
        <v>59.69</v>
      </c>
      <c r="M109" s="70">
        <v>0</v>
      </c>
      <c r="N109" s="70">
        <v>75.56</v>
      </c>
      <c r="O109" s="70">
        <v>0</v>
      </c>
      <c r="P109" s="70">
        <v>0</v>
      </c>
      <c r="Q109" s="70"/>
      <c r="R109" s="70">
        <v>0</v>
      </c>
      <c r="S109" s="70">
        <v>0</v>
      </c>
      <c r="T109" s="70">
        <v>0</v>
      </c>
      <c r="U109" s="70">
        <v>-0.05</v>
      </c>
      <c r="V109" s="70">
        <v>135.19999999999999</v>
      </c>
      <c r="W109" s="70">
        <v>2864.8</v>
      </c>
      <c r="X109" s="70">
        <v>19.89</v>
      </c>
      <c r="Y109" s="70">
        <v>35.79</v>
      </c>
      <c r="Z109" s="70">
        <v>19.88</v>
      </c>
      <c r="AA109" s="80">
        <v>-145.38</v>
      </c>
      <c r="AB109" s="70">
        <v>205.07</v>
      </c>
      <c r="AD109" s="70">
        <v>55.68</v>
      </c>
      <c r="AE109" s="75">
        <v>100.22</v>
      </c>
      <c r="AF109" s="75">
        <v>314.22000000000003</v>
      </c>
      <c r="AG109" s="75">
        <v>3000</v>
      </c>
      <c r="AH109" s="75">
        <v>246.65</v>
      </c>
      <c r="AI109" s="75">
        <v>60</v>
      </c>
      <c r="AJ109" s="70">
        <v>35.97</v>
      </c>
      <c r="AK109" s="70">
        <v>470.12</v>
      </c>
      <c r="AL109" s="70">
        <v>159.08000000000001</v>
      </c>
      <c r="AM109" s="70">
        <v>214.84</v>
      </c>
      <c r="AN109" s="70">
        <v>164.27554484722373</v>
      </c>
      <c r="AO109" s="71" t="s">
        <v>652</v>
      </c>
      <c r="AP109" s="71"/>
      <c r="AQ109" s="71"/>
      <c r="AR109" s="71"/>
    </row>
    <row r="110" spans="2:44" hidden="1" outlineLevel="2" x14ac:dyDescent="0.2">
      <c r="B110" s="70" t="s">
        <v>475</v>
      </c>
      <c r="C110" s="70" t="s">
        <v>476</v>
      </c>
      <c r="D110" s="70">
        <v>15</v>
      </c>
      <c r="E110" s="70">
        <v>0</v>
      </c>
      <c r="F110" s="70">
        <v>266.67</v>
      </c>
      <c r="G110" s="70">
        <v>282.81</v>
      </c>
      <c r="H110" s="70">
        <v>4000</v>
      </c>
      <c r="I110" s="70">
        <v>0</v>
      </c>
      <c r="J110" s="70">
        <v>0</v>
      </c>
      <c r="K110" s="70">
        <v>4000</v>
      </c>
      <c r="L110" s="70">
        <v>313.87</v>
      </c>
      <c r="M110" s="70">
        <v>0</v>
      </c>
      <c r="N110" s="70">
        <v>102.51</v>
      </c>
      <c r="O110" s="70">
        <v>0</v>
      </c>
      <c r="P110" s="70">
        <v>0</v>
      </c>
      <c r="Q110" s="70"/>
      <c r="R110" s="70">
        <v>0</v>
      </c>
      <c r="S110" s="70">
        <v>0</v>
      </c>
      <c r="T110" s="70">
        <v>0</v>
      </c>
      <c r="U110" s="80">
        <v>0.02</v>
      </c>
      <c r="V110" s="70">
        <v>416.4</v>
      </c>
      <c r="W110" s="70">
        <v>3583.6</v>
      </c>
      <c r="X110" s="70">
        <v>26.51</v>
      </c>
      <c r="Y110" s="70">
        <v>47.72</v>
      </c>
      <c r="Z110" s="70">
        <v>28.28</v>
      </c>
      <c r="AA110" s="80">
        <v>0</v>
      </c>
      <c r="AB110" s="70">
        <v>313.87</v>
      </c>
      <c r="AC110" s="75"/>
      <c r="AD110" s="70">
        <v>74.239999999999995</v>
      </c>
      <c r="AE110" s="75">
        <v>133.63</v>
      </c>
      <c r="AF110" s="75">
        <v>337.62</v>
      </c>
      <c r="AG110" s="75">
        <v>4000</v>
      </c>
      <c r="AH110" s="75">
        <v>267.86</v>
      </c>
      <c r="AI110" s="75">
        <v>80</v>
      </c>
      <c r="AJ110" s="70">
        <v>47.96</v>
      </c>
      <c r="AK110" s="70">
        <v>545.49</v>
      </c>
      <c r="AL110" s="70">
        <v>212.11</v>
      </c>
      <c r="AM110" s="70">
        <v>225.44</v>
      </c>
      <c r="AN110" s="70">
        <v>219.03679772204578</v>
      </c>
      <c r="AO110" s="81" t="s">
        <v>652</v>
      </c>
    </row>
    <row r="111" spans="2:44" hidden="1" outlineLevel="2" x14ac:dyDescent="0.2">
      <c r="B111" s="70" t="s">
        <v>477</v>
      </c>
      <c r="C111" s="70" t="s">
        <v>478</v>
      </c>
      <c r="D111" s="70">
        <v>15</v>
      </c>
      <c r="E111" s="70">
        <v>0</v>
      </c>
      <c r="F111" s="70">
        <v>341.35</v>
      </c>
      <c r="G111" s="70">
        <v>357.25</v>
      </c>
      <c r="H111" s="70">
        <v>5120.25</v>
      </c>
      <c r="I111" s="70">
        <v>0</v>
      </c>
      <c r="J111" s="70">
        <v>0</v>
      </c>
      <c r="K111" s="70">
        <v>5120.25</v>
      </c>
      <c r="L111" s="70">
        <v>483.19</v>
      </c>
      <c r="M111" s="70">
        <v>0</v>
      </c>
      <c r="N111" s="70">
        <v>133.51</v>
      </c>
      <c r="O111" s="70">
        <v>0</v>
      </c>
      <c r="P111" s="70">
        <v>0</v>
      </c>
      <c r="Q111" s="70"/>
      <c r="R111" s="70">
        <v>0</v>
      </c>
      <c r="S111" s="70">
        <v>0</v>
      </c>
      <c r="T111" s="70">
        <v>0</v>
      </c>
      <c r="U111" s="80">
        <v>-0.05</v>
      </c>
      <c r="V111" s="70">
        <v>616.65</v>
      </c>
      <c r="W111" s="70">
        <v>4503.6000000000004</v>
      </c>
      <c r="X111" s="70">
        <v>33.49</v>
      </c>
      <c r="Y111" s="70">
        <v>60.29</v>
      </c>
      <c r="Z111" s="70">
        <v>39.729999999999997</v>
      </c>
      <c r="AA111" s="70">
        <v>0</v>
      </c>
      <c r="AB111" s="70">
        <v>483.19</v>
      </c>
      <c r="AC111" s="75"/>
      <c r="AD111" s="70">
        <v>93.78</v>
      </c>
      <c r="AE111" s="75">
        <v>168.8</v>
      </c>
      <c r="AF111" s="75">
        <v>369.44</v>
      </c>
      <c r="AG111" s="75">
        <v>5120.25</v>
      </c>
      <c r="AH111" s="75">
        <v>290.19</v>
      </c>
      <c r="AI111" s="75">
        <v>102.41</v>
      </c>
      <c r="AJ111" s="70">
        <v>60.59</v>
      </c>
      <c r="AK111" s="70">
        <v>632.02</v>
      </c>
      <c r="AL111" s="70">
        <v>267.94</v>
      </c>
      <c r="AM111" s="70">
        <v>236.61</v>
      </c>
      <c r="AN111" s="70">
        <v>280.3772861679991</v>
      </c>
      <c r="AO111" s="71" t="s">
        <v>652</v>
      </c>
    </row>
    <row r="112" spans="2:44" hidden="1" outlineLevel="2" x14ac:dyDescent="0.2">
      <c r="B112" s="70" t="s">
        <v>593</v>
      </c>
      <c r="C112" s="70" t="s">
        <v>594</v>
      </c>
      <c r="D112" s="70">
        <v>15</v>
      </c>
      <c r="E112" s="70">
        <v>0</v>
      </c>
      <c r="F112" s="70">
        <v>300.23</v>
      </c>
      <c r="G112" s="70">
        <v>318.41000000000003</v>
      </c>
      <c r="H112" s="70">
        <v>4503.45</v>
      </c>
      <c r="I112" s="70">
        <v>0</v>
      </c>
      <c r="J112" s="70">
        <v>0</v>
      </c>
      <c r="K112" s="70">
        <v>4503.45</v>
      </c>
      <c r="L112" s="70">
        <v>381.22</v>
      </c>
      <c r="M112" s="70">
        <v>0</v>
      </c>
      <c r="N112" s="70">
        <v>117.33</v>
      </c>
      <c r="O112" s="70">
        <v>571.83000000000004</v>
      </c>
      <c r="P112" s="70">
        <v>0</v>
      </c>
      <c r="Q112" s="70"/>
      <c r="R112" s="70">
        <v>0</v>
      </c>
      <c r="S112" s="70">
        <v>0</v>
      </c>
      <c r="T112" s="70">
        <v>0</v>
      </c>
      <c r="U112" s="70">
        <v>7.0000000000000007E-2</v>
      </c>
      <c r="V112" s="70">
        <v>1070.45</v>
      </c>
      <c r="W112" s="70">
        <v>3433</v>
      </c>
      <c r="X112" s="70">
        <v>29.85</v>
      </c>
      <c r="Y112" s="70">
        <v>53.73</v>
      </c>
      <c r="Z112" s="70">
        <v>33.75</v>
      </c>
      <c r="AA112" s="70">
        <v>0</v>
      </c>
      <c r="AB112" s="70">
        <v>381.22</v>
      </c>
      <c r="AC112" s="75"/>
      <c r="AD112" s="70">
        <v>83.58</v>
      </c>
      <c r="AE112" s="75">
        <v>150.44999999999999</v>
      </c>
      <c r="AF112" s="75">
        <v>352.84</v>
      </c>
      <c r="AG112" s="75">
        <v>4503.45</v>
      </c>
      <c r="AH112" s="75">
        <v>278.54000000000002</v>
      </c>
      <c r="AI112" s="75">
        <v>90.07</v>
      </c>
      <c r="AJ112" s="70">
        <v>54</v>
      </c>
      <c r="AK112" s="70">
        <v>586.87</v>
      </c>
      <c r="AL112" s="70">
        <v>238.81</v>
      </c>
      <c r="AM112" s="70">
        <v>230.78</v>
      </c>
      <c r="AN112" s="70">
        <v>246.60223414740992</v>
      </c>
      <c r="AO112" s="71" t="s">
        <v>652</v>
      </c>
    </row>
    <row r="113" spans="1:41" hidden="1" outlineLevel="2" x14ac:dyDescent="0.2">
      <c r="B113" s="70" t="s">
        <v>533</v>
      </c>
      <c r="C113" s="70" t="s">
        <v>531</v>
      </c>
      <c r="D113" s="70">
        <v>14</v>
      </c>
      <c r="E113" s="70">
        <v>0</v>
      </c>
      <c r="F113" s="70">
        <v>200</v>
      </c>
      <c r="G113" s="70">
        <v>212.11</v>
      </c>
      <c r="H113" s="70">
        <v>2800</v>
      </c>
      <c r="I113" s="70">
        <v>0</v>
      </c>
      <c r="J113" s="70">
        <v>0</v>
      </c>
      <c r="K113" s="70">
        <v>2800</v>
      </c>
      <c r="L113" s="70">
        <v>37.93</v>
      </c>
      <c r="M113" s="70">
        <v>0</v>
      </c>
      <c r="N113" s="70">
        <v>71.849999999999994</v>
      </c>
      <c r="O113" s="70">
        <v>911.11</v>
      </c>
      <c r="P113" s="70">
        <v>0</v>
      </c>
      <c r="Q113" s="70"/>
      <c r="R113" s="70">
        <v>0</v>
      </c>
      <c r="S113" s="70">
        <v>0</v>
      </c>
      <c r="T113" s="70">
        <v>0</v>
      </c>
      <c r="U113" s="80">
        <v>0.11</v>
      </c>
      <c r="V113" s="70">
        <v>1021</v>
      </c>
      <c r="W113" s="70">
        <v>1779</v>
      </c>
      <c r="X113" s="70">
        <v>18.559999999999999</v>
      </c>
      <c r="Y113" s="70">
        <v>33.409999999999997</v>
      </c>
      <c r="Z113" s="70">
        <v>19.88</v>
      </c>
      <c r="AA113" s="70">
        <v>-145.38</v>
      </c>
      <c r="AB113" s="70">
        <v>183.31</v>
      </c>
      <c r="AC113" s="75"/>
      <c r="AD113" s="70">
        <v>55.68</v>
      </c>
      <c r="AE113" s="75">
        <v>100.22</v>
      </c>
      <c r="AF113" s="75">
        <v>314.22000000000003</v>
      </c>
      <c r="AG113" s="75">
        <v>2800</v>
      </c>
      <c r="AH113" s="75">
        <v>246.65</v>
      </c>
      <c r="AI113" s="75">
        <v>56</v>
      </c>
      <c r="AJ113" s="70">
        <v>35.97</v>
      </c>
      <c r="AK113" s="70">
        <v>470.12</v>
      </c>
      <c r="AL113" s="70">
        <v>159.08000000000001</v>
      </c>
      <c r="AM113" s="70">
        <v>214.84</v>
      </c>
      <c r="AN113" s="70">
        <v>164.27554484722373</v>
      </c>
      <c r="AO113" s="71" t="s">
        <v>652</v>
      </c>
    </row>
    <row r="114" spans="1:41" hidden="1" outlineLevel="2" x14ac:dyDescent="0.2">
      <c r="B114" s="70" t="s">
        <v>544</v>
      </c>
      <c r="C114" s="70" t="s">
        <v>373</v>
      </c>
      <c r="D114" s="70">
        <v>8</v>
      </c>
      <c r="E114" s="70">
        <v>7</v>
      </c>
      <c r="F114" s="70">
        <v>185.83</v>
      </c>
      <c r="G114" s="70">
        <v>197.09</v>
      </c>
      <c r="H114" s="70">
        <v>1486.64</v>
      </c>
      <c r="I114" s="70">
        <v>1300.81</v>
      </c>
      <c r="J114" s="70">
        <v>390.24</v>
      </c>
      <c r="K114" s="70">
        <v>3177.69</v>
      </c>
      <c r="L114" s="70">
        <v>36.57</v>
      </c>
      <c r="M114" s="70">
        <v>0</v>
      </c>
      <c r="N114" s="70">
        <v>70.22</v>
      </c>
      <c r="O114" s="70">
        <v>1349.52</v>
      </c>
      <c r="P114" s="70">
        <v>0</v>
      </c>
      <c r="Q114" s="70"/>
      <c r="R114" s="70">
        <v>0</v>
      </c>
      <c r="S114" s="70">
        <v>0</v>
      </c>
      <c r="T114" s="70">
        <v>0</v>
      </c>
      <c r="U114" s="80">
        <v>-0.02</v>
      </c>
      <c r="V114" s="70">
        <v>1456.29</v>
      </c>
      <c r="W114" s="70">
        <v>1721.4</v>
      </c>
      <c r="X114" s="70">
        <v>18.48</v>
      </c>
      <c r="Y114" s="70">
        <v>33.26</v>
      </c>
      <c r="Z114" s="70">
        <v>18.48</v>
      </c>
      <c r="AA114" s="80">
        <v>-145.38</v>
      </c>
      <c r="AB114" s="70">
        <v>181.94</v>
      </c>
      <c r="AC114" s="75"/>
      <c r="AD114" s="70">
        <v>51.74</v>
      </c>
      <c r="AE114" s="75">
        <v>93.13</v>
      </c>
      <c r="AF114" s="75">
        <v>310.27</v>
      </c>
      <c r="AG114" s="75">
        <v>2787.45</v>
      </c>
      <c r="AH114" s="75">
        <v>242.15</v>
      </c>
      <c r="AI114" s="75">
        <v>55.75</v>
      </c>
      <c r="AJ114" s="70">
        <v>33.43</v>
      </c>
      <c r="AK114" s="70">
        <v>455.14</v>
      </c>
      <c r="AL114" s="70">
        <v>147.82</v>
      </c>
      <c r="AM114" s="70">
        <v>212.58</v>
      </c>
      <c r="AN114" s="70">
        <v>152.63662249479793</v>
      </c>
      <c r="AO114" s="71" t="s">
        <v>652</v>
      </c>
    </row>
    <row r="115" spans="1:41" hidden="1" outlineLevel="2" x14ac:dyDescent="0.2">
      <c r="B115" s="70" t="s">
        <v>554</v>
      </c>
      <c r="C115" s="70" t="s">
        <v>456</v>
      </c>
      <c r="D115" s="70">
        <v>15</v>
      </c>
      <c r="E115" s="70">
        <v>0</v>
      </c>
      <c r="F115" s="70">
        <v>312.87</v>
      </c>
      <c r="G115" s="70">
        <v>327.01</v>
      </c>
      <c r="H115" s="70">
        <v>4693.05</v>
      </c>
      <c r="I115" s="70">
        <v>0</v>
      </c>
      <c r="J115" s="70">
        <v>0</v>
      </c>
      <c r="K115" s="70">
        <v>4693.05</v>
      </c>
      <c r="L115" s="70">
        <v>411.56</v>
      </c>
      <c r="M115" s="70">
        <v>0</v>
      </c>
      <c r="N115" s="70">
        <v>120.9</v>
      </c>
      <c r="O115" s="70">
        <v>0</v>
      </c>
      <c r="P115" s="70">
        <v>0</v>
      </c>
      <c r="Q115" s="70"/>
      <c r="R115" s="70">
        <v>0</v>
      </c>
      <c r="S115" s="70">
        <v>0</v>
      </c>
      <c r="T115" s="70">
        <v>0</v>
      </c>
      <c r="U115" s="70">
        <v>-0.01</v>
      </c>
      <c r="V115" s="70">
        <v>532.45000000000005</v>
      </c>
      <c r="W115" s="70">
        <v>4160.6000000000004</v>
      </c>
      <c r="X115" s="70">
        <v>30.66</v>
      </c>
      <c r="Y115" s="70">
        <v>55.18</v>
      </c>
      <c r="Z115" s="70">
        <v>35.06</v>
      </c>
      <c r="AA115" s="70">
        <v>0</v>
      </c>
      <c r="AB115" s="70">
        <v>411.56</v>
      </c>
      <c r="AC115" s="75"/>
      <c r="AD115" s="70">
        <v>85.84</v>
      </c>
      <c r="AE115" s="75">
        <v>154.51</v>
      </c>
      <c r="AF115" s="75">
        <v>356.51</v>
      </c>
      <c r="AG115" s="75">
        <v>4693.05</v>
      </c>
      <c r="AH115" s="75">
        <v>281.12</v>
      </c>
      <c r="AI115" s="75">
        <v>93.86</v>
      </c>
      <c r="AJ115" s="70">
        <v>55.46</v>
      </c>
      <c r="AK115" s="70">
        <v>596.86</v>
      </c>
      <c r="AL115" s="70">
        <v>245.26</v>
      </c>
      <c r="AM115" s="70">
        <v>232.07</v>
      </c>
      <c r="AN115" s="70">
        <v>256.98444858175446</v>
      </c>
      <c r="AO115" s="71" t="s">
        <v>652</v>
      </c>
    </row>
    <row r="116" spans="1:41" hidden="1" outlineLevel="2" x14ac:dyDescent="0.2">
      <c r="B116" s="70" t="s">
        <v>596</v>
      </c>
      <c r="C116" s="70" t="s">
        <v>597</v>
      </c>
      <c r="D116" s="70">
        <v>15</v>
      </c>
      <c r="E116" s="70">
        <v>0</v>
      </c>
      <c r="F116" s="70">
        <v>333.33</v>
      </c>
      <c r="G116" s="70">
        <v>353.52</v>
      </c>
      <c r="H116" s="70">
        <v>4999.95</v>
      </c>
      <c r="I116" s="70">
        <v>0</v>
      </c>
      <c r="J116" s="70">
        <v>0</v>
      </c>
      <c r="K116" s="70">
        <v>4999.95</v>
      </c>
      <c r="L116" s="70">
        <v>461.63</v>
      </c>
      <c r="M116" s="70">
        <v>0</v>
      </c>
      <c r="N116" s="70">
        <v>131.94999999999999</v>
      </c>
      <c r="O116" s="70">
        <v>0</v>
      </c>
      <c r="P116" s="70">
        <v>0</v>
      </c>
      <c r="Q116" s="70"/>
      <c r="R116" s="70">
        <v>0</v>
      </c>
      <c r="S116" s="70">
        <v>0</v>
      </c>
      <c r="T116" s="70">
        <v>0</v>
      </c>
      <c r="U116" s="80">
        <v>-0.03</v>
      </c>
      <c r="V116" s="70">
        <v>593.54999999999995</v>
      </c>
      <c r="W116" s="70">
        <v>4406.3999999999996</v>
      </c>
      <c r="X116" s="70">
        <v>33.14</v>
      </c>
      <c r="Y116" s="70">
        <v>59.66</v>
      </c>
      <c r="Z116" s="70">
        <v>39.15</v>
      </c>
      <c r="AA116" s="80">
        <v>0</v>
      </c>
      <c r="AB116" s="70">
        <v>461.63</v>
      </c>
      <c r="AC116" s="75"/>
      <c r="AD116" s="70">
        <v>92.8</v>
      </c>
      <c r="AE116" s="75">
        <v>167.04</v>
      </c>
      <c r="AF116" s="75">
        <v>367.85</v>
      </c>
      <c r="AG116" s="75">
        <v>4999.95</v>
      </c>
      <c r="AH116" s="75">
        <v>289.08000000000004</v>
      </c>
      <c r="AI116" s="75">
        <v>100</v>
      </c>
      <c r="AJ116" s="70">
        <v>59.96</v>
      </c>
      <c r="AK116" s="70">
        <v>627.69000000000005</v>
      </c>
      <c r="AL116" s="70">
        <v>265.14</v>
      </c>
      <c r="AM116" s="70">
        <v>236.05</v>
      </c>
      <c r="AN116" s="70">
        <v>273.78983681962541</v>
      </c>
      <c r="AO116" s="71" t="s">
        <v>652</v>
      </c>
    </row>
    <row r="117" spans="1:41" hidden="1" outlineLevel="2" x14ac:dyDescent="0.2">
      <c r="B117" s="70" t="s">
        <v>600</v>
      </c>
      <c r="C117" s="70" t="s">
        <v>601</v>
      </c>
      <c r="D117" s="70">
        <v>15</v>
      </c>
      <c r="E117" s="70">
        <v>0</v>
      </c>
      <c r="F117" s="70">
        <v>200</v>
      </c>
      <c r="G117" s="70">
        <v>209.04</v>
      </c>
      <c r="H117" s="70">
        <v>3000</v>
      </c>
      <c r="I117" s="70">
        <v>0</v>
      </c>
      <c r="J117" s="70">
        <v>0</v>
      </c>
      <c r="K117" s="70">
        <v>3000</v>
      </c>
      <c r="L117" s="70">
        <v>59.69</v>
      </c>
      <c r="M117" s="70">
        <v>0</v>
      </c>
      <c r="N117" s="70">
        <v>74.48</v>
      </c>
      <c r="O117" s="70">
        <v>0</v>
      </c>
      <c r="P117" s="70">
        <v>0</v>
      </c>
      <c r="Q117" s="70"/>
      <c r="R117" s="70">
        <v>0</v>
      </c>
      <c r="S117" s="70">
        <v>0</v>
      </c>
      <c r="T117" s="70">
        <v>0</v>
      </c>
      <c r="U117" s="70">
        <v>0.03</v>
      </c>
      <c r="V117" s="70">
        <v>134.19999999999999</v>
      </c>
      <c r="W117" s="70">
        <v>2865.8</v>
      </c>
      <c r="X117" s="70">
        <v>19.600000000000001</v>
      </c>
      <c r="Y117" s="70">
        <v>35.28</v>
      </c>
      <c r="Z117" s="70">
        <v>19.600000000000001</v>
      </c>
      <c r="AA117" s="80">
        <v>-145.38</v>
      </c>
      <c r="AB117" s="70">
        <v>205.07</v>
      </c>
      <c r="AC117" s="75"/>
      <c r="AD117" s="70">
        <v>54.87</v>
      </c>
      <c r="AE117" s="75">
        <v>98.77</v>
      </c>
      <c r="AF117" s="75">
        <v>313.41000000000003</v>
      </c>
      <c r="AG117" s="75">
        <v>3000</v>
      </c>
      <c r="AH117" s="75">
        <v>245.73000000000002</v>
      </c>
      <c r="AI117" s="75">
        <v>60</v>
      </c>
      <c r="AJ117" s="70">
        <v>35.450000000000003</v>
      </c>
      <c r="AK117" s="70">
        <v>467.05</v>
      </c>
      <c r="AL117" s="70">
        <v>156.78</v>
      </c>
      <c r="AM117" s="70">
        <v>214.38</v>
      </c>
      <c r="AN117" s="70">
        <v>164.27554484722373</v>
      </c>
      <c r="AO117" s="71" t="s">
        <v>652</v>
      </c>
    </row>
    <row r="118" spans="1:41" ht="15" hidden="1" customHeight="1" outlineLevel="2" x14ac:dyDescent="0.2">
      <c r="B118" s="63" t="s">
        <v>610</v>
      </c>
      <c r="C118" s="63" t="s">
        <v>611</v>
      </c>
      <c r="D118" s="68">
        <v>15</v>
      </c>
      <c r="E118" s="68">
        <v>0</v>
      </c>
      <c r="F118" s="68">
        <v>233.33</v>
      </c>
      <c r="G118" s="68">
        <v>243.88</v>
      </c>
      <c r="H118" s="68">
        <v>3499.95</v>
      </c>
      <c r="I118" s="68">
        <v>0</v>
      </c>
      <c r="J118" s="68">
        <v>0</v>
      </c>
      <c r="K118" s="68">
        <v>3499.95</v>
      </c>
      <c r="L118" s="68">
        <v>134.36000000000001</v>
      </c>
      <c r="M118" s="68">
        <v>0</v>
      </c>
      <c r="N118" s="68">
        <v>86.88</v>
      </c>
      <c r="O118" s="68">
        <v>0</v>
      </c>
      <c r="P118" s="68">
        <v>0</v>
      </c>
      <c r="Q118" s="68"/>
      <c r="R118" s="68">
        <v>0</v>
      </c>
      <c r="S118" s="68">
        <v>0</v>
      </c>
      <c r="T118" s="68">
        <v>0</v>
      </c>
      <c r="U118" s="68">
        <v>0.11</v>
      </c>
      <c r="V118" s="68">
        <v>221.35</v>
      </c>
      <c r="W118" s="68">
        <v>3278.6</v>
      </c>
      <c r="X118" s="68">
        <v>22.86</v>
      </c>
      <c r="Y118" s="68">
        <v>41.15</v>
      </c>
      <c r="Z118" s="68">
        <v>22.87</v>
      </c>
      <c r="AA118" s="79">
        <v>-125.1</v>
      </c>
      <c r="AB118" s="68">
        <v>259.45999999999998</v>
      </c>
      <c r="AD118" s="68">
        <v>64.02</v>
      </c>
      <c r="AE118" s="71">
        <v>115.23</v>
      </c>
      <c r="AF118" s="71">
        <v>322.56</v>
      </c>
      <c r="AG118" s="71">
        <v>3499.95</v>
      </c>
      <c r="AH118" s="71">
        <v>256.18</v>
      </c>
      <c r="AI118" s="71">
        <v>70</v>
      </c>
      <c r="AJ118" s="68">
        <v>41.36</v>
      </c>
      <c r="AK118" s="68">
        <v>501.81</v>
      </c>
      <c r="AL118" s="68">
        <v>182.91</v>
      </c>
      <c r="AM118" s="68">
        <v>219.60000000000002</v>
      </c>
      <c r="AN118" s="68">
        <v>191.65206439601357</v>
      </c>
      <c r="AO118" s="71" t="s">
        <v>652</v>
      </c>
    </row>
    <row r="119" spans="1:41" ht="15" customHeight="1" outlineLevel="1" collapsed="1" x14ac:dyDescent="0.2">
      <c r="A119" s="153" t="s">
        <v>668</v>
      </c>
      <c r="B119" s="63">
        <f t="shared" ref="B119:AO119" si="1">SUBTOTAL(9,B92:B118)</f>
        <v>0</v>
      </c>
      <c r="C119" s="63">
        <f t="shared" si="1"/>
        <v>0</v>
      </c>
      <c r="D119" s="68">
        <f>SUBTOTAL(9,D90:D118)</f>
        <v>420</v>
      </c>
      <c r="E119" s="68">
        <f t="shared" ref="E119:AM119" si="2">SUBTOTAL(9,E90:E118)</f>
        <v>14</v>
      </c>
      <c r="F119" s="68">
        <f t="shared" si="2"/>
        <v>7798.06</v>
      </c>
      <c r="G119" s="68">
        <f t="shared" si="2"/>
        <v>8237.5300000000007</v>
      </c>
      <c r="H119" s="68">
        <f t="shared" si="2"/>
        <v>113936.7</v>
      </c>
      <c r="I119" s="68">
        <f t="shared" si="2"/>
        <v>2834.15</v>
      </c>
      <c r="J119" s="68">
        <f t="shared" si="2"/>
        <v>850.24</v>
      </c>
      <c r="K119" s="68">
        <f t="shared" si="2"/>
        <v>117621.09000000001</v>
      </c>
      <c r="L119" s="68">
        <f t="shared" si="2"/>
        <v>8314.3499999999985</v>
      </c>
      <c r="M119" s="68">
        <f t="shared" si="2"/>
        <v>-39.729999999999997</v>
      </c>
      <c r="N119" s="68">
        <f t="shared" si="2"/>
        <v>3009.8999999999996</v>
      </c>
      <c r="O119" s="68">
        <f t="shared" si="2"/>
        <v>9275.4599999999991</v>
      </c>
      <c r="P119" s="68">
        <f t="shared" si="2"/>
        <v>1343.42</v>
      </c>
      <c r="Q119" s="68">
        <f t="shared" si="2"/>
        <v>0</v>
      </c>
      <c r="R119" s="68">
        <f t="shared" si="2"/>
        <v>0</v>
      </c>
      <c r="S119" s="68">
        <f t="shared" si="2"/>
        <v>0</v>
      </c>
      <c r="T119" s="68">
        <f t="shared" si="2"/>
        <v>500</v>
      </c>
      <c r="U119" s="68">
        <f t="shared" si="2"/>
        <v>0.49</v>
      </c>
      <c r="V119" s="68">
        <f t="shared" si="2"/>
        <v>22403.890000000003</v>
      </c>
      <c r="W119" s="68">
        <f t="shared" si="2"/>
        <v>95217.200000000012</v>
      </c>
      <c r="X119" s="68">
        <f t="shared" si="2"/>
        <v>770.94999999999993</v>
      </c>
      <c r="Y119" s="68">
        <f t="shared" si="2"/>
        <v>1387.6700000000003</v>
      </c>
      <c r="Z119" s="68">
        <f t="shared" si="2"/>
        <v>851.27999999999986</v>
      </c>
      <c r="AA119" s="68">
        <f t="shared" si="2"/>
        <v>-1567.7400000000002</v>
      </c>
      <c r="AB119" s="68">
        <f t="shared" si="2"/>
        <v>9842.3499999999967</v>
      </c>
      <c r="AC119" s="68">
        <f t="shared" si="2"/>
        <v>0</v>
      </c>
      <c r="AD119" s="68">
        <f t="shared" si="2"/>
        <v>2162.38</v>
      </c>
      <c r="AE119" s="68">
        <f t="shared" si="2"/>
        <v>3892.2299999999996</v>
      </c>
      <c r="AF119" s="68">
        <f t="shared" si="2"/>
        <v>9877.1099999999988</v>
      </c>
      <c r="AG119" s="68">
        <f t="shared" si="2"/>
        <v>117230.85</v>
      </c>
      <c r="AH119" s="68">
        <f t="shared" si="2"/>
        <v>7778.7999999999975</v>
      </c>
      <c r="AI119" s="68">
        <f t="shared" si="2"/>
        <v>2344.62</v>
      </c>
      <c r="AJ119" s="68">
        <f t="shared" si="2"/>
        <v>1397.0400000000004</v>
      </c>
      <c r="AK119" s="68">
        <f t="shared" si="2"/>
        <v>15931.720000000001</v>
      </c>
      <c r="AL119" s="68">
        <f t="shared" si="2"/>
        <v>6178.1699999999992</v>
      </c>
      <c r="AM119" s="68">
        <f t="shared" si="2"/>
        <v>6543.22</v>
      </c>
      <c r="AN119" s="68">
        <f>SUBTOTAL(9,AN90:AN118)</f>
        <v>6405.1527762567075</v>
      </c>
      <c r="AO119" s="71">
        <f t="shared" si="1"/>
        <v>0</v>
      </c>
    </row>
    <row r="120" spans="1:41" outlineLevel="1" x14ac:dyDescent="0.2">
      <c r="B120" s="83" t="s">
        <v>183</v>
      </c>
      <c r="C120" s="84"/>
      <c r="D120" s="84" t="s">
        <v>174</v>
      </c>
      <c r="E120" s="84" t="s">
        <v>174</v>
      </c>
      <c r="F120" s="84" t="s">
        <v>174</v>
      </c>
      <c r="G120" s="84" t="s">
        <v>174</v>
      </c>
      <c r="H120" s="84" t="s">
        <v>174</v>
      </c>
      <c r="I120" s="84" t="s">
        <v>174</v>
      </c>
      <c r="J120" s="84" t="s">
        <v>174</v>
      </c>
      <c r="K120" s="84" t="s">
        <v>174</v>
      </c>
      <c r="L120" s="84" t="s">
        <v>174</v>
      </c>
      <c r="M120" s="84" t="s">
        <v>174</v>
      </c>
      <c r="N120" s="84" t="s">
        <v>174</v>
      </c>
      <c r="O120" s="84" t="s">
        <v>174</v>
      </c>
      <c r="P120" s="84" t="s">
        <v>174</v>
      </c>
      <c r="Q120" s="84" t="s">
        <v>174</v>
      </c>
      <c r="R120" s="84" t="s">
        <v>174</v>
      </c>
      <c r="S120" s="84" t="s">
        <v>174</v>
      </c>
      <c r="T120" s="84" t="s">
        <v>174</v>
      </c>
      <c r="U120" s="84" t="s">
        <v>174</v>
      </c>
      <c r="V120" s="84" t="s">
        <v>174</v>
      </c>
      <c r="W120" s="84" t="s">
        <v>174</v>
      </c>
      <c r="X120" s="84" t="s">
        <v>174</v>
      </c>
      <c r="Y120" s="84" t="s">
        <v>174</v>
      </c>
      <c r="Z120" s="84" t="s">
        <v>174</v>
      </c>
      <c r="AA120" s="84" t="s">
        <v>174</v>
      </c>
      <c r="AB120" s="84" t="s">
        <v>174</v>
      </c>
      <c r="AC120" s="84"/>
      <c r="AD120" s="84" t="s">
        <v>174</v>
      </c>
      <c r="AE120" s="84" t="s">
        <v>174</v>
      </c>
      <c r="AF120" s="84" t="s">
        <v>174</v>
      </c>
      <c r="AG120" s="84" t="s">
        <v>174</v>
      </c>
      <c r="AH120" s="84" t="s">
        <v>174</v>
      </c>
      <c r="AI120" s="84" t="s">
        <v>174</v>
      </c>
      <c r="AJ120" s="84" t="s">
        <v>174</v>
      </c>
      <c r="AK120" s="84" t="s">
        <v>174</v>
      </c>
      <c r="AL120" s="84" t="s">
        <v>174</v>
      </c>
      <c r="AM120" s="84" t="s">
        <v>174</v>
      </c>
      <c r="AN120" s="84" t="s">
        <v>174</v>
      </c>
    </row>
    <row r="121" spans="1:41" outlineLevel="1" x14ac:dyDescent="0.2">
      <c r="B121" s="85">
        <f>SUM(B9:B120)</f>
        <v>0</v>
      </c>
      <c r="C121" s="85">
        <f>SUM(C9:C120)</f>
        <v>0</v>
      </c>
      <c r="D121" s="85">
        <f>+D89+D119</f>
        <v>1601</v>
      </c>
      <c r="E121" s="85">
        <f t="shared" ref="E121:AO121" si="3">+E89+E119</f>
        <v>20</v>
      </c>
      <c r="F121" s="85">
        <f t="shared" si="3"/>
        <v>26931.829999999998</v>
      </c>
      <c r="G121" s="85">
        <f t="shared" si="3"/>
        <v>28414.150000000009</v>
      </c>
      <c r="H121" s="85">
        <f t="shared" si="3"/>
        <v>397676.67999999993</v>
      </c>
      <c r="I121" s="85">
        <f t="shared" si="3"/>
        <v>4500.82</v>
      </c>
      <c r="J121" s="85">
        <f t="shared" si="3"/>
        <v>3178.4300000000003</v>
      </c>
      <c r="K121" s="85">
        <f t="shared" si="3"/>
        <v>405355.92999999993</v>
      </c>
      <c r="L121" s="85">
        <f t="shared" si="3"/>
        <v>24754.320000000011</v>
      </c>
      <c r="M121" s="85">
        <f t="shared" si="3"/>
        <v>-620.35</v>
      </c>
      <c r="N121" s="85">
        <f t="shared" si="3"/>
        <v>10285.300000000003</v>
      </c>
      <c r="O121" s="85">
        <f t="shared" si="3"/>
        <v>28322.399999999998</v>
      </c>
      <c r="P121" s="85">
        <f t="shared" si="3"/>
        <v>10873.199999999999</v>
      </c>
      <c r="Q121" s="85">
        <f t="shared" si="3"/>
        <v>0</v>
      </c>
      <c r="R121" s="85">
        <f t="shared" si="3"/>
        <v>4763.93</v>
      </c>
      <c r="S121" s="85">
        <f t="shared" si="3"/>
        <v>7146.1799999999985</v>
      </c>
      <c r="T121" s="85">
        <f t="shared" si="3"/>
        <v>500</v>
      </c>
      <c r="U121" s="85">
        <f t="shared" si="3"/>
        <v>0.75000000000000022</v>
      </c>
      <c r="V121" s="85">
        <f t="shared" si="3"/>
        <v>86025.729999999981</v>
      </c>
      <c r="W121" s="85">
        <f t="shared" si="3"/>
        <v>319330.19999999995</v>
      </c>
      <c r="X121" s="85">
        <f t="shared" si="3"/>
        <v>2651.8600000000006</v>
      </c>
      <c r="Y121" s="85">
        <f t="shared" si="3"/>
        <v>4773.3300000000027</v>
      </c>
      <c r="Z121" s="85">
        <f t="shared" si="3"/>
        <v>2860.1100000000006</v>
      </c>
      <c r="AA121" s="85">
        <f t="shared" si="3"/>
        <v>-8152.7600000000039</v>
      </c>
      <c r="AB121" s="85">
        <f t="shared" si="3"/>
        <v>32286.739999999976</v>
      </c>
      <c r="AC121" s="85">
        <f t="shared" si="3"/>
        <v>0</v>
      </c>
      <c r="AD121" s="85">
        <f t="shared" si="3"/>
        <v>7439.2899999999991</v>
      </c>
      <c r="AE121" s="85">
        <f t="shared" si="3"/>
        <v>13390.649999999998</v>
      </c>
      <c r="AF121" s="85">
        <f t="shared" si="3"/>
        <v>36006.339999999997</v>
      </c>
      <c r="AG121" s="85">
        <f t="shared" si="3"/>
        <v>404965.68999999994</v>
      </c>
      <c r="AH121" s="85">
        <f t="shared" si="3"/>
        <v>28451.059999999998</v>
      </c>
      <c r="AI121" s="85">
        <f t="shared" si="3"/>
        <v>8099.2799999999988</v>
      </c>
      <c r="AJ121" s="85">
        <f t="shared" si="3"/>
        <v>4806.2500000000009</v>
      </c>
      <c r="AK121" s="85">
        <f t="shared" si="3"/>
        <v>56836.280000000006</v>
      </c>
      <c r="AL121" s="85">
        <f t="shared" si="3"/>
        <v>21254.99</v>
      </c>
      <c r="AM121" s="85">
        <f t="shared" si="3"/>
        <v>24200.239999999998</v>
      </c>
      <c r="AN121" s="85">
        <f t="shared" si="3"/>
        <v>22121.205234914021</v>
      </c>
      <c r="AO121" s="85">
        <f t="shared" si="3"/>
        <v>0</v>
      </c>
    </row>
    <row r="122" spans="1:41" ht="15" x14ac:dyDescent="0.2">
      <c r="H122" s="86"/>
      <c r="J122" s="173" t="s">
        <v>669</v>
      </c>
      <c r="K122" s="173"/>
      <c r="L122" s="173" t="s">
        <v>670</v>
      </c>
      <c r="M122" s="173"/>
      <c r="W122" s="86"/>
    </row>
    <row r="123" spans="1:41" x14ac:dyDescent="0.2">
      <c r="B123" s="87">
        <v>107</v>
      </c>
      <c r="C123" s="87" t="s">
        <v>528</v>
      </c>
      <c r="D123" s="88"/>
      <c r="E123" s="88"/>
      <c r="F123" s="88"/>
      <c r="G123" s="88"/>
      <c r="H123" s="88"/>
      <c r="I123" s="88"/>
      <c r="J123" s="89" t="s">
        <v>47</v>
      </c>
      <c r="K123" s="90">
        <f>+W89</f>
        <v>224112.99999999997</v>
      </c>
      <c r="L123" s="89" t="s">
        <v>47</v>
      </c>
      <c r="M123" s="90">
        <f>+W119</f>
        <v>95217.200000000012</v>
      </c>
      <c r="N123" s="88"/>
      <c r="O123" s="88"/>
      <c r="P123" s="88"/>
      <c r="Q123" s="88"/>
      <c r="R123" s="88"/>
      <c r="S123" s="88"/>
      <c r="T123" s="88"/>
      <c r="U123" s="88"/>
      <c r="W123" s="91"/>
      <c r="X123" s="88"/>
      <c r="Y123" s="88"/>
      <c r="Z123" s="88"/>
      <c r="AA123" s="88"/>
      <c r="AB123" s="88"/>
      <c r="AC123" s="88"/>
      <c r="AD123" s="92"/>
      <c r="AE123" s="88"/>
      <c r="AF123" s="88"/>
      <c r="AL123" s="71"/>
    </row>
    <row r="124" spans="1:41" x14ac:dyDescent="0.2">
      <c r="B124" s="87">
        <v>2</v>
      </c>
      <c r="C124" s="87" t="s">
        <v>410</v>
      </c>
      <c r="D124" s="88"/>
      <c r="E124" s="88"/>
      <c r="F124" s="88"/>
      <c r="G124" s="88"/>
      <c r="H124" s="88"/>
      <c r="I124" s="88"/>
      <c r="J124" s="89" t="s">
        <v>118</v>
      </c>
      <c r="K124" s="90">
        <f>+S89</f>
        <v>7146.1799999999985</v>
      </c>
      <c r="L124" s="89" t="s">
        <v>118</v>
      </c>
      <c r="M124" s="90">
        <f>+S119</f>
        <v>0</v>
      </c>
      <c r="N124" s="88"/>
      <c r="O124" s="88"/>
      <c r="P124" s="88"/>
      <c r="Q124" s="88"/>
      <c r="R124" s="88"/>
      <c r="S124" s="88"/>
      <c r="T124" s="88"/>
      <c r="U124" s="88"/>
      <c r="W124" s="91"/>
      <c r="X124" s="88"/>
      <c r="Y124" s="88"/>
      <c r="Z124" s="88"/>
      <c r="AA124" s="88"/>
      <c r="AB124" s="88"/>
      <c r="AC124" s="88"/>
      <c r="AD124" s="88"/>
      <c r="AE124" s="88"/>
      <c r="AF124" s="88"/>
      <c r="AL124" s="71"/>
    </row>
    <row r="125" spans="1:41" x14ac:dyDescent="0.2">
      <c r="B125" s="87">
        <v>0</v>
      </c>
      <c r="C125" s="87" t="s">
        <v>411</v>
      </c>
      <c r="D125" s="88"/>
      <c r="E125" s="88"/>
      <c r="F125" s="88"/>
      <c r="G125" s="88"/>
      <c r="H125" s="88"/>
      <c r="I125" s="88"/>
      <c r="J125" s="89" t="s">
        <v>188</v>
      </c>
      <c r="K125" s="93">
        <f>+O89+P89+Q89</f>
        <v>28576.719999999998</v>
      </c>
      <c r="L125" s="89" t="s">
        <v>188</v>
      </c>
      <c r="M125" s="93">
        <f>+O119+P119+Q119</f>
        <v>10618.88</v>
      </c>
      <c r="N125" s="88"/>
      <c r="O125" s="88"/>
      <c r="P125" s="88"/>
      <c r="Q125" s="88"/>
      <c r="R125" s="88"/>
      <c r="S125" s="88"/>
      <c r="T125" s="88"/>
      <c r="U125" s="88"/>
      <c r="W125" s="91"/>
      <c r="X125" s="88"/>
      <c r="Y125" s="88"/>
      <c r="Z125" s="88"/>
      <c r="AA125" s="88"/>
      <c r="AB125" s="88"/>
      <c r="AC125" s="88"/>
      <c r="AD125" s="88"/>
      <c r="AE125" s="88"/>
      <c r="AF125" s="88"/>
      <c r="AL125" s="71"/>
    </row>
    <row r="126" spans="1:41" x14ac:dyDescent="0.2">
      <c r="B126" s="87">
        <f>+B123+B124-B125</f>
        <v>109</v>
      </c>
      <c r="C126" s="87" t="s">
        <v>527</v>
      </c>
      <c r="D126" s="88"/>
      <c r="E126" s="88"/>
      <c r="F126" s="88"/>
      <c r="G126" s="88"/>
      <c r="H126" s="88"/>
      <c r="I126" s="88"/>
      <c r="J126" s="89" t="s">
        <v>672</v>
      </c>
      <c r="K126" s="93">
        <f>+R89</f>
        <v>4763.93</v>
      </c>
      <c r="L126" s="89" t="s">
        <v>672</v>
      </c>
      <c r="M126" s="93">
        <f>+R119</f>
        <v>0</v>
      </c>
      <c r="N126" s="88"/>
      <c r="O126" s="88"/>
      <c r="P126" s="88"/>
      <c r="Q126" s="88"/>
      <c r="R126" s="88"/>
      <c r="S126" s="88"/>
      <c r="T126" s="88"/>
      <c r="U126" s="88"/>
      <c r="W126" s="91"/>
      <c r="X126" s="88"/>
      <c r="Y126" s="88"/>
      <c r="Z126" s="88"/>
      <c r="AA126" s="88"/>
      <c r="AB126" s="88"/>
      <c r="AC126" s="88"/>
      <c r="AD126" s="88"/>
      <c r="AE126" s="88"/>
      <c r="AF126" s="88"/>
      <c r="AL126" s="71"/>
    </row>
    <row r="127" spans="1:41" x14ac:dyDescent="0.2">
      <c r="B127" s="88"/>
      <c r="C127" s="88"/>
      <c r="D127" s="88"/>
      <c r="E127" s="88"/>
      <c r="F127" s="88"/>
      <c r="G127" s="88"/>
      <c r="H127" s="88"/>
      <c r="I127" s="88"/>
      <c r="J127" s="89" t="s">
        <v>428</v>
      </c>
      <c r="K127" s="93">
        <f>+T89</f>
        <v>0</v>
      </c>
      <c r="L127" s="89" t="s">
        <v>428</v>
      </c>
      <c r="M127" s="93">
        <f>+T119</f>
        <v>500</v>
      </c>
      <c r="N127" s="88"/>
      <c r="O127" s="88"/>
      <c r="P127" s="88"/>
      <c r="Q127" s="88"/>
      <c r="R127" s="88"/>
      <c r="S127" s="88"/>
      <c r="T127" s="88"/>
      <c r="U127" s="88"/>
      <c r="W127" s="91"/>
      <c r="X127" s="88"/>
      <c r="Y127" s="88"/>
      <c r="Z127" s="88"/>
      <c r="AA127" s="88"/>
      <c r="AB127" s="88"/>
      <c r="AC127" s="88"/>
      <c r="AD127" s="88"/>
      <c r="AE127" s="88"/>
      <c r="AF127" s="88"/>
      <c r="AL127" s="71"/>
    </row>
    <row r="128" spans="1:41" x14ac:dyDescent="0.2">
      <c r="B128" s="88"/>
      <c r="C128" s="88"/>
      <c r="D128" s="88"/>
      <c r="E128" s="88"/>
      <c r="F128" s="88"/>
      <c r="G128" s="88"/>
      <c r="H128" s="88"/>
      <c r="I128" s="88"/>
      <c r="J128" s="89" t="s">
        <v>49</v>
      </c>
      <c r="K128" s="89">
        <f>SUM(K123:K127)</f>
        <v>264599.82999999996</v>
      </c>
      <c r="L128" s="89" t="s">
        <v>49</v>
      </c>
      <c r="M128" s="89">
        <f>SUM(M123:M127)</f>
        <v>106336.08000000002</v>
      </c>
      <c r="N128" s="88"/>
      <c r="O128" s="88"/>
      <c r="P128" s="88"/>
      <c r="Q128" s="88"/>
      <c r="R128" s="88"/>
      <c r="S128" s="88"/>
      <c r="T128" s="88"/>
      <c r="U128" s="88"/>
      <c r="W128" s="91"/>
      <c r="X128" s="88"/>
      <c r="Y128" s="88"/>
      <c r="Z128" s="88"/>
      <c r="AA128" s="88"/>
      <c r="AB128" s="88"/>
      <c r="AC128" s="88"/>
      <c r="AD128" s="88"/>
      <c r="AE128" s="88"/>
      <c r="AF128" s="88"/>
      <c r="AL128" s="71"/>
    </row>
    <row r="129" spans="2:38" x14ac:dyDescent="0.2">
      <c r="B129" s="88"/>
      <c r="C129" s="88"/>
      <c r="D129" s="88"/>
      <c r="E129" s="88"/>
      <c r="F129" s="88"/>
      <c r="G129" s="88"/>
      <c r="H129" s="88"/>
      <c r="I129" s="88"/>
      <c r="J129" s="89" t="s">
        <v>50</v>
      </c>
      <c r="K129" s="90">
        <f>+K128*2%</f>
        <v>5291.9965999999995</v>
      </c>
      <c r="L129" s="89" t="s">
        <v>50</v>
      </c>
      <c r="M129" s="90">
        <f>+M128*2%</f>
        <v>2126.7216000000003</v>
      </c>
      <c r="N129" s="88"/>
      <c r="O129" s="88"/>
      <c r="P129" s="88"/>
      <c r="Q129" s="88"/>
      <c r="R129" s="88"/>
      <c r="S129" s="88"/>
      <c r="T129" s="88"/>
      <c r="U129" s="88"/>
      <c r="W129" s="91"/>
      <c r="X129" s="88"/>
      <c r="Y129" s="88"/>
      <c r="Z129" s="88"/>
      <c r="AA129" s="88"/>
      <c r="AB129" s="88"/>
      <c r="AC129" s="88"/>
      <c r="AD129" s="88"/>
      <c r="AE129" s="88"/>
      <c r="AF129" s="88"/>
      <c r="AL129" s="71"/>
    </row>
    <row r="130" spans="2:38" x14ac:dyDescent="0.2">
      <c r="B130" s="88"/>
      <c r="C130" s="88"/>
      <c r="D130" s="88"/>
      <c r="E130" s="88"/>
      <c r="F130" s="88"/>
      <c r="G130" s="88"/>
      <c r="H130" s="88"/>
      <c r="I130" s="88"/>
      <c r="J130" s="89" t="s">
        <v>51</v>
      </c>
      <c r="K130" s="89">
        <f>+K128+K129</f>
        <v>269891.82659999997</v>
      </c>
      <c r="L130" s="89" t="s">
        <v>51</v>
      </c>
      <c r="M130" s="89">
        <f>+M128+M129</f>
        <v>108462.80160000002</v>
      </c>
      <c r="N130" s="88"/>
      <c r="O130" s="88"/>
      <c r="P130" s="88"/>
      <c r="Q130" s="88"/>
      <c r="R130" s="88"/>
      <c r="S130" s="88"/>
      <c r="T130" s="88"/>
      <c r="U130" s="88"/>
      <c r="W130" s="91"/>
      <c r="X130" s="88"/>
      <c r="Y130" s="88"/>
      <c r="Z130" s="88"/>
      <c r="AA130" s="88"/>
      <c r="AB130" s="88"/>
      <c r="AC130" s="88"/>
      <c r="AD130" s="88"/>
      <c r="AE130" s="88"/>
      <c r="AF130" s="88"/>
      <c r="AL130" s="71"/>
    </row>
    <row r="131" spans="2:38" x14ac:dyDescent="0.2">
      <c r="J131" s="89" t="s">
        <v>52</v>
      </c>
      <c r="K131" s="90">
        <f>+N89+AD89+AE89+AF89+AH89+AJ89+AM89+AL89</f>
        <v>104995.27000000002</v>
      </c>
      <c r="L131" s="89" t="s">
        <v>52</v>
      </c>
      <c r="M131" s="90">
        <f>+N119+AD119+AE119+AF119+AH119+AL119+AJ119+AM119</f>
        <v>40838.849999999991</v>
      </c>
      <c r="N131" s="88"/>
      <c r="W131" s="91"/>
      <c r="AL131" s="71"/>
    </row>
    <row r="132" spans="2:38" x14ac:dyDescent="0.2">
      <c r="J132" s="89" t="s">
        <v>53</v>
      </c>
      <c r="K132" s="90">
        <f>+K89*2%</f>
        <v>5754.6967999999979</v>
      </c>
      <c r="L132" s="89" t="s">
        <v>53</v>
      </c>
      <c r="M132" s="90">
        <f>+K119*2%</f>
        <v>2352.4218000000001</v>
      </c>
      <c r="W132" s="91"/>
      <c r="AL132" s="71"/>
    </row>
    <row r="133" spans="2:38" x14ac:dyDescent="0.2">
      <c r="J133" s="89" t="s">
        <v>54</v>
      </c>
      <c r="K133" s="89">
        <f>+K130+K131+K132</f>
        <v>380641.79339999997</v>
      </c>
      <c r="L133" s="89" t="s">
        <v>54</v>
      </c>
      <c r="M133" s="89">
        <f>+M130+M131+M132</f>
        <v>151654.07340000002</v>
      </c>
      <c r="AL133" s="71"/>
    </row>
    <row r="134" spans="2:38" x14ac:dyDescent="0.2">
      <c r="J134" s="89" t="s">
        <v>420</v>
      </c>
      <c r="K134" s="89">
        <v>0</v>
      </c>
      <c r="L134" s="89" t="s">
        <v>420</v>
      </c>
      <c r="M134" s="89">
        <v>0</v>
      </c>
      <c r="AL134" s="71"/>
    </row>
    <row r="135" spans="2:38" x14ac:dyDescent="0.2">
      <c r="C135" s="70"/>
      <c r="J135" s="89" t="s">
        <v>55</v>
      </c>
      <c r="K135" s="90">
        <f>(+K133+K134)*0.16</f>
        <v>60902.686943999994</v>
      </c>
      <c r="L135" s="89" t="s">
        <v>55</v>
      </c>
      <c r="M135" s="90">
        <f>(+M133+M134)*0.16</f>
        <v>24264.651744000003</v>
      </c>
      <c r="AL135" s="71"/>
    </row>
    <row r="136" spans="2:38" x14ac:dyDescent="0.2">
      <c r="J136" s="89" t="s">
        <v>56</v>
      </c>
      <c r="K136" s="89">
        <f>+K133+K134+K135</f>
        <v>441544.48034399998</v>
      </c>
      <c r="L136" s="89" t="s">
        <v>56</v>
      </c>
      <c r="M136" s="89">
        <f>+M133+M134+M135</f>
        <v>175918.72514400003</v>
      </c>
      <c r="AL136" s="71"/>
    </row>
    <row r="137" spans="2:38" x14ac:dyDescent="0.2">
      <c r="J137" s="167" t="s">
        <v>671</v>
      </c>
      <c r="K137" s="167"/>
      <c r="L137" s="167"/>
      <c r="M137" s="167"/>
      <c r="AL137" s="71"/>
    </row>
    <row r="138" spans="2:38" x14ac:dyDescent="0.2">
      <c r="J138" s="166" t="s">
        <v>669</v>
      </c>
      <c r="K138" s="166"/>
      <c r="L138" s="166" t="s">
        <v>670</v>
      </c>
      <c r="M138" s="166"/>
      <c r="AL138" s="71"/>
    </row>
    <row r="139" spans="2:38" x14ac:dyDescent="0.2">
      <c r="J139" s="103" t="s">
        <v>49</v>
      </c>
      <c r="K139" s="104">
        <f>+AN89</f>
        <v>15716.052458657312</v>
      </c>
      <c r="L139" s="103" t="s">
        <v>49</v>
      </c>
      <c r="M139" s="104">
        <f>+AN119</f>
        <v>6405.1527762567075</v>
      </c>
      <c r="AL139" s="71"/>
    </row>
    <row r="140" spans="2:38" x14ac:dyDescent="0.2">
      <c r="J140" s="103" t="s">
        <v>50</v>
      </c>
      <c r="K140" s="104">
        <f>+K139*2%</f>
        <v>314.32104917314626</v>
      </c>
      <c r="L140" s="103" t="s">
        <v>50</v>
      </c>
      <c r="M140" s="104">
        <f>+M139*2%</f>
        <v>128.10305552513415</v>
      </c>
      <c r="AL140" s="71"/>
    </row>
    <row r="141" spans="2:38" x14ac:dyDescent="0.2">
      <c r="J141" s="103" t="s">
        <v>51</v>
      </c>
      <c r="K141" s="104">
        <f>+K139+K140</f>
        <v>16030.373507830458</v>
      </c>
      <c r="L141" s="103" t="s">
        <v>51</v>
      </c>
      <c r="M141" s="104">
        <f>+M139+M140</f>
        <v>6533.2558317818421</v>
      </c>
      <c r="AL141" s="71"/>
    </row>
    <row r="142" spans="2:38" x14ac:dyDescent="0.2">
      <c r="J142" s="103" t="s">
        <v>53</v>
      </c>
      <c r="K142" s="104">
        <f>+K139*2%</f>
        <v>314.32104917314626</v>
      </c>
      <c r="L142" s="103" t="s">
        <v>53</v>
      </c>
      <c r="M142" s="104">
        <f>+M139*2%</f>
        <v>128.10305552513415</v>
      </c>
      <c r="AL142" s="71"/>
    </row>
    <row r="143" spans="2:38" x14ac:dyDescent="0.2">
      <c r="J143" s="103" t="s">
        <v>54</v>
      </c>
      <c r="K143" s="104">
        <f>+K141+K142</f>
        <v>16344.694557003604</v>
      </c>
      <c r="L143" s="103" t="s">
        <v>54</v>
      </c>
      <c r="M143" s="104">
        <f>+M141+M142</f>
        <v>6661.3588873069766</v>
      </c>
      <c r="AL143" s="71"/>
    </row>
    <row r="144" spans="2:38" x14ac:dyDescent="0.2">
      <c r="J144" s="103" t="s">
        <v>55</v>
      </c>
      <c r="K144" s="104">
        <f>+K143*16%</f>
        <v>2615.1511291205766</v>
      </c>
      <c r="L144" s="103" t="s">
        <v>55</v>
      </c>
      <c r="M144" s="104">
        <f>+M143*16%</f>
        <v>1065.8174219691164</v>
      </c>
      <c r="AL144" s="71"/>
    </row>
    <row r="145" spans="10:38" x14ac:dyDescent="0.2">
      <c r="J145" s="103" t="s">
        <v>56</v>
      </c>
      <c r="K145" s="104">
        <f>+K143+K144</f>
        <v>18959.845686124179</v>
      </c>
      <c r="L145" s="103" t="s">
        <v>56</v>
      </c>
      <c r="M145" s="104">
        <f>+M143+M144</f>
        <v>7727.176309276093</v>
      </c>
      <c r="AL145" s="71"/>
    </row>
    <row r="146" spans="10:38" x14ac:dyDescent="0.2">
      <c r="AL146" s="71"/>
    </row>
    <row r="147" spans="10:38" x14ac:dyDescent="0.2">
      <c r="AL147" s="71"/>
    </row>
    <row r="148" spans="10:38" x14ac:dyDescent="0.2">
      <c r="AL148" s="71"/>
    </row>
    <row r="149" spans="10:38" x14ac:dyDescent="0.2">
      <c r="AL149" s="71"/>
    </row>
    <row r="150" spans="10:38" x14ac:dyDescent="0.2">
      <c r="AL150" s="71"/>
    </row>
    <row r="151" spans="10:38" x14ac:dyDescent="0.2">
      <c r="AL151" s="71"/>
    </row>
    <row r="152" spans="10:38" x14ac:dyDescent="0.2">
      <c r="AL152" s="71"/>
    </row>
    <row r="153" spans="10:38" x14ac:dyDescent="0.2">
      <c r="AL153" s="71"/>
    </row>
    <row r="154" spans="10:38" x14ac:dyDescent="0.2">
      <c r="AL154" s="71"/>
    </row>
    <row r="155" spans="10:38" x14ac:dyDescent="0.2">
      <c r="AL155" s="71"/>
    </row>
  </sheetData>
  <autoFilter ref="B8:AP136"/>
  <sortState ref="B9:AO119">
    <sortCondition ref="AO9:AO119"/>
  </sortState>
  <mergeCells count="9">
    <mergeCell ref="J137:M137"/>
    <mergeCell ref="J138:K138"/>
    <mergeCell ref="L138:M138"/>
    <mergeCell ref="C1:J1"/>
    <mergeCell ref="C2:J2"/>
    <mergeCell ref="C3:J3"/>
    <mergeCell ref="C5:J5"/>
    <mergeCell ref="J122:K122"/>
    <mergeCell ref="L122:M122"/>
  </mergeCells>
  <pageMargins left="0.7" right="0.7" top="0.75" bottom="0.75" header="0.3" footer="0.3"/>
  <pageSetup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2:S156"/>
  <sheetViews>
    <sheetView showGridLines="0" zoomScale="80" zoomScaleNormal="80" workbookViewId="0">
      <pane xSplit="3" ySplit="6" topLeftCell="D142" activePane="bottomRight" state="frozen"/>
      <selection pane="topRight" activeCell="D1" sqref="D1"/>
      <selection pane="bottomLeft" activeCell="A7" sqref="A7"/>
      <selection pane="bottomRight" activeCell="C141" sqref="C141"/>
    </sheetView>
  </sheetViews>
  <sheetFormatPr baseColWidth="10" defaultColWidth="11.42578125" defaultRowHeight="12.75" x14ac:dyDescent="0.2"/>
  <cols>
    <col min="1" max="1" width="10.85546875" style="68" bestFit="1" customWidth="1"/>
    <col min="2" max="2" width="28" style="68" bestFit="1" customWidth="1"/>
    <col min="3" max="3" width="45.140625" style="68" customWidth="1"/>
    <col min="4" max="4" width="65.140625" style="68" hidden="1" customWidth="1"/>
    <col min="5" max="5" width="12.5703125" style="68" hidden="1" customWidth="1"/>
    <col min="6" max="6" width="19.85546875" style="68" bestFit="1" customWidth="1"/>
    <col min="7" max="7" width="19.85546875" style="68" customWidth="1"/>
    <col min="8" max="8" width="19.85546875" style="68" bestFit="1" customWidth="1"/>
    <col min="9" max="9" width="17.140625" style="68" customWidth="1"/>
    <col min="10" max="10" width="16" style="68" customWidth="1"/>
    <col min="11" max="13" width="15.85546875" style="68" customWidth="1"/>
    <col min="14" max="14" width="19.140625" style="68" customWidth="1"/>
    <col min="15" max="16" width="12.28515625" style="68" customWidth="1"/>
    <col min="17" max="17" width="20" style="68" customWidth="1"/>
    <col min="18" max="16384" width="11.42578125" style="68"/>
  </cols>
  <sheetData>
    <row r="2" spans="1:17" x14ac:dyDescent="0.2">
      <c r="A2" s="106"/>
      <c r="B2" s="106"/>
      <c r="C2" s="174"/>
      <c r="D2" s="175"/>
      <c r="E2" s="175"/>
      <c r="F2" s="175"/>
      <c r="G2" s="107"/>
    </row>
    <row r="3" spans="1:17" x14ac:dyDescent="0.2">
      <c r="A3" s="108"/>
      <c r="B3" s="108"/>
      <c r="C3" s="176"/>
      <c r="D3" s="170"/>
      <c r="E3" s="170"/>
      <c r="F3" s="170"/>
      <c r="G3" s="109"/>
    </row>
    <row r="4" spans="1:17" x14ac:dyDescent="0.2">
      <c r="A4" s="108"/>
      <c r="B4" s="108"/>
      <c r="C4" s="106" t="s">
        <v>1</v>
      </c>
      <c r="D4" s="106"/>
      <c r="E4" s="108"/>
      <c r="F4" s="108"/>
      <c r="G4" s="108"/>
    </row>
    <row r="5" spans="1:17" x14ac:dyDescent="0.2">
      <c r="A5" s="68">
        <v>1</v>
      </c>
      <c r="B5" s="68">
        <v>2</v>
      </c>
      <c r="C5" s="68">
        <v>3</v>
      </c>
      <c r="F5" s="68">
        <v>4</v>
      </c>
      <c r="G5" s="68">
        <v>5</v>
      </c>
      <c r="H5" s="68">
        <v>6</v>
      </c>
    </row>
    <row r="6" spans="1:17" ht="26.25" thickBot="1" x14ac:dyDescent="0.25">
      <c r="A6" s="110" t="s">
        <v>661</v>
      </c>
      <c r="B6" s="110" t="s">
        <v>119</v>
      </c>
      <c r="C6" s="110" t="s">
        <v>4</v>
      </c>
      <c r="D6" s="110"/>
      <c r="E6" s="110"/>
      <c r="F6" s="110" t="s">
        <v>128</v>
      </c>
      <c r="G6" s="110" t="s">
        <v>419</v>
      </c>
      <c r="H6" s="110" t="s">
        <v>511</v>
      </c>
      <c r="I6" s="111" t="s">
        <v>56</v>
      </c>
      <c r="J6" s="110" t="s">
        <v>512</v>
      </c>
      <c r="K6" s="110" t="s">
        <v>518</v>
      </c>
      <c r="L6" s="110" t="s">
        <v>513</v>
      </c>
      <c r="M6" s="110" t="s">
        <v>514</v>
      </c>
      <c r="N6" s="110" t="s">
        <v>515</v>
      </c>
      <c r="Q6" s="110" t="s">
        <v>653</v>
      </c>
    </row>
    <row r="7" spans="1:17" ht="13.5" thickTop="1" x14ac:dyDescent="0.2">
      <c r="A7" s="105" t="s">
        <v>18</v>
      </c>
      <c r="B7" s="68" t="s">
        <v>6</v>
      </c>
      <c r="C7" s="68" t="s">
        <v>338</v>
      </c>
      <c r="D7" s="112"/>
      <c r="E7" s="113"/>
      <c r="F7" s="68">
        <v>1557.9099999999999</v>
      </c>
      <c r="G7" s="68">
        <v>432.22</v>
      </c>
      <c r="H7" s="68">
        <f>+N7</f>
        <v>0</v>
      </c>
      <c r="I7" s="68">
        <f>+F7+G7+H7</f>
        <v>1990.1299999999999</v>
      </c>
      <c r="J7" s="68">
        <f>VLOOKUP(C7,CPD!$B$9:$D$37,3,0)</f>
        <v>0</v>
      </c>
      <c r="K7" s="113">
        <f>VLOOKUP(C7,RESUMEN!$C$4:$L$121,10,)</f>
        <v>10150</v>
      </c>
      <c r="L7" s="68">
        <f>(((+K7/30)*J7)*30%)</f>
        <v>0</v>
      </c>
      <c r="M7" s="68">
        <f>VLOOKUP(C7,CPD!$B$9:$I$37,8,0)</f>
        <v>0</v>
      </c>
      <c r="N7" s="68">
        <f>+L7-M7</f>
        <v>0</v>
      </c>
      <c r="O7" s="68">
        <f>VLOOKUP(C7,RESUMEN!$C$4:$Z$133,24,0)</f>
        <v>0</v>
      </c>
      <c r="Q7" s="68" t="s">
        <v>651</v>
      </c>
    </row>
    <row r="8" spans="1:17" x14ac:dyDescent="0.2">
      <c r="A8" s="68" t="s">
        <v>28</v>
      </c>
      <c r="B8" s="68" t="s">
        <v>6</v>
      </c>
      <c r="C8" s="68" t="s">
        <v>343</v>
      </c>
      <c r="D8" s="112"/>
      <c r="E8" s="113"/>
      <c r="F8" s="68">
        <v>2102.869999999999</v>
      </c>
      <c r="G8" s="68">
        <v>200</v>
      </c>
      <c r="H8" s="68">
        <f t="shared" ref="H8:H14" si="0">+N8</f>
        <v>234.01</v>
      </c>
      <c r="I8" s="68">
        <f t="shared" ref="I8:I64" si="1">+F8+G8+H8</f>
        <v>2536.8799999999992</v>
      </c>
      <c r="J8" s="68">
        <v>4</v>
      </c>
      <c r="K8" s="113">
        <f>VLOOKUP(C8,RESUMEN!$C$4:$L$121,10,)</f>
        <v>13000</v>
      </c>
      <c r="L8" s="68">
        <f t="shared" ref="L8:L63" si="2">(((+K8/30)*J8)*30%)</f>
        <v>520</v>
      </c>
      <c r="M8" s="68">
        <f>VLOOKUP(C8,CPD!$B$9:$I$37,8,0)</f>
        <v>285.99</v>
      </c>
      <c r="N8" s="68">
        <f t="shared" ref="N8:N30" si="3">+L8-M8</f>
        <v>234.01</v>
      </c>
      <c r="O8" s="68">
        <f>VLOOKUP(C8,RESUMEN!$C$4:$Z$133,24,0)</f>
        <v>0</v>
      </c>
      <c r="Q8" s="68" t="s">
        <v>651</v>
      </c>
    </row>
    <row r="9" spans="1:17" x14ac:dyDescent="0.2">
      <c r="A9" s="68" t="s">
        <v>223</v>
      </c>
      <c r="B9" s="68" t="s">
        <v>6</v>
      </c>
      <c r="C9" s="112" t="s">
        <v>334</v>
      </c>
      <c r="D9" s="112"/>
      <c r="E9" s="113"/>
      <c r="F9" s="68">
        <v>23772.600000000002</v>
      </c>
      <c r="G9" s="70"/>
      <c r="H9" s="68">
        <f t="shared" si="0"/>
        <v>0</v>
      </c>
      <c r="I9" s="68">
        <f t="shared" si="1"/>
        <v>23772.600000000002</v>
      </c>
      <c r="J9" s="68">
        <f>VLOOKUP(C9,CPD!$B$9:$D$37,3,0)</f>
        <v>0</v>
      </c>
      <c r="K9" s="113">
        <f>VLOOKUP(C9,RESUMEN!$C$4:$L$121,10,)</f>
        <v>70000</v>
      </c>
      <c r="L9" s="68">
        <f t="shared" si="2"/>
        <v>0</v>
      </c>
      <c r="M9" s="68">
        <f>VLOOKUP(C9,CPD!$B$9:$I$37,8,0)</f>
        <v>0</v>
      </c>
      <c r="N9" s="68">
        <f t="shared" si="3"/>
        <v>0</v>
      </c>
      <c r="O9" s="68">
        <f>VLOOKUP(C9,RESUMEN!$C$4:$Z$133,24,0)</f>
        <v>0</v>
      </c>
      <c r="Q9" s="68" t="s">
        <v>651</v>
      </c>
    </row>
    <row r="10" spans="1:17" x14ac:dyDescent="0.2">
      <c r="A10" s="68" t="s">
        <v>22</v>
      </c>
      <c r="B10" s="68" t="s">
        <v>6</v>
      </c>
      <c r="C10" s="68" t="s">
        <v>340</v>
      </c>
      <c r="D10" s="112"/>
      <c r="E10" s="113"/>
      <c r="F10" s="68">
        <v>1558.1800000000003</v>
      </c>
      <c r="G10" s="70">
        <v>366.93</v>
      </c>
      <c r="H10" s="68">
        <f t="shared" si="0"/>
        <v>0</v>
      </c>
      <c r="I10" s="68">
        <f t="shared" si="1"/>
        <v>1925.1100000000004</v>
      </c>
      <c r="J10" s="68">
        <f>VLOOKUP(C10,CPD!$B$9:$D$37,3,0)</f>
        <v>0</v>
      </c>
      <c r="K10" s="113">
        <f>VLOOKUP(C10,RESUMEN!$C$4:$L$121,10,)</f>
        <v>10150</v>
      </c>
      <c r="L10" s="68">
        <f>(((+K10/30)*J10)*30%)</f>
        <v>0</v>
      </c>
      <c r="M10" s="68">
        <f>VLOOKUP(C10,CPD!$B$9:$I$37,8,0)</f>
        <v>0</v>
      </c>
      <c r="N10" s="68">
        <f t="shared" si="3"/>
        <v>0</v>
      </c>
      <c r="O10" s="68">
        <f>VLOOKUP(C10,RESUMEN!$C$4:$Z$133,24,0)</f>
        <v>0</v>
      </c>
      <c r="Q10" s="68" t="s">
        <v>651</v>
      </c>
    </row>
    <row r="11" spans="1:17" x14ac:dyDescent="0.2">
      <c r="A11" s="68" t="s">
        <v>42</v>
      </c>
      <c r="B11" s="68" t="s">
        <v>6</v>
      </c>
      <c r="C11" s="68" t="s">
        <v>144</v>
      </c>
      <c r="D11" s="112"/>
      <c r="E11" s="113"/>
      <c r="F11" s="68">
        <v>1608.1200000000003</v>
      </c>
      <c r="G11" s="70">
        <f>297.08+480</f>
        <v>777.07999999999993</v>
      </c>
      <c r="H11" s="68">
        <f t="shared" si="0"/>
        <v>0</v>
      </c>
      <c r="I11" s="68">
        <f t="shared" si="1"/>
        <v>2385.2000000000003</v>
      </c>
      <c r="J11" s="68">
        <f>VLOOKUP(C11,CPD!$B$9:$D$37,3,0)</f>
        <v>0</v>
      </c>
      <c r="K11" s="113">
        <f>VLOOKUP(C11,RESUMEN!$C$4:$L$121,10,)</f>
        <v>10250</v>
      </c>
      <c r="L11" s="68">
        <f t="shared" si="2"/>
        <v>0</v>
      </c>
      <c r="M11" s="68">
        <f>VLOOKUP(C11,CPD!$B$9:$I$37,8,0)</f>
        <v>0</v>
      </c>
      <c r="N11" s="68">
        <f t="shared" si="3"/>
        <v>0</v>
      </c>
      <c r="O11" s="68">
        <f>VLOOKUP(C11,RESUMEN!$C$4:$Z$133,24,0)</f>
        <v>0</v>
      </c>
      <c r="Q11" s="68" t="s">
        <v>651</v>
      </c>
    </row>
    <row r="12" spans="1:17" x14ac:dyDescent="0.2">
      <c r="A12" s="68" t="s">
        <v>24</v>
      </c>
      <c r="B12" s="68" t="s">
        <v>6</v>
      </c>
      <c r="C12" s="78" t="s">
        <v>341</v>
      </c>
      <c r="D12" s="112"/>
      <c r="E12" s="113"/>
      <c r="F12" s="68">
        <v>1891.0299999999997</v>
      </c>
      <c r="G12" s="70"/>
      <c r="H12" s="68">
        <f t="shared" si="0"/>
        <v>0</v>
      </c>
      <c r="I12" s="68">
        <f t="shared" si="1"/>
        <v>1891.0299999999997</v>
      </c>
      <c r="J12" s="68">
        <f>VLOOKUP(C12,CPD!$B$9:$D$37,3,0)</f>
        <v>0</v>
      </c>
      <c r="K12" s="113">
        <f>VLOOKUP(C12,RESUMEN!$C$4:$L$121,10,)</f>
        <v>12000</v>
      </c>
      <c r="L12" s="68">
        <f t="shared" si="2"/>
        <v>0</v>
      </c>
      <c r="M12" s="68">
        <f>VLOOKUP(C12,CPD!$B$9:$I$37,8,0)</f>
        <v>0</v>
      </c>
      <c r="N12" s="68">
        <f t="shared" si="3"/>
        <v>0</v>
      </c>
      <c r="O12" s="68">
        <f>VLOOKUP(C12,RESUMEN!$C$4:$Z$133,24,0)</f>
        <v>0</v>
      </c>
      <c r="Q12" s="68" t="s">
        <v>651</v>
      </c>
    </row>
    <row r="13" spans="1:17" x14ac:dyDescent="0.2">
      <c r="A13" s="62" t="s">
        <v>68</v>
      </c>
      <c r="B13" s="68" t="s">
        <v>6</v>
      </c>
      <c r="C13" s="68" t="s">
        <v>327</v>
      </c>
      <c r="D13" s="112"/>
      <c r="E13" s="113"/>
      <c r="F13" s="68">
        <v>3645.9199999999992</v>
      </c>
      <c r="G13" s="70">
        <v>2000</v>
      </c>
      <c r="H13" s="68">
        <f t="shared" si="0"/>
        <v>0</v>
      </c>
      <c r="I13" s="68">
        <f t="shared" si="1"/>
        <v>5645.9199999999992</v>
      </c>
      <c r="J13" s="68">
        <f>VLOOKUP(C13,CPD!$B$9:$D$37,3,0)</f>
        <v>0</v>
      </c>
      <c r="K13" s="113">
        <f>VLOOKUP(C13,RESUMEN!$C$4:$L$121,10,)</f>
        <v>18000</v>
      </c>
      <c r="L13" s="68">
        <f t="shared" si="2"/>
        <v>0</v>
      </c>
      <c r="M13" s="68">
        <f>VLOOKUP(C13,CPD!$B$9:$I$37,8,0)</f>
        <v>0</v>
      </c>
      <c r="N13" s="68">
        <f t="shared" si="3"/>
        <v>0</v>
      </c>
      <c r="O13" s="68">
        <f>VLOOKUP(C13,RESUMEN!$C$4:$Z$133,24,0)</f>
        <v>0</v>
      </c>
      <c r="Q13" s="68" t="s">
        <v>652</v>
      </c>
    </row>
    <row r="14" spans="1:17" x14ac:dyDescent="0.2">
      <c r="A14" s="68" t="s">
        <v>40</v>
      </c>
      <c r="B14" s="68" t="s">
        <v>6</v>
      </c>
      <c r="C14" s="68" t="s">
        <v>350</v>
      </c>
      <c r="D14" s="112"/>
      <c r="E14" s="113"/>
      <c r="F14" s="68">
        <v>1557.9999999999995</v>
      </c>
      <c r="G14" s="70">
        <v>393.43</v>
      </c>
      <c r="H14" s="68">
        <f t="shared" si="0"/>
        <v>0</v>
      </c>
      <c r="I14" s="68">
        <f t="shared" si="1"/>
        <v>1951.4299999999996</v>
      </c>
      <c r="J14" s="68">
        <f>VLOOKUP(C14,CPD!$B$9:$D$37,3,0)</f>
        <v>0</v>
      </c>
      <c r="K14" s="113">
        <f>VLOOKUP(C14,RESUMEN!$C$4:$L$121,10,)</f>
        <v>10150</v>
      </c>
      <c r="L14" s="68">
        <f>(((+K14/30)*J14)*30%)</f>
        <v>0</v>
      </c>
      <c r="M14" s="68">
        <f>VLOOKUP(C14,CPD!$B$9:$I$37,8,0)</f>
        <v>0</v>
      </c>
      <c r="N14" s="68">
        <f>+L14-M14</f>
        <v>0</v>
      </c>
      <c r="O14" s="68">
        <f>VLOOKUP(C14,RESUMEN!$C$4:$Z$133,24,0)</f>
        <v>0</v>
      </c>
      <c r="Q14" s="68" t="s">
        <v>651</v>
      </c>
    </row>
    <row r="15" spans="1:17" x14ac:dyDescent="0.2">
      <c r="A15" s="68" t="s">
        <v>237</v>
      </c>
      <c r="B15" s="68" t="s">
        <v>6</v>
      </c>
      <c r="C15" s="68" t="s">
        <v>346</v>
      </c>
      <c r="D15" s="112"/>
      <c r="E15" s="113"/>
      <c r="F15" s="68">
        <v>7009.1500000000005</v>
      </c>
      <c r="G15" s="70"/>
      <c r="H15" s="68">
        <f>+N15</f>
        <v>0</v>
      </c>
      <c r="I15" s="68">
        <f t="shared" si="1"/>
        <v>7009.1500000000005</v>
      </c>
      <c r="J15" s="68">
        <f>VLOOKUP(C15,CPD!$B$9:$D$37,3,0)</f>
        <v>0</v>
      </c>
      <c r="K15" s="113">
        <f>VLOOKUP(C15,RESUMEN!$C$4:$L$121,10,)</f>
        <v>25000</v>
      </c>
      <c r="L15" s="68">
        <f t="shared" si="2"/>
        <v>0</v>
      </c>
      <c r="M15" s="68">
        <f>VLOOKUP(C15,CPD!$B$9:$I$37,8,0)</f>
        <v>0</v>
      </c>
      <c r="N15" s="68">
        <f t="shared" si="3"/>
        <v>0</v>
      </c>
      <c r="O15" s="68">
        <f>VLOOKUP(C15,RESUMEN!$C$4:$Z$133,24,0)</f>
        <v>0</v>
      </c>
      <c r="Q15" s="68" t="s">
        <v>652</v>
      </c>
    </row>
    <row r="16" spans="1:17" s="70" customFormat="1" x14ac:dyDescent="0.2">
      <c r="A16" s="70" t="s">
        <v>233</v>
      </c>
      <c r="B16" s="70" t="s">
        <v>6</v>
      </c>
      <c r="C16" s="60" t="s">
        <v>615</v>
      </c>
      <c r="D16" s="114"/>
      <c r="E16" s="115"/>
      <c r="F16" s="70">
        <v>2102.9499999999998</v>
      </c>
      <c r="H16" s="68">
        <f t="shared" ref="H16:H35" si="4">+N16</f>
        <v>0</v>
      </c>
      <c r="I16" s="70">
        <f t="shared" si="1"/>
        <v>2102.9499999999998</v>
      </c>
      <c r="J16" s="68">
        <f>VLOOKUP(C16,CPD!$B$9:$D$37,3,0)</f>
        <v>0</v>
      </c>
      <c r="K16" s="113">
        <v>13000</v>
      </c>
      <c r="L16" s="70">
        <f t="shared" si="2"/>
        <v>0</v>
      </c>
      <c r="M16" s="68">
        <f>VLOOKUP(C16,CPD!$B$9:$I$37,8,0)</f>
        <v>0</v>
      </c>
      <c r="N16" s="70">
        <f t="shared" si="3"/>
        <v>0</v>
      </c>
      <c r="O16" s="68">
        <f>VLOOKUP(C16,RESUMEN!$C$4:$Z$133,24,0)</f>
        <v>0</v>
      </c>
      <c r="P16" s="68"/>
      <c r="Q16" s="68" t="s">
        <v>652</v>
      </c>
    </row>
    <row r="17" spans="1:17" x14ac:dyDescent="0.2">
      <c r="A17" s="68" t="s">
        <v>20</v>
      </c>
      <c r="B17" s="68" t="s">
        <v>6</v>
      </c>
      <c r="C17" s="68" t="s">
        <v>339</v>
      </c>
      <c r="D17" s="112"/>
      <c r="E17" s="113"/>
      <c r="F17" s="68">
        <v>2600.3999999999992</v>
      </c>
      <c r="G17" s="70">
        <f>141.47+750</f>
        <v>891.47</v>
      </c>
      <c r="H17" s="68">
        <f t="shared" si="4"/>
        <v>68</v>
      </c>
      <c r="I17" s="68">
        <f t="shared" si="1"/>
        <v>3559.869999999999</v>
      </c>
      <c r="J17" s="68">
        <f>VLOOKUP(C17,CPD!$B$9:$D$37,3,0)</f>
        <v>1</v>
      </c>
      <c r="K17" s="113">
        <f>VLOOKUP(C17,RESUMEN!$C$4:$L$121,10,)</f>
        <v>15000</v>
      </c>
      <c r="L17" s="68">
        <f t="shared" si="2"/>
        <v>150</v>
      </c>
      <c r="M17" s="68">
        <f>VLOOKUP(C17,CPD!$B$9:$I$37,8,0)</f>
        <v>82</v>
      </c>
      <c r="N17" s="68">
        <f t="shared" si="3"/>
        <v>68</v>
      </c>
      <c r="O17" s="68">
        <f>VLOOKUP(C17,RESUMEN!$C$4:$Z$133,24,0)</f>
        <v>0</v>
      </c>
      <c r="Q17" s="68" t="s">
        <v>651</v>
      </c>
    </row>
    <row r="18" spans="1:17" x14ac:dyDescent="0.2">
      <c r="A18" s="68" t="s">
        <v>10</v>
      </c>
      <c r="B18" s="68" t="s">
        <v>6</v>
      </c>
      <c r="C18" s="68" t="s">
        <v>331</v>
      </c>
      <c r="D18" s="112"/>
      <c r="E18" s="113"/>
      <c r="F18" s="68">
        <v>1475.6</v>
      </c>
      <c r="G18" s="70">
        <v>304.07</v>
      </c>
      <c r="H18" s="68">
        <f t="shared" si="4"/>
        <v>0</v>
      </c>
      <c r="I18" s="68">
        <f t="shared" si="1"/>
        <v>1779.6699999999998</v>
      </c>
      <c r="J18" s="68">
        <f>VLOOKUP(C18,CPD!$B$9:$D$37,3,0)</f>
        <v>0</v>
      </c>
      <c r="K18" s="113">
        <f>VLOOKUP(C18,RESUMEN!$C$4:$L$121,10,)</f>
        <v>8500</v>
      </c>
      <c r="L18" s="68">
        <f t="shared" si="2"/>
        <v>0</v>
      </c>
      <c r="M18" s="68">
        <f>VLOOKUP(C18,CPD!$B$9:$I$37,8,0)</f>
        <v>0</v>
      </c>
      <c r="N18" s="68">
        <f t="shared" si="3"/>
        <v>0</v>
      </c>
      <c r="O18" s="68">
        <f>VLOOKUP(C18,RESUMEN!$C$4:$Z$133,24,0)</f>
        <v>0</v>
      </c>
      <c r="Q18" s="68" t="s">
        <v>651</v>
      </c>
    </row>
    <row r="19" spans="1:17" x14ac:dyDescent="0.2">
      <c r="A19" s="68" t="s">
        <v>32</v>
      </c>
      <c r="B19" s="68" t="s">
        <v>6</v>
      </c>
      <c r="C19" s="68" t="s">
        <v>143</v>
      </c>
      <c r="D19" s="112"/>
      <c r="E19" s="113"/>
      <c r="F19" s="68">
        <v>2600.1999999999998</v>
      </c>
      <c r="G19" s="70">
        <v>371.43</v>
      </c>
      <c r="H19" s="68">
        <f t="shared" si="4"/>
        <v>0</v>
      </c>
      <c r="I19" s="68">
        <f t="shared" si="1"/>
        <v>2971.6299999999997</v>
      </c>
      <c r="J19" s="68">
        <f>VLOOKUP(C19,CPD!$B$9:$D$37,3,0)</f>
        <v>0</v>
      </c>
      <c r="K19" s="113">
        <f>VLOOKUP(C19,RESUMEN!$C$4:$L$121,10,)</f>
        <v>15000</v>
      </c>
      <c r="L19" s="68">
        <f t="shared" si="2"/>
        <v>0</v>
      </c>
      <c r="M19" s="68">
        <f>VLOOKUP(C19,CPD!$B$9:$I$37,8,0)</f>
        <v>0</v>
      </c>
      <c r="N19" s="68">
        <f t="shared" si="3"/>
        <v>0</v>
      </c>
      <c r="O19" s="68">
        <f>VLOOKUP(C19,RESUMEN!$C$4:$Z$133,24,0)</f>
        <v>0</v>
      </c>
      <c r="Q19" s="68" t="s">
        <v>651</v>
      </c>
    </row>
    <row r="20" spans="1:17" x14ac:dyDescent="0.2">
      <c r="A20" s="68" t="s">
        <v>26</v>
      </c>
      <c r="B20" s="68" t="s">
        <v>6</v>
      </c>
      <c r="C20" s="68" t="s">
        <v>342</v>
      </c>
      <c r="D20" s="112"/>
      <c r="E20" s="113"/>
      <c r="F20" s="68">
        <v>2751.0400000000009</v>
      </c>
      <c r="G20" s="70">
        <v>150</v>
      </c>
      <c r="H20" s="68">
        <f t="shared" si="4"/>
        <v>0</v>
      </c>
      <c r="I20" s="68">
        <f t="shared" si="1"/>
        <v>2901.0400000000009</v>
      </c>
      <c r="J20" s="68">
        <f>VLOOKUP(C20,CPD!$B$9:$D$37,3,0)</f>
        <v>0</v>
      </c>
      <c r="K20" s="113">
        <f>VLOOKUP(C20,RESUMEN!$C$4:$L$121,10,)</f>
        <v>15000</v>
      </c>
      <c r="L20" s="68">
        <f t="shared" si="2"/>
        <v>0</v>
      </c>
      <c r="M20" s="68">
        <f>VLOOKUP(C20,CPD!$B$9:$I$37,8,0)</f>
        <v>0</v>
      </c>
      <c r="N20" s="68">
        <f t="shared" si="3"/>
        <v>0</v>
      </c>
      <c r="O20" s="68">
        <f>VLOOKUP(C20,RESUMEN!$C$4:$Z$133,24,0)</f>
        <v>0</v>
      </c>
      <c r="Q20" s="68" t="s">
        <v>651</v>
      </c>
    </row>
    <row r="21" spans="1:17" x14ac:dyDescent="0.2">
      <c r="A21" s="68" t="s">
        <v>224</v>
      </c>
      <c r="B21" s="68" t="s">
        <v>6</v>
      </c>
      <c r="C21" s="68" t="s">
        <v>335</v>
      </c>
      <c r="D21" s="112"/>
      <c r="E21" s="113"/>
      <c r="F21" s="68">
        <v>2464</v>
      </c>
      <c r="G21" s="70"/>
      <c r="H21" s="68">
        <f t="shared" si="4"/>
        <v>0</v>
      </c>
      <c r="I21" s="68">
        <f t="shared" si="1"/>
        <v>2464</v>
      </c>
      <c r="J21" s="68">
        <f>VLOOKUP(C21,CPD!$B$9:$D$37,3,0)</f>
        <v>0</v>
      </c>
      <c r="K21" s="113">
        <f>VLOOKUP(C21,RESUMEN!$C$4:$L$121,10,)</f>
        <v>13000</v>
      </c>
      <c r="L21" s="68">
        <f t="shared" si="2"/>
        <v>0</v>
      </c>
      <c r="M21" s="68">
        <f>VLOOKUP(C21,CPD!$B$9:$I$37,8,0)</f>
        <v>0</v>
      </c>
      <c r="N21" s="68">
        <f t="shared" si="3"/>
        <v>0</v>
      </c>
      <c r="O21" s="68">
        <f>VLOOKUP(C21,RESUMEN!$C$4:$Z$133,24,0)</f>
        <v>0</v>
      </c>
      <c r="Q21" s="68" t="s">
        <v>651</v>
      </c>
    </row>
    <row r="22" spans="1:17" x14ac:dyDescent="0.2">
      <c r="A22" s="68" t="s">
        <v>16</v>
      </c>
      <c r="B22" s="68" t="s">
        <v>6</v>
      </c>
      <c r="C22" s="68" t="s">
        <v>337</v>
      </c>
      <c r="D22" s="112"/>
      <c r="E22" s="113"/>
      <c r="F22" s="68">
        <v>2600.3999999999996</v>
      </c>
      <c r="G22" s="70">
        <v>356.25</v>
      </c>
      <c r="H22" s="68">
        <f t="shared" si="4"/>
        <v>0</v>
      </c>
      <c r="I22" s="68">
        <f t="shared" si="1"/>
        <v>2956.6499999999996</v>
      </c>
      <c r="J22" s="68">
        <f>VLOOKUP(C22,CPD!$B$9:$D$37,3,0)</f>
        <v>0</v>
      </c>
      <c r="K22" s="113">
        <f>VLOOKUP(C22,RESUMEN!$C$4:$L$121,10,)</f>
        <v>15000</v>
      </c>
      <c r="L22" s="68">
        <f t="shared" si="2"/>
        <v>0</v>
      </c>
      <c r="M22" s="68">
        <f>VLOOKUP(C22,CPD!$B$9:$I$37,8,0)</f>
        <v>0</v>
      </c>
      <c r="N22" s="68">
        <f t="shared" si="3"/>
        <v>0</v>
      </c>
      <c r="O22" s="68">
        <f>VLOOKUP(C22,RESUMEN!$C$4:$Z$133,24,0)</f>
        <v>0</v>
      </c>
      <c r="Q22" s="68" t="s">
        <v>651</v>
      </c>
    </row>
    <row r="23" spans="1:17" x14ac:dyDescent="0.2">
      <c r="A23" s="68" t="s">
        <v>36</v>
      </c>
      <c r="B23" s="68" t="s">
        <v>6</v>
      </c>
      <c r="C23" s="68" t="s">
        <v>347</v>
      </c>
      <c r="D23" s="112"/>
      <c r="E23" s="113"/>
      <c r="F23" s="68">
        <v>1483.0600000000004</v>
      </c>
      <c r="G23" s="116">
        <v>103.16</v>
      </c>
      <c r="H23" s="68">
        <f t="shared" si="4"/>
        <v>0</v>
      </c>
      <c r="I23" s="68">
        <f t="shared" si="1"/>
        <v>1586.2200000000005</v>
      </c>
      <c r="J23" s="68">
        <f>VLOOKUP(C23,CPD!$B$9:$D$37,3,0)</f>
        <v>0</v>
      </c>
      <c r="K23" s="113">
        <f>VLOOKUP(C23,RESUMEN!$C$4:$L$121,10,)</f>
        <v>10000</v>
      </c>
      <c r="L23" s="68">
        <f t="shared" si="2"/>
        <v>0</v>
      </c>
      <c r="M23" s="68">
        <f>VLOOKUP(C23,CPD!$B$9:$I$37,8,0)</f>
        <v>0</v>
      </c>
      <c r="N23" s="68">
        <f t="shared" si="3"/>
        <v>0</v>
      </c>
      <c r="O23" s="68">
        <f>VLOOKUP(C23,RESUMEN!$C$4:$Z$133,24,0)</f>
        <v>0</v>
      </c>
      <c r="Q23" s="68" t="s">
        <v>651</v>
      </c>
    </row>
    <row r="24" spans="1:17" x14ac:dyDescent="0.2">
      <c r="A24" s="68" t="s">
        <v>12</v>
      </c>
      <c r="B24" s="68" t="s">
        <v>6</v>
      </c>
      <c r="C24" s="68" t="s">
        <v>332</v>
      </c>
      <c r="D24" s="112"/>
      <c r="E24" s="113"/>
      <c r="F24" s="68">
        <v>1588.2000000000003</v>
      </c>
      <c r="G24" s="70">
        <v>400</v>
      </c>
      <c r="H24" s="68">
        <f t="shared" si="4"/>
        <v>0</v>
      </c>
      <c r="I24" s="68">
        <f t="shared" si="1"/>
        <v>1988.2000000000003</v>
      </c>
      <c r="J24" s="68">
        <f>VLOOKUP(C24,CPD!$B$9:$D$37,3,0)</f>
        <v>0</v>
      </c>
      <c r="K24" s="113">
        <f>VLOOKUP(C24,RESUMEN!$C$4:$L$121,10,)</f>
        <v>9000</v>
      </c>
      <c r="L24" s="68">
        <f t="shared" si="2"/>
        <v>0</v>
      </c>
      <c r="M24" s="68">
        <f>VLOOKUP(C24,CPD!$B$9:$I$37,8,0)</f>
        <v>0</v>
      </c>
      <c r="N24" s="68">
        <f t="shared" si="3"/>
        <v>0</v>
      </c>
      <c r="O24" s="68">
        <f>VLOOKUP(C24,RESUMEN!$C$4:$Z$133,24,0)</f>
        <v>0</v>
      </c>
      <c r="Q24" s="68" t="s">
        <v>651</v>
      </c>
    </row>
    <row r="25" spans="1:17" x14ac:dyDescent="0.2">
      <c r="A25" s="68" t="s">
        <v>238</v>
      </c>
      <c r="B25" s="68" t="s">
        <v>6</v>
      </c>
      <c r="C25" s="68" t="s">
        <v>348</v>
      </c>
      <c r="D25" s="112"/>
      <c r="E25" s="113"/>
      <c r="F25" s="68">
        <v>12613.2</v>
      </c>
      <c r="G25" s="70"/>
      <c r="H25" s="68">
        <f t="shared" si="4"/>
        <v>0</v>
      </c>
      <c r="I25" s="68">
        <f t="shared" si="1"/>
        <v>12613.2</v>
      </c>
      <c r="J25" s="68">
        <f>VLOOKUP(C25,CPD!$B$9:$D$37,3,0)</f>
        <v>0</v>
      </c>
      <c r="K25" s="113">
        <f>VLOOKUP(C25,RESUMEN!$C$4:$L$121,10,)</f>
        <v>60000</v>
      </c>
      <c r="L25" s="68">
        <f t="shared" si="2"/>
        <v>0</v>
      </c>
      <c r="M25" s="68">
        <f>VLOOKUP(C25,CPD!$B$9:$I$37,8,0)</f>
        <v>0</v>
      </c>
      <c r="N25" s="68">
        <f t="shared" si="3"/>
        <v>0</v>
      </c>
      <c r="O25" s="68">
        <f>VLOOKUP(C25,RESUMEN!$C$4:$Z$133,24,0)</f>
        <v>0</v>
      </c>
      <c r="Q25" s="68" t="s">
        <v>651</v>
      </c>
    </row>
    <row r="26" spans="1:17" x14ac:dyDescent="0.2">
      <c r="A26" s="68" t="s">
        <v>239</v>
      </c>
      <c r="B26" s="68" t="s">
        <v>6</v>
      </c>
      <c r="C26" s="68" t="s">
        <v>349</v>
      </c>
      <c r="D26" s="112"/>
      <c r="E26" s="113"/>
      <c r="F26" s="68">
        <v>1891.1999999999994</v>
      </c>
      <c r="G26" s="70"/>
      <c r="H26" s="68">
        <f t="shared" si="4"/>
        <v>0</v>
      </c>
      <c r="I26" s="68">
        <f t="shared" si="1"/>
        <v>1891.1999999999994</v>
      </c>
      <c r="J26" s="68">
        <f>VLOOKUP(C26,CPD!$B$9:$D$37,3,0)</f>
        <v>0</v>
      </c>
      <c r="K26" s="113">
        <f>VLOOKUP(C26,RESUMEN!$C$4:$L$121,10,)</f>
        <v>12000</v>
      </c>
      <c r="L26" s="68">
        <f t="shared" si="2"/>
        <v>0</v>
      </c>
      <c r="M26" s="68">
        <f>VLOOKUP(C26,CPD!$B$9:$I$37,8,0)</f>
        <v>0</v>
      </c>
      <c r="N26" s="68">
        <f t="shared" si="3"/>
        <v>0</v>
      </c>
      <c r="O26" s="68">
        <f>VLOOKUP(C26,RESUMEN!$C$4:$Z$133,24,0)</f>
        <v>0</v>
      </c>
      <c r="Q26" s="68" t="s">
        <v>651</v>
      </c>
    </row>
    <row r="27" spans="1:17" x14ac:dyDescent="0.2">
      <c r="A27" s="68" t="s">
        <v>225</v>
      </c>
      <c r="B27" s="68" t="s">
        <v>6</v>
      </c>
      <c r="C27" s="68" t="s">
        <v>336</v>
      </c>
      <c r="D27" s="112"/>
      <c r="E27" s="113"/>
      <c r="F27" s="68">
        <v>4176.0000000000009</v>
      </c>
      <c r="G27" s="70"/>
      <c r="H27" s="68">
        <f t="shared" si="4"/>
        <v>0</v>
      </c>
      <c r="I27" s="68">
        <f t="shared" si="1"/>
        <v>4176.0000000000009</v>
      </c>
      <c r="J27" s="68">
        <f>VLOOKUP(C27,CPD!$B$9:$D$37,3,0)</f>
        <v>0</v>
      </c>
      <c r="K27" s="113">
        <f>VLOOKUP(C27,RESUMEN!$C$4:$L$121,10,)</f>
        <v>18500</v>
      </c>
      <c r="L27" s="68">
        <f t="shared" si="2"/>
        <v>0</v>
      </c>
      <c r="M27" s="68">
        <f>VLOOKUP(C27,CPD!$B$9:$I$37,8,0)</f>
        <v>0</v>
      </c>
      <c r="N27" s="68">
        <f t="shared" si="3"/>
        <v>0</v>
      </c>
      <c r="O27" s="68">
        <f>VLOOKUP(C27,RESUMEN!$C$4:$Z$133,24,0)</f>
        <v>0</v>
      </c>
      <c r="Q27" s="68" t="s">
        <v>651</v>
      </c>
    </row>
    <row r="28" spans="1:17" x14ac:dyDescent="0.2">
      <c r="A28" s="68" t="s">
        <v>243</v>
      </c>
      <c r="B28" s="68" t="s">
        <v>6</v>
      </c>
      <c r="C28" s="78" t="s">
        <v>386</v>
      </c>
      <c r="D28" s="112"/>
      <c r="E28" s="113"/>
      <c r="F28" s="68">
        <v>16803.400000000001</v>
      </c>
      <c r="G28" s="116"/>
      <c r="H28" s="68">
        <f t="shared" si="4"/>
        <v>0</v>
      </c>
      <c r="I28" s="68">
        <f t="shared" si="1"/>
        <v>16803.400000000001</v>
      </c>
      <c r="J28" s="68">
        <f>VLOOKUP(C28,CPD!$B$9:$D$37,3,0)</f>
        <v>0</v>
      </c>
      <c r="K28" s="113">
        <f>VLOOKUP(C28,RESUMEN!$C$4:$L$121,10,)</f>
        <v>40000</v>
      </c>
      <c r="L28" s="68">
        <f t="shared" si="2"/>
        <v>0</v>
      </c>
      <c r="M28" s="68">
        <f>VLOOKUP(C28,CPD!$B$9:$I$37,8,0)</f>
        <v>0</v>
      </c>
      <c r="N28" s="68">
        <f t="shared" si="3"/>
        <v>0</v>
      </c>
      <c r="O28" s="68">
        <f>VLOOKUP(C28,RESUMEN!$C$4:$Z$133,24,0)</f>
        <v>0</v>
      </c>
      <c r="Q28" s="68" t="s">
        <v>651</v>
      </c>
    </row>
    <row r="29" spans="1:17" x14ac:dyDescent="0.2">
      <c r="A29" s="68" t="s">
        <v>412</v>
      </c>
      <c r="B29" s="68" t="s">
        <v>6</v>
      </c>
      <c r="C29" s="68" t="s">
        <v>413</v>
      </c>
      <c r="D29" s="112"/>
      <c r="E29" s="113"/>
      <c r="F29" s="68">
        <v>1588</v>
      </c>
      <c r="G29" s="70"/>
      <c r="H29" s="68">
        <f t="shared" si="4"/>
        <v>0</v>
      </c>
      <c r="I29" s="68">
        <f t="shared" si="1"/>
        <v>1588</v>
      </c>
      <c r="J29" s="68">
        <f>VLOOKUP(C29,CPD!$B$9:$D$37,3,0)</f>
        <v>0</v>
      </c>
      <c r="K29" s="113">
        <f>VLOOKUP(C29,RESUMEN!$C$4:$L$121,10,)</f>
        <v>9000</v>
      </c>
      <c r="L29" s="68">
        <f t="shared" si="2"/>
        <v>0</v>
      </c>
      <c r="M29" s="68">
        <f>VLOOKUP(C29,CPD!$B$9:$I$37,8,0)</f>
        <v>0</v>
      </c>
      <c r="N29" s="68">
        <f t="shared" si="3"/>
        <v>0</v>
      </c>
      <c r="O29" s="68">
        <f>VLOOKUP(C29,RESUMEN!$C$4:$Z$133,24,0)</f>
        <v>0</v>
      </c>
      <c r="Q29" s="68" t="s">
        <v>652</v>
      </c>
    </row>
    <row r="30" spans="1:17" x14ac:dyDescent="0.2">
      <c r="A30" s="68" t="s">
        <v>495</v>
      </c>
      <c r="B30" s="68" t="s">
        <v>6</v>
      </c>
      <c r="C30" s="68" t="s">
        <v>496</v>
      </c>
      <c r="D30" s="112"/>
      <c r="E30" s="113"/>
      <c r="F30" s="68">
        <v>1803.2799999999997</v>
      </c>
      <c r="G30" s="70">
        <f>1810+1000</f>
        <v>2810</v>
      </c>
      <c r="H30" s="68">
        <f t="shared" si="4"/>
        <v>99.999999999999972</v>
      </c>
      <c r="I30" s="68">
        <f t="shared" si="1"/>
        <v>4713.28</v>
      </c>
      <c r="J30" s="68">
        <f>VLOOKUP(C30,CPD!$B$9:$D$37,3,0)</f>
        <v>2</v>
      </c>
      <c r="K30" s="113">
        <f>VLOOKUP(C30,RESUMEN!$C$4:$L$121,10,)</f>
        <v>10000</v>
      </c>
      <c r="L30" s="68">
        <f>(((+K30/30)*J30)*30%)</f>
        <v>199.99999999999997</v>
      </c>
      <c r="M30" s="68">
        <f>VLOOKUP(C30,CPD!$B$9:$I$37,8,0)</f>
        <v>100</v>
      </c>
      <c r="N30" s="68">
        <f t="shared" si="3"/>
        <v>99.999999999999972</v>
      </c>
      <c r="O30" s="68">
        <f>VLOOKUP(C30,RESUMEN!$C$4:$Z$133,24,0)</f>
        <v>0</v>
      </c>
      <c r="Q30" s="68" t="s">
        <v>652</v>
      </c>
    </row>
    <row r="31" spans="1:17" x14ac:dyDescent="0.2">
      <c r="A31" s="63" t="s">
        <v>590</v>
      </c>
      <c r="B31" s="68" t="s">
        <v>6</v>
      </c>
      <c r="C31" s="63" t="s">
        <v>474</v>
      </c>
      <c r="D31" s="112"/>
      <c r="E31" s="113"/>
      <c r="F31" s="105">
        <v>0</v>
      </c>
      <c r="G31" s="70"/>
      <c r="H31" s="68">
        <f t="shared" si="4"/>
        <v>0</v>
      </c>
      <c r="I31" s="68">
        <f t="shared" si="1"/>
        <v>0</v>
      </c>
      <c r="J31" s="68">
        <f>VLOOKUP(C31,CPD!$B$9:$D$37,3,0)</f>
        <v>0</v>
      </c>
      <c r="K31" s="113">
        <f>VLOOKUP(C31,RESUMEN!$C$4:$L$121,10,)</f>
        <v>4000</v>
      </c>
      <c r="L31" s="68">
        <f>(((+K31/30)*J31)*30%)</f>
        <v>0</v>
      </c>
      <c r="M31" s="68">
        <f>VLOOKUP(C31,CPD!$B$9:$I$37,8,0)</f>
        <v>0</v>
      </c>
      <c r="N31" s="68">
        <f>+L31-M31</f>
        <v>0</v>
      </c>
      <c r="O31" s="68">
        <f>VLOOKUP(C31,RESUMEN!$C$4:$Z$133,24,0)</f>
        <v>-23.75</v>
      </c>
      <c r="Q31" s="68" t="s">
        <v>651</v>
      </c>
    </row>
    <row r="32" spans="1:17" x14ac:dyDescent="0.2">
      <c r="A32" s="68" t="s">
        <v>436</v>
      </c>
      <c r="B32" s="68" t="s">
        <v>6</v>
      </c>
      <c r="C32" s="68" t="s">
        <v>617</v>
      </c>
      <c r="D32" s="112"/>
      <c r="E32" s="113"/>
      <c r="F32" s="68">
        <v>2464</v>
      </c>
      <c r="G32" s="70"/>
      <c r="H32" s="68">
        <f t="shared" si="4"/>
        <v>0</v>
      </c>
      <c r="I32" s="68">
        <f>+F32+G32+H32</f>
        <v>2464</v>
      </c>
      <c r="J32" s="68">
        <f>VLOOKUP(C32,CPD!$B$9:$D$37,3,0)</f>
        <v>0</v>
      </c>
      <c r="K32" s="113">
        <f>VLOOKUP(C32,RESUMEN!$C$4:$L$121,10,)</f>
        <v>13000</v>
      </c>
      <c r="L32" s="68">
        <f>(((+K32/30)*J32)*30%)</f>
        <v>0</v>
      </c>
      <c r="M32" s="68">
        <f>VLOOKUP(C32,CPD!$B$9:$I$37,8,0)</f>
        <v>0</v>
      </c>
      <c r="N32" s="68">
        <f>+L32-M32</f>
        <v>0</v>
      </c>
      <c r="O32" s="68">
        <f>VLOOKUP(C32,RESUMEN!$C$4:$Z$133,24,0)</f>
        <v>0</v>
      </c>
      <c r="Q32" s="68" t="s">
        <v>651</v>
      </c>
    </row>
    <row r="33" spans="1:17" x14ac:dyDescent="0.2">
      <c r="A33" s="68" t="s">
        <v>634</v>
      </c>
      <c r="B33" s="68" t="s">
        <v>6</v>
      </c>
      <c r="C33" s="68" t="s">
        <v>635</v>
      </c>
      <c r="D33" s="112"/>
      <c r="E33" s="113"/>
      <c r="F33" s="60">
        <v>3090.6000000000008</v>
      </c>
      <c r="G33" s="70">
        <v>616</v>
      </c>
      <c r="H33" s="68">
        <f t="shared" si="4"/>
        <v>0</v>
      </c>
      <c r="I33" s="68">
        <f>+F33+G33+H33</f>
        <v>3706.6000000000008</v>
      </c>
      <c r="J33" s="68">
        <f>VLOOKUP(C33,CPD!$B$9:$D$37,3,0)</f>
        <v>0</v>
      </c>
      <c r="K33" s="113">
        <v>15400</v>
      </c>
      <c r="M33" s="68">
        <f>VLOOKUP(C33,CPD!$B$9:$I$37,8,0)</f>
        <v>0</v>
      </c>
      <c r="O33" s="68">
        <f>VLOOKUP(C33,RESUMEN!$C$4:$Z$133,24,0)</f>
        <v>0</v>
      </c>
      <c r="Q33" s="68" t="s">
        <v>651</v>
      </c>
    </row>
    <row r="34" spans="1:17" x14ac:dyDescent="0.2">
      <c r="A34" s="68" t="s">
        <v>644</v>
      </c>
      <c r="B34" s="68" t="s">
        <v>6</v>
      </c>
      <c r="C34" s="68" t="s">
        <v>645</v>
      </c>
      <c r="D34" s="114"/>
      <c r="E34" s="115"/>
      <c r="F34" s="68">
        <v>3286.8000000000011</v>
      </c>
      <c r="G34" s="70"/>
      <c r="H34" s="68">
        <f t="shared" si="4"/>
        <v>0</v>
      </c>
      <c r="I34" s="68">
        <f>+F34+G34+H34</f>
        <v>3286.8000000000011</v>
      </c>
      <c r="J34" s="68">
        <f>VLOOKUP(C34,CPD!$B$9:$D$37,3,0)</f>
        <v>0</v>
      </c>
      <c r="K34" s="113">
        <v>17000</v>
      </c>
      <c r="M34" s="68">
        <f>VLOOKUP(C34,CPD!$B$9:$I$37,8,0)</f>
        <v>0</v>
      </c>
      <c r="O34" s="68">
        <f>VLOOKUP(C34,RESUMEN!$C$4:$Z$133,24,0)</f>
        <v>0</v>
      </c>
      <c r="Q34" s="68" t="s">
        <v>652</v>
      </c>
    </row>
    <row r="35" spans="1:17" x14ac:dyDescent="0.2">
      <c r="A35" s="68" t="s">
        <v>654</v>
      </c>
      <c r="B35" s="68" t="s">
        <v>6</v>
      </c>
      <c r="C35" s="68" t="s">
        <v>655</v>
      </c>
      <c r="D35" s="114"/>
      <c r="E35" s="115"/>
      <c r="F35" s="68">
        <v>2672.6000000000004</v>
      </c>
      <c r="G35" s="70">
        <v>1200</v>
      </c>
      <c r="H35" s="68">
        <f t="shared" si="4"/>
        <v>0</v>
      </c>
      <c r="I35" s="68">
        <f>+F35+G35+H35</f>
        <v>3872.6000000000004</v>
      </c>
      <c r="J35" s="68">
        <f>VLOOKUP(C35,CPD!$B$9:$D$37,3,0)</f>
        <v>0</v>
      </c>
      <c r="K35" s="113">
        <v>14000</v>
      </c>
      <c r="M35" s="68">
        <f>VLOOKUP(C35,CPD!$B$9:$I$37,8,0)</f>
        <v>0</v>
      </c>
      <c r="O35" s="68">
        <f>VLOOKUP(C35,RESUMEN!$C$4:$Z$133,24,0)</f>
        <v>-1200</v>
      </c>
    </row>
    <row r="36" spans="1:17" s="105" customFormat="1" x14ac:dyDescent="0.2">
      <c r="A36" s="105" t="s">
        <v>544</v>
      </c>
      <c r="B36" s="105" t="s">
        <v>58</v>
      </c>
      <c r="C36" s="105" t="s">
        <v>373</v>
      </c>
      <c r="D36" s="117"/>
      <c r="E36" s="118"/>
      <c r="F36" s="105">
        <v>2219.2799999999993</v>
      </c>
      <c r="G36" s="105">
        <f>1000+480</f>
        <v>1480</v>
      </c>
      <c r="H36" s="105">
        <f>+N36</f>
        <v>295.7600000000001</v>
      </c>
      <c r="I36" s="105">
        <f t="shared" si="1"/>
        <v>3995.0399999999995</v>
      </c>
      <c r="J36" s="105">
        <f>VLOOKUP(C36,IP!$B$9:$D$117,3,0)</f>
        <v>7</v>
      </c>
      <c r="K36" s="118">
        <f>VLOOKUP(C36,RESUMEN!$C$35:$L$137,10,0)</f>
        <v>9800</v>
      </c>
      <c r="L36" s="105">
        <f>(((+K36/30)*J36)*30%)</f>
        <v>686.00000000000011</v>
      </c>
      <c r="M36" s="105">
        <f>VLOOKUP(C36,IP!$B$9:$I$117,8,0)</f>
        <v>390.24</v>
      </c>
      <c r="N36" s="105">
        <f>+L36-M36</f>
        <v>295.7600000000001</v>
      </c>
      <c r="O36" s="70">
        <f>VLOOKUP(C36,RESUMEN!$C$35:$Z$141,24,0)</f>
        <v>4.0000000000873115E-2</v>
      </c>
      <c r="P36" s="68"/>
      <c r="Q36" s="105" t="s">
        <v>652</v>
      </c>
    </row>
    <row r="37" spans="1:17" x14ac:dyDescent="0.2">
      <c r="A37" s="68" t="s">
        <v>545</v>
      </c>
      <c r="B37" s="68" t="s">
        <v>58</v>
      </c>
      <c r="C37" s="68" t="s">
        <v>372</v>
      </c>
      <c r="D37" s="112"/>
      <c r="E37" s="113"/>
      <c r="F37" s="68">
        <v>2884.99</v>
      </c>
      <c r="G37" s="70"/>
      <c r="H37" s="68">
        <f t="shared" ref="H37:H99" si="5">+N37</f>
        <v>0</v>
      </c>
      <c r="I37" s="68">
        <f t="shared" si="1"/>
        <v>2884.99</v>
      </c>
      <c r="J37" s="68">
        <f>VLOOKUP(C37,IP!$B$9:$D$117,3,0)</f>
        <v>0</v>
      </c>
      <c r="K37" s="113">
        <f>VLOOKUP(C37,RESUMEN!$C$35:$L$137,10,0)</f>
        <v>12000</v>
      </c>
      <c r="L37" s="68">
        <f t="shared" si="2"/>
        <v>0</v>
      </c>
      <c r="M37" s="68">
        <f>VLOOKUP(C37,IP!$B$9:$I$117,8,0)</f>
        <v>0</v>
      </c>
      <c r="N37" s="68">
        <f t="shared" ref="N37:N97" si="6">+L37-M37</f>
        <v>0</v>
      </c>
      <c r="O37" s="70">
        <f>VLOOKUP(C37,RESUMEN!$C$35:$Z$141,24,0)</f>
        <v>0</v>
      </c>
      <c r="Q37" s="68" t="s">
        <v>651</v>
      </c>
    </row>
    <row r="38" spans="1:17" x14ac:dyDescent="0.2">
      <c r="A38" s="68" t="s">
        <v>546</v>
      </c>
      <c r="B38" s="68" t="s">
        <v>58</v>
      </c>
      <c r="C38" s="68" t="s">
        <v>367</v>
      </c>
      <c r="D38" s="112"/>
      <c r="E38" s="113"/>
      <c r="F38" s="68">
        <v>2262.25</v>
      </c>
      <c r="G38" s="70">
        <v>333.34</v>
      </c>
      <c r="H38" s="68">
        <f t="shared" si="5"/>
        <v>0</v>
      </c>
      <c r="I38" s="68">
        <f t="shared" si="1"/>
        <v>2595.59</v>
      </c>
      <c r="J38" s="68">
        <f>VLOOKUP(C38,IP!$B$9:$D$117,3,0)</f>
        <v>0</v>
      </c>
      <c r="K38" s="113">
        <f>VLOOKUP(C38,RESUMEN!$C$35:$L$137,10,0)</f>
        <v>9000</v>
      </c>
      <c r="L38" s="68">
        <f t="shared" si="2"/>
        <v>0</v>
      </c>
      <c r="M38" s="68">
        <f>VLOOKUP(C38,IP!$B$9:$I$117,8,0)</f>
        <v>0</v>
      </c>
      <c r="N38" s="68">
        <f t="shared" si="6"/>
        <v>0</v>
      </c>
      <c r="O38" s="70">
        <f>VLOOKUP(C38,RESUMEN!$C$35:$Z$141,24,0)</f>
        <v>0</v>
      </c>
      <c r="Q38" s="68" t="s">
        <v>651</v>
      </c>
    </row>
    <row r="39" spans="1:17" x14ac:dyDescent="0.2">
      <c r="A39" s="68" t="s">
        <v>547</v>
      </c>
      <c r="B39" s="68" t="s">
        <v>58</v>
      </c>
      <c r="C39" s="68" t="s">
        <v>409</v>
      </c>
      <c r="F39" s="68">
        <v>2262.1999999999994</v>
      </c>
      <c r="G39" s="70"/>
      <c r="H39" s="68">
        <f t="shared" si="5"/>
        <v>0</v>
      </c>
      <c r="I39" s="68">
        <f t="shared" si="1"/>
        <v>2262.1999999999994</v>
      </c>
      <c r="J39" s="68">
        <f>VLOOKUP(C39,IP!$B$9:$D$117,3,0)</f>
        <v>0</v>
      </c>
      <c r="K39" s="113">
        <f>VLOOKUP(C39,RESUMEN!$C$35:$L$137,10,0)</f>
        <v>9000</v>
      </c>
      <c r="L39" s="68">
        <f t="shared" si="2"/>
        <v>0</v>
      </c>
      <c r="M39" s="68">
        <f>VLOOKUP(C39,IP!$B$9:$I$117,8,0)</f>
        <v>0</v>
      </c>
      <c r="N39" s="68">
        <f t="shared" si="6"/>
        <v>0</v>
      </c>
      <c r="O39" s="70">
        <f>VLOOKUP(C39,RESUMEN!$C$35:$Z$141,24,0)</f>
        <v>0</v>
      </c>
      <c r="Q39" s="68" t="s">
        <v>651</v>
      </c>
    </row>
    <row r="40" spans="1:17" x14ac:dyDescent="0.2">
      <c r="A40" s="68" t="s">
        <v>548</v>
      </c>
      <c r="B40" s="68" t="s">
        <v>58</v>
      </c>
      <c r="C40" s="68" t="s">
        <v>414</v>
      </c>
      <c r="F40" s="68">
        <v>3721.2</v>
      </c>
      <c r="G40" s="70">
        <v>166.67</v>
      </c>
      <c r="H40" s="68">
        <f t="shared" si="5"/>
        <v>0</v>
      </c>
      <c r="I40" s="68">
        <f t="shared" si="1"/>
        <v>3887.87</v>
      </c>
      <c r="J40" s="68">
        <f>VLOOKUP(C40,IP!$B$9:$D$117,3,0)</f>
        <v>0</v>
      </c>
      <c r="K40" s="113">
        <f>VLOOKUP(C40,RESUMEN!$C$35:$L$137,10,0)</f>
        <v>14000</v>
      </c>
      <c r="L40" s="68">
        <f t="shared" si="2"/>
        <v>0</v>
      </c>
      <c r="M40" s="68">
        <f>VLOOKUP(C40,IP!$B$9:$I$117,8,0)</f>
        <v>0</v>
      </c>
      <c r="N40" s="68">
        <f t="shared" si="6"/>
        <v>0</v>
      </c>
      <c r="O40" s="70">
        <f>VLOOKUP(C40,RESUMEN!$C$35:$Z$141,24,0)</f>
        <v>0</v>
      </c>
      <c r="Q40" s="68" t="s">
        <v>651</v>
      </c>
    </row>
    <row r="41" spans="1:17" x14ac:dyDescent="0.2">
      <c r="A41" s="68" t="s">
        <v>549</v>
      </c>
      <c r="B41" s="68" t="s">
        <v>58</v>
      </c>
      <c r="C41" s="68" t="s">
        <v>415</v>
      </c>
      <c r="F41" s="68">
        <v>3721.2999999999997</v>
      </c>
      <c r="G41" s="70">
        <v>208.34</v>
      </c>
      <c r="H41" s="68">
        <f t="shared" si="5"/>
        <v>0</v>
      </c>
      <c r="I41" s="68">
        <f t="shared" si="1"/>
        <v>3929.64</v>
      </c>
      <c r="J41" s="68">
        <f>VLOOKUP(C41,IP!$B$9:$D$117,3,0)</f>
        <v>0</v>
      </c>
      <c r="K41" s="113">
        <f>VLOOKUP(C41,RESUMEN!$C$35:$L$137,10,0)</f>
        <v>14000</v>
      </c>
      <c r="L41" s="68">
        <f t="shared" si="2"/>
        <v>0</v>
      </c>
      <c r="M41" s="68">
        <f>VLOOKUP(C41,IP!$B$9:$I$117,8,0)</f>
        <v>0</v>
      </c>
      <c r="N41" s="68">
        <f t="shared" si="6"/>
        <v>0</v>
      </c>
      <c r="O41" s="70">
        <f>VLOOKUP(C41,RESUMEN!$C$35:$Z$141,24,0)</f>
        <v>0</v>
      </c>
      <c r="Q41" s="68" t="s">
        <v>651</v>
      </c>
    </row>
    <row r="42" spans="1:17" x14ac:dyDescent="0.2">
      <c r="A42" s="68" t="s">
        <v>551</v>
      </c>
      <c r="B42" s="68" t="s">
        <v>58</v>
      </c>
      <c r="C42" s="68" t="s">
        <v>452</v>
      </c>
      <c r="F42" s="68">
        <v>3339.4400000000005</v>
      </c>
      <c r="G42" s="70">
        <v>168.75</v>
      </c>
      <c r="H42" s="68">
        <f t="shared" si="5"/>
        <v>0</v>
      </c>
      <c r="I42" s="68">
        <f t="shared" si="1"/>
        <v>3508.1900000000005</v>
      </c>
      <c r="J42" s="68">
        <f>VLOOKUP(C42,IP!$B$9:$D$117,3,0)</f>
        <v>0</v>
      </c>
      <c r="K42" s="113">
        <f>VLOOKUP(C42,RESUMEN!$C$35:$L$137,10,0)</f>
        <v>15000</v>
      </c>
      <c r="L42" s="68">
        <f t="shared" si="2"/>
        <v>0</v>
      </c>
      <c r="M42" s="68">
        <f>VLOOKUP(C42,IP!$B$9:$I$117,8,0)</f>
        <v>0</v>
      </c>
      <c r="N42" s="68">
        <f t="shared" si="6"/>
        <v>0</v>
      </c>
      <c r="O42" s="70">
        <f>VLOOKUP(C42,RESUMEN!$C$35:$Z$141,24,0)</f>
        <v>0</v>
      </c>
      <c r="Q42" s="68" t="s">
        <v>651</v>
      </c>
    </row>
    <row r="43" spans="1:17" x14ac:dyDescent="0.2">
      <c r="A43" s="68" t="s">
        <v>552</v>
      </c>
      <c r="B43" s="68" t="s">
        <v>58</v>
      </c>
      <c r="C43" s="68" t="s">
        <v>453</v>
      </c>
      <c r="F43" s="68">
        <v>4339.38</v>
      </c>
      <c r="G43" s="70">
        <f>267.86+1928</f>
        <v>2195.86</v>
      </c>
      <c r="H43" s="68">
        <f t="shared" si="5"/>
        <v>0</v>
      </c>
      <c r="I43" s="68">
        <f t="shared" si="1"/>
        <v>6535.24</v>
      </c>
      <c r="J43" s="68">
        <f>VLOOKUP(C43,IP!$B$9:$D$117,3,0)</f>
        <v>0</v>
      </c>
      <c r="K43" s="113">
        <f>VLOOKUP(C43,RESUMEN!$C$35:$L$137,10,0)</f>
        <v>17000</v>
      </c>
      <c r="L43" s="68">
        <f t="shared" si="2"/>
        <v>0</v>
      </c>
      <c r="M43" s="68">
        <f>VLOOKUP(C43,IP!$B$9:$I$117,8,0)</f>
        <v>0</v>
      </c>
      <c r="N43" s="68">
        <f t="shared" si="6"/>
        <v>0</v>
      </c>
      <c r="O43" s="70">
        <f>VLOOKUP(C43,RESUMEN!$C$35:$Z$141,24,0)</f>
        <v>0</v>
      </c>
      <c r="Q43" s="68" t="s">
        <v>651</v>
      </c>
    </row>
    <row r="44" spans="1:17" x14ac:dyDescent="0.2">
      <c r="A44" s="68" t="s">
        <v>553</v>
      </c>
      <c r="B44" s="68" t="s">
        <v>58</v>
      </c>
      <c r="C44" s="68" t="s">
        <v>454</v>
      </c>
      <c r="F44" s="68">
        <f>1667.4+250</f>
        <v>1917.4</v>
      </c>
      <c r="G44" s="70">
        <f>1071.43+3788</f>
        <v>4859.43</v>
      </c>
      <c r="H44" s="68">
        <f t="shared" si="5"/>
        <v>0</v>
      </c>
      <c r="I44" s="68">
        <f t="shared" si="1"/>
        <v>6776.83</v>
      </c>
      <c r="J44" s="68">
        <f>VLOOKUP(C44,IP!$B$9:$D$117,3,0)</f>
        <v>0</v>
      </c>
      <c r="K44" s="113">
        <f>VLOOKUP(C44,RESUMEN!$C$35:$L$137,10,0)</f>
        <v>10500</v>
      </c>
      <c r="L44" s="68">
        <f t="shared" si="2"/>
        <v>0</v>
      </c>
      <c r="M44" s="68">
        <f>VLOOKUP(C44,IP!$B$9:$I$117,8,0)</f>
        <v>0</v>
      </c>
      <c r="N44" s="68">
        <f t="shared" si="6"/>
        <v>0</v>
      </c>
      <c r="O44" s="70">
        <f>VLOOKUP(C44,RESUMEN!$C$35:$Z$141,24,0)</f>
        <v>0</v>
      </c>
      <c r="Q44" s="68" t="s">
        <v>651</v>
      </c>
    </row>
    <row r="45" spans="1:17" x14ac:dyDescent="0.2">
      <c r="A45" s="68" t="s">
        <v>554</v>
      </c>
      <c r="B45" s="68" t="s">
        <v>58</v>
      </c>
      <c r="C45" s="68" t="s">
        <v>456</v>
      </c>
      <c r="F45" s="68">
        <v>3339.3999999999996</v>
      </c>
      <c r="G45" s="70"/>
      <c r="H45" s="68">
        <f t="shared" si="5"/>
        <v>0</v>
      </c>
      <c r="I45" s="68">
        <f t="shared" si="1"/>
        <v>3339.3999999999996</v>
      </c>
      <c r="J45" s="68">
        <f>VLOOKUP(C45,IP!$B$9:$D$117,3,0)</f>
        <v>0</v>
      </c>
      <c r="K45" s="113">
        <f>VLOOKUP(C45,RESUMEN!$C$35:$L$137,10,0)</f>
        <v>15000</v>
      </c>
      <c r="L45" s="68">
        <f t="shared" si="2"/>
        <v>0</v>
      </c>
      <c r="M45" s="68">
        <f>VLOOKUP(C45,IP!$B$9:$I$117,8,0)</f>
        <v>0</v>
      </c>
      <c r="N45" s="68">
        <f t="shared" si="6"/>
        <v>0</v>
      </c>
      <c r="O45" s="70">
        <f>VLOOKUP(C45,RESUMEN!$C$35:$Z$141,24,0)</f>
        <v>0</v>
      </c>
      <c r="Q45" s="68" t="s">
        <v>652</v>
      </c>
    </row>
    <row r="46" spans="1:17" x14ac:dyDescent="0.2">
      <c r="A46" s="68" t="s">
        <v>555</v>
      </c>
      <c r="B46" s="68" t="s">
        <v>58</v>
      </c>
      <c r="C46" s="68" t="s">
        <v>457</v>
      </c>
      <c r="F46" s="68">
        <v>2667.33</v>
      </c>
      <c r="G46" s="70">
        <v>2060.4</v>
      </c>
      <c r="H46" s="68">
        <f t="shared" si="5"/>
        <v>0</v>
      </c>
      <c r="I46" s="68">
        <f t="shared" si="1"/>
        <v>4727.7299999999996</v>
      </c>
      <c r="J46" s="68">
        <f>VLOOKUP(C46,IP!$B$9:$D$117,3,0)</f>
        <v>0</v>
      </c>
      <c r="K46" s="113">
        <f>VLOOKUP(C46,RESUMEN!$C$35:$L$137,10,0)</f>
        <v>12000</v>
      </c>
      <c r="L46" s="68">
        <f t="shared" si="2"/>
        <v>0</v>
      </c>
      <c r="M46" s="68">
        <f>VLOOKUP(C46,IP!$B$9:$I$117,8,0)</f>
        <v>0</v>
      </c>
      <c r="N46" s="68">
        <f t="shared" si="6"/>
        <v>0</v>
      </c>
      <c r="O46" s="70">
        <f>VLOOKUP(C46,RESUMEN!$C$35:$Z$141,24,0)</f>
        <v>0</v>
      </c>
      <c r="Q46" s="68" t="s">
        <v>651</v>
      </c>
    </row>
    <row r="47" spans="1:17" x14ac:dyDescent="0.2">
      <c r="A47" s="68" t="s">
        <v>556</v>
      </c>
      <c r="B47" s="68" t="s">
        <v>58</v>
      </c>
      <c r="C47" s="68" t="s">
        <v>458</v>
      </c>
      <c r="F47" s="68">
        <v>1667.5699999999997</v>
      </c>
      <c r="G47" s="70">
        <v>503.94</v>
      </c>
      <c r="H47" s="68">
        <f t="shared" si="5"/>
        <v>226.78999999999985</v>
      </c>
      <c r="I47" s="68">
        <f t="shared" si="1"/>
        <v>2398.2999999999997</v>
      </c>
      <c r="J47" s="68">
        <v>8</v>
      </c>
      <c r="K47" s="113">
        <f>VLOOKUP(C47,RESUMEN!$C$35:$L$137,10,0)</f>
        <v>10000</v>
      </c>
      <c r="L47" s="68">
        <f t="shared" si="2"/>
        <v>799.99999999999989</v>
      </c>
      <c r="M47" s="68">
        <f>VLOOKUP(C47,IP!$B$9:$I$117,8,0)</f>
        <v>573.21</v>
      </c>
      <c r="N47" s="68">
        <f t="shared" si="6"/>
        <v>226.78999999999985</v>
      </c>
      <c r="O47" s="70">
        <f>VLOOKUP(C47,RESUMEN!$C$35:$Z$141,24,0)</f>
        <v>0</v>
      </c>
      <c r="Q47" s="68" t="s">
        <v>651</v>
      </c>
    </row>
    <row r="48" spans="1:17" x14ac:dyDescent="0.2">
      <c r="A48" s="68" t="s">
        <v>557</v>
      </c>
      <c r="B48" s="68" t="s">
        <v>58</v>
      </c>
      <c r="C48" s="68" t="s">
        <v>460</v>
      </c>
      <c r="F48" s="68">
        <v>2667.3999999999996</v>
      </c>
      <c r="G48" s="70">
        <v>1054.3499999999999</v>
      </c>
      <c r="H48" s="68">
        <f t="shared" si="5"/>
        <v>0</v>
      </c>
      <c r="I48" s="68">
        <f t="shared" si="1"/>
        <v>3721.7499999999995</v>
      </c>
      <c r="J48" s="68">
        <f>VLOOKUP(C48,IP!$B$9:$D$117,3,0)</f>
        <v>0</v>
      </c>
      <c r="K48" s="113">
        <f>VLOOKUP(C48,RESUMEN!$C$35:$L$137,10,0)</f>
        <v>12000</v>
      </c>
      <c r="L48" s="68">
        <f t="shared" si="2"/>
        <v>0</v>
      </c>
      <c r="M48" s="68">
        <f>VLOOKUP(C48,IP!$B$9:$I$117,8,0)</f>
        <v>0</v>
      </c>
      <c r="N48" s="68">
        <f t="shared" si="6"/>
        <v>0</v>
      </c>
      <c r="O48" s="70">
        <f>VLOOKUP(C48,RESUMEN!$C$35:$Z$141,24,0)</f>
        <v>0</v>
      </c>
      <c r="Q48" s="68" t="s">
        <v>651</v>
      </c>
    </row>
    <row r="49" spans="1:17" x14ac:dyDescent="0.2">
      <c r="A49" s="68" t="s">
        <v>559</v>
      </c>
      <c r="B49" s="68" t="s">
        <v>58</v>
      </c>
      <c r="C49" s="68" t="s">
        <v>462</v>
      </c>
      <c r="F49" s="68">
        <v>1667.4299999999998</v>
      </c>
      <c r="G49" s="70">
        <v>309.43</v>
      </c>
      <c r="H49" s="68">
        <f t="shared" si="5"/>
        <v>0</v>
      </c>
      <c r="I49" s="68">
        <f t="shared" si="1"/>
        <v>1976.86</v>
      </c>
      <c r="J49" s="68">
        <f>VLOOKUP(C49,IP!$B$9:$D$117,3,0)</f>
        <v>0</v>
      </c>
      <c r="K49" s="113">
        <f>VLOOKUP(C49,RESUMEN!$C$35:$L$137,10,0)</f>
        <v>10000</v>
      </c>
      <c r="L49" s="68">
        <f t="shared" si="2"/>
        <v>0</v>
      </c>
      <c r="M49" s="68">
        <f>VLOOKUP(C49,IP!$B$9:$I$117,8,0)</f>
        <v>0</v>
      </c>
      <c r="N49" s="68">
        <f t="shared" si="6"/>
        <v>0</v>
      </c>
      <c r="O49" s="70">
        <f>VLOOKUP(C49,RESUMEN!$C$35:$Z$141,24,0)</f>
        <v>0</v>
      </c>
      <c r="Q49" s="68" t="s">
        <v>651</v>
      </c>
    </row>
    <row r="50" spans="1:17" x14ac:dyDescent="0.2">
      <c r="A50" s="68" t="s">
        <v>560</v>
      </c>
      <c r="B50" s="68" t="s">
        <v>58</v>
      </c>
      <c r="C50" s="68" t="s">
        <v>463</v>
      </c>
      <c r="F50" s="68">
        <v>2667.4800000000005</v>
      </c>
      <c r="G50" s="70"/>
      <c r="H50" s="68">
        <f t="shared" si="5"/>
        <v>0</v>
      </c>
      <c r="I50" s="68">
        <f t="shared" si="1"/>
        <v>2667.4800000000005</v>
      </c>
      <c r="J50" s="68">
        <f>VLOOKUP(C50,IP!$B$9:$D$117,3,0)</f>
        <v>0</v>
      </c>
      <c r="K50" s="113">
        <f>VLOOKUP(C50,RESUMEN!$C$35:$L$137,10,0)</f>
        <v>12000</v>
      </c>
      <c r="L50" s="68">
        <f>(((+K50/30)*J50)*30%)</f>
        <v>0</v>
      </c>
      <c r="M50" s="68">
        <f>VLOOKUP(C50,IP!$B$9:$I$117,8,0)</f>
        <v>0</v>
      </c>
      <c r="N50" s="68">
        <f t="shared" si="6"/>
        <v>0</v>
      </c>
      <c r="O50" s="70">
        <f>VLOOKUP(C50,RESUMEN!$C$35:$Z$141,24,0)</f>
        <v>0</v>
      </c>
      <c r="Q50" s="68" t="s">
        <v>651</v>
      </c>
    </row>
    <row r="51" spans="1:17" x14ac:dyDescent="0.2">
      <c r="A51" s="68" t="s">
        <v>561</v>
      </c>
      <c r="B51" s="68" t="s">
        <v>58</v>
      </c>
      <c r="C51" s="68" t="s">
        <v>465</v>
      </c>
      <c r="F51" s="68">
        <v>2552.4</v>
      </c>
      <c r="G51" s="70">
        <v>250</v>
      </c>
      <c r="H51" s="68">
        <f t="shared" si="5"/>
        <v>0</v>
      </c>
      <c r="I51" s="68">
        <f t="shared" si="1"/>
        <v>2802.4</v>
      </c>
      <c r="J51" s="68">
        <f>VLOOKUP(C51,IP!$B$9:$D$117,3,0)</f>
        <v>0</v>
      </c>
      <c r="K51" s="113">
        <f>VLOOKUP(C51,RESUMEN!$C$35:$L$137,10,0)</f>
        <v>10000</v>
      </c>
      <c r="L51" s="68">
        <f t="shared" si="2"/>
        <v>0</v>
      </c>
      <c r="M51" s="68">
        <f>VLOOKUP(C51,IP!$B$9:$I$117,8,0)</f>
        <v>0</v>
      </c>
      <c r="N51" s="68">
        <f t="shared" si="6"/>
        <v>0</v>
      </c>
      <c r="O51" s="70">
        <f>VLOOKUP(C51,RESUMEN!$C$35:$Z$141,24,0)</f>
        <v>0</v>
      </c>
      <c r="Q51" s="68" t="s">
        <v>651</v>
      </c>
    </row>
    <row r="52" spans="1:17" x14ac:dyDescent="0.2">
      <c r="A52" s="68" t="s">
        <v>562</v>
      </c>
      <c r="B52" s="68" t="s">
        <v>58</v>
      </c>
      <c r="C52" s="68" t="s">
        <v>466</v>
      </c>
      <c r="F52" s="68">
        <v>1694.21</v>
      </c>
      <c r="G52" s="70">
        <v>401.85</v>
      </c>
      <c r="H52" s="68">
        <f t="shared" si="5"/>
        <v>0</v>
      </c>
      <c r="I52" s="68">
        <f t="shared" si="1"/>
        <v>2096.06</v>
      </c>
      <c r="J52" s="68">
        <f>VLOOKUP(C52,IP!$B$9:$D$117,3,0)</f>
        <v>0</v>
      </c>
      <c r="K52" s="113">
        <f>VLOOKUP(C52,RESUMEN!$C$35:$L$137,10,0)</f>
        <v>9000</v>
      </c>
      <c r="L52" s="68">
        <f t="shared" si="2"/>
        <v>0</v>
      </c>
      <c r="M52" s="68">
        <f>VLOOKUP(C52,IP!$B$9:$I$117,8,0)</f>
        <v>0</v>
      </c>
      <c r="N52" s="68">
        <f t="shared" si="6"/>
        <v>0</v>
      </c>
      <c r="O52" s="70">
        <f>VLOOKUP(C52,RESUMEN!$C$35:$Z$141,24,0)</f>
        <v>0</v>
      </c>
      <c r="Q52" s="68" t="s">
        <v>651</v>
      </c>
    </row>
    <row r="53" spans="1:17" x14ac:dyDescent="0.2">
      <c r="A53" s="68" t="s">
        <v>563</v>
      </c>
      <c r="B53" s="68" t="s">
        <v>58</v>
      </c>
      <c r="C53" s="68" t="s">
        <v>468</v>
      </c>
      <c r="F53" s="68">
        <v>2194.1900000000005</v>
      </c>
      <c r="G53" s="70">
        <v>44.22</v>
      </c>
      <c r="H53" s="68">
        <f t="shared" si="5"/>
        <v>0</v>
      </c>
      <c r="I53" s="68">
        <f t="shared" si="1"/>
        <v>2238.4100000000003</v>
      </c>
      <c r="J53" s="68">
        <f>VLOOKUP(C53,IP!$B$9:$D$117,3,0)</f>
        <v>0</v>
      </c>
      <c r="K53" s="113">
        <f>VLOOKUP(C53,RESUMEN!$C$35:$L$137,10,0)</f>
        <v>10000</v>
      </c>
      <c r="L53" s="68">
        <f t="shared" si="2"/>
        <v>0</v>
      </c>
      <c r="M53" s="68">
        <f>VLOOKUP(C53,IP!$B$9:$I$117,8,0)</f>
        <v>0</v>
      </c>
      <c r="N53" s="68">
        <f t="shared" si="6"/>
        <v>0</v>
      </c>
      <c r="O53" s="70">
        <f>VLOOKUP(C53,RESUMEN!$C$35:$Z$141,24,0)</f>
        <v>0</v>
      </c>
      <c r="Q53" s="68" t="s">
        <v>651</v>
      </c>
    </row>
    <row r="54" spans="1:17" x14ac:dyDescent="0.2">
      <c r="A54" s="68" t="s">
        <v>566</v>
      </c>
      <c r="B54" s="68" t="s">
        <v>58</v>
      </c>
      <c r="C54" s="68" t="s">
        <v>506</v>
      </c>
      <c r="F54" s="68">
        <v>2553.4</v>
      </c>
      <c r="G54" s="70">
        <v>300</v>
      </c>
      <c r="H54" s="68">
        <f t="shared" si="5"/>
        <v>0</v>
      </c>
      <c r="I54" s="68">
        <f t="shared" si="1"/>
        <v>2853.4</v>
      </c>
      <c r="J54" s="68">
        <f>VLOOKUP(C54,IP!$B$9:$D$117,3,0)</f>
        <v>0</v>
      </c>
      <c r="K54" s="113">
        <f>VLOOKUP(C54,RESUMEN!$C$35:$L$137,10,0)</f>
        <v>10000</v>
      </c>
      <c r="L54" s="68">
        <f t="shared" si="2"/>
        <v>0</v>
      </c>
      <c r="M54" s="68">
        <f>VLOOKUP(C54,IP!$B$9:$I$117,8,0)</f>
        <v>0</v>
      </c>
      <c r="N54" s="68">
        <f t="shared" si="6"/>
        <v>0</v>
      </c>
      <c r="O54" s="70">
        <f>VLOOKUP(C54,RESUMEN!$C$35:$Z$141,24,0)</f>
        <v>0</v>
      </c>
      <c r="Q54" s="68" t="s">
        <v>651</v>
      </c>
    </row>
    <row r="55" spans="1:17" x14ac:dyDescent="0.2">
      <c r="A55" s="70" t="s">
        <v>226</v>
      </c>
      <c r="B55" s="68" t="s">
        <v>58</v>
      </c>
      <c r="C55" s="68" t="s">
        <v>369</v>
      </c>
      <c r="D55" s="112"/>
      <c r="E55" s="113"/>
      <c r="F55" s="68">
        <v>917</v>
      </c>
      <c r="G55" s="70">
        <v>27481.599999999999</v>
      </c>
      <c r="H55" s="68">
        <f t="shared" si="5"/>
        <v>0</v>
      </c>
      <c r="I55" s="68">
        <f t="shared" si="1"/>
        <v>28398.6</v>
      </c>
      <c r="J55" s="68">
        <f>VLOOKUP(C55,IP!$B$9:$D$117,3,0)</f>
        <v>0</v>
      </c>
      <c r="K55" s="113">
        <f>VLOOKUP(C55,RESUMEN!$C$35:$L$137,10,0)</f>
        <v>9000</v>
      </c>
      <c r="L55" s="68">
        <f t="shared" si="2"/>
        <v>0</v>
      </c>
      <c r="M55" s="68">
        <f>VLOOKUP(C55,IP!$B$9:$I$117,8,0)</f>
        <v>0</v>
      </c>
      <c r="N55" s="68">
        <f t="shared" si="6"/>
        <v>0</v>
      </c>
      <c r="O55" s="70">
        <f>VLOOKUP(C55,RESUMEN!$C$35:$Z$141,24,0)</f>
        <v>0</v>
      </c>
      <c r="Q55" s="68" t="s">
        <v>652</v>
      </c>
    </row>
    <row r="56" spans="1:17" s="70" customFormat="1" x14ac:dyDescent="0.2">
      <c r="A56" s="70" t="s">
        <v>234</v>
      </c>
      <c r="B56" s="70" t="s">
        <v>58</v>
      </c>
      <c r="C56" s="70" t="s">
        <v>376</v>
      </c>
      <c r="D56" s="114"/>
      <c r="E56" s="115"/>
      <c r="F56" s="105">
        <v>0</v>
      </c>
      <c r="H56" s="68">
        <v>0</v>
      </c>
      <c r="I56" s="70">
        <f t="shared" si="1"/>
        <v>0</v>
      </c>
      <c r="J56" s="68">
        <f>VLOOKUP(C56,IP!$B$9:$D$117,3,0)</f>
        <v>0</v>
      </c>
      <c r="K56" s="115">
        <f>VLOOKUP(C56,RESUMEN!$C$35:$L$137,10,0)</f>
        <v>9000</v>
      </c>
      <c r="L56" s="70">
        <f t="shared" si="2"/>
        <v>0</v>
      </c>
      <c r="M56" s="68">
        <f>VLOOKUP(C56,IP!$B$9:$I$117,8,0)</f>
        <v>0</v>
      </c>
      <c r="N56" s="70">
        <f t="shared" si="6"/>
        <v>0</v>
      </c>
      <c r="O56" s="70">
        <f>VLOOKUP(C56,RESUMEN!$C$35:$Z$141,24,0)</f>
        <v>-3.3999999999996362</v>
      </c>
      <c r="P56" s="68"/>
      <c r="Q56" s="68" t="s">
        <v>652</v>
      </c>
    </row>
    <row r="57" spans="1:17" x14ac:dyDescent="0.2">
      <c r="A57" s="68" t="s">
        <v>227</v>
      </c>
      <c r="B57" s="68" t="s">
        <v>58</v>
      </c>
      <c r="C57" s="68" t="s">
        <v>370</v>
      </c>
      <c r="D57" s="112"/>
      <c r="E57" s="113"/>
      <c r="F57" s="68">
        <v>2162.3999999999996</v>
      </c>
      <c r="G57" s="70">
        <v>750</v>
      </c>
      <c r="H57" s="68">
        <f t="shared" si="5"/>
        <v>0</v>
      </c>
      <c r="I57" s="68">
        <f t="shared" si="1"/>
        <v>2912.3999999999996</v>
      </c>
      <c r="J57" s="68">
        <f>VLOOKUP(C57,IP!$B$9:$D$117,3,0)</f>
        <v>0</v>
      </c>
      <c r="K57" s="113">
        <f>VLOOKUP(C57,RESUMEN!$C$35:$L$137,10,0)</f>
        <v>18500</v>
      </c>
      <c r="L57" s="68">
        <f t="shared" si="2"/>
        <v>0</v>
      </c>
      <c r="M57" s="68">
        <f>VLOOKUP(C57,IP!$B$9:$I$117,8,0)</f>
        <v>0</v>
      </c>
      <c r="N57" s="68">
        <f t="shared" si="6"/>
        <v>0</v>
      </c>
      <c r="O57" s="70">
        <f>VLOOKUP(C57,RESUMEN!$C$35:$Z$141,24,0)</f>
        <v>0</v>
      </c>
      <c r="Q57" s="68" t="s">
        <v>652</v>
      </c>
    </row>
    <row r="58" spans="1:17" x14ac:dyDescent="0.2">
      <c r="A58" s="68" t="s">
        <v>102</v>
      </c>
      <c r="B58" s="68" t="s">
        <v>58</v>
      </c>
      <c r="C58" s="68" t="s">
        <v>364</v>
      </c>
      <c r="D58" s="112"/>
      <c r="E58" s="113"/>
      <c r="F58" s="68">
        <v>135.19999999999965</v>
      </c>
      <c r="G58" s="70">
        <v>1000</v>
      </c>
      <c r="H58" s="68">
        <f t="shared" si="5"/>
        <v>0</v>
      </c>
      <c r="I58" s="68">
        <f t="shared" si="1"/>
        <v>1135.1999999999996</v>
      </c>
      <c r="J58" s="68">
        <f>VLOOKUP(C58,IP!$B$9:$D$117,3,0)</f>
        <v>0</v>
      </c>
      <c r="K58" s="113">
        <f>VLOOKUP(C58,RESUMEN!$C$35:$L$137,10,0)</f>
        <v>6000</v>
      </c>
      <c r="L58" s="68">
        <f t="shared" si="2"/>
        <v>0</v>
      </c>
      <c r="M58" s="68">
        <f>VLOOKUP(C58,IP!$B$9:$I$117,8,0)</f>
        <v>0</v>
      </c>
      <c r="N58" s="68">
        <f t="shared" si="6"/>
        <v>0</v>
      </c>
      <c r="O58" s="70">
        <f>VLOOKUP(C58,RESUMEN!$C$35:$Z$141,24,0)</f>
        <v>0</v>
      </c>
      <c r="Q58" s="68" t="s">
        <v>651</v>
      </c>
    </row>
    <row r="59" spans="1:17" x14ac:dyDescent="0.2">
      <c r="A59" s="68" t="s">
        <v>240</v>
      </c>
      <c r="B59" s="68" t="s">
        <v>58</v>
      </c>
      <c r="C59" s="68" t="s">
        <v>379</v>
      </c>
      <c r="D59" s="112"/>
      <c r="E59" s="113"/>
      <c r="F59" s="68">
        <v>2716.4000000000005</v>
      </c>
      <c r="G59" s="70">
        <v>4835.03</v>
      </c>
      <c r="H59" s="68">
        <f t="shared" si="5"/>
        <v>0</v>
      </c>
      <c r="I59" s="68">
        <f t="shared" si="1"/>
        <v>7551.43</v>
      </c>
      <c r="J59" s="68">
        <f>VLOOKUP(C59,IP!$B$9:$D$117,3,0)</f>
        <v>0</v>
      </c>
      <c r="K59" s="113">
        <f>VLOOKUP(C59,RESUMEN!$C$35:$L$137,10,0)</f>
        <v>12600</v>
      </c>
      <c r="L59" s="68">
        <f t="shared" si="2"/>
        <v>0</v>
      </c>
      <c r="M59" s="68">
        <f>VLOOKUP(C59,IP!$B$9:$I$117,8,0)</f>
        <v>0</v>
      </c>
      <c r="N59" s="68">
        <f t="shared" si="6"/>
        <v>0</v>
      </c>
      <c r="O59" s="70">
        <f>VLOOKUP(C59,RESUMEN!$C$35:$Z$141,24,0)</f>
        <v>0</v>
      </c>
      <c r="Q59" s="68" t="s">
        <v>652</v>
      </c>
    </row>
    <row r="60" spans="1:17" x14ac:dyDescent="0.2">
      <c r="A60" s="68" t="s">
        <v>106</v>
      </c>
      <c r="B60" s="68" t="s">
        <v>58</v>
      </c>
      <c r="C60" s="68" t="s">
        <v>366</v>
      </c>
      <c r="D60" s="112"/>
      <c r="E60" s="113"/>
      <c r="F60" s="68">
        <v>215.80000000000018</v>
      </c>
      <c r="G60" s="70"/>
      <c r="H60" s="68">
        <f t="shared" si="5"/>
        <v>0</v>
      </c>
      <c r="I60" s="68">
        <f t="shared" si="1"/>
        <v>215.80000000000018</v>
      </c>
      <c r="J60" s="68">
        <f>VLOOKUP(C60,IP!$B$9:$D$117,3,0)</f>
        <v>0</v>
      </c>
      <c r="K60" s="113">
        <f>VLOOKUP(C60,RESUMEN!$C$35:$L$137,10,0)</f>
        <v>6900</v>
      </c>
      <c r="L60" s="68">
        <f t="shared" si="2"/>
        <v>0</v>
      </c>
      <c r="M60" s="68">
        <f>VLOOKUP(C60,IP!$B$9:$I$117,8,0)</f>
        <v>0</v>
      </c>
      <c r="N60" s="68">
        <f t="shared" si="6"/>
        <v>0</v>
      </c>
      <c r="O60" s="70">
        <f>VLOOKUP(C60,RESUMEN!$C$35:$Z$141,24,0)</f>
        <v>0</v>
      </c>
      <c r="Q60" s="68" t="s">
        <v>651</v>
      </c>
    </row>
    <row r="61" spans="1:17" x14ac:dyDescent="0.2">
      <c r="A61" s="68" t="s">
        <v>396</v>
      </c>
      <c r="B61" s="68" t="s">
        <v>58</v>
      </c>
      <c r="C61" s="68" t="s">
        <v>397</v>
      </c>
      <c r="D61" s="112"/>
      <c r="E61" s="113"/>
      <c r="F61" s="68">
        <v>52.470000000000255</v>
      </c>
      <c r="G61" s="70">
        <f>291.43+4060</f>
        <v>4351.43</v>
      </c>
      <c r="H61" s="68">
        <f t="shared" si="5"/>
        <v>0</v>
      </c>
      <c r="I61" s="68">
        <f t="shared" si="1"/>
        <v>4403.9000000000005</v>
      </c>
      <c r="J61" s="68">
        <f>VLOOKUP(C61,IP!$B$9:$D$117,3,0)</f>
        <v>0</v>
      </c>
      <c r="K61" s="113">
        <f>VLOOKUP(C61,RESUMEN!$C$35:$L$137,10,0)</f>
        <v>5000</v>
      </c>
      <c r="L61" s="68">
        <f t="shared" si="2"/>
        <v>0</v>
      </c>
      <c r="M61" s="68">
        <f>VLOOKUP(C61,IP!$B$9:$I$117,8,0)</f>
        <v>0</v>
      </c>
      <c r="N61" s="68">
        <f t="shared" si="6"/>
        <v>0</v>
      </c>
      <c r="O61" s="70">
        <f>VLOOKUP(C61,RESUMEN!$C$35:$Z$141,24,0)</f>
        <v>0</v>
      </c>
      <c r="Q61" s="68" t="s">
        <v>651</v>
      </c>
    </row>
    <row r="62" spans="1:17" x14ac:dyDescent="0.2">
      <c r="A62" s="68" t="s">
        <v>242</v>
      </c>
      <c r="B62" s="68" t="s">
        <v>58</v>
      </c>
      <c r="C62" s="68" t="s">
        <v>382</v>
      </c>
      <c r="D62" s="112"/>
      <c r="E62" s="113"/>
      <c r="F62" s="68">
        <v>1416.3299999999995</v>
      </c>
      <c r="G62" s="70">
        <v>211.25</v>
      </c>
      <c r="H62" s="68">
        <f t="shared" si="5"/>
        <v>0</v>
      </c>
      <c r="I62" s="68">
        <f t="shared" si="1"/>
        <v>1627.5799999999995</v>
      </c>
      <c r="J62" s="68">
        <f>VLOOKUP(C62,IP!$B$9:$D$117,3,0)</f>
        <v>0</v>
      </c>
      <c r="K62" s="113">
        <f>VLOOKUP(C62,RESUMEN!$C$35:$L$137,10,0)</f>
        <v>10000</v>
      </c>
      <c r="L62" s="68">
        <f t="shared" si="2"/>
        <v>0</v>
      </c>
      <c r="M62" s="68">
        <f>VLOOKUP(C62,IP!$B$9:$I$117,8,0)</f>
        <v>0</v>
      </c>
      <c r="N62" s="68">
        <f t="shared" si="6"/>
        <v>0</v>
      </c>
      <c r="O62" s="70">
        <f>VLOOKUP(C62,RESUMEN!$C$35:$Z$141,24,0)</f>
        <v>0</v>
      </c>
      <c r="Q62" s="68" t="s">
        <v>651</v>
      </c>
    </row>
    <row r="63" spans="1:17" x14ac:dyDescent="0.2">
      <c r="A63" s="68" t="s">
        <v>84</v>
      </c>
      <c r="B63" s="68" t="s">
        <v>58</v>
      </c>
      <c r="C63" s="68" t="s">
        <v>359</v>
      </c>
      <c r="D63" s="112"/>
      <c r="E63" s="113"/>
      <c r="F63" s="68">
        <v>496.00000000000045</v>
      </c>
      <c r="G63" s="70">
        <f>162.81+276</f>
        <v>438.81</v>
      </c>
      <c r="H63" s="68">
        <f t="shared" si="5"/>
        <v>0</v>
      </c>
      <c r="I63" s="68">
        <f t="shared" si="1"/>
        <v>934.8100000000004</v>
      </c>
      <c r="J63" s="68">
        <f>VLOOKUP(C63,IP!$B$9:$D$117,3,0)</f>
        <v>0</v>
      </c>
      <c r="K63" s="113">
        <f>VLOOKUP(C63,RESUMEN!$C$35:$L$137,10,0)</f>
        <v>9000</v>
      </c>
      <c r="L63" s="68">
        <f t="shared" si="2"/>
        <v>0</v>
      </c>
      <c r="M63" s="68">
        <f>VLOOKUP(C63,IP!$B$9:$I$117,8,0)</f>
        <v>0</v>
      </c>
      <c r="N63" s="68">
        <f t="shared" si="6"/>
        <v>0</v>
      </c>
      <c r="O63" s="70">
        <f>VLOOKUP(C63,RESUMEN!$C$35:$Z$141,24,0)</f>
        <v>0</v>
      </c>
      <c r="Q63" s="68" t="s">
        <v>651</v>
      </c>
    </row>
    <row r="64" spans="1:17" x14ac:dyDescent="0.2">
      <c r="A64" s="68" t="s">
        <v>222</v>
      </c>
      <c r="B64" s="68" t="s">
        <v>58</v>
      </c>
      <c r="C64" s="68" t="s">
        <v>368</v>
      </c>
      <c r="D64" s="112"/>
      <c r="E64" s="113"/>
      <c r="F64" s="68">
        <f>585.2+1550</f>
        <v>2135.1999999999998</v>
      </c>
      <c r="G64" s="70">
        <v>9882.23</v>
      </c>
      <c r="H64" s="68">
        <f t="shared" si="5"/>
        <v>0</v>
      </c>
      <c r="I64" s="68">
        <f t="shared" si="1"/>
        <v>12017.43</v>
      </c>
      <c r="J64" s="68">
        <f>VLOOKUP(C64,IP!$B$9:$D$117,3,0)</f>
        <v>0</v>
      </c>
      <c r="K64" s="113">
        <f>VLOOKUP(C64,RESUMEN!$C$35:$L$137,10,0)</f>
        <v>10000</v>
      </c>
      <c r="L64" s="68">
        <f t="shared" ref="L64:L108" si="7">(((+K64/30)*J64)*30%)</f>
        <v>0</v>
      </c>
      <c r="M64" s="68">
        <f>VLOOKUP(C64,IP!$B$9:$I$117,8,0)</f>
        <v>0</v>
      </c>
      <c r="N64" s="68">
        <f t="shared" si="6"/>
        <v>0</v>
      </c>
      <c r="O64" s="70">
        <f>VLOOKUP(C64,RESUMEN!$C$35:$Z$141,24,0)</f>
        <v>0</v>
      </c>
      <c r="Q64" s="68" t="s">
        <v>652</v>
      </c>
    </row>
    <row r="65" spans="1:19" x14ac:dyDescent="0.2">
      <c r="A65" s="68" t="s">
        <v>86</v>
      </c>
      <c r="B65" s="68" t="s">
        <v>58</v>
      </c>
      <c r="C65" s="68" t="s">
        <v>360</v>
      </c>
      <c r="D65" s="112"/>
      <c r="E65" s="113"/>
      <c r="F65" s="68">
        <v>804.80000000000018</v>
      </c>
      <c r="G65" s="70">
        <f>500+480</f>
        <v>980</v>
      </c>
      <c r="H65" s="68">
        <f t="shared" si="5"/>
        <v>0</v>
      </c>
      <c r="I65" s="68">
        <f t="shared" ref="I65:I123" si="8">+F65+G65+H65</f>
        <v>1784.8000000000002</v>
      </c>
      <c r="J65" s="68">
        <f>VLOOKUP(C65,IP!$B$9:$D$117,3,0)</f>
        <v>2</v>
      </c>
      <c r="K65" s="113">
        <f>VLOOKUP(C65,RESUMEN!$C$35:$L$137,10,0)</f>
        <v>12000</v>
      </c>
      <c r="L65" s="68">
        <f t="shared" si="7"/>
        <v>240</v>
      </c>
      <c r="M65" s="68">
        <f>VLOOKUP(C65,IP!$B$9:$I$117,8,0)</f>
        <v>240</v>
      </c>
      <c r="N65" s="68">
        <f t="shared" si="6"/>
        <v>0</v>
      </c>
      <c r="O65" s="70">
        <f>VLOOKUP(C65,RESUMEN!$C$35:$Z$141,24,0)</f>
        <v>0</v>
      </c>
      <c r="Q65" s="68" t="s">
        <v>651</v>
      </c>
    </row>
    <row r="66" spans="1:19" x14ac:dyDescent="0.2">
      <c r="A66" s="68" t="s">
        <v>228</v>
      </c>
      <c r="B66" s="68" t="s">
        <v>58</v>
      </c>
      <c r="C66" s="68" t="s">
        <v>371</v>
      </c>
      <c r="D66" s="112"/>
      <c r="E66" s="113"/>
      <c r="F66" s="68">
        <v>881.80000000000064</v>
      </c>
      <c r="G66" s="70">
        <v>250</v>
      </c>
      <c r="H66" s="68">
        <f t="shared" si="5"/>
        <v>0</v>
      </c>
      <c r="I66" s="68">
        <f t="shared" si="8"/>
        <v>1131.8000000000006</v>
      </c>
      <c r="J66" s="68">
        <f>VLOOKUP(C66,IP!$B$9:$D$117,3,0)</f>
        <v>0</v>
      </c>
      <c r="K66" s="113">
        <f>VLOOKUP(C66,RESUMEN!$C$35:$L$137,10,0)</f>
        <v>8500</v>
      </c>
      <c r="L66" s="68">
        <f t="shared" si="7"/>
        <v>0</v>
      </c>
      <c r="M66" s="68">
        <f>VLOOKUP(C66,IP!$B$9:$I$117,8,0)</f>
        <v>0</v>
      </c>
      <c r="N66" s="68">
        <f t="shared" si="6"/>
        <v>0</v>
      </c>
      <c r="O66" s="70">
        <f>VLOOKUP(C66,RESUMEN!$C$35:$Z$141,24,0)</f>
        <v>0</v>
      </c>
      <c r="Q66" s="68" t="s">
        <v>652</v>
      </c>
    </row>
    <row r="67" spans="1:19" s="70" customFormat="1" x14ac:dyDescent="0.2">
      <c r="A67" s="70" t="s">
        <v>241</v>
      </c>
      <c r="B67" s="70" t="s">
        <v>58</v>
      </c>
      <c r="C67" s="70" t="s">
        <v>380</v>
      </c>
      <c r="D67" s="114"/>
      <c r="E67" s="115"/>
      <c r="F67" s="105">
        <v>0</v>
      </c>
      <c r="H67" s="68">
        <f t="shared" si="5"/>
        <v>0</v>
      </c>
      <c r="I67" s="70">
        <f t="shared" si="8"/>
        <v>0</v>
      </c>
      <c r="J67" s="68">
        <f>VLOOKUP(C67,IP!$B$9:$D$117,3,0)</f>
        <v>0</v>
      </c>
      <c r="K67" s="115">
        <f>VLOOKUP(C67,RESUMEN!$C$35:$L$137,10,0)</f>
        <v>9500</v>
      </c>
      <c r="L67" s="70">
        <f t="shared" si="7"/>
        <v>0</v>
      </c>
      <c r="M67" s="68">
        <f>VLOOKUP(C67,IP!$B$9:$I$117,8,0)</f>
        <v>0</v>
      </c>
      <c r="N67" s="70">
        <f t="shared" si="6"/>
        <v>0</v>
      </c>
      <c r="O67" s="70">
        <f>VLOOKUP(C67,RESUMEN!$C$35:$Z$141,24,0)</f>
        <v>-3.8000000000001819</v>
      </c>
      <c r="P67" s="68"/>
      <c r="Q67" s="68" t="s">
        <v>652</v>
      </c>
    </row>
    <row r="68" spans="1:19" x14ac:dyDescent="0.2">
      <c r="A68" s="68" t="s">
        <v>88</v>
      </c>
      <c r="B68" s="68" t="s">
        <v>58</v>
      </c>
      <c r="C68" s="78" t="s">
        <v>592</v>
      </c>
      <c r="D68" s="112"/>
      <c r="E68" s="113"/>
      <c r="F68" s="68">
        <v>414.59999999999991</v>
      </c>
      <c r="G68" s="70">
        <f>192.5+1000</f>
        <v>1192.5</v>
      </c>
      <c r="H68" s="68">
        <f t="shared" si="5"/>
        <v>0</v>
      </c>
      <c r="I68" s="68">
        <f t="shared" si="8"/>
        <v>1607.1</v>
      </c>
      <c r="J68" s="68">
        <f>VLOOKUP(C68,IP!$B$9:$D$117,3,0)</f>
        <v>0</v>
      </c>
      <c r="K68" s="113">
        <f>VLOOKUP(C68,RESUMEN!$C$35:$L$137,10,0)</f>
        <v>8000</v>
      </c>
      <c r="L68" s="68">
        <f t="shared" si="7"/>
        <v>0</v>
      </c>
      <c r="M68" s="68">
        <f>VLOOKUP(C68,IP!$B$9:$I$117,8,0)</f>
        <v>0</v>
      </c>
      <c r="N68" s="68">
        <f t="shared" si="6"/>
        <v>0</v>
      </c>
      <c r="O68" s="70">
        <f>VLOOKUP(C68,RESUMEN!$C$35:$Z$141,24,0)</f>
        <v>0</v>
      </c>
      <c r="Q68" s="68" t="s">
        <v>651</v>
      </c>
    </row>
    <row r="69" spans="1:19" x14ac:dyDescent="0.2">
      <c r="A69" s="68" t="s">
        <v>116</v>
      </c>
      <c r="B69" s="68" t="s">
        <v>58</v>
      </c>
      <c r="C69" s="68" t="s">
        <v>383</v>
      </c>
      <c r="D69" s="112"/>
      <c r="E69" s="113"/>
      <c r="F69" s="68">
        <v>941.17999999999984</v>
      </c>
      <c r="G69" s="70">
        <v>275</v>
      </c>
      <c r="H69" s="68">
        <f t="shared" si="5"/>
        <v>0</v>
      </c>
      <c r="I69" s="68">
        <f t="shared" si="8"/>
        <v>1216.1799999999998</v>
      </c>
      <c r="J69" s="68">
        <f>VLOOKUP(C69,IP!$B$9:$D$117,3,0)</f>
        <v>0</v>
      </c>
      <c r="K69" s="113">
        <f>VLOOKUP(C69,RESUMEN!$C$35:$L$137,10,0)</f>
        <v>9050</v>
      </c>
      <c r="L69" s="68">
        <f t="shared" si="7"/>
        <v>0</v>
      </c>
      <c r="M69" s="68">
        <f>VLOOKUP(C69,IP!$B$9:$I$117,8,0)</f>
        <v>0</v>
      </c>
      <c r="N69" s="68">
        <f t="shared" si="6"/>
        <v>0</v>
      </c>
      <c r="O69" s="70">
        <f>VLOOKUP(C69,RESUMEN!$C$35:$Z$141,24,0)</f>
        <v>0</v>
      </c>
      <c r="Q69" s="68" t="s">
        <v>652</v>
      </c>
    </row>
    <row r="70" spans="1:19" x14ac:dyDescent="0.2">
      <c r="A70" s="68" t="s">
        <v>389</v>
      </c>
      <c r="B70" s="68" t="s">
        <v>58</v>
      </c>
      <c r="C70" s="78" t="s">
        <v>591</v>
      </c>
      <c r="D70" s="112"/>
      <c r="E70" s="113"/>
      <c r="F70" s="68">
        <v>414.59999999999991</v>
      </c>
      <c r="G70" s="70">
        <v>196.43</v>
      </c>
      <c r="H70" s="68">
        <v>0</v>
      </c>
      <c r="I70" s="68">
        <f t="shared" si="8"/>
        <v>611.03</v>
      </c>
      <c r="J70" s="68">
        <f>VLOOKUP(C70,IP!$B$9:$D$117,3,0)</f>
        <v>0</v>
      </c>
      <c r="K70" s="113">
        <f>VLOOKUP(C70,RESUMEN!$C$35:$L$137,10,0)</f>
        <v>8000</v>
      </c>
      <c r="L70" s="68">
        <f t="shared" si="7"/>
        <v>0</v>
      </c>
      <c r="M70" s="68">
        <f>VLOOKUP(C70,IP!$B$9:$I$117,8,0)</f>
        <v>0</v>
      </c>
      <c r="N70" s="68">
        <f t="shared" si="6"/>
        <v>0</v>
      </c>
      <c r="O70" s="70">
        <f>VLOOKUP(C70,RESUMEN!$C$35:$Z$141,24,0)</f>
        <v>0</v>
      </c>
      <c r="Q70" s="68" t="s">
        <v>651</v>
      </c>
    </row>
    <row r="71" spans="1:19" x14ac:dyDescent="0.2">
      <c r="A71" s="68" t="s">
        <v>82</v>
      </c>
      <c r="B71" s="68" t="s">
        <v>58</v>
      </c>
      <c r="C71" s="68" t="s">
        <v>358</v>
      </c>
      <c r="D71" s="112"/>
      <c r="E71" s="113"/>
      <c r="F71" s="68">
        <v>414.64000000000033</v>
      </c>
      <c r="G71" s="70">
        <v>283.33999999999997</v>
      </c>
      <c r="H71" s="68">
        <f t="shared" si="5"/>
        <v>0</v>
      </c>
      <c r="I71" s="68">
        <f t="shared" si="8"/>
        <v>697.98000000000025</v>
      </c>
      <c r="J71" s="68">
        <f>VLOOKUP(C71,IP!$B$9:$D$117,3,0)</f>
        <v>0</v>
      </c>
      <c r="K71" s="113">
        <f>VLOOKUP(C71,RESUMEN!$C$35:$L$137,10,0)</f>
        <v>8000</v>
      </c>
      <c r="L71" s="68">
        <f t="shared" si="7"/>
        <v>0</v>
      </c>
      <c r="M71" s="68">
        <f>VLOOKUP(C71,IP!$B$9:$I$117,8,0)</f>
        <v>0</v>
      </c>
      <c r="N71" s="68">
        <f t="shared" si="6"/>
        <v>0</v>
      </c>
      <c r="O71" s="70">
        <f>VLOOKUP(C71,RESUMEN!$C$35:$Z$141,24,0)</f>
        <v>0</v>
      </c>
      <c r="Q71" s="68" t="s">
        <v>651</v>
      </c>
    </row>
    <row r="72" spans="1:19" x14ac:dyDescent="0.2">
      <c r="A72" s="68" t="s">
        <v>92</v>
      </c>
      <c r="B72" s="68" t="s">
        <v>58</v>
      </c>
      <c r="C72" s="68" t="s">
        <v>362</v>
      </c>
      <c r="D72" s="112"/>
      <c r="E72" s="113"/>
      <c r="F72" s="68">
        <v>593.60000000000036</v>
      </c>
      <c r="G72" s="70">
        <f>271.72+560</f>
        <v>831.72</v>
      </c>
      <c r="H72" s="68">
        <f t="shared" si="5"/>
        <v>0</v>
      </c>
      <c r="I72" s="68">
        <f t="shared" si="8"/>
        <v>1425.3200000000004</v>
      </c>
      <c r="J72" s="68">
        <f>VLOOKUP(C72,IP!$B$9:$D$117,3,0)</f>
        <v>0</v>
      </c>
      <c r="K72" s="113">
        <f>VLOOKUP(C72,RESUMEN!$C$35:$L$137,10,0)</f>
        <v>10000</v>
      </c>
      <c r="L72" s="68">
        <f t="shared" si="7"/>
        <v>0</v>
      </c>
      <c r="M72" s="68">
        <f>VLOOKUP(C72,IP!$B$9:$I$117,8,0)</f>
        <v>0</v>
      </c>
      <c r="N72" s="68">
        <f t="shared" si="6"/>
        <v>0</v>
      </c>
      <c r="O72" s="70">
        <f>VLOOKUP(C72,RESUMEN!$C$35:$Z$141,24,0)</f>
        <v>0</v>
      </c>
      <c r="Q72" s="68" t="s">
        <v>651</v>
      </c>
    </row>
    <row r="73" spans="1:19" x14ac:dyDescent="0.2">
      <c r="A73" s="68" t="s">
        <v>80</v>
      </c>
      <c r="B73" s="68" t="s">
        <v>58</v>
      </c>
      <c r="C73" s="68" t="s">
        <v>357</v>
      </c>
      <c r="D73" s="112"/>
      <c r="E73" s="113"/>
      <c r="F73" s="70">
        <v>17.670000000000073</v>
      </c>
      <c r="G73" s="70">
        <v>1190.43</v>
      </c>
      <c r="H73" s="68">
        <f t="shared" si="5"/>
        <v>0</v>
      </c>
      <c r="I73" s="68">
        <f t="shared" si="8"/>
        <v>1208.1000000000001</v>
      </c>
      <c r="J73" s="68">
        <f>VLOOKUP(C73,IP!$B$9:$D$117,3,0)</f>
        <v>0</v>
      </c>
      <c r="K73" s="113">
        <f>VLOOKUP(C73,RESUMEN!$C$35:$L$137,10,0)</f>
        <v>4620</v>
      </c>
      <c r="L73" s="68">
        <f t="shared" si="7"/>
        <v>0</v>
      </c>
      <c r="M73" s="68">
        <f>VLOOKUP(C73,IP!$B$9:$I$117,8,0)</f>
        <v>0</v>
      </c>
      <c r="N73" s="68">
        <f t="shared" si="6"/>
        <v>0</v>
      </c>
      <c r="O73" s="70">
        <f>VLOOKUP(C73,RESUMEN!$C$35:$Z$141,24,0)</f>
        <v>0</v>
      </c>
      <c r="Q73" s="68" t="s">
        <v>652</v>
      </c>
    </row>
    <row r="74" spans="1:19" x14ac:dyDescent="0.2">
      <c r="A74" s="68" t="s">
        <v>232</v>
      </c>
      <c r="B74" s="68" t="s">
        <v>58</v>
      </c>
      <c r="C74" s="78" t="s">
        <v>375</v>
      </c>
      <c r="D74" s="112"/>
      <c r="E74" s="113"/>
      <c r="F74" s="70">
        <v>1122.4299999999994</v>
      </c>
      <c r="G74" s="70">
        <v>500</v>
      </c>
      <c r="H74" s="68">
        <f t="shared" si="5"/>
        <v>0</v>
      </c>
      <c r="I74" s="68">
        <f t="shared" si="8"/>
        <v>1622.4299999999994</v>
      </c>
      <c r="J74" s="68">
        <f>VLOOKUP(C74,IP!$B$9:$D$117,3,0)</f>
        <v>0</v>
      </c>
      <c r="K74" s="113">
        <f>VLOOKUP(C74,RESUMEN!$C$35:$L$137,10,0)</f>
        <v>9800</v>
      </c>
      <c r="L74" s="68">
        <f t="shared" si="7"/>
        <v>0</v>
      </c>
      <c r="M74" s="68">
        <f>VLOOKUP(C74,IP!$B$9:$I$117,8,0)</f>
        <v>0</v>
      </c>
      <c r="N74" s="68">
        <f t="shared" si="6"/>
        <v>0</v>
      </c>
      <c r="O74" s="70">
        <f>VLOOKUP(C74,RESUMEN!$C$35:$Z$141,24,0)</f>
        <v>0</v>
      </c>
      <c r="Q74" s="68" t="s">
        <v>652</v>
      </c>
    </row>
    <row r="75" spans="1:19" x14ac:dyDescent="0.2">
      <c r="A75" s="68" t="s">
        <v>94</v>
      </c>
      <c r="B75" s="68" t="s">
        <v>58</v>
      </c>
      <c r="C75" s="68" t="s">
        <v>363</v>
      </c>
      <c r="D75" s="119"/>
      <c r="E75" s="113"/>
      <c r="F75" s="70">
        <v>222.59999999999991</v>
      </c>
      <c r="G75" s="70">
        <f>103.4+450</f>
        <v>553.4</v>
      </c>
      <c r="H75" s="68">
        <f t="shared" si="5"/>
        <v>0</v>
      </c>
      <c r="I75" s="68">
        <f t="shared" si="8"/>
        <v>775.99999999999989</v>
      </c>
      <c r="J75" s="68">
        <f>VLOOKUP(C75,IP!$B$9:$D$117,3,0)</f>
        <v>0</v>
      </c>
      <c r="K75" s="113">
        <f>VLOOKUP(C75,RESUMEN!$C$35:$L$137,10,0)</f>
        <v>7000</v>
      </c>
      <c r="L75" s="68">
        <f t="shared" si="7"/>
        <v>0</v>
      </c>
      <c r="M75" s="68">
        <f>VLOOKUP(C75,IP!$B$9:$I$117,8,0)</f>
        <v>0</v>
      </c>
      <c r="N75" s="68">
        <f t="shared" si="6"/>
        <v>0</v>
      </c>
      <c r="O75" s="70">
        <f>VLOOKUP(C75,RESUMEN!$C$35:$Z$141,24,0)</f>
        <v>0</v>
      </c>
      <c r="Q75" s="68" t="s">
        <v>651</v>
      </c>
    </row>
    <row r="76" spans="1:19" s="78" customFormat="1" x14ac:dyDescent="0.2">
      <c r="A76" s="68" t="s">
        <v>231</v>
      </c>
      <c r="B76" s="68" t="s">
        <v>58</v>
      </c>
      <c r="C76" s="68" t="s">
        <v>374</v>
      </c>
      <c r="D76" s="112"/>
      <c r="E76" s="113"/>
      <c r="F76" s="70">
        <v>593.59999999999945</v>
      </c>
      <c r="G76" s="70">
        <v>500</v>
      </c>
      <c r="H76" s="68">
        <f t="shared" si="5"/>
        <v>0</v>
      </c>
      <c r="I76" s="68">
        <f t="shared" si="8"/>
        <v>1093.5999999999995</v>
      </c>
      <c r="J76" s="68">
        <f>VLOOKUP(C76,IP!$B$9:$D$117,3,0)</f>
        <v>0</v>
      </c>
      <c r="K76" s="113">
        <f>VLOOKUP(C76,RESUMEN!$C$35:$L$137,10,0)</f>
        <v>10000</v>
      </c>
      <c r="L76" s="68">
        <f t="shared" si="7"/>
        <v>0</v>
      </c>
      <c r="M76" s="68">
        <f>VLOOKUP(C76,IP!$B$9:$I$117,8,0)</f>
        <v>0</v>
      </c>
      <c r="N76" s="68">
        <f t="shared" si="6"/>
        <v>0</v>
      </c>
      <c r="O76" s="70">
        <f>VLOOKUP(C76,RESUMEN!$C$35:$Z$141,24,0)</f>
        <v>0</v>
      </c>
      <c r="P76" s="68"/>
      <c r="Q76" s="68" t="s">
        <v>652</v>
      </c>
    </row>
    <row r="77" spans="1:19" x14ac:dyDescent="0.2">
      <c r="A77" s="68" t="s">
        <v>236</v>
      </c>
      <c r="B77" s="68" t="s">
        <v>58</v>
      </c>
      <c r="C77" s="68" t="s">
        <v>378</v>
      </c>
      <c r="D77" s="112"/>
      <c r="E77" s="113"/>
      <c r="F77" s="68">
        <v>1416.3900000000003</v>
      </c>
      <c r="G77" s="70"/>
      <c r="H77" s="68">
        <f t="shared" si="5"/>
        <v>0</v>
      </c>
      <c r="I77" s="68">
        <f t="shared" si="8"/>
        <v>1416.3900000000003</v>
      </c>
      <c r="J77" s="68">
        <f>VLOOKUP(C77,IP!$B$9:$D$117,3,0)</f>
        <v>0</v>
      </c>
      <c r="K77" s="113">
        <f>VLOOKUP(C77,RESUMEN!$C$35:$L$137,10,0)</f>
        <v>10000</v>
      </c>
      <c r="L77" s="68">
        <f>(((+K77/30)*J77)*30%)</f>
        <v>0</v>
      </c>
      <c r="M77" s="68">
        <f>VLOOKUP(C77,IP!$B$9:$I$117,8,0)</f>
        <v>0</v>
      </c>
      <c r="N77" s="68">
        <f t="shared" si="6"/>
        <v>0</v>
      </c>
      <c r="O77" s="70">
        <f>VLOOKUP(C77,RESUMEN!$C$35:$Z$141,24,0)</f>
        <v>0</v>
      </c>
      <c r="Q77" s="68" t="s">
        <v>652</v>
      </c>
    </row>
    <row r="78" spans="1:19" x14ac:dyDescent="0.2">
      <c r="A78" s="68" t="s">
        <v>114</v>
      </c>
      <c r="B78" s="68" t="s">
        <v>58</v>
      </c>
      <c r="C78" s="68" t="s">
        <v>381</v>
      </c>
      <c r="D78" s="112"/>
      <c r="E78" s="113"/>
      <c r="F78" s="68">
        <v>941.40999999999985</v>
      </c>
      <c r="G78" s="70">
        <v>275</v>
      </c>
      <c r="H78" s="68">
        <f t="shared" si="5"/>
        <v>0</v>
      </c>
      <c r="I78" s="68">
        <f t="shared" si="8"/>
        <v>1216.4099999999999</v>
      </c>
      <c r="J78" s="68">
        <f>VLOOKUP(C78,IP!$B$9:$D$117,3,0)</f>
        <v>0</v>
      </c>
      <c r="K78" s="113">
        <f>VLOOKUP(C78,RESUMEN!$C$35:$L$137,10,0)</f>
        <v>9050</v>
      </c>
      <c r="L78" s="68">
        <f t="shared" si="7"/>
        <v>0</v>
      </c>
      <c r="M78" s="68">
        <f>VLOOKUP(C78,IP!$B$9:$I$117,8,0)</f>
        <v>0</v>
      </c>
      <c r="N78" s="68">
        <f t="shared" si="6"/>
        <v>0</v>
      </c>
      <c r="O78" s="70">
        <f>VLOOKUP(C78,RESUMEN!$C$35:$Z$141,24,0)</f>
        <v>0</v>
      </c>
      <c r="Q78" s="68" t="s">
        <v>652</v>
      </c>
    </row>
    <row r="79" spans="1:19" x14ac:dyDescent="0.2">
      <c r="A79" s="68" t="s">
        <v>244</v>
      </c>
      <c r="B79" s="68" t="s">
        <v>58</v>
      </c>
      <c r="C79" s="68" t="s">
        <v>384</v>
      </c>
      <c r="D79" s="112"/>
      <c r="E79" s="113"/>
      <c r="F79" s="68">
        <v>885.22000000000025</v>
      </c>
      <c r="G79" s="70">
        <v>250</v>
      </c>
      <c r="H79" s="68">
        <f t="shared" si="5"/>
        <v>75</v>
      </c>
      <c r="I79" s="68">
        <f t="shared" si="8"/>
        <v>1210.2200000000003</v>
      </c>
      <c r="J79" s="68">
        <f>VLOOKUP(C79,IP!$B$9:$D$117,3,0)</f>
        <v>5</v>
      </c>
      <c r="K79" s="113">
        <f>VLOOKUP(C79,RESUMEN!$C$35:$L$137,10,0)</f>
        <v>7500</v>
      </c>
      <c r="L79" s="68">
        <f t="shared" si="7"/>
        <v>375</v>
      </c>
      <c r="M79" s="68">
        <f>VLOOKUP(C79,IP!$B$9:$I$117,8,0)</f>
        <v>300</v>
      </c>
      <c r="N79" s="68">
        <f>+L79-M79</f>
        <v>75</v>
      </c>
      <c r="O79" s="70">
        <f>VLOOKUP(C79,RESUMEN!$C$35:$Z$141,24,0)</f>
        <v>0</v>
      </c>
      <c r="Q79" s="68" t="s">
        <v>652</v>
      </c>
      <c r="R79" s="120"/>
      <c r="S79" s="120"/>
    </row>
    <row r="80" spans="1:19" x14ac:dyDescent="0.2">
      <c r="A80" s="68" t="s">
        <v>235</v>
      </c>
      <c r="B80" s="68" t="s">
        <v>58</v>
      </c>
      <c r="C80" s="68" t="s">
        <v>377</v>
      </c>
      <c r="D80" s="112"/>
      <c r="E80" s="113"/>
      <c r="F80" s="68">
        <v>2166.2800000000007</v>
      </c>
      <c r="G80" s="70">
        <v>250</v>
      </c>
      <c r="H80" s="68">
        <f t="shared" si="5"/>
        <v>69.999999999999972</v>
      </c>
      <c r="I80" s="68">
        <f t="shared" si="8"/>
        <v>2486.2800000000007</v>
      </c>
      <c r="J80" s="68">
        <f>VLOOKUP(C80,IP!$B$9:$D$117,3,0)</f>
        <v>2</v>
      </c>
      <c r="K80" s="113">
        <f>VLOOKUP(C80,RESUMEN!$C$35:$L$137,10,0)</f>
        <v>11500</v>
      </c>
      <c r="L80" s="68">
        <f t="shared" si="7"/>
        <v>229.99999999999997</v>
      </c>
      <c r="M80" s="68">
        <f>VLOOKUP(C80,IP!$B$9:$I$117,8,0)</f>
        <v>160</v>
      </c>
      <c r="N80" s="68">
        <f t="shared" si="6"/>
        <v>69.999999999999972</v>
      </c>
      <c r="O80" s="70">
        <f>VLOOKUP(C80,RESUMEN!$C$35:$Z$141,24,0)</f>
        <v>0</v>
      </c>
      <c r="Q80" s="68" t="s">
        <v>652</v>
      </c>
    </row>
    <row r="81" spans="1:17" x14ac:dyDescent="0.2">
      <c r="A81" s="68" t="s">
        <v>68</v>
      </c>
      <c r="B81" s="68" t="s">
        <v>58</v>
      </c>
      <c r="C81" s="68" t="s">
        <v>355</v>
      </c>
      <c r="D81" s="112"/>
      <c r="E81" s="113"/>
      <c r="F81" s="68">
        <v>414.80000000000018</v>
      </c>
      <c r="G81" s="70">
        <v>340.28</v>
      </c>
      <c r="H81" s="68">
        <f t="shared" si="5"/>
        <v>0</v>
      </c>
      <c r="I81" s="68">
        <f t="shared" si="8"/>
        <v>755.08000000000015</v>
      </c>
      <c r="J81" s="68">
        <f>VLOOKUP(C81,IP!$B$9:$D$117,3,0)</f>
        <v>0</v>
      </c>
      <c r="K81" s="113">
        <f>VLOOKUP(C81,RESUMEN!$C$35:$L$137,10,0)</f>
        <v>8000</v>
      </c>
      <c r="L81" s="68">
        <f t="shared" si="7"/>
        <v>0</v>
      </c>
      <c r="M81" s="68">
        <f>VLOOKUP(C81,IP!$B$9:$I$117,8,0)</f>
        <v>0</v>
      </c>
      <c r="N81" s="68">
        <f t="shared" si="6"/>
        <v>0</v>
      </c>
      <c r="O81" s="70">
        <f>VLOOKUP(C81,RESUMEN!$C$35:$Z$141,24,0)</f>
        <v>0</v>
      </c>
      <c r="Q81" s="68" t="s">
        <v>651</v>
      </c>
    </row>
    <row r="82" spans="1:17" x14ac:dyDescent="0.2">
      <c r="A82" s="68" t="s">
        <v>90</v>
      </c>
      <c r="B82" s="68" t="s">
        <v>58</v>
      </c>
      <c r="C82" s="68" t="s">
        <v>361</v>
      </c>
      <c r="D82" s="112"/>
      <c r="E82" s="113"/>
      <c r="F82" s="68">
        <v>1135.1199999999999</v>
      </c>
      <c r="G82" s="70"/>
      <c r="H82" s="68">
        <f t="shared" si="5"/>
        <v>0</v>
      </c>
      <c r="I82" s="68">
        <f t="shared" si="8"/>
        <v>1135.1199999999999</v>
      </c>
      <c r="J82" s="68">
        <f>VLOOKUP(C82,IP!$B$9:$D$117,3,0)</f>
        <v>0</v>
      </c>
      <c r="K82" s="113">
        <f>VLOOKUP(C82,RESUMEN!$C$35:$L$137,10,0)</f>
        <v>8000</v>
      </c>
      <c r="L82" s="68">
        <f t="shared" si="7"/>
        <v>0</v>
      </c>
      <c r="M82" s="68">
        <f>VLOOKUP(C82,IP!$B$9:$I$117,8,0)</f>
        <v>0</v>
      </c>
      <c r="N82" s="68">
        <f t="shared" si="6"/>
        <v>0</v>
      </c>
      <c r="O82" s="70">
        <f>VLOOKUP(C82,RESUMEN!$C$35:$Z$141,24,0)</f>
        <v>0</v>
      </c>
      <c r="Q82" s="68" t="s">
        <v>651</v>
      </c>
    </row>
    <row r="83" spans="1:17" x14ac:dyDescent="0.2">
      <c r="A83" s="68" t="s">
        <v>408</v>
      </c>
      <c r="B83" s="68" t="s">
        <v>58</v>
      </c>
      <c r="C83" s="68" t="s">
        <v>405</v>
      </c>
      <c r="D83" s="112"/>
      <c r="E83" s="113"/>
      <c r="F83" s="68">
        <v>706.99999999999955</v>
      </c>
      <c r="G83" s="70"/>
      <c r="H83" s="68">
        <f t="shared" si="5"/>
        <v>0</v>
      </c>
      <c r="I83" s="68">
        <f t="shared" si="8"/>
        <v>706.99999999999955</v>
      </c>
      <c r="J83" s="68">
        <f>VLOOKUP(C83,IP!$B$9:$D$117,3,0)</f>
        <v>0</v>
      </c>
      <c r="K83" s="113">
        <f>VLOOKUP(C83,RESUMEN!$C$35:$L$137,10,0)</f>
        <v>8800</v>
      </c>
      <c r="L83" s="68">
        <f t="shared" si="7"/>
        <v>0</v>
      </c>
      <c r="M83" s="68">
        <f>VLOOKUP(C83,IP!$B$9:$I$117,8,0)</f>
        <v>0</v>
      </c>
      <c r="N83" s="68">
        <f t="shared" si="6"/>
        <v>0</v>
      </c>
      <c r="O83" s="70">
        <f>VLOOKUP(C83,RESUMEN!$C$35:$Z$141,24,0)</f>
        <v>0</v>
      </c>
      <c r="Q83" s="68" t="s">
        <v>652</v>
      </c>
    </row>
    <row r="84" spans="1:17" x14ac:dyDescent="0.2">
      <c r="A84" s="68" t="s">
        <v>422</v>
      </c>
      <c r="B84" s="68" t="s">
        <v>58</v>
      </c>
      <c r="C84" s="68" t="s">
        <v>423</v>
      </c>
      <c r="D84" s="112"/>
      <c r="E84" s="113"/>
      <c r="F84" s="68">
        <v>416.40000000000003</v>
      </c>
      <c r="G84" s="70">
        <v>92.73</v>
      </c>
      <c r="H84" s="68">
        <f t="shared" si="5"/>
        <v>0</v>
      </c>
      <c r="I84" s="68">
        <f t="shared" si="8"/>
        <v>509.13000000000005</v>
      </c>
      <c r="J84" s="68">
        <f>VLOOKUP(C84,IP!$B$9:$D$117,3,0)</f>
        <v>0</v>
      </c>
      <c r="K84" s="113">
        <f>VLOOKUP(C84,RESUMEN!$C$35:$L$137,10,0)</f>
        <v>8000</v>
      </c>
      <c r="L84" s="68">
        <f t="shared" si="7"/>
        <v>0</v>
      </c>
      <c r="M84" s="68">
        <f>VLOOKUP(C84,IP!$B$9:$I$117,8,0)</f>
        <v>0</v>
      </c>
      <c r="N84" s="68">
        <f t="shared" si="6"/>
        <v>0</v>
      </c>
      <c r="O84" s="70">
        <f>VLOOKUP(C84,RESUMEN!$C$35:$Z$141,24,0)</f>
        <v>0</v>
      </c>
      <c r="Q84" s="68" t="s">
        <v>651</v>
      </c>
    </row>
    <row r="85" spans="1:17" x14ac:dyDescent="0.2">
      <c r="A85" s="68" t="s">
        <v>424</v>
      </c>
      <c r="B85" s="68" t="s">
        <v>58</v>
      </c>
      <c r="C85" s="68" t="s">
        <v>425</v>
      </c>
      <c r="D85" s="112"/>
      <c r="E85" s="113"/>
      <c r="F85" s="68">
        <v>0</v>
      </c>
      <c r="G85" s="70"/>
      <c r="H85" s="68">
        <f t="shared" si="5"/>
        <v>0</v>
      </c>
      <c r="I85" s="68">
        <f t="shared" si="8"/>
        <v>0</v>
      </c>
      <c r="J85" s="68">
        <f>VLOOKUP(C85,IP!$B$9:$D$117,3,0)</f>
        <v>0</v>
      </c>
      <c r="K85" s="113">
        <f>VLOOKUP(C85,RESUMEN!$C$35:$L$137,10,0)</f>
        <v>4500</v>
      </c>
      <c r="L85" s="68">
        <f t="shared" si="7"/>
        <v>0</v>
      </c>
      <c r="M85" s="68">
        <f>VLOOKUP(C85,IP!$B$9:$I$117,8,0)</f>
        <v>0</v>
      </c>
      <c r="N85" s="68">
        <f t="shared" si="6"/>
        <v>0</v>
      </c>
      <c r="O85" s="70">
        <f>VLOOKUP(C85,RESUMEN!$C$35:$Z$141,24,0)</f>
        <v>136.80000000000018</v>
      </c>
      <c r="Q85" s="68" t="s">
        <v>651</v>
      </c>
    </row>
    <row r="86" spans="1:17" x14ac:dyDescent="0.2">
      <c r="A86" s="68" t="s">
        <v>426</v>
      </c>
      <c r="B86" s="68" t="s">
        <v>58</v>
      </c>
      <c r="C86" s="68" t="s">
        <v>427</v>
      </c>
      <c r="D86" s="112"/>
      <c r="E86" s="113"/>
      <c r="F86" s="68">
        <f>309.89-200</f>
        <v>109.88999999999999</v>
      </c>
      <c r="G86" s="70">
        <v>1000</v>
      </c>
      <c r="H86" s="68">
        <f t="shared" si="5"/>
        <v>0</v>
      </c>
      <c r="I86" s="68">
        <f t="shared" si="8"/>
        <v>1109.8899999999999</v>
      </c>
      <c r="J86" s="68">
        <f>VLOOKUP(C86,IP!$B$9:$D$117,3,0)</f>
        <v>0</v>
      </c>
      <c r="K86" s="113">
        <f>VLOOKUP(C86,RESUMEN!$C$35:$L$137,10,0)</f>
        <v>6000</v>
      </c>
      <c r="L86" s="68">
        <f t="shared" si="7"/>
        <v>0</v>
      </c>
      <c r="M86" s="68">
        <f>VLOOKUP(C86,IP!$B$9:$I$117,8,0)</f>
        <v>0</v>
      </c>
      <c r="N86" s="68">
        <f t="shared" si="6"/>
        <v>0</v>
      </c>
      <c r="O86" s="70">
        <f>VLOOKUP(C86,RESUMEN!$C$35:$Z$141,24,0)</f>
        <v>200</v>
      </c>
      <c r="Q86" s="68" t="s">
        <v>651</v>
      </c>
    </row>
    <row r="87" spans="1:17" x14ac:dyDescent="0.2">
      <c r="A87" s="68" t="s">
        <v>437</v>
      </c>
      <c r="B87" s="68" t="s">
        <v>58</v>
      </c>
      <c r="C87" s="68" t="s">
        <v>438</v>
      </c>
      <c r="D87" s="112"/>
      <c r="E87" s="113"/>
      <c r="F87" s="68">
        <v>416.19999999999982</v>
      </c>
      <c r="G87" s="70">
        <v>310</v>
      </c>
      <c r="H87" s="68">
        <f t="shared" si="5"/>
        <v>0</v>
      </c>
      <c r="I87" s="68">
        <f t="shared" si="8"/>
        <v>726.19999999999982</v>
      </c>
      <c r="J87" s="68">
        <v>4</v>
      </c>
      <c r="K87" s="113">
        <f>VLOOKUP(C87,RESUMEN!$C$35:$L$137,10,0)</f>
        <v>8000</v>
      </c>
      <c r="L87" s="68">
        <f t="shared" si="7"/>
        <v>320</v>
      </c>
      <c r="M87" s="68">
        <f>VLOOKUP(C87,IP!$B$9:$I$117,8,0)</f>
        <v>320</v>
      </c>
      <c r="N87" s="68">
        <f t="shared" si="6"/>
        <v>0</v>
      </c>
      <c r="O87" s="70">
        <f>VLOOKUP(C87,RESUMEN!$C$35:$Z$141,24,0)</f>
        <v>0</v>
      </c>
      <c r="Q87" s="68" t="s">
        <v>651</v>
      </c>
    </row>
    <row r="88" spans="1:17" s="70" customFormat="1" x14ac:dyDescent="0.2">
      <c r="A88" s="70" t="s">
        <v>434</v>
      </c>
      <c r="B88" s="70" t="s">
        <v>58</v>
      </c>
      <c r="C88" s="70" t="s">
        <v>430</v>
      </c>
      <c r="D88" s="114"/>
      <c r="E88" s="115"/>
      <c r="F88" s="70">
        <v>1047.6000000000004</v>
      </c>
      <c r="H88" s="68">
        <f t="shared" si="5"/>
        <v>0</v>
      </c>
      <c r="I88" s="70">
        <f t="shared" si="8"/>
        <v>1047.6000000000004</v>
      </c>
      <c r="J88" s="68">
        <f>VLOOKUP(C88,IP!$B$9:$D$117,3,0)</f>
        <v>0</v>
      </c>
      <c r="K88" s="113">
        <f>VLOOKUP(C88,RESUMEN!$C$35:$L$137,10,0)</f>
        <v>14000</v>
      </c>
      <c r="L88" s="70">
        <f t="shared" si="7"/>
        <v>0</v>
      </c>
      <c r="M88" s="68">
        <f>VLOOKUP(C88,IP!$B$9:$I$117,8,0)</f>
        <v>0</v>
      </c>
      <c r="N88" s="68">
        <f t="shared" si="6"/>
        <v>0</v>
      </c>
      <c r="O88" s="70">
        <f>VLOOKUP(C88,RESUMEN!$C$35:$Z$141,24,0)</f>
        <v>0</v>
      </c>
      <c r="P88" s="68"/>
      <c r="Q88" s="68" t="s">
        <v>651</v>
      </c>
    </row>
    <row r="89" spans="1:17" x14ac:dyDescent="0.2">
      <c r="A89" s="68" t="s">
        <v>436</v>
      </c>
      <c r="B89" s="68" t="s">
        <v>58</v>
      </c>
      <c r="C89" s="68" t="s">
        <v>432</v>
      </c>
      <c r="D89" s="112"/>
      <c r="E89" s="113"/>
      <c r="F89" s="68">
        <v>1047.8000000000004</v>
      </c>
      <c r="G89" s="70"/>
      <c r="H89" s="68">
        <f t="shared" si="5"/>
        <v>0</v>
      </c>
      <c r="I89" s="68">
        <f t="shared" si="8"/>
        <v>1047.8000000000004</v>
      </c>
      <c r="J89" s="68">
        <f>VLOOKUP(C89,IP!$B$9:$D$117,3,0)</f>
        <v>0</v>
      </c>
      <c r="K89" s="113">
        <f>VLOOKUP(C89,RESUMEN!$C$35:$L$137,10,0)</f>
        <v>14000</v>
      </c>
      <c r="L89" s="68">
        <f t="shared" si="7"/>
        <v>0</v>
      </c>
      <c r="M89" s="68">
        <f>VLOOKUP(C89,IP!$B$9:$I$117,8,0)</f>
        <v>0</v>
      </c>
      <c r="N89" s="68">
        <f t="shared" si="6"/>
        <v>0</v>
      </c>
      <c r="O89" s="70">
        <f>VLOOKUP(C89,RESUMEN!$C$35:$Z$141,24,0)</f>
        <v>0</v>
      </c>
      <c r="Q89" s="68" t="s">
        <v>651</v>
      </c>
    </row>
    <row r="90" spans="1:17" x14ac:dyDescent="0.2">
      <c r="A90" s="70" t="s">
        <v>444</v>
      </c>
      <c r="B90" s="70" t="s">
        <v>58</v>
      </c>
      <c r="C90" s="70" t="s">
        <v>445</v>
      </c>
      <c r="D90" s="112"/>
      <c r="E90" s="113"/>
      <c r="F90" s="68">
        <v>135.19999999999982</v>
      </c>
      <c r="G90" s="70">
        <v>422.5</v>
      </c>
      <c r="H90" s="68">
        <f t="shared" si="5"/>
        <v>0</v>
      </c>
      <c r="I90" s="68">
        <f t="shared" si="8"/>
        <v>557.69999999999982</v>
      </c>
      <c r="J90" s="68">
        <f>VLOOKUP(C90,IP!$B$9:$D$117,3,0)</f>
        <v>1</v>
      </c>
      <c r="K90" s="113">
        <f>VLOOKUP(C90,RESUMEN!$C$35:$L$137,10,0)</f>
        <v>6000</v>
      </c>
      <c r="L90" s="68">
        <f t="shared" si="7"/>
        <v>60</v>
      </c>
      <c r="M90" s="68">
        <f>VLOOKUP(C90,IP!$B$9:$I$117,8,0)</f>
        <v>60</v>
      </c>
      <c r="N90" s="68">
        <f t="shared" si="6"/>
        <v>0</v>
      </c>
      <c r="O90" s="70">
        <f>VLOOKUP(C90,RESUMEN!$C$35:$Z$141,24,0)</f>
        <v>0</v>
      </c>
      <c r="Q90" s="68" t="s">
        <v>651</v>
      </c>
    </row>
    <row r="91" spans="1:17" x14ac:dyDescent="0.2">
      <c r="A91" s="70" t="s">
        <v>446</v>
      </c>
      <c r="B91" s="70" t="s">
        <v>58</v>
      </c>
      <c r="C91" s="70" t="s">
        <v>447</v>
      </c>
      <c r="D91" s="112"/>
      <c r="E91" s="113"/>
      <c r="F91" s="68">
        <v>416.40000000000009</v>
      </c>
      <c r="G91" s="70">
        <f>416.16+400</f>
        <v>816.16000000000008</v>
      </c>
      <c r="H91" s="68">
        <f t="shared" si="5"/>
        <v>0</v>
      </c>
      <c r="I91" s="68">
        <f t="shared" si="8"/>
        <v>1232.5600000000002</v>
      </c>
      <c r="J91" s="68">
        <f>VLOOKUP(C91,IP!$B$9:$D$117,3,0)</f>
        <v>1</v>
      </c>
      <c r="K91" s="113">
        <f>VLOOKUP(C91,RESUMEN!$C$35:$L$137,10,0)</f>
        <v>8000</v>
      </c>
      <c r="L91" s="68">
        <f t="shared" si="7"/>
        <v>80</v>
      </c>
      <c r="M91" s="68">
        <f>VLOOKUP(C91,IP!$B$9:$I$117,8,0)</f>
        <v>80</v>
      </c>
      <c r="N91" s="68">
        <f t="shared" si="6"/>
        <v>0</v>
      </c>
      <c r="O91" s="70">
        <f>VLOOKUP(C91,RESUMEN!$C$35:$Z$141,24,0)</f>
        <v>0</v>
      </c>
      <c r="Q91" s="68" t="s">
        <v>651</v>
      </c>
    </row>
    <row r="92" spans="1:17" x14ac:dyDescent="0.2">
      <c r="A92" s="68" t="s">
        <v>469</v>
      </c>
      <c r="B92" s="70" t="s">
        <v>58</v>
      </c>
      <c r="C92" s="68" t="s">
        <v>470</v>
      </c>
      <c r="D92" s="112"/>
      <c r="E92" s="113"/>
      <c r="F92" s="85">
        <v>416.40000000000009</v>
      </c>
      <c r="G92" s="70">
        <v>294.82</v>
      </c>
      <c r="H92" s="68">
        <f t="shared" si="5"/>
        <v>0</v>
      </c>
      <c r="I92" s="68">
        <f t="shared" si="8"/>
        <v>711.22</v>
      </c>
      <c r="J92" s="68">
        <f>VLOOKUP(C92,IP!$B$9:$D$117,3,0)</f>
        <v>0</v>
      </c>
      <c r="K92" s="113">
        <f>VLOOKUP(C92,RESUMEN!$C$35:$L$137,10,0)</f>
        <v>8000</v>
      </c>
      <c r="L92" s="68">
        <f t="shared" si="7"/>
        <v>0</v>
      </c>
      <c r="M92" s="68">
        <f>VLOOKUP(C92,IP!$B$9:$I$117,8,0)</f>
        <v>0</v>
      </c>
      <c r="N92" s="68">
        <f t="shared" si="6"/>
        <v>0</v>
      </c>
      <c r="O92" s="70">
        <f>VLOOKUP(C92,RESUMEN!$C$35:$Z$141,24,0)</f>
        <v>0</v>
      </c>
      <c r="Q92" s="68" t="s">
        <v>651</v>
      </c>
    </row>
    <row r="93" spans="1:17" x14ac:dyDescent="0.2">
      <c r="A93" s="68" t="s">
        <v>471</v>
      </c>
      <c r="B93" s="70" t="s">
        <v>58</v>
      </c>
      <c r="C93" s="68" t="s">
        <v>472</v>
      </c>
      <c r="D93" s="112"/>
      <c r="E93" s="113"/>
      <c r="F93" s="85">
        <v>135.19999999999982</v>
      </c>
      <c r="G93" s="70"/>
      <c r="H93" s="68">
        <f t="shared" si="5"/>
        <v>0</v>
      </c>
      <c r="I93" s="68">
        <f t="shared" si="8"/>
        <v>135.19999999999982</v>
      </c>
      <c r="J93" s="68">
        <f>VLOOKUP(C93,IP!$B$9:$D$117,3,0)</f>
        <v>0</v>
      </c>
      <c r="K93" s="113">
        <f>VLOOKUP(C93,RESUMEN!$C$35:$L$137,10,0)</f>
        <v>6000</v>
      </c>
      <c r="L93" s="68">
        <f t="shared" si="7"/>
        <v>0</v>
      </c>
      <c r="M93" s="68">
        <f>VLOOKUP(C93,IP!$B$9:$I$117,8,0)</f>
        <v>0</v>
      </c>
      <c r="N93" s="68">
        <f t="shared" si="6"/>
        <v>0</v>
      </c>
      <c r="O93" s="70">
        <f>VLOOKUP(C93,RESUMEN!$C$35:$Z$141,24,0)</f>
        <v>0</v>
      </c>
      <c r="Q93" s="68" t="s">
        <v>652</v>
      </c>
    </row>
    <row r="94" spans="1:17" x14ac:dyDescent="0.2">
      <c r="A94" s="68" t="s">
        <v>475</v>
      </c>
      <c r="B94" s="70" t="s">
        <v>58</v>
      </c>
      <c r="C94" s="68" t="s">
        <v>476</v>
      </c>
      <c r="D94" s="112"/>
      <c r="E94" s="113"/>
      <c r="F94" s="68">
        <v>416.40000000000009</v>
      </c>
      <c r="H94" s="68">
        <f t="shared" si="5"/>
        <v>0</v>
      </c>
      <c r="I94" s="68">
        <f t="shared" si="8"/>
        <v>416.40000000000009</v>
      </c>
      <c r="J94" s="68">
        <f>VLOOKUP(C94,IP!$B$9:$D$117,3,0)</f>
        <v>0</v>
      </c>
      <c r="K94" s="113">
        <f>VLOOKUP(C94,RESUMEN!$C$35:$L$137,10,0)</f>
        <v>8000</v>
      </c>
      <c r="L94" s="68">
        <f t="shared" si="7"/>
        <v>0</v>
      </c>
      <c r="M94" s="68">
        <f>VLOOKUP(C94,IP!$B$9:$I$117,8,0)</f>
        <v>0</v>
      </c>
      <c r="N94" s="68">
        <f t="shared" si="6"/>
        <v>0</v>
      </c>
      <c r="O94" s="70">
        <f>VLOOKUP(C94,RESUMEN!$C$35:$Z$141,24,0)</f>
        <v>0</v>
      </c>
      <c r="Q94" s="68" t="s">
        <v>651</v>
      </c>
    </row>
    <row r="95" spans="1:17" s="70" customFormat="1" x14ac:dyDescent="0.2">
      <c r="A95" s="70" t="s">
        <v>477</v>
      </c>
      <c r="B95" s="70" t="s">
        <v>58</v>
      </c>
      <c r="C95" s="70" t="s">
        <v>478</v>
      </c>
      <c r="D95" s="114"/>
      <c r="E95" s="115"/>
      <c r="F95" s="105">
        <v>0</v>
      </c>
      <c r="H95" s="68">
        <f t="shared" si="5"/>
        <v>0</v>
      </c>
      <c r="I95" s="70">
        <f t="shared" si="8"/>
        <v>0</v>
      </c>
      <c r="J95" s="68">
        <f>VLOOKUP(C95,IP!$B$9:$D$117,3,0)</f>
        <v>0</v>
      </c>
      <c r="K95" s="115">
        <f>VLOOKUP(C95,RESUMEN!$C$35:$L$137,10,0)</f>
        <v>9000</v>
      </c>
      <c r="L95" s="70">
        <f t="shared" si="7"/>
        <v>0</v>
      </c>
      <c r="M95" s="68">
        <f>VLOOKUP(C95,IP!$B$9:$I$117,8,0)</f>
        <v>0</v>
      </c>
      <c r="N95" s="70">
        <f t="shared" si="6"/>
        <v>0</v>
      </c>
      <c r="O95" s="70">
        <f>VLOOKUP(C95,RESUMEN!$C$35:$Z$141,24,0)</f>
        <v>-3.6000000000003638</v>
      </c>
      <c r="P95" s="68"/>
      <c r="Q95" s="68" t="s">
        <v>652</v>
      </c>
    </row>
    <row r="96" spans="1:17" x14ac:dyDescent="0.2">
      <c r="A96" s="68" t="s">
        <v>479</v>
      </c>
      <c r="B96" s="70" t="s">
        <v>58</v>
      </c>
      <c r="C96" s="68" t="s">
        <v>480</v>
      </c>
      <c r="D96" s="112"/>
      <c r="E96" s="113"/>
      <c r="F96" s="68">
        <v>416.36000000000013</v>
      </c>
      <c r="G96" s="70">
        <v>100</v>
      </c>
      <c r="H96" s="68">
        <f t="shared" si="5"/>
        <v>0</v>
      </c>
      <c r="I96" s="68">
        <f t="shared" si="8"/>
        <v>516.36000000000013</v>
      </c>
      <c r="J96" s="68">
        <f>VLOOKUP(C96,IP!$B$9:$D$117,3,0)</f>
        <v>0</v>
      </c>
      <c r="K96" s="113">
        <f>VLOOKUP(C96,RESUMEN!$C$35:$L$137,10,0)</f>
        <v>8000</v>
      </c>
      <c r="L96" s="68">
        <f t="shared" si="7"/>
        <v>0</v>
      </c>
      <c r="M96" s="68">
        <f>VLOOKUP(C96,IP!$B$9:$I$117,8,0)</f>
        <v>0</v>
      </c>
      <c r="N96" s="68">
        <f t="shared" si="6"/>
        <v>0</v>
      </c>
      <c r="O96" s="70">
        <f>VLOOKUP(C96,RESUMEN!$C$35:$Z$141,24,0)</f>
        <v>0</v>
      </c>
      <c r="Q96" s="68" t="s">
        <v>651</v>
      </c>
    </row>
    <row r="97" spans="1:17" x14ac:dyDescent="0.2">
      <c r="A97" s="68" t="s">
        <v>481</v>
      </c>
      <c r="B97" s="70" t="s">
        <v>58</v>
      </c>
      <c r="C97" s="68" t="s">
        <v>482</v>
      </c>
      <c r="D97" s="112"/>
      <c r="E97" s="113"/>
      <c r="F97" s="68">
        <v>593.60000000000025</v>
      </c>
      <c r="G97" s="70">
        <v>131.91</v>
      </c>
      <c r="H97" s="68">
        <f t="shared" si="5"/>
        <v>0</v>
      </c>
      <c r="I97" s="68">
        <f t="shared" si="8"/>
        <v>725.51000000000022</v>
      </c>
      <c r="J97" s="68">
        <f>VLOOKUP(C97,IP!$B$9:$D$117,3,0)</f>
        <v>0</v>
      </c>
      <c r="K97" s="113">
        <f>VLOOKUP(C97,RESUMEN!$C$35:$L$137,10,0)</f>
        <v>10000</v>
      </c>
      <c r="L97" s="68">
        <f>(((+K97/30)*J97)*30%)</f>
        <v>0</v>
      </c>
      <c r="M97" s="68">
        <f>VLOOKUP(C97,IP!$B$9:$I$117,8,0)</f>
        <v>0</v>
      </c>
      <c r="N97" s="68">
        <f t="shared" si="6"/>
        <v>0</v>
      </c>
      <c r="O97" s="70">
        <f>VLOOKUP(C97,RESUMEN!$C$35:$Z$141,24,0)</f>
        <v>0</v>
      </c>
      <c r="Q97" s="68" t="s">
        <v>651</v>
      </c>
    </row>
    <row r="98" spans="1:17" x14ac:dyDescent="0.2">
      <c r="A98" s="68" t="s">
        <v>483</v>
      </c>
      <c r="B98" s="70" t="s">
        <v>58</v>
      </c>
      <c r="C98" s="68" t="s">
        <v>484</v>
      </c>
      <c r="D98" s="112"/>
      <c r="E98" s="113"/>
      <c r="F98" s="68">
        <v>416.40000000000009</v>
      </c>
      <c r="G98" s="70">
        <f>358.34+1600</f>
        <v>1958.34</v>
      </c>
      <c r="H98" s="68">
        <f t="shared" si="5"/>
        <v>0</v>
      </c>
      <c r="I98" s="68">
        <f t="shared" si="8"/>
        <v>2374.7399999999998</v>
      </c>
      <c r="J98" s="68">
        <f>VLOOKUP(C98,IP!$B$9:$D$117,3,0)</f>
        <v>0</v>
      </c>
      <c r="K98" s="113">
        <f>VLOOKUP(C98,RESUMEN!$C$35:$L$137,10,0)</f>
        <v>8000</v>
      </c>
      <c r="L98" s="68">
        <f t="shared" si="7"/>
        <v>0</v>
      </c>
      <c r="M98" s="68">
        <f>VLOOKUP(C98,IP!$B$9:$I$117,8,0)</f>
        <v>0</v>
      </c>
      <c r="N98" s="68">
        <f t="shared" ref="N98:N132" si="9">+L98-M98</f>
        <v>0</v>
      </c>
      <c r="O98" s="70">
        <f>VLOOKUP(C98,RESUMEN!$C$35:$Z$141,24,0)</f>
        <v>0</v>
      </c>
      <c r="Q98" s="68" t="s">
        <v>651</v>
      </c>
    </row>
    <row r="99" spans="1:17" x14ac:dyDescent="0.2">
      <c r="A99" s="68" t="s">
        <v>485</v>
      </c>
      <c r="B99" s="70" t="s">
        <v>58</v>
      </c>
      <c r="C99" s="68" t="s">
        <v>486</v>
      </c>
      <c r="D99" s="112"/>
      <c r="E99" s="113"/>
      <c r="F99" s="68">
        <v>549.96500000000015</v>
      </c>
      <c r="G99" s="70">
        <f>778.57+2080</f>
        <v>2858.57</v>
      </c>
      <c r="H99" s="68">
        <f t="shared" si="5"/>
        <v>0</v>
      </c>
      <c r="I99" s="68">
        <f t="shared" si="8"/>
        <v>3408.5350000000003</v>
      </c>
      <c r="J99" s="68">
        <f>VLOOKUP(C99,IP!$B$9:$D$117,3,0)</f>
        <v>0</v>
      </c>
      <c r="K99" s="113">
        <f>VLOOKUP(C99,RESUMEN!$C$35:$L$137,10,0)</f>
        <v>9550.01</v>
      </c>
      <c r="L99" s="68">
        <f t="shared" si="7"/>
        <v>0</v>
      </c>
      <c r="M99" s="68">
        <f>VLOOKUP(C99,IP!$B$9:$I$117,8,0)</f>
        <v>0</v>
      </c>
      <c r="N99" s="68">
        <f t="shared" si="9"/>
        <v>0</v>
      </c>
      <c r="O99" s="70">
        <f>VLOOKUP(C99,RESUMEN!$C$35:$Z$141,24,0)</f>
        <v>0</v>
      </c>
      <c r="Q99" s="68" t="s">
        <v>651</v>
      </c>
    </row>
    <row r="100" spans="1:17" x14ac:dyDescent="0.2">
      <c r="A100" s="68" t="s">
        <v>487</v>
      </c>
      <c r="B100" s="70" t="s">
        <v>58</v>
      </c>
      <c r="C100" s="68" t="s">
        <v>488</v>
      </c>
      <c r="D100" s="112"/>
      <c r="E100" s="113"/>
      <c r="F100" s="68">
        <v>384.79500000000007</v>
      </c>
      <c r="G100" s="116">
        <f>160+320</f>
        <v>480</v>
      </c>
      <c r="H100" s="68">
        <f t="shared" ref="H100:H144" si="10">+N100</f>
        <v>0</v>
      </c>
      <c r="I100" s="68">
        <f t="shared" si="8"/>
        <v>864.79500000000007</v>
      </c>
      <c r="J100" s="68">
        <f>VLOOKUP(C100,IP!$B$9:$D$117,3,0)</f>
        <v>0</v>
      </c>
      <c r="K100" s="113">
        <f>VLOOKUP(C100,RESUMEN!$C$35:$L$137,10,0)</f>
        <v>7505.99</v>
      </c>
      <c r="L100" s="68">
        <f>(((+K100/30)*J100)*30%)</f>
        <v>0</v>
      </c>
      <c r="M100" s="68">
        <f>VLOOKUP(C100,IP!$B$9:$I$117,8,0)</f>
        <v>0</v>
      </c>
      <c r="N100" s="68">
        <f t="shared" si="9"/>
        <v>0</v>
      </c>
      <c r="O100" s="70">
        <f>VLOOKUP(C100,RESUMEN!$C$35:$Z$141,24,0)</f>
        <v>0</v>
      </c>
      <c r="Q100" s="68" t="s">
        <v>651</v>
      </c>
    </row>
    <row r="101" spans="1:17" x14ac:dyDescent="0.2">
      <c r="A101" s="68" t="s">
        <v>489</v>
      </c>
      <c r="B101" s="70" t="s">
        <v>58</v>
      </c>
      <c r="C101" s="68" t="s">
        <v>490</v>
      </c>
      <c r="D101" s="112"/>
      <c r="E101" s="113"/>
      <c r="F101" s="68">
        <v>450.98500000000013</v>
      </c>
      <c r="G101" s="70">
        <v>1155</v>
      </c>
      <c r="H101" s="68">
        <f t="shared" si="10"/>
        <v>2.1099999999933061E-2</v>
      </c>
      <c r="I101" s="68">
        <f t="shared" si="8"/>
        <v>1606.0061000000001</v>
      </c>
      <c r="J101" s="68">
        <v>11</v>
      </c>
      <c r="K101" s="113">
        <f>VLOOKUP(C101,RESUMEN!$C$35:$L$137,10,0)</f>
        <v>8500.01</v>
      </c>
      <c r="L101" s="68">
        <f t="shared" si="7"/>
        <v>935.00109999999995</v>
      </c>
      <c r="M101" s="68">
        <f>VLOOKUP(C101,IP!$B$9:$I$117,8,0)</f>
        <v>934.98</v>
      </c>
      <c r="N101" s="68">
        <f t="shared" si="9"/>
        <v>2.1099999999933061E-2</v>
      </c>
      <c r="O101" s="70">
        <f>VLOOKUP(C101,RESUMEN!$C$35:$Z$141,24,0)</f>
        <v>0</v>
      </c>
      <c r="Q101" s="68" t="s">
        <v>651</v>
      </c>
    </row>
    <row r="102" spans="1:17" x14ac:dyDescent="0.2">
      <c r="A102" s="68" t="s">
        <v>574</v>
      </c>
      <c r="B102" s="70" t="s">
        <v>58</v>
      </c>
      <c r="C102" s="68" t="s">
        <v>575</v>
      </c>
      <c r="D102" s="112"/>
      <c r="E102" s="113"/>
      <c r="F102" s="68">
        <v>414.59999999999991</v>
      </c>
      <c r="G102" s="70">
        <v>146.25</v>
      </c>
      <c r="H102" s="68">
        <f t="shared" si="10"/>
        <v>0</v>
      </c>
      <c r="I102" s="68">
        <f t="shared" si="8"/>
        <v>560.84999999999991</v>
      </c>
      <c r="J102" s="68">
        <f>VLOOKUP(C102,IP!$B$9:$D$117,3,0)</f>
        <v>0</v>
      </c>
      <c r="K102" s="113">
        <f>VLOOKUP(C102,RESUMEN!$C$35:$L$137,10,0)</f>
        <v>8000</v>
      </c>
      <c r="L102" s="68">
        <f t="shared" si="7"/>
        <v>0</v>
      </c>
      <c r="M102" s="68">
        <f>VLOOKUP(C102,IP!$B$9:$I$117,8,0)</f>
        <v>0</v>
      </c>
      <c r="N102" s="68">
        <f t="shared" si="9"/>
        <v>0</v>
      </c>
      <c r="O102" s="70">
        <f>VLOOKUP(C102,RESUMEN!$C$35:$Z$141,24,0)</f>
        <v>0</v>
      </c>
      <c r="Q102" s="68" t="s">
        <v>651</v>
      </c>
    </row>
    <row r="103" spans="1:17" x14ac:dyDescent="0.2">
      <c r="A103" s="68" t="s">
        <v>493</v>
      </c>
      <c r="B103" s="70" t="s">
        <v>58</v>
      </c>
      <c r="C103" s="68" t="s">
        <v>494</v>
      </c>
      <c r="D103" s="112"/>
      <c r="E103" s="113"/>
      <c r="F103" s="68">
        <v>450.95500000000038</v>
      </c>
      <c r="G103" s="70">
        <f>200.68+840</f>
        <v>1040.68</v>
      </c>
      <c r="H103" s="68">
        <v>84.99</v>
      </c>
      <c r="I103" s="68">
        <f t="shared" si="8"/>
        <v>1576.6250000000005</v>
      </c>
      <c r="J103" s="68">
        <f>VLOOKUP(C103,IP!$B$9:$D$117,3,0)</f>
        <v>0</v>
      </c>
      <c r="K103" s="113">
        <f>VLOOKUP(C103,RESUMEN!$C$35:$L$137,10,0)</f>
        <v>8500.01</v>
      </c>
      <c r="L103" s="68">
        <f>(((+K103/30)*J103)*30%)</f>
        <v>0</v>
      </c>
      <c r="M103" s="68">
        <f>VLOOKUP(C103,IP!$B$9:$I$117,8,0)</f>
        <v>0</v>
      </c>
      <c r="N103" s="68">
        <f t="shared" si="9"/>
        <v>0</v>
      </c>
      <c r="O103" s="70">
        <f>VLOOKUP(C103,RESUMEN!$C$35:$Z$141,24,0)</f>
        <v>0</v>
      </c>
      <c r="Q103" s="68" t="s">
        <v>651</v>
      </c>
    </row>
    <row r="104" spans="1:17" x14ac:dyDescent="0.2">
      <c r="A104" s="68" t="s">
        <v>498</v>
      </c>
      <c r="B104" s="70" t="s">
        <v>58</v>
      </c>
      <c r="C104" s="68" t="s">
        <v>499</v>
      </c>
      <c r="D104" s="112"/>
      <c r="E104" s="113"/>
      <c r="F104" s="68">
        <v>416.40000000000009</v>
      </c>
      <c r="G104" s="70">
        <v>322.5</v>
      </c>
      <c r="H104" s="68">
        <f t="shared" si="10"/>
        <v>0</v>
      </c>
      <c r="I104" s="68">
        <f t="shared" si="8"/>
        <v>738.90000000000009</v>
      </c>
      <c r="J104" s="68">
        <f>VLOOKUP(C104,IP!$B$9:$D$117,3,0)</f>
        <v>0</v>
      </c>
      <c r="K104" s="113">
        <f>VLOOKUP(C104,RESUMEN!$C$35:$L$137,10,0)</f>
        <v>8000</v>
      </c>
      <c r="L104" s="68">
        <f t="shared" si="7"/>
        <v>0</v>
      </c>
      <c r="M104" s="68">
        <f>VLOOKUP(C104,IP!$B$9:$I$117,8,0)</f>
        <v>0</v>
      </c>
      <c r="N104" s="68">
        <f t="shared" si="9"/>
        <v>0</v>
      </c>
      <c r="O104" s="70">
        <f>VLOOKUP(C104,RESUMEN!$C$35:$Z$141,24,0)</f>
        <v>0</v>
      </c>
      <c r="Q104" s="68" t="s">
        <v>651</v>
      </c>
    </row>
    <row r="105" spans="1:17" x14ac:dyDescent="0.2">
      <c r="A105" s="68" t="s">
        <v>502</v>
      </c>
      <c r="B105" s="70" t="s">
        <v>58</v>
      </c>
      <c r="C105" s="68" t="s">
        <v>503</v>
      </c>
      <c r="D105" s="112"/>
      <c r="E105" s="113"/>
      <c r="F105" s="68">
        <v>416.27</v>
      </c>
      <c r="G105" s="70">
        <v>123.08</v>
      </c>
      <c r="H105" s="68">
        <f t="shared" si="10"/>
        <v>0</v>
      </c>
      <c r="I105" s="68">
        <f t="shared" si="8"/>
        <v>539.35</v>
      </c>
      <c r="J105" s="68">
        <f>VLOOKUP(C105,IP!$B$9:$D$117,3,0)</f>
        <v>0</v>
      </c>
      <c r="K105" s="113">
        <f>VLOOKUP(C105,RESUMEN!$C$35:$L$137,10,0)</f>
        <v>8000</v>
      </c>
      <c r="L105" s="68">
        <f t="shared" si="7"/>
        <v>0</v>
      </c>
      <c r="M105" s="68">
        <f>VLOOKUP(C105,IP!$B$9:$I$117,8,0)</f>
        <v>0</v>
      </c>
      <c r="N105" s="68">
        <f t="shared" si="9"/>
        <v>0</v>
      </c>
      <c r="O105" s="70">
        <f>VLOOKUP(C105,RESUMEN!$C$35:$Z$141,24,0)</f>
        <v>0</v>
      </c>
      <c r="Q105" s="68" t="s">
        <v>651</v>
      </c>
    </row>
    <row r="106" spans="1:17" x14ac:dyDescent="0.2">
      <c r="A106" s="68" t="s">
        <v>504</v>
      </c>
      <c r="B106" s="70" t="s">
        <v>58</v>
      </c>
      <c r="C106" s="70" t="s">
        <v>594</v>
      </c>
      <c r="D106" s="112"/>
      <c r="E106" s="113"/>
      <c r="F106" s="105">
        <v>0</v>
      </c>
      <c r="G106" s="70"/>
      <c r="H106" s="68">
        <f t="shared" si="10"/>
        <v>0</v>
      </c>
      <c r="I106" s="68">
        <f t="shared" si="8"/>
        <v>0</v>
      </c>
      <c r="J106" s="68">
        <f>VLOOKUP(C106,IP!$B$9:$D$117,3,0)</f>
        <v>0</v>
      </c>
      <c r="K106" s="113">
        <f>VLOOKUP(C106,RESUMEN!$C$35:$L$137,10,0)</f>
        <v>7900</v>
      </c>
      <c r="L106" s="68">
        <f t="shared" si="7"/>
        <v>0</v>
      </c>
      <c r="M106" s="68">
        <f>VLOOKUP(C106,IP!$B$9:$I$117,8,0)</f>
        <v>0</v>
      </c>
      <c r="N106" s="68">
        <f t="shared" si="9"/>
        <v>0</v>
      </c>
      <c r="O106" s="70">
        <f>VLOOKUP(C106,RESUMEN!$C$35:$Z$141,24,0)</f>
        <v>-54.829999999999927</v>
      </c>
      <c r="Q106" s="68" t="s">
        <v>652</v>
      </c>
    </row>
    <row r="107" spans="1:17" x14ac:dyDescent="0.2">
      <c r="A107" s="68" t="s">
        <v>507</v>
      </c>
      <c r="B107" s="70" t="s">
        <v>58</v>
      </c>
      <c r="C107" s="68" t="s">
        <v>508</v>
      </c>
      <c r="D107" s="112"/>
      <c r="E107" s="113"/>
      <c r="F107" s="68">
        <v>1047.8000000000006</v>
      </c>
      <c r="G107" s="70">
        <v>178.57</v>
      </c>
      <c r="H107" s="68">
        <f t="shared" si="10"/>
        <v>0</v>
      </c>
      <c r="I107" s="68">
        <f t="shared" si="8"/>
        <v>1226.3700000000006</v>
      </c>
      <c r="J107" s="68">
        <f>VLOOKUP(C107,IP!$B$9:$D$117,3,0)</f>
        <v>0</v>
      </c>
      <c r="K107" s="113">
        <f>VLOOKUP(C107,RESUMEN!$C$35:$L$137,10,0)</f>
        <v>14000</v>
      </c>
      <c r="L107" s="68">
        <f t="shared" si="7"/>
        <v>0</v>
      </c>
      <c r="M107" s="68">
        <f>VLOOKUP(C107,IP!$B$9:$I$117,8,0)</f>
        <v>0</v>
      </c>
      <c r="N107" s="68">
        <f t="shared" si="9"/>
        <v>0</v>
      </c>
      <c r="O107" s="70">
        <f>VLOOKUP(C107,RESUMEN!$C$35:$Z$141,24,0)</f>
        <v>0</v>
      </c>
      <c r="Q107" s="68" t="s">
        <v>651</v>
      </c>
    </row>
    <row r="108" spans="1:17" x14ac:dyDescent="0.2">
      <c r="A108" s="68" t="s">
        <v>509</v>
      </c>
      <c r="B108" s="70" t="s">
        <v>58</v>
      </c>
      <c r="C108" s="68" t="s">
        <v>595</v>
      </c>
      <c r="D108" s="112"/>
      <c r="E108" s="113"/>
      <c r="F108" s="68">
        <v>416.19999999999982</v>
      </c>
      <c r="G108" s="70">
        <v>180</v>
      </c>
      <c r="H108" s="68">
        <f t="shared" si="10"/>
        <v>0</v>
      </c>
      <c r="I108" s="68">
        <f t="shared" si="8"/>
        <v>596.19999999999982</v>
      </c>
      <c r="J108" s="68">
        <f>VLOOKUP(C108,IP!$B$9:$D$117,3,0)</f>
        <v>0</v>
      </c>
      <c r="K108" s="113">
        <f>VLOOKUP(C108,RESUMEN!$C$35:$L$137,10,0)</f>
        <v>8000</v>
      </c>
      <c r="L108" s="68">
        <f t="shared" si="7"/>
        <v>0</v>
      </c>
      <c r="M108" s="68">
        <f>VLOOKUP(C108,IP!$B$9:$I$117,8,0)</f>
        <v>0</v>
      </c>
      <c r="N108" s="68">
        <f t="shared" si="9"/>
        <v>0</v>
      </c>
      <c r="O108" s="70">
        <f>VLOOKUP(C108,RESUMEN!$C$35:$Z$141,24,0)</f>
        <v>0</v>
      </c>
      <c r="Q108" s="68" t="s">
        <v>651</v>
      </c>
    </row>
    <row r="109" spans="1:17" x14ac:dyDescent="0.2">
      <c r="A109" s="68" t="s">
        <v>519</v>
      </c>
      <c r="B109" s="70" t="s">
        <v>58</v>
      </c>
      <c r="C109" s="68" t="s">
        <v>520</v>
      </c>
      <c r="D109" s="112"/>
      <c r="E109" s="113"/>
      <c r="F109" s="68">
        <v>416.40000000000032</v>
      </c>
      <c r="G109" s="70">
        <f>510+260</f>
        <v>770</v>
      </c>
      <c r="H109" s="68">
        <f t="shared" si="10"/>
        <v>0</v>
      </c>
      <c r="I109" s="68">
        <f t="shared" si="8"/>
        <v>1186.4000000000003</v>
      </c>
      <c r="J109" s="68">
        <f>VLOOKUP(C109,IP!$B$9:$D$117,3,0)</f>
        <v>0</v>
      </c>
      <c r="K109" s="113">
        <f>VLOOKUP(C109,RESUMEN!$C$35:$L$137,10,0)</f>
        <v>8000</v>
      </c>
      <c r="L109" s="68">
        <f t="shared" ref="L109:L122" si="11">(((+K109/30)*J109)*30%)</f>
        <v>0</v>
      </c>
      <c r="M109" s="68">
        <f>VLOOKUP(C109,IP!$B$9:$I$117,8,0)</f>
        <v>0</v>
      </c>
      <c r="N109" s="68">
        <f t="shared" si="9"/>
        <v>0</v>
      </c>
      <c r="O109" s="70">
        <f>VLOOKUP(C109,RESUMEN!$C$35:$Z$141,24,0)</f>
        <v>0</v>
      </c>
      <c r="Q109" s="68" t="s">
        <v>651</v>
      </c>
    </row>
    <row r="110" spans="1:17" x14ac:dyDescent="0.2">
      <c r="A110" s="68" t="s">
        <v>521</v>
      </c>
      <c r="B110" s="70" t="s">
        <v>58</v>
      </c>
      <c r="C110" s="68" t="s">
        <v>522</v>
      </c>
      <c r="D110" s="112"/>
      <c r="E110" s="113"/>
      <c r="F110" s="68">
        <f>309.8-200</f>
        <v>109.80000000000001</v>
      </c>
      <c r="G110" s="70">
        <v>422.5</v>
      </c>
      <c r="H110" s="68">
        <f t="shared" si="10"/>
        <v>0</v>
      </c>
      <c r="I110" s="68">
        <f t="shared" si="8"/>
        <v>532.29999999999995</v>
      </c>
      <c r="J110" s="68">
        <f>VLOOKUP(C110,IP!$B$9:$D$117,3,0)</f>
        <v>2</v>
      </c>
      <c r="K110" s="113">
        <f>VLOOKUP(C110,RESUMEN!$C$35:$L$137,10,0)</f>
        <v>6000</v>
      </c>
      <c r="L110" s="68">
        <f t="shared" si="11"/>
        <v>120</v>
      </c>
      <c r="M110" s="68">
        <f>VLOOKUP(C110,IP!$B$9:$I$117,8,0)</f>
        <v>120</v>
      </c>
      <c r="N110" s="68">
        <f t="shared" si="9"/>
        <v>0</v>
      </c>
      <c r="O110" s="70">
        <f>VLOOKUP(C110,RESUMEN!$C$35:$Z$141,24,0)</f>
        <v>200</v>
      </c>
      <c r="Q110" s="68" t="s">
        <v>651</v>
      </c>
    </row>
    <row r="111" spans="1:17" x14ac:dyDescent="0.2">
      <c r="A111" s="68" t="s">
        <v>523</v>
      </c>
      <c r="B111" s="70" t="s">
        <v>58</v>
      </c>
      <c r="C111" s="68" t="s">
        <v>524</v>
      </c>
      <c r="D111" s="112"/>
      <c r="E111" s="113"/>
      <c r="F111" s="68">
        <v>416.19999999999982</v>
      </c>
      <c r="G111" s="70">
        <v>187.5</v>
      </c>
      <c r="H111" s="68">
        <f t="shared" si="10"/>
        <v>0</v>
      </c>
      <c r="I111" s="68">
        <f t="shared" si="8"/>
        <v>603.69999999999982</v>
      </c>
      <c r="J111" s="68">
        <f>VLOOKUP(C111,IP!$B$9:$D$117,3,0)</f>
        <v>0</v>
      </c>
      <c r="K111" s="113">
        <f>VLOOKUP(C111,RESUMEN!$C$35:$L$137,10,0)</f>
        <v>8000</v>
      </c>
      <c r="L111" s="68">
        <f t="shared" si="11"/>
        <v>0</v>
      </c>
      <c r="M111" s="68">
        <f>VLOOKUP(C111,IP!$B$9:$I$117,8,0)</f>
        <v>0</v>
      </c>
      <c r="N111" s="68">
        <f t="shared" si="9"/>
        <v>0</v>
      </c>
      <c r="O111" s="70">
        <f>VLOOKUP(C111,RESUMEN!$C$35:$Z$141,24,0)</f>
        <v>0</v>
      </c>
      <c r="Q111" s="68" t="s">
        <v>651</v>
      </c>
    </row>
    <row r="112" spans="1:17" x14ac:dyDescent="0.2">
      <c r="A112" s="68" t="s">
        <v>525</v>
      </c>
      <c r="B112" s="70" t="s">
        <v>58</v>
      </c>
      <c r="C112" s="68" t="s">
        <v>526</v>
      </c>
      <c r="D112" s="112"/>
      <c r="E112" s="113"/>
      <c r="F112" s="68">
        <v>414.59999999999991</v>
      </c>
      <c r="G112" s="70">
        <f>28.8+1280</f>
        <v>1308.8</v>
      </c>
      <c r="H112" s="68">
        <f t="shared" si="10"/>
        <v>0</v>
      </c>
      <c r="I112" s="68">
        <f t="shared" si="8"/>
        <v>1723.3999999999999</v>
      </c>
      <c r="J112" s="68">
        <f>VLOOKUP(C112,IP!$B$9:$D$117,3,0)</f>
        <v>0</v>
      </c>
      <c r="K112" s="113">
        <f>VLOOKUP(C112,RESUMEN!$C$35:$L$137,10,0)</f>
        <v>8000</v>
      </c>
      <c r="L112" s="68">
        <f t="shared" si="11"/>
        <v>0</v>
      </c>
      <c r="M112" s="68">
        <f>VLOOKUP(C112,IP!$B$9:$I$117,8,0)</f>
        <v>0</v>
      </c>
      <c r="N112" s="68">
        <f t="shared" si="9"/>
        <v>0</v>
      </c>
      <c r="O112" s="70">
        <f>VLOOKUP(C112,RESUMEN!$C$35:$Z$141,24,0)</f>
        <v>0</v>
      </c>
      <c r="Q112" s="68" t="s">
        <v>651</v>
      </c>
    </row>
    <row r="113" spans="1:17" x14ac:dyDescent="0.2">
      <c r="A113" s="68" t="s">
        <v>529</v>
      </c>
      <c r="B113" s="70" t="s">
        <v>58</v>
      </c>
      <c r="C113" s="68" t="s">
        <v>530</v>
      </c>
      <c r="D113" s="112"/>
      <c r="E113" s="113"/>
      <c r="F113" s="68">
        <v>414.80000000000018</v>
      </c>
      <c r="G113" s="70">
        <v>270</v>
      </c>
      <c r="H113" s="68">
        <f t="shared" si="10"/>
        <v>0</v>
      </c>
      <c r="I113" s="68">
        <f t="shared" si="8"/>
        <v>684.80000000000018</v>
      </c>
      <c r="J113" s="68">
        <f>VLOOKUP(C113,IP!$B$9:$D$117,3,0)</f>
        <v>0</v>
      </c>
      <c r="K113" s="113">
        <f>VLOOKUP(C113,RESUMEN!$C$35:$L$137,10,0)</f>
        <v>8000</v>
      </c>
      <c r="L113" s="68">
        <f t="shared" si="11"/>
        <v>0</v>
      </c>
      <c r="M113" s="68">
        <f>VLOOKUP(C113,IP!$B$9:$I$117,8,0)</f>
        <v>0</v>
      </c>
      <c r="N113" s="68">
        <f t="shared" si="9"/>
        <v>0</v>
      </c>
      <c r="O113" s="70">
        <f>VLOOKUP(C113,RESUMEN!$C$35:$Z$141,24,0)</f>
        <v>0</v>
      </c>
      <c r="Q113" s="68" t="s">
        <v>651</v>
      </c>
    </row>
    <row r="114" spans="1:17" x14ac:dyDescent="0.2">
      <c r="A114" s="68" t="s">
        <v>533</v>
      </c>
      <c r="B114" s="70" t="s">
        <v>58</v>
      </c>
      <c r="C114" s="68" t="s">
        <v>531</v>
      </c>
      <c r="D114" s="112"/>
      <c r="E114" s="113"/>
      <c r="F114" s="68">
        <f>309.89-200</f>
        <v>109.88999999999999</v>
      </c>
      <c r="G114" s="70">
        <v>1000</v>
      </c>
      <c r="H114" s="68">
        <f t="shared" si="10"/>
        <v>0</v>
      </c>
      <c r="I114" s="68">
        <f t="shared" si="8"/>
        <v>1109.8899999999999</v>
      </c>
      <c r="J114" s="68">
        <f>VLOOKUP(C114,IP!$B$9:$D$117,3,0)</f>
        <v>0</v>
      </c>
      <c r="K114" s="113">
        <f>VLOOKUP(C114,RESUMEN!$C$35:$L$137,10,0)</f>
        <v>6000</v>
      </c>
      <c r="L114" s="68">
        <f t="shared" si="11"/>
        <v>0</v>
      </c>
      <c r="M114" s="68">
        <f>VLOOKUP(C114,IP!$B$9:$I$117,8,0)</f>
        <v>0</v>
      </c>
      <c r="N114" s="68">
        <f t="shared" si="9"/>
        <v>0</v>
      </c>
      <c r="O114" s="70">
        <f>VLOOKUP(C114,RESUMEN!$C$35:$Z$141,24,0)</f>
        <v>200</v>
      </c>
      <c r="Q114" s="68" t="s">
        <v>652</v>
      </c>
    </row>
    <row r="115" spans="1:17" x14ac:dyDescent="0.2">
      <c r="A115" s="68" t="s">
        <v>534</v>
      </c>
      <c r="B115" s="70" t="s">
        <v>58</v>
      </c>
      <c r="C115" s="68" t="s">
        <v>532</v>
      </c>
      <c r="D115" s="112"/>
      <c r="E115" s="113"/>
      <c r="F115" s="68">
        <v>416.40000000000009</v>
      </c>
      <c r="G115" s="70">
        <v>300</v>
      </c>
      <c r="H115" s="68">
        <f t="shared" si="10"/>
        <v>0</v>
      </c>
      <c r="I115" s="68">
        <f t="shared" si="8"/>
        <v>716.40000000000009</v>
      </c>
      <c r="J115" s="68">
        <f>VLOOKUP(C115,IP!$B$9:$D$117,3,0)</f>
        <v>0</v>
      </c>
      <c r="K115" s="113">
        <f>VLOOKUP(C115,RESUMEN!$C$35:$L$137,10,0)</f>
        <v>8000</v>
      </c>
      <c r="L115" s="68">
        <f t="shared" si="11"/>
        <v>0</v>
      </c>
      <c r="M115" s="68">
        <f>VLOOKUP(C115,IP!$B$9:$I$117,8,0)</f>
        <v>0</v>
      </c>
      <c r="N115" s="68">
        <f t="shared" si="9"/>
        <v>0</v>
      </c>
      <c r="O115" s="70">
        <f>VLOOKUP(C115,RESUMEN!$C$35:$Z$141,24,0)</f>
        <v>0</v>
      </c>
      <c r="Q115" s="68" t="s">
        <v>651</v>
      </c>
    </row>
    <row r="116" spans="1:17" x14ac:dyDescent="0.2">
      <c r="A116" s="68" t="s">
        <v>568</v>
      </c>
      <c r="B116" s="70" t="s">
        <v>58</v>
      </c>
      <c r="C116" s="68" t="s">
        <v>567</v>
      </c>
      <c r="D116" s="112"/>
      <c r="E116" s="113"/>
      <c r="F116" s="68">
        <v>284.2</v>
      </c>
      <c r="G116" s="70">
        <v>529.94000000000005</v>
      </c>
      <c r="H116" s="68">
        <f t="shared" si="10"/>
        <v>0</v>
      </c>
      <c r="I116" s="68">
        <f t="shared" si="8"/>
        <v>814.1400000000001</v>
      </c>
      <c r="J116" s="68">
        <f>VLOOKUP(C116,IP!$B$9:$D$117,3,0)</f>
        <v>0</v>
      </c>
      <c r="K116" s="113">
        <f>VLOOKUP(C116,RESUMEN!$C$35:$L$137,10,0)</f>
        <v>6300</v>
      </c>
      <c r="L116" s="68">
        <f t="shared" si="11"/>
        <v>0</v>
      </c>
      <c r="M116" s="68">
        <f>VLOOKUP(C116,IP!$B$9:$I$117,8,0)</f>
        <v>0</v>
      </c>
      <c r="N116" s="68">
        <f t="shared" si="9"/>
        <v>0</v>
      </c>
      <c r="O116" s="70">
        <f>VLOOKUP(C116,RESUMEN!$C$35:$Z$141,24,0)</f>
        <v>0</v>
      </c>
      <c r="Q116" s="68" t="s">
        <v>651</v>
      </c>
    </row>
    <row r="117" spans="1:17" x14ac:dyDescent="0.2">
      <c r="A117" s="68" t="s">
        <v>564</v>
      </c>
      <c r="B117" s="68" t="s">
        <v>58</v>
      </c>
      <c r="C117" s="68" t="s">
        <v>501</v>
      </c>
      <c r="F117" s="68">
        <v>3553.3000000000011</v>
      </c>
      <c r="G117" s="70">
        <v>3</v>
      </c>
      <c r="H117" s="68">
        <f t="shared" si="10"/>
        <v>0</v>
      </c>
      <c r="I117" s="68">
        <f t="shared" si="8"/>
        <v>3556.3000000000011</v>
      </c>
      <c r="J117" s="68">
        <f>VLOOKUP(C117,IP!$B$9:$D$117,3,0)</f>
        <v>0</v>
      </c>
      <c r="K117" s="113">
        <f>VLOOKUP(C117,RESUMEN!$C$35:$L$137,10,0)</f>
        <v>12000</v>
      </c>
      <c r="L117" s="68">
        <f t="shared" si="11"/>
        <v>0</v>
      </c>
      <c r="M117" s="68">
        <f>VLOOKUP(C117,IP!$B$9:$I$117,8,0)</f>
        <v>0</v>
      </c>
      <c r="N117" s="68">
        <f t="shared" si="9"/>
        <v>0</v>
      </c>
      <c r="O117" s="70">
        <f>VLOOKUP(C117,RESUMEN!$C$35:$Z$141,24,0)</f>
        <v>0</v>
      </c>
      <c r="Q117" s="68" t="s">
        <v>651</v>
      </c>
    </row>
    <row r="118" spans="1:17" x14ac:dyDescent="0.2">
      <c r="A118" s="68" t="s">
        <v>572</v>
      </c>
      <c r="B118" s="70" t="s">
        <v>58</v>
      </c>
      <c r="C118" s="68" t="s">
        <v>573</v>
      </c>
      <c r="D118" s="112"/>
      <c r="E118" s="113"/>
      <c r="F118" s="68">
        <v>53</v>
      </c>
      <c r="G118" s="70">
        <v>284.67</v>
      </c>
      <c r="H118" s="68">
        <f t="shared" si="10"/>
        <v>0</v>
      </c>
      <c r="I118" s="68">
        <f t="shared" si="8"/>
        <v>337.67</v>
      </c>
      <c r="J118" s="68">
        <f>VLOOKUP(C118,IP!$B$9:$D$117,3,0)</f>
        <v>0</v>
      </c>
      <c r="K118" s="113">
        <f>VLOOKUP(C118,RESUMEN!$C$35:$L$137,10,0)</f>
        <v>5000</v>
      </c>
      <c r="L118" s="68">
        <f t="shared" si="11"/>
        <v>0</v>
      </c>
      <c r="M118" s="68">
        <f>VLOOKUP(C118,IP!$B$9:$I$117,8,0)</f>
        <v>0</v>
      </c>
      <c r="N118" s="68">
        <f t="shared" si="9"/>
        <v>0</v>
      </c>
      <c r="O118" s="70">
        <f>VLOOKUP(C118,RESUMEN!$C$35:$Z$141,24,0)</f>
        <v>0</v>
      </c>
      <c r="Q118" s="68" t="s">
        <v>651</v>
      </c>
    </row>
    <row r="119" spans="1:17" x14ac:dyDescent="0.2">
      <c r="A119" s="68" t="s">
        <v>596</v>
      </c>
      <c r="B119" s="70" t="s">
        <v>58</v>
      </c>
      <c r="C119" s="68" t="s">
        <v>597</v>
      </c>
      <c r="D119" s="112"/>
      <c r="E119" s="113"/>
      <c r="F119" s="68">
        <v>5593.6000000000013</v>
      </c>
      <c r="G119" s="70"/>
      <c r="H119" s="68">
        <f t="shared" si="10"/>
        <v>0</v>
      </c>
      <c r="I119" s="68">
        <f t="shared" si="8"/>
        <v>5593.6000000000013</v>
      </c>
      <c r="J119" s="68">
        <f>VLOOKUP(C119,IP!$B$9:$D$117,3,0)</f>
        <v>0</v>
      </c>
      <c r="K119" s="113">
        <f>VLOOKUP(C119,RESUMEN!$C$35:$L$137,10,0)</f>
        <v>20000</v>
      </c>
      <c r="L119" s="68">
        <f t="shared" si="11"/>
        <v>0</v>
      </c>
      <c r="M119" s="68">
        <f>VLOOKUP(C119,IP!$B$9:$I$117,8,0)</f>
        <v>0</v>
      </c>
      <c r="N119" s="68">
        <f t="shared" si="9"/>
        <v>0</v>
      </c>
      <c r="O119" s="70">
        <f>VLOOKUP(C119,RESUMEN!$C$35:$Z$141,24,0)</f>
        <v>0</v>
      </c>
      <c r="Q119" s="68" t="s">
        <v>652</v>
      </c>
    </row>
    <row r="120" spans="1:17" x14ac:dyDescent="0.2">
      <c r="A120" s="68" t="s">
        <v>598</v>
      </c>
      <c r="B120" s="70" t="s">
        <v>58</v>
      </c>
      <c r="C120" s="68" t="s">
        <v>599</v>
      </c>
      <c r="D120" s="112"/>
      <c r="E120" s="113"/>
      <c r="F120" s="68">
        <v>52.379999999999654</v>
      </c>
      <c r="G120" s="70">
        <f>346.67+400</f>
        <v>746.67000000000007</v>
      </c>
      <c r="H120" s="68">
        <f t="shared" si="10"/>
        <v>0</v>
      </c>
      <c r="I120" s="68">
        <f t="shared" si="8"/>
        <v>799.04999999999973</v>
      </c>
      <c r="J120" s="68">
        <f>VLOOKUP(C120,IP!$B$9:$D$117,3,0)</f>
        <v>0</v>
      </c>
      <c r="K120" s="113">
        <f>VLOOKUP(C120,RESUMEN!$C$35:$L$137,10,0)</f>
        <v>5000</v>
      </c>
      <c r="L120" s="68">
        <f t="shared" si="11"/>
        <v>0</v>
      </c>
      <c r="M120" s="68">
        <f>VLOOKUP(C120,IP!$B$9:$I$117,8,0)</f>
        <v>0</v>
      </c>
      <c r="N120" s="68">
        <f t="shared" si="9"/>
        <v>0</v>
      </c>
      <c r="O120" s="70">
        <f>VLOOKUP(C120,RESUMEN!$C$35:$Z$141,24,0)</f>
        <v>0</v>
      </c>
      <c r="Q120" s="68" t="s">
        <v>651</v>
      </c>
    </row>
    <row r="121" spans="1:17" x14ac:dyDescent="0.2">
      <c r="A121" s="68" t="s">
        <v>600</v>
      </c>
      <c r="B121" s="70" t="s">
        <v>58</v>
      </c>
      <c r="C121" s="68" t="s">
        <v>601</v>
      </c>
      <c r="D121" s="112"/>
      <c r="E121" s="113"/>
      <c r="F121" s="68">
        <v>0</v>
      </c>
      <c r="G121" s="70"/>
      <c r="H121" s="68">
        <f t="shared" si="10"/>
        <v>0</v>
      </c>
      <c r="I121" s="68">
        <f t="shared" si="8"/>
        <v>0</v>
      </c>
      <c r="J121" s="68">
        <f>VLOOKUP(C121,IP!$B$9:$D$117,3,0)</f>
        <v>0</v>
      </c>
      <c r="K121" s="113">
        <f>VLOOKUP(C121,RESUMEN!$C$35:$L$137,10,0)</f>
        <v>0</v>
      </c>
      <c r="L121" s="68">
        <f t="shared" si="11"/>
        <v>0</v>
      </c>
      <c r="M121" s="68">
        <f>VLOOKUP(C121,IP!$B$9:$I$117,8,0)</f>
        <v>0</v>
      </c>
      <c r="N121" s="68">
        <f t="shared" si="9"/>
        <v>0</v>
      </c>
      <c r="O121" s="70">
        <f>VLOOKUP(C121,RESUMEN!$C$35:$Z$141,24,0)</f>
        <v>0</v>
      </c>
      <c r="Q121" s="68" t="s">
        <v>652</v>
      </c>
    </row>
    <row r="122" spans="1:17" x14ac:dyDescent="0.2">
      <c r="A122" s="68" t="s">
        <v>604</v>
      </c>
      <c r="B122" s="70" t="s">
        <v>58</v>
      </c>
      <c r="C122" s="68" t="s">
        <v>605</v>
      </c>
      <c r="D122" s="112"/>
      <c r="E122" s="113"/>
      <c r="F122" s="68">
        <v>135.27000000000001</v>
      </c>
      <c r="G122" s="70">
        <v>450</v>
      </c>
      <c r="H122" s="68">
        <f t="shared" si="10"/>
        <v>0</v>
      </c>
      <c r="I122" s="68">
        <f t="shared" si="8"/>
        <v>585.27</v>
      </c>
      <c r="J122" s="68">
        <f>VLOOKUP(C122,IP!$B$9:$D$117,3,0)</f>
        <v>0</v>
      </c>
      <c r="K122" s="113">
        <f>VLOOKUP(C122,RESUMEN!$C$35:$L$137,10,0)</f>
        <v>6000</v>
      </c>
      <c r="L122" s="68">
        <f t="shared" si="11"/>
        <v>0</v>
      </c>
      <c r="M122" s="68">
        <f>VLOOKUP(C122,IP!$B$9:$I$117,8,0)</f>
        <v>0</v>
      </c>
      <c r="N122" s="68">
        <f t="shared" si="9"/>
        <v>0</v>
      </c>
      <c r="O122" s="70">
        <f>VLOOKUP(C122,RESUMEN!$C$35:$Z$141,24,0)</f>
        <v>0</v>
      </c>
      <c r="Q122" s="68" t="s">
        <v>651</v>
      </c>
    </row>
    <row r="123" spans="1:17" x14ac:dyDescent="0.2">
      <c r="A123" s="68" t="s">
        <v>100</v>
      </c>
      <c r="B123" s="70" t="s">
        <v>58</v>
      </c>
      <c r="C123" s="78" t="s">
        <v>606</v>
      </c>
      <c r="D123" s="112"/>
      <c r="E123" s="113"/>
      <c r="F123" s="68">
        <v>585.19999999999982</v>
      </c>
      <c r="G123" s="70"/>
      <c r="H123" s="68">
        <f t="shared" si="10"/>
        <v>0</v>
      </c>
      <c r="I123" s="68">
        <f t="shared" si="8"/>
        <v>585.19999999999982</v>
      </c>
      <c r="J123" s="68">
        <f>VLOOKUP(C123,IP!$B$9:$D$117,3,0)</f>
        <v>0</v>
      </c>
      <c r="K123" s="113">
        <f>VLOOKUP(C123,RESUMEN!$C$35:$L$137,10,0)</f>
        <v>6900</v>
      </c>
      <c r="L123" s="68">
        <f t="shared" ref="L123:L132" si="12">(((+K123/30)*J123)*30%)</f>
        <v>0</v>
      </c>
      <c r="M123" s="68">
        <f>VLOOKUP(C123,IP!$B$9:$I$117,8,0)</f>
        <v>0</v>
      </c>
      <c r="N123" s="68">
        <f t="shared" si="9"/>
        <v>0</v>
      </c>
      <c r="O123" s="70">
        <f>VLOOKUP(C123,RESUMEN!$C$35:$Z$141,24,0)</f>
        <v>0</v>
      </c>
      <c r="Q123" s="68" t="s">
        <v>651</v>
      </c>
    </row>
    <row r="124" spans="1:17" x14ac:dyDescent="0.2">
      <c r="A124" s="68" t="s">
        <v>608</v>
      </c>
      <c r="B124" s="70" t="s">
        <v>58</v>
      </c>
      <c r="C124" s="68" t="s">
        <v>609</v>
      </c>
      <c r="D124" s="112"/>
      <c r="E124" s="113"/>
      <c r="F124" s="68">
        <f>4245.75+2275</f>
        <v>6520.75</v>
      </c>
      <c r="G124" s="70">
        <v>498.75</v>
      </c>
      <c r="H124" s="68">
        <f t="shared" si="10"/>
        <v>0</v>
      </c>
      <c r="I124" s="68">
        <f t="shared" ref="I124:I129" si="13">+F124+G124+H124</f>
        <v>7019.5</v>
      </c>
      <c r="J124" s="68">
        <f>VLOOKUP(C124,IP!$B$9:$D$117,3,0)</f>
        <v>0</v>
      </c>
      <c r="K124" s="113">
        <f>VLOOKUP(C124,RESUMEN!$C$35:$L$137,10,0)</f>
        <v>19950</v>
      </c>
      <c r="L124" s="68">
        <f t="shared" si="12"/>
        <v>0</v>
      </c>
      <c r="M124" s="68">
        <f>VLOOKUP(C124,IP!$B$9:$I$117,8,0)</f>
        <v>0</v>
      </c>
      <c r="N124" s="68">
        <f t="shared" si="9"/>
        <v>0</v>
      </c>
      <c r="O124" s="70">
        <f>VLOOKUP(C124,RESUMEN!$C$35:$Z$141,24,0)</f>
        <v>0</v>
      </c>
      <c r="Q124" s="68" t="s">
        <v>651</v>
      </c>
    </row>
    <row r="125" spans="1:17" x14ac:dyDescent="0.2">
      <c r="A125" s="63" t="s">
        <v>610</v>
      </c>
      <c r="B125" s="70" t="s">
        <v>58</v>
      </c>
      <c r="C125" s="60" t="s">
        <v>611</v>
      </c>
      <c r="D125" s="114"/>
      <c r="E125" s="115"/>
      <c r="F125" s="70">
        <f>221.4+2500</f>
        <v>2721.4</v>
      </c>
      <c r="G125" s="116">
        <v>2307.5</v>
      </c>
      <c r="H125" s="68">
        <f t="shared" si="10"/>
        <v>0</v>
      </c>
      <c r="I125" s="68">
        <f t="shared" si="13"/>
        <v>5028.8999999999996</v>
      </c>
      <c r="J125" s="68">
        <f>VLOOKUP(C125,IP!$B$9:$D$117,3,0)</f>
        <v>0</v>
      </c>
      <c r="K125" s="113">
        <f>VLOOKUP(C125,RESUMEN!$C$35:$L$137,10,0)</f>
        <v>12000</v>
      </c>
      <c r="L125" s="68">
        <f t="shared" si="12"/>
        <v>0</v>
      </c>
      <c r="M125" s="68">
        <f>VLOOKUP(C125,IP!$B$9:$I$117,8,0)</f>
        <v>0</v>
      </c>
      <c r="N125" s="68">
        <f t="shared" si="9"/>
        <v>0</v>
      </c>
      <c r="O125" s="70">
        <f>VLOOKUP(C125,RESUMEN!$C$35:$Z$141,24,0)</f>
        <v>0</v>
      </c>
      <c r="Q125" s="68" t="s">
        <v>652</v>
      </c>
    </row>
    <row r="126" spans="1:17" x14ac:dyDescent="0.2">
      <c r="A126" s="63" t="s">
        <v>612</v>
      </c>
      <c r="B126" s="70" t="s">
        <v>58</v>
      </c>
      <c r="C126" s="60" t="s">
        <v>613</v>
      </c>
      <c r="D126" s="114"/>
      <c r="E126" s="115"/>
      <c r="F126" s="70">
        <v>52.400000000000091</v>
      </c>
      <c r="G126" s="70">
        <f>140+800</f>
        <v>940</v>
      </c>
      <c r="H126" s="68">
        <f t="shared" si="10"/>
        <v>0</v>
      </c>
      <c r="I126" s="68">
        <f t="shared" si="13"/>
        <v>992.40000000000009</v>
      </c>
      <c r="J126" s="68">
        <f>VLOOKUP(C126,IP!$B$9:$D$117,3,0)</f>
        <v>0</v>
      </c>
      <c r="K126" s="113">
        <f>VLOOKUP(C126,RESUMEN!$C$35:$L$137,10,0)</f>
        <v>5000</v>
      </c>
      <c r="L126" s="68">
        <f t="shared" si="12"/>
        <v>0</v>
      </c>
      <c r="M126" s="68">
        <f>VLOOKUP(C126,IP!$B$9:$I$117,8,0)</f>
        <v>0</v>
      </c>
      <c r="N126" s="68">
        <f t="shared" si="9"/>
        <v>0</v>
      </c>
      <c r="O126" s="70">
        <f>VLOOKUP(C126,RESUMEN!$C$35:$Z$141,24,0)</f>
        <v>0</v>
      </c>
      <c r="Q126" s="68" t="s">
        <v>651</v>
      </c>
    </row>
    <row r="127" spans="1:17" x14ac:dyDescent="0.2">
      <c r="A127" s="63" t="s">
        <v>618</v>
      </c>
      <c r="B127" s="70" t="s">
        <v>58</v>
      </c>
      <c r="C127" s="63" t="s">
        <v>619</v>
      </c>
      <c r="D127" s="114"/>
      <c r="E127" s="115"/>
      <c r="F127" s="70">
        <v>221.19999999999982</v>
      </c>
      <c r="G127" s="70"/>
      <c r="H127" s="68">
        <f t="shared" si="10"/>
        <v>0</v>
      </c>
      <c r="I127" s="68">
        <f t="shared" si="13"/>
        <v>221.19999999999982</v>
      </c>
      <c r="J127" s="68">
        <f>VLOOKUP(C127,IP!$B$9:$D$117,3,0)</f>
        <v>0</v>
      </c>
      <c r="K127" s="113">
        <f>VLOOKUP(C127,RESUMEN!$C$35:$L$137,10,0)</f>
        <v>7000</v>
      </c>
      <c r="L127" s="68">
        <f t="shared" si="12"/>
        <v>0</v>
      </c>
      <c r="M127" s="68">
        <f>VLOOKUP(C127,IP!$B$9:$I$117,8,0)</f>
        <v>0</v>
      </c>
      <c r="N127" s="68">
        <f t="shared" si="9"/>
        <v>0</v>
      </c>
      <c r="O127" s="70">
        <f>VLOOKUP(C127,RESUMEN!$C$35:$Z$141,24,0)</f>
        <v>0</v>
      </c>
      <c r="Q127" s="68" t="s">
        <v>651</v>
      </c>
    </row>
    <row r="128" spans="1:17" x14ac:dyDescent="0.2">
      <c r="A128" s="63" t="s">
        <v>620</v>
      </c>
      <c r="B128" s="70" t="s">
        <v>58</v>
      </c>
      <c r="C128" s="63" t="s">
        <v>621</v>
      </c>
      <c r="D128" s="114"/>
      <c r="E128" s="115"/>
      <c r="F128" s="70">
        <v>216</v>
      </c>
      <c r="G128" s="70"/>
      <c r="H128" s="68">
        <f t="shared" si="10"/>
        <v>0</v>
      </c>
      <c r="I128" s="68">
        <f t="shared" si="13"/>
        <v>216</v>
      </c>
      <c r="J128" s="68">
        <f>VLOOKUP(C128,IP!$B$9:$D$117,3,0)</f>
        <v>0</v>
      </c>
      <c r="K128" s="113">
        <f>VLOOKUP(C128,RESUMEN!$C$35:$L$137,10,0)</f>
        <v>6900</v>
      </c>
      <c r="L128" s="68">
        <f t="shared" si="12"/>
        <v>0</v>
      </c>
      <c r="M128" s="68">
        <f>VLOOKUP(C128,IP!$B$9:$I$117,8,0)</f>
        <v>0</v>
      </c>
      <c r="N128" s="68">
        <f t="shared" si="9"/>
        <v>0</v>
      </c>
      <c r="O128" s="70">
        <f>VLOOKUP(C128,RESUMEN!$C$35:$Z$141,24,0)</f>
        <v>0</v>
      </c>
      <c r="Q128" s="68" t="s">
        <v>651</v>
      </c>
    </row>
    <row r="129" spans="1:17" x14ac:dyDescent="0.2">
      <c r="A129" s="63" t="s">
        <v>622</v>
      </c>
      <c r="B129" s="70" t="s">
        <v>58</v>
      </c>
      <c r="C129" s="63" t="s">
        <v>623</v>
      </c>
      <c r="D129" s="114"/>
      <c r="E129" s="115"/>
      <c r="F129" s="70">
        <v>222.57999999999993</v>
      </c>
      <c r="G129" s="70">
        <v>1280</v>
      </c>
      <c r="H129" s="68">
        <f t="shared" si="10"/>
        <v>0</v>
      </c>
      <c r="I129" s="68">
        <f t="shared" si="13"/>
        <v>1502.58</v>
      </c>
      <c r="J129" s="68">
        <f>VLOOKUP(C129,IP!$B$9:$D$117,3,0)</f>
        <v>0</v>
      </c>
      <c r="K129" s="113">
        <f>VLOOKUP(C129,RESUMEN!$C$35:$L$137,10,0)</f>
        <v>7000</v>
      </c>
      <c r="L129" s="68">
        <f t="shared" si="12"/>
        <v>0</v>
      </c>
      <c r="M129" s="68">
        <f>VLOOKUP(C129,IP!$B$9:$I$117,8,0)</f>
        <v>0</v>
      </c>
      <c r="N129" s="68">
        <f t="shared" si="9"/>
        <v>0</v>
      </c>
      <c r="O129" s="70">
        <f>VLOOKUP(C129,RESUMEN!$C$35:$Z$141,24,0)</f>
        <v>0</v>
      </c>
      <c r="Q129" s="68" t="s">
        <v>651</v>
      </c>
    </row>
    <row r="130" spans="1:17" x14ac:dyDescent="0.2">
      <c r="A130" s="63" t="s">
        <v>624</v>
      </c>
      <c r="B130" s="70" t="s">
        <v>58</v>
      </c>
      <c r="C130" s="63" t="s">
        <v>625</v>
      </c>
      <c r="D130" s="114"/>
      <c r="E130" s="115"/>
      <c r="F130" s="70">
        <v>175.59999999999991</v>
      </c>
      <c r="G130" s="70">
        <v>618.75</v>
      </c>
      <c r="H130" s="68">
        <f t="shared" si="10"/>
        <v>0</v>
      </c>
      <c r="I130" s="68">
        <f t="shared" ref="I130:I140" si="14">+F130+G130+H130</f>
        <v>794.34999999999991</v>
      </c>
      <c r="J130" s="68">
        <f>VLOOKUP(C130,IP!$B$9:$D$117,3,0)</f>
        <v>0</v>
      </c>
      <c r="K130" s="113">
        <f>VLOOKUP(C130,RESUMEN!$C$35:$L$137,10,0)</f>
        <v>6300</v>
      </c>
      <c r="L130" s="68">
        <f t="shared" si="12"/>
        <v>0</v>
      </c>
      <c r="M130" s="68">
        <f>VLOOKUP(C130,IP!$B$9:$I$117,8,0)</f>
        <v>0</v>
      </c>
      <c r="N130" s="68">
        <f t="shared" si="9"/>
        <v>0</v>
      </c>
      <c r="O130" s="70">
        <f>VLOOKUP(C130,RESUMEN!$C$35:$Z$141,24,0)</f>
        <v>0</v>
      </c>
      <c r="Q130" s="68" t="s">
        <v>651</v>
      </c>
    </row>
    <row r="131" spans="1:17" x14ac:dyDescent="0.2">
      <c r="A131" s="63" t="s">
        <v>626</v>
      </c>
      <c r="B131" s="70" t="s">
        <v>58</v>
      </c>
      <c r="C131" s="63" t="s">
        <v>627</v>
      </c>
      <c r="D131" s="114"/>
      <c r="E131" s="115"/>
      <c r="F131" s="70">
        <v>175.57000000000016</v>
      </c>
      <c r="G131" s="70"/>
      <c r="H131" s="68">
        <f t="shared" si="10"/>
        <v>0</v>
      </c>
      <c r="I131" s="68">
        <f t="shared" si="14"/>
        <v>175.57000000000016</v>
      </c>
      <c r="J131" s="68">
        <f>VLOOKUP(C131,IP!$B$9:$D$117,3,0)</f>
        <v>0</v>
      </c>
      <c r="K131" s="113">
        <f>VLOOKUP(C131,RESUMEN!$C$35:$L$137,10,0)</f>
        <v>6300</v>
      </c>
      <c r="L131" s="68">
        <f t="shared" si="12"/>
        <v>0</v>
      </c>
      <c r="M131" s="68">
        <f>VLOOKUP(C131,IP!$B$9:$I$117,8,0)</f>
        <v>0</v>
      </c>
      <c r="N131" s="68">
        <f t="shared" si="9"/>
        <v>0</v>
      </c>
      <c r="O131" s="70">
        <f>VLOOKUP(C131,RESUMEN!$C$35:$Z$141,24,0)</f>
        <v>0</v>
      </c>
      <c r="Q131" s="68" t="s">
        <v>651</v>
      </c>
    </row>
    <row r="132" spans="1:17" x14ac:dyDescent="0.2">
      <c r="A132" s="63" t="s">
        <v>628</v>
      </c>
      <c r="B132" s="70" t="s">
        <v>58</v>
      </c>
      <c r="C132" s="63" t="s">
        <v>629</v>
      </c>
      <c r="D132" s="114"/>
      <c r="E132" s="115"/>
      <c r="F132" s="70">
        <v>175.61000000000013</v>
      </c>
      <c r="G132" s="70">
        <v>468.75</v>
      </c>
      <c r="H132" s="68">
        <f t="shared" si="10"/>
        <v>0</v>
      </c>
      <c r="I132" s="68">
        <f t="shared" si="14"/>
        <v>644.36000000000013</v>
      </c>
      <c r="J132" s="68">
        <f>VLOOKUP(C132,IP!$B$9:$D$117,3,0)</f>
        <v>0</v>
      </c>
      <c r="K132" s="113">
        <f>VLOOKUP(C132,RESUMEN!$C$35:$L$137,10,0)</f>
        <v>6300</v>
      </c>
      <c r="L132" s="68">
        <f t="shared" si="12"/>
        <v>0</v>
      </c>
      <c r="M132" s="68">
        <f>VLOOKUP(C132,IP!$B$9:$I$117,8,0)</f>
        <v>0</v>
      </c>
      <c r="N132" s="68">
        <f t="shared" si="9"/>
        <v>0</v>
      </c>
      <c r="O132" s="70">
        <f>VLOOKUP(C132,RESUMEN!$C$35:$Z$141,24,0)</f>
        <v>0</v>
      </c>
      <c r="Q132" s="68" t="s">
        <v>651</v>
      </c>
    </row>
    <row r="133" spans="1:17" x14ac:dyDescent="0.2">
      <c r="A133" s="68" t="s">
        <v>630</v>
      </c>
      <c r="B133" s="70" t="s">
        <v>58</v>
      </c>
      <c r="C133" s="68" t="s">
        <v>631</v>
      </c>
      <c r="D133" s="114"/>
      <c r="E133" s="115"/>
      <c r="F133" s="70">
        <v>175.59999999999991</v>
      </c>
      <c r="G133" s="70">
        <v>281.25</v>
      </c>
      <c r="H133" s="68">
        <f t="shared" si="10"/>
        <v>0</v>
      </c>
      <c r="I133" s="68">
        <f t="shared" si="14"/>
        <v>456.84999999999991</v>
      </c>
      <c r="J133" s="68">
        <f>VLOOKUP(C133,IP!$B$9:$D$117,3,0)</f>
        <v>0</v>
      </c>
      <c r="K133" s="113">
        <f>VLOOKUP(C133,RESUMEN!$C$35:$L$137,10,0)</f>
        <v>6300</v>
      </c>
      <c r="L133" s="68">
        <f>(((+K133/30)*J133)*30%)</f>
        <v>0</v>
      </c>
      <c r="M133" s="68">
        <f>VLOOKUP(C133,IP!$B$9:$I$117,8,0)</f>
        <v>0</v>
      </c>
      <c r="N133" s="68">
        <f>+L133-M133</f>
        <v>0</v>
      </c>
      <c r="O133" s="70">
        <f>VLOOKUP(C133,RESUMEN!$C$35:$Z$141,24,0)</f>
        <v>0</v>
      </c>
      <c r="Q133" s="68" t="s">
        <v>651</v>
      </c>
    </row>
    <row r="134" spans="1:17" x14ac:dyDescent="0.2">
      <c r="A134" s="68" t="s">
        <v>632</v>
      </c>
      <c r="B134" s="70" t="s">
        <v>58</v>
      </c>
      <c r="C134" s="68" t="s">
        <v>633</v>
      </c>
      <c r="D134" s="114"/>
      <c r="E134" s="115"/>
      <c r="F134" s="70">
        <v>175.52000000000044</v>
      </c>
      <c r="G134" s="70"/>
      <c r="H134" s="68">
        <f t="shared" si="10"/>
        <v>0</v>
      </c>
      <c r="I134" s="68">
        <f t="shared" si="14"/>
        <v>175.52000000000044</v>
      </c>
      <c r="J134" s="68">
        <f>VLOOKUP(C134,IP!$B$9:$D$117,3,0)</f>
        <v>0</v>
      </c>
      <c r="K134" s="113">
        <f>VLOOKUP(C134,RESUMEN!$C$35:$L$137,10,0)</f>
        <v>6300</v>
      </c>
      <c r="L134" s="68">
        <f>(((+K134/30)*J134)*30%)</f>
        <v>0</v>
      </c>
      <c r="M134" s="68">
        <f>VLOOKUP(C134,IP!$B$9:$I$117,8,0)</f>
        <v>0</v>
      </c>
      <c r="N134" s="68">
        <f>+L134-M134</f>
        <v>0</v>
      </c>
      <c r="O134" s="70">
        <f>VLOOKUP(C134,RESUMEN!$C$35:$Z$141,24,0)</f>
        <v>0</v>
      </c>
      <c r="Q134" s="68" t="s">
        <v>651</v>
      </c>
    </row>
    <row r="135" spans="1:17" x14ac:dyDescent="0.2">
      <c r="A135" s="68" t="s">
        <v>636</v>
      </c>
      <c r="B135" s="70" t="s">
        <v>58</v>
      </c>
      <c r="C135" s="68" t="s">
        <v>637</v>
      </c>
      <c r="D135" s="114"/>
      <c r="E135" s="115"/>
      <c r="F135" s="70">
        <v>134.15999999999985</v>
      </c>
      <c r="G135" s="70"/>
      <c r="H135" s="68">
        <f t="shared" si="10"/>
        <v>0</v>
      </c>
      <c r="I135" s="68">
        <f t="shared" si="14"/>
        <v>134.15999999999985</v>
      </c>
      <c r="J135" s="68">
        <f>VLOOKUP(C135,IP!$B$9:$D$117,3,0)</f>
        <v>0</v>
      </c>
      <c r="K135" s="113">
        <f>VLOOKUP(C135,RESUMEN!$C$35:$L$137,10,0)</f>
        <v>6000</v>
      </c>
      <c r="M135" s="68">
        <f>VLOOKUP(C135,IP!$B$9:$I$117,8,0)</f>
        <v>0</v>
      </c>
      <c r="O135" s="70">
        <f>VLOOKUP(C135,RESUMEN!$C$35:$Z$141,24,0)</f>
        <v>0</v>
      </c>
      <c r="Q135" s="68" t="s">
        <v>651</v>
      </c>
    </row>
    <row r="136" spans="1:17" x14ac:dyDescent="0.2">
      <c r="A136" s="68" t="s">
        <v>638</v>
      </c>
      <c r="B136" s="70" t="s">
        <v>58</v>
      </c>
      <c r="C136" s="68" t="s">
        <v>639</v>
      </c>
      <c r="D136" s="114"/>
      <c r="E136" s="115"/>
      <c r="F136" s="68">
        <v>134.19999999999999</v>
      </c>
      <c r="G136" s="70"/>
      <c r="H136" s="68">
        <f t="shared" si="10"/>
        <v>0</v>
      </c>
      <c r="I136" s="68">
        <f t="shared" si="14"/>
        <v>134.19999999999999</v>
      </c>
      <c r="J136" s="68">
        <f>VLOOKUP(C136,IP!$B$9:$D$117,3,0)</f>
        <v>0</v>
      </c>
      <c r="K136" s="113">
        <f>VLOOKUP(C136,RESUMEN!$C$35:$L$137,10,0)</f>
        <v>6000</v>
      </c>
      <c r="M136" s="68">
        <f>VLOOKUP(C136,IP!$B$9:$I$117,8,0)</f>
        <v>0</v>
      </c>
      <c r="O136" s="70">
        <f>VLOOKUP(C136,RESUMEN!$C$35:$Z$141,24,0)</f>
        <v>0</v>
      </c>
      <c r="Q136" s="68" t="s">
        <v>651</v>
      </c>
    </row>
    <row r="137" spans="1:17" x14ac:dyDescent="0.2">
      <c r="A137" s="68" t="s">
        <v>640</v>
      </c>
      <c r="B137" s="70" t="s">
        <v>58</v>
      </c>
      <c r="C137" s="68" t="s">
        <v>641</v>
      </c>
      <c r="D137" s="114"/>
      <c r="E137" s="115"/>
      <c r="F137" s="68">
        <v>134.19999999999982</v>
      </c>
      <c r="G137" s="70">
        <v>1000</v>
      </c>
      <c r="H137" s="68">
        <f t="shared" si="10"/>
        <v>0</v>
      </c>
      <c r="I137" s="68">
        <f t="shared" si="14"/>
        <v>1134.1999999999998</v>
      </c>
      <c r="J137" s="68">
        <f>VLOOKUP(C137,IP!$B$9:$D$117,3,0)</f>
        <v>0</v>
      </c>
      <c r="K137" s="113">
        <f>VLOOKUP(C137,RESUMEN!$C$35:$L$137,10,0)</f>
        <v>6000</v>
      </c>
      <c r="M137" s="68">
        <f>VLOOKUP(C137,IP!$B$9:$I$117,8,0)</f>
        <v>0</v>
      </c>
      <c r="O137" s="70">
        <f>VLOOKUP(C137,RESUMEN!$C$35:$Z$141,24,0)</f>
        <v>0</v>
      </c>
      <c r="Q137" s="68" t="s">
        <v>651</v>
      </c>
    </row>
    <row r="138" spans="1:17" x14ac:dyDescent="0.2">
      <c r="A138" s="68" t="s">
        <v>642</v>
      </c>
      <c r="B138" s="70" t="s">
        <v>58</v>
      </c>
      <c r="C138" s="68" t="s">
        <v>643</v>
      </c>
      <c r="D138" s="114"/>
      <c r="E138" s="115"/>
      <c r="F138" s="68">
        <v>134.19999999999965</v>
      </c>
      <c r="G138" s="70">
        <v>292.5</v>
      </c>
      <c r="H138" s="68">
        <f t="shared" si="10"/>
        <v>0</v>
      </c>
      <c r="I138" s="68">
        <f t="shared" si="14"/>
        <v>426.69999999999965</v>
      </c>
      <c r="J138" s="68">
        <f>VLOOKUP(C138,IP!$B$9:$D$117,3,0)</f>
        <v>0</v>
      </c>
      <c r="K138" s="113">
        <f>VLOOKUP(C138,RESUMEN!$C$35:$L$137,10,0)</f>
        <v>6000</v>
      </c>
      <c r="M138" s="68">
        <f>VLOOKUP(C138,IP!$B$9:$I$117,8,0)</f>
        <v>0</v>
      </c>
      <c r="O138" s="70">
        <f>VLOOKUP(C138,RESUMEN!$C$35:$Z$141,24,0)</f>
        <v>0</v>
      </c>
      <c r="Q138" s="68" t="s">
        <v>651</v>
      </c>
    </row>
    <row r="139" spans="1:17" x14ac:dyDescent="0.2">
      <c r="A139" s="68" t="s">
        <v>558</v>
      </c>
      <c r="B139" s="70" t="s">
        <v>58</v>
      </c>
      <c r="C139" s="68" t="s">
        <v>461</v>
      </c>
      <c r="D139" s="114"/>
      <c r="E139" s="115"/>
      <c r="F139" s="68">
        <v>3135.4000000000005</v>
      </c>
      <c r="G139" s="70">
        <f>62.07+840</f>
        <v>902.07</v>
      </c>
      <c r="H139" s="68">
        <f t="shared" si="10"/>
        <v>0</v>
      </c>
      <c r="I139" s="68">
        <f t="shared" si="14"/>
        <v>4037.4700000000007</v>
      </c>
      <c r="J139" s="68">
        <f>VLOOKUP(C139,IP!$B$9:$D$117,3,0)</f>
        <v>0</v>
      </c>
      <c r="K139" s="113">
        <v>12000</v>
      </c>
      <c r="M139" s="68">
        <f>VLOOKUP(C139,IP!$B$9:$I$117,8,0)</f>
        <v>0</v>
      </c>
      <c r="O139" s="70">
        <f>VLOOKUP(C139,RESUMEN!$C$35:$Z$141,24,0)</f>
        <v>0</v>
      </c>
      <c r="Q139" s="68" t="s">
        <v>651</v>
      </c>
    </row>
    <row r="140" spans="1:17" x14ac:dyDescent="0.2">
      <c r="A140" s="68" t="s">
        <v>648</v>
      </c>
      <c r="B140" s="70" t="s">
        <v>58</v>
      </c>
      <c r="C140" s="68" t="s">
        <v>649</v>
      </c>
      <c r="D140" s="114"/>
      <c r="E140" s="115"/>
      <c r="F140" s="68">
        <v>3135.3100000000004</v>
      </c>
      <c r="G140" s="70">
        <v>892.38599999999997</v>
      </c>
      <c r="H140" s="68">
        <f t="shared" si="10"/>
        <v>0</v>
      </c>
      <c r="I140" s="68">
        <f t="shared" si="14"/>
        <v>4027.6960000000004</v>
      </c>
      <c r="J140" s="68">
        <f>VLOOKUP(C140,IP!$B$9:$D$117,3,0)</f>
        <v>0</v>
      </c>
      <c r="K140" s="113">
        <v>12000</v>
      </c>
      <c r="M140" s="68">
        <f>VLOOKUP(C140,IP!$B$9:$I$117,8,0)</f>
        <v>0</v>
      </c>
      <c r="O140" s="70">
        <f>VLOOKUP(C140,RESUMEN!$C$35:$Z$141,24,0)</f>
        <v>0</v>
      </c>
      <c r="Q140" s="68" t="s">
        <v>651</v>
      </c>
    </row>
    <row r="141" spans="1:17" x14ac:dyDescent="0.2">
      <c r="A141" s="68" t="s">
        <v>656</v>
      </c>
      <c r="B141" s="70" t="s">
        <v>58</v>
      </c>
      <c r="C141" s="68" t="s">
        <v>657</v>
      </c>
      <c r="D141" s="114"/>
      <c r="E141" s="115"/>
      <c r="F141" s="68">
        <v>1704.55</v>
      </c>
      <c r="G141" s="70"/>
      <c r="H141" s="68">
        <f t="shared" si="10"/>
        <v>0</v>
      </c>
      <c r="I141" s="68">
        <f t="shared" ref="I141:I144" si="15">+F141+G141+H141</f>
        <v>1704.55</v>
      </c>
      <c r="J141" s="68">
        <f>VLOOKUP(C141,IP!$B$9:$D$117,3,0)</f>
        <v>0</v>
      </c>
      <c r="K141" s="113">
        <v>7000</v>
      </c>
      <c r="O141" s="70">
        <f>VLOOKUP(C141,RESUMEN!$C$35:$Z$141,24,0)</f>
        <v>0</v>
      </c>
      <c r="Q141" s="68" t="s">
        <v>651</v>
      </c>
    </row>
    <row r="142" spans="1:17" x14ac:dyDescent="0.2">
      <c r="A142" s="68" t="s">
        <v>658</v>
      </c>
      <c r="B142" s="70" t="s">
        <v>58</v>
      </c>
      <c r="C142" s="68" t="s">
        <v>659</v>
      </c>
      <c r="D142" s="114"/>
      <c r="E142" s="115"/>
      <c r="F142" s="68">
        <v>1704.4199999999998</v>
      </c>
      <c r="G142" s="70"/>
      <c r="H142" s="68">
        <f t="shared" si="10"/>
        <v>0</v>
      </c>
      <c r="I142" s="68">
        <f t="shared" si="15"/>
        <v>1704.4199999999998</v>
      </c>
      <c r="J142" s="68">
        <f>VLOOKUP(C142,IP!$B$9:$D$117,3,0)</f>
        <v>0</v>
      </c>
      <c r="K142" s="113">
        <v>7000</v>
      </c>
      <c r="O142" s="70">
        <f>VLOOKUP(C142,RESUMEN!$C$35:$Z$141,24,0)</f>
        <v>0</v>
      </c>
      <c r="Q142" s="68" t="s">
        <v>651</v>
      </c>
    </row>
    <row r="143" spans="1:17" x14ac:dyDescent="0.2">
      <c r="A143" s="68" t="s">
        <v>662</v>
      </c>
      <c r="B143" s="70" t="s">
        <v>58</v>
      </c>
      <c r="C143" s="68" t="s">
        <v>663</v>
      </c>
      <c r="D143" s="114"/>
      <c r="E143" s="115"/>
      <c r="F143" s="68">
        <v>358.2</v>
      </c>
      <c r="G143" s="70"/>
      <c r="H143" s="68">
        <f t="shared" si="10"/>
        <v>0</v>
      </c>
      <c r="I143" s="68">
        <f t="shared" si="15"/>
        <v>358.2</v>
      </c>
      <c r="J143" s="68">
        <f>VLOOKUP(C143,IP!$B$9:$D$117,3,0)</f>
        <v>0</v>
      </c>
      <c r="K143" s="113">
        <v>6300</v>
      </c>
      <c r="O143" s="70">
        <f>+RESUMEN!Z142</f>
        <v>2100</v>
      </c>
      <c r="Q143" s="68" t="s">
        <v>651</v>
      </c>
    </row>
    <row r="144" spans="1:17" x14ac:dyDescent="0.2">
      <c r="A144" s="68" t="s">
        <v>78</v>
      </c>
      <c r="B144" s="70" t="s">
        <v>58</v>
      </c>
      <c r="C144" s="68" t="s">
        <v>664</v>
      </c>
      <c r="D144" s="114"/>
      <c r="E144" s="115"/>
      <c r="F144" s="68">
        <v>134.19999999999982</v>
      </c>
      <c r="G144" s="70">
        <f>340.39+500</f>
        <v>840.39</v>
      </c>
      <c r="H144" s="68">
        <f t="shared" si="10"/>
        <v>0</v>
      </c>
      <c r="I144" s="68">
        <f t="shared" si="15"/>
        <v>974.5899999999998</v>
      </c>
      <c r="K144" s="113">
        <v>6000</v>
      </c>
      <c r="O144" s="70"/>
    </row>
    <row r="145" spans="1:17" ht="14.25" customHeight="1" x14ac:dyDescent="0.2">
      <c r="A145" s="108"/>
      <c r="B145" s="70"/>
      <c r="C145" s="106" t="s">
        <v>46</v>
      </c>
      <c r="D145" s="106"/>
      <c r="E145" s="106">
        <f>SUM(E7:E113)</f>
        <v>0</v>
      </c>
      <c r="F145" s="106">
        <f>SUM(F7:F144)</f>
        <v>234059.43</v>
      </c>
      <c r="G145" s="106">
        <f>SUM(G7:G144)</f>
        <v>110733.606</v>
      </c>
      <c r="H145" s="106">
        <f t="shared" ref="H145:N145" si="16">SUM(H7:H144)</f>
        <v>1154.5710999999999</v>
      </c>
      <c r="I145" s="106">
        <f t="shared" si="16"/>
        <v>345947.60709999991</v>
      </c>
      <c r="J145" s="106">
        <f t="shared" si="16"/>
        <v>50</v>
      </c>
      <c r="K145" s="106">
        <f t="shared" si="16"/>
        <v>1479026.02</v>
      </c>
      <c r="L145" s="106">
        <f t="shared" si="16"/>
        <v>4716.0010999999995</v>
      </c>
      <c r="M145" s="106">
        <f t="shared" si="16"/>
        <v>3646.42</v>
      </c>
      <c r="N145" s="106">
        <f t="shared" si="16"/>
        <v>1069.5810999999999</v>
      </c>
      <c r="O145" s="106">
        <f>SUM(O7:O143)</f>
        <v>1547.4600000000009</v>
      </c>
      <c r="P145" s="106"/>
      <c r="Q145" s="106">
        <f>SUM(Q7:Q138)</f>
        <v>0</v>
      </c>
    </row>
    <row r="146" spans="1:17" x14ac:dyDescent="0.2">
      <c r="A146" s="108"/>
      <c r="B146" s="70"/>
      <c r="C146" s="108"/>
      <c r="D146" s="108"/>
      <c r="E146" s="108"/>
      <c r="G146" s="108"/>
    </row>
    <row r="147" spans="1:17" x14ac:dyDescent="0.2">
      <c r="B147" s="108"/>
      <c r="F147" s="106"/>
      <c r="H147" s="121"/>
      <c r="I147" s="122">
        <f>+I145</f>
        <v>345947.60709999991</v>
      </c>
    </row>
    <row r="148" spans="1:17" x14ac:dyDescent="0.2">
      <c r="A148" s="108"/>
      <c r="B148" s="108"/>
      <c r="C148" s="108"/>
      <c r="D148" s="108"/>
      <c r="E148" s="108"/>
      <c r="H148" s="121" t="s">
        <v>571</v>
      </c>
      <c r="I148" s="122">
        <v>0</v>
      </c>
    </row>
    <row r="149" spans="1:17" x14ac:dyDescent="0.2">
      <c r="A149" s="108"/>
      <c r="C149" s="108"/>
      <c r="D149" s="108"/>
      <c r="E149" s="108"/>
      <c r="H149" s="121"/>
      <c r="I149" s="121">
        <f>+I147+I148</f>
        <v>345947.60709999991</v>
      </c>
    </row>
    <row r="150" spans="1:17" x14ac:dyDescent="0.2">
      <c r="A150" s="108"/>
      <c r="B150" s="108"/>
      <c r="C150" s="108"/>
      <c r="D150" s="108"/>
      <c r="E150" s="108"/>
      <c r="H150" s="121"/>
      <c r="I150" s="121">
        <f>+I149*2%</f>
        <v>6918.9521419999983</v>
      </c>
    </row>
    <row r="151" spans="1:17" x14ac:dyDescent="0.2">
      <c r="A151" s="108"/>
      <c r="B151" s="108"/>
      <c r="C151" s="108"/>
      <c r="D151" s="108"/>
      <c r="E151" s="108"/>
      <c r="F151" s="68">
        <v>0</v>
      </c>
      <c r="H151" s="121"/>
      <c r="I151" s="121">
        <f>+I149+I150</f>
        <v>352866.55924199993</v>
      </c>
    </row>
    <row r="152" spans="1:17" x14ac:dyDescent="0.2">
      <c r="B152" s="108"/>
      <c r="H152" s="121"/>
      <c r="I152" s="122"/>
    </row>
    <row r="153" spans="1:17" x14ac:dyDescent="0.2">
      <c r="B153" s="108"/>
      <c r="H153" s="121"/>
      <c r="I153" s="122"/>
    </row>
    <row r="154" spans="1:17" x14ac:dyDescent="0.2">
      <c r="H154" s="121"/>
      <c r="I154" s="121">
        <f>+I151</f>
        <v>352866.55924199993</v>
      </c>
    </row>
    <row r="155" spans="1:17" x14ac:dyDescent="0.2">
      <c r="H155" s="121"/>
      <c r="I155" s="122">
        <f>+I154*16%</f>
        <v>56458.649478719992</v>
      </c>
    </row>
    <row r="156" spans="1:17" x14ac:dyDescent="0.2">
      <c r="H156" s="121"/>
      <c r="I156" s="121">
        <f>+I154+I155</f>
        <v>409325.20872071991</v>
      </c>
    </row>
  </sheetData>
  <autoFilter ref="A6:N145"/>
  <sortState ref="A7:J86">
    <sortCondition ref="D7:D86"/>
  </sortState>
  <mergeCells count="2">
    <mergeCell ref="C2:F2"/>
    <mergeCell ref="C3:F3"/>
  </mergeCells>
  <pageMargins left="0.7" right="0.7" top="0.75" bottom="0.75" header="0.3" footer="0.3"/>
  <pageSetup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2:L169"/>
  <sheetViews>
    <sheetView showGridLines="0" tabSelected="1" zoomScale="80" zoomScaleNormal="80" workbookViewId="0">
      <pane xSplit="4" ySplit="6" topLeftCell="F7" activePane="bottomRight" state="frozen"/>
      <selection pane="topRight" activeCell="D1" sqref="D1"/>
      <selection pane="bottomLeft" activeCell="A7" sqref="A7"/>
      <selection pane="bottomRight" activeCell="D156" sqref="D156"/>
    </sheetView>
  </sheetViews>
  <sheetFormatPr baseColWidth="10" defaultColWidth="11.42578125" defaultRowHeight="12.75" outlineLevelRow="2" x14ac:dyDescent="0.2"/>
  <cols>
    <col min="1" max="1" width="13.28515625" style="68" customWidth="1"/>
    <col min="2" max="2" width="10.85546875" style="68" bestFit="1" customWidth="1"/>
    <col min="3" max="3" width="28" style="68" bestFit="1" customWidth="1"/>
    <col min="4" max="4" width="45.140625" style="68" customWidth="1"/>
    <col min="5" max="5" width="19.85546875" style="68" bestFit="1" customWidth="1"/>
    <col min="6" max="6" width="19.85546875" style="68" customWidth="1"/>
    <col min="7" max="7" width="19.85546875" style="68" bestFit="1" customWidth="1"/>
    <col min="8" max="8" width="17.140625" style="68" customWidth="1"/>
    <col min="9" max="10" width="17.140625" style="75" customWidth="1"/>
    <col min="11" max="16384" width="11.42578125" style="68"/>
  </cols>
  <sheetData>
    <row r="2" spans="2:10" x14ac:dyDescent="0.2">
      <c r="B2" s="106"/>
      <c r="C2" s="106"/>
      <c r="D2" s="174"/>
      <c r="E2" s="175"/>
      <c r="F2" s="151"/>
    </row>
    <row r="3" spans="2:10" x14ac:dyDescent="0.2">
      <c r="B3" s="108"/>
      <c r="C3" s="108"/>
      <c r="D3" s="176"/>
      <c r="E3" s="170"/>
      <c r="F3" s="150"/>
    </row>
    <row r="4" spans="2:10" x14ac:dyDescent="0.2">
      <c r="B4" s="108"/>
      <c r="C4" s="108"/>
      <c r="D4" s="106" t="s">
        <v>1</v>
      </c>
      <c r="E4" s="108"/>
      <c r="F4" s="108"/>
    </row>
    <row r="5" spans="2:10" x14ac:dyDescent="0.2">
      <c r="B5" s="68">
        <v>1</v>
      </c>
      <c r="C5" s="68">
        <v>2</v>
      </c>
      <c r="D5" s="68">
        <v>3</v>
      </c>
      <c r="E5" s="68">
        <v>4</v>
      </c>
      <c r="F5" s="68">
        <v>5</v>
      </c>
      <c r="G5" s="68">
        <v>6</v>
      </c>
    </row>
    <row r="6" spans="2:10" ht="25.5" customHeight="1" thickBot="1" x14ac:dyDescent="0.25">
      <c r="B6" s="110" t="s">
        <v>661</v>
      </c>
      <c r="C6" s="110" t="s">
        <v>119</v>
      </c>
      <c r="D6" s="110" t="s">
        <v>4</v>
      </c>
      <c r="E6" s="110" t="s">
        <v>128</v>
      </c>
      <c r="F6" s="110" t="s">
        <v>419</v>
      </c>
      <c r="G6" s="110" t="s">
        <v>511</v>
      </c>
      <c r="H6" s="154" t="s">
        <v>56</v>
      </c>
      <c r="I6" s="154" t="s">
        <v>653</v>
      </c>
      <c r="J6" s="155"/>
    </row>
    <row r="7" spans="2:10" ht="13.5" hidden="1" outlineLevel="2" thickTop="1" x14ac:dyDescent="0.2">
      <c r="B7" s="105" t="s">
        <v>18</v>
      </c>
      <c r="C7" s="68" t="s">
        <v>6</v>
      </c>
      <c r="D7" s="68" t="s">
        <v>338</v>
      </c>
      <c r="E7" s="68">
        <v>1557.9099999999999</v>
      </c>
      <c r="F7" s="68">
        <v>432.22</v>
      </c>
      <c r="G7" s="68">
        <v>0</v>
      </c>
      <c r="H7" s="68">
        <v>1990.1299999999999</v>
      </c>
      <c r="I7" s="75" t="s">
        <v>651</v>
      </c>
    </row>
    <row r="8" spans="2:10" hidden="1" outlineLevel="2" x14ac:dyDescent="0.2">
      <c r="B8" s="68" t="s">
        <v>28</v>
      </c>
      <c r="C8" s="68" t="s">
        <v>6</v>
      </c>
      <c r="D8" s="68" t="s">
        <v>343</v>
      </c>
      <c r="E8" s="68">
        <v>2102.869999999999</v>
      </c>
      <c r="F8" s="68">
        <v>200</v>
      </c>
      <c r="G8" s="68">
        <v>234.01</v>
      </c>
      <c r="H8" s="68">
        <v>2536.8799999999992</v>
      </c>
      <c r="I8" s="75" t="s">
        <v>651</v>
      </c>
    </row>
    <row r="9" spans="2:10" hidden="1" outlineLevel="2" x14ac:dyDescent="0.2">
      <c r="B9" s="68" t="s">
        <v>223</v>
      </c>
      <c r="C9" s="68" t="s">
        <v>6</v>
      </c>
      <c r="D9" s="112" t="s">
        <v>334</v>
      </c>
      <c r="E9" s="68">
        <v>23772.600000000002</v>
      </c>
      <c r="F9" s="70"/>
      <c r="G9" s="68">
        <v>0</v>
      </c>
      <c r="H9" s="68">
        <v>23772.600000000002</v>
      </c>
      <c r="I9" s="75" t="s">
        <v>651</v>
      </c>
    </row>
    <row r="10" spans="2:10" hidden="1" outlineLevel="2" x14ac:dyDescent="0.2">
      <c r="B10" s="68" t="s">
        <v>22</v>
      </c>
      <c r="C10" s="68" t="s">
        <v>6</v>
      </c>
      <c r="D10" s="68" t="s">
        <v>340</v>
      </c>
      <c r="E10" s="68">
        <v>1558.1800000000003</v>
      </c>
      <c r="F10" s="70">
        <v>366.93</v>
      </c>
      <c r="G10" s="68">
        <v>0</v>
      </c>
      <c r="H10" s="68">
        <v>1925.1100000000004</v>
      </c>
      <c r="I10" s="75" t="s">
        <v>651</v>
      </c>
    </row>
    <row r="11" spans="2:10" hidden="1" outlineLevel="2" x14ac:dyDescent="0.2">
      <c r="B11" s="68" t="s">
        <v>42</v>
      </c>
      <c r="C11" s="68" t="s">
        <v>6</v>
      </c>
      <c r="D11" s="68" t="s">
        <v>144</v>
      </c>
      <c r="E11" s="68">
        <v>1608.1200000000003</v>
      </c>
      <c r="F11" s="70">
        <v>777.07999999999993</v>
      </c>
      <c r="G11" s="68">
        <v>0</v>
      </c>
      <c r="H11" s="68">
        <v>2385.2000000000003</v>
      </c>
      <c r="I11" s="75" t="s">
        <v>651</v>
      </c>
    </row>
    <row r="12" spans="2:10" hidden="1" outlineLevel="2" x14ac:dyDescent="0.2">
      <c r="B12" s="68" t="s">
        <v>24</v>
      </c>
      <c r="C12" s="68" t="s">
        <v>6</v>
      </c>
      <c r="D12" s="78" t="s">
        <v>341</v>
      </c>
      <c r="E12" s="68">
        <v>1891.0299999999997</v>
      </c>
      <c r="F12" s="70"/>
      <c r="G12" s="68">
        <v>0</v>
      </c>
      <c r="H12" s="68">
        <v>1891.0299999999997</v>
      </c>
      <c r="I12" s="75" t="s">
        <v>651</v>
      </c>
    </row>
    <row r="13" spans="2:10" hidden="1" outlineLevel="2" x14ac:dyDescent="0.2">
      <c r="B13" s="68" t="s">
        <v>40</v>
      </c>
      <c r="C13" s="68" t="s">
        <v>6</v>
      </c>
      <c r="D13" s="68" t="s">
        <v>350</v>
      </c>
      <c r="E13" s="68">
        <v>1557.9999999999995</v>
      </c>
      <c r="F13" s="70">
        <v>393.43</v>
      </c>
      <c r="G13" s="68">
        <v>0</v>
      </c>
      <c r="H13" s="68">
        <v>1951.4299999999996</v>
      </c>
      <c r="I13" s="75" t="s">
        <v>651</v>
      </c>
    </row>
    <row r="14" spans="2:10" hidden="1" outlineLevel="2" x14ac:dyDescent="0.2">
      <c r="B14" s="68" t="s">
        <v>20</v>
      </c>
      <c r="C14" s="68" t="s">
        <v>6</v>
      </c>
      <c r="D14" s="68" t="s">
        <v>339</v>
      </c>
      <c r="E14" s="68">
        <v>2600.3999999999992</v>
      </c>
      <c r="F14" s="70">
        <v>891.47</v>
      </c>
      <c r="G14" s="68">
        <v>68</v>
      </c>
      <c r="H14" s="68">
        <v>3559.869999999999</v>
      </c>
      <c r="I14" s="75" t="s">
        <v>651</v>
      </c>
    </row>
    <row r="15" spans="2:10" hidden="1" outlineLevel="2" x14ac:dyDescent="0.2">
      <c r="B15" s="68" t="s">
        <v>10</v>
      </c>
      <c r="C15" s="68" t="s">
        <v>6</v>
      </c>
      <c r="D15" s="68" t="s">
        <v>331</v>
      </c>
      <c r="E15" s="68">
        <v>1475.6</v>
      </c>
      <c r="F15" s="70">
        <v>304.07</v>
      </c>
      <c r="G15" s="68">
        <v>0</v>
      </c>
      <c r="H15" s="68">
        <v>1779.6699999999998</v>
      </c>
      <c r="I15" s="75" t="s">
        <v>651</v>
      </c>
    </row>
    <row r="16" spans="2:10" s="70" customFormat="1" hidden="1" outlineLevel="2" x14ac:dyDescent="0.2">
      <c r="B16" s="68" t="s">
        <v>32</v>
      </c>
      <c r="C16" s="68" t="s">
        <v>6</v>
      </c>
      <c r="D16" s="68" t="s">
        <v>143</v>
      </c>
      <c r="E16" s="68">
        <v>2600.1999999999998</v>
      </c>
      <c r="F16" s="70">
        <v>371.43</v>
      </c>
      <c r="G16" s="68">
        <v>0</v>
      </c>
      <c r="H16" s="68">
        <v>2971.6299999999997</v>
      </c>
      <c r="I16" s="75" t="s">
        <v>651</v>
      </c>
      <c r="J16" s="75"/>
    </row>
    <row r="17" spans="2:9" hidden="1" outlineLevel="2" x14ac:dyDescent="0.2">
      <c r="B17" s="68" t="s">
        <v>26</v>
      </c>
      <c r="C17" s="68" t="s">
        <v>6</v>
      </c>
      <c r="D17" s="68" t="s">
        <v>342</v>
      </c>
      <c r="E17" s="68">
        <v>2751.0400000000009</v>
      </c>
      <c r="F17" s="70">
        <v>150</v>
      </c>
      <c r="G17" s="68">
        <v>0</v>
      </c>
      <c r="H17" s="68">
        <v>2901.0400000000009</v>
      </c>
      <c r="I17" s="75" t="s">
        <v>651</v>
      </c>
    </row>
    <row r="18" spans="2:9" hidden="1" outlineLevel="2" x14ac:dyDescent="0.2">
      <c r="B18" s="68" t="s">
        <v>224</v>
      </c>
      <c r="C18" s="68" t="s">
        <v>6</v>
      </c>
      <c r="D18" s="68" t="s">
        <v>335</v>
      </c>
      <c r="E18" s="68">
        <v>2464</v>
      </c>
      <c r="F18" s="70"/>
      <c r="G18" s="68">
        <v>0</v>
      </c>
      <c r="H18" s="68">
        <v>2464</v>
      </c>
      <c r="I18" s="75" t="s">
        <v>651</v>
      </c>
    </row>
    <row r="19" spans="2:9" hidden="1" outlineLevel="2" x14ac:dyDescent="0.2">
      <c r="B19" s="68" t="s">
        <v>16</v>
      </c>
      <c r="C19" s="68" t="s">
        <v>6</v>
      </c>
      <c r="D19" s="68" t="s">
        <v>337</v>
      </c>
      <c r="E19" s="68">
        <v>2600.3999999999996</v>
      </c>
      <c r="F19" s="70">
        <v>356.25</v>
      </c>
      <c r="G19" s="68">
        <v>0</v>
      </c>
      <c r="H19" s="68">
        <v>2956.6499999999996</v>
      </c>
      <c r="I19" s="75" t="s">
        <v>651</v>
      </c>
    </row>
    <row r="20" spans="2:9" hidden="1" outlineLevel="2" x14ac:dyDescent="0.2">
      <c r="B20" s="68" t="s">
        <v>36</v>
      </c>
      <c r="C20" s="68" t="s">
        <v>6</v>
      </c>
      <c r="D20" s="68" t="s">
        <v>347</v>
      </c>
      <c r="E20" s="68">
        <v>1483.0600000000004</v>
      </c>
      <c r="F20" s="116">
        <v>103.16</v>
      </c>
      <c r="G20" s="68">
        <v>0</v>
      </c>
      <c r="H20" s="68">
        <v>1586.2200000000005</v>
      </c>
      <c r="I20" s="75" t="s">
        <v>651</v>
      </c>
    </row>
    <row r="21" spans="2:9" hidden="1" outlineLevel="2" x14ac:dyDescent="0.2">
      <c r="B21" s="68" t="s">
        <v>12</v>
      </c>
      <c r="C21" s="68" t="s">
        <v>6</v>
      </c>
      <c r="D21" s="68" t="s">
        <v>332</v>
      </c>
      <c r="E21" s="68">
        <v>1588.2000000000003</v>
      </c>
      <c r="F21" s="70">
        <v>400</v>
      </c>
      <c r="G21" s="68">
        <v>0</v>
      </c>
      <c r="H21" s="68">
        <v>1988.2000000000003</v>
      </c>
      <c r="I21" s="75" t="s">
        <v>651</v>
      </c>
    </row>
    <row r="22" spans="2:9" hidden="1" outlineLevel="2" x14ac:dyDescent="0.2">
      <c r="B22" s="68" t="s">
        <v>238</v>
      </c>
      <c r="C22" s="68" t="s">
        <v>6</v>
      </c>
      <c r="D22" s="68" t="s">
        <v>348</v>
      </c>
      <c r="E22" s="68">
        <v>12613.2</v>
      </c>
      <c r="F22" s="70"/>
      <c r="G22" s="68">
        <v>0</v>
      </c>
      <c r="H22" s="68">
        <v>12613.2</v>
      </c>
      <c r="I22" s="75" t="s">
        <v>651</v>
      </c>
    </row>
    <row r="23" spans="2:9" hidden="1" outlineLevel="2" x14ac:dyDescent="0.2">
      <c r="B23" s="68" t="s">
        <v>239</v>
      </c>
      <c r="C23" s="68" t="s">
        <v>6</v>
      </c>
      <c r="D23" s="68" t="s">
        <v>349</v>
      </c>
      <c r="E23" s="68">
        <v>1891.1999999999994</v>
      </c>
      <c r="F23" s="70"/>
      <c r="G23" s="68">
        <v>0</v>
      </c>
      <c r="H23" s="68">
        <v>1891.1999999999994</v>
      </c>
      <c r="I23" s="75" t="s">
        <v>651</v>
      </c>
    </row>
    <row r="24" spans="2:9" hidden="1" outlineLevel="2" x14ac:dyDescent="0.2">
      <c r="B24" s="68" t="s">
        <v>225</v>
      </c>
      <c r="C24" s="68" t="s">
        <v>6</v>
      </c>
      <c r="D24" s="68" t="s">
        <v>336</v>
      </c>
      <c r="E24" s="68">
        <v>4176.0000000000009</v>
      </c>
      <c r="F24" s="70"/>
      <c r="G24" s="68">
        <v>0</v>
      </c>
      <c r="H24" s="68">
        <v>4176.0000000000009</v>
      </c>
      <c r="I24" s="75" t="s">
        <v>651</v>
      </c>
    </row>
    <row r="25" spans="2:9" hidden="1" outlineLevel="2" x14ac:dyDescent="0.2">
      <c r="B25" s="68" t="s">
        <v>243</v>
      </c>
      <c r="C25" s="68" t="s">
        <v>6</v>
      </c>
      <c r="D25" s="78" t="s">
        <v>386</v>
      </c>
      <c r="E25" s="68">
        <v>16803.400000000001</v>
      </c>
      <c r="F25" s="116"/>
      <c r="G25" s="68">
        <v>0</v>
      </c>
      <c r="H25" s="68">
        <v>16803.400000000001</v>
      </c>
      <c r="I25" s="75" t="s">
        <v>651</v>
      </c>
    </row>
    <row r="26" spans="2:9" hidden="1" outlineLevel="2" x14ac:dyDescent="0.2">
      <c r="B26" s="68" t="s">
        <v>436</v>
      </c>
      <c r="C26" s="68" t="s">
        <v>6</v>
      </c>
      <c r="D26" s="68" t="s">
        <v>617</v>
      </c>
      <c r="E26" s="68">
        <v>2464</v>
      </c>
      <c r="F26" s="70"/>
      <c r="G26" s="68">
        <v>0</v>
      </c>
      <c r="H26" s="68">
        <v>2464</v>
      </c>
      <c r="I26" s="75" t="s">
        <v>651</v>
      </c>
    </row>
    <row r="27" spans="2:9" hidden="1" outlineLevel="2" x14ac:dyDescent="0.2">
      <c r="B27" s="68" t="s">
        <v>634</v>
      </c>
      <c r="C27" s="68" t="s">
        <v>6</v>
      </c>
      <c r="D27" s="68" t="s">
        <v>635</v>
      </c>
      <c r="E27" s="60">
        <v>3090.6000000000008</v>
      </c>
      <c r="F27" s="70">
        <v>616</v>
      </c>
      <c r="G27" s="68">
        <v>0</v>
      </c>
      <c r="H27" s="68">
        <v>3706.6000000000008</v>
      </c>
      <c r="I27" s="75" t="s">
        <v>651</v>
      </c>
    </row>
    <row r="28" spans="2:9" hidden="1" outlineLevel="2" x14ac:dyDescent="0.2">
      <c r="B28" s="68" t="s">
        <v>545</v>
      </c>
      <c r="C28" s="68" t="s">
        <v>58</v>
      </c>
      <c r="D28" s="68" t="s">
        <v>372</v>
      </c>
      <c r="E28" s="68">
        <v>2884.99</v>
      </c>
      <c r="F28" s="70"/>
      <c r="G28" s="68">
        <v>0</v>
      </c>
      <c r="H28" s="68">
        <v>2884.99</v>
      </c>
      <c r="I28" s="75" t="s">
        <v>651</v>
      </c>
    </row>
    <row r="29" spans="2:9" hidden="1" outlineLevel="2" x14ac:dyDescent="0.2">
      <c r="B29" s="68" t="s">
        <v>546</v>
      </c>
      <c r="C29" s="68" t="s">
        <v>58</v>
      </c>
      <c r="D29" s="68" t="s">
        <v>367</v>
      </c>
      <c r="E29" s="68">
        <v>2262.25</v>
      </c>
      <c r="F29" s="70">
        <v>333.34</v>
      </c>
      <c r="G29" s="68">
        <v>0</v>
      </c>
      <c r="H29" s="68">
        <v>2595.59</v>
      </c>
      <c r="I29" s="75" t="s">
        <v>651</v>
      </c>
    </row>
    <row r="30" spans="2:9" hidden="1" outlineLevel="2" x14ac:dyDescent="0.2">
      <c r="B30" s="68" t="s">
        <v>547</v>
      </c>
      <c r="C30" s="68" t="s">
        <v>58</v>
      </c>
      <c r="D30" s="68" t="s">
        <v>409</v>
      </c>
      <c r="E30" s="68">
        <v>2262.1999999999994</v>
      </c>
      <c r="F30" s="70"/>
      <c r="G30" s="68">
        <v>0</v>
      </c>
      <c r="H30" s="68">
        <v>2262.1999999999994</v>
      </c>
      <c r="I30" s="75" t="s">
        <v>651</v>
      </c>
    </row>
    <row r="31" spans="2:9" hidden="1" outlineLevel="2" x14ac:dyDescent="0.2">
      <c r="B31" s="68" t="s">
        <v>548</v>
      </c>
      <c r="C31" s="68" t="s">
        <v>58</v>
      </c>
      <c r="D31" s="68" t="s">
        <v>414</v>
      </c>
      <c r="E31" s="68">
        <v>3721.2</v>
      </c>
      <c r="F31" s="70">
        <v>166.67</v>
      </c>
      <c r="G31" s="68">
        <v>0</v>
      </c>
      <c r="H31" s="68">
        <v>3887.87</v>
      </c>
      <c r="I31" s="75" t="s">
        <v>651</v>
      </c>
    </row>
    <row r="32" spans="2:9" hidden="1" outlineLevel="2" x14ac:dyDescent="0.2">
      <c r="B32" s="68" t="s">
        <v>549</v>
      </c>
      <c r="C32" s="68" t="s">
        <v>58</v>
      </c>
      <c r="D32" s="68" t="s">
        <v>415</v>
      </c>
      <c r="E32" s="68">
        <v>3721.2999999999997</v>
      </c>
      <c r="F32" s="70">
        <v>208.34</v>
      </c>
      <c r="G32" s="68">
        <v>0</v>
      </c>
      <c r="H32" s="68">
        <v>3929.64</v>
      </c>
      <c r="I32" s="75" t="s">
        <v>651</v>
      </c>
    </row>
    <row r="33" spans="2:10" hidden="1" outlineLevel="2" x14ac:dyDescent="0.2">
      <c r="B33" s="68" t="s">
        <v>551</v>
      </c>
      <c r="C33" s="68" t="s">
        <v>58</v>
      </c>
      <c r="D33" s="68" t="s">
        <v>452</v>
      </c>
      <c r="E33" s="68">
        <v>3339.4400000000005</v>
      </c>
      <c r="F33" s="70">
        <v>168.75</v>
      </c>
      <c r="G33" s="68">
        <v>0</v>
      </c>
      <c r="H33" s="68">
        <v>3508.1900000000005</v>
      </c>
      <c r="I33" s="75" t="s">
        <v>651</v>
      </c>
    </row>
    <row r="34" spans="2:10" hidden="1" outlineLevel="2" x14ac:dyDescent="0.2">
      <c r="B34" s="68" t="s">
        <v>552</v>
      </c>
      <c r="C34" s="68" t="s">
        <v>58</v>
      </c>
      <c r="D34" s="68" t="s">
        <v>453</v>
      </c>
      <c r="E34" s="68">
        <v>4339.38</v>
      </c>
      <c r="F34" s="70">
        <v>2195.86</v>
      </c>
      <c r="G34" s="68">
        <v>0</v>
      </c>
      <c r="H34" s="68">
        <v>6535.24</v>
      </c>
      <c r="I34" s="75" t="s">
        <v>651</v>
      </c>
    </row>
    <row r="35" spans="2:10" hidden="1" outlineLevel="2" x14ac:dyDescent="0.2">
      <c r="B35" s="68" t="s">
        <v>553</v>
      </c>
      <c r="C35" s="68" t="s">
        <v>58</v>
      </c>
      <c r="D35" s="68" t="s">
        <v>454</v>
      </c>
      <c r="E35" s="68">
        <v>1917.4</v>
      </c>
      <c r="F35" s="70">
        <v>4859.43</v>
      </c>
      <c r="G35" s="68">
        <v>0</v>
      </c>
      <c r="H35" s="68">
        <v>6776.83</v>
      </c>
      <c r="I35" s="75" t="s">
        <v>651</v>
      </c>
    </row>
    <row r="36" spans="2:10" s="105" customFormat="1" hidden="1" outlineLevel="2" x14ac:dyDescent="0.2">
      <c r="B36" s="68" t="s">
        <v>555</v>
      </c>
      <c r="C36" s="68" t="s">
        <v>58</v>
      </c>
      <c r="D36" s="68" t="s">
        <v>457</v>
      </c>
      <c r="E36" s="68">
        <v>2667.33</v>
      </c>
      <c r="F36" s="70">
        <v>2060.4</v>
      </c>
      <c r="G36" s="68">
        <v>0</v>
      </c>
      <c r="H36" s="68">
        <v>4727.7299999999996</v>
      </c>
      <c r="I36" s="75" t="s">
        <v>651</v>
      </c>
      <c r="J36" s="75"/>
    </row>
    <row r="37" spans="2:10" hidden="1" outlineLevel="2" x14ac:dyDescent="0.2">
      <c r="B37" s="68" t="s">
        <v>556</v>
      </c>
      <c r="C37" s="68" t="s">
        <v>58</v>
      </c>
      <c r="D37" s="68" t="s">
        <v>458</v>
      </c>
      <c r="E37" s="68">
        <v>1667.5699999999997</v>
      </c>
      <c r="F37" s="70">
        <v>503.94</v>
      </c>
      <c r="G37" s="68">
        <v>226.78999999999985</v>
      </c>
      <c r="H37" s="68">
        <v>2398.2999999999997</v>
      </c>
      <c r="I37" s="75" t="s">
        <v>651</v>
      </c>
    </row>
    <row r="38" spans="2:10" hidden="1" outlineLevel="2" x14ac:dyDescent="0.2">
      <c r="B38" s="68" t="s">
        <v>557</v>
      </c>
      <c r="C38" s="68" t="s">
        <v>58</v>
      </c>
      <c r="D38" s="68" t="s">
        <v>460</v>
      </c>
      <c r="E38" s="68">
        <v>2667.3999999999996</v>
      </c>
      <c r="F38" s="70">
        <v>1054.3499999999999</v>
      </c>
      <c r="G38" s="68">
        <v>0</v>
      </c>
      <c r="H38" s="68">
        <v>3721.7499999999995</v>
      </c>
      <c r="I38" s="75" t="s">
        <v>651</v>
      </c>
    </row>
    <row r="39" spans="2:10" hidden="1" outlineLevel="2" x14ac:dyDescent="0.2">
      <c r="B39" s="68" t="s">
        <v>559</v>
      </c>
      <c r="C39" s="68" t="s">
        <v>58</v>
      </c>
      <c r="D39" s="68" t="s">
        <v>462</v>
      </c>
      <c r="E39" s="68">
        <v>1667.4299999999998</v>
      </c>
      <c r="F39" s="70">
        <v>309.43</v>
      </c>
      <c r="G39" s="68">
        <v>0</v>
      </c>
      <c r="H39" s="68">
        <v>1976.86</v>
      </c>
      <c r="I39" s="75" t="s">
        <v>651</v>
      </c>
    </row>
    <row r="40" spans="2:10" hidden="1" outlineLevel="2" x14ac:dyDescent="0.2">
      <c r="B40" s="68" t="s">
        <v>560</v>
      </c>
      <c r="C40" s="68" t="s">
        <v>58</v>
      </c>
      <c r="D40" s="68" t="s">
        <v>463</v>
      </c>
      <c r="E40" s="68">
        <v>2667.4800000000005</v>
      </c>
      <c r="F40" s="70"/>
      <c r="G40" s="68">
        <v>0</v>
      </c>
      <c r="H40" s="68">
        <v>2667.4800000000005</v>
      </c>
      <c r="I40" s="75" t="s">
        <v>651</v>
      </c>
    </row>
    <row r="41" spans="2:10" hidden="1" outlineLevel="2" x14ac:dyDescent="0.2">
      <c r="B41" s="68" t="s">
        <v>561</v>
      </c>
      <c r="C41" s="68" t="s">
        <v>58</v>
      </c>
      <c r="D41" s="68" t="s">
        <v>465</v>
      </c>
      <c r="E41" s="68">
        <v>2552.4</v>
      </c>
      <c r="F41" s="70">
        <v>250</v>
      </c>
      <c r="G41" s="68">
        <v>0</v>
      </c>
      <c r="H41" s="68">
        <v>2802.4</v>
      </c>
      <c r="I41" s="75" t="s">
        <v>651</v>
      </c>
    </row>
    <row r="42" spans="2:10" hidden="1" outlineLevel="2" x14ac:dyDescent="0.2">
      <c r="B42" s="68" t="s">
        <v>562</v>
      </c>
      <c r="C42" s="68" t="s">
        <v>58</v>
      </c>
      <c r="D42" s="68" t="s">
        <v>466</v>
      </c>
      <c r="E42" s="68">
        <v>1694.21</v>
      </c>
      <c r="F42" s="70">
        <v>401.85</v>
      </c>
      <c r="G42" s="68">
        <v>0</v>
      </c>
      <c r="H42" s="68">
        <v>2096.06</v>
      </c>
      <c r="I42" s="75" t="s">
        <v>651</v>
      </c>
    </row>
    <row r="43" spans="2:10" hidden="1" outlineLevel="2" x14ac:dyDescent="0.2">
      <c r="B43" s="68" t="s">
        <v>563</v>
      </c>
      <c r="C43" s="68" t="s">
        <v>58</v>
      </c>
      <c r="D43" s="68" t="s">
        <v>468</v>
      </c>
      <c r="E43" s="68">
        <v>2194.1900000000005</v>
      </c>
      <c r="F43" s="70">
        <v>44.22</v>
      </c>
      <c r="G43" s="68">
        <v>0</v>
      </c>
      <c r="H43" s="68">
        <v>2238.4100000000003</v>
      </c>
      <c r="I43" s="75" t="s">
        <v>651</v>
      </c>
    </row>
    <row r="44" spans="2:10" hidden="1" outlineLevel="2" x14ac:dyDescent="0.2">
      <c r="B44" s="68" t="s">
        <v>566</v>
      </c>
      <c r="C44" s="68" t="s">
        <v>58</v>
      </c>
      <c r="D44" s="68" t="s">
        <v>506</v>
      </c>
      <c r="E44" s="68">
        <v>2553.4</v>
      </c>
      <c r="F44" s="70">
        <v>300</v>
      </c>
      <c r="G44" s="68">
        <v>0</v>
      </c>
      <c r="H44" s="68">
        <v>2853.4</v>
      </c>
      <c r="I44" s="75" t="s">
        <v>651</v>
      </c>
    </row>
    <row r="45" spans="2:10" hidden="1" outlineLevel="2" x14ac:dyDescent="0.2">
      <c r="B45" s="68" t="s">
        <v>102</v>
      </c>
      <c r="C45" s="68" t="s">
        <v>58</v>
      </c>
      <c r="D45" s="68" t="s">
        <v>364</v>
      </c>
      <c r="E45" s="68">
        <v>135.19999999999965</v>
      </c>
      <c r="F45" s="70">
        <v>1000</v>
      </c>
      <c r="G45" s="68">
        <v>0</v>
      </c>
      <c r="H45" s="68">
        <v>1135.1999999999996</v>
      </c>
      <c r="I45" s="75" t="s">
        <v>651</v>
      </c>
    </row>
    <row r="46" spans="2:10" hidden="1" outlineLevel="2" x14ac:dyDescent="0.2">
      <c r="B46" s="68" t="s">
        <v>396</v>
      </c>
      <c r="C46" s="68" t="s">
        <v>58</v>
      </c>
      <c r="D46" s="68" t="s">
        <v>397</v>
      </c>
      <c r="E46" s="68">
        <v>52.470000000000255</v>
      </c>
      <c r="F46" s="70">
        <v>4351.43</v>
      </c>
      <c r="G46" s="68">
        <v>0</v>
      </c>
      <c r="H46" s="68">
        <v>4403.9000000000005</v>
      </c>
      <c r="I46" s="75" t="s">
        <v>651</v>
      </c>
    </row>
    <row r="47" spans="2:10" hidden="1" outlineLevel="2" x14ac:dyDescent="0.2">
      <c r="B47" s="68" t="s">
        <v>242</v>
      </c>
      <c r="C47" s="68" t="s">
        <v>58</v>
      </c>
      <c r="D47" s="68" t="s">
        <v>382</v>
      </c>
      <c r="E47" s="68">
        <v>1416.3299999999995</v>
      </c>
      <c r="F47" s="70">
        <v>211.25</v>
      </c>
      <c r="G47" s="68">
        <v>0</v>
      </c>
      <c r="H47" s="68">
        <v>1627.5799999999995</v>
      </c>
      <c r="I47" s="75" t="s">
        <v>651</v>
      </c>
    </row>
    <row r="48" spans="2:10" hidden="1" outlineLevel="2" x14ac:dyDescent="0.2">
      <c r="B48" s="68" t="s">
        <v>84</v>
      </c>
      <c r="C48" s="68" t="s">
        <v>58</v>
      </c>
      <c r="D48" s="68" t="s">
        <v>359</v>
      </c>
      <c r="E48" s="68">
        <v>496.00000000000045</v>
      </c>
      <c r="F48" s="70">
        <v>438.81</v>
      </c>
      <c r="G48" s="68">
        <v>0</v>
      </c>
      <c r="H48" s="68">
        <v>934.8100000000004</v>
      </c>
      <c r="I48" s="75" t="s">
        <v>651</v>
      </c>
    </row>
    <row r="49" spans="2:10" hidden="1" outlineLevel="2" x14ac:dyDescent="0.2">
      <c r="B49" s="68" t="s">
        <v>86</v>
      </c>
      <c r="C49" s="68" t="s">
        <v>58</v>
      </c>
      <c r="D49" s="68" t="s">
        <v>360</v>
      </c>
      <c r="E49" s="68">
        <v>804.80000000000018</v>
      </c>
      <c r="F49" s="70">
        <v>980</v>
      </c>
      <c r="G49" s="68">
        <v>0</v>
      </c>
      <c r="H49" s="68">
        <v>1784.8000000000002</v>
      </c>
      <c r="I49" s="75" t="s">
        <v>651</v>
      </c>
    </row>
    <row r="50" spans="2:10" hidden="1" outlineLevel="2" x14ac:dyDescent="0.2">
      <c r="B50" s="68" t="s">
        <v>88</v>
      </c>
      <c r="C50" s="68" t="s">
        <v>58</v>
      </c>
      <c r="D50" s="78" t="s">
        <v>592</v>
      </c>
      <c r="E50" s="68">
        <v>414.59999999999991</v>
      </c>
      <c r="F50" s="70">
        <v>1192.5</v>
      </c>
      <c r="G50" s="68">
        <v>0</v>
      </c>
      <c r="H50" s="68">
        <v>1607.1</v>
      </c>
      <c r="I50" s="75" t="s">
        <v>651</v>
      </c>
    </row>
    <row r="51" spans="2:10" hidden="1" outlineLevel="2" x14ac:dyDescent="0.2">
      <c r="B51" s="68" t="s">
        <v>389</v>
      </c>
      <c r="C51" s="68" t="s">
        <v>58</v>
      </c>
      <c r="D51" s="78" t="s">
        <v>591</v>
      </c>
      <c r="E51" s="68">
        <v>414.59999999999991</v>
      </c>
      <c r="F51" s="70">
        <v>196.43</v>
      </c>
      <c r="G51" s="68">
        <v>0</v>
      </c>
      <c r="H51" s="68">
        <v>611.03</v>
      </c>
      <c r="I51" s="75" t="s">
        <v>651</v>
      </c>
    </row>
    <row r="52" spans="2:10" hidden="1" outlineLevel="2" x14ac:dyDescent="0.2">
      <c r="B52" s="68" t="s">
        <v>82</v>
      </c>
      <c r="C52" s="68" t="s">
        <v>58</v>
      </c>
      <c r="D52" s="68" t="s">
        <v>358</v>
      </c>
      <c r="E52" s="68">
        <v>414.64000000000033</v>
      </c>
      <c r="F52" s="70">
        <v>283.33999999999997</v>
      </c>
      <c r="G52" s="68">
        <v>0</v>
      </c>
      <c r="H52" s="68">
        <v>697.98000000000025</v>
      </c>
      <c r="I52" s="75" t="s">
        <v>651</v>
      </c>
    </row>
    <row r="53" spans="2:10" hidden="1" outlineLevel="2" x14ac:dyDescent="0.2">
      <c r="B53" s="68" t="s">
        <v>92</v>
      </c>
      <c r="C53" s="68" t="s">
        <v>58</v>
      </c>
      <c r="D53" s="68" t="s">
        <v>362</v>
      </c>
      <c r="E53" s="68">
        <v>593.60000000000036</v>
      </c>
      <c r="F53" s="70">
        <v>831.72</v>
      </c>
      <c r="G53" s="68">
        <v>0</v>
      </c>
      <c r="H53" s="68">
        <v>1425.3200000000004</v>
      </c>
      <c r="I53" s="75" t="s">
        <v>651</v>
      </c>
    </row>
    <row r="54" spans="2:10" hidden="1" outlineLevel="2" x14ac:dyDescent="0.2">
      <c r="B54" s="68" t="s">
        <v>94</v>
      </c>
      <c r="C54" s="68" t="s">
        <v>58</v>
      </c>
      <c r="D54" s="68" t="s">
        <v>363</v>
      </c>
      <c r="E54" s="70">
        <v>222.59999999999991</v>
      </c>
      <c r="F54" s="70">
        <v>553.4</v>
      </c>
      <c r="G54" s="68">
        <v>0</v>
      </c>
      <c r="H54" s="68">
        <v>775.99999999999989</v>
      </c>
      <c r="I54" s="75" t="s">
        <v>651</v>
      </c>
    </row>
    <row r="55" spans="2:10" hidden="1" outlineLevel="2" x14ac:dyDescent="0.2">
      <c r="B55" s="68" t="s">
        <v>68</v>
      </c>
      <c r="C55" s="68" t="s">
        <v>58</v>
      </c>
      <c r="D55" s="68" t="s">
        <v>355</v>
      </c>
      <c r="E55" s="68">
        <v>414.80000000000018</v>
      </c>
      <c r="F55" s="70">
        <v>340.28</v>
      </c>
      <c r="G55" s="68">
        <v>0</v>
      </c>
      <c r="H55" s="68">
        <v>755.08000000000015</v>
      </c>
      <c r="I55" s="75" t="s">
        <v>651</v>
      </c>
    </row>
    <row r="56" spans="2:10" s="70" customFormat="1" hidden="1" outlineLevel="2" x14ac:dyDescent="0.2">
      <c r="B56" s="68" t="s">
        <v>90</v>
      </c>
      <c r="C56" s="68" t="s">
        <v>58</v>
      </c>
      <c r="D56" s="68" t="s">
        <v>361</v>
      </c>
      <c r="E56" s="68">
        <v>1135.1199999999999</v>
      </c>
      <c r="G56" s="68">
        <v>0</v>
      </c>
      <c r="H56" s="68">
        <v>1135.1199999999999</v>
      </c>
      <c r="I56" s="75" t="s">
        <v>651</v>
      </c>
      <c r="J56" s="75"/>
    </row>
    <row r="57" spans="2:10" hidden="1" outlineLevel="2" x14ac:dyDescent="0.2">
      <c r="B57" s="68" t="s">
        <v>422</v>
      </c>
      <c r="C57" s="68" t="s">
        <v>58</v>
      </c>
      <c r="D57" s="68" t="s">
        <v>423</v>
      </c>
      <c r="E57" s="68">
        <v>416.40000000000003</v>
      </c>
      <c r="F57" s="70">
        <v>92.73</v>
      </c>
      <c r="G57" s="68">
        <v>0</v>
      </c>
      <c r="H57" s="68">
        <v>509.13000000000005</v>
      </c>
      <c r="I57" s="75" t="s">
        <v>651</v>
      </c>
    </row>
    <row r="58" spans="2:10" hidden="1" outlineLevel="2" x14ac:dyDescent="0.2">
      <c r="B58" s="68" t="s">
        <v>424</v>
      </c>
      <c r="C58" s="68" t="s">
        <v>58</v>
      </c>
      <c r="D58" s="68" t="s">
        <v>425</v>
      </c>
      <c r="E58" s="68">
        <v>0</v>
      </c>
      <c r="F58" s="70"/>
      <c r="G58" s="68">
        <v>0</v>
      </c>
      <c r="H58" s="68">
        <v>0</v>
      </c>
      <c r="I58" s="75" t="s">
        <v>651</v>
      </c>
    </row>
    <row r="59" spans="2:10" hidden="1" outlineLevel="2" x14ac:dyDescent="0.2">
      <c r="B59" s="68" t="s">
        <v>426</v>
      </c>
      <c r="C59" s="68" t="s">
        <v>58</v>
      </c>
      <c r="D59" s="68" t="s">
        <v>427</v>
      </c>
      <c r="E59" s="68">
        <v>109.88999999999999</v>
      </c>
      <c r="F59" s="70">
        <v>1000</v>
      </c>
      <c r="G59" s="68">
        <v>0</v>
      </c>
      <c r="H59" s="68">
        <v>1109.8899999999999</v>
      </c>
      <c r="I59" s="75" t="s">
        <v>651</v>
      </c>
    </row>
    <row r="60" spans="2:10" hidden="1" outlineLevel="2" x14ac:dyDescent="0.2">
      <c r="B60" s="68" t="s">
        <v>437</v>
      </c>
      <c r="C60" s="68" t="s">
        <v>58</v>
      </c>
      <c r="D60" s="68" t="s">
        <v>438</v>
      </c>
      <c r="E60" s="68">
        <v>416.19999999999982</v>
      </c>
      <c r="F60" s="70">
        <v>310</v>
      </c>
      <c r="G60" s="68">
        <v>0</v>
      </c>
      <c r="H60" s="68">
        <v>726.19999999999982</v>
      </c>
      <c r="I60" s="75" t="s">
        <v>651</v>
      </c>
    </row>
    <row r="61" spans="2:10" hidden="1" outlineLevel="2" x14ac:dyDescent="0.2">
      <c r="B61" s="70" t="s">
        <v>434</v>
      </c>
      <c r="C61" s="70" t="s">
        <v>58</v>
      </c>
      <c r="D61" s="70" t="s">
        <v>430</v>
      </c>
      <c r="E61" s="70">
        <v>1047.6000000000004</v>
      </c>
      <c r="F61" s="70"/>
      <c r="G61" s="68">
        <v>0</v>
      </c>
      <c r="H61" s="70">
        <v>1047.6000000000004</v>
      </c>
      <c r="I61" s="75" t="s">
        <v>651</v>
      </c>
    </row>
    <row r="62" spans="2:10" hidden="1" outlineLevel="2" x14ac:dyDescent="0.2">
      <c r="B62" s="68" t="s">
        <v>436</v>
      </c>
      <c r="C62" s="68" t="s">
        <v>58</v>
      </c>
      <c r="D62" s="68" t="s">
        <v>432</v>
      </c>
      <c r="E62" s="68">
        <v>1047.8000000000004</v>
      </c>
      <c r="F62" s="70"/>
      <c r="G62" s="68">
        <v>0</v>
      </c>
      <c r="H62" s="68">
        <v>1047.8000000000004</v>
      </c>
      <c r="I62" s="75" t="s">
        <v>651</v>
      </c>
    </row>
    <row r="63" spans="2:10" hidden="1" outlineLevel="2" x14ac:dyDescent="0.2">
      <c r="B63" s="70" t="s">
        <v>444</v>
      </c>
      <c r="C63" s="70" t="s">
        <v>58</v>
      </c>
      <c r="D63" s="70" t="s">
        <v>445</v>
      </c>
      <c r="E63" s="68">
        <v>135.19999999999982</v>
      </c>
      <c r="F63" s="70">
        <v>422.5</v>
      </c>
      <c r="G63" s="68">
        <v>0</v>
      </c>
      <c r="H63" s="68">
        <v>557.69999999999982</v>
      </c>
      <c r="I63" s="75" t="s">
        <v>651</v>
      </c>
    </row>
    <row r="64" spans="2:10" hidden="1" outlineLevel="2" x14ac:dyDescent="0.2">
      <c r="B64" s="70" t="s">
        <v>446</v>
      </c>
      <c r="C64" s="70" t="s">
        <v>58</v>
      </c>
      <c r="D64" s="70" t="s">
        <v>447</v>
      </c>
      <c r="E64" s="68">
        <v>416.40000000000009</v>
      </c>
      <c r="F64" s="70">
        <v>816.16000000000008</v>
      </c>
      <c r="G64" s="68">
        <v>0</v>
      </c>
      <c r="H64" s="68">
        <v>1232.5600000000002</v>
      </c>
      <c r="I64" s="75" t="s">
        <v>651</v>
      </c>
    </row>
    <row r="65" spans="2:12" hidden="1" outlineLevel="2" x14ac:dyDescent="0.2">
      <c r="B65" s="68" t="s">
        <v>469</v>
      </c>
      <c r="C65" s="70" t="s">
        <v>58</v>
      </c>
      <c r="D65" s="68" t="s">
        <v>470</v>
      </c>
      <c r="E65" s="85">
        <v>416.40000000000009</v>
      </c>
      <c r="F65" s="70">
        <v>294.82</v>
      </c>
      <c r="G65" s="68">
        <v>0</v>
      </c>
      <c r="H65" s="68">
        <v>711.22</v>
      </c>
      <c r="I65" s="75" t="s">
        <v>651</v>
      </c>
    </row>
    <row r="66" spans="2:12" hidden="1" outlineLevel="2" x14ac:dyDescent="0.2">
      <c r="B66" s="68" t="s">
        <v>479</v>
      </c>
      <c r="C66" s="70" t="s">
        <v>58</v>
      </c>
      <c r="D66" s="68" t="s">
        <v>480</v>
      </c>
      <c r="E66" s="68">
        <v>416.36000000000013</v>
      </c>
      <c r="F66" s="70">
        <v>100</v>
      </c>
      <c r="G66" s="68">
        <v>0</v>
      </c>
      <c r="H66" s="68">
        <v>516.36000000000013</v>
      </c>
      <c r="I66" s="75" t="s">
        <v>651</v>
      </c>
    </row>
    <row r="67" spans="2:12" s="70" customFormat="1" hidden="1" outlineLevel="2" x14ac:dyDescent="0.2">
      <c r="B67" s="68" t="s">
        <v>481</v>
      </c>
      <c r="C67" s="70" t="s">
        <v>58</v>
      </c>
      <c r="D67" s="68" t="s">
        <v>482</v>
      </c>
      <c r="E67" s="68">
        <v>593.60000000000025</v>
      </c>
      <c r="F67" s="70">
        <v>131.91</v>
      </c>
      <c r="G67" s="68">
        <v>0</v>
      </c>
      <c r="H67" s="68">
        <v>725.51000000000022</v>
      </c>
      <c r="I67" s="75" t="s">
        <v>651</v>
      </c>
      <c r="J67" s="75"/>
    </row>
    <row r="68" spans="2:12" hidden="1" outlineLevel="2" x14ac:dyDescent="0.2">
      <c r="B68" s="68" t="s">
        <v>483</v>
      </c>
      <c r="C68" s="70" t="s">
        <v>58</v>
      </c>
      <c r="D68" s="68" t="s">
        <v>484</v>
      </c>
      <c r="E68" s="68">
        <v>416.40000000000009</v>
      </c>
      <c r="F68" s="70">
        <v>1958.34</v>
      </c>
      <c r="G68" s="68">
        <v>0</v>
      </c>
      <c r="H68" s="68">
        <v>2374.7399999999998</v>
      </c>
      <c r="I68" s="75" t="s">
        <v>651</v>
      </c>
    </row>
    <row r="69" spans="2:12" hidden="1" outlineLevel="2" x14ac:dyDescent="0.2">
      <c r="B69" s="68" t="s">
        <v>485</v>
      </c>
      <c r="C69" s="70" t="s">
        <v>58</v>
      </c>
      <c r="D69" s="68" t="s">
        <v>486</v>
      </c>
      <c r="E69" s="68">
        <v>549.96500000000015</v>
      </c>
      <c r="F69" s="70">
        <v>2858.57</v>
      </c>
      <c r="G69" s="68">
        <v>0</v>
      </c>
      <c r="H69" s="68">
        <v>3408.5350000000003</v>
      </c>
      <c r="I69" s="75" t="s">
        <v>651</v>
      </c>
    </row>
    <row r="70" spans="2:12" hidden="1" outlineLevel="2" x14ac:dyDescent="0.2">
      <c r="B70" s="68" t="s">
        <v>487</v>
      </c>
      <c r="C70" s="70" t="s">
        <v>58</v>
      </c>
      <c r="D70" s="68" t="s">
        <v>488</v>
      </c>
      <c r="E70" s="68">
        <v>384.79500000000007</v>
      </c>
      <c r="F70" s="116">
        <v>480</v>
      </c>
      <c r="G70" s="68">
        <v>0</v>
      </c>
      <c r="H70" s="68">
        <v>864.79500000000007</v>
      </c>
      <c r="I70" s="75" t="s">
        <v>651</v>
      </c>
    </row>
    <row r="71" spans="2:12" hidden="1" outlineLevel="2" x14ac:dyDescent="0.2">
      <c r="B71" s="68" t="s">
        <v>489</v>
      </c>
      <c r="C71" s="70" t="s">
        <v>58</v>
      </c>
      <c r="D71" s="68" t="s">
        <v>490</v>
      </c>
      <c r="E71" s="68">
        <v>450.98500000000013</v>
      </c>
      <c r="F71" s="70">
        <v>1155</v>
      </c>
      <c r="G71" s="68">
        <v>2.1099999999933061E-2</v>
      </c>
      <c r="H71" s="68">
        <v>1606.0061000000001</v>
      </c>
      <c r="I71" s="75" t="s">
        <v>651</v>
      </c>
    </row>
    <row r="72" spans="2:12" hidden="1" outlineLevel="2" x14ac:dyDescent="0.2">
      <c r="B72" s="68" t="s">
        <v>574</v>
      </c>
      <c r="C72" s="70" t="s">
        <v>58</v>
      </c>
      <c r="D72" s="68" t="s">
        <v>575</v>
      </c>
      <c r="E72" s="68">
        <v>414.59999999999991</v>
      </c>
      <c r="F72" s="70">
        <v>146.25</v>
      </c>
      <c r="G72" s="68">
        <v>0</v>
      </c>
      <c r="H72" s="68">
        <v>560.84999999999991</v>
      </c>
      <c r="I72" s="75" t="s">
        <v>651</v>
      </c>
    </row>
    <row r="73" spans="2:12" hidden="1" outlineLevel="2" x14ac:dyDescent="0.2">
      <c r="B73" s="68" t="s">
        <v>493</v>
      </c>
      <c r="C73" s="70" t="s">
        <v>58</v>
      </c>
      <c r="D73" s="68" t="s">
        <v>494</v>
      </c>
      <c r="E73" s="68">
        <v>450.95500000000038</v>
      </c>
      <c r="F73" s="70">
        <v>1040.68</v>
      </c>
      <c r="G73" s="68">
        <v>84.99</v>
      </c>
      <c r="H73" s="68">
        <v>1576.6250000000005</v>
      </c>
      <c r="I73" s="75" t="s">
        <v>651</v>
      </c>
    </row>
    <row r="74" spans="2:12" hidden="1" outlineLevel="2" x14ac:dyDescent="0.2">
      <c r="B74" s="68" t="s">
        <v>498</v>
      </c>
      <c r="C74" s="70" t="s">
        <v>58</v>
      </c>
      <c r="D74" s="68" t="s">
        <v>499</v>
      </c>
      <c r="E74" s="68">
        <v>416.40000000000009</v>
      </c>
      <c r="F74" s="70">
        <v>322.5</v>
      </c>
      <c r="G74" s="68">
        <v>0</v>
      </c>
      <c r="H74" s="68">
        <v>738.90000000000009</v>
      </c>
      <c r="I74" s="75" t="s">
        <v>651</v>
      </c>
    </row>
    <row r="75" spans="2:12" hidden="1" outlineLevel="2" x14ac:dyDescent="0.2">
      <c r="B75" s="68" t="s">
        <v>502</v>
      </c>
      <c r="C75" s="70" t="s">
        <v>58</v>
      </c>
      <c r="D75" s="68" t="s">
        <v>503</v>
      </c>
      <c r="E75" s="68">
        <v>416.27</v>
      </c>
      <c r="F75" s="70">
        <v>123.08</v>
      </c>
      <c r="G75" s="68">
        <v>0</v>
      </c>
      <c r="H75" s="68">
        <v>539.35</v>
      </c>
      <c r="I75" s="75" t="s">
        <v>651</v>
      </c>
    </row>
    <row r="76" spans="2:12" s="78" customFormat="1" hidden="1" outlineLevel="2" x14ac:dyDescent="0.2">
      <c r="B76" s="68" t="s">
        <v>507</v>
      </c>
      <c r="C76" s="70" t="s">
        <v>58</v>
      </c>
      <c r="D76" s="68" t="s">
        <v>508</v>
      </c>
      <c r="E76" s="68">
        <v>1047.8000000000006</v>
      </c>
      <c r="F76" s="70">
        <v>178.57</v>
      </c>
      <c r="G76" s="68">
        <v>0</v>
      </c>
      <c r="H76" s="68">
        <v>1226.3700000000006</v>
      </c>
      <c r="I76" s="75" t="s">
        <v>651</v>
      </c>
      <c r="J76" s="75"/>
    </row>
    <row r="77" spans="2:12" hidden="1" outlineLevel="2" x14ac:dyDescent="0.2">
      <c r="B77" s="68" t="s">
        <v>509</v>
      </c>
      <c r="C77" s="70" t="s">
        <v>58</v>
      </c>
      <c r="D77" s="68" t="s">
        <v>595</v>
      </c>
      <c r="E77" s="68">
        <v>416.19999999999982</v>
      </c>
      <c r="F77" s="70">
        <v>180</v>
      </c>
      <c r="G77" s="68">
        <v>0</v>
      </c>
      <c r="H77" s="68">
        <v>596.19999999999982</v>
      </c>
      <c r="I77" s="75" t="s">
        <v>651</v>
      </c>
    </row>
    <row r="78" spans="2:12" hidden="1" outlineLevel="2" x14ac:dyDescent="0.2">
      <c r="B78" s="68" t="s">
        <v>519</v>
      </c>
      <c r="C78" s="70" t="s">
        <v>58</v>
      </c>
      <c r="D78" s="68" t="s">
        <v>520</v>
      </c>
      <c r="E78" s="68">
        <v>416.40000000000032</v>
      </c>
      <c r="F78" s="70">
        <v>770</v>
      </c>
      <c r="G78" s="68">
        <v>0</v>
      </c>
      <c r="H78" s="68">
        <v>1186.4000000000003</v>
      </c>
      <c r="I78" s="75" t="s">
        <v>651</v>
      </c>
    </row>
    <row r="79" spans="2:12" hidden="1" outlineLevel="2" x14ac:dyDescent="0.2">
      <c r="B79" s="68" t="s">
        <v>521</v>
      </c>
      <c r="C79" s="70" t="s">
        <v>58</v>
      </c>
      <c r="D79" s="68" t="s">
        <v>522</v>
      </c>
      <c r="E79" s="68">
        <v>109.80000000000001</v>
      </c>
      <c r="F79" s="70">
        <v>422.5</v>
      </c>
      <c r="G79" s="68">
        <v>0</v>
      </c>
      <c r="H79" s="68">
        <v>532.29999999999995</v>
      </c>
      <c r="I79" s="75" t="s">
        <v>651</v>
      </c>
      <c r="K79" s="120"/>
      <c r="L79" s="120"/>
    </row>
    <row r="80" spans="2:12" hidden="1" outlineLevel="2" x14ac:dyDescent="0.2">
      <c r="B80" s="68" t="s">
        <v>523</v>
      </c>
      <c r="C80" s="70" t="s">
        <v>58</v>
      </c>
      <c r="D80" s="68" t="s">
        <v>524</v>
      </c>
      <c r="E80" s="68">
        <v>416.19999999999982</v>
      </c>
      <c r="F80" s="70">
        <v>187.5</v>
      </c>
      <c r="G80" s="68">
        <v>0</v>
      </c>
      <c r="H80" s="68">
        <v>603.69999999999982</v>
      </c>
      <c r="I80" s="75" t="s">
        <v>651</v>
      </c>
    </row>
    <row r="81" spans="2:10" hidden="1" outlineLevel="2" x14ac:dyDescent="0.2">
      <c r="B81" s="68" t="s">
        <v>525</v>
      </c>
      <c r="C81" s="70" t="s">
        <v>58</v>
      </c>
      <c r="D81" s="68" t="s">
        <v>526</v>
      </c>
      <c r="E81" s="68">
        <v>414.59999999999991</v>
      </c>
      <c r="F81" s="70">
        <v>1308.8</v>
      </c>
      <c r="G81" s="68">
        <v>0</v>
      </c>
      <c r="H81" s="68">
        <v>1723.3999999999999</v>
      </c>
      <c r="I81" s="75" t="s">
        <v>651</v>
      </c>
    </row>
    <row r="82" spans="2:10" hidden="1" outlineLevel="2" x14ac:dyDescent="0.2">
      <c r="B82" s="68" t="s">
        <v>529</v>
      </c>
      <c r="C82" s="70" t="s">
        <v>58</v>
      </c>
      <c r="D82" s="68" t="s">
        <v>530</v>
      </c>
      <c r="E82" s="68">
        <v>414.80000000000018</v>
      </c>
      <c r="F82" s="70">
        <v>270</v>
      </c>
      <c r="G82" s="68">
        <v>0</v>
      </c>
      <c r="H82" s="68">
        <v>684.80000000000018</v>
      </c>
      <c r="I82" s="75" t="s">
        <v>651</v>
      </c>
    </row>
    <row r="83" spans="2:10" hidden="1" outlineLevel="2" x14ac:dyDescent="0.2">
      <c r="B83" s="68" t="s">
        <v>534</v>
      </c>
      <c r="C83" s="70" t="s">
        <v>58</v>
      </c>
      <c r="D83" s="68" t="s">
        <v>532</v>
      </c>
      <c r="E83" s="68">
        <v>416.40000000000009</v>
      </c>
      <c r="F83" s="70">
        <v>300</v>
      </c>
      <c r="G83" s="68">
        <v>0</v>
      </c>
      <c r="H83" s="68">
        <v>716.40000000000009</v>
      </c>
      <c r="I83" s="75" t="s">
        <v>651</v>
      </c>
    </row>
    <row r="84" spans="2:10" hidden="1" outlineLevel="2" x14ac:dyDescent="0.2">
      <c r="B84" s="68" t="s">
        <v>568</v>
      </c>
      <c r="C84" s="70" t="s">
        <v>58</v>
      </c>
      <c r="D84" s="68" t="s">
        <v>567</v>
      </c>
      <c r="E84" s="68">
        <v>284.2</v>
      </c>
      <c r="F84" s="70">
        <v>529.94000000000005</v>
      </c>
      <c r="G84" s="68">
        <v>0</v>
      </c>
      <c r="H84" s="68">
        <v>814.1400000000001</v>
      </c>
      <c r="I84" s="75" t="s">
        <v>651</v>
      </c>
    </row>
    <row r="85" spans="2:10" hidden="1" outlineLevel="2" x14ac:dyDescent="0.2">
      <c r="B85" s="68" t="s">
        <v>564</v>
      </c>
      <c r="C85" s="68" t="s">
        <v>58</v>
      </c>
      <c r="D85" s="68" t="s">
        <v>501</v>
      </c>
      <c r="E85" s="68">
        <v>3553.3000000000011</v>
      </c>
      <c r="F85" s="70">
        <v>3</v>
      </c>
      <c r="G85" s="68">
        <v>0</v>
      </c>
      <c r="H85" s="68">
        <v>3556.3000000000011</v>
      </c>
      <c r="I85" s="75" t="s">
        <v>651</v>
      </c>
    </row>
    <row r="86" spans="2:10" hidden="1" outlineLevel="2" x14ac:dyDescent="0.2">
      <c r="B86" s="68" t="s">
        <v>572</v>
      </c>
      <c r="C86" s="70" t="s">
        <v>58</v>
      </c>
      <c r="D86" s="68" t="s">
        <v>573</v>
      </c>
      <c r="E86" s="68">
        <v>53</v>
      </c>
      <c r="F86" s="70">
        <v>284.67</v>
      </c>
      <c r="G86" s="68">
        <v>0</v>
      </c>
      <c r="H86" s="68">
        <v>337.67</v>
      </c>
      <c r="I86" s="75" t="s">
        <v>651</v>
      </c>
    </row>
    <row r="87" spans="2:10" hidden="1" outlineLevel="2" x14ac:dyDescent="0.2">
      <c r="B87" s="68" t="s">
        <v>598</v>
      </c>
      <c r="C87" s="70" t="s">
        <v>58</v>
      </c>
      <c r="D87" s="68" t="s">
        <v>599</v>
      </c>
      <c r="E87" s="68">
        <v>52.379999999999654</v>
      </c>
      <c r="F87" s="70">
        <v>746.67000000000007</v>
      </c>
      <c r="G87" s="68">
        <v>0</v>
      </c>
      <c r="H87" s="68">
        <v>799.04999999999973</v>
      </c>
      <c r="I87" s="75" t="s">
        <v>651</v>
      </c>
    </row>
    <row r="88" spans="2:10" s="70" customFormat="1" hidden="1" outlineLevel="2" x14ac:dyDescent="0.2">
      <c r="B88" s="68" t="s">
        <v>604</v>
      </c>
      <c r="C88" s="70" t="s">
        <v>58</v>
      </c>
      <c r="D88" s="68" t="s">
        <v>605</v>
      </c>
      <c r="E88" s="68">
        <v>135.27000000000001</v>
      </c>
      <c r="F88" s="70">
        <v>450</v>
      </c>
      <c r="G88" s="68">
        <v>0</v>
      </c>
      <c r="H88" s="68">
        <v>585.27</v>
      </c>
      <c r="I88" s="75" t="s">
        <v>651</v>
      </c>
      <c r="J88" s="75"/>
    </row>
    <row r="89" spans="2:10" hidden="1" outlineLevel="2" x14ac:dyDescent="0.2">
      <c r="B89" s="68" t="s">
        <v>608</v>
      </c>
      <c r="C89" s="70" t="s">
        <v>58</v>
      </c>
      <c r="D89" s="68" t="s">
        <v>609</v>
      </c>
      <c r="E89" s="68">
        <v>6520.75</v>
      </c>
      <c r="F89" s="70">
        <v>498.75</v>
      </c>
      <c r="G89" s="68">
        <v>0</v>
      </c>
      <c r="H89" s="68">
        <v>7019.5</v>
      </c>
      <c r="I89" s="75" t="s">
        <v>651</v>
      </c>
    </row>
    <row r="90" spans="2:10" hidden="1" outlineLevel="2" x14ac:dyDescent="0.2">
      <c r="B90" s="63" t="s">
        <v>612</v>
      </c>
      <c r="C90" s="70" t="s">
        <v>58</v>
      </c>
      <c r="D90" s="60" t="s">
        <v>613</v>
      </c>
      <c r="E90" s="70">
        <v>52.400000000000091</v>
      </c>
      <c r="F90" s="70">
        <v>940</v>
      </c>
      <c r="G90" s="68">
        <v>0</v>
      </c>
      <c r="H90" s="68">
        <v>992.40000000000009</v>
      </c>
      <c r="I90" s="75" t="s">
        <v>651</v>
      </c>
    </row>
    <row r="91" spans="2:10" hidden="1" outlineLevel="2" x14ac:dyDescent="0.2">
      <c r="B91" s="63" t="s">
        <v>618</v>
      </c>
      <c r="C91" s="70" t="s">
        <v>58</v>
      </c>
      <c r="D91" s="63" t="s">
        <v>619</v>
      </c>
      <c r="E91" s="70">
        <v>221.19999999999982</v>
      </c>
      <c r="F91" s="70"/>
      <c r="G91" s="68">
        <v>0</v>
      </c>
      <c r="H91" s="68">
        <v>221.19999999999982</v>
      </c>
      <c r="I91" s="75" t="s">
        <v>651</v>
      </c>
    </row>
    <row r="92" spans="2:10" hidden="1" outlineLevel="2" x14ac:dyDescent="0.2">
      <c r="B92" s="63" t="s">
        <v>622</v>
      </c>
      <c r="C92" s="70" t="s">
        <v>58</v>
      </c>
      <c r="D92" s="63" t="s">
        <v>623</v>
      </c>
      <c r="E92" s="70">
        <v>222.57999999999993</v>
      </c>
      <c r="F92" s="70">
        <v>1280</v>
      </c>
      <c r="G92" s="68">
        <v>0</v>
      </c>
      <c r="H92" s="68">
        <v>1502.58</v>
      </c>
      <c r="I92" s="75" t="s">
        <v>651</v>
      </c>
    </row>
    <row r="93" spans="2:10" s="70" customFormat="1" hidden="1" outlineLevel="2" x14ac:dyDescent="0.2">
      <c r="B93" s="63" t="s">
        <v>624</v>
      </c>
      <c r="C93" s="70" t="s">
        <v>58</v>
      </c>
      <c r="D93" s="63" t="s">
        <v>625</v>
      </c>
      <c r="E93" s="70">
        <v>175.59999999999991</v>
      </c>
      <c r="F93" s="70">
        <v>618.75</v>
      </c>
      <c r="G93" s="68">
        <v>0</v>
      </c>
      <c r="H93" s="68">
        <v>794.34999999999991</v>
      </c>
      <c r="I93" s="75" t="s">
        <v>651</v>
      </c>
      <c r="J93" s="75"/>
    </row>
    <row r="94" spans="2:10" hidden="1" outlineLevel="2" x14ac:dyDescent="0.2">
      <c r="B94" s="63" t="s">
        <v>626</v>
      </c>
      <c r="C94" s="70" t="s">
        <v>58</v>
      </c>
      <c r="D94" s="63" t="s">
        <v>627</v>
      </c>
      <c r="E94" s="70">
        <v>175.57000000000016</v>
      </c>
      <c r="F94" s="70"/>
      <c r="G94" s="68">
        <v>0</v>
      </c>
      <c r="H94" s="68">
        <v>175.57000000000016</v>
      </c>
      <c r="I94" s="75" t="s">
        <v>651</v>
      </c>
    </row>
    <row r="95" spans="2:10" hidden="1" outlineLevel="2" x14ac:dyDescent="0.2">
      <c r="B95" s="63" t="s">
        <v>628</v>
      </c>
      <c r="C95" s="70" t="s">
        <v>58</v>
      </c>
      <c r="D95" s="63" t="s">
        <v>629</v>
      </c>
      <c r="E95" s="70">
        <v>175.61000000000013</v>
      </c>
      <c r="F95" s="70">
        <v>468.75</v>
      </c>
      <c r="G95" s="68">
        <v>0</v>
      </c>
      <c r="H95" s="68">
        <v>644.36000000000013</v>
      </c>
      <c r="I95" s="75" t="s">
        <v>651</v>
      </c>
    </row>
    <row r="96" spans="2:10" hidden="1" outlineLevel="2" x14ac:dyDescent="0.2">
      <c r="B96" s="68" t="s">
        <v>630</v>
      </c>
      <c r="C96" s="70" t="s">
        <v>58</v>
      </c>
      <c r="D96" s="68" t="s">
        <v>631</v>
      </c>
      <c r="E96" s="70">
        <v>175.59999999999991</v>
      </c>
      <c r="F96" s="70">
        <v>281.25</v>
      </c>
      <c r="G96" s="68">
        <v>0</v>
      </c>
      <c r="H96" s="68">
        <v>456.84999999999991</v>
      </c>
      <c r="I96" s="75" t="s">
        <v>651</v>
      </c>
    </row>
    <row r="97" spans="1:9" hidden="1" outlineLevel="2" x14ac:dyDescent="0.2">
      <c r="B97" s="68" t="s">
        <v>632</v>
      </c>
      <c r="C97" s="70" t="s">
        <v>58</v>
      </c>
      <c r="D97" s="68" t="s">
        <v>633</v>
      </c>
      <c r="E97" s="70">
        <v>175.52000000000044</v>
      </c>
      <c r="F97" s="70"/>
      <c r="G97" s="68">
        <v>0</v>
      </c>
      <c r="H97" s="68">
        <v>175.52000000000044</v>
      </c>
      <c r="I97" s="75" t="s">
        <v>651</v>
      </c>
    </row>
    <row r="98" spans="1:9" hidden="1" outlineLevel="2" x14ac:dyDescent="0.2">
      <c r="B98" s="68" t="s">
        <v>636</v>
      </c>
      <c r="C98" s="70" t="s">
        <v>58</v>
      </c>
      <c r="D98" s="68" t="s">
        <v>637</v>
      </c>
      <c r="E98" s="70">
        <v>134.15999999999985</v>
      </c>
      <c r="F98" s="70"/>
      <c r="G98" s="68">
        <v>0</v>
      </c>
      <c r="H98" s="68">
        <v>134.15999999999985</v>
      </c>
      <c r="I98" s="75" t="s">
        <v>651</v>
      </c>
    </row>
    <row r="99" spans="1:9" hidden="1" outlineLevel="2" x14ac:dyDescent="0.2">
      <c r="B99" s="68" t="s">
        <v>638</v>
      </c>
      <c r="C99" s="70" t="s">
        <v>58</v>
      </c>
      <c r="D99" s="68" t="s">
        <v>639</v>
      </c>
      <c r="E99" s="68">
        <v>134.19999999999999</v>
      </c>
      <c r="F99" s="70"/>
      <c r="G99" s="68">
        <v>0</v>
      </c>
      <c r="H99" s="68">
        <v>134.19999999999999</v>
      </c>
      <c r="I99" s="75" t="s">
        <v>651</v>
      </c>
    </row>
    <row r="100" spans="1:9" hidden="1" outlineLevel="2" x14ac:dyDescent="0.2">
      <c r="B100" s="68" t="s">
        <v>640</v>
      </c>
      <c r="C100" s="70" t="s">
        <v>58</v>
      </c>
      <c r="D100" s="68" t="s">
        <v>641</v>
      </c>
      <c r="E100" s="68">
        <v>134.19999999999982</v>
      </c>
      <c r="F100" s="70">
        <v>1000</v>
      </c>
      <c r="G100" s="68">
        <v>0</v>
      </c>
      <c r="H100" s="68">
        <v>1134.1999999999998</v>
      </c>
      <c r="I100" s="75" t="s">
        <v>651</v>
      </c>
    </row>
    <row r="101" spans="1:9" hidden="1" outlineLevel="2" x14ac:dyDescent="0.2">
      <c r="B101" s="68" t="s">
        <v>642</v>
      </c>
      <c r="C101" s="70" t="s">
        <v>58</v>
      </c>
      <c r="D101" s="68" t="s">
        <v>643</v>
      </c>
      <c r="E101" s="68">
        <v>134.19999999999965</v>
      </c>
      <c r="F101" s="70">
        <v>292.5</v>
      </c>
      <c r="G101" s="68">
        <v>0</v>
      </c>
      <c r="H101" s="68">
        <v>426.69999999999965</v>
      </c>
      <c r="I101" s="75" t="s">
        <v>651</v>
      </c>
    </row>
    <row r="102" spans="1:9" hidden="1" outlineLevel="2" x14ac:dyDescent="0.2">
      <c r="B102" s="68" t="s">
        <v>558</v>
      </c>
      <c r="C102" s="70" t="s">
        <v>58</v>
      </c>
      <c r="D102" s="68" t="s">
        <v>461</v>
      </c>
      <c r="E102" s="68">
        <v>3135.4000000000005</v>
      </c>
      <c r="F102" s="70">
        <v>902.07</v>
      </c>
      <c r="G102" s="68">
        <v>0</v>
      </c>
      <c r="H102" s="68">
        <v>4037.4700000000007</v>
      </c>
      <c r="I102" s="75" t="s">
        <v>651</v>
      </c>
    </row>
    <row r="103" spans="1:9" hidden="1" outlineLevel="2" x14ac:dyDescent="0.2">
      <c r="B103" s="68" t="s">
        <v>648</v>
      </c>
      <c r="C103" s="70" t="s">
        <v>58</v>
      </c>
      <c r="D103" s="68" t="s">
        <v>649</v>
      </c>
      <c r="E103" s="68">
        <v>3135.3100000000004</v>
      </c>
      <c r="F103" s="70">
        <v>892.38599999999997</v>
      </c>
      <c r="G103" s="68">
        <v>0</v>
      </c>
      <c r="H103" s="68">
        <v>4027.6960000000004</v>
      </c>
      <c r="I103" s="75" t="s">
        <v>651</v>
      </c>
    </row>
    <row r="104" spans="1:9" hidden="1" outlineLevel="2" x14ac:dyDescent="0.2">
      <c r="B104" s="68" t="s">
        <v>656</v>
      </c>
      <c r="C104" s="70" t="s">
        <v>58</v>
      </c>
      <c r="D104" s="68" t="s">
        <v>657</v>
      </c>
      <c r="E104" s="68">
        <v>1704.55</v>
      </c>
      <c r="F104" s="70"/>
      <c r="G104" s="68">
        <v>0</v>
      </c>
      <c r="H104" s="68">
        <v>1704.55</v>
      </c>
      <c r="I104" s="75" t="s">
        <v>651</v>
      </c>
    </row>
    <row r="105" spans="1:9" hidden="1" outlineLevel="2" x14ac:dyDescent="0.2">
      <c r="B105" s="68" t="s">
        <v>658</v>
      </c>
      <c r="C105" s="70" t="s">
        <v>58</v>
      </c>
      <c r="D105" s="68" t="s">
        <v>659</v>
      </c>
      <c r="E105" s="68">
        <v>1704.4199999999998</v>
      </c>
      <c r="F105" s="70"/>
      <c r="G105" s="68">
        <v>0</v>
      </c>
      <c r="H105" s="68">
        <v>1704.4199999999998</v>
      </c>
      <c r="I105" s="75" t="s">
        <v>651</v>
      </c>
    </row>
    <row r="106" spans="1:9" hidden="1" outlineLevel="2" x14ac:dyDescent="0.2">
      <c r="B106" s="68" t="s">
        <v>662</v>
      </c>
      <c r="C106" s="70" t="s">
        <v>58</v>
      </c>
      <c r="D106" s="68" t="s">
        <v>663</v>
      </c>
      <c r="E106" s="68">
        <v>358.2</v>
      </c>
      <c r="F106" s="70"/>
      <c r="G106" s="68">
        <v>0</v>
      </c>
      <c r="H106" s="68">
        <v>358.2</v>
      </c>
      <c r="I106" s="75" t="s">
        <v>651</v>
      </c>
    </row>
    <row r="107" spans="1:9" hidden="1" outlineLevel="2" x14ac:dyDescent="0.2">
      <c r="B107" s="68" t="s">
        <v>78</v>
      </c>
      <c r="C107" s="70" t="s">
        <v>58</v>
      </c>
      <c r="D107" s="68" t="s">
        <v>664</v>
      </c>
      <c r="E107" s="68">
        <v>134.19999999999982</v>
      </c>
      <c r="F107" s="70">
        <v>840.39</v>
      </c>
      <c r="G107" s="68">
        <v>0</v>
      </c>
      <c r="H107" s="68">
        <v>974.5899999999998</v>
      </c>
      <c r="I107" s="75" t="s">
        <v>651</v>
      </c>
    </row>
    <row r="108" spans="1:9" ht="13.5" outlineLevel="1" collapsed="1" thickTop="1" x14ac:dyDescent="0.2">
      <c r="A108" s="85" t="s">
        <v>667</v>
      </c>
      <c r="B108" s="68">
        <f t="shared" ref="B108:I108" si="0">SUBTOTAL(9,B7:B107)</f>
        <v>0</v>
      </c>
      <c r="C108" s="70">
        <f t="shared" si="0"/>
        <v>0</v>
      </c>
      <c r="D108" s="68">
        <f t="shared" si="0"/>
        <v>0</v>
      </c>
      <c r="E108" s="68">
        <f t="shared" si="0"/>
        <v>178794.58</v>
      </c>
      <c r="F108" s="70">
        <f t="shared" si="0"/>
        <v>53496.815999999999</v>
      </c>
      <c r="G108" s="68">
        <f t="shared" si="0"/>
        <v>613.81109999999978</v>
      </c>
      <c r="H108" s="68">
        <f t="shared" si="0"/>
        <v>232905.2071</v>
      </c>
      <c r="I108" s="75">
        <f t="shared" si="0"/>
        <v>0</v>
      </c>
    </row>
    <row r="109" spans="1:9" hidden="1" outlineLevel="2" x14ac:dyDescent="0.2">
      <c r="B109" s="68" t="s">
        <v>100</v>
      </c>
      <c r="C109" s="70" t="s">
        <v>58</v>
      </c>
      <c r="D109" s="78" t="s">
        <v>606</v>
      </c>
      <c r="E109" s="68">
        <v>585.19999999999982</v>
      </c>
      <c r="F109" s="70"/>
      <c r="G109" s="68">
        <v>0</v>
      </c>
      <c r="H109" s="68">
        <v>585.19999999999982</v>
      </c>
      <c r="I109" s="159" t="s">
        <v>652</v>
      </c>
    </row>
    <row r="110" spans="1:9" hidden="1" outlineLevel="2" x14ac:dyDescent="0.2">
      <c r="B110" s="63" t="s">
        <v>620</v>
      </c>
      <c r="C110" s="70" t="s">
        <v>58</v>
      </c>
      <c r="D110" s="63" t="s">
        <v>621</v>
      </c>
      <c r="E110" s="70">
        <v>216</v>
      </c>
      <c r="F110" s="70"/>
      <c r="G110" s="68">
        <v>0</v>
      </c>
      <c r="H110" s="68">
        <v>216</v>
      </c>
      <c r="I110" s="159" t="s">
        <v>652</v>
      </c>
    </row>
    <row r="111" spans="1:9" hidden="1" outlineLevel="2" x14ac:dyDescent="0.2">
      <c r="B111" s="62" t="s">
        <v>68</v>
      </c>
      <c r="C111" s="68" t="s">
        <v>6</v>
      </c>
      <c r="D111" s="68" t="s">
        <v>327</v>
      </c>
      <c r="E111" s="68">
        <v>3645.9199999999992</v>
      </c>
      <c r="F111" s="70">
        <v>2000</v>
      </c>
      <c r="G111" s="68">
        <v>0</v>
      </c>
      <c r="H111" s="68">
        <v>5645.9199999999992</v>
      </c>
      <c r="I111" s="75" t="s">
        <v>652</v>
      </c>
    </row>
    <row r="112" spans="1:9" hidden="1" outlineLevel="2" x14ac:dyDescent="0.2">
      <c r="B112" s="68" t="s">
        <v>237</v>
      </c>
      <c r="C112" s="68" t="s">
        <v>6</v>
      </c>
      <c r="D112" s="68" t="s">
        <v>346</v>
      </c>
      <c r="E112" s="68">
        <v>7009.1500000000005</v>
      </c>
      <c r="F112" s="70"/>
      <c r="G112" s="68">
        <v>0</v>
      </c>
      <c r="H112" s="68">
        <v>7009.1500000000005</v>
      </c>
      <c r="I112" s="75" t="s">
        <v>652</v>
      </c>
    </row>
    <row r="113" spans="2:9" hidden="1" outlineLevel="2" x14ac:dyDescent="0.2">
      <c r="B113" s="70" t="s">
        <v>233</v>
      </c>
      <c r="C113" s="70" t="s">
        <v>6</v>
      </c>
      <c r="D113" s="60" t="s">
        <v>615</v>
      </c>
      <c r="E113" s="70">
        <v>2102.9499999999998</v>
      </c>
      <c r="F113" s="70"/>
      <c r="G113" s="70">
        <v>0</v>
      </c>
      <c r="H113" s="70">
        <v>2102.9499999999998</v>
      </c>
      <c r="I113" s="75" t="s">
        <v>652</v>
      </c>
    </row>
    <row r="114" spans="2:9" hidden="1" outlineLevel="2" x14ac:dyDescent="0.2">
      <c r="B114" s="70" t="s">
        <v>412</v>
      </c>
      <c r="C114" s="70" t="s">
        <v>6</v>
      </c>
      <c r="D114" s="70" t="s">
        <v>413</v>
      </c>
      <c r="E114" s="70">
        <v>1588</v>
      </c>
      <c r="F114" s="70"/>
      <c r="G114" s="70">
        <v>0</v>
      </c>
      <c r="H114" s="70">
        <v>1588</v>
      </c>
      <c r="I114" s="75" t="s">
        <v>652</v>
      </c>
    </row>
    <row r="115" spans="2:9" hidden="1" outlineLevel="2" x14ac:dyDescent="0.2">
      <c r="B115" s="70" t="s">
        <v>495</v>
      </c>
      <c r="C115" s="70" t="s">
        <v>6</v>
      </c>
      <c r="D115" s="70" t="s">
        <v>496</v>
      </c>
      <c r="E115" s="70">
        <v>1803.2799999999997</v>
      </c>
      <c r="F115" s="70">
        <v>2810</v>
      </c>
      <c r="G115" s="70">
        <v>99.999999999999972</v>
      </c>
      <c r="H115" s="70">
        <v>4713.28</v>
      </c>
      <c r="I115" s="75" t="s">
        <v>652</v>
      </c>
    </row>
    <row r="116" spans="2:9" hidden="1" outlineLevel="2" x14ac:dyDescent="0.2">
      <c r="B116" s="60" t="s">
        <v>590</v>
      </c>
      <c r="C116" s="70" t="s">
        <v>6</v>
      </c>
      <c r="D116" s="60" t="s">
        <v>474</v>
      </c>
      <c r="E116" s="70">
        <v>0</v>
      </c>
      <c r="F116" s="70"/>
      <c r="G116" s="70">
        <v>0</v>
      </c>
      <c r="H116" s="70">
        <v>0</v>
      </c>
      <c r="I116" s="75" t="s">
        <v>652</v>
      </c>
    </row>
    <row r="117" spans="2:9" hidden="1" outlineLevel="2" x14ac:dyDescent="0.2">
      <c r="B117" s="70" t="s">
        <v>644</v>
      </c>
      <c r="C117" s="70" t="s">
        <v>6</v>
      </c>
      <c r="D117" s="70" t="s">
        <v>645</v>
      </c>
      <c r="E117" s="70">
        <v>3286.8000000000011</v>
      </c>
      <c r="F117" s="70"/>
      <c r="G117" s="70">
        <v>0</v>
      </c>
      <c r="H117" s="70">
        <v>3286.8000000000011</v>
      </c>
      <c r="I117" s="75" t="s">
        <v>652</v>
      </c>
    </row>
    <row r="118" spans="2:9" hidden="1" outlineLevel="2" x14ac:dyDescent="0.2">
      <c r="B118" s="70" t="s">
        <v>654</v>
      </c>
      <c r="C118" s="70" t="s">
        <v>6</v>
      </c>
      <c r="D118" s="70" t="s">
        <v>655</v>
      </c>
      <c r="E118" s="70">
        <v>2672.6000000000004</v>
      </c>
      <c r="F118" s="70">
        <v>1200</v>
      </c>
      <c r="G118" s="70">
        <v>0</v>
      </c>
      <c r="H118" s="70">
        <v>3872.6000000000004</v>
      </c>
      <c r="I118" s="75" t="s">
        <v>652</v>
      </c>
    </row>
    <row r="119" spans="2:9" hidden="1" outlineLevel="2" x14ac:dyDescent="0.2">
      <c r="B119" s="70" t="s">
        <v>544</v>
      </c>
      <c r="C119" s="70" t="s">
        <v>58</v>
      </c>
      <c r="D119" s="70" t="s">
        <v>373</v>
      </c>
      <c r="E119" s="70">
        <v>2219.2799999999993</v>
      </c>
      <c r="F119" s="70">
        <v>1480</v>
      </c>
      <c r="G119" s="70">
        <v>295.7600000000001</v>
      </c>
      <c r="H119" s="70">
        <v>3995.0399999999995</v>
      </c>
      <c r="I119" s="75" t="s">
        <v>652</v>
      </c>
    </row>
    <row r="120" spans="2:9" hidden="1" outlineLevel="2" x14ac:dyDescent="0.2">
      <c r="B120" s="70" t="s">
        <v>554</v>
      </c>
      <c r="C120" s="70" t="s">
        <v>58</v>
      </c>
      <c r="D120" s="70" t="s">
        <v>456</v>
      </c>
      <c r="E120" s="70">
        <v>3339.3999999999996</v>
      </c>
      <c r="F120" s="70"/>
      <c r="G120" s="70">
        <v>0</v>
      </c>
      <c r="H120" s="70">
        <v>3339.3999999999996</v>
      </c>
      <c r="I120" s="75" t="s">
        <v>652</v>
      </c>
    </row>
    <row r="121" spans="2:9" hidden="1" outlineLevel="2" x14ac:dyDescent="0.2">
      <c r="B121" s="70" t="s">
        <v>226</v>
      </c>
      <c r="C121" s="70" t="s">
        <v>58</v>
      </c>
      <c r="D121" s="70" t="s">
        <v>369</v>
      </c>
      <c r="E121" s="70">
        <v>917</v>
      </c>
      <c r="F121" s="70">
        <v>27481.599999999999</v>
      </c>
      <c r="G121" s="70">
        <v>0</v>
      </c>
      <c r="H121" s="70">
        <v>28398.6</v>
      </c>
      <c r="I121" s="75" t="s">
        <v>652</v>
      </c>
    </row>
    <row r="122" spans="2:9" hidden="1" outlineLevel="2" x14ac:dyDescent="0.2">
      <c r="B122" s="70" t="s">
        <v>234</v>
      </c>
      <c r="C122" s="70" t="s">
        <v>58</v>
      </c>
      <c r="D122" s="70" t="s">
        <v>376</v>
      </c>
      <c r="E122" s="70">
        <v>0</v>
      </c>
      <c r="F122" s="70"/>
      <c r="G122" s="70">
        <v>0</v>
      </c>
      <c r="H122" s="70">
        <v>0</v>
      </c>
      <c r="I122" s="75" t="s">
        <v>652</v>
      </c>
    </row>
    <row r="123" spans="2:9" hidden="1" outlineLevel="2" x14ac:dyDescent="0.2">
      <c r="B123" s="70" t="s">
        <v>227</v>
      </c>
      <c r="C123" s="70" t="s">
        <v>58</v>
      </c>
      <c r="D123" s="70" t="s">
        <v>370</v>
      </c>
      <c r="E123" s="70">
        <v>2162.3999999999996</v>
      </c>
      <c r="F123" s="70">
        <v>750</v>
      </c>
      <c r="G123" s="70">
        <v>0</v>
      </c>
      <c r="H123" s="70">
        <v>2912.3999999999996</v>
      </c>
      <c r="I123" s="75" t="s">
        <v>652</v>
      </c>
    </row>
    <row r="124" spans="2:9" hidden="1" outlineLevel="2" x14ac:dyDescent="0.2">
      <c r="B124" s="70" t="s">
        <v>240</v>
      </c>
      <c r="C124" s="70" t="s">
        <v>58</v>
      </c>
      <c r="D124" s="70" t="s">
        <v>379</v>
      </c>
      <c r="E124" s="70">
        <v>2716.4000000000005</v>
      </c>
      <c r="F124" s="70">
        <v>4835.03</v>
      </c>
      <c r="G124" s="70">
        <v>0</v>
      </c>
      <c r="H124" s="70">
        <v>7551.43</v>
      </c>
      <c r="I124" s="75" t="s">
        <v>652</v>
      </c>
    </row>
    <row r="125" spans="2:9" hidden="1" outlineLevel="2" x14ac:dyDescent="0.2">
      <c r="B125" s="70" t="s">
        <v>106</v>
      </c>
      <c r="C125" s="70" t="s">
        <v>58</v>
      </c>
      <c r="D125" s="70" t="s">
        <v>366</v>
      </c>
      <c r="E125" s="70">
        <v>215.80000000000018</v>
      </c>
      <c r="F125" s="70"/>
      <c r="G125" s="70">
        <v>0</v>
      </c>
      <c r="H125" s="70">
        <v>215.80000000000018</v>
      </c>
      <c r="I125" s="75" t="s">
        <v>652</v>
      </c>
    </row>
    <row r="126" spans="2:9" hidden="1" outlineLevel="2" x14ac:dyDescent="0.2">
      <c r="B126" s="70" t="s">
        <v>222</v>
      </c>
      <c r="C126" s="70" t="s">
        <v>58</v>
      </c>
      <c r="D126" s="70" t="s">
        <v>368</v>
      </c>
      <c r="E126" s="70">
        <v>2135.1999999999998</v>
      </c>
      <c r="F126" s="70">
        <v>9882.23</v>
      </c>
      <c r="G126" s="70">
        <v>0</v>
      </c>
      <c r="H126" s="70">
        <v>12017.43</v>
      </c>
      <c r="I126" s="75" t="s">
        <v>652</v>
      </c>
    </row>
    <row r="127" spans="2:9" hidden="1" outlineLevel="2" x14ac:dyDescent="0.2">
      <c r="B127" s="70" t="s">
        <v>228</v>
      </c>
      <c r="C127" s="70" t="s">
        <v>58</v>
      </c>
      <c r="D127" s="70" t="s">
        <v>371</v>
      </c>
      <c r="E127" s="70">
        <v>881.80000000000064</v>
      </c>
      <c r="F127" s="70">
        <v>250</v>
      </c>
      <c r="G127" s="70">
        <v>0</v>
      </c>
      <c r="H127" s="70">
        <v>1131.8000000000006</v>
      </c>
      <c r="I127" s="75" t="s">
        <v>652</v>
      </c>
    </row>
    <row r="128" spans="2:9" hidden="1" outlineLevel="2" x14ac:dyDescent="0.2">
      <c r="B128" s="70" t="s">
        <v>241</v>
      </c>
      <c r="C128" s="70" t="s">
        <v>58</v>
      </c>
      <c r="D128" s="70" t="s">
        <v>380</v>
      </c>
      <c r="E128" s="70">
        <v>0</v>
      </c>
      <c r="F128" s="70"/>
      <c r="G128" s="70">
        <v>0</v>
      </c>
      <c r="H128" s="70">
        <v>0</v>
      </c>
      <c r="I128" s="75" t="s">
        <v>652</v>
      </c>
    </row>
    <row r="129" spans="2:9" hidden="1" outlineLevel="2" x14ac:dyDescent="0.2">
      <c r="B129" s="70" t="s">
        <v>116</v>
      </c>
      <c r="C129" s="70" t="s">
        <v>58</v>
      </c>
      <c r="D129" s="70" t="s">
        <v>383</v>
      </c>
      <c r="E129" s="70">
        <v>941.17999999999984</v>
      </c>
      <c r="F129" s="70">
        <v>275</v>
      </c>
      <c r="G129" s="70">
        <v>0</v>
      </c>
      <c r="H129" s="70">
        <v>1216.1799999999998</v>
      </c>
      <c r="I129" s="75" t="s">
        <v>652</v>
      </c>
    </row>
    <row r="130" spans="2:9" hidden="1" outlineLevel="2" x14ac:dyDescent="0.2">
      <c r="B130" s="70" t="s">
        <v>80</v>
      </c>
      <c r="C130" s="70" t="s">
        <v>58</v>
      </c>
      <c r="D130" s="70" t="s">
        <v>357</v>
      </c>
      <c r="E130" s="70">
        <v>17.670000000000073</v>
      </c>
      <c r="F130" s="70">
        <v>1190.43</v>
      </c>
      <c r="G130" s="70">
        <v>0</v>
      </c>
      <c r="H130" s="70">
        <v>1208.1000000000001</v>
      </c>
      <c r="I130" s="75" t="s">
        <v>652</v>
      </c>
    </row>
    <row r="131" spans="2:9" hidden="1" outlineLevel="2" x14ac:dyDescent="0.2">
      <c r="B131" s="68" t="s">
        <v>232</v>
      </c>
      <c r="C131" s="68" t="s">
        <v>58</v>
      </c>
      <c r="D131" s="78" t="s">
        <v>375</v>
      </c>
      <c r="E131" s="70">
        <v>1122.4299999999994</v>
      </c>
      <c r="F131" s="70">
        <v>500</v>
      </c>
      <c r="G131" s="68">
        <v>0</v>
      </c>
      <c r="H131" s="68">
        <v>1622.4299999999994</v>
      </c>
      <c r="I131" s="75" t="s">
        <v>652</v>
      </c>
    </row>
    <row r="132" spans="2:9" hidden="1" outlineLevel="2" x14ac:dyDescent="0.2">
      <c r="B132" s="68" t="s">
        <v>231</v>
      </c>
      <c r="C132" s="68" t="s">
        <v>58</v>
      </c>
      <c r="D132" s="68" t="s">
        <v>374</v>
      </c>
      <c r="E132" s="70">
        <v>593.59999999999945</v>
      </c>
      <c r="F132" s="70">
        <v>500</v>
      </c>
      <c r="G132" s="68">
        <v>0</v>
      </c>
      <c r="H132" s="68">
        <v>1093.5999999999995</v>
      </c>
      <c r="I132" s="75" t="s">
        <v>652</v>
      </c>
    </row>
    <row r="133" spans="2:9" hidden="1" outlineLevel="2" x14ac:dyDescent="0.2">
      <c r="B133" s="68" t="s">
        <v>236</v>
      </c>
      <c r="C133" s="68" t="s">
        <v>58</v>
      </c>
      <c r="D133" s="68" t="s">
        <v>378</v>
      </c>
      <c r="E133" s="68">
        <v>1416.3900000000003</v>
      </c>
      <c r="F133" s="70"/>
      <c r="G133" s="68">
        <v>0</v>
      </c>
      <c r="H133" s="68">
        <v>1416.3900000000003</v>
      </c>
      <c r="I133" s="75" t="s">
        <v>652</v>
      </c>
    </row>
    <row r="134" spans="2:9" hidden="1" outlineLevel="2" x14ac:dyDescent="0.2">
      <c r="B134" s="68" t="s">
        <v>114</v>
      </c>
      <c r="C134" s="68" t="s">
        <v>58</v>
      </c>
      <c r="D134" s="68" t="s">
        <v>381</v>
      </c>
      <c r="E134" s="68">
        <v>941.40999999999985</v>
      </c>
      <c r="F134" s="70">
        <v>275</v>
      </c>
      <c r="G134" s="68">
        <v>0</v>
      </c>
      <c r="H134" s="68">
        <v>1216.4099999999999</v>
      </c>
      <c r="I134" s="75" t="s">
        <v>652</v>
      </c>
    </row>
    <row r="135" spans="2:9" hidden="1" outlineLevel="2" x14ac:dyDescent="0.2">
      <c r="B135" s="68" t="s">
        <v>244</v>
      </c>
      <c r="C135" s="68" t="s">
        <v>58</v>
      </c>
      <c r="D135" s="68" t="s">
        <v>384</v>
      </c>
      <c r="E135" s="68">
        <v>885.22000000000025</v>
      </c>
      <c r="F135" s="70">
        <v>250</v>
      </c>
      <c r="G135" s="68">
        <v>75</v>
      </c>
      <c r="H135" s="68">
        <v>1210.2200000000003</v>
      </c>
      <c r="I135" s="75" t="s">
        <v>652</v>
      </c>
    </row>
    <row r="136" spans="2:9" hidden="1" outlineLevel="2" x14ac:dyDescent="0.2">
      <c r="B136" s="68" t="s">
        <v>235</v>
      </c>
      <c r="C136" s="68" t="s">
        <v>58</v>
      </c>
      <c r="D136" s="68" t="s">
        <v>377</v>
      </c>
      <c r="E136" s="68">
        <v>2166.2800000000007</v>
      </c>
      <c r="F136" s="70">
        <v>250</v>
      </c>
      <c r="G136" s="68">
        <v>69.999999999999972</v>
      </c>
      <c r="H136" s="68">
        <v>2486.2800000000007</v>
      </c>
      <c r="I136" s="75" t="s">
        <v>652</v>
      </c>
    </row>
    <row r="137" spans="2:9" hidden="1" outlineLevel="2" x14ac:dyDescent="0.2">
      <c r="B137" s="68" t="s">
        <v>408</v>
      </c>
      <c r="C137" s="68" t="s">
        <v>58</v>
      </c>
      <c r="D137" s="68" t="s">
        <v>405</v>
      </c>
      <c r="E137" s="68">
        <v>706.99999999999955</v>
      </c>
      <c r="F137" s="70"/>
      <c r="G137" s="68">
        <v>0</v>
      </c>
      <c r="H137" s="68">
        <v>706.99999999999955</v>
      </c>
      <c r="I137" s="75" t="s">
        <v>652</v>
      </c>
    </row>
    <row r="138" spans="2:9" hidden="1" outlineLevel="2" x14ac:dyDescent="0.2">
      <c r="B138" s="68" t="s">
        <v>471</v>
      </c>
      <c r="C138" s="70" t="s">
        <v>58</v>
      </c>
      <c r="D138" s="68" t="s">
        <v>472</v>
      </c>
      <c r="E138" s="85">
        <v>135.19999999999982</v>
      </c>
      <c r="F138" s="70"/>
      <c r="G138" s="68">
        <v>0</v>
      </c>
      <c r="H138" s="68">
        <v>135.19999999999982</v>
      </c>
      <c r="I138" s="75" t="s">
        <v>652</v>
      </c>
    </row>
    <row r="139" spans="2:9" hidden="1" outlineLevel="2" x14ac:dyDescent="0.2">
      <c r="B139" s="68" t="s">
        <v>475</v>
      </c>
      <c r="C139" s="70" t="s">
        <v>58</v>
      </c>
      <c r="D139" s="68" t="s">
        <v>476</v>
      </c>
      <c r="E139" s="68">
        <v>416.40000000000009</v>
      </c>
      <c r="G139" s="68">
        <v>0</v>
      </c>
      <c r="H139" s="68">
        <v>416.40000000000009</v>
      </c>
      <c r="I139" s="75" t="s">
        <v>652</v>
      </c>
    </row>
    <row r="140" spans="2:9" hidden="1" outlineLevel="2" x14ac:dyDescent="0.2">
      <c r="B140" s="70" t="s">
        <v>477</v>
      </c>
      <c r="C140" s="70" t="s">
        <v>58</v>
      </c>
      <c r="D140" s="70" t="s">
        <v>478</v>
      </c>
      <c r="E140" s="105">
        <v>0</v>
      </c>
      <c r="F140" s="70"/>
      <c r="G140" s="68">
        <v>0</v>
      </c>
      <c r="H140" s="70">
        <v>0</v>
      </c>
      <c r="I140" s="75" t="s">
        <v>652</v>
      </c>
    </row>
    <row r="141" spans="2:9" hidden="1" outlineLevel="2" x14ac:dyDescent="0.2">
      <c r="B141" s="68" t="s">
        <v>504</v>
      </c>
      <c r="C141" s="70" t="s">
        <v>58</v>
      </c>
      <c r="D141" s="70" t="s">
        <v>594</v>
      </c>
      <c r="E141" s="105">
        <v>0</v>
      </c>
      <c r="F141" s="70"/>
      <c r="G141" s="68">
        <v>0</v>
      </c>
      <c r="H141" s="68">
        <v>0</v>
      </c>
      <c r="I141" s="75" t="s">
        <v>652</v>
      </c>
    </row>
    <row r="142" spans="2:9" hidden="1" outlineLevel="2" x14ac:dyDescent="0.2">
      <c r="B142" s="68" t="s">
        <v>533</v>
      </c>
      <c r="C142" s="70" t="s">
        <v>58</v>
      </c>
      <c r="D142" s="68" t="s">
        <v>531</v>
      </c>
      <c r="E142" s="68">
        <v>109.88999999999999</v>
      </c>
      <c r="F142" s="70">
        <v>1000</v>
      </c>
      <c r="G142" s="68">
        <v>0</v>
      </c>
      <c r="H142" s="68">
        <v>1109.8899999999999</v>
      </c>
      <c r="I142" s="75" t="s">
        <v>652</v>
      </c>
    </row>
    <row r="143" spans="2:9" hidden="1" outlineLevel="2" x14ac:dyDescent="0.2">
      <c r="B143" s="68" t="s">
        <v>596</v>
      </c>
      <c r="C143" s="70" t="s">
        <v>58</v>
      </c>
      <c r="D143" s="68" t="s">
        <v>597</v>
      </c>
      <c r="E143" s="68">
        <v>5593.6000000000013</v>
      </c>
      <c r="F143" s="70"/>
      <c r="G143" s="68">
        <v>0</v>
      </c>
      <c r="H143" s="68">
        <v>5593.6000000000013</v>
      </c>
      <c r="I143" s="75" t="s">
        <v>652</v>
      </c>
    </row>
    <row r="144" spans="2:9" hidden="1" outlineLevel="2" x14ac:dyDescent="0.2">
      <c r="B144" s="68" t="s">
        <v>600</v>
      </c>
      <c r="C144" s="70" t="s">
        <v>58</v>
      </c>
      <c r="D144" s="68" t="s">
        <v>601</v>
      </c>
      <c r="E144" s="68">
        <v>0</v>
      </c>
      <c r="F144" s="70"/>
      <c r="G144" s="68">
        <v>0</v>
      </c>
      <c r="H144" s="68">
        <v>0</v>
      </c>
      <c r="I144" s="75" t="s">
        <v>652</v>
      </c>
    </row>
    <row r="145" spans="1:10" hidden="1" outlineLevel="2" x14ac:dyDescent="0.2">
      <c r="B145" s="63" t="s">
        <v>610</v>
      </c>
      <c r="C145" s="70" t="s">
        <v>58</v>
      </c>
      <c r="D145" s="60" t="s">
        <v>611</v>
      </c>
      <c r="E145" s="70">
        <v>2721.4</v>
      </c>
      <c r="F145" s="116">
        <v>2307.5</v>
      </c>
      <c r="G145" s="68">
        <v>0</v>
      </c>
      <c r="H145" s="68">
        <v>5028.8999999999996</v>
      </c>
      <c r="I145" s="75" t="s">
        <v>652</v>
      </c>
    </row>
    <row r="146" spans="1:10" outlineLevel="1" collapsed="1" x14ac:dyDescent="0.2">
      <c r="A146" s="85" t="s">
        <v>668</v>
      </c>
      <c r="B146" s="63">
        <f t="shared" ref="B146:I146" si="1">SUBTOTAL(9,B111:B145)</f>
        <v>0</v>
      </c>
      <c r="C146" s="70">
        <f t="shared" si="1"/>
        <v>0</v>
      </c>
      <c r="D146" s="60">
        <f t="shared" si="1"/>
        <v>0</v>
      </c>
      <c r="E146" s="70">
        <f>SUBTOTAL(9,E109:E145)</f>
        <v>55264.85</v>
      </c>
      <c r="F146" s="70">
        <f t="shared" ref="F146:H146" si="2">SUBTOTAL(9,F109:F145)</f>
        <v>57236.79</v>
      </c>
      <c r="G146" s="70">
        <f t="shared" si="2"/>
        <v>540.7600000000001</v>
      </c>
      <c r="H146" s="70">
        <f t="shared" si="2"/>
        <v>113042.4</v>
      </c>
      <c r="I146" s="75">
        <f t="shared" si="1"/>
        <v>0</v>
      </c>
    </row>
    <row r="147" spans="1:10" ht="14.25" customHeight="1" outlineLevel="1" x14ac:dyDescent="0.2">
      <c r="B147" s="108"/>
      <c r="C147" s="70"/>
      <c r="D147" s="106" t="s">
        <v>46</v>
      </c>
      <c r="E147" s="106">
        <f>+E108+E146</f>
        <v>234059.43</v>
      </c>
      <c r="F147" s="106">
        <f t="shared" ref="F147:H147" si="3">+F108+F146</f>
        <v>110733.606</v>
      </c>
      <c r="G147" s="106">
        <f t="shared" si="3"/>
        <v>1154.5710999999999</v>
      </c>
      <c r="H147" s="106">
        <f t="shared" si="3"/>
        <v>345947.60710000002</v>
      </c>
      <c r="I147" s="156"/>
      <c r="J147" s="156"/>
    </row>
    <row r="148" spans="1:10" x14ac:dyDescent="0.2">
      <c r="B148" s="108"/>
      <c r="C148" s="70"/>
      <c r="D148" s="108"/>
      <c r="F148" s="108"/>
      <c r="G148" s="177" t="s">
        <v>669</v>
      </c>
      <c r="H148" s="177"/>
    </row>
    <row r="149" spans="1:10" x14ac:dyDescent="0.2">
      <c r="C149" s="108"/>
      <c r="E149" s="106"/>
      <c r="G149" s="121"/>
      <c r="H149" s="122">
        <f>+H108</f>
        <v>232905.2071</v>
      </c>
      <c r="I149" s="157"/>
      <c r="J149" s="157"/>
    </row>
    <row r="150" spans="1:10" x14ac:dyDescent="0.2">
      <c r="B150" s="108"/>
      <c r="C150" s="108"/>
      <c r="D150" s="108"/>
      <c r="G150" s="121" t="s">
        <v>571</v>
      </c>
      <c r="H150" s="122">
        <v>0</v>
      </c>
      <c r="I150" s="157"/>
      <c r="J150" s="157"/>
    </row>
    <row r="151" spans="1:10" x14ac:dyDescent="0.2">
      <c r="B151" s="108"/>
      <c r="D151" s="108"/>
      <c r="G151" s="121"/>
      <c r="H151" s="121">
        <f>+H149+H150</f>
        <v>232905.2071</v>
      </c>
      <c r="I151" s="158"/>
      <c r="J151" s="158"/>
    </row>
    <row r="152" spans="1:10" x14ac:dyDescent="0.2">
      <c r="B152" s="108"/>
      <c r="C152" s="108"/>
      <c r="D152" s="108"/>
      <c r="G152" s="121"/>
      <c r="H152" s="121">
        <f>+H151*2%</f>
        <v>4658.1041420000001</v>
      </c>
      <c r="I152" s="158"/>
      <c r="J152" s="158"/>
    </row>
    <row r="153" spans="1:10" x14ac:dyDescent="0.2">
      <c r="B153" s="108"/>
      <c r="C153" s="108"/>
      <c r="D153" s="108"/>
      <c r="E153" s="68">
        <v>0</v>
      </c>
      <c r="G153" s="121"/>
      <c r="H153" s="121">
        <f>+H151+H152</f>
        <v>237563.311242</v>
      </c>
      <c r="I153" s="158"/>
      <c r="J153" s="158"/>
    </row>
    <row r="154" spans="1:10" x14ac:dyDescent="0.2">
      <c r="C154" s="108"/>
      <c r="G154" s="121"/>
      <c r="H154" s="122"/>
      <c r="I154" s="157"/>
      <c r="J154" s="157"/>
    </row>
    <row r="155" spans="1:10" x14ac:dyDescent="0.2">
      <c r="C155" s="108"/>
      <c r="G155" s="121"/>
      <c r="H155" s="122"/>
      <c r="I155" s="157"/>
      <c r="J155" s="157"/>
    </row>
    <row r="156" spans="1:10" x14ac:dyDescent="0.2">
      <c r="G156" s="121"/>
      <c r="H156" s="121">
        <f>+H153</f>
        <v>237563.311242</v>
      </c>
      <c r="I156" s="158"/>
      <c r="J156" s="158"/>
    </row>
    <row r="157" spans="1:10" x14ac:dyDescent="0.2">
      <c r="G157" s="121"/>
      <c r="H157" s="122">
        <f>+H156*16%</f>
        <v>38010.129798720001</v>
      </c>
      <c r="I157" s="157"/>
      <c r="J157" s="157"/>
    </row>
    <row r="158" spans="1:10" x14ac:dyDescent="0.2">
      <c r="G158" s="121"/>
      <c r="H158" s="121">
        <f>+H156+H157</f>
        <v>275573.44104071998</v>
      </c>
      <c r="I158" s="158"/>
      <c r="J158" s="158"/>
    </row>
    <row r="159" spans="1:10" x14ac:dyDescent="0.2">
      <c r="G159" s="177" t="s">
        <v>670</v>
      </c>
      <c r="H159" s="177"/>
    </row>
    <row r="160" spans="1:10" x14ac:dyDescent="0.2">
      <c r="G160" s="121"/>
      <c r="H160" s="122">
        <f>+H146</f>
        <v>113042.4</v>
      </c>
    </row>
    <row r="161" spans="7:8" x14ac:dyDescent="0.2">
      <c r="G161" s="121" t="s">
        <v>571</v>
      </c>
      <c r="H161" s="122">
        <v>0</v>
      </c>
    </row>
    <row r="162" spans="7:8" x14ac:dyDescent="0.2">
      <c r="G162" s="121"/>
      <c r="H162" s="121">
        <f>+H160+H161</f>
        <v>113042.4</v>
      </c>
    </row>
    <row r="163" spans="7:8" x14ac:dyDescent="0.2">
      <c r="G163" s="121"/>
      <c r="H163" s="121">
        <f>+H162*2%</f>
        <v>2260.848</v>
      </c>
    </row>
    <row r="164" spans="7:8" x14ac:dyDescent="0.2">
      <c r="G164" s="121"/>
      <c r="H164" s="121">
        <f>+H162+H163</f>
        <v>115303.24799999999</v>
      </c>
    </row>
    <row r="165" spans="7:8" x14ac:dyDescent="0.2">
      <c r="G165" s="121"/>
      <c r="H165" s="122"/>
    </row>
    <row r="166" spans="7:8" x14ac:dyDescent="0.2">
      <c r="G166" s="121"/>
      <c r="H166" s="122"/>
    </row>
    <row r="167" spans="7:8" x14ac:dyDescent="0.2">
      <c r="G167" s="121"/>
      <c r="H167" s="121">
        <f>+H164</f>
        <v>115303.24799999999</v>
      </c>
    </row>
    <row r="168" spans="7:8" x14ac:dyDescent="0.2">
      <c r="G168" s="121"/>
      <c r="H168" s="122">
        <f>+H167*16%</f>
        <v>18448.519679999998</v>
      </c>
    </row>
    <row r="169" spans="7:8" x14ac:dyDescent="0.2">
      <c r="G169" s="121"/>
      <c r="H169" s="121">
        <f>+H167+H168</f>
        <v>133751.76767999999</v>
      </c>
    </row>
  </sheetData>
  <autoFilter ref="B6:J147"/>
  <sortState ref="B7:I145">
    <sortCondition ref="I7:I145"/>
  </sortState>
  <mergeCells count="4">
    <mergeCell ref="D2:E2"/>
    <mergeCell ref="D3:E3"/>
    <mergeCell ref="G148:H148"/>
    <mergeCell ref="G159:H159"/>
  </mergeCells>
  <pageMargins left="0.7" right="0.7" top="0.75" bottom="0.75" header="0.3" footer="0.3"/>
  <pageSetup orientation="portrait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A1:IO146"/>
  <sheetViews>
    <sheetView showGridLines="0" zoomScale="80" zoomScaleNormal="80" workbookViewId="0">
      <pane xSplit="3" ySplit="3" topLeftCell="D14" activePane="bottomRight" state="frozen"/>
      <selection pane="topRight" activeCell="D1" sqref="D1"/>
      <selection pane="bottomLeft" activeCell="A4" sqref="A4"/>
      <selection pane="bottomRight" activeCell="G27" sqref="G27"/>
    </sheetView>
  </sheetViews>
  <sheetFormatPr baseColWidth="10" defaultColWidth="11.42578125" defaultRowHeight="12.75" x14ac:dyDescent="0.2"/>
  <cols>
    <col min="1" max="1" width="11.42578125" style="63"/>
    <col min="2" max="2" width="26.42578125" style="63" bestFit="1" customWidth="1"/>
    <col min="3" max="3" width="46.28515625" style="146" customWidth="1"/>
    <col min="4" max="5" width="22" style="63" customWidth="1"/>
    <col min="6" max="6" width="4" style="58" customWidth="1"/>
    <col min="7" max="7" width="19.7109375" style="63" customWidth="1"/>
    <col min="8" max="9" width="24.5703125" style="63" customWidth="1"/>
    <col min="10" max="10" width="3.5703125" style="58" customWidth="1"/>
    <col min="11" max="11" width="19.5703125" style="63" customWidth="1"/>
    <col min="12" max="12" width="22.5703125" style="63" customWidth="1"/>
    <col min="13" max="13" width="19.5703125" style="63" customWidth="1"/>
    <col min="14" max="14" width="3.7109375" style="59" customWidth="1"/>
    <col min="15" max="15" width="17.42578125" style="63" customWidth="1"/>
    <col min="16" max="16" width="17.7109375" style="63" customWidth="1"/>
    <col min="17" max="21" width="16.28515625" style="63" customWidth="1"/>
    <col min="22" max="22" width="19.42578125" style="63" customWidth="1"/>
    <col min="23" max="23" width="21.5703125" style="63" customWidth="1"/>
    <col min="24" max="24" width="6" style="58" customWidth="1"/>
    <col min="25" max="25" width="24" style="63" customWidth="1"/>
    <col min="26" max="26" width="21" style="60" customWidth="1"/>
    <col min="27" max="27" width="35.85546875" style="61" customWidth="1"/>
    <col min="28" max="28" width="11.42578125" style="60" customWidth="1"/>
    <col min="29" max="41" width="11.42578125" style="62" customWidth="1"/>
    <col min="42" max="249" width="11.42578125" style="62"/>
    <col min="250" max="16384" width="11.42578125" style="63"/>
  </cols>
  <sheetData>
    <row r="1" spans="1:249" s="56" customFormat="1" x14ac:dyDescent="0.2">
      <c r="C1" s="57"/>
      <c r="F1" s="58"/>
      <c r="J1" s="58"/>
      <c r="N1" s="59"/>
      <c r="X1" s="58"/>
      <c r="Z1" s="60"/>
      <c r="AA1" s="61"/>
      <c r="AB1" s="60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2"/>
      <c r="CW1" s="62"/>
      <c r="CX1" s="62"/>
      <c r="CY1" s="62"/>
      <c r="CZ1" s="62"/>
      <c r="DA1" s="62"/>
      <c r="DB1" s="62"/>
      <c r="DC1" s="62"/>
      <c r="DD1" s="62"/>
      <c r="DE1" s="62"/>
      <c r="DF1" s="62"/>
      <c r="DG1" s="62"/>
      <c r="DH1" s="62"/>
      <c r="DI1" s="62"/>
      <c r="DJ1" s="62"/>
      <c r="DK1" s="62"/>
      <c r="DL1" s="62"/>
      <c r="DM1" s="62"/>
      <c r="DN1" s="62"/>
      <c r="DO1" s="62"/>
      <c r="DP1" s="62"/>
      <c r="DQ1" s="62"/>
      <c r="DR1" s="62"/>
      <c r="DS1" s="62"/>
      <c r="DT1" s="62"/>
      <c r="DU1" s="62"/>
      <c r="DV1" s="62"/>
      <c r="DW1" s="62"/>
      <c r="DX1" s="62"/>
      <c r="DY1" s="62"/>
      <c r="DZ1" s="62"/>
      <c r="EA1" s="62"/>
      <c r="EB1" s="62"/>
      <c r="EC1" s="62"/>
      <c r="ED1" s="62"/>
      <c r="EE1" s="62"/>
      <c r="EF1" s="62"/>
      <c r="EG1" s="62"/>
      <c r="EH1" s="62"/>
      <c r="EI1" s="62"/>
      <c r="EJ1" s="62"/>
      <c r="EK1" s="62"/>
      <c r="EL1" s="62"/>
      <c r="EM1" s="62"/>
      <c r="EN1" s="62"/>
      <c r="EO1" s="62"/>
      <c r="EP1" s="62"/>
      <c r="EQ1" s="62"/>
      <c r="ER1" s="62"/>
      <c r="ES1" s="62"/>
      <c r="ET1" s="62"/>
      <c r="EU1" s="62"/>
      <c r="EV1" s="62"/>
      <c r="EW1" s="62"/>
      <c r="EX1" s="62"/>
      <c r="EY1" s="62"/>
      <c r="EZ1" s="62"/>
      <c r="FA1" s="62"/>
      <c r="FB1" s="62"/>
      <c r="FC1" s="62"/>
      <c r="FD1" s="62"/>
      <c r="FE1" s="62"/>
      <c r="FF1" s="62"/>
      <c r="FG1" s="62"/>
      <c r="FH1" s="62"/>
      <c r="FI1" s="62"/>
      <c r="FJ1" s="62"/>
      <c r="FK1" s="62"/>
      <c r="FL1" s="62"/>
      <c r="FM1" s="62"/>
      <c r="FN1" s="62"/>
      <c r="FO1" s="62"/>
      <c r="FP1" s="62"/>
      <c r="FQ1" s="62"/>
      <c r="FR1" s="62"/>
      <c r="FS1" s="62"/>
      <c r="FT1" s="62"/>
      <c r="FU1" s="62"/>
      <c r="FV1" s="62"/>
      <c r="FW1" s="62"/>
      <c r="FX1" s="62"/>
      <c r="FY1" s="62"/>
      <c r="FZ1" s="62"/>
      <c r="GA1" s="62"/>
      <c r="GB1" s="62"/>
      <c r="GC1" s="62"/>
      <c r="GD1" s="62"/>
      <c r="GE1" s="62"/>
      <c r="GF1" s="62"/>
      <c r="GG1" s="62"/>
      <c r="GH1" s="62"/>
      <c r="GI1" s="62"/>
      <c r="GJ1" s="62"/>
      <c r="GK1" s="62"/>
      <c r="GL1" s="62"/>
      <c r="GM1" s="62"/>
      <c r="GN1" s="62"/>
      <c r="GO1" s="62"/>
      <c r="GP1" s="62"/>
      <c r="GQ1" s="62"/>
      <c r="GR1" s="62"/>
      <c r="GS1" s="62"/>
      <c r="GT1" s="62"/>
      <c r="GU1" s="62"/>
      <c r="GV1" s="62"/>
      <c r="GW1" s="62"/>
      <c r="GX1" s="62"/>
      <c r="GY1" s="62"/>
      <c r="GZ1" s="62"/>
      <c r="HA1" s="62"/>
      <c r="HB1" s="62"/>
      <c r="HC1" s="62"/>
      <c r="HD1" s="62"/>
      <c r="HE1" s="62"/>
      <c r="HF1" s="62"/>
      <c r="HG1" s="62"/>
      <c r="HH1" s="62"/>
      <c r="HI1" s="62"/>
      <c r="HJ1" s="62"/>
      <c r="HK1" s="62"/>
      <c r="HL1" s="62"/>
      <c r="HM1" s="62"/>
      <c r="HN1" s="62"/>
      <c r="HO1" s="62"/>
      <c r="HP1" s="62"/>
      <c r="HQ1" s="62"/>
      <c r="HR1" s="62"/>
      <c r="HS1" s="62"/>
      <c r="HT1" s="62"/>
      <c r="HU1" s="62"/>
      <c r="HV1" s="62"/>
      <c r="HW1" s="62"/>
      <c r="HX1" s="62"/>
      <c r="HY1" s="62"/>
      <c r="HZ1" s="62"/>
      <c r="IA1" s="62"/>
      <c r="IB1" s="62"/>
      <c r="IC1" s="62"/>
      <c r="ID1" s="62"/>
      <c r="IE1" s="62"/>
      <c r="IF1" s="62"/>
      <c r="IG1" s="62"/>
      <c r="IH1" s="62"/>
      <c r="II1" s="62"/>
      <c r="IJ1" s="62"/>
      <c r="IK1" s="62"/>
      <c r="IL1" s="62"/>
      <c r="IM1" s="62"/>
      <c r="IN1" s="62"/>
      <c r="IO1" s="62"/>
    </row>
    <row r="2" spans="1:249" s="56" customFormat="1" x14ac:dyDescent="0.2">
      <c r="A2" s="178" t="s">
        <v>135</v>
      </c>
      <c r="B2" s="178"/>
      <c r="C2" s="178"/>
      <c r="D2" s="178"/>
      <c r="E2" s="178"/>
      <c r="F2" s="58"/>
      <c r="G2" s="178" t="s">
        <v>127</v>
      </c>
      <c r="H2" s="178"/>
      <c r="I2" s="178"/>
      <c r="J2" s="58"/>
      <c r="K2" s="178" t="s">
        <v>136</v>
      </c>
      <c r="L2" s="178"/>
      <c r="M2" s="178"/>
      <c r="N2" s="59"/>
      <c r="O2" s="178" t="s">
        <v>137</v>
      </c>
      <c r="P2" s="178"/>
      <c r="Q2" s="178"/>
      <c r="R2" s="178"/>
      <c r="S2" s="178"/>
      <c r="T2" s="178"/>
      <c r="U2" s="178"/>
      <c r="V2" s="178"/>
      <c r="W2" s="178"/>
      <c r="X2" s="58"/>
      <c r="Z2" s="60"/>
      <c r="AA2" s="61"/>
      <c r="AB2" s="60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62"/>
      <c r="FD2" s="62"/>
      <c r="FE2" s="62"/>
      <c r="FF2" s="62"/>
      <c r="FG2" s="62"/>
      <c r="FH2" s="62"/>
      <c r="FI2" s="62"/>
      <c r="FJ2" s="62"/>
      <c r="FK2" s="62"/>
      <c r="FL2" s="62"/>
      <c r="FM2" s="62"/>
      <c r="FN2" s="62"/>
      <c r="FO2" s="62"/>
      <c r="FP2" s="62"/>
      <c r="FQ2" s="62"/>
      <c r="FR2" s="62"/>
      <c r="FS2" s="62"/>
      <c r="FT2" s="62"/>
      <c r="FU2" s="62"/>
      <c r="FV2" s="62"/>
      <c r="FW2" s="62"/>
      <c r="FX2" s="62"/>
      <c r="FY2" s="62"/>
      <c r="FZ2" s="62"/>
      <c r="GA2" s="62"/>
      <c r="GB2" s="62"/>
      <c r="GC2" s="62"/>
      <c r="GD2" s="62"/>
      <c r="GE2" s="62"/>
      <c r="GF2" s="62"/>
      <c r="GG2" s="62"/>
      <c r="GH2" s="62"/>
      <c r="GI2" s="62"/>
      <c r="GJ2" s="62"/>
      <c r="GK2" s="62"/>
      <c r="GL2" s="62"/>
      <c r="GM2" s="62"/>
      <c r="GN2" s="62"/>
      <c r="GO2" s="62"/>
      <c r="GP2" s="62"/>
      <c r="GQ2" s="62"/>
      <c r="GR2" s="62"/>
      <c r="GS2" s="62"/>
      <c r="GT2" s="62"/>
      <c r="GU2" s="62"/>
      <c r="GV2" s="62"/>
      <c r="GW2" s="62"/>
      <c r="GX2" s="62"/>
      <c r="GY2" s="62"/>
      <c r="GZ2" s="62"/>
      <c r="HA2" s="62"/>
      <c r="HB2" s="62"/>
      <c r="HC2" s="62"/>
      <c r="HD2" s="62"/>
      <c r="HE2" s="62"/>
      <c r="HF2" s="62"/>
      <c r="HG2" s="62"/>
      <c r="HH2" s="62"/>
      <c r="HI2" s="62"/>
      <c r="HJ2" s="62"/>
      <c r="HK2" s="62"/>
      <c r="HL2" s="62"/>
      <c r="HM2" s="62"/>
      <c r="HN2" s="62"/>
      <c r="HO2" s="62"/>
      <c r="HP2" s="62"/>
      <c r="HQ2" s="62"/>
      <c r="HR2" s="62"/>
      <c r="HS2" s="62"/>
      <c r="HT2" s="62"/>
      <c r="HU2" s="62"/>
      <c r="HV2" s="62"/>
      <c r="HW2" s="62"/>
      <c r="HX2" s="62"/>
      <c r="HY2" s="62"/>
      <c r="HZ2" s="62"/>
      <c r="IA2" s="62"/>
      <c r="IB2" s="62"/>
      <c r="IC2" s="62"/>
      <c r="ID2" s="62"/>
      <c r="IE2" s="62"/>
      <c r="IF2" s="62"/>
      <c r="IG2" s="62"/>
      <c r="IH2" s="62"/>
      <c r="II2" s="62"/>
      <c r="IJ2" s="62"/>
      <c r="IK2" s="62"/>
      <c r="IL2" s="62"/>
      <c r="IM2" s="62"/>
      <c r="IN2" s="62"/>
      <c r="IO2" s="62"/>
    </row>
    <row r="3" spans="1:249" ht="26.25" thickBot="1" x14ac:dyDescent="0.25">
      <c r="A3" s="2"/>
      <c r="B3" s="2" t="s">
        <v>119</v>
      </c>
      <c r="C3" s="2" t="s">
        <v>4</v>
      </c>
      <c r="D3" s="2" t="s">
        <v>329</v>
      </c>
      <c r="E3" s="28" t="s">
        <v>328</v>
      </c>
      <c r="F3" s="11"/>
      <c r="G3" s="10" t="s">
        <v>126</v>
      </c>
      <c r="H3" s="10" t="s">
        <v>189</v>
      </c>
      <c r="I3" s="10" t="s">
        <v>517</v>
      </c>
      <c r="J3" s="11"/>
      <c r="K3" s="8" t="s">
        <v>123</v>
      </c>
      <c r="L3" s="2" t="s">
        <v>132</v>
      </c>
      <c r="M3" s="9" t="s">
        <v>134</v>
      </c>
      <c r="N3" s="54"/>
      <c r="O3" s="2" t="s">
        <v>388</v>
      </c>
      <c r="P3" s="2" t="s">
        <v>516</v>
      </c>
      <c r="Q3" s="2" t="s">
        <v>439</v>
      </c>
      <c r="R3" s="2" t="s">
        <v>439</v>
      </c>
      <c r="S3" s="2" t="s">
        <v>439</v>
      </c>
      <c r="T3" s="2" t="s">
        <v>439</v>
      </c>
      <c r="U3" s="2" t="s">
        <v>440</v>
      </c>
      <c r="V3" s="2" t="s">
        <v>442</v>
      </c>
      <c r="W3" s="2" t="s">
        <v>441</v>
      </c>
      <c r="X3" s="11"/>
      <c r="Y3" s="7" t="s">
        <v>138</v>
      </c>
      <c r="Z3" s="31" t="s">
        <v>133</v>
      </c>
      <c r="AA3" s="55" t="s">
        <v>443</v>
      </c>
    </row>
    <row r="4" spans="1:249" s="62" customFormat="1" ht="13.5" thickTop="1" x14ac:dyDescent="0.2">
      <c r="A4" s="113" t="s">
        <v>10</v>
      </c>
      <c r="B4" s="113" t="s">
        <v>6</v>
      </c>
      <c r="C4" s="112" t="s">
        <v>331</v>
      </c>
      <c r="D4" s="113">
        <f>VLOOKUP(C4,CPD!$B$9:$Y$37,24,0)</f>
        <v>2774.4</v>
      </c>
      <c r="E4" s="113"/>
      <c r="F4" s="123"/>
      <c r="G4" s="62">
        <f>VLOOKUP(C4,SINDICATO!$C$7:$F$35,4,0)</f>
        <v>1475.6</v>
      </c>
      <c r="H4" s="62">
        <f>VLOOKUP(C4,SINDICATO!$C$7:$G$35,5,0)</f>
        <v>304.07</v>
      </c>
      <c r="I4" s="62">
        <f>VLOOKUP(C4,SINDICATO!$C$7:$H$34,6,0)</f>
        <v>0</v>
      </c>
      <c r="J4" s="58"/>
      <c r="K4" s="62">
        <f>+D4+E4+G4+H4+I4</f>
        <v>4554.07</v>
      </c>
      <c r="L4" s="62">
        <f>VLOOKUP(C4,ABC!$A$3:$B$88,2,0)</f>
        <v>8500</v>
      </c>
      <c r="M4" s="62">
        <f t="shared" ref="M4:M55" si="0">+L4/2</f>
        <v>4250</v>
      </c>
      <c r="N4" s="59"/>
      <c r="O4" s="62">
        <f>VLOOKUP(C4,CPD!$B$9:$I$37,8,0)</f>
        <v>0</v>
      </c>
      <c r="P4" s="62">
        <f>+H4+I4</f>
        <v>304.07</v>
      </c>
      <c r="Q4" s="62">
        <f>VLOOKUP(C4,CPD!$B$9:$R$37,17,0)</f>
        <v>0</v>
      </c>
      <c r="R4" s="62">
        <f>VLOOKUP(C4,CPD!$B$9:$Q$37,16,0)</f>
        <v>0</v>
      </c>
      <c r="S4" s="62">
        <f>VLOOKUP(C4,CPD!$B$9:$S$37,18,0)</f>
        <v>0</v>
      </c>
      <c r="T4" s="62">
        <f>VLOOKUP(C4,CPD!$B$9:$T$37,19,0)</f>
        <v>0</v>
      </c>
      <c r="W4" s="62">
        <f>VLOOKUP(C4,CPD!$B$9:$V$37,21,0)</f>
        <v>0</v>
      </c>
      <c r="X4" s="58"/>
      <c r="Y4" s="62">
        <f>+K4-O4-P4+Q4+R4+S4+T4+U4+V4+W4</f>
        <v>4250</v>
      </c>
      <c r="Z4" s="60">
        <f>+M4-Y4</f>
        <v>0</v>
      </c>
      <c r="AA4" s="60"/>
    </row>
    <row r="5" spans="1:249" s="62" customFormat="1" x14ac:dyDescent="0.2">
      <c r="A5" s="62" t="s">
        <v>68</v>
      </c>
      <c r="B5" s="113" t="s">
        <v>6</v>
      </c>
      <c r="C5" s="112" t="s">
        <v>327</v>
      </c>
      <c r="D5" s="113">
        <f>VLOOKUP(C5,CPD!$B$9:$Y$37,24,0)</f>
        <v>4033.4</v>
      </c>
      <c r="E5" s="113"/>
      <c r="F5" s="123"/>
      <c r="G5" s="62">
        <f>VLOOKUP(C5,SINDICATO!$C$7:$F$35,4,0)</f>
        <v>3645.9199999999992</v>
      </c>
      <c r="H5" s="62">
        <f>VLOOKUP(C5,SINDICATO!$C$7:$G$35,5,0)</f>
        <v>2000</v>
      </c>
      <c r="I5" s="62">
        <f>VLOOKUP(C5,SINDICATO!$C$7:$H$34,6,0)</f>
        <v>0</v>
      </c>
      <c r="J5" s="58"/>
      <c r="K5" s="62">
        <f t="shared" ref="K5:K64" si="1">+D5+E5+G5+H5+I5</f>
        <v>9679.32</v>
      </c>
      <c r="L5" s="62">
        <f>VLOOKUP(C5,ABC!$A$3:$B$88,2,0)</f>
        <v>18000</v>
      </c>
      <c r="M5" s="62">
        <f t="shared" si="0"/>
        <v>9000</v>
      </c>
      <c r="N5" s="59"/>
      <c r="O5" s="62">
        <f>VLOOKUP(C5,CPD!$B$9:$I$37,8,0)</f>
        <v>0</v>
      </c>
      <c r="P5" s="62">
        <f t="shared" ref="P5:P31" si="2">+H5+I5</f>
        <v>2000</v>
      </c>
      <c r="Q5" s="62">
        <f>VLOOKUP(C5,CPD!$B$9:$R$37,17,0)</f>
        <v>1320.68</v>
      </c>
      <c r="R5" s="62">
        <f>VLOOKUP(C5,CPD!$B$9:$Q$37,16,0)</f>
        <v>0</v>
      </c>
      <c r="S5" s="62">
        <f>VLOOKUP(C5,CPD!$B$9:$S$37,18,0)</f>
        <v>0</v>
      </c>
      <c r="T5" s="62">
        <f>VLOOKUP(C5,CPD!$B$9:$T$37,19,0)</f>
        <v>0</v>
      </c>
      <c r="W5" s="62">
        <f>VLOOKUP(C5,CPD!$B$9:$V$37,21,0)</f>
        <v>0</v>
      </c>
      <c r="X5" s="58"/>
      <c r="Y5" s="62">
        <f>+K5-O5-P5+Q5+R5+S5+T5+U5+V5+W5</f>
        <v>9000</v>
      </c>
      <c r="Z5" s="60">
        <f>+M5-Y5</f>
        <v>0</v>
      </c>
      <c r="AA5" s="60"/>
    </row>
    <row r="6" spans="1:249" s="62" customFormat="1" x14ac:dyDescent="0.2">
      <c r="A6" s="113" t="s">
        <v>12</v>
      </c>
      <c r="B6" s="113" t="s">
        <v>6</v>
      </c>
      <c r="C6" s="112" t="s">
        <v>332</v>
      </c>
      <c r="D6" s="113">
        <f>VLOOKUP(C6,CPD!$B$9:$Y$37,24,0)</f>
        <v>2911.8</v>
      </c>
      <c r="E6" s="113"/>
      <c r="F6" s="123"/>
      <c r="G6" s="62">
        <f>VLOOKUP(C6,SINDICATO!$C$7:$F$35,4,0)</f>
        <v>1588.2000000000003</v>
      </c>
      <c r="H6" s="62">
        <f>VLOOKUP(C6,SINDICATO!$C$7:$G$35,5,0)</f>
        <v>400</v>
      </c>
      <c r="I6" s="62">
        <f>VLOOKUP(C6,SINDICATO!$C$7:$H$34,6,0)</f>
        <v>0</v>
      </c>
      <c r="J6" s="58"/>
      <c r="K6" s="62">
        <f t="shared" si="1"/>
        <v>4900</v>
      </c>
      <c r="L6" s="62">
        <f>VLOOKUP(C6,ABC!$A$3:$B$88,2,0)</f>
        <v>9000</v>
      </c>
      <c r="M6" s="62">
        <f t="shared" si="0"/>
        <v>4500</v>
      </c>
      <c r="N6" s="59"/>
      <c r="O6" s="62">
        <f>VLOOKUP(C6,CPD!$B$9:$I$37,8,0)</f>
        <v>0</v>
      </c>
      <c r="P6" s="62">
        <f t="shared" si="2"/>
        <v>400</v>
      </c>
      <c r="Q6" s="62">
        <f>VLOOKUP(C6,CPD!$B$9:$R$37,17,0)</f>
        <v>0</v>
      </c>
      <c r="R6" s="62">
        <f>VLOOKUP(C6,CPD!$B$9:$Q$37,16,0)</f>
        <v>0</v>
      </c>
      <c r="S6" s="62">
        <f>VLOOKUP(C6,CPD!$B$9:$S$37,18,0)</f>
        <v>0</v>
      </c>
      <c r="T6" s="62">
        <f>VLOOKUP(C6,CPD!$B$9:$T$37,19,0)</f>
        <v>0</v>
      </c>
      <c r="W6" s="62">
        <f>VLOOKUP(C6,CPD!$B$9:$V$37,21,0)</f>
        <v>0</v>
      </c>
      <c r="X6" s="58"/>
      <c r="Y6" s="62">
        <f t="shared" ref="Y6:Y65" si="3">+K6-O6-P6+Q6+R6+S6+T6+U6+V6+W6</f>
        <v>4500</v>
      </c>
      <c r="Z6" s="60">
        <f t="shared" ref="Z6:Z35" si="4">+M6-Y6</f>
        <v>0</v>
      </c>
      <c r="AA6" s="60"/>
    </row>
    <row r="7" spans="1:249" s="62" customFormat="1" x14ac:dyDescent="0.2">
      <c r="A7" s="113" t="s">
        <v>223</v>
      </c>
      <c r="B7" s="113" t="s">
        <v>6</v>
      </c>
      <c r="C7" s="112" t="s">
        <v>334</v>
      </c>
      <c r="D7" s="113">
        <f>VLOOKUP(C7,CPD!$B$9:$Y$37,24,0)</f>
        <v>11227.4</v>
      </c>
      <c r="E7" s="113"/>
      <c r="F7" s="123"/>
      <c r="G7" s="62">
        <f>VLOOKUP(C7,SINDICATO!$C$7:$F$35,4,0)</f>
        <v>23772.600000000002</v>
      </c>
      <c r="H7" s="62">
        <f>VLOOKUP(C7,SINDICATO!$C$7:$G$35,5,0)</f>
        <v>0</v>
      </c>
      <c r="I7" s="62">
        <f>VLOOKUP(C7,SINDICATO!$C$7:$H$34,6,0)</f>
        <v>0</v>
      </c>
      <c r="J7" s="58"/>
      <c r="K7" s="62">
        <f t="shared" si="1"/>
        <v>35000</v>
      </c>
      <c r="L7" s="62">
        <v>70000</v>
      </c>
      <c r="M7" s="62">
        <f t="shared" si="0"/>
        <v>35000</v>
      </c>
      <c r="N7" s="59"/>
      <c r="O7" s="62">
        <f>VLOOKUP(C7,CPD!$B$9:$I$37,8,0)</f>
        <v>0</v>
      </c>
      <c r="P7" s="62">
        <f t="shared" si="2"/>
        <v>0</v>
      </c>
      <c r="Q7" s="62">
        <f>VLOOKUP(C7,CPD!$B$9:$R$37,17,0)</f>
        <v>0</v>
      </c>
      <c r="R7" s="62">
        <f>VLOOKUP(C7,CPD!$B$9:$Q$37,16,0)</f>
        <v>0</v>
      </c>
      <c r="S7" s="62">
        <f>VLOOKUP(C7,CPD!$B$9:$S$37,18,0)</f>
        <v>0</v>
      </c>
      <c r="T7" s="62">
        <f>VLOOKUP(C7,CPD!$B$9:$T$37,19,0)</f>
        <v>0</v>
      </c>
      <c r="W7" s="62">
        <f>VLOOKUP(C7,CPD!$B$9:$V$37,21,0)</f>
        <v>0</v>
      </c>
      <c r="X7" s="58"/>
      <c r="Y7" s="62">
        <f t="shared" si="3"/>
        <v>35000</v>
      </c>
      <c r="Z7" s="60">
        <f t="shared" si="4"/>
        <v>0</v>
      </c>
      <c r="AA7" s="60"/>
    </row>
    <row r="8" spans="1:249" s="62" customFormat="1" x14ac:dyDescent="0.2">
      <c r="A8" s="113" t="s">
        <v>224</v>
      </c>
      <c r="B8" s="113" t="s">
        <v>6</v>
      </c>
      <c r="C8" s="112" t="s">
        <v>335</v>
      </c>
      <c r="D8" s="113">
        <f>VLOOKUP(C8,CPD!$B$9:$Y$37,24,0)</f>
        <v>4036</v>
      </c>
      <c r="E8" s="113"/>
      <c r="F8" s="123"/>
      <c r="G8" s="62">
        <f>VLOOKUP(C8,SINDICATO!$C$7:$F$35,4,0)</f>
        <v>2464</v>
      </c>
      <c r="H8" s="62">
        <f>VLOOKUP(C8,SINDICATO!$C$7:$G$35,5,0)</f>
        <v>0</v>
      </c>
      <c r="I8" s="62">
        <f>VLOOKUP(C8,SINDICATO!$C$7:$H$34,6,0)</f>
        <v>0</v>
      </c>
      <c r="J8" s="58"/>
      <c r="K8" s="62">
        <f t="shared" si="1"/>
        <v>6500</v>
      </c>
      <c r="L8" s="62">
        <v>13000</v>
      </c>
      <c r="M8" s="62">
        <f t="shared" si="0"/>
        <v>6500</v>
      </c>
      <c r="N8" s="59"/>
      <c r="O8" s="62">
        <f>VLOOKUP(C8,CPD!$B$9:$I$37,8,0)</f>
        <v>0</v>
      </c>
      <c r="P8" s="62">
        <f t="shared" si="2"/>
        <v>0</v>
      </c>
      <c r="Q8" s="62">
        <f>VLOOKUP(C8,CPD!$B$9:$R$37,17,0)</f>
        <v>0</v>
      </c>
      <c r="R8" s="62">
        <f>VLOOKUP(C8,CPD!$B$9:$Q$37,16,0)</f>
        <v>0</v>
      </c>
      <c r="S8" s="62">
        <f>VLOOKUP(C8,CPD!$B$9:$S$37,18,0)</f>
        <v>0</v>
      </c>
      <c r="T8" s="62">
        <f>VLOOKUP(C8,CPD!$B$9:$T$37,19,0)</f>
        <v>0</v>
      </c>
      <c r="W8" s="62">
        <f>VLOOKUP(C8,CPD!$B$9:$V$37,21,0)</f>
        <v>0</v>
      </c>
      <c r="X8" s="58"/>
      <c r="Y8" s="62">
        <f t="shared" si="3"/>
        <v>6500</v>
      </c>
      <c r="Z8" s="60">
        <f t="shared" si="4"/>
        <v>0</v>
      </c>
      <c r="AA8" s="60"/>
    </row>
    <row r="9" spans="1:249" s="62" customFormat="1" x14ac:dyDescent="0.2">
      <c r="A9" s="113" t="s">
        <v>225</v>
      </c>
      <c r="B9" s="113" t="s">
        <v>6</v>
      </c>
      <c r="C9" s="112" t="s">
        <v>336</v>
      </c>
      <c r="D9" s="113">
        <f>VLOOKUP(C9,CPD!$B$9:$Y$37,24,0)</f>
        <v>5074</v>
      </c>
      <c r="E9" s="113"/>
      <c r="F9" s="123"/>
      <c r="G9" s="62">
        <f>VLOOKUP(C9,SINDICATO!$C$7:$F$35,4,0)</f>
        <v>4176.0000000000009</v>
      </c>
      <c r="H9" s="62">
        <f>VLOOKUP(C9,SINDICATO!$C$7:$G$35,5,0)</f>
        <v>0</v>
      </c>
      <c r="I9" s="62">
        <f>VLOOKUP(C9,SINDICATO!$C$7:$H$34,6,0)</f>
        <v>0</v>
      </c>
      <c r="J9" s="58"/>
      <c r="K9" s="62">
        <f t="shared" si="1"/>
        <v>9250</v>
      </c>
      <c r="L9" s="62">
        <f>VLOOKUP(C9,ABC!$A$3:$B$88,2,0)</f>
        <v>18500</v>
      </c>
      <c r="M9" s="62">
        <f t="shared" si="0"/>
        <v>9250</v>
      </c>
      <c r="N9" s="59"/>
      <c r="O9" s="62">
        <f>VLOOKUP(C9,CPD!$B$9:$I$37,8,0)</f>
        <v>0</v>
      </c>
      <c r="P9" s="62">
        <f t="shared" si="2"/>
        <v>0</v>
      </c>
      <c r="Q9" s="62">
        <f>VLOOKUP(C9,CPD!$B$9:$R$37,17,0)</f>
        <v>0</v>
      </c>
      <c r="R9" s="62">
        <f>VLOOKUP(C9,CPD!$B$9:$Q$37,16,0)</f>
        <v>0</v>
      </c>
      <c r="S9" s="62">
        <f>VLOOKUP(C9,CPD!$B$9:$S$37,18,0)</f>
        <v>0</v>
      </c>
      <c r="T9" s="62">
        <f>VLOOKUP(C9,CPD!$B$9:$T$37,19,0)</f>
        <v>0</v>
      </c>
      <c r="W9" s="62">
        <f>VLOOKUP(C9,CPD!$B$9:$V$37,21,0)</f>
        <v>0</v>
      </c>
      <c r="X9" s="58"/>
      <c r="Y9" s="62">
        <f t="shared" si="3"/>
        <v>9250</v>
      </c>
      <c r="Z9" s="60">
        <f t="shared" si="4"/>
        <v>0</v>
      </c>
      <c r="AA9" s="60"/>
    </row>
    <row r="10" spans="1:249" s="62" customFormat="1" x14ac:dyDescent="0.2">
      <c r="A10" s="113" t="s">
        <v>16</v>
      </c>
      <c r="B10" s="113" t="s">
        <v>6</v>
      </c>
      <c r="C10" s="112" t="s">
        <v>337</v>
      </c>
      <c r="D10" s="113">
        <f>VLOOKUP(C10,CPD!$B$9:$Y$37,24,0)</f>
        <v>4899.6000000000004</v>
      </c>
      <c r="E10" s="113"/>
      <c r="F10" s="123"/>
      <c r="G10" s="62">
        <f>VLOOKUP(C10,SINDICATO!$C$7:$F$35,4,0)</f>
        <v>2600.3999999999996</v>
      </c>
      <c r="H10" s="62">
        <f>VLOOKUP(C10,SINDICATO!$C$7:$G$35,5,0)</f>
        <v>356.25</v>
      </c>
      <c r="I10" s="62">
        <f>VLOOKUP(C10,SINDICATO!$C$7:$H$34,6,0)</f>
        <v>0</v>
      </c>
      <c r="J10" s="58"/>
      <c r="K10" s="62">
        <f t="shared" si="1"/>
        <v>7856.25</v>
      </c>
      <c r="L10" s="62">
        <f>VLOOKUP(C10,ABC!$A$3:$B$88,2,0)</f>
        <v>15000</v>
      </c>
      <c r="M10" s="62">
        <f t="shared" si="0"/>
        <v>7500</v>
      </c>
      <c r="N10" s="59"/>
      <c r="O10" s="62">
        <f>VLOOKUP(C10,CPD!$B$9:$I$37,8,0)</f>
        <v>0</v>
      </c>
      <c r="P10" s="62">
        <f t="shared" si="2"/>
        <v>356.25</v>
      </c>
      <c r="Q10" s="62">
        <f>VLOOKUP(C10,CPD!$B$9:$R$37,17,0)</f>
        <v>0</v>
      </c>
      <c r="R10" s="62">
        <f>VLOOKUP(C10,CPD!$B$9:$Q$37,16,0)</f>
        <v>0</v>
      </c>
      <c r="S10" s="62">
        <f>VLOOKUP(C10,CPD!$B$9:$S$37,18,0)</f>
        <v>0</v>
      </c>
      <c r="T10" s="62">
        <f>VLOOKUP(C10,CPD!$B$9:$T$37,19,0)</f>
        <v>0</v>
      </c>
      <c r="W10" s="62">
        <f>VLOOKUP(C10,CPD!$B$9:$V$37,21,0)</f>
        <v>0</v>
      </c>
      <c r="X10" s="58"/>
      <c r="Y10" s="62">
        <f t="shared" si="3"/>
        <v>7500</v>
      </c>
      <c r="Z10" s="60">
        <f t="shared" si="4"/>
        <v>0</v>
      </c>
      <c r="AA10" s="60"/>
    </row>
    <row r="11" spans="1:249" s="62" customFormat="1" x14ac:dyDescent="0.2">
      <c r="A11" s="113" t="s">
        <v>18</v>
      </c>
      <c r="B11" s="113" t="s">
        <v>6</v>
      </c>
      <c r="C11" s="112" t="s">
        <v>338</v>
      </c>
      <c r="D11" s="113">
        <f>VLOOKUP(C11,CPD!$B$9:$Y$37,24,0)</f>
        <v>1733</v>
      </c>
      <c r="E11" s="113"/>
      <c r="F11" s="123"/>
      <c r="G11" s="62">
        <f>VLOOKUP(C11,SINDICATO!$C$7:$F$35,4,0)</f>
        <v>1557.9099999999999</v>
      </c>
      <c r="H11" s="62">
        <f>VLOOKUP(C11,SINDICATO!$C$7:$G$35,5,0)</f>
        <v>432.22</v>
      </c>
      <c r="I11" s="62">
        <f>VLOOKUP(C11,SINDICATO!$C$7:$H$34,6,0)</f>
        <v>0</v>
      </c>
      <c r="J11" s="58"/>
      <c r="K11" s="62">
        <f t="shared" si="1"/>
        <v>3723.13</v>
      </c>
      <c r="L11" s="62">
        <f>VLOOKUP(C11,ABC!$A$3:$B$88,2,0)</f>
        <v>10150</v>
      </c>
      <c r="M11" s="62">
        <f t="shared" si="0"/>
        <v>5075</v>
      </c>
      <c r="N11" s="59"/>
      <c r="O11" s="62">
        <f>VLOOKUP(C11,CPD!$B$9:$I$37,8,0)</f>
        <v>0</v>
      </c>
      <c r="P11" s="62">
        <f t="shared" si="2"/>
        <v>432.22</v>
      </c>
      <c r="Q11" s="62">
        <f>VLOOKUP(C11,CPD!$B$9:$R$37,17,0)</f>
        <v>1559.39</v>
      </c>
      <c r="R11" s="62">
        <f>VLOOKUP(C11,CPD!$B$9:$Q$37,16,0)</f>
        <v>0</v>
      </c>
      <c r="S11" s="62">
        <f>VLOOKUP(C11,CPD!$B$9:$S$37,18,0)</f>
        <v>0</v>
      </c>
      <c r="T11" s="62">
        <f>VLOOKUP(C11,CPD!$B$9:$T$37,19,0)</f>
        <v>0</v>
      </c>
      <c r="W11" s="62">
        <f>VLOOKUP(C11,CPD!$B$9:$V$37,21,0)</f>
        <v>224.7</v>
      </c>
      <c r="X11" s="58"/>
      <c r="Y11" s="62">
        <f t="shared" si="3"/>
        <v>5075</v>
      </c>
      <c r="Z11" s="60">
        <f t="shared" si="4"/>
        <v>0</v>
      </c>
      <c r="AA11" s="60"/>
    </row>
    <row r="12" spans="1:249" s="62" customFormat="1" x14ac:dyDescent="0.2">
      <c r="A12" s="113" t="s">
        <v>20</v>
      </c>
      <c r="B12" s="113" t="s">
        <v>6</v>
      </c>
      <c r="C12" s="112" t="s">
        <v>339</v>
      </c>
      <c r="D12" s="113">
        <f>VLOOKUP(C12,CPD!$B$9:$Y$37,24,0)</f>
        <v>4981.6000000000004</v>
      </c>
      <c r="E12" s="113"/>
      <c r="F12" s="123"/>
      <c r="G12" s="62">
        <f>VLOOKUP(C12,SINDICATO!$C$7:$F$35,4,0)</f>
        <v>2600.3999999999992</v>
      </c>
      <c r="H12" s="62">
        <f>VLOOKUP(C12,SINDICATO!$C$7:$G$35,5,0)</f>
        <v>891.47</v>
      </c>
      <c r="I12" s="62">
        <f>VLOOKUP(C12,SINDICATO!$C$7:$H$34,6,0)</f>
        <v>68</v>
      </c>
      <c r="J12" s="58"/>
      <c r="K12" s="62">
        <f t="shared" si="1"/>
        <v>8541.4699999999993</v>
      </c>
      <c r="L12" s="62">
        <f>VLOOKUP(C12,ABC!$A$3:$B$88,2,0)</f>
        <v>15000</v>
      </c>
      <c r="M12" s="62">
        <f t="shared" si="0"/>
        <v>7500</v>
      </c>
      <c r="N12" s="59"/>
      <c r="O12" s="62">
        <f>VLOOKUP(C12,CPD!$B$9:$I$37,8,0)</f>
        <v>82</v>
      </c>
      <c r="P12" s="62">
        <f t="shared" si="2"/>
        <v>959.47</v>
      </c>
      <c r="Q12" s="62">
        <f>VLOOKUP(C12,CPD!$B$9:$R$37,17,0)</f>
        <v>0</v>
      </c>
      <c r="R12" s="62">
        <f>VLOOKUP(C12,CPD!$B$9:$Q$37,16,0)</f>
        <v>0</v>
      </c>
      <c r="S12" s="62">
        <f>VLOOKUP(C12,CPD!$B$9:$S$37,18,0)</f>
        <v>0</v>
      </c>
      <c r="T12" s="62">
        <f>VLOOKUP(C12,CPD!$B$9:$T$37,19,0)</f>
        <v>0</v>
      </c>
      <c r="W12" s="62">
        <f>VLOOKUP(C12,CPD!$B$9:$V$37,21,0)</f>
        <v>0</v>
      </c>
      <c r="X12" s="58"/>
      <c r="Y12" s="62">
        <f t="shared" si="3"/>
        <v>7499.9999999999991</v>
      </c>
      <c r="Z12" s="60">
        <f t="shared" si="4"/>
        <v>0</v>
      </c>
      <c r="AA12" s="60"/>
    </row>
    <row r="13" spans="1:249" s="62" customFormat="1" x14ac:dyDescent="0.2">
      <c r="A13" s="113" t="s">
        <v>22</v>
      </c>
      <c r="B13" s="113" t="s">
        <v>6</v>
      </c>
      <c r="C13" s="112" t="s">
        <v>340</v>
      </c>
      <c r="D13" s="113">
        <f>VLOOKUP(C13,CPD!$B$9:$Y$37,24,0)</f>
        <v>1707</v>
      </c>
      <c r="E13" s="113"/>
      <c r="F13" s="123"/>
      <c r="G13" s="62">
        <f>VLOOKUP(C13,SINDICATO!$C$7:$F$35,4,0)</f>
        <v>1558.1800000000003</v>
      </c>
      <c r="H13" s="62">
        <f>VLOOKUP(C13,SINDICATO!$C$7:$G$35,5,0)</f>
        <v>366.93</v>
      </c>
      <c r="I13" s="62">
        <f>VLOOKUP(C13,SINDICATO!$C$7:$H$34,6,0)</f>
        <v>0</v>
      </c>
      <c r="J13" s="58"/>
      <c r="K13" s="62">
        <f t="shared" si="1"/>
        <v>3632.11</v>
      </c>
      <c r="L13" s="62">
        <f>VLOOKUP(C13,ABC!$A$3:$B$88,2,0)</f>
        <v>10150</v>
      </c>
      <c r="M13" s="62">
        <f t="shared" si="0"/>
        <v>5075</v>
      </c>
      <c r="N13" s="59"/>
      <c r="O13" s="62">
        <f>VLOOKUP(C13,CPD!$B$9:$I$37,8,0)</f>
        <v>0</v>
      </c>
      <c r="P13" s="62">
        <f t="shared" si="2"/>
        <v>366.93</v>
      </c>
      <c r="Q13" s="62">
        <f>VLOOKUP(C13,CPD!$B$9:$R$37,17,0)</f>
        <v>1809.82</v>
      </c>
      <c r="R13" s="62">
        <f>VLOOKUP(C13,CPD!$B$9:$Q$37,16,0)</f>
        <v>0</v>
      </c>
      <c r="S13" s="62">
        <f>VLOOKUP(C13,CPD!$B$9:$S$37,18,0)</f>
        <v>0</v>
      </c>
      <c r="T13" s="62">
        <f>VLOOKUP(C13,CPD!$B$9:$T$37,19,0)</f>
        <v>0</v>
      </c>
      <c r="W13" s="62">
        <f>VLOOKUP(C13,CPD!$B$9:$V$37,21,0)</f>
        <v>0</v>
      </c>
      <c r="X13" s="58"/>
      <c r="Y13" s="62">
        <f t="shared" si="3"/>
        <v>5075</v>
      </c>
      <c r="Z13" s="60">
        <f t="shared" si="4"/>
        <v>0</v>
      </c>
      <c r="AA13" s="60"/>
    </row>
    <row r="14" spans="1:249" s="62" customFormat="1" x14ac:dyDescent="0.2">
      <c r="A14" s="113" t="s">
        <v>24</v>
      </c>
      <c r="B14" s="113" t="s">
        <v>6</v>
      </c>
      <c r="C14" s="112" t="s">
        <v>341</v>
      </c>
      <c r="D14" s="113">
        <f>VLOOKUP(C14,CPD!$B$9:$Y$37,24,0)</f>
        <v>3063.8</v>
      </c>
      <c r="E14" s="113"/>
      <c r="F14" s="123"/>
      <c r="G14" s="62">
        <f>VLOOKUP(C14,SINDICATO!$C$7:$F$35,4,0)</f>
        <v>1891.0299999999997</v>
      </c>
      <c r="H14" s="62">
        <f>VLOOKUP(C14,SINDICATO!$C$7:$G$35,5,0)</f>
        <v>0</v>
      </c>
      <c r="I14" s="62">
        <f>VLOOKUP(C14,SINDICATO!$C$7:$H$34,6,0)</f>
        <v>0</v>
      </c>
      <c r="J14" s="58"/>
      <c r="K14" s="62">
        <f t="shared" si="1"/>
        <v>4954.83</v>
      </c>
      <c r="L14" s="62">
        <f>VLOOKUP(C14,ABC!$A$3:$B$88,2,0)</f>
        <v>12000</v>
      </c>
      <c r="M14" s="62">
        <f t="shared" si="0"/>
        <v>6000</v>
      </c>
      <c r="N14" s="59"/>
      <c r="O14" s="62">
        <f>VLOOKUP(C14,CPD!$B$9:$I$37,8,0)</f>
        <v>0</v>
      </c>
      <c r="P14" s="62">
        <f t="shared" si="2"/>
        <v>0</v>
      </c>
      <c r="Q14" s="62">
        <f>VLOOKUP(C14,CPD!$B$9:$R$37,17,0)</f>
        <v>1045.17</v>
      </c>
      <c r="R14" s="62">
        <f>VLOOKUP(C14,CPD!$B$9:$Q$37,16,0)</f>
        <v>0</v>
      </c>
      <c r="S14" s="62">
        <f>VLOOKUP(C14,CPD!$B$9:$S$37,18,0)</f>
        <v>0</v>
      </c>
      <c r="T14" s="62">
        <f>VLOOKUP(C14,CPD!$B$9:$T$37,19,0)</f>
        <v>0</v>
      </c>
      <c r="W14" s="62">
        <f>VLOOKUP(C14,CPD!$B$9:$V$37,21,0)</f>
        <v>0</v>
      </c>
      <c r="X14" s="58"/>
      <c r="Y14" s="62">
        <f t="shared" si="3"/>
        <v>6000</v>
      </c>
      <c r="Z14" s="60">
        <f t="shared" si="4"/>
        <v>0</v>
      </c>
      <c r="AA14" s="60"/>
    </row>
    <row r="15" spans="1:249" s="60" customFormat="1" x14ac:dyDescent="0.2">
      <c r="A15" s="115" t="s">
        <v>26</v>
      </c>
      <c r="B15" s="115" t="s">
        <v>6</v>
      </c>
      <c r="C15" s="114" t="s">
        <v>342</v>
      </c>
      <c r="D15" s="113">
        <f>VLOOKUP(C15,CPD!$B$9:$Y$37,24,0)</f>
        <v>2694.4</v>
      </c>
      <c r="E15" s="115"/>
      <c r="F15" s="123"/>
      <c r="G15" s="62">
        <f>VLOOKUP(C15,SINDICATO!$C$7:$F$35,4,0)</f>
        <v>2751.0400000000009</v>
      </c>
      <c r="H15" s="62">
        <f>VLOOKUP(C15,SINDICATO!$C$7:$G$35,5,0)</f>
        <v>150</v>
      </c>
      <c r="I15" s="62">
        <f>VLOOKUP(C15,SINDICATO!$C$7:$H$34,6,0)</f>
        <v>0</v>
      </c>
      <c r="J15" s="58"/>
      <c r="K15" s="62">
        <f t="shared" si="1"/>
        <v>5595.4400000000005</v>
      </c>
      <c r="L15" s="60">
        <v>15000</v>
      </c>
      <c r="M15" s="60">
        <f t="shared" si="0"/>
        <v>7500</v>
      </c>
      <c r="N15" s="59"/>
      <c r="O15" s="62">
        <f>VLOOKUP(C15,CPD!$B$9:$I$37,8,0)</f>
        <v>0</v>
      </c>
      <c r="P15" s="62">
        <f t="shared" si="2"/>
        <v>150</v>
      </c>
      <c r="Q15" s="62">
        <f>VLOOKUP(C15,CPD!$B$9:$R$37,17,0)</f>
        <v>1658.56</v>
      </c>
      <c r="R15" s="62">
        <f>VLOOKUP(C15,CPD!$B$9:$Q$37,16,0)</f>
        <v>0</v>
      </c>
      <c r="S15" s="62">
        <f>VLOOKUP(C15,CPD!$B$9:$S$37,18,0)</f>
        <v>0</v>
      </c>
      <c r="T15" s="62">
        <f>VLOOKUP(C15,CPD!$B$9:$T$37,19,0)</f>
        <v>0</v>
      </c>
      <c r="U15" s="62"/>
      <c r="V15" s="62"/>
      <c r="W15" s="62">
        <f>VLOOKUP(C15,CPD!$B$9:$V$37,21,0)</f>
        <v>396</v>
      </c>
      <c r="X15" s="58"/>
      <c r="Y15" s="62">
        <f t="shared" si="3"/>
        <v>7500</v>
      </c>
      <c r="Z15" s="60">
        <f t="shared" si="4"/>
        <v>0</v>
      </c>
    </row>
    <row r="16" spans="1:249" s="62" customFormat="1" x14ac:dyDescent="0.2">
      <c r="A16" s="113" t="s">
        <v>28</v>
      </c>
      <c r="B16" s="113" t="s">
        <v>6</v>
      </c>
      <c r="C16" s="112" t="s">
        <v>343</v>
      </c>
      <c r="D16" s="113">
        <f>VLOOKUP(C16,CPD!$B$9:$Y$37,24,0)</f>
        <v>2586.6</v>
      </c>
      <c r="E16" s="113"/>
      <c r="F16" s="123"/>
      <c r="G16" s="62">
        <f>VLOOKUP(C16,SINDICATO!$C$7:$F$35,4,0)</f>
        <v>2102.869999999999</v>
      </c>
      <c r="H16" s="62">
        <f>VLOOKUP(C16,SINDICATO!$C$7:$G$35,5,0)</f>
        <v>200</v>
      </c>
      <c r="I16" s="62">
        <f>VLOOKUP(C16,SINDICATO!$C$7:$H$34,6,0)</f>
        <v>234.01</v>
      </c>
      <c r="J16" s="58"/>
      <c r="K16" s="62">
        <f t="shared" si="1"/>
        <v>5123.4799999999996</v>
      </c>
      <c r="L16" s="62">
        <f>VLOOKUP(C16,ABC!$A$3:$B$88,2,0)</f>
        <v>13000</v>
      </c>
      <c r="M16" s="62">
        <f t="shared" si="0"/>
        <v>6500</v>
      </c>
      <c r="N16" s="59"/>
      <c r="O16" s="62">
        <f>VLOOKUP(C16,CPD!$B$9:$I$37,8,0)</f>
        <v>285.99</v>
      </c>
      <c r="P16" s="62">
        <f t="shared" si="2"/>
        <v>434.01</v>
      </c>
      <c r="Q16" s="62">
        <f>VLOOKUP(C16,CPD!$B$9:$R$37,17,0)</f>
        <v>1418.5</v>
      </c>
      <c r="R16" s="62">
        <f>VLOOKUP(C16,CPD!$B$9:$Q$37,16,0)</f>
        <v>0</v>
      </c>
      <c r="S16" s="62">
        <f>VLOOKUP(C16,CPD!$B$9:$S$37,18,0)</f>
        <v>0</v>
      </c>
      <c r="T16" s="62">
        <f>VLOOKUP(C16,CPD!$B$9:$T$37,19,0)</f>
        <v>0</v>
      </c>
      <c r="W16" s="62">
        <f>VLOOKUP(C16,CPD!$B$9:$V$37,21,0)</f>
        <v>678.02</v>
      </c>
      <c r="X16" s="58"/>
      <c r="Y16" s="62">
        <f t="shared" si="3"/>
        <v>6500</v>
      </c>
      <c r="Z16" s="60">
        <f t="shared" si="4"/>
        <v>0</v>
      </c>
      <c r="AA16" s="60"/>
    </row>
    <row r="17" spans="1:27" s="62" customFormat="1" x14ac:dyDescent="0.2">
      <c r="A17" s="113" t="s">
        <v>233</v>
      </c>
      <c r="B17" s="113" t="s">
        <v>6</v>
      </c>
      <c r="C17" s="112" t="s">
        <v>615</v>
      </c>
      <c r="D17" s="113">
        <f>VLOOKUP(C17,CPD!$B$9:$Y$37,24,0)</f>
        <v>3449.2</v>
      </c>
      <c r="E17" s="113"/>
      <c r="F17" s="123"/>
      <c r="G17" s="62">
        <f>VLOOKUP(C17,SINDICATO!$C$7:$F$35,4,0)</f>
        <v>2102.9499999999998</v>
      </c>
      <c r="H17" s="62">
        <f>VLOOKUP(C17,SINDICATO!$C$7:$G$35,5,0)</f>
        <v>0</v>
      </c>
      <c r="I17" s="62">
        <f>VLOOKUP(C17,SINDICATO!$C$7:$H$34,6,0)</f>
        <v>0</v>
      </c>
      <c r="J17" s="58">
        <v>0</v>
      </c>
      <c r="K17" s="62">
        <f t="shared" si="1"/>
        <v>5552.15</v>
      </c>
      <c r="L17" s="62">
        <v>13000</v>
      </c>
      <c r="M17" s="62">
        <f t="shared" si="0"/>
        <v>6500</v>
      </c>
      <c r="N17" s="59"/>
      <c r="O17" s="62">
        <f>VLOOKUP(C17,CPD!$B$9:$I$37,8,0)</f>
        <v>0</v>
      </c>
      <c r="P17" s="62">
        <f t="shared" si="2"/>
        <v>0</v>
      </c>
      <c r="Q17" s="62">
        <f>VLOOKUP(C17,CPD!$B$9:$R$37,17,0)</f>
        <v>0</v>
      </c>
      <c r="R17" s="62">
        <f>VLOOKUP(C17,CPD!$B$9:$Q$37,16,0)</f>
        <v>947.85</v>
      </c>
      <c r="S17" s="62">
        <f>VLOOKUP(C17,CPD!$B$9:$S$37,18,0)</f>
        <v>0</v>
      </c>
      <c r="T17" s="62">
        <f>VLOOKUP(C17,CPD!$B$9:$T$37,19,0)</f>
        <v>0</v>
      </c>
      <c r="W17" s="62">
        <f>VLOOKUP(C17,CPD!$B$9:$V$37,21,0)</f>
        <v>0</v>
      </c>
      <c r="X17" s="58">
        <v>0</v>
      </c>
      <c r="Y17" s="62">
        <f t="shared" si="3"/>
        <v>6500</v>
      </c>
      <c r="Z17" s="60">
        <f t="shared" si="4"/>
        <v>0</v>
      </c>
      <c r="AA17" s="61"/>
    </row>
    <row r="18" spans="1:27" s="62" customFormat="1" x14ac:dyDescent="0.2">
      <c r="A18" s="113" t="s">
        <v>32</v>
      </c>
      <c r="B18" s="113" t="s">
        <v>6</v>
      </c>
      <c r="C18" s="114" t="s">
        <v>143</v>
      </c>
      <c r="D18" s="113">
        <f>VLOOKUP(C18,CPD!$B$9:$Y$37,24,0)</f>
        <v>4899.8</v>
      </c>
      <c r="E18" s="113"/>
      <c r="F18" s="124"/>
      <c r="G18" s="62">
        <f>VLOOKUP(C18,SINDICATO!$C$7:$F$35,4,0)</f>
        <v>2600.1999999999998</v>
      </c>
      <c r="H18" s="62">
        <f>VLOOKUP(C18,SINDICATO!$C$7:$G$35,5,0)</f>
        <v>371.43</v>
      </c>
      <c r="I18" s="62">
        <f>VLOOKUP(C18,SINDICATO!$C$7:$H$34,6,0)</f>
        <v>0</v>
      </c>
      <c r="J18" s="58"/>
      <c r="K18" s="62">
        <f t="shared" si="1"/>
        <v>7871.43</v>
      </c>
      <c r="L18" s="62">
        <f>VLOOKUP(C18,ABC!$A$3:$B$88,2,0)</f>
        <v>15000</v>
      </c>
      <c r="M18" s="62">
        <f t="shared" si="0"/>
        <v>7500</v>
      </c>
      <c r="N18" s="59"/>
      <c r="O18" s="62">
        <f>VLOOKUP(C18,CPD!$B$9:$I$37,8,0)</f>
        <v>0</v>
      </c>
      <c r="P18" s="62">
        <f t="shared" si="2"/>
        <v>371.43</v>
      </c>
      <c r="Q18" s="62">
        <f>VLOOKUP(C18,CPD!$B$9:$R$37,17,0)</f>
        <v>0</v>
      </c>
      <c r="R18" s="62">
        <f>VLOOKUP(C18,CPD!$B$9:$Q$37,16,0)</f>
        <v>0</v>
      </c>
      <c r="S18" s="62">
        <f>VLOOKUP(C18,CPD!$B$9:$S$37,18,0)</f>
        <v>0</v>
      </c>
      <c r="T18" s="62">
        <f>VLOOKUP(C18,CPD!$B$9:$T$37,19,0)</f>
        <v>0</v>
      </c>
      <c r="W18" s="62">
        <f>VLOOKUP(C18,CPD!$B$9:$V$37,21,0)</f>
        <v>0</v>
      </c>
      <c r="X18" s="58"/>
      <c r="Y18" s="62">
        <f t="shared" si="3"/>
        <v>7500</v>
      </c>
      <c r="Z18" s="60">
        <f t="shared" si="4"/>
        <v>0</v>
      </c>
      <c r="AA18" s="60"/>
    </row>
    <row r="19" spans="1:27" s="62" customFormat="1" x14ac:dyDescent="0.2">
      <c r="A19" s="113" t="s">
        <v>237</v>
      </c>
      <c r="B19" s="113" t="s">
        <v>6</v>
      </c>
      <c r="C19" s="112" t="s">
        <v>346</v>
      </c>
      <c r="D19" s="113">
        <f>VLOOKUP(C19,CPD!$B$9:$Y$37,24,0)</f>
        <v>5077.8</v>
      </c>
      <c r="E19" s="113"/>
      <c r="F19" s="124"/>
      <c r="G19" s="62">
        <f>VLOOKUP(C19,SINDICATO!$C$7:$F$35,4,0)</f>
        <v>7009.1500000000005</v>
      </c>
      <c r="H19" s="62">
        <f>VLOOKUP(C19,SINDICATO!$C$7:$G$35,5,0)</f>
        <v>0</v>
      </c>
      <c r="I19" s="62">
        <f>VLOOKUP(C19,SINDICATO!$C$7:$H$34,6,0)</f>
        <v>0</v>
      </c>
      <c r="J19" s="58"/>
      <c r="K19" s="62">
        <f t="shared" si="1"/>
        <v>12086.95</v>
      </c>
      <c r="L19" s="62">
        <v>25000</v>
      </c>
      <c r="M19" s="62">
        <f t="shared" si="0"/>
        <v>12500</v>
      </c>
      <c r="N19" s="59"/>
      <c r="O19" s="62">
        <f>VLOOKUP(C19,CPD!$B$9:$I$37,8,0)</f>
        <v>0</v>
      </c>
      <c r="P19" s="62">
        <f t="shared" si="2"/>
        <v>0</v>
      </c>
      <c r="Q19" s="62">
        <f>VLOOKUP(C19,CPD!$B$9:$R$37,17,0)</f>
        <v>413.05</v>
      </c>
      <c r="R19" s="62">
        <f>VLOOKUP(C19,CPD!$B$9:$Q$37,16,0)</f>
        <v>0</v>
      </c>
      <c r="S19" s="62">
        <f>VLOOKUP(C19,CPD!$B$9:$S$37,18,0)</f>
        <v>0</v>
      </c>
      <c r="T19" s="62">
        <f>VLOOKUP(C19,CPD!$B$9:$T$37,19,0)</f>
        <v>0</v>
      </c>
      <c r="W19" s="62">
        <f>VLOOKUP(C19,CPD!$B$9:$V$37,21,0)</f>
        <v>0</v>
      </c>
      <c r="X19" s="58"/>
      <c r="Y19" s="62">
        <f t="shared" si="3"/>
        <v>12500</v>
      </c>
      <c r="Z19" s="60">
        <f t="shared" si="4"/>
        <v>0</v>
      </c>
      <c r="AA19" s="60"/>
    </row>
    <row r="20" spans="1:27" s="62" customFormat="1" x14ac:dyDescent="0.2">
      <c r="A20" s="113" t="s">
        <v>36</v>
      </c>
      <c r="B20" s="113" t="s">
        <v>6</v>
      </c>
      <c r="C20" s="112" t="s">
        <v>347</v>
      </c>
      <c r="D20" s="113">
        <f>VLOOKUP(C20,CPD!$B$9:$Y$37,24,0)</f>
        <v>1366.4</v>
      </c>
      <c r="E20" s="113"/>
      <c r="F20" s="124"/>
      <c r="G20" s="62">
        <f>VLOOKUP(C20,SINDICATO!$C$7:$F$35,4,0)</f>
        <v>1483.0600000000004</v>
      </c>
      <c r="H20" s="62">
        <f>VLOOKUP(C20,SINDICATO!$C$7:$G$35,5,0)</f>
        <v>103.16</v>
      </c>
      <c r="I20" s="62">
        <f>VLOOKUP(C20,SINDICATO!$C$7:$H$34,6,0)</f>
        <v>0</v>
      </c>
      <c r="J20" s="58"/>
      <c r="K20" s="62">
        <f t="shared" si="1"/>
        <v>2952.6200000000003</v>
      </c>
      <c r="L20" s="62">
        <f>VLOOKUP(C20,ABC!$A$3:$B$88,2,0)</f>
        <v>10000</v>
      </c>
      <c r="M20" s="62">
        <f t="shared" si="0"/>
        <v>5000</v>
      </c>
      <c r="N20" s="59"/>
      <c r="O20" s="62">
        <f>VLOOKUP(C20,CPD!$B$9:$I$37,8,0)</f>
        <v>0</v>
      </c>
      <c r="P20" s="62">
        <f t="shared" si="2"/>
        <v>103.16</v>
      </c>
      <c r="Q20" s="62">
        <f>VLOOKUP(C20,CPD!$B$9:$R$37,17,0)</f>
        <v>2150.54</v>
      </c>
      <c r="R20" s="62">
        <f>VLOOKUP(C20,CPD!$B$9:$Q$37,16,0)</f>
        <v>0</v>
      </c>
      <c r="S20" s="62">
        <f>VLOOKUP(C20,CPD!$B$9:$S$37,18,0)</f>
        <v>0</v>
      </c>
      <c r="T20" s="62">
        <f>VLOOKUP(C20,CPD!$B$9:$T$37,19,0)</f>
        <v>0</v>
      </c>
      <c r="W20" s="62">
        <f>VLOOKUP(C20,CPD!$B$9:$V$37,21,0)</f>
        <v>0</v>
      </c>
      <c r="X20" s="58"/>
      <c r="Y20" s="62">
        <f t="shared" si="3"/>
        <v>5000</v>
      </c>
      <c r="Z20" s="60">
        <f t="shared" si="4"/>
        <v>0</v>
      </c>
      <c r="AA20" s="60"/>
    </row>
    <row r="21" spans="1:27" s="62" customFormat="1" x14ac:dyDescent="0.2">
      <c r="A21" s="113" t="s">
        <v>238</v>
      </c>
      <c r="B21" s="113" t="s">
        <v>6</v>
      </c>
      <c r="C21" s="112" t="s">
        <v>348</v>
      </c>
      <c r="D21" s="113">
        <f>VLOOKUP(C21,CPD!$B$9:$Y$37,24,0)</f>
        <v>16969.2</v>
      </c>
      <c r="E21" s="113"/>
      <c r="F21" s="124"/>
      <c r="G21" s="62">
        <f>VLOOKUP(C21,SINDICATO!$C$7:$F$35,4,0)</f>
        <v>12613.2</v>
      </c>
      <c r="H21" s="62">
        <f>VLOOKUP(C21,SINDICATO!$C$7:$G$35,5,0)</f>
        <v>0</v>
      </c>
      <c r="I21" s="62">
        <f>VLOOKUP(C21,SINDICATO!$C$7:$H$34,6,0)</f>
        <v>0</v>
      </c>
      <c r="J21" s="58"/>
      <c r="K21" s="62">
        <f t="shared" si="1"/>
        <v>29582.400000000001</v>
      </c>
      <c r="L21" s="62">
        <v>60000</v>
      </c>
      <c r="M21" s="62">
        <f t="shared" si="0"/>
        <v>30000</v>
      </c>
      <c r="N21" s="59"/>
      <c r="O21" s="62">
        <f>VLOOKUP(C21,CPD!$B$9:$I$37,8,0)</f>
        <v>0</v>
      </c>
      <c r="P21" s="62">
        <f t="shared" si="2"/>
        <v>0</v>
      </c>
      <c r="Q21" s="62">
        <f>VLOOKUP(C21,CPD!$B$9:$R$37,17,0)</f>
        <v>0</v>
      </c>
      <c r="R21" s="62">
        <f>VLOOKUP(C21,CPD!$B$9:$Q$37,16,0)</f>
        <v>0</v>
      </c>
      <c r="S21" s="62">
        <f>VLOOKUP(C21,CPD!$B$9:$S$37,18,0)</f>
        <v>0</v>
      </c>
      <c r="T21" s="62">
        <f>VLOOKUP(C21,CPD!$B$9:$T$37,19,0)</f>
        <v>0</v>
      </c>
      <c r="U21" s="125"/>
      <c r="W21" s="62">
        <f>VLOOKUP(C21,CPD!$B$9:$V$37,21,0)</f>
        <v>417.6</v>
      </c>
      <c r="X21" s="58"/>
      <c r="Y21" s="62">
        <f t="shared" si="3"/>
        <v>30000</v>
      </c>
      <c r="Z21" s="60">
        <f t="shared" si="4"/>
        <v>0</v>
      </c>
      <c r="AA21" s="60"/>
    </row>
    <row r="22" spans="1:27" s="62" customFormat="1" x14ac:dyDescent="0.2">
      <c r="A22" s="113" t="s">
        <v>239</v>
      </c>
      <c r="B22" s="113" t="s">
        <v>6</v>
      </c>
      <c r="C22" s="112" t="s">
        <v>349</v>
      </c>
      <c r="D22" s="113">
        <f>VLOOKUP(C22,CPD!$B$9:$Y$37,24,0)</f>
        <v>4108.8</v>
      </c>
      <c r="E22" s="113"/>
      <c r="F22" s="124"/>
      <c r="G22" s="62">
        <f>VLOOKUP(C22,SINDICATO!$C$7:$F$35,4,0)</f>
        <v>1891.1999999999994</v>
      </c>
      <c r="H22" s="62">
        <f>VLOOKUP(C22,SINDICATO!$C$7:$G$35,5,0)</f>
        <v>0</v>
      </c>
      <c r="I22" s="62">
        <f>VLOOKUP(C22,SINDICATO!$C$7:$H$34,6,0)</f>
        <v>0</v>
      </c>
      <c r="J22" s="58"/>
      <c r="K22" s="62">
        <f t="shared" si="1"/>
        <v>6000</v>
      </c>
      <c r="L22" s="62">
        <v>12000</v>
      </c>
      <c r="M22" s="62">
        <f t="shared" si="0"/>
        <v>6000</v>
      </c>
      <c r="N22" s="59"/>
      <c r="O22" s="62">
        <f>VLOOKUP(C22,CPD!$B$9:$I$37,8,0)</f>
        <v>0</v>
      </c>
      <c r="P22" s="62">
        <f t="shared" si="2"/>
        <v>0</v>
      </c>
      <c r="Q22" s="62">
        <f>VLOOKUP(C22,CPD!$B$9:$R$37,17,0)</f>
        <v>0</v>
      </c>
      <c r="R22" s="62">
        <f>VLOOKUP(C22,CPD!$B$9:$Q$37,16,0)</f>
        <v>0</v>
      </c>
      <c r="S22" s="62">
        <f>VLOOKUP(C22,CPD!$B$9:$S$37,18,0)</f>
        <v>0</v>
      </c>
      <c r="T22" s="62">
        <f>VLOOKUP(C22,CPD!$B$9:$T$37,19,0)</f>
        <v>0</v>
      </c>
      <c r="W22" s="62">
        <f>VLOOKUP(C22,CPD!$B$9:$V$37,21,0)</f>
        <v>0</v>
      </c>
      <c r="X22" s="58"/>
      <c r="Y22" s="62">
        <f t="shared" si="3"/>
        <v>6000</v>
      </c>
      <c r="Z22" s="60">
        <f t="shared" si="4"/>
        <v>0</v>
      </c>
      <c r="AA22" s="60"/>
    </row>
    <row r="23" spans="1:27" s="62" customFormat="1" x14ac:dyDescent="0.2">
      <c r="A23" s="63" t="s">
        <v>412</v>
      </c>
      <c r="B23" s="113" t="s">
        <v>6</v>
      </c>
      <c r="C23" s="63" t="s">
        <v>413</v>
      </c>
      <c r="D23" s="113">
        <f>VLOOKUP(C23,CPD!$B$9:$Y$37,24,0)</f>
        <v>2912</v>
      </c>
      <c r="E23" s="113"/>
      <c r="F23" s="124"/>
      <c r="G23" s="62">
        <f>VLOOKUP(C23,SINDICATO!$C$7:$F$35,4,0)</f>
        <v>1588</v>
      </c>
      <c r="H23" s="62">
        <f>VLOOKUP(C23,SINDICATO!$C$7:$G$35,5,0)</f>
        <v>0</v>
      </c>
      <c r="I23" s="62">
        <f>VLOOKUP(C23,SINDICATO!$C$7:$H$34,6,0)</f>
        <v>0</v>
      </c>
      <c r="J23" s="58"/>
      <c r="K23" s="62">
        <f t="shared" si="1"/>
        <v>4500</v>
      </c>
      <c r="L23" s="62">
        <f>VLOOKUP(C23,ABC!$A$3:$B$88,2,0)</f>
        <v>9000</v>
      </c>
      <c r="M23" s="62">
        <f>+L23/2</f>
        <v>4500</v>
      </c>
      <c r="N23" s="59"/>
      <c r="O23" s="62">
        <f>VLOOKUP(C23,CPD!$B$9:$I$37,8,0)</f>
        <v>0</v>
      </c>
      <c r="P23" s="62">
        <f t="shared" si="2"/>
        <v>0</v>
      </c>
      <c r="Q23" s="62">
        <f>VLOOKUP(C23,CPD!$B$9:$R$37,17,0)</f>
        <v>0</v>
      </c>
      <c r="R23" s="62">
        <f>VLOOKUP(C23,CPD!$B$9:$Q$37,16,0)</f>
        <v>0</v>
      </c>
      <c r="S23" s="62">
        <f>VLOOKUP(C23,CPD!$B$9:$S$37,18,0)</f>
        <v>0</v>
      </c>
      <c r="T23" s="62">
        <f>VLOOKUP(C23,CPD!$B$9:$T$37,19,0)</f>
        <v>0</v>
      </c>
      <c r="V23" s="125"/>
      <c r="W23" s="62">
        <f>VLOOKUP(C23,CPD!$B$9:$V$37,21,0)</f>
        <v>0</v>
      </c>
      <c r="X23" s="58"/>
      <c r="Y23" s="62">
        <f t="shared" si="3"/>
        <v>4500</v>
      </c>
      <c r="Z23" s="60">
        <f t="shared" si="4"/>
        <v>0</v>
      </c>
      <c r="AA23" s="60"/>
    </row>
    <row r="24" spans="1:27" s="62" customFormat="1" x14ac:dyDescent="0.2">
      <c r="A24" s="113" t="s">
        <v>40</v>
      </c>
      <c r="B24" s="113" t="s">
        <v>6</v>
      </c>
      <c r="C24" s="112" t="s">
        <v>350</v>
      </c>
      <c r="D24" s="113">
        <f>VLOOKUP(C24,CPD!$B$9:$Y$37,24,0)</f>
        <v>3203.8</v>
      </c>
      <c r="E24" s="113"/>
      <c r="F24" s="124"/>
      <c r="G24" s="62">
        <f>VLOOKUP(C24,SINDICATO!$C$7:$F$35,4,0)</f>
        <v>1557.9999999999995</v>
      </c>
      <c r="H24" s="62">
        <f>VLOOKUP(C24,SINDICATO!$C$7:$G$35,5,0)</f>
        <v>393.43</v>
      </c>
      <c r="I24" s="62">
        <f>VLOOKUP(C24,SINDICATO!$C$7:$H$34,6,0)</f>
        <v>0</v>
      </c>
      <c r="J24" s="58"/>
      <c r="K24" s="62">
        <f t="shared" si="1"/>
        <v>5155.2299999999996</v>
      </c>
      <c r="L24" s="62">
        <f>VLOOKUP(C24,ABC!$A$3:$B$88,2,0)</f>
        <v>10150</v>
      </c>
      <c r="M24" s="62">
        <f t="shared" si="0"/>
        <v>5075</v>
      </c>
      <c r="N24" s="59"/>
      <c r="O24" s="62">
        <f>VLOOKUP(C24,CPD!$B$9:$I$37,8,0)</f>
        <v>0</v>
      </c>
      <c r="P24" s="62">
        <f t="shared" si="2"/>
        <v>393.43</v>
      </c>
      <c r="Q24" s="62">
        <f>VLOOKUP(C24,CPD!$B$9:$R$37,17,0)</f>
        <v>0</v>
      </c>
      <c r="R24" s="62">
        <f>VLOOKUP(C24,CPD!$B$9:$Q$37,16,0)</f>
        <v>0</v>
      </c>
      <c r="S24" s="62">
        <f>VLOOKUP(C24,CPD!$B$9:$S$37,18,0)</f>
        <v>0</v>
      </c>
      <c r="T24" s="62">
        <f>VLOOKUP(C24,CPD!$B$9:$T$37,19,0)</f>
        <v>0</v>
      </c>
      <c r="W24" s="62">
        <f>VLOOKUP(C24,CPD!$B$9:$V$37,21,0)</f>
        <v>313.2</v>
      </c>
      <c r="X24" s="58"/>
      <c r="Y24" s="62">
        <f t="shared" si="3"/>
        <v>5074.9999999999991</v>
      </c>
      <c r="Z24" s="60">
        <f t="shared" si="4"/>
        <v>0</v>
      </c>
      <c r="AA24" s="60"/>
    </row>
    <row r="25" spans="1:27" s="62" customFormat="1" x14ac:dyDescent="0.2">
      <c r="A25" s="113" t="s">
        <v>42</v>
      </c>
      <c r="B25" s="113" t="s">
        <v>6</v>
      </c>
      <c r="C25" s="112" t="s">
        <v>144</v>
      </c>
      <c r="D25" s="113">
        <f>VLOOKUP(C25,CPD!$B$9:$Y$37,24,0)</f>
        <v>2024.8</v>
      </c>
      <c r="E25" s="113"/>
      <c r="F25" s="124"/>
      <c r="G25" s="62">
        <f>VLOOKUP(C25,SINDICATO!$C$7:$F$35,4,0)</f>
        <v>1608.1200000000003</v>
      </c>
      <c r="H25" s="62">
        <f>VLOOKUP(C25,SINDICATO!$C$7:$G$35,5,0)</f>
        <v>777.07999999999993</v>
      </c>
      <c r="I25" s="62">
        <f>VLOOKUP(C25,SINDICATO!$C$7:$H$34,6,0)</f>
        <v>0</v>
      </c>
      <c r="J25" s="58"/>
      <c r="K25" s="62">
        <f t="shared" si="1"/>
        <v>4410</v>
      </c>
      <c r="L25" s="62">
        <f>VLOOKUP(C25,ABC!$A$3:$B$88,2,0)</f>
        <v>10250</v>
      </c>
      <c r="M25" s="62">
        <f t="shared" si="0"/>
        <v>5125</v>
      </c>
      <c r="N25" s="59"/>
      <c r="O25" s="62">
        <f>VLOOKUP(C25,CPD!$B$9:$I$37,8,0)</f>
        <v>0</v>
      </c>
      <c r="P25" s="62">
        <f t="shared" si="2"/>
        <v>777.07999999999993</v>
      </c>
      <c r="Q25" s="62">
        <f>VLOOKUP(C25,CPD!$B$9:$R$37,17,0)</f>
        <v>1492.08</v>
      </c>
      <c r="R25" s="62">
        <f>VLOOKUP(C25,CPD!$B$9:$Q$37,16,0)</f>
        <v>0</v>
      </c>
      <c r="S25" s="62">
        <f>VLOOKUP(C25,CPD!$B$9:$S$37,18,0)</f>
        <v>0</v>
      </c>
      <c r="T25" s="62">
        <f>VLOOKUP(C25,CPD!$B$9:$T$37,19,0)</f>
        <v>0</v>
      </c>
      <c r="W25" s="62">
        <f>VLOOKUP(C25,CPD!$B$9:$V$37,21,0)</f>
        <v>0</v>
      </c>
      <c r="X25" s="58"/>
      <c r="Y25" s="62">
        <f t="shared" si="3"/>
        <v>5125</v>
      </c>
      <c r="Z25" s="60">
        <f t="shared" si="4"/>
        <v>0</v>
      </c>
      <c r="AA25" s="60"/>
    </row>
    <row r="26" spans="1:27" s="60" customFormat="1" x14ac:dyDescent="0.2">
      <c r="A26" s="70" t="s">
        <v>433</v>
      </c>
      <c r="B26" s="115" t="s">
        <v>6</v>
      </c>
      <c r="C26" s="70" t="s">
        <v>386</v>
      </c>
      <c r="D26" s="113">
        <f>VLOOKUP(C26,CPD!$B$9:$Y$37,24,0)</f>
        <v>3196.6</v>
      </c>
      <c r="E26" s="115"/>
      <c r="F26" s="124"/>
      <c r="G26" s="62">
        <f>VLOOKUP(C26,SINDICATO!$C$7:$F$35,4,0)</f>
        <v>16803.400000000001</v>
      </c>
      <c r="H26" s="62">
        <f>VLOOKUP(C26,SINDICATO!$C$7:$G$35,5,0)</f>
        <v>0</v>
      </c>
      <c r="I26" s="62">
        <f>VLOOKUP(C26,SINDICATO!$C$7:$H$34,6,0)</f>
        <v>0</v>
      </c>
      <c r="J26" s="58"/>
      <c r="K26" s="62">
        <f t="shared" si="1"/>
        <v>20000</v>
      </c>
      <c r="L26" s="60">
        <v>40000</v>
      </c>
      <c r="M26" s="60">
        <f t="shared" ref="M26:M32" si="5">+L26/2</f>
        <v>20000</v>
      </c>
      <c r="N26" s="59"/>
      <c r="O26" s="62">
        <f>VLOOKUP(C26,CPD!$B$9:$I$37,8,0)</f>
        <v>0</v>
      </c>
      <c r="P26" s="62">
        <f t="shared" si="2"/>
        <v>0</v>
      </c>
      <c r="Q26" s="62">
        <f>VLOOKUP(C26,CPD!$B$9:$R$37,17,0)</f>
        <v>0</v>
      </c>
      <c r="R26" s="62">
        <f>VLOOKUP(C26,CPD!$B$9:$Q$37,16,0)</f>
        <v>0</v>
      </c>
      <c r="S26" s="62">
        <f>VLOOKUP(C26,CPD!$B$9:$S$37,18,0)</f>
        <v>0</v>
      </c>
      <c r="T26" s="62">
        <f>VLOOKUP(C26,CPD!$B$9:$T$37,19,0)</f>
        <v>0</v>
      </c>
      <c r="U26" s="62"/>
      <c r="V26" s="62"/>
      <c r="W26" s="62">
        <f>VLOOKUP(C26,CPD!$B$9:$V$37,21,0)</f>
        <v>0</v>
      </c>
      <c r="X26" s="58"/>
      <c r="Y26" s="62">
        <f t="shared" si="3"/>
        <v>20000</v>
      </c>
      <c r="Z26" s="60">
        <f t="shared" si="4"/>
        <v>0</v>
      </c>
    </row>
    <row r="27" spans="1:27" s="62" customFormat="1" x14ac:dyDescent="0.2">
      <c r="A27" s="68" t="s">
        <v>495</v>
      </c>
      <c r="B27" s="68" t="s">
        <v>6</v>
      </c>
      <c r="C27" s="68" t="s">
        <v>496</v>
      </c>
      <c r="D27" s="113">
        <f>VLOOKUP(C27,CPD!$B$9:$Y$37,24,0)</f>
        <v>2904</v>
      </c>
      <c r="E27" s="113"/>
      <c r="F27" s="124"/>
      <c r="G27" s="62">
        <f>VLOOKUP(C27,SINDICATO!$C$7:$F$35,4,0)</f>
        <v>1803.2799999999997</v>
      </c>
      <c r="H27" s="62">
        <f>VLOOKUP(C27,SINDICATO!$C$7:$G$35,5,0)</f>
        <v>2810</v>
      </c>
      <c r="I27" s="62">
        <f>VLOOKUP(C27,SINDICATO!$C$7:$H$34,6,0)</f>
        <v>99.999999999999972</v>
      </c>
      <c r="J27" s="58"/>
      <c r="K27" s="62">
        <f t="shared" si="1"/>
        <v>7617.28</v>
      </c>
      <c r="L27" s="62">
        <v>10000</v>
      </c>
      <c r="M27" s="62">
        <f t="shared" si="5"/>
        <v>5000</v>
      </c>
      <c r="N27" s="59"/>
      <c r="O27" s="62">
        <f>VLOOKUP(C27,CPD!$B$9:$I$37,8,0)</f>
        <v>100</v>
      </c>
      <c r="P27" s="62">
        <f t="shared" si="2"/>
        <v>2910</v>
      </c>
      <c r="Q27" s="62">
        <f>VLOOKUP(C27,CPD!$B$9:$R$37,17,0)</f>
        <v>392.72</v>
      </c>
      <c r="R27" s="62">
        <f>VLOOKUP(C27,CPD!$B$9:$Q$37,16,0)</f>
        <v>0</v>
      </c>
      <c r="S27" s="62">
        <f>VLOOKUP(C27,CPD!$B$9:$S$37,18,0)</f>
        <v>0</v>
      </c>
      <c r="T27" s="62">
        <f>VLOOKUP(C27,CPD!$B$9:$T$37,19,0)</f>
        <v>0</v>
      </c>
      <c r="W27" s="62">
        <f>VLOOKUP(C27,CPD!$B$9:$V$37,21,0)</f>
        <v>0</v>
      </c>
      <c r="X27" s="58"/>
      <c r="Y27" s="62">
        <f t="shared" si="3"/>
        <v>5000</v>
      </c>
      <c r="Z27" s="60">
        <f t="shared" ref="Z27:Z32" si="6">+M27-Y27</f>
        <v>0</v>
      </c>
      <c r="AA27" s="60"/>
    </row>
    <row r="28" spans="1:27" s="62" customFormat="1" x14ac:dyDescent="0.2">
      <c r="A28" s="68" t="s">
        <v>590</v>
      </c>
      <c r="B28" s="68" t="s">
        <v>6</v>
      </c>
      <c r="C28" s="68" t="s">
        <v>474</v>
      </c>
      <c r="D28" s="113">
        <f>VLOOKUP(C28,CPD!$B$9:$Y$37,24,0)</f>
        <v>979</v>
      </c>
      <c r="E28" s="113"/>
      <c r="F28" s="124"/>
      <c r="G28" s="62">
        <f>VLOOKUP(C28,SINDICATO!$C$7:$F$35,4,0)</f>
        <v>0</v>
      </c>
      <c r="H28" s="62">
        <f>VLOOKUP(C28,SINDICATO!$C$7:$G$35,5,0)</f>
        <v>0</v>
      </c>
      <c r="I28" s="62">
        <f>VLOOKUP(C28,SINDICATO!$C$7:$H$34,6,0)</f>
        <v>0</v>
      </c>
      <c r="J28" s="58"/>
      <c r="K28" s="62">
        <f t="shared" si="1"/>
        <v>979</v>
      </c>
      <c r="L28" s="62">
        <v>4000</v>
      </c>
      <c r="M28" s="62">
        <f t="shared" si="5"/>
        <v>2000</v>
      </c>
      <c r="N28" s="59"/>
      <c r="O28" s="62">
        <f>VLOOKUP(C28,CPD!$B$9:$I$37,8,0)</f>
        <v>0</v>
      </c>
      <c r="P28" s="62">
        <f t="shared" si="2"/>
        <v>0</v>
      </c>
      <c r="Q28" s="62">
        <f>VLOOKUP(C28,CPD!$B$9:$R$37,17,0)</f>
        <v>1044.75</v>
      </c>
      <c r="R28" s="62">
        <f>VLOOKUP(C28,CPD!$B$9:$Q$37,16,0)</f>
        <v>0</v>
      </c>
      <c r="S28" s="62">
        <f>VLOOKUP(C28,CPD!$B$9:$S$37,18,0)</f>
        <v>0</v>
      </c>
      <c r="T28" s="62">
        <f>VLOOKUP(C28,CPD!$B$9:$T$37,19,0)</f>
        <v>0</v>
      </c>
      <c r="W28" s="62">
        <f>VLOOKUP(C28,CPD!$B$9:$V$37,21,0)</f>
        <v>0</v>
      </c>
      <c r="X28" s="58"/>
      <c r="Y28" s="62">
        <f t="shared" si="3"/>
        <v>2023.75</v>
      </c>
      <c r="Z28" s="126">
        <f t="shared" si="6"/>
        <v>-23.75</v>
      </c>
      <c r="AA28" s="127" t="s">
        <v>497</v>
      </c>
    </row>
    <row r="29" spans="1:27" s="62" customFormat="1" x14ac:dyDescent="0.2">
      <c r="A29" s="68" t="s">
        <v>436</v>
      </c>
      <c r="B29" s="68" t="s">
        <v>6</v>
      </c>
      <c r="C29" s="68" t="s">
        <v>617</v>
      </c>
      <c r="D29" s="113">
        <f>VLOOKUP(C29,CPD!$B$9:$Y$37,24,0)</f>
        <v>4036</v>
      </c>
      <c r="E29" s="113"/>
      <c r="F29" s="124"/>
      <c r="G29" s="62">
        <f>VLOOKUP(C29,SINDICATO!$C$7:$F$35,4,0)</f>
        <v>2464</v>
      </c>
      <c r="H29" s="62">
        <f>VLOOKUP(C29,SINDICATO!$C$7:$G$35,5,0)</f>
        <v>0</v>
      </c>
      <c r="I29" s="62">
        <f>VLOOKUP(C29,SINDICATO!$C$7:$H$34,6,0)</f>
        <v>0</v>
      </c>
      <c r="J29" s="58"/>
      <c r="K29" s="62">
        <f t="shared" si="1"/>
        <v>6500</v>
      </c>
      <c r="L29" s="62">
        <v>13000</v>
      </c>
      <c r="M29" s="62">
        <f t="shared" si="5"/>
        <v>6500</v>
      </c>
      <c r="N29" s="59"/>
      <c r="O29" s="62">
        <f>VLOOKUP(C29,CPD!$B$9:$I$37,8,0)</f>
        <v>0</v>
      </c>
      <c r="P29" s="62">
        <f t="shared" si="2"/>
        <v>0</v>
      </c>
      <c r="Q29" s="62">
        <f>VLOOKUP(C29,CPD!$B$9:$R$37,17,0)</f>
        <v>0</v>
      </c>
      <c r="R29" s="62">
        <f>VLOOKUP(C29,CPD!$B$9:$Q$37,16,0)</f>
        <v>0</v>
      </c>
      <c r="S29" s="62">
        <f>VLOOKUP(C29,CPD!$B$9:$S$37,18,0)</f>
        <v>0</v>
      </c>
      <c r="T29" s="62">
        <f>VLOOKUP(C29,CPD!$B$9:$T$37,19,0)</f>
        <v>0</v>
      </c>
      <c r="W29" s="62">
        <f>VLOOKUP(C29,CPD!$B$9:$V$37,21,0)</f>
        <v>0</v>
      </c>
      <c r="X29" s="58"/>
      <c r="Y29" s="62">
        <f>+K29-O29-P29+Q29+R29+S29+T29+U29+V29+W29</f>
        <v>6500</v>
      </c>
      <c r="Z29" s="60">
        <f t="shared" si="6"/>
        <v>0</v>
      </c>
      <c r="AA29" s="128"/>
    </row>
    <row r="30" spans="1:27" s="62" customFormat="1" x14ac:dyDescent="0.2">
      <c r="A30" s="68" t="s">
        <v>634</v>
      </c>
      <c r="B30" s="68" t="s">
        <v>6</v>
      </c>
      <c r="C30" s="68" t="s">
        <v>635</v>
      </c>
      <c r="D30" s="113">
        <f>VLOOKUP(C30,CPD!$B$9:$Y$37,24,0)</f>
        <v>4609.3999999999996</v>
      </c>
      <c r="E30" s="113"/>
      <c r="F30" s="124"/>
      <c r="G30" s="62">
        <f>VLOOKUP(C30,SINDICATO!$C$7:$F$35,4,0)</f>
        <v>3090.6000000000008</v>
      </c>
      <c r="H30" s="62">
        <f>VLOOKUP(C30,SINDICATO!$C$7:$G$35,5,0)</f>
        <v>616</v>
      </c>
      <c r="I30" s="62">
        <f>VLOOKUP(C30,SINDICATO!$C$7:$H$34,6,0)</f>
        <v>0</v>
      </c>
      <c r="J30" s="58"/>
      <c r="K30" s="62">
        <f t="shared" si="1"/>
        <v>8316</v>
      </c>
      <c r="L30" s="62">
        <v>15400</v>
      </c>
      <c r="M30" s="62">
        <f t="shared" si="5"/>
        <v>7700</v>
      </c>
      <c r="N30" s="59"/>
      <c r="O30" s="62">
        <f>VLOOKUP(C30,CPD!$B$9:$I$37,8,0)</f>
        <v>0</v>
      </c>
      <c r="P30" s="62">
        <f t="shared" si="2"/>
        <v>616</v>
      </c>
      <c r="Q30" s="62">
        <f>VLOOKUP(C30,CPD!$B$9:$R$37,17,0)</f>
        <v>0</v>
      </c>
      <c r="R30" s="62">
        <f>VLOOKUP(C30,CPD!$B$9:$Q$37,16,0)</f>
        <v>0</v>
      </c>
      <c r="S30" s="62">
        <f>VLOOKUP(C30,CPD!$B$9:$S$37,18,0)</f>
        <v>0</v>
      </c>
      <c r="T30" s="62">
        <f>VLOOKUP(C30,CPD!$B$9:$T$37,19,0)</f>
        <v>0</v>
      </c>
      <c r="W30" s="62">
        <f>VLOOKUP(C30,CPD!$B$9:$V$37,21,0)</f>
        <v>0</v>
      </c>
      <c r="X30" s="58"/>
      <c r="Y30" s="62">
        <f>+K30-O30-P30+Q30+R30+S30+T30+U30+V30+W30</f>
        <v>7700</v>
      </c>
      <c r="Z30" s="60">
        <f t="shared" si="6"/>
        <v>0</v>
      </c>
      <c r="AA30" s="128"/>
    </row>
    <row r="31" spans="1:27" s="62" customFormat="1" ht="16.5" customHeight="1" x14ac:dyDescent="0.2">
      <c r="A31" s="68" t="s">
        <v>644</v>
      </c>
      <c r="B31" s="68" t="s">
        <v>6</v>
      </c>
      <c r="C31" s="68" t="s">
        <v>645</v>
      </c>
      <c r="D31" s="113">
        <f>VLOOKUP(C31,CPD!$B$9:$Y$37,24,0)</f>
        <v>5213.2</v>
      </c>
      <c r="E31" s="115"/>
      <c r="F31" s="124"/>
      <c r="G31" s="62">
        <f>VLOOKUP(C31,SINDICATO!$C$7:$F$35,4,0)</f>
        <v>3286.8000000000011</v>
      </c>
      <c r="H31" s="62">
        <f>VLOOKUP(C31,SINDICATO!$C$7:$G$35,5,0)</f>
        <v>0</v>
      </c>
      <c r="I31" s="62">
        <f>VLOOKUP(C31,SINDICATO!$C$7:$H$34,6,0)</f>
        <v>0</v>
      </c>
      <c r="J31" s="58"/>
      <c r="K31" s="62">
        <f>+D31+E31+G31+H31+I31</f>
        <v>8500</v>
      </c>
      <c r="L31" s="62">
        <v>17000</v>
      </c>
      <c r="M31" s="62">
        <f t="shared" si="5"/>
        <v>8500</v>
      </c>
      <c r="N31" s="59"/>
      <c r="O31" s="62">
        <f>VLOOKUP(C31,CPD!$B$9:$I$37,8,0)</f>
        <v>0</v>
      </c>
      <c r="P31" s="62">
        <f t="shared" si="2"/>
        <v>0</v>
      </c>
      <c r="Q31" s="62">
        <f>VLOOKUP(C31,CPD!$B$9:$R$37,17,0)</f>
        <v>0</v>
      </c>
      <c r="R31" s="62">
        <f>VLOOKUP(C31,CPD!$B$9:$Q$37,16,0)</f>
        <v>0</v>
      </c>
      <c r="S31" s="62">
        <f>VLOOKUP(C31,CPD!$B$9:$S$37,18,0)</f>
        <v>0</v>
      </c>
      <c r="T31" s="62">
        <f>VLOOKUP(C31,CPD!$B$9:$T$37,19,0)</f>
        <v>0</v>
      </c>
      <c r="W31" s="62">
        <f>VLOOKUP(C31,CPD!$B$9:$V$37,21,0)</f>
        <v>0</v>
      </c>
      <c r="X31" s="58"/>
      <c r="Y31" s="62">
        <f t="shared" ref="Y31:Y32" si="7">+K31-O31-P31+Q31+R31+S31+T31+U31+V31+W31</f>
        <v>8500</v>
      </c>
      <c r="Z31" s="60">
        <f t="shared" si="6"/>
        <v>0</v>
      </c>
      <c r="AA31" s="128"/>
    </row>
    <row r="32" spans="1:27" s="62" customFormat="1" ht="16.5" customHeight="1" x14ac:dyDescent="0.2">
      <c r="A32" s="68" t="s">
        <v>654</v>
      </c>
      <c r="B32" s="68" t="s">
        <v>6</v>
      </c>
      <c r="C32" s="68" t="s">
        <v>655</v>
      </c>
      <c r="D32" s="113">
        <f>VLOOKUP(C32,CPD!$B$9:$Y$37,24,0)</f>
        <v>4327.3999999999996</v>
      </c>
      <c r="E32" s="115"/>
      <c r="F32" s="124"/>
      <c r="G32" s="62">
        <f>VLOOKUP(C32,SINDICATO!$C$7:$F$35,4,0)</f>
        <v>2672.6000000000004</v>
      </c>
      <c r="H32" s="62">
        <f>VLOOKUP(C32,SINDICATO!$C$7:$G$35,5,0)</f>
        <v>1200</v>
      </c>
      <c r="J32" s="58"/>
      <c r="K32" s="62">
        <f>+D32+E32+G32+H32+I32</f>
        <v>8200</v>
      </c>
      <c r="L32" s="62">
        <v>14000</v>
      </c>
      <c r="M32" s="62">
        <f t="shared" si="5"/>
        <v>7000</v>
      </c>
      <c r="N32" s="59"/>
      <c r="O32" s="62">
        <f>VLOOKUP(C32,CPD!$B$9:$I$37,8,0)</f>
        <v>0</v>
      </c>
      <c r="Q32" s="62">
        <f>VLOOKUP(C32,CPD!$B$9:$R$37,17,0)</f>
        <v>0</v>
      </c>
      <c r="R32" s="62">
        <f>VLOOKUP(C32,CPD!$B$9:$Q$37,16,0)</f>
        <v>0</v>
      </c>
      <c r="S32" s="62">
        <f>VLOOKUP(C32,CPD!$B$9:$S$37,18,0)</f>
        <v>0</v>
      </c>
      <c r="T32" s="62">
        <f>VLOOKUP(C32,CPD!$B$9:$T$37,19,0)</f>
        <v>0</v>
      </c>
      <c r="W32" s="62">
        <f>VLOOKUP(C32,CPD!$B$9:$V$37,21,0)</f>
        <v>0</v>
      </c>
      <c r="X32" s="58"/>
      <c r="Y32" s="62">
        <f t="shared" si="7"/>
        <v>8200</v>
      </c>
      <c r="Z32" s="60">
        <f t="shared" si="6"/>
        <v>-1200</v>
      </c>
      <c r="AA32" s="128"/>
    </row>
    <row r="33" spans="1:37" s="129" customFormat="1" ht="23.25" customHeight="1" x14ac:dyDescent="0.25">
      <c r="B33" s="130"/>
      <c r="C33" s="129" t="s">
        <v>602</v>
      </c>
      <c r="D33" s="131">
        <f t="shared" ref="D33:Y33" si="8">SUM(D4:D32)</f>
        <v>121000.4</v>
      </c>
      <c r="E33" s="131">
        <f t="shared" si="8"/>
        <v>0</v>
      </c>
      <c r="F33" s="131">
        <f t="shared" si="8"/>
        <v>0</v>
      </c>
      <c r="G33" s="131">
        <f t="shared" si="8"/>
        <v>114758.71</v>
      </c>
      <c r="H33" s="131">
        <f t="shared" si="8"/>
        <v>11372.04</v>
      </c>
      <c r="I33" s="131">
        <f t="shared" si="8"/>
        <v>402.01</v>
      </c>
      <c r="J33" s="131">
        <f t="shared" si="8"/>
        <v>0</v>
      </c>
      <c r="K33" s="131">
        <f t="shared" si="8"/>
        <v>247533.16</v>
      </c>
      <c r="L33" s="131">
        <f t="shared" si="8"/>
        <v>505100</v>
      </c>
      <c r="M33" s="131">
        <f t="shared" si="8"/>
        <v>252550</v>
      </c>
      <c r="N33" s="131">
        <f t="shared" si="8"/>
        <v>0</v>
      </c>
      <c r="O33" s="131">
        <f t="shared" si="8"/>
        <v>467.99</v>
      </c>
      <c r="P33" s="131">
        <f t="shared" si="8"/>
        <v>10574.050000000001</v>
      </c>
      <c r="Q33" s="131">
        <f t="shared" si="8"/>
        <v>14305.259999999998</v>
      </c>
      <c r="R33" s="131">
        <f t="shared" si="8"/>
        <v>947.85</v>
      </c>
      <c r="S33" s="131">
        <f t="shared" si="8"/>
        <v>0</v>
      </c>
      <c r="T33" s="131">
        <f t="shared" si="8"/>
        <v>0</v>
      </c>
      <c r="U33" s="131">
        <f t="shared" si="8"/>
        <v>0</v>
      </c>
      <c r="V33" s="131">
        <f t="shared" si="8"/>
        <v>0</v>
      </c>
      <c r="W33" s="131">
        <f t="shared" si="8"/>
        <v>2029.5200000000002</v>
      </c>
      <c r="X33" s="131">
        <f t="shared" si="8"/>
        <v>0</v>
      </c>
      <c r="Y33" s="131">
        <f t="shared" si="8"/>
        <v>253773.75</v>
      </c>
      <c r="Z33" s="131">
        <f t="shared" ref="Z33:AG33" si="9">SUM(Z4:Z29)</f>
        <v>-23.75</v>
      </c>
      <c r="AA33" s="131">
        <f t="shared" si="9"/>
        <v>0</v>
      </c>
      <c r="AB33" s="131">
        <f t="shared" si="9"/>
        <v>0</v>
      </c>
      <c r="AC33" s="131">
        <f t="shared" si="9"/>
        <v>0</v>
      </c>
      <c r="AD33" s="131">
        <f t="shared" si="9"/>
        <v>0</v>
      </c>
      <c r="AE33" s="131">
        <f t="shared" si="9"/>
        <v>0</v>
      </c>
      <c r="AF33" s="131">
        <f t="shared" si="9"/>
        <v>0</v>
      </c>
      <c r="AG33" s="131">
        <f t="shared" si="9"/>
        <v>0</v>
      </c>
      <c r="AH33" s="131">
        <f>SUM(AH4:AH28)</f>
        <v>0</v>
      </c>
      <c r="AI33" s="131">
        <f>SUM(AI4:AI28)</f>
        <v>0</v>
      </c>
      <c r="AJ33" s="131">
        <f>SUM(AJ4:AJ28)</f>
        <v>0</v>
      </c>
      <c r="AK33" s="131">
        <f>SUM(AK4:AK28)</f>
        <v>0</v>
      </c>
    </row>
    <row r="34" spans="1:37" s="62" customFormat="1" x14ac:dyDescent="0.2">
      <c r="A34" s="63"/>
      <c r="B34" s="68"/>
      <c r="C34" s="63"/>
      <c r="D34" s="113"/>
      <c r="E34" s="113"/>
      <c r="F34" s="124"/>
      <c r="J34" s="58"/>
      <c r="K34" s="62">
        <f t="shared" si="1"/>
        <v>0</v>
      </c>
      <c r="N34" s="59"/>
      <c r="X34" s="58"/>
      <c r="Z34" s="60"/>
      <c r="AA34" s="60"/>
    </row>
    <row r="35" spans="1:37" s="62" customFormat="1" x14ac:dyDescent="0.2">
      <c r="A35" s="78" t="s">
        <v>68</v>
      </c>
      <c r="B35" s="113" t="s">
        <v>58</v>
      </c>
      <c r="C35" s="78" t="s">
        <v>355</v>
      </c>
      <c r="D35" s="113"/>
      <c r="E35" s="115">
        <f>VLOOKUP(C35,IP!$B$9:$V$117,21,0)</f>
        <v>3585.2</v>
      </c>
      <c r="F35" s="124"/>
      <c r="G35" s="62">
        <f>VLOOKUP(C35,SINDICATO!$C$36:$F$144,4,0)</f>
        <v>414.80000000000018</v>
      </c>
      <c r="H35" s="62">
        <f>VLOOKUP(C35,SINDICATO!$C$36:$G$144,5,0)</f>
        <v>340.28</v>
      </c>
      <c r="I35" s="62">
        <f>VLOOKUP(C35,SINDICATO!$C$36:$H$132,6,0)</f>
        <v>0</v>
      </c>
      <c r="J35" s="58"/>
      <c r="K35" s="62">
        <f t="shared" si="1"/>
        <v>4340.28</v>
      </c>
      <c r="L35" s="62">
        <f>VLOOKUP(C35,ABC!$A$3:$B$88,2,0)</f>
        <v>8000</v>
      </c>
      <c r="M35" s="62">
        <f t="shared" si="0"/>
        <v>4000</v>
      </c>
      <c r="N35" s="59"/>
      <c r="O35" s="60">
        <f>VLOOKUP(C35,IP!$B$9:$I$117,8,0)</f>
        <v>0</v>
      </c>
      <c r="P35" s="60">
        <f t="shared" ref="P35:P91" si="10">+H35+I35</f>
        <v>340.28</v>
      </c>
      <c r="Q35" s="60">
        <f>VLOOKUP(C35,IP!$B$9:$N$117,13,0)</f>
        <v>0</v>
      </c>
      <c r="R35" s="60">
        <f>VLOOKUP(C35,IP!$B$9:$O$117,14,0)</f>
        <v>0</v>
      </c>
      <c r="S35" s="60"/>
      <c r="T35" s="60">
        <f>VLOOKUP(C35,IP!$B$9:$P$117,15,0)</f>
        <v>0</v>
      </c>
      <c r="U35" s="60">
        <f>VLOOKUP(C35,IP!$B$9:$Q$117,16,0)</f>
        <v>0</v>
      </c>
      <c r="V35" s="60">
        <v>0</v>
      </c>
      <c r="W35" s="60">
        <f>VLOOKUP(C35,IP!B$9:R$117,17,0)</f>
        <v>0</v>
      </c>
      <c r="X35" s="58"/>
      <c r="Y35" s="62">
        <f t="shared" si="3"/>
        <v>4000</v>
      </c>
      <c r="Z35" s="60">
        <f t="shared" si="4"/>
        <v>0</v>
      </c>
      <c r="AA35" s="60"/>
    </row>
    <row r="36" spans="1:37" s="62" customFormat="1" x14ac:dyDescent="0.2">
      <c r="A36" s="68" t="s">
        <v>389</v>
      </c>
      <c r="B36" s="113" t="s">
        <v>58</v>
      </c>
      <c r="C36" s="78" t="s">
        <v>591</v>
      </c>
      <c r="D36" s="113"/>
      <c r="E36" s="115">
        <f>VLOOKUP(C36,IP!$B$9:$V$117,21,0)</f>
        <v>3585.4</v>
      </c>
      <c r="F36" s="124"/>
      <c r="G36" s="62">
        <f>VLOOKUP(C36,SINDICATO!$C$36:$F$144,4,0)</f>
        <v>414.59999999999991</v>
      </c>
      <c r="H36" s="62">
        <f>VLOOKUP(C36,SINDICATO!$C$36:$G$144,5,0)</f>
        <v>196.43</v>
      </c>
      <c r="I36" s="62">
        <f>VLOOKUP(C36,SINDICATO!$C$36:$H$132,6,0)</f>
        <v>0</v>
      </c>
      <c r="J36" s="58"/>
      <c r="K36" s="62">
        <f t="shared" si="1"/>
        <v>4196.43</v>
      </c>
      <c r="L36" s="62">
        <v>8000</v>
      </c>
      <c r="M36" s="62">
        <f>+L36/2</f>
        <v>4000</v>
      </c>
      <c r="N36" s="59"/>
      <c r="O36" s="60">
        <f>VLOOKUP(C36,IP!$B$9:$I$117,8,0)</f>
        <v>0</v>
      </c>
      <c r="P36" s="60">
        <f t="shared" si="10"/>
        <v>196.43</v>
      </c>
      <c r="Q36" s="60">
        <f>VLOOKUP(C36,IP!$B$9:$N$117,13,0)</f>
        <v>0</v>
      </c>
      <c r="R36" s="60">
        <f>VLOOKUP(C36,IP!$B$9:$O$117,14,0)</f>
        <v>0</v>
      </c>
      <c r="S36" s="60"/>
      <c r="T36" s="60">
        <f>VLOOKUP(C36,IP!$B$9:$P$117,15,0)</f>
        <v>0</v>
      </c>
      <c r="U36" s="60">
        <f>VLOOKUP(C36,IP!$B$9:$Q$117,16,0)</f>
        <v>0</v>
      </c>
      <c r="V36" s="60">
        <v>0</v>
      </c>
      <c r="W36" s="60">
        <f>VLOOKUP(C36,IP!B$9:R$117,17,0)</f>
        <v>0</v>
      </c>
      <c r="X36" s="58"/>
      <c r="Y36" s="62">
        <f t="shared" si="3"/>
        <v>4000.0000000000005</v>
      </c>
      <c r="Z36" s="60">
        <f t="shared" ref="Z36:Z57" si="11">+M36-Y36</f>
        <v>0</v>
      </c>
      <c r="AA36" s="60"/>
    </row>
    <row r="37" spans="1:37" s="62" customFormat="1" x14ac:dyDescent="0.2">
      <c r="A37" s="78" t="s">
        <v>80</v>
      </c>
      <c r="B37" s="113" t="s">
        <v>58</v>
      </c>
      <c r="C37" s="78" t="s">
        <v>357</v>
      </c>
      <c r="D37" s="113"/>
      <c r="E37" s="115">
        <f>VLOOKUP(C37,IP!$B$9:$V$117,21,0)</f>
        <v>1103.5999999999999</v>
      </c>
      <c r="F37" s="124"/>
      <c r="G37" s="62">
        <f>VLOOKUP(C37,SINDICATO!$C$36:$F$144,4,0)</f>
        <v>17.670000000000073</v>
      </c>
      <c r="H37" s="62">
        <f>VLOOKUP(C37,SINDICATO!$C$36:$G$144,5,0)</f>
        <v>1190.43</v>
      </c>
      <c r="I37" s="62">
        <f>VLOOKUP(C37,SINDICATO!$C$36:$H$132,6,0)</f>
        <v>0</v>
      </c>
      <c r="J37" s="58"/>
      <c r="K37" s="62">
        <f t="shared" si="1"/>
        <v>2311.6999999999998</v>
      </c>
      <c r="L37" s="62">
        <f>VLOOKUP(C37,ABC!$A$3:$B$88,2,0)</f>
        <v>4620</v>
      </c>
      <c r="M37" s="62">
        <f t="shared" si="0"/>
        <v>2310</v>
      </c>
      <c r="N37" s="59"/>
      <c r="O37" s="60">
        <f>VLOOKUP(C37,IP!$B$9:$I$117,8,0)</f>
        <v>0</v>
      </c>
      <c r="P37" s="60">
        <f t="shared" si="10"/>
        <v>1190.43</v>
      </c>
      <c r="Q37" s="60">
        <f>VLOOKUP(C37,IP!$B$9:$N$117,13,0)</f>
        <v>1188.73</v>
      </c>
      <c r="R37" s="60">
        <f>VLOOKUP(C37,IP!$B$9:$O$117,14,0)</f>
        <v>0</v>
      </c>
      <c r="S37" s="60"/>
      <c r="T37" s="60">
        <f>VLOOKUP(C37,IP!$B$9:$P$117,15,0)</f>
        <v>0</v>
      </c>
      <c r="U37" s="60">
        <f>VLOOKUP(C37,IP!$B$9:$Q$117,16,0)</f>
        <v>0</v>
      </c>
      <c r="V37" s="60">
        <v>0</v>
      </c>
      <c r="W37" s="60">
        <f>VLOOKUP(C37,IP!B$9:R$117,17,0)</f>
        <v>0</v>
      </c>
      <c r="X37" s="58"/>
      <c r="Y37" s="62">
        <f t="shared" si="3"/>
        <v>2310</v>
      </c>
      <c r="Z37" s="60">
        <f t="shared" si="11"/>
        <v>0</v>
      </c>
      <c r="AA37" s="60"/>
    </row>
    <row r="38" spans="1:37" s="62" customFormat="1" x14ac:dyDescent="0.2">
      <c r="A38" s="78" t="s">
        <v>82</v>
      </c>
      <c r="B38" s="113" t="s">
        <v>58</v>
      </c>
      <c r="C38" s="78" t="s">
        <v>358</v>
      </c>
      <c r="D38" s="113"/>
      <c r="E38" s="115">
        <f>VLOOKUP(C38,IP!$B$9:$V$117,21,0)</f>
        <v>2707</v>
      </c>
      <c r="F38" s="124"/>
      <c r="G38" s="62">
        <f>VLOOKUP(C38,SINDICATO!$C$36:$F$144,4,0)</f>
        <v>414.64000000000033</v>
      </c>
      <c r="H38" s="62">
        <f>VLOOKUP(C38,SINDICATO!$C$36:$G$144,5,0)</f>
        <v>283.33999999999997</v>
      </c>
      <c r="I38" s="62">
        <f>VLOOKUP(C38,SINDICATO!$C$36:$H$132,6,0)</f>
        <v>0</v>
      </c>
      <c r="J38" s="58"/>
      <c r="K38" s="62">
        <f t="shared" si="1"/>
        <v>3404.9800000000005</v>
      </c>
      <c r="L38" s="62">
        <f>VLOOKUP(C38,ABC!$A$3:$B$88,2,0)</f>
        <v>8000</v>
      </c>
      <c r="M38" s="62">
        <f t="shared" si="0"/>
        <v>4000</v>
      </c>
      <c r="N38" s="59"/>
      <c r="O38" s="60">
        <f>VLOOKUP(C38,IP!$B$9:$I$117,8,0)</f>
        <v>0</v>
      </c>
      <c r="P38" s="60">
        <f t="shared" si="10"/>
        <v>283.33999999999997</v>
      </c>
      <c r="Q38" s="60">
        <f>VLOOKUP(C38,IP!$B$9:$N$117,13,0)</f>
        <v>878.36</v>
      </c>
      <c r="R38" s="60">
        <f>VLOOKUP(C38,IP!$B$9:$O$117,14,0)</f>
        <v>0</v>
      </c>
      <c r="S38" s="60"/>
      <c r="T38" s="60">
        <f>VLOOKUP(C38,IP!$B$9:$P$117,15,0)</f>
        <v>0</v>
      </c>
      <c r="U38" s="60">
        <f>VLOOKUP(C38,IP!$B$9:$Q$117,16,0)</f>
        <v>0</v>
      </c>
      <c r="V38" s="60">
        <v>0</v>
      </c>
      <c r="W38" s="60">
        <f>VLOOKUP(C38,IP!B$9:R$117,17,0)</f>
        <v>0</v>
      </c>
      <c r="X38" s="58"/>
      <c r="Y38" s="62">
        <f t="shared" si="3"/>
        <v>4000.0000000000005</v>
      </c>
      <c r="Z38" s="60">
        <f t="shared" si="11"/>
        <v>0</v>
      </c>
      <c r="AA38" s="60"/>
    </row>
    <row r="39" spans="1:37" s="62" customFormat="1" x14ac:dyDescent="0.2">
      <c r="A39" s="78" t="s">
        <v>84</v>
      </c>
      <c r="B39" s="113" t="s">
        <v>58</v>
      </c>
      <c r="C39" s="78" t="s">
        <v>359</v>
      </c>
      <c r="D39" s="113"/>
      <c r="E39" s="115">
        <f>VLOOKUP(C39,IP!$B$9:$V$117,21,0)</f>
        <v>4004</v>
      </c>
      <c r="F39" s="124"/>
      <c r="G39" s="62">
        <f>VLOOKUP(C39,SINDICATO!$C$36:$F$144,4,0)</f>
        <v>496.00000000000045</v>
      </c>
      <c r="H39" s="62">
        <f>VLOOKUP(C39,SINDICATO!$C$36:$G$144,5,0)</f>
        <v>438.81</v>
      </c>
      <c r="I39" s="62">
        <f>VLOOKUP(C39,SINDICATO!$C$36:$H$132,6,0)</f>
        <v>0</v>
      </c>
      <c r="J39" s="58"/>
      <c r="K39" s="62">
        <f t="shared" si="1"/>
        <v>4938.8100000000004</v>
      </c>
      <c r="L39" s="62">
        <f>VLOOKUP(C39,ABC!$A$3:$B$88,2,0)</f>
        <v>9000</v>
      </c>
      <c r="M39" s="62">
        <f t="shared" si="0"/>
        <v>4500</v>
      </c>
      <c r="N39" s="59"/>
      <c r="O39" s="60">
        <f>VLOOKUP(C39,IP!$B$9:$I$117,8,0)</f>
        <v>0</v>
      </c>
      <c r="P39" s="60">
        <f t="shared" si="10"/>
        <v>438.81</v>
      </c>
      <c r="Q39" s="60">
        <f>VLOOKUP(C39,IP!$B$9:$N$117,13,0)</f>
        <v>0</v>
      </c>
      <c r="R39" s="60">
        <f>VLOOKUP(C39,IP!$B$9:$O$117,14,0)</f>
        <v>0</v>
      </c>
      <c r="S39" s="60"/>
      <c r="T39" s="60">
        <f>VLOOKUP(C39,IP!$B$9:$P$117,15,0)</f>
        <v>0</v>
      </c>
      <c r="U39" s="60">
        <f>VLOOKUP(C39,IP!$B$9:$Q$117,16,0)</f>
        <v>0</v>
      </c>
      <c r="V39" s="60">
        <v>0</v>
      </c>
      <c r="W39" s="60">
        <f>VLOOKUP(C39,IP!B$9:R$117,17,0)</f>
        <v>0</v>
      </c>
      <c r="X39" s="58"/>
      <c r="Y39" s="62">
        <f t="shared" si="3"/>
        <v>4500</v>
      </c>
      <c r="Z39" s="60">
        <f t="shared" si="11"/>
        <v>0</v>
      </c>
      <c r="AA39" s="60"/>
    </row>
    <row r="40" spans="1:37" s="62" customFormat="1" x14ac:dyDescent="0.2">
      <c r="A40" s="78" t="s">
        <v>86</v>
      </c>
      <c r="B40" s="113" t="s">
        <v>58</v>
      </c>
      <c r="C40" s="78" t="s">
        <v>360</v>
      </c>
      <c r="D40" s="113"/>
      <c r="E40" s="115">
        <f>VLOOKUP(C40,IP!$B$9:$V$117,21,0)</f>
        <v>5435.2</v>
      </c>
      <c r="F40" s="124"/>
      <c r="G40" s="62">
        <f>VLOOKUP(C40,SINDICATO!$C$36:$F$144,4,0)</f>
        <v>804.80000000000018</v>
      </c>
      <c r="H40" s="62">
        <f>VLOOKUP(C40,SINDICATO!$C$36:$G$144,5,0)</f>
        <v>980</v>
      </c>
      <c r="I40" s="62">
        <f>VLOOKUP(C40,SINDICATO!$C$36:$H$132,6,0)</f>
        <v>0</v>
      </c>
      <c r="J40" s="58"/>
      <c r="K40" s="62">
        <f t="shared" si="1"/>
        <v>7220</v>
      </c>
      <c r="L40" s="62">
        <f>VLOOKUP(C40,ABC!$A$3:$B$88,2,0)</f>
        <v>12000</v>
      </c>
      <c r="M40" s="62">
        <f t="shared" si="0"/>
        <v>6000</v>
      </c>
      <c r="N40" s="59"/>
      <c r="O40" s="60">
        <f>VLOOKUP(C40,IP!$B$9:$I$117,8,0)</f>
        <v>240</v>
      </c>
      <c r="P40" s="60">
        <f t="shared" si="10"/>
        <v>980</v>
      </c>
      <c r="Q40" s="60">
        <f>VLOOKUP(C40,IP!$B$9:$N$117,13,0)</f>
        <v>0</v>
      </c>
      <c r="R40" s="60">
        <f>VLOOKUP(C40,IP!$B$9:$O$117,14,0)</f>
        <v>0</v>
      </c>
      <c r="S40" s="60"/>
      <c r="T40" s="60">
        <f>VLOOKUP(C40,IP!$B$9:$P$117,15,0)</f>
        <v>0</v>
      </c>
      <c r="U40" s="60">
        <f>VLOOKUP(C40,IP!$B$9:$Q$117,16,0)</f>
        <v>0</v>
      </c>
      <c r="V40" s="60">
        <v>0</v>
      </c>
      <c r="W40" s="60">
        <f>VLOOKUP(C40,IP!B$9:R$117,17,0)</f>
        <v>0</v>
      </c>
      <c r="X40" s="58"/>
      <c r="Y40" s="62">
        <f t="shared" si="3"/>
        <v>6000</v>
      </c>
      <c r="Z40" s="60">
        <f t="shared" si="11"/>
        <v>0</v>
      </c>
      <c r="AA40" s="60"/>
    </row>
    <row r="41" spans="1:37" s="62" customFormat="1" x14ac:dyDescent="0.2">
      <c r="A41" s="78" t="s">
        <v>88</v>
      </c>
      <c r="B41" s="113" t="s">
        <v>58</v>
      </c>
      <c r="C41" s="78" t="s">
        <v>592</v>
      </c>
      <c r="D41" s="113"/>
      <c r="E41" s="115">
        <f>VLOOKUP(C41,IP!$B$9:$V$117,21,0)</f>
        <v>3585.4</v>
      </c>
      <c r="F41" s="124"/>
      <c r="G41" s="62">
        <f>VLOOKUP(C41,SINDICATO!$C$36:$F$144,4,0)</f>
        <v>414.59999999999991</v>
      </c>
      <c r="H41" s="62">
        <f>VLOOKUP(C41,SINDICATO!$C$36:$G$144,5,0)</f>
        <v>1192.5</v>
      </c>
      <c r="I41" s="62">
        <f>VLOOKUP(C41,SINDICATO!$C$36:$H$132,6,0)</f>
        <v>0</v>
      </c>
      <c r="J41" s="58"/>
      <c r="K41" s="62">
        <f t="shared" si="1"/>
        <v>5192.5</v>
      </c>
      <c r="L41" s="62">
        <v>8000</v>
      </c>
      <c r="M41" s="62">
        <f>+L41/2</f>
        <v>4000</v>
      </c>
      <c r="N41" s="59"/>
      <c r="O41" s="60">
        <f>VLOOKUP(C41,IP!$B$9:$I$117,8,0)</f>
        <v>0</v>
      </c>
      <c r="P41" s="60">
        <f t="shared" si="10"/>
        <v>1192.5</v>
      </c>
      <c r="Q41" s="60">
        <f>VLOOKUP(C41,IP!$B$9:$N$117,13,0)</f>
        <v>0</v>
      </c>
      <c r="R41" s="60">
        <f>VLOOKUP(C41,IP!$B$9:$O$117,14,0)</f>
        <v>0</v>
      </c>
      <c r="S41" s="60"/>
      <c r="T41" s="60">
        <f>VLOOKUP(C41,IP!$B$9:$P$117,15,0)</f>
        <v>0</v>
      </c>
      <c r="U41" s="60">
        <f>VLOOKUP(C41,IP!$B$9:$Q$117,16,0)</f>
        <v>0</v>
      </c>
      <c r="V41" s="60">
        <v>0</v>
      </c>
      <c r="W41" s="60">
        <f>VLOOKUP(C41,IP!B$9:R$117,17,0)</f>
        <v>0</v>
      </c>
      <c r="X41" s="58"/>
      <c r="Y41" s="62">
        <f t="shared" si="3"/>
        <v>4000</v>
      </c>
      <c r="Z41" s="60">
        <f t="shared" si="11"/>
        <v>0</v>
      </c>
      <c r="AA41" s="60"/>
    </row>
    <row r="42" spans="1:37" s="60" customFormat="1" x14ac:dyDescent="0.2">
      <c r="A42" s="70" t="s">
        <v>90</v>
      </c>
      <c r="B42" s="115" t="s">
        <v>58</v>
      </c>
      <c r="C42" s="70" t="s">
        <v>361</v>
      </c>
      <c r="D42" s="115"/>
      <c r="E42" s="115">
        <f>VLOOKUP(C42,IP!$B$9:$V$117,21,0)</f>
        <v>1502.4</v>
      </c>
      <c r="F42" s="124"/>
      <c r="G42" s="62">
        <f>VLOOKUP(C42,SINDICATO!$C$36:$F$144,4,0)</f>
        <v>1135.1199999999999</v>
      </c>
      <c r="H42" s="62">
        <f>VLOOKUP(C42,SINDICATO!$C$36:$G$144,5,0)</f>
        <v>0</v>
      </c>
      <c r="I42" s="62">
        <f>VLOOKUP(C42,SINDICATO!$C$36:$H$132,6,0)</f>
        <v>0</v>
      </c>
      <c r="J42" s="58"/>
      <c r="K42" s="62">
        <f t="shared" si="1"/>
        <v>2637.52</v>
      </c>
      <c r="L42" s="60">
        <v>8000</v>
      </c>
      <c r="M42" s="60">
        <f>+L42/2</f>
        <v>4000</v>
      </c>
      <c r="N42" s="59"/>
      <c r="O42" s="60">
        <f>VLOOKUP(C42,IP!$B$9:$I$117,8,0)</f>
        <v>0</v>
      </c>
      <c r="P42" s="60">
        <f t="shared" si="10"/>
        <v>0</v>
      </c>
      <c r="Q42" s="60">
        <f>VLOOKUP(C42,IP!$B$9:$N$117,13,0)</f>
        <v>1362.48</v>
      </c>
      <c r="R42" s="60">
        <f>VLOOKUP(C42,IP!$B$9:$O$117,14,0)</f>
        <v>0</v>
      </c>
      <c r="T42" s="60">
        <f>VLOOKUP(C42,IP!$B$9:$P$117,15,0)</f>
        <v>0</v>
      </c>
      <c r="U42" s="60">
        <f>VLOOKUP(C42,IP!$B$9:$Q$117,16,0)</f>
        <v>0</v>
      </c>
      <c r="V42" s="60">
        <v>0</v>
      </c>
      <c r="W42" s="60">
        <f>VLOOKUP(C42,IP!B$9:R$117,17,0)</f>
        <v>0</v>
      </c>
      <c r="X42" s="58"/>
      <c r="Y42" s="62">
        <f t="shared" si="3"/>
        <v>4000</v>
      </c>
      <c r="Z42" s="60">
        <f>+M42-Y42</f>
        <v>0</v>
      </c>
    </row>
    <row r="43" spans="1:37" s="62" customFormat="1" x14ac:dyDescent="0.2">
      <c r="A43" s="78" t="s">
        <v>92</v>
      </c>
      <c r="B43" s="113" t="s">
        <v>58</v>
      </c>
      <c r="C43" s="78" t="s">
        <v>362</v>
      </c>
      <c r="D43" s="113"/>
      <c r="E43" s="115">
        <f>VLOOKUP(C43,IP!$B$9:$V$117,21,0)</f>
        <v>4406.3999999999996</v>
      </c>
      <c r="F43" s="124"/>
      <c r="G43" s="62">
        <f>VLOOKUP(C43,SINDICATO!$C$36:$F$144,4,0)</f>
        <v>593.60000000000036</v>
      </c>
      <c r="H43" s="62">
        <f>VLOOKUP(C43,SINDICATO!$C$36:$G$144,5,0)</f>
        <v>831.72</v>
      </c>
      <c r="I43" s="62">
        <f>VLOOKUP(C43,SINDICATO!$C$36:$H$132,6,0)</f>
        <v>0</v>
      </c>
      <c r="J43" s="58"/>
      <c r="K43" s="62">
        <f t="shared" si="1"/>
        <v>5831.72</v>
      </c>
      <c r="L43" s="62">
        <f>VLOOKUP(C43,ABC!$A$3:$B$88,2,0)</f>
        <v>10000</v>
      </c>
      <c r="M43" s="62">
        <f t="shared" si="0"/>
        <v>5000</v>
      </c>
      <c r="N43" s="59"/>
      <c r="O43" s="60">
        <f>VLOOKUP(C43,IP!$B$9:$I$117,8,0)</f>
        <v>0</v>
      </c>
      <c r="P43" s="60">
        <f t="shared" si="10"/>
        <v>831.72</v>
      </c>
      <c r="Q43" s="60">
        <f>VLOOKUP(C43,IP!$B$9:$N$117,13,0)</f>
        <v>0</v>
      </c>
      <c r="R43" s="60">
        <f>VLOOKUP(C43,IP!$B$9:$O$117,14,0)</f>
        <v>0</v>
      </c>
      <c r="S43" s="60"/>
      <c r="T43" s="60">
        <f>VLOOKUP(C43,IP!$B$9:$P$117,15,0)</f>
        <v>0</v>
      </c>
      <c r="U43" s="60">
        <f>VLOOKUP(C43,IP!$B$9:$Q$117,16,0)</f>
        <v>0</v>
      </c>
      <c r="V43" s="60">
        <v>0</v>
      </c>
      <c r="W43" s="60">
        <f>VLOOKUP(C43,IP!B$9:R$117,17,0)</f>
        <v>0</v>
      </c>
      <c r="X43" s="58"/>
      <c r="Y43" s="62">
        <f t="shared" si="3"/>
        <v>5000</v>
      </c>
      <c r="Z43" s="60">
        <f t="shared" si="11"/>
        <v>0</v>
      </c>
      <c r="AA43" s="60"/>
    </row>
    <row r="44" spans="1:37" s="62" customFormat="1" x14ac:dyDescent="0.2">
      <c r="A44" s="78" t="s">
        <v>94</v>
      </c>
      <c r="B44" s="113" t="s">
        <v>58</v>
      </c>
      <c r="C44" s="78" t="s">
        <v>363</v>
      </c>
      <c r="D44" s="113"/>
      <c r="E44" s="115">
        <f>VLOOKUP(C44,IP!$B$9:$V$117,21,0)</f>
        <v>3277.4</v>
      </c>
      <c r="F44" s="124"/>
      <c r="G44" s="62">
        <f>VLOOKUP(C44,SINDICATO!$C$36:$F$144,4,0)</f>
        <v>222.59999999999991</v>
      </c>
      <c r="H44" s="62">
        <f>VLOOKUP(C44,SINDICATO!$C$36:$G$144,5,0)</f>
        <v>553.4</v>
      </c>
      <c r="I44" s="62">
        <f>VLOOKUP(C44,SINDICATO!$C$36:$H$132,6,0)</f>
        <v>0</v>
      </c>
      <c r="J44" s="58"/>
      <c r="K44" s="62">
        <f t="shared" si="1"/>
        <v>4053.4</v>
      </c>
      <c r="L44" s="62">
        <f>VLOOKUP(C44,ABC!$A$3:$B$88,2,0)</f>
        <v>7000</v>
      </c>
      <c r="M44" s="62">
        <f t="shared" si="0"/>
        <v>3500</v>
      </c>
      <c r="N44" s="59"/>
      <c r="O44" s="60">
        <f>VLOOKUP(C44,IP!$B$9:$I$117,8,0)</f>
        <v>0</v>
      </c>
      <c r="P44" s="60">
        <f t="shared" si="10"/>
        <v>553.4</v>
      </c>
      <c r="Q44" s="60">
        <f>VLOOKUP(C44,IP!$B$9:$N$117,13,0)</f>
        <v>0</v>
      </c>
      <c r="R44" s="60">
        <f>VLOOKUP(C44,IP!$B$9:$O$117,14,0)</f>
        <v>0</v>
      </c>
      <c r="S44" s="60"/>
      <c r="T44" s="60">
        <f>VLOOKUP(C44,IP!$B$9:$P$117,15,0)</f>
        <v>0</v>
      </c>
      <c r="U44" s="60">
        <f>VLOOKUP(C44,IP!$B$9:$Q$117,16,0)</f>
        <v>0</v>
      </c>
      <c r="V44" s="60">
        <v>0</v>
      </c>
      <c r="W44" s="60">
        <f>VLOOKUP(C44,IP!B$9:R$117,17,0)</f>
        <v>0</v>
      </c>
      <c r="X44" s="58"/>
      <c r="Y44" s="62">
        <f t="shared" si="3"/>
        <v>3500</v>
      </c>
      <c r="Z44" s="60">
        <f t="shared" si="11"/>
        <v>0</v>
      </c>
      <c r="AA44" s="60"/>
    </row>
    <row r="45" spans="1:37" s="62" customFormat="1" x14ac:dyDescent="0.2">
      <c r="A45" s="78" t="s">
        <v>102</v>
      </c>
      <c r="B45" s="113" t="s">
        <v>58</v>
      </c>
      <c r="C45" s="78" t="s">
        <v>364</v>
      </c>
      <c r="D45" s="113"/>
      <c r="E45" s="115">
        <f>VLOOKUP(C45,IP!$B$9:$V$117,21,0)</f>
        <v>1064.8</v>
      </c>
      <c r="F45" s="124"/>
      <c r="G45" s="62">
        <f>VLOOKUP(C45,SINDICATO!$C$36:$F$144,4,0)</f>
        <v>135.19999999999965</v>
      </c>
      <c r="H45" s="62">
        <f>VLOOKUP(C45,SINDICATO!$C$36:$G$144,5,0)</f>
        <v>1000</v>
      </c>
      <c r="I45" s="62">
        <f>VLOOKUP(C45,SINDICATO!$C$36:$H$132,6,0)</f>
        <v>0</v>
      </c>
      <c r="J45" s="58"/>
      <c r="K45" s="62">
        <f t="shared" si="1"/>
        <v>2199.9999999999995</v>
      </c>
      <c r="L45" s="62">
        <f>VLOOKUP(C45,ABC!$A$3:$B$88,2,0)</f>
        <v>6000</v>
      </c>
      <c r="M45" s="62">
        <f t="shared" si="0"/>
        <v>3000</v>
      </c>
      <c r="N45" s="59"/>
      <c r="O45" s="60">
        <f>VLOOKUP(C45,IP!$B$9:$I$117,8,0)</f>
        <v>0</v>
      </c>
      <c r="P45" s="60">
        <f t="shared" si="10"/>
        <v>1000</v>
      </c>
      <c r="Q45" s="60">
        <f>VLOOKUP(C45,IP!$B$9:$N$117,13,0)</f>
        <v>0</v>
      </c>
      <c r="R45" s="60">
        <f>VLOOKUP(C45,IP!$B$9:$O$117,14,0)</f>
        <v>0</v>
      </c>
      <c r="S45" s="60"/>
      <c r="T45" s="60">
        <f>VLOOKUP(C45,IP!$B$9:$P$117,15,0)</f>
        <v>0</v>
      </c>
      <c r="U45" s="60">
        <f>VLOOKUP(C45,IP!$B$9:$Q$117,16,0)</f>
        <v>1800</v>
      </c>
      <c r="V45" s="60">
        <v>0</v>
      </c>
      <c r="W45" s="60">
        <f>VLOOKUP(C45,IP!B$9:R$117,17,0)</f>
        <v>0</v>
      </c>
      <c r="X45" s="58"/>
      <c r="Y45" s="62">
        <f t="shared" si="3"/>
        <v>2999.9999999999995</v>
      </c>
      <c r="Z45" s="60">
        <f t="shared" si="11"/>
        <v>0</v>
      </c>
      <c r="AA45" s="61"/>
    </row>
    <row r="46" spans="1:37" s="62" customFormat="1" x14ac:dyDescent="0.2">
      <c r="A46" s="78" t="s">
        <v>106</v>
      </c>
      <c r="B46" s="113" t="s">
        <v>58</v>
      </c>
      <c r="C46" s="78" t="s">
        <v>366</v>
      </c>
      <c r="D46" s="113"/>
      <c r="E46" s="115">
        <f>VLOOKUP(C46,IP!$B$9:$V$117,21,0)</f>
        <v>3234.2</v>
      </c>
      <c r="F46" s="124"/>
      <c r="G46" s="62">
        <f>VLOOKUP(C46,SINDICATO!$C$36:$F$144,4,0)</f>
        <v>215.80000000000018</v>
      </c>
      <c r="H46" s="62">
        <f>VLOOKUP(C46,SINDICATO!$C$36:$G$144,5,0)</f>
        <v>0</v>
      </c>
      <c r="I46" s="62">
        <f>VLOOKUP(C46,SINDICATO!$C$36:$H$132,6,0)</f>
        <v>0</v>
      </c>
      <c r="J46" s="58"/>
      <c r="K46" s="62">
        <f t="shared" si="1"/>
        <v>3450</v>
      </c>
      <c r="L46" s="62">
        <f>VLOOKUP(C46,ABC!$A$3:$B$88,2,0)</f>
        <v>6900</v>
      </c>
      <c r="M46" s="62">
        <f t="shared" si="0"/>
        <v>3450</v>
      </c>
      <c r="N46" s="59"/>
      <c r="O46" s="60">
        <f>VLOOKUP(C46,IP!$B$9:$I$117,8,0)</f>
        <v>0</v>
      </c>
      <c r="P46" s="60">
        <f t="shared" si="10"/>
        <v>0</v>
      </c>
      <c r="Q46" s="60">
        <f>VLOOKUP(C46,IP!$B$9:$N$117,13,0)</f>
        <v>0</v>
      </c>
      <c r="R46" s="60">
        <f>VLOOKUP(C46,IP!$B$9:$O$117,14,0)</f>
        <v>0</v>
      </c>
      <c r="S46" s="60"/>
      <c r="T46" s="60">
        <f>VLOOKUP(C46,IP!$B$9:$P$117,15,0)</f>
        <v>0</v>
      </c>
      <c r="U46" s="60">
        <f>VLOOKUP(C46,IP!$B$9:$Q$117,16,0)</f>
        <v>0</v>
      </c>
      <c r="V46" s="60">
        <v>0</v>
      </c>
      <c r="W46" s="60">
        <f>VLOOKUP(C46,IP!B$9:R$117,17,0)</f>
        <v>0</v>
      </c>
      <c r="X46" s="58"/>
      <c r="Y46" s="62">
        <f t="shared" si="3"/>
        <v>3450</v>
      </c>
      <c r="Z46" s="60">
        <f t="shared" si="11"/>
        <v>0</v>
      </c>
      <c r="AA46" s="60"/>
    </row>
    <row r="47" spans="1:37" s="62" customFormat="1" x14ac:dyDescent="0.2">
      <c r="A47" s="78" t="s">
        <v>222</v>
      </c>
      <c r="B47" s="113" t="s">
        <v>58</v>
      </c>
      <c r="C47" s="78" t="s">
        <v>368</v>
      </c>
      <c r="D47" s="113"/>
      <c r="E47" s="115">
        <f>VLOOKUP(C47,IP!$B$9:$V$117,21,0)</f>
        <v>2864.8</v>
      </c>
      <c r="F47" s="124"/>
      <c r="G47" s="62">
        <f>VLOOKUP(C47,SINDICATO!$C$36:$F$144,4,0)</f>
        <v>2135.1999999999998</v>
      </c>
      <c r="H47" s="62">
        <f>VLOOKUP(C47,SINDICATO!$C$36:$G$144,5,0)</f>
        <v>9882.23</v>
      </c>
      <c r="I47" s="62">
        <f>VLOOKUP(C47,SINDICATO!$C$36:$H$132,6,0)</f>
        <v>0</v>
      </c>
      <c r="J47" s="58"/>
      <c r="K47" s="62">
        <f t="shared" si="1"/>
        <v>14882.23</v>
      </c>
      <c r="L47" s="100">
        <v>10000</v>
      </c>
      <c r="M47" s="62">
        <f t="shared" si="0"/>
        <v>5000</v>
      </c>
      <c r="N47" s="59"/>
      <c r="O47" s="60">
        <f>VLOOKUP(C47,IP!$B$9:$I$117,8,0)</f>
        <v>0</v>
      </c>
      <c r="P47" s="60">
        <f t="shared" si="10"/>
        <v>9882.23</v>
      </c>
      <c r="Q47" s="60">
        <f>VLOOKUP(C47,IP!$B$9:$N$117,13,0)</f>
        <v>0</v>
      </c>
      <c r="R47" s="60">
        <f>VLOOKUP(C47,IP!$B$9:$O$117,14,0)</f>
        <v>0</v>
      </c>
      <c r="S47" s="60"/>
      <c r="T47" s="60">
        <f>VLOOKUP(C47,IP!$B$9:$P$117,15,0)</f>
        <v>0</v>
      </c>
      <c r="U47" s="60">
        <f>VLOOKUP(C47,IP!$B$9:$Q$117,16,0)</f>
        <v>0</v>
      </c>
      <c r="V47" s="60">
        <v>0</v>
      </c>
      <c r="W47" s="60">
        <f>VLOOKUP(C47,IP!B$9:R$117,17,0)</f>
        <v>0</v>
      </c>
      <c r="X47" s="58"/>
      <c r="Y47" s="62">
        <f t="shared" si="3"/>
        <v>5000</v>
      </c>
      <c r="Z47" s="60">
        <f t="shared" si="11"/>
        <v>0</v>
      </c>
      <c r="AA47" s="60"/>
    </row>
    <row r="48" spans="1:37" s="60" customFormat="1" x14ac:dyDescent="0.2">
      <c r="A48" s="70" t="s">
        <v>226</v>
      </c>
      <c r="B48" s="115" t="s">
        <v>58</v>
      </c>
      <c r="C48" s="70" t="s">
        <v>369</v>
      </c>
      <c r="D48" s="115"/>
      <c r="E48" s="115">
        <f>VLOOKUP(C48,IP!$B$9:$V$117,21,0)</f>
        <v>3583.6</v>
      </c>
      <c r="F48" s="132"/>
      <c r="G48" s="62">
        <f>VLOOKUP(C48,SINDICATO!$C$36:$F$144,4,0)</f>
        <v>917</v>
      </c>
      <c r="H48" s="62">
        <f>VLOOKUP(C48,SINDICATO!$C$36:$G$144,5,0)</f>
        <v>27481.599999999999</v>
      </c>
      <c r="I48" s="62">
        <f>VLOOKUP(C48,SINDICATO!$C$36:$H$132,6,0)</f>
        <v>0</v>
      </c>
      <c r="J48" s="133"/>
      <c r="K48" s="60">
        <f t="shared" si="1"/>
        <v>31982.199999999997</v>
      </c>
      <c r="L48" s="60">
        <v>9000</v>
      </c>
      <c r="M48" s="60">
        <f>+L48/2</f>
        <v>4500</v>
      </c>
      <c r="N48" s="133"/>
      <c r="O48" s="60">
        <f>VLOOKUP(C48,IP!$B$9:$I$117,8,0)</f>
        <v>0</v>
      </c>
      <c r="P48" s="60">
        <f t="shared" si="10"/>
        <v>27481.599999999999</v>
      </c>
      <c r="Q48" s="60">
        <f>VLOOKUP(C48,IP!$B$9:$N$117,13,0)</f>
        <v>0</v>
      </c>
      <c r="R48" s="60">
        <f>VLOOKUP(C48,IP!$B$9:$O$117,14,0)</f>
        <v>0</v>
      </c>
      <c r="T48" s="60">
        <f>VLOOKUP(C48,IP!$B$9:$P$117,15,0)</f>
        <v>0</v>
      </c>
      <c r="U48" s="60">
        <f>VLOOKUP(C48,IP!$B$9:$Q$117,16,0)</f>
        <v>0</v>
      </c>
      <c r="V48" s="60">
        <v>0</v>
      </c>
      <c r="W48" s="60">
        <f>VLOOKUP(C48,IP!B$9:R$117,17,0)</f>
        <v>0</v>
      </c>
      <c r="X48" s="133"/>
      <c r="Y48" s="60">
        <f t="shared" si="3"/>
        <v>4500.5999999999985</v>
      </c>
    </row>
    <row r="49" spans="1:29" s="62" customFormat="1" x14ac:dyDescent="0.2">
      <c r="A49" s="78" t="s">
        <v>227</v>
      </c>
      <c r="B49" s="113" t="s">
        <v>58</v>
      </c>
      <c r="C49" s="78" t="s">
        <v>370</v>
      </c>
      <c r="D49" s="113"/>
      <c r="E49" s="115">
        <f>VLOOKUP(C49,IP!$B$9:$V$117,21,0)</f>
        <v>7087.6</v>
      </c>
      <c r="F49" s="124"/>
      <c r="G49" s="62">
        <f>VLOOKUP(C49,SINDICATO!$C$36:$F$144,4,0)</f>
        <v>2162.3999999999996</v>
      </c>
      <c r="H49" s="62">
        <f>VLOOKUP(C49,SINDICATO!$C$36:$G$144,5,0)</f>
        <v>750</v>
      </c>
      <c r="I49" s="62">
        <f>VLOOKUP(C49,SINDICATO!$C$36:$H$132,6,0)</f>
        <v>0</v>
      </c>
      <c r="J49" s="58"/>
      <c r="K49" s="62">
        <f t="shared" si="1"/>
        <v>10000</v>
      </c>
      <c r="L49" s="62">
        <f>VLOOKUP(C49,ABC!$A$3:$B$88,2,0)</f>
        <v>18500</v>
      </c>
      <c r="M49" s="62">
        <f t="shared" si="0"/>
        <v>9250</v>
      </c>
      <c r="N49" s="59"/>
      <c r="O49" s="60">
        <f>VLOOKUP(C49,IP!$B$9:$I$117,8,0)</f>
        <v>0</v>
      </c>
      <c r="P49" s="60">
        <f t="shared" si="10"/>
        <v>750</v>
      </c>
      <c r="Q49" s="60">
        <f>VLOOKUP(C49,IP!$B$9:$N$117,13,0)</f>
        <v>0</v>
      </c>
      <c r="R49" s="60">
        <f>VLOOKUP(C49,IP!$B$9:$O$117,14,0)</f>
        <v>0</v>
      </c>
      <c r="S49" s="60"/>
      <c r="T49" s="60">
        <f>VLOOKUP(C49,IP!$B$9:$P$117,15,0)</f>
        <v>0</v>
      </c>
      <c r="U49" s="60">
        <f>VLOOKUP(C49,IP!$B$9:$Q$117,16,0)</f>
        <v>0</v>
      </c>
      <c r="V49" s="60">
        <v>0</v>
      </c>
      <c r="W49" s="60">
        <f>VLOOKUP(C49,IP!B$9:R$117,17,0)</f>
        <v>0</v>
      </c>
      <c r="X49" s="58"/>
      <c r="Y49" s="62">
        <f t="shared" si="3"/>
        <v>9250</v>
      </c>
      <c r="Z49" s="60">
        <f t="shared" si="11"/>
        <v>0</v>
      </c>
      <c r="AA49" s="60"/>
    </row>
    <row r="50" spans="1:29" s="62" customFormat="1" x14ac:dyDescent="0.2">
      <c r="A50" s="78" t="s">
        <v>228</v>
      </c>
      <c r="B50" s="113" t="s">
        <v>58</v>
      </c>
      <c r="C50" s="78" t="s">
        <v>371</v>
      </c>
      <c r="D50" s="113"/>
      <c r="E50" s="115">
        <f>VLOOKUP(C50,IP!$B$9:$V$117,21,0)</f>
        <v>3368.2</v>
      </c>
      <c r="F50" s="124"/>
      <c r="G50" s="62">
        <f>VLOOKUP(C50,SINDICATO!$C$36:$F$144,4,0)</f>
        <v>881.80000000000064</v>
      </c>
      <c r="H50" s="62">
        <f>VLOOKUP(C50,SINDICATO!$C$36:$G$144,5,0)</f>
        <v>250</v>
      </c>
      <c r="I50" s="62">
        <f>VLOOKUP(C50,SINDICATO!$C$36:$H$132,6,0)</f>
        <v>0</v>
      </c>
      <c r="J50" s="58"/>
      <c r="K50" s="62">
        <f t="shared" si="1"/>
        <v>4500</v>
      </c>
      <c r="L50" s="62">
        <f>VLOOKUP(C50,ABC!$A$3:$B$88,2,0)</f>
        <v>8500</v>
      </c>
      <c r="M50" s="62">
        <f t="shared" si="0"/>
        <v>4250</v>
      </c>
      <c r="N50" s="59"/>
      <c r="O50" s="60">
        <f>VLOOKUP(C50,IP!$B$9:$I$117,8,0)</f>
        <v>0</v>
      </c>
      <c r="P50" s="60">
        <f t="shared" si="10"/>
        <v>250</v>
      </c>
      <c r="Q50" s="60">
        <f>VLOOKUP(C50,IP!$B$9:$N$117,13,0)</f>
        <v>0</v>
      </c>
      <c r="R50" s="60">
        <f>VLOOKUP(C50,IP!$B$9:$O$117,14,0)</f>
        <v>0</v>
      </c>
      <c r="S50" s="60"/>
      <c r="T50" s="60">
        <f>VLOOKUP(C50,IP!$B$9:$P$117,15,0)</f>
        <v>0</v>
      </c>
      <c r="U50" s="60">
        <f>VLOOKUP(C50,IP!$B$9:$Q$117,16,0)</f>
        <v>0</v>
      </c>
      <c r="V50" s="60">
        <v>0</v>
      </c>
      <c r="W50" s="60">
        <f>VLOOKUP(C50,IP!B$9:R$117,17,0)</f>
        <v>0</v>
      </c>
      <c r="X50" s="58"/>
      <c r="Y50" s="62">
        <f t="shared" si="3"/>
        <v>4250</v>
      </c>
      <c r="Z50" s="60">
        <f t="shared" si="11"/>
        <v>0</v>
      </c>
      <c r="AA50" s="60"/>
    </row>
    <row r="51" spans="1:29" s="62" customFormat="1" x14ac:dyDescent="0.2">
      <c r="A51" s="78" t="s">
        <v>231</v>
      </c>
      <c r="B51" s="113" t="s">
        <v>58</v>
      </c>
      <c r="C51" s="78" t="s">
        <v>374</v>
      </c>
      <c r="D51" s="113"/>
      <c r="E51" s="115">
        <f>VLOOKUP(C51,IP!$B$9:$V$117,21,0)</f>
        <v>3906.4</v>
      </c>
      <c r="F51" s="124"/>
      <c r="G51" s="62">
        <f>VLOOKUP(C51,SINDICATO!$C$36:$F$144,4,0)</f>
        <v>593.59999999999945</v>
      </c>
      <c r="H51" s="62">
        <f>VLOOKUP(C51,SINDICATO!$C$36:$G$144,5,0)</f>
        <v>500</v>
      </c>
      <c r="I51" s="62">
        <f>VLOOKUP(C51,SINDICATO!$C$36:$H$132,6,0)</f>
        <v>0</v>
      </c>
      <c r="J51" s="58"/>
      <c r="K51" s="62">
        <f t="shared" si="1"/>
        <v>5000</v>
      </c>
      <c r="L51" s="62">
        <f>VLOOKUP(C51,ABC!$A$3:$B$88,2,0)</f>
        <v>10000</v>
      </c>
      <c r="M51" s="62">
        <f t="shared" si="0"/>
        <v>5000</v>
      </c>
      <c r="N51" s="59"/>
      <c r="O51" s="60">
        <f>VLOOKUP(C51,IP!$B$9:$I$117,8,0)</f>
        <v>0</v>
      </c>
      <c r="P51" s="60">
        <f t="shared" si="10"/>
        <v>500</v>
      </c>
      <c r="Q51" s="60">
        <f>VLOOKUP(C51,IP!$B$9:$N$117,13,0)</f>
        <v>0</v>
      </c>
      <c r="R51" s="60">
        <f>VLOOKUP(C51,IP!$B$9:$O$117,14,0)</f>
        <v>0</v>
      </c>
      <c r="S51" s="60"/>
      <c r="T51" s="60">
        <f>VLOOKUP(C51,IP!$B$9:$P$117,15,0)</f>
        <v>0</v>
      </c>
      <c r="U51" s="60">
        <f>VLOOKUP(C51,IP!$B$9:$Q$117,16,0)</f>
        <v>0</v>
      </c>
      <c r="V51" s="60">
        <v>500</v>
      </c>
      <c r="W51" s="60">
        <f>VLOOKUP(C51,IP!B$9:R$117,17,0)</f>
        <v>0</v>
      </c>
      <c r="X51" s="58"/>
      <c r="Y51" s="62">
        <f t="shared" si="3"/>
        <v>5000</v>
      </c>
      <c r="Z51" s="60">
        <f t="shared" si="11"/>
        <v>0</v>
      </c>
      <c r="AA51" s="60"/>
    </row>
    <row r="52" spans="1:29" s="62" customFormat="1" x14ac:dyDescent="0.2">
      <c r="A52" s="78" t="s">
        <v>232</v>
      </c>
      <c r="B52" s="113" t="s">
        <v>58</v>
      </c>
      <c r="C52" s="78" t="s">
        <v>375</v>
      </c>
      <c r="D52" s="113"/>
      <c r="E52" s="115">
        <f>VLOOKUP(C52,IP!$B$9:$V$117,21,0)</f>
        <v>2135.4</v>
      </c>
      <c r="F52" s="124"/>
      <c r="G52" s="62">
        <f>VLOOKUP(C52,SINDICATO!$C$36:$F$144,4,0)</f>
        <v>1122.4299999999994</v>
      </c>
      <c r="H52" s="62">
        <f>VLOOKUP(C52,SINDICATO!$C$36:$G$144,5,0)</f>
        <v>500</v>
      </c>
      <c r="I52" s="62">
        <f>VLOOKUP(C52,SINDICATO!$C$36:$H$132,6,0)</f>
        <v>0</v>
      </c>
      <c r="J52" s="58"/>
      <c r="K52" s="62">
        <f t="shared" si="1"/>
        <v>3757.8299999999995</v>
      </c>
      <c r="L52" s="62">
        <f>VLOOKUP(C52,ABC!$A$3:$B$88,2,0)</f>
        <v>9800</v>
      </c>
      <c r="M52" s="62">
        <f t="shared" si="0"/>
        <v>4900</v>
      </c>
      <c r="N52" s="59"/>
      <c r="O52" s="60">
        <f>VLOOKUP(C52,IP!$B$9:$I$117,8,0)</f>
        <v>0</v>
      </c>
      <c r="P52" s="60">
        <f t="shared" si="10"/>
        <v>500</v>
      </c>
      <c r="Q52" s="60">
        <f>VLOOKUP(C52,IP!$B$9:$N$117,13,0)</f>
        <v>1642.17</v>
      </c>
      <c r="R52" s="60">
        <f>VLOOKUP(C52,IP!$B$9:$O$117,14,0)</f>
        <v>0</v>
      </c>
      <c r="S52" s="60"/>
      <c r="T52" s="60">
        <f>VLOOKUP(C52,IP!$B$9:$P$117,15,0)</f>
        <v>0</v>
      </c>
      <c r="U52" s="60">
        <f>VLOOKUP(C52,IP!$B$9:$Q$117,16,0)</f>
        <v>0</v>
      </c>
      <c r="V52" s="60">
        <v>0</v>
      </c>
      <c r="W52" s="60">
        <f>VLOOKUP(C52,IP!B$9:R$117,17,0)</f>
        <v>0</v>
      </c>
      <c r="X52" s="58"/>
      <c r="Y52" s="62">
        <f t="shared" si="3"/>
        <v>4900</v>
      </c>
      <c r="Z52" s="60">
        <f t="shared" si="11"/>
        <v>0</v>
      </c>
      <c r="AA52" s="60"/>
    </row>
    <row r="53" spans="1:29" s="60" customFormat="1" x14ac:dyDescent="0.2">
      <c r="A53" s="70" t="s">
        <v>234</v>
      </c>
      <c r="B53" s="115" t="s">
        <v>58</v>
      </c>
      <c r="C53" s="70" t="s">
        <v>376</v>
      </c>
      <c r="D53" s="115"/>
      <c r="E53" s="115">
        <f>VLOOKUP(C53,IP!$B$9:$V$117,21,0)</f>
        <v>4503.3999999999996</v>
      </c>
      <c r="F53" s="132"/>
      <c r="G53" s="62">
        <f>VLOOKUP(C53,SINDICATO!$C$36:$F$144,4,0)</f>
        <v>0</v>
      </c>
      <c r="H53" s="62">
        <f>VLOOKUP(C53,SINDICATO!$C$36:$G$144,5,0)</f>
        <v>0</v>
      </c>
      <c r="I53" s="60">
        <f>VLOOKUP(C53,SINDICATO!$C$36:$H$132,6,0)</f>
        <v>0</v>
      </c>
      <c r="J53" s="133"/>
      <c r="K53" s="60">
        <f t="shared" si="1"/>
        <v>4503.3999999999996</v>
      </c>
      <c r="L53" s="60">
        <v>9000</v>
      </c>
      <c r="M53" s="60">
        <f t="shared" si="0"/>
        <v>4500</v>
      </c>
      <c r="N53" s="133"/>
      <c r="O53" s="60">
        <f>VLOOKUP(C53,IP!$B$9:$I$117,8,0)</f>
        <v>0</v>
      </c>
      <c r="P53" s="60">
        <f t="shared" si="10"/>
        <v>0</v>
      </c>
      <c r="Q53" s="60">
        <f>VLOOKUP(C53,IP!$B$9:$N$117,13,0)</f>
        <v>0</v>
      </c>
      <c r="R53" s="60">
        <f>VLOOKUP(C53,IP!$B$9:$O$117,14,0)</f>
        <v>0</v>
      </c>
      <c r="T53" s="60">
        <f>VLOOKUP(C53,IP!$B$9:$P$117,15,0)</f>
        <v>0</v>
      </c>
      <c r="U53" s="60">
        <f>VLOOKUP(C53,IP!$B$9:$Q$117,16,0)</f>
        <v>0</v>
      </c>
      <c r="V53" s="60">
        <v>0</v>
      </c>
      <c r="W53" s="60">
        <f>VLOOKUP(C53,IP!B$9:R$117,17,0)</f>
        <v>0</v>
      </c>
      <c r="X53" s="133"/>
      <c r="Y53" s="60">
        <f t="shared" si="3"/>
        <v>4503.3999999999996</v>
      </c>
      <c r="Z53" s="126">
        <f t="shared" si="11"/>
        <v>-3.3999999999996362</v>
      </c>
      <c r="AA53" s="126" t="s">
        <v>647</v>
      </c>
    </row>
    <row r="54" spans="1:29" s="62" customFormat="1" x14ac:dyDescent="0.2">
      <c r="A54" s="78" t="s">
        <v>235</v>
      </c>
      <c r="B54" s="113" t="s">
        <v>58</v>
      </c>
      <c r="C54" s="78" t="s">
        <v>377</v>
      </c>
      <c r="D54" s="113"/>
      <c r="E54" s="115">
        <f>VLOOKUP(C54,IP!$B$9:$V$117,21,0)</f>
        <v>2653.4</v>
      </c>
      <c r="F54" s="124"/>
      <c r="G54" s="62">
        <f>VLOOKUP(C54,SINDICATO!$C$36:$F$144,4,0)</f>
        <v>2166.2800000000007</v>
      </c>
      <c r="H54" s="62">
        <f>VLOOKUP(C54,SINDICATO!$C$36:$G$144,5,0)</f>
        <v>250</v>
      </c>
      <c r="I54" s="62">
        <f>VLOOKUP(C54,SINDICATO!$C$36:$H$132,6,0)</f>
        <v>69.999999999999972</v>
      </c>
      <c r="J54" s="58"/>
      <c r="K54" s="62">
        <f t="shared" si="1"/>
        <v>5139.68</v>
      </c>
      <c r="L54" s="62">
        <f>VLOOKUP(C54,ABC!$A$3:$B$88,2,0)</f>
        <v>11500</v>
      </c>
      <c r="M54" s="62">
        <f>+L54/2</f>
        <v>5750</v>
      </c>
      <c r="N54" s="59"/>
      <c r="O54" s="60">
        <f>VLOOKUP(C54,IP!$B$9:$I$117,8,0)</f>
        <v>160</v>
      </c>
      <c r="P54" s="60">
        <f t="shared" si="10"/>
        <v>320</v>
      </c>
      <c r="Q54" s="60">
        <f>VLOOKUP(C54,IP!$B$9:$N$117,13,0)</f>
        <v>1090.32</v>
      </c>
      <c r="R54" s="60">
        <f>VLOOKUP(C54,IP!$B$9:$O$117,14,0)</f>
        <v>0</v>
      </c>
      <c r="S54" s="60"/>
      <c r="T54" s="60">
        <f>VLOOKUP(C54,IP!$B$9:$P$117,15,0)</f>
        <v>0</v>
      </c>
      <c r="U54" s="60">
        <f>VLOOKUP(C54,IP!$B$9:$Q$117,16,0)</f>
        <v>0</v>
      </c>
      <c r="V54" s="60">
        <v>0</v>
      </c>
      <c r="W54" s="60">
        <f>VLOOKUP(C54,IP!B$9:R$117,17,0)</f>
        <v>0</v>
      </c>
      <c r="X54" s="58"/>
      <c r="Y54" s="62">
        <f t="shared" si="3"/>
        <v>5750</v>
      </c>
      <c r="Z54" s="60">
        <f t="shared" si="11"/>
        <v>0</v>
      </c>
      <c r="AA54" s="60"/>
    </row>
    <row r="55" spans="1:29" s="62" customFormat="1" x14ac:dyDescent="0.2">
      <c r="A55" s="78" t="s">
        <v>236</v>
      </c>
      <c r="B55" s="113" t="s">
        <v>58</v>
      </c>
      <c r="C55" s="78" t="s">
        <v>378</v>
      </c>
      <c r="D55" s="113"/>
      <c r="E55" s="115">
        <f>VLOOKUP(C55,IP!$B$9:$V$117,21,0)</f>
        <v>2704</v>
      </c>
      <c r="F55" s="124"/>
      <c r="G55" s="62">
        <f>VLOOKUP(C55,SINDICATO!$C$36:$F$144,4,0)</f>
        <v>1416.3900000000003</v>
      </c>
      <c r="H55" s="62">
        <f>VLOOKUP(C55,SINDICATO!$C$36:$G$144,5,0)</f>
        <v>0</v>
      </c>
      <c r="I55" s="62">
        <f>VLOOKUP(C55,SINDICATO!$C$36:$H$132,6,0)</f>
        <v>0</v>
      </c>
      <c r="J55" s="58"/>
      <c r="K55" s="62">
        <f t="shared" si="1"/>
        <v>4120.3900000000003</v>
      </c>
      <c r="L55" s="62">
        <f>VLOOKUP(C55,ABC!$A$3:$B$88,2,0)</f>
        <v>10000</v>
      </c>
      <c r="M55" s="62">
        <f t="shared" si="0"/>
        <v>5000</v>
      </c>
      <c r="N55" s="59"/>
      <c r="O55" s="60">
        <f>VLOOKUP(C55,IP!$B$9:$I$117,8,0)</f>
        <v>0</v>
      </c>
      <c r="P55" s="60">
        <f t="shared" si="10"/>
        <v>0</v>
      </c>
      <c r="Q55" s="60">
        <f>VLOOKUP(C55,IP!$B$9:$N$117,13,0)</f>
        <v>879.61</v>
      </c>
      <c r="R55" s="60">
        <f>VLOOKUP(C55,IP!$B$9:$O$117,14,0)</f>
        <v>0</v>
      </c>
      <c r="S55" s="60"/>
      <c r="T55" s="60">
        <f>VLOOKUP(C55,IP!$B$9:$P$117,15,0)</f>
        <v>0</v>
      </c>
      <c r="U55" s="60">
        <f>VLOOKUP(C55,IP!$B$9:$Q$117,16,0)</f>
        <v>0</v>
      </c>
      <c r="V55" s="60">
        <v>0</v>
      </c>
      <c r="W55" s="60">
        <f>VLOOKUP(C55,IP!B$9:R$117,17,0)</f>
        <v>0</v>
      </c>
      <c r="X55" s="58"/>
      <c r="Y55" s="62">
        <f t="shared" si="3"/>
        <v>5000</v>
      </c>
      <c r="Z55" s="60">
        <f t="shared" si="11"/>
        <v>0</v>
      </c>
      <c r="AA55" s="60"/>
    </row>
    <row r="56" spans="1:29" s="62" customFormat="1" x14ac:dyDescent="0.2">
      <c r="A56" s="78" t="s">
        <v>240</v>
      </c>
      <c r="B56" s="113" t="s">
        <v>58</v>
      </c>
      <c r="C56" s="78" t="s">
        <v>379</v>
      </c>
      <c r="D56" s="113"/>
      <c r="E56" s="115">
        <f>VLOOKUP(C56,IP!$B$9:$V$117,21,0)</f>
        <v>3583.6</v>
      </c>
      <c r="F56" s="124"/>
      <c r="G56" s="62">
        <f>VLOOKUP(C56,SINDICATO!$C$36:$F$144,4,0)</f>
        <v>2716.4000000000005</v>
      </c>
      <c r="H56" s="62">
        <f>VLOOKUP(C56,SINDICATO!$C$36:$G$144,5,0)</f>
        <v>4835.03</v>
      </c>
      <c r="I56" s="62">
        <f>VLOOKUP(C56,SINDICATO!$C$36:$H$132,6,0)</f>
        <v>0</v>
      </c>
      <c r="J56" s="58"/>
      <c r="K56" s="62">
        <f t="shared" si="1"/>
        <v>11135.029999999999</v>
      </c>
      <c r="L56" s="62">
        <v>12600</v>
      </c>
      <c r="M56" s="62">
        <f t="shared" ref="M56:M63" si="12">+L56/2</f>
        <v>6300</v>
      </c>
      <c r="N56" s="59"/>
      <c r="O56" s="60">
        <f>VLOOKUP(C56,IP!$B$9:$I$117,8,0)</f>
        <v>0</v>
      </c>
      <c r="P56" s="60">
        <f t="shared" si="10"/>
        <v>4835.03</v>
      </c>
      <c r="Q56" s="60">
        <f>VLOOKUP(C56,IP!$B$9:$N$117,13,0)</f>
        <v>0</v>
      </c>
      <c r="R56" s="60">
        <f>VLOOKUP(C56,IP!$B$9:$O$117,14,0)</f>
        <v>0</v>
      </c>
      <c r="S56" s="60"/>
      <c r="T56" s="60">
        <f>VLOOKUP(C56,IP!$B$9:$P$117,15,0)</f>
        <v>0</v>
      </c>
      <c r="U56" s="60">
        <f>VLOOKUP(C56,IP!$B$9:$Q$117,16,0)</f>
        <v>0</v>
      </c>
      <c r="V56" s="60">
        <v>0</v>
      </c>
      <c r="W56" s="60">
        <f>VLOOKUP(C56,IP!B$9:R$117,17,0)</f>
        <v>0</v>
      </c>
      <c r="X56" s="58"/>
      <c r="Y56" s="62">
        <f t="shared" si="3"/>
        <v>6299.9999999999991</v>
      </c>
      <c r="Z56" s="60">
        <f t="shared" si="11"/>
        <v>0</v>
      </c>
      <c r="AA56" s="60"/>
      <c r="AC56" s="125"/>
    </row>
    <row r="57" spans="1:29" s="60" customFormat="1" x14ac:dyDescent="0.2">
      <c r="A57" s="70" t="s">
        <v>241</v>
      </c>
      <c r="B57" s="115" t="s">
        <v>58</v>
      </c>
      <c r="C57" s="70" t="s">
        <v>380</v>
      </c>
      <c r="D57" s="115"/>
      <c r="E57" s="115">
        <f>VLOOKUP(C57,IP!$B$9:$V$117,21,0)</f>
        <v>4753.8</v>
      </c>
      <c r="F57" s="132"/>
      <c r="G57" s="62">
        <f>VLOOKUP(C57,SINDICATO!$C$36:$F$144,4,0)</f>
        <v>0</v>
      </c>
      <c r="H57" s="62">
        <f>VLOOKUP(C57,SINDICATO!$C$36:$G$144,5,0)</f>
        <v>0</v>
      </c>
      <c r="I57" s="60">
        <f>VLOOKUP(C57,SINDICATO!$C$36:$H$132,6,0)</f>
        <v>0</v>
      </c>
      <c r="J57" s="133"/>
      <c r="K57" s="60">
        <f t="shared" si="1"/>
        <v>4753.8</v>
      </c>
      <c r="L57" s="60">
        <f>VLOOKUP(C57,ABC!$A$3:$B$88,2,0)</f>
        <v>9500</v>
      </c>
      <c r="M57" s="60">
        <f t="shared" si="12"/>
        <v>4750</v>
      </c>
      <c r="N57" s="133"/>
      <c r="O57" s="60">
        <f>VLOOKUP(C57,IP!$B$9:$I$117,8,0)</f>
        <v>0</v>
      </c>
      <c r="P57" s="60">
        <f t="shared" si="10"/>
        <v>0</v>
      </c>
      <c r="Q57" s="60">
        <f>VLOOKUP(C57,IP!$B$9:$N$117,13,0)</f>
        <v>0</v>
      </c>
      <c r="R57" s="60">
        <f>VLOOKUP(C57,IP!$B$9:$O$117,14,0)</f>
        <v>0</v>
      </c>
      <c r="T57" s="60">
        <f>VLOOKUP(C57,IP!$B$9:$P$117,15,0)</f>
        <v>0</v>
      </c>
      <c r="U57" s="60">
        <f>VLOOKUP(C57,IP!$B$9:$Q$117,16,0)</f>
        <v>0</v>
      </c>
      <c r="V57" s="60">
        <v>0</v>
      </c>
      <c r="W57" s="60">
        <f>VLOOKUP(C57,IP!B$9:R$117,17,0)</f>
        <v>0</v>
      </c>
      <c r="X57" s="133"/>
      <c r="Y57" s="60">
        <f t="shared" si="3"/>
        <v>4753.8</v>
      </c>
      <c r="Z57" s="126">
        <f t="shared" si="11"/>
        <v>-3.8000000000001819</v>
      </c>
      <c r="AA57" s="126" t="s">
        <v>647</v>
      </c>
    </row>
    <row r="58" spans="1:29" s="62" customFormat="1" x14ac:dyDescent="0.2">
      <c r="A58" s="78" t="s">
        <v>114</v>
      </c>
      <c r="B58" s="113" t="s">
        <v>58</v>
      </c>
      <c r="C58" s="78" t="s">
        <v>381</v>
      </c>
      <c r="D58" s="113"/>
      <c r="E58" s="115">
        <f>VLOOKUP(C58,IP!$B$9:$V$117,21,0)</f>
        <v>3019.2</v>
      </c>
      <c r="F58" s="124"/>
      <c r="G58" s="62">
        <f>VLOOKUP(C58,SINDICATO!$C$36:$F$144,4,0)</f>
        <v>941.40999999999985</v>
      </c>
      <c r="H58" s="62">
        <f>VLOOKUP(C58,SINDICATO!$C$36:$G$144,5,0)</f>
        <v>275</v>
      </c>
      <c r="I58" s="62">
        <f>VLOOKUP(C58,SINDICATO!$C$36:$H$132,6,0)</f>
        <v>0</v>
      </c>
      <c r="J58" s="58"/>
      <c r="K58" s="62">
        <f t="shared" si="1"/>
        <v>4235.6099999999997</v>
      </c>
      <c r="L58" s="62">
        <v>9050</v>
      </c>
      <c r="M58" s="62">
        <f t="shared" si="12"/>
        <v>4525</v>
      </c>
      <c r="N58" s="59"/>
      <c r="O58" s="60">
        <f>VLOOKUP(C58,IP!$B$9:$I$117,8,0)</f>
        <v>0</v>
      </c>
      <c r="P58" s="60">
        <f t="shared" si="10"/>
        <v>275</v>
      </c>
      <c r="Q58" s="60">
        <f>VLOOKUP(C58,IP!$B$9:$N$117,13,0)</f>
        <v>564.39</v>
      </c>
      <c r="R58" s="60">
        <f>VLOOKUP(C58,IP!$B$9:$O$117,14,0)</f>
        <v>0</v>
      </c>
      <c r="S58" s="60"/>
      <c r="T58" s="60">
        <f>VLOOKUP(C58,IP!$B$9:$P$117,15,0)</f>
        <v>0</v>
      </c>
      <c r="U58" s="60">
        <f>VLOOKUP(C58,IP!$B$9:$Q$117,16,0)</f>
        <v>0</v>
      </c>
      <c r="V58" s="60">
        <v>0</v>
      </c>
      <c r="W58" s="60">
        <f>VLOOKUP(C58,IP!B$9:R$117,17,0)</f>
        <v>0</v>
      </c>
      <c r="X58" s="58"/>
      <c r="Y58" s="62">
        <f t="shared" si="3"/>
        <v>4525</v>
      </c>
      <c r="Z58" s="60">
        <f t="shared" ref="Z58:Z71" si="13">+M58-Y58</f>
        <v>0</v>
      </c>
      <c r="AA58" s="60"/>
    </row>
    <row r="59" spans="1:29" s="62" customFormat="1" x14ac:dyDescent="0.2">
      <c r="A59" s="78" t="s">
        <v>242</v>
      </c>
      <c r="B59" s="113" t="s">
        <v>58</v>
      </c>
      <c r="C59" s="78" t="s">
        <v>382</v>
      </c>
      <c r="D59" s="113"/>
      <c r="E59" s="115">
        <f>VLOOKUP(C59,IP!$B$9:$V$117,21,0)</f>
        <v>1917</v>
      </c>
      <c r="F59" s="124"/>
      <c r="G59" s="62">
        <f>VLOOKUP(C59,SINDICATO!$C$36:$F$144,4,0)</f>
        <v>1416.3299999999995</v>
      </c>
      <c r="H59" s="62">
        <f>VLOOKUP(C59,SINDICATO!$C$36:$G$144,5,0)</f>
        <v>211.25</v>
      </c>
      <c r="I59" s="62">
        <f>VLOOKUP(C59,SINDICATO!$C$36:$H$132,6,0)</f>
        <v>0</v>
      </c>
      <c r="J59" s="58"/>
      <c r="K59" s="62">
        <f t="shared" si="1"/>
        <v>3544.5799999999995</v>
      </c>
      <c r="L59" s="62">
        <f>VLOOKUP(C59,ABC!$A$3:$B$88,2,0)</f>
        <v>10000</v>
      </c>
      <c r="M59" s="62">
        <f t="shared" si="12"/>
        <v>5000</v>
      </c>
      <c r="N59" s="59"/>
      <c r="O59" s="60">
        <f>VLOOKUP(C59,IP!$B$9:$I$117,8,0)</f>
        <v>0</v>
      </c>
      <c r="P59" s="60">
        <f t="shared" si="10"/>
        <v>211.25</v>
      </c>
      <c r="Q59" s="60">
        <f>VLOOKUP(C59,IP!$B$9:$N$117,13,0)</f>
        <v>0</v>
      </c>
      <c r="R59" s="60">
        <f>VLOOKUP(C59,IP!$B$9:$O$117,14,0)</f>
        <v>0</v>
      </c>
      <c r="S59" s="60"/>
      <c r="T59" s="60">
        <f>VLOOKUP(C59,IP!$B$9:$P$117,15,0)</f>
        <v>0</v>
      </c>
      <c r="U59" s="60">
        <f>VLOOKUP(C59,IP!$B$9:$Q$117,16,0)</f>
        <v>0</v>
      </c>
      <c r="V59" s="60">
        <v>0</v>
      </c>
      <c r="W59" s="60">
        <f>VLOOKUP(C59,IP!B$9:R$117,17,0)</f>
        <v>1666.67</v>
      </c>
      <c r="X59" s="58"/>
      <c r="Y59" s="62">
        <f t="shared" si="3"/>
        <v>5000</v>
      </c>
      <c r="Z59" s="60">
        <f t="shared" si="13"/>
        <v>0</v>
      </c>
      <c r="AA59" s="60"/>
    </row>
    <row r="60" spans="1:29" s="62" customFormat="1" x14ac:dyDescent="0.2">
      <c r="A60" s="78" t="s">
        <v>116</v>
      </c>
      <c r="B60" s="113" t="s">
        <v>58</v>
      </c>
      <c r="C60" s="78" t="s">
        <v>383</v>
      </c>
      <c r="D60" s="113"/>
      <c r="E60" s="115">
        <f>VLOOKUP(C60,IP!$B$9:$V$117,21,0)</f>
        <v>2240.4</v>
      </c>
      <c r="F60" s="124"/>
      <c r="G60" s="62">
        <f>VLOOKUP(C60,SINDICATO!$C$36:$F$144,4,0)</f>
        <v>941.17999999999984</v>
      </c>
      <c r="H60" s="62">
        <f>VLOOKUP(C60,SINDICATO!$C$36:$G$144,5,0)</f>
        <v>275</v>
      </c>
      <c r="I60" s="62">
        <f>VLOOKUP(C60,SINDICATO!$C$36:$H$132,6,0)</f>
        <v>0</v>
      </c>
      <c r="J60" s="58"/>
      <c r="K60" s="62">
        <f t="shared" si="1"/>
        <v>3456.58</v>
      </c>
      <c r="L60" s="62">
        <v>9050</v>
      </c>
      <c r="M60" s="62">
        <f t="shared" si="12"/>
        <v>4525</v>
      </c>
      <c r="N60" s="59"/>
      <c r="O60" s="60">
        <f>VLOOKUP(C60,IP!$B$9:$I$117,8,0)</f>
        <v>0</v>
      </c>
      <c r="P60" s="60">
        <f t="shared" si="10"/>
        <v>275</v>
      </c>
      <c r="Q60" s="60">
        <f>VLOOKUP(C60,IP!$B$9:$N$117,13,0)</f>
        <v>0</v>
      </c>
      <c r="R60" s="60">
        <f>VLOOKUP(C60,IP!$B$9:$O$117,14,0)</f>
        <v>1343.42</v>
      </c>
      <c r="S60" s="60"/>
      <c r="T60" s="60">
        <f>VLOOKUP(C60,IP!$B$9:$P$117,15,0)</f>
        <v>0</v>
      </c>
      <c r="U60" s="60">
        <f>VLOOKUP(C60,IP!$B$9:$Q$117,16,0)</f>
        <v>0</v>
      </c>
      <c r="V60" s="60">
        <v>0</v>
      </c>
      <c r="W60" s="60">
        <f>VLOOKUP(C60,IP!B$9:R$117,17,0)</f>
        <v>0</v>
      </c>
      <c r="X60" s="58"/>
      <c r="Y60" s="62">
        <f t="shared" si="3"/>
        <v>4525</v>
      </c>
      <c r="Z60" s="60">
        <f t="shared" si="13"/>
        <v>0</v>
      </c>
      <c r="AA60" s="60"/>
    </row>
    <row r="61" spans="1:29" s="62" customFormat="1" x14ac:dyDescent="0.2">
      <c r="A61" s="78" t="s">
        <v>244</v>
      </c>
      <c r="B61" s="113" t="s">
        <v>58</v>
      </c>
      <c r="C61" s="78" t="s">
        <v>384</v>
      </c>
      <c r="D61" s="113"/>
      <c r="E61" s="115">
        <f>VLOOKUP(C61,IP!$B$9:$V$117,21,0)</f>
        <v>2087</v>
      </c>
      <c r="F61" s="124"/>
      <c r="G61" s="62">
        <f>VLOOKUP(C61,SINDICATO!$C$36:$F$144,4,0)</f>
        <v>885.22000000000025</v>
      </c>
      <c r="H61" s="62">
        <f>VLOOKUP(C61,SINDICATO!$C$36:$G$144,5,0)</f>
        <v>250</v>
      </c>
      <c r="I61" s="62">
        <f>VLOOKUP(C61,SINDICATO!$C$36:$H$132,6,0)</f>
        <v>75</v>
      </c>
      <c r="J61" s="58"/>
      <c r="K61" s="62">
        <f t="shared" si="1"/>
        <v>3297.2200000000003</v>
      </c>
      <c r="L61" s="62">
        <f>VLOOKUP(C61,ABC!$A$3:$B$88,2,0)</f>
        <v>7500</v>
      </c>
      <c r="M61" s="62">
        <f t="shared" si="12"/>
        <v>3750</v>
      </c>
      <c r="N61" s="59"/>
      <c r="O61" s="60">
        <f>VLOOKUP(C61,IP!$B$9:$I$117,8,0)</f>
        <v>300</v>
      </c>
      <c r="P61" s="60">
        <f t="shared" si="10"/>
        <v>325</v>
      </c>
      <c r="Q61" s="60">
        <f>VLOOKUP(C61,IP!$B$9:$N$117,13,0)</f>
        <v>1077.78</v>
      </c>
      <c r="R61" s="60">
        <f>VLOOKUP(C61,IP!$B$9:$O$117,14,0)</f>
        <v>0</v>
      </c>
      <c r="S61" s="60"/>
      <c r="T61" s="60">
        <f>VLOOKUP(C61,IP!$B$9:$P$117,15,0)</f>
        <v>0</v>
      </c>
      <c r="U61" s="60">
        <f>VLOOKUP(C61,IP!$B$9:$Q$117,16,0)</f>
        <v>0</v>
      </c>
      <c r="V61" s="60">
        <v>0</v>
      </c>
      <c r="W61" s="60">
        <f>VLOOKUP(C61,IP!B$9:R$117,17,0)</f>
        <v>0</v>
      </c>
      <c r="X61" s="58"/>
      <c r="Y61" s="62">
        <f t="shared" si="3"/>
        <v>3750</v>
      </c>
      <c r="Z61" s="60">
        <f t="shared" si="13"/>
        <v>0</v>
      </c>
      <c r="AA61" s="60"/>
    </row>
    <row r="62" spans="1:29" s="62" customFormat="1" x14ac:dyDescent="0.2">
      <c r="A62" s="68" t="s">
        <v>396</v>
      </c>
      <c r="B62" s="113" t="s">
        <v>58</v>
      </c>
      <c r="C62" s="68" t="s">
        <v>397</v>
      </c>
      <c r="D62" s="113"/>
      <c r="E62" s="115">
        <f>VLOOKUP(C62,IP!$B$9:$V$117,21,0)</f>
        <v>2052.1999999999998</v>
      </c>
      <c r="F62" s="124"/>
      <c r="G62" s="62">
        <f>VLOOKUP(C62,SINDICATO!$C$36:$F$144,4,0)</f>
        <v>52.470000000000255</v>
      </c>
      <c r="H62" s="62">
        <f>VLOOKUP(C62,SINDICATO!$C$36:$G$144,5,0)</f>
        <v>4351.43</v>
      </c>
      <c r="I62" s="62">
        <f>VLOOKUP(C62,SINDICATO!$C$36:$H$132,6,0)</f>
        <v>0</v>
      </c>
      <c r="J62" s="58"/>
      <c r="K62" s="62">
        <f t="shared" si="1"/>
        <v>6456.1</v>
      </c>
      <c r="L62" s="62">
        <v>5000</v>
      </c>
      <c r="M62" s="62">
        <f t="shared" si="12"/>
        <v>2500</v>
      </c>
      <c r="N62" s="59"/>
      <c r="O62" s="60">
        <f>VLOOKUP(C62,IP!$B$9:$I$117,8,0)</f>
        <v>0</v>
      </c>
      <c r="P62" s="60">
        <f t="shared" si="10"/>
        <v>4351.43</v>
      </c>
      <c r="Q62" s="60">
        <f>VLOOKUP(C62,IP!$B$9:$N$117,13,0)</f>
        <v>0</v>
      </c>
      <c r="R62" s="60">
        <f>VLOOKUP(C62,IP!$B$9:$O$117,14,0)</f>
        <v>0</v>
      </c>
      <c r="S62" s="60"/>
      <c r="T62" s="60">
        <f>VLOOKUP(C62,IP!$B$9:$P$117,15,0)</f>
        <v>0</v>
      </c>
      <c r="U62" s="60">
        <f>VLOOKUP(C62,IP!$B$9:$Q$117,16,0)</f>
        <v>0</v>
      </c>
      <c r="V62" s="60">
        <v>0</v>
      </c>
      <c r="W62" s="60">
        <f>VLOOKUP(C62,IP!B$9:R$117,17,0)</f>
        <v>395.33</v>
      </c>
      <c r="X62" s="58"/>
      <c r="Y62" s="62">
        <f t="shared" si="3"/>
        <v>2500</v>
      </c>
      <c r="Z62" s="60">
        <f t="shared" si="13"/>
        <v>0</v>
      </c>
      <c r="AA62" s="60"/>
    </row>
    <row r="63" spans="1:29" s="62" customFormat="1" x14ac:dyDescent="0.2">
      <c r="A63" s="68" t="s">
        <v>408</v>
      </c>
      <c r="B63" s="113" t="s">
        <v>58</v>
      </c>
      <c r="C63" s="68" t="s">
        <v>405</v>
      </c>
      <c r="D63" s="113"/>
      <c r="E63" s="115">
        <f>VLOOKUP(C63,IP!$B$9:$V$117,21,0)</f>
        <v>3693</v>
      </c>
      <c r="F63" s="124"/>
      <c r="G63" s="62">
        <f>VLOOKUP(C63,SINDICATO!$C$36:$F$144,4,0)</f>
        <v>706.99999999999955</v>
      </c>
      <c r="H63" s="62">
        <f>VLOOKUP(C63,SINDICATO!$C$36:$G$144,5,0)</f>
        <v>0</v>
      </c>
      <c r="I63" s="62">
        <f>VLOOKUP(C63,SINDICATO!$C$36:$H$132,6,0)</f>
        <v>0</v>
      </c>
      <c r="J63" s="58"/>
      <c r="K63" s="62">
        <f t="shared" si="1"/>
        <v>4400</v>
      </c>
      <c r="L63" s="62">
        <v>8800</v>
      </c>
      <c r="M63" s="62">
        <f t="shared" si="12"/>
        <v>4400</v>
      </c>
      <c r="N63" s="59"/>
      <c r="O63" s="60">
        <f>VLOOKUP(C63,IP!$B$9:$I$117,8,0)</f>
        <v>0</v>
      </c>
      <c r="P63" s="60">
        <f t="shared" si="10"/>
        <v>0</v>
      </c>
      <c r="Q63" s="60">
        <f>VLOOKUP(C63,IP!$B$9:$N$117,13,0)</f>
        <v>0</v>
      </c>
      <c r="R63" s="60">
        <f>VLOOKUP(C63,IP!$B$9:$O$117,14,0)</f>
        <v>0</v>
      </c>
      <c r="S63" s="60"/>
      <c r="T63" s="60">
        <f>VLOOKUP(C63,IP!$B$9:$P$117,15,0)</f>
        <v>0</v>
      </c>
      <c r="U63" s="60">
        <f>VLOOKUP(C63,IP!$B$9:$Q$117,16,0)</f>
        <v>0</v>
      </c>
      <c r="V63" s="60">
        <v>0</v>
      </c>
      <c r="W63" s="60">
        <f>VLOOKUP(C63,IP!B$9:R$117,17,0)</f>
        <v>0</v>
      </c>
      <c r="X63" s="58"/>
      <c r="Y63" s="62">
        <f t="shared" si="3"/>
        <v>4400</v>
      </c>
      <c r="Z63" s="60">
        <f t="shared" si="13"/>
        <v>0</v>
      </c>
      <c r="AA63" s="60"/>
    </row>
    <row r="64" spans="1:29" s="62" customFormat="1" x14ac:dyDescent="0.2">
      <c r="A64" s="68" t="s">
        <v>422</v>
      </c>
      <c r="B64" s="68" t="s">
        <v>58</v>
      </c>
      <c r="C64" s="68" t="s">
        <v>423</v>
      </c>
      <c r="D64" s="113"/>
      <c r="E64" s="115">
        <f>VLOOKUP(C64,IP!$B$9:$V$117,21,0)</f>
        <v>3583.6</v>
      </c>
      <c r="F64" s="124"/>
      <c r="G64" s="62">
        <f>VLOOKUP(C64,SINDICATO!$C$36:$F$144,4,0)</f>
        <v>416.40000000000003</v>
      </c>
      <c r="H64" s="62">
        <f>VLOOKUP(C64,SINDICATO!$C$36:$G$144,5,0)</f>
        <v>92.73</v>
      </c>
      <c r="I64" s="62">
        <f>VLOOKUP(C64,SINDICATO!$C$36:$H$132,6,0)</f>
        <v>0</v>
      </c>
      <c r="J64" s="58"/>
      <c r="K64" s="62">
        <f t="shared" si="1"/>
        <v>4092.73</v>
      </c>
      <c r="L64" s="62">
        <v>8000</v>
      </c>
      <c r="M64" s="62">
        <f t="shared" ref="M64:M87" si="14">+L64/2</f>
        <v>4000</v>
      </c>
      <c r="N64" s="59"/>
      <c r="O64" s="60">
        <f>VLOOKUP(C64,IP!$B$9:$I$117,8,0)</f>
        <v>0</v>
      </c>
      <c r="P64" s="60">
        <f t="shared" si="10"/>
        <v>92.73</v>
      </c>
      <c r="Q64" s="60">
        <f>VLOOKUP(C64,IP!$B$9:$N$117,13,0)</f>
        <v>0</v>
      </c>
      <c r="R64" s="60">
        <f>VLOOKUP(C64,IP!$B$9:$O$117,14,0)</f>
        <v>0</v>
      </c>
      <c r="S64" s="60"/>
      <c r="T64" s="60">
        <f>VLOOKUP(C64,IP!$B$9:$P$117,15,0)</f>
        <v>0</v>
      </c>
      <c r="U64" s="60">
        <f>VLOOKUP(C64,IP!$B$9:$Q$117,16,0)</f>
        <v>0</v>
      </c>
      <c r="V64" s="60">
        <v>0</v>
      </c>
      <c r="W64" s="60">
        <f>VLOOKUP(C64,IP!B$9:R$117,17,0)</f>
        <v>0</v>
      </c>
      <c r="X64" s="58"/>
      <c r="Y64" s="62">
        <f t="shared" si="3"/>
        <v>4000</v>
      </c>
      <c r="Z64" s="60">
        <f t="shared" si="13"/>
        <v>0</v>
      </c>
      <c r="AA64" s="60"/>
    </row>
    <row r="65" spans="1:28" s="62" customFormat="1" x14ac:dyDescent="0.2">
      <c r="A65" s="68" t="s">
        <v>437</v>
      </c>
      <c r="B65" s="68" t="s">
        <v>58</v>
      </c>
      <c r="C65" s="68" t="s">
        <v>438</v>
      </c>
      <c r="D65" s="113"/>
      <c r="E65" s="115">
        <f>VLOOKUP(C65,IP!$B$9:$V$117,21,0)</f>
        <v>3903.8</v>
      </c>
      <c r="F65" s="124"/>
      <c r="G65" s="62">
        <f>VLOOKUP(C65,SINDICATO!$C$36:$F$144,4,0)</f>
        <v>416.19999999999982</v>
      </c>
      <c r="H65" s="62">
        <f>VLOOKUP(C65,SINDICATO!$C$36:$G$144,5,0)</f>
        <v>310</v>
      </c>
      <c r="I65" s="62">
        <f>VLOOKUP(C65,SINDICATO!$C$36:$H$132,6,0)</f>
        <v>0</v>
      </c>
      <c r="J65" s="58"/>
      <c r="K65" s="62">
        <f t="shared" ref="K65:K121" si="15">+D65+E65+G65+H65+I65</f>
        <v>4630</v>
      </c>
      <c r="L65" s="62">
        <v>8000</v>
      </c>
      <c r="M65" s="62">
        <f t="shared" si="14"/>
        <v>4000</v>
      </c>
      <c r="N65" s="59"/>
      <c r="O65" s="60">
        <f>VLOOKUP(C65,IP!$B$9:$I$117,8,0)</f>
        <v>320</v>
      </c>
      <c r="P65" s="60">
        <f t="shared" si="10"/>
        <v>310</v>
      </c>
      <c r="Q65" s="60">
        <f>VLOOKUP(C65,IP!$B$9:$N$117,13,0)</f>
        <v>0</v>
      </c>
      <c r="R65" s="60">
        <f>VLOOKUP(C65,IP!$B$9:$O$117,14,0)</f>
        <v>0</v>
      </c>
      <c r="S65" s="60"/>
      <c r="T65" s="60">
        <f>VLOOKUP(C65,IP!$B$9:$P$117,15,0)</f>
        <v>0</v>
      </c>
      <c r="U65" s="60">
        <f>VLOOKUP(C65,IP!$B$9:$Q$117,16,0)</f>
        <v>0</v>
      </c>
      <c r="V65" s="60">
        <v>0</v>
      </c>
      <c r="W65" s="60">
        <f>VLOOKUP(C65,IP!B$9:R$117,17,0)</f>
        <v>0</v>
      </c>
      <c r="X65" s="58"/>
      <c r="Y65" s="62">
        <f t="shared" si="3"/>
        <v>4000</v>
      </c>
      <c r="Z65" s="60">
        <f t="shared" si="13"/>
        <v>0</v>
      </c>
      <c r="AA65" s="60"/>
    </row>
    <row r="66" spans="1:28" s="62" customFormat="1" x14ac:dyDescent="0.2">
      <c r="A66" s="68" t="s">
        <v>424</v>
      </c>
      <c r="B66" s="68" t="s">
        <v>58</v>
      </c>
      <c r="C66" s="68" t="s">
        <v>425</v>
      </c>
      <c r="D66" s="113"/>
      <c r="E66" s="115">
        <f>VLOOKUP(C66,IP!$B$9:$V$117,21,0)</f>
        <v>2113.1999999999998</v>
      </c>
      <c r="F66" s="124"/>
      <c r="G66" s="62">
        <f>VLOOKUP(C66,SINDICATO!$C$36:$F$144,4,0)</f>
        <v>0</v>
      </c>
      <c r="H66" s="62">
        <f>VLOOKUP(C66,SINDICATO!$C$36:$G$144,5,0)</f>
        <v>0</v>
      </c>
      <c r="I66" s="62">
        <f>VLOOKUP(C66,SINDICATO!$C$36:$H$132,6,0)</f>
        <v>0</v>
      </c>
      <c r="J66" s="58"/>
      <c r="K66" s="62">
        <f t="shared" si="15"/>
        <v>2113.1999999999998</v>
      </c>
      <c r="L66" s="62">
        <v>4500</v>
      </c>
      <c r="M66" s="62">
        <f t="shared" si="14"/>
        <v>2250</v>
      </c>
      <c r="N66" s="59"/>
      <c r="O66" s="60">
        <f>VLOOKUP(C66,IP!$B$9:$I$117,8,0)</f>
        <v>0</v>
      </c>
      <c r="P66" s="60">
        <f t="shared" si="10"/>
        <v>0</v>
      </c>
      <c r="Q66" s="60">
        <f>VLOOKUP(C66,IP!$B$9:$N$117,13,0)</f>
        <v>0</v>
      </c>
      <c r="R66" s="60">
        <f>VLOOKUP(C66,IP!$B$9:$O$117,14,0)</f>
        <v>0</v>
      </c>
      <c r="S66" s="60"/>
      <c r="T66" s="60">
        <f>VLOOKUP(C66,IP!$B$9:$P$117,15,0)</f>
        <v>0</v>
      </c>
      <c r="U66" s="60">
        <f>VLOOKUP(C66,IP!$B$9:$Q$117,16,0)</f>
        <v>0</v>
      </c>
      <c r="V66" s="60">
        <v>0</v>
      </c>
      <c r="W66" s="60">
        <f>VLOOKUP(C66,IP!B$9:R$117,17,0)</f>
        <v>0</v>
      </c>
      <c r="X66" s="58"/>
      <c r="Y66" s="62">
        <f t="shared" ref="Y66:Y119" si="16">+K66-O66-P66+Q66+R66+S66+T66+U66+V66+W66</f>
        <v>2113.1999999999998</v>
      </c>
      <c r="Z66" s="134">
        <f t="shared" si="13"/>
        <v>136.80000000000018</v>
      </c>
      <c r="AA66" s="135" t="s">
        <v>650</v>
      </c>
    </row>
    <row r="67" spans="1:28" s="62" customFormat="1" x14ac:dyDescent="0.2">
      <c r="A67" s="68" t="s">
        <v>426</v>
      </c>
      <c r="B67" s="68" t="s">
        <v>58</v>
      </c>
      <c r="C67" s="68" t="s">
        <v>427</v>
      </c>
      <c r="D67" s="113"/>
      <c r="E67" s="115">
        <f>VLOOKUP(C67,IP!$B$9:$V$117,21,0)</f>
        <v>602.79999999999995</v>
      </c>
      <c r="F67" s="124"/>
      <c r="G67" s="62">
        <f>VLOOKUP(C67,SINDICATO!$C$36:$F$144,4,0)</f>
        <v>109.88999999999999</v>
      </c>
      <c r="H67" s="62">
        <f>VLOOKUP(C67,SINDICATO!$C$36:$G$144,5,0)</f>
        <v>1000</v>
      </c>
      <c r="I67" s="62">
        <f>VLOOKUP(C67,SINDICATO!$C$36:$H$132,6,0)</f>
        <v>0</v>
      </c>
      <c r="J67" s="58"/>
      <c r="K67" s="62">
        <f t="shared" si="15"/>
        <v>1712.69</v>
      </c>
      <c r="L67" s="62">
        <v>6000</v>
      </c>
      <c r="M67" s="62">
        <f t="shared" si="14"/>
        <v>3000</v>
      </c>
      <c r="N67" s="59"/>
      <c r="O67" s="60">
        <f>VLOOKUP(C67,IP!$B$9:$I$117,8,0)</f>
        <v>0</v>
      </c>
      <c r="P67" s="60">
        <f t="shared" si="10"/>
        <v>1000</v>
      </c>
      <c r="Q67" s="60">
        <f>VLOOKUP(C67,IP!$B$9:$N$117,13,0)</f>
        <v>0</v>
      </c>
      <c r="R67" s="60">
        <f>VLOOKUP(C67,IP!$B$9:$O$117,14,0)</f>
        <v>1487.31</v>
      </c>
      <c r="S67" s="60"/>
      <c r="T67" s="60">
        <f>VLOOKUP(C67,IP!$B$9:$P$117,15,0)</f>
        <v>0</v>
      </c>
      <c r="U67" s="60">
        <f>VLOOKUP(C67,IP!$B$9:$Q$117,16,0)</f>
        <v>600</v>
      </c>
      <c r="V67" s="60">
        <v>0</v>
      </c>
      <c r="W67" s="60">
        <f>VLOOKUP(C67,IP!B$9:R$117,17,0)</f>
        <v>0</v>
      </c>
      <c r="X67" s="58"/>
      <c r="Y67" s="62">
        <f t="shared" si="16"/>
        <v>2800</v>
      </c>
      <c r="Z67" s="134">
        <f t="shared" si="13"/>
        <v>200</v>
      </c>
      <c r="AA67" s="136" t="s">
        <v>650</v>
      </c>
    </row>
    <row r="68" spans="1:28" s="62" customFormat="1" ht="14.25" customHeight="1" x14ac:dyDescent="0.2">
      <c r="A68" s="68" t="s">
        <v>434</v>
      </c>
      <c r="B68" s="68" t="s">
        <v>58</v>
      </c>
      <c r="C68" s="68" t="s">
        <v>430</v>
      </c>
      <c r="D68" s="113"/>
      <c r="E68" s="115">
        <f>VLOOKUP(C68,IP!$B$9:$V$117,21,0)</f>
        <v>5952.4</v>
      </c>
      <c r="F68" s="124"/>
      <c r="G68" s="62">
        <f>VLOOKUP(C68,SINDICATO!$C$36:$F$144,4,0)</f>
        <v>1047.6000000000004</v>
      </c>
      <c r="H68" s="62">
        <f>VLOOKUP(C68,SINDICATO!$C$36:$G$144,5,0)</f>
        <v>0</v>
      </c>
      <c r="I68" s="62">
        <f>VLOOKUP(C68,SINDICATO!$C$36:$H$132,6,0)</f>
        <v>0</v>
      </c>
      <c r="J68" s="58"/>
      <c r="K68" s="62">
        <f t="shared" si="15"/>
        <v>7000</v>
      </c>
      <c r="L68" s="62">
        <v>14000</v>
      </c>
      <c r="M68" s="62">
        <f t="shared" si="14"/>
        <v>7000</v>
      </c>
      <c r="N68" s="59"/>
      <c r="O68" s="60">
        <f>VLOOKUP(C68,IP!$B$9:$I$117,8,0)</f>
        <v>0</v>
      </c>
      <c r="P68" s="60">
        <f t="shared" si="10"/>
        <v>0</v>
      </c>
      <c r="Q68" s="60">
        <f>VLOOKUP(C68,IP!$B$9:$N$117,13,0)</f>
        <v>0</v>
      </c>
      <c r="R68" s="60">
        <f>VLOOKUP(C68,IP!$B$9:$O$117,14,0)</f>
        <v>0</v>
      </c>
      <c r="S68" s="60"/>
      <c r="T68" s="60">
        <f>VLOOKUP(C68,IP!$B$9:$P$117,15,0)</f>
        <v>0</v>
      </c>
      <c r="U68" s="60">
        <f>VLOOKUP(C68,IP!$B$9:$Q$117,16,0)</f>
        <v>0</v>
      </c>
      <c r="V68" s="60">
        <v>0</v>
      </c>
      <c r="W68" s="60">
        <f>VLOOKUP(C68,IP!B$9:R$117,17,0)</f>
        <v>0</v>
      </c>
      <c r="X68" s="58"/>
      <c r="Y68" s="62">
        <f t="shared" si="16"/>
        <v>7000</v>
      </c>
      <c r="Z68" s="60">
        <f t="shared" si="13"/>
        <v>0</v>
      </c>
      <c r="AA68" s="60"/>
    </row>
    <row r="69" spans="1:28" s="60" customFormat="1" x14ac:dyDescent="0.2">
      <c r="A69" s="70" t="s">
        <v>436</v>
      </c>
      <c r="B69" s="70" t="s">
        <v>58</v>
      </c>
      <c r="C69" s="70" t="s">
        <v>432</v>
      </c>
      <c r="D69" s="115"/>
      <c r="E69" s="115">
        <f>VLOOKUP(C69,IP!$B$9:$V$117,21,0)</f>
        <v>5952.2</v>
      </c>
      <c r="F69" s="124"/>
      <c r="G69" s="62">
        <f>VLOOKUP(C69,SINDICATO!$C$36:$F$144,4,0)</f>
        <v>1047.8000000000004</v>
      </c>
      <c r="H69" s="62">
        <f>VLOOKUP(C69,SINDICATO!$C$36:$G$144,5,0)</f>
        <v>0</v>
      </c>
      <c r="I69" s="62">
        <f>VLOOKUP(C69,SINDICATO!$C$36:$H$132,6,0)</f>
        <v>0</v>
      </c>
      <c r="J69" s="58"/>
      <c r="K69" s="62">
        <f t="shared" si="15"/>
        <v>7000</v>
      </c>
      <c r="L69" s="60">
        <v>14000</v>
      </c>
      <c r="M69" s="60">
        <f t="shared" si="14"/>
        <v>7000</v>
      </c>
      <c r="N69" s="59"/>
      <c r="O69" s="60">
        <f>VLOOKUP(C69,IP!$B$9:$I$117,8,0)</f>
        <v>0</v>
      </c>
      <c r="P69" s="60">
        <f t="shared" si="10"/>
        <v>0</v>
      </c>
      <c r="Q69" s="60">
        <f>VLOOKUP(C69,IP!$B$9:$N$117,13,0)</f>
        <v>0</v>
      </c>
      <c r="R69" s="60">
        <f>VLOOKUP(C69,IP!$B$9:$O$117,14,0)</f>
        <v>0</v>
      </c>
      <c r="T69" s="60">
        <f>VLOOKUP(C69,IP!$B$9:$P$117,15,0)</f>
        <v>0</v>
      </c>
      <c r="U69" s="60">
        <f>VLOOKUP(C69,IP!$B$9:$Q$117,16,0)</f>
        <v>0</v>
      </c>
      <c r="V69" s="60">
        <v>0</v>
      </c>
      <c r="W69" s="60">
        <f>VLOOKUP(C69,IP!B$9:R$117,17,0)</f>
        <v>0</v>
      </c>
      <c r="X69" s="58"/>
      <c r="Y69" s="62">
        <f t="shared" si="16"/>
        <v>7000</v>
      </c>
      <c r="Z69" s="60">
        <f t="shared" si="13"/>
        <v>0</v>
      </c>
      <c r="AB69" s="62"/>
    </row>
    <row r="70" spans="1:28" s="60" customFormat="1" x14ac:dyDescent="0.2">
      <c r="A70" s="70" t="s">
        <v>444</v>
      </c>
      <c r="B70" s="70" t="s">
        <v>58</v>
      </c>
      <c r="C70" s="70" t="s">
        <v>445</v>
      </c>
      <c r="D70" s="115"/>
      <c r="E70" s="115">
        <f>VLOOKUP(C70,IP!$B$9:$V$117,21,0)</f>
        <v>2924.8</v>
      </c>
      <c r="F70" s="124"/>
      <c r="G70" s="62">
        <f>VLOOKUP(C70,SINDICATO!$C$36:$F$144,4,0)</f>
        <v>135.19999999999982</v>
      </c>
      <c r="H70" s="62">
        <f>VLOOKUP(C70,SINDICATO!$C$36:$G$144,5,0)</f>
        <v>422.5</v>
      </c>
      <c r="I70" s="62">
        <f>VLOOKUP(C70,SINDICATO!$C$36:$H$132,6,0)</f>
        <v>0</v>
      </c>
      <c r="J70" s="58"/>
      <c r="K70" s="62">
        <f t="shared" si="15"/>
        <v>3482.5</v>
      </c>
      <c r="L70" s="60">
        <v>6000</v>
      </c>
      <c r="M70" s="60">
        <f>+L70/2</f>
        <v>3000</v>
      </c>
      <c r="N70" s="59"/>
      <c r="O70" s="60">
        <f>VLOOKUP(C70,IP!$B$9:$I$117,8,0)</f>
        <v>60</v>
      </c>
      <c r="P70" s="60">
        <f t="shared" si="10"/>
        <v>422.5</v>
      </c>
      <c r="Q70" s="60">
        <f>VLOOKUP(C70,IP!$B$9:$N$117,13,0)</f>
        <v>0</v>
      </c>
      <c r="R70" s="60">
        <f>VLOOKUP(C70,IP!$B$9:$O$117,14,0)</f>
        <v>0</v>
      </c>
      <c r="T70" s="60">
        <f>VLOOKUP(C70,IP!$B$9:$P$117,15,0)</f>
        <v>0</v>
      </c>
      <c r="U70" s="60">
        <f>VLOOKUP(C70,IP!$B$9:$Q$117,16,0)</f>
        <v>0</v>
      </c>
      <c r="V70" s="60">
        <v>0</v>
      </c>
      <c r="W70" s="60">
        <f>VLOOKUP(C70,IP!B$9:R$117,17,0)</f>
        <v>0</v>
      </c>
      <c r="X70" s="58"/>
      <c r="Y70" s="62">
        <f t="shared" si="16"/>
        <v>3000</v>
      </c>
      <c r="Z70" s="60">
        <f t="shared" si="13"/>
        <v>0</v>
      </c>
      <c r="AB70" s="62"/>
    </row>
    <row r="71" spans="1:28" s="60" customFormat="1" x14ac:dyDescent="0.2">
      <c r="A71" s="70" t="s">
        <v>446</v>
      </c>
      <c r="B71" s="70" t="s">
        <v>58</v>
      </c>
      <c r="C71" s="70" t="s">
        <v>447</v>
      </c>
      <c r="D71" s="115"/>
      <c r="E71" s="115">
        <f>VLOOKUP(C71,IP!$B$9:$V$117,21,0)</f>
        <v>3663.6</v>
      </c>
      <c r="F71" s="124"/>
      <c r="G71" s="62">
        <f>VLOOKUP(C71,SINDICATO!$C$36:$F$144,4,0)</f>
        <v>416.40000000000009</v>
      </c>
      <c r="H71" s="62">
        <f>VLOOKUP(C71,SINDICATO!$C$36:$G$144,5,0)</f>
        <v>816.16000000000008</v>
      </c>
      <c r="I71" s="62">
        <f>VLOOKUP(C71,SINDICATO!$C$36:$H$132,6,0)</f>
        <v>0</v>
      </c>
      <c r="J71" s="58"/>
      <c r="K71" s="62">
        <f t="shared" si="15"/>
        <v>4896.16</v>
      </c>
      <c r="L71" s="60">
        <v>8000</v>
      </c>
      <c r="M71" s="60">
        <f>+L71/2</f>
        <v>4000</v>
      </c>
      <c r="N71" s="59"/>
      <c r="O71" s="60">
        <f>VLOOKUP(C71,IP!$B$9:$I$117,8,0)</f>
        <v>80</v>
      </c>
      <c r="P71" s="60">
        <f t="shared" si="10"/>
        <v>816.16000000000008</v>
      </c>
      <c r="Q71" s="60">
        <f>VLOOKUP(C71,IP!$B$9:$N$117,13,0)</f>
        <v>0</v>
      </c>
      <c r="R71" s="60">
        <f>VLOOKUP(C71,IP!$B$9:$O$117,14,0)</f>
        <v>0</v>
      </c>
      <c r="T71" s="60">
        <f>VLOOKUP(C71,IP!$B$9:$P$117,15,0)</f>
        <v>0</v>
      </c>
      <c r="U71" s="60">
        <f>VLOOKUP(C71,IP!$B$9:$Q$117,16,0)</f>
        <v>0</v>
      </c>
      <c r="V71" s="60">
        <v>0</v>
      </c>
      <c r="W71" s="60">
        <f>VLOOKUP(C71,IP!B$9:R$117,17,0)</f>
        <v>0</v>
      </c>
      <c r="X71" s="58"/>
      <c r="Y71" s="62">
        <f t="shared" si="16"/>
        <v>4000</v>
      </c>
      <c r="Z71" s="60">
        <f t="shared" si="13"/>
        <v>0</v>
      </c>
      <c r="AB71" s="62"/>
    </row>
    <row r="72" spans="1:28" s="60" customFormat="1" x14ac:dyDescent="0.2">
      <c r="A72" s="68" t="s">
        <v>469</v>
      </c>
      <c r="B72" s="70" t="s">
        <v>58</v>
      </c>
      <c r="C72" s="68" t="s">
        <v>470</v>
      </c>
      <c r="D72" s="115"/>
      <c r="E72" s="115">
        <f>VLOOKUP(C72,IP!$B$9:$V$117,21,0)</f>
        <v>3583.6</v>
      </c>
      <c r="F72" s="124"/>
      <c r="G72" s="62">
        <f>VLOOKUP(C72,SINDICATO!$C$36:$F$144,4,0)</f>
        <v>416.40000000000009</v>
      </c>
      <c r="H72" s="62">
        <f>VLOOKUP(C72,SINDICATO!$C$36:$G$144,5,0)</f>
        <v>294.82</v>
      </c>
      <c r="I72" s="62">
        <f>VLOOKUP(C72,SINDICATO!$C$36:$H$132,6,0)</f>
        <v>0</v>
      </c>
      <c r="J72" s="58"/>
      <c r="K72" s="62">
        <f t="shared" si="15"/>
        <v>4294.82</v>
      </c>
      <c r="L72" s="62">
        <v>8000</v>
      </c>
      <c r="M72" s="62">
        <f t="shared" si="14"/>
        <v>4000</v>
      </c>
      <c r="N72" s="59"/>
      <c r="O72" s="60">
        <f>VLOOKUP(C72,IP!$B$9:$I$117,8,0)</f>
        <v>0</v>
      </c>
      <c r="P72" s="60">
        <f t="shared" si="10"/>
        <v>294.82</v>
      </c>
      <c r="Q72" s="60">
        <f>VLOOKUP(C72,IP!$B$9:$N$117,13,0)</f>
        <v>0</v>
      </c>
      <c r="R72" s="60">
        <f>VLOOKUP(C72,IP!$B$9:$O$117,14,0)</f>
        <v>0</v>
      </c>
      <c r="T72" s="60">
        <f>VLOOKUP(C72,IP!$B$9:$P$117,15,0)</f>
        <v>0</v>
      </c>
      <c r="U72" s="60">
        <f>VLOOKUP(C72,IP!$B$9:$Q$117,16,0)</f>
        <v>0</v>
      </c>
      <c r="V72" s="60">
        <v>0</v>
      </c>
      <c r="W72" s="60">
        <f>VLOOKUP(C72,IP!B$9:R$117,17,0)</f>
        <v>0</v>
      </c>
      <c r="X72" s="58"/>
      <c r="Y72" s="62">
        <f t="shared" si="16"/>
        <v>3999.9999999999995</v>
      </c>
      <c r="Z72" s="60">
        <f t="shared" ref="Z72:Z86" si="17">+M72-Y72</f>
        <v>0</v>
      </c>
      <c r="AB72" s="62"/>
    </row>
    <row r="73" spans="1:28" s="60" customFormat="1" x14ac:dyDescent="0.2">
      <c r="A73" s="68" t="s">
        <v>471</v>
      </c>
      <c r="B73" s="70" t="s">
        <v>58</v>
      </c>
      <c r="C73" s="68" t="s">
        <v>472</v>
      </c>
      <c r="D73" s="115"/>
      <c r="E73" s="115">
        <f>VLOOKUP(C73,IP!$B$9:$V$117,21,0)</f>
        <v>2864.8</v>
      </c>
      <c r="F73" s="124"/>
      <c r="G73" s="62">
        <f>VLOOKUP(C73,SINDICATO!$C$36:$F$144,4,0)</f>
        <v>135.19999999999982</v>
      </c>
      <c r="H73" s="62">
        <f>VLOOKUP(C73,SINDICATO!$C$36:$G$144,5,0)</f>
        <v>0</v>
      </c>
      <c r="I73" s="62">
        <f>VLOOKUP(C73,SINDICATO!$C$36:$H$132,6,0)</f>
        <v>0</v>
      </c>
      <c r="J73" s="58"/>
      <c r="K73" s="62">
        <f t="shared" si="15"/>
        <v>3000</v>
      </c>
      <c r="L73" s="62">
        <v>6000</v>
      </c>
      <c r="M73" s="62">
        <f t="shared" si="14"/>
        <v>3000</v>
      </c>
      <c r="N73" s="59"/>
      <c r="O73" s="60">
        <f>VLOOKUP(C73,IP!$B$9:$I$117,8,0)</f>
        <v>0</v>
      </c>
      <c r="P73" s="60">
        <f t="shared" si="10"/>
        <v>0</v>
      </c>
      <c r="Q73" s="60">
        <f>VLOOKUP(C73,IP!$B$9:$N$117,13,0)</f>
        <v>0</v>
      </c>
      <c r="R73" s="60">
        <f>VLOOKUP(C73,IP!$B$9:$O$117,14,0)</f>
        <v>0</v>
      </c>
      <c r="T73" s="60">
        <f>VLOOKUP(C73,IP!$B$9:$P$117,15,0)</f>
        <v>0</v>
      </c>
      <c r="U73" s="60">
        <f>VLOOKUP(C73,IP!$B$9:$Q$117,16,0)</f>
        <v>0</v>
      </c>
      <c r="V73" s="60">
        <v>0</v>
      </c>
      <c r="W73" s="60">
        <f>VLOOKUP(C73,IP!B$9:R$117,17,0)</f>
        <v>0</v>
      </c>
      <c r="X73" s="58"/>
      <c r="Y73" s="62">
        <f t="shared" si="16"/>
        <v>3000</v>
      </c>
      <c r="Z73" s="60">
        <f t="shared" si="17"/>
        <v>0</v>
      </c>
      <c r="AB73" s="62"/>
    </row>
    <row r="74" spans="1:28" s="60" customFormat="1" x14ac:dyDescent="0.2">
      <c r="A74" s="68" t="s">
        <v>475</v>
      </c>
      <c r="B74" s="70" t="s">
        <v>58</v>
      </c>
      <c r="C74" s="68" t="s">
        <v>476</v>
      </c>
      <c r="D74" s="115"/>
      <c r="E74" s="115">
        <f>VLOOKUP(C74,IP!$B$9:$V$117,21,0)</f>
        <v>3583.6</v>
      </c>
      <c r="F74" s="124"/>
      <c r="G74" s="62">
        <f>VLOOKUP(C74,SINDICATO!$C$36:$F$144,4,0)</f>
        <v>416.40000000000009</v>
      </c>
      <c r="H74" s="62">
        <f>VLOOKUP(C74,SINDICATO!$C$36:$G$144,5,0)</f>
        <v>0</v>
      </c>
      <c r="I74" s="62">
        <f>VLOOKUP(C74,SINDICATO!$C$36:$H$132,6,0)</f>
        <v>0</v>
      </c>
      <c r="J74" s="58"/>
      <c r="K74" s="62">
        <f t="shared" si="15"/>
        <v>4000</v>
      </c>
      <c r="L74" s="62">
        <v>8000</v>
      </c>
      <c r="M74" s="62">
        <f t="shared" si="14"/>
        <v>4000</v>
      </c>
      <c r="N74" s="59"/>
      <c r="O74" s="60">
        <f>VLOOKUP(C74,IP!$B$9:$I$117,8,0)</f>
        <v>0</v>
      </c>
      <c r="P74" s="60">
        <f t="shared" si="10"/>
        <v>0</v>
      </c>
      <c r="Q74" s="60">
        <f>VLOOKUP(C74,IP!$B$9:$N$117,13,0)</f>
        <v>0</v>
      </c>
      <c r="R74" s="60">
        <f>VLOOKUP(C74,IP!$B$9:$O$117,14,0)</f>
        <v>0</v>
      </c>
      <c r="T74" s="60">
        <f>VLOOKUP(C74,IP!$B$9:$P$117,15,0)</f>
        <v>0</v>
      </c>
      <c r="U74" s="60">
        <f>VLOOKUP(C74,IP!$B$9:$Q$117,16,0)</f>
        <v>0</v>
      </c>
      <c r="V74" s="60">
        <v>0</v>
      </c>
      <c r="W74" s="60">
        <f>VLOOKUP(C74,IP!B$9:R$117,17,0)</f>
        <v>0</v>
      </c>
      <c r="X74" s="58"/>
      <c r="Y74" s="62">
        <f t="shared" si="16"/>
        <v>4000</v>
      </c>
      <c r="Z74" s="60">
        <f t="shared" si="17"/>
        <v>0</v>
      </c>
      <c r="AB74" s="62"/>
    </row>
    <row r="75" spans="1:28" s="60" customFormat="1" x14ac:dyDescent="0.2">
      <c r="A75" s="70" t="s">
        <v>477</v>
      </c>
      <c r="B75" s="70" t="s">
        <v>58</v>
      </c>
      <c r="C75" s="70" t="s">
        <v>478</v>
      </c>
      <c r="D75" s="115"/>
      <c r="E75" s="115">
        <f>VLOOKUP(C75,IP!$B$9:$V$117,21,0)</f>
        <v>4503.6000000000004</v>
      </c>
      <c r="F75" s="132"/>
      <c r="G75" s="62">
        <f>VLOOKUP(C75,SINDICATO!$C$36:$F$144,4,0)</f>
        <v>0</v>
      </c>
      <c r="H75" s="62">
        <f>VLOOKUP(C75,SINDICATO!$C$36:$G$144,5,0)</f>
        <v>0</v>
      </c>
      <c r="I75" s="60">
        <f>VLOOKUP(C75,SINDICATO!$C$36:$H$132,6,0)</f>
        <v>0</v>
      </c>
      <c r="J75" s="133"/>
      <c r="K75" s="60">
        <f t="shared" si="15"/>
        <v>4503.6000000000004</v>
      </c>
      <c r="L75" s="60">
        <v>9000</v>
      </c>
      <c r="M75" s="60">
        <f t="shared" si="14"/>
        <v>4500</v>
      </c>
      <c r="N75" s="133"/>
      <c r="O75" s="60">
        <f>VLOOKUP(C75,IP!$B$9:$I$117,8,0)</f>
        <v>0</v>
      </c>
      <c r="P75" s="60">
        <f t="shared" si="10"/>
        <v>0</v>
      </c>
      <c r="Q75" s="60">
        <f>VLOOKUP(C75,IP!$B$9:$N$117,13,0)</f>
        <v>0</v>
      </c>
      <c r="R75" s="60">
        <f>VLOOKUP(C75,IP!$B$9:$O$117,14,0)</f>
        <v>0</v>
      </c>
      <c r="T75" s="60">
        <f>VLOOKUP(C75,IP!$B$9:$P$117,15,0)</f>
        <v>0</v>
      </c>
      <c r="U75" s="60">
        <f>VLOOKUP(C75,IP!$B$9:$Q$117,16,0)</f>
        <v>0</v>
      </c>
      <c r="V75" s="60">
        <v>0</v>
      </c>
      <c r="W75" s="60">
        <f>VLOOKUP(C75,IP!B$9:R$117,17,0)</f>
        <v>0</v>
      </c>
      <c r="X75" s="133"/>
      <c r="Y75" s="60">
        <f t="shared" si="16"/>
        <v>4503.6000000000004</v>
      </c>
      <c r="Z75" s="126">
        <f t="shared" si="17"/>
        <v>-3.6000000000003638</v>
      </c>
      <c r="AA75" s="126" t="s">
        <v>647</v>
      </c>
    </row>
    <row r="76" spans="1:28" s="60" customFormat="1" x14ac:dyDescent="0.2">
      <c r="A76" s="68" t="s">
        <v>479</v>
      </c>
      <c r="B76" s="70" t="s">
        <v>58</v>
      </c>
      <c r="C76" s="68" t="s">
        <v>480</v>
      </c>
      <c r="D76" s="115"/>
      <c r="E76" s="115">
        <f>VLOOKUP(C76,IP!$B$9:$V$117,21,0)</f>
        <v>2558.1999999999998</v>
      </c>
      <c r="F76" s="124"/>
      <c r="G76" s="62">
        <f>VLOOKUP(C76,SINDICATO!$C$36:$F$144,4,0)</f>
        <v>416.36000000000013</v>
      </c>
      <c r="H76" s="62">
        <f>VLOOKUP(C76,SINDICATO!$C$36:$G$144,5,0)</f>
        <v>100</v>
      </c>
      <c r="I76" s="62">
        <f>VLOOKUP(C76,SINDICATO!$C$36:$H$132,6,0)</f>
        <v>0</v>
      </c>
      <c r="J76" s="58"/>
      <c r="K76" s="62">
        <f t="shared" si="15"/>
        <v>3074.56</v>
      </c>
      <c r="L76" s="62">
        <v>8000</v>
      </c>
      <c r="M76" s="62">
        <f t="shared" si="14"/>
        <v>4000</v>
      </c>
      <c r="N76" s="59"/>
      <c r="O76" s="60">
        <f>VLOOKUP(C76,IP!$B$9:$I$117,8,0)</f>
        <v>0</v>
      </c>
      <c r="P76" s="60">
        <f t="shared" si="10"/>
        <v>100</v>
      </c>
      <c r="Q76" s="60">
        <f>VLOOKUP(C76,IP!$B$9:$N$117,13,0)</f>
        <v>0</v>
      </c>
      <c r="R76" s="60">
        <f>VLOOKUP(C76,IP!$B$9:$O$117,14,0)</f>
        <v>0</v>
      </c>
      <c r="T76" s="60">
        <f>VLOOKUP(C76,IP!$B$9:$P$117,15,0)</f>
        <v>0</v>
      </c>
      <c r="U76" s="60">
        <f>VLOOKUP(C76,IP!$B$9:$Q$117,16,0)</f>
        <v>0</v>
      </c>
      <c r="V76" s="60">
        <v>0</v>
      </c>
      <c r="W76" s="60">
        <f>VLOOKUP(C76,IP!B$9:R$117,17,0)</f>
        <v>1025.44</v>
      </c>
      <c r="X76" s="58"/>
      <c r="Y76" s="62">
        <f t="shared" si="16"/>
        <v>4000</v>
      </c>
      <c r="Z76" s="60">
        <f t="shared" si="17"/>
        <v>0</v>
      </c>
      <c r="AB76" s="62"/>
    </row>
    <row r="77" spans="1:28" s="60" customFormat="1" x14ac:dyDescent="0.2">
      <c r="A77" s="68" t="s">
        <v>481</v>
      </c>
      <c r="B77" s="70" t="s">
        <v>58</v>
      </c>
      <c r="C77" s="68" t="s">
        <v>482</v>
      </c>
      <c r="D77" s="115"/>
      <c r="E77" s="115">
        <f>VLOOKUP(C77,IP!$B$9:$V$117,21,0)</f>
        <v>4406.3999999999996</v>
      </c>
      <c r="F77" s="124"/>
      <c r="G77" s="62">
        <f>VLOOKUP(C77,SINDICATO!$C$36:$F$144,4,0)</f>
        <v>593.60000000000025</v>
      </c>
      <c r="H77" s="62">
        <f>VLOOKUP(C77,SINDICATO!$C$36:$G$144,5,0)</f>
        <v>131.91</v>
      </c>
      <c r="I77" s="62">
        <f>VLOOKUP(C77,SINDICATO!$C$36:$H$132,6,0)</f>
        <v>0</v>
      </c>
      <c r="J77" s="58"/>
      <c r="K77" s="62">
        <f t="shared" si="15"/>
        <v>5131.91</v>
      </c>
      <c r="L77" s="62">
        <v>10000</v>
      </c>
      <c r="M77" s="62">
        <f t="shared" si="14"/>
        <v>5000</v>
      </c>
      <c r="N77" s="59"/>
      <c r="O77" s="60">
        <f>VLOOKUP(C77,IP!$B$9:$I$117,8,0)</f>
        <v>0</v>
      </c>
      <c r="P77" s="60">
        <f t="shared" si="10"/>
        <v>131.91</v>
      </c>
      <c r="Q77" s="60">
        <f>VLOOKUP(C77,IP!$B$9:$N$117,13,0)</f>
        <v>0</v>
      </c>
      <c r="R77" s="60">
        <f>VLOOKUP(C77,IP!$B$9:$O$117,14,0)</f>
        <v>0</v>
      </c>
      <c r="T77" s="60">
        <f>VLOOKUP(C77,IP!$B$9:$P$117,15,0)</f>
        <v>0</v>
      </c>
      <c r="U77" s="60">
        <f>VLOOKUP(C77,IP!$B$9:$Q$117,16,0)</f>
        <v>0</v>
      </c>
      <c r="V77" s="60">
        <v>0</v>
      </c>
      <c r="W77" s="60">
        <f>VLOOKUP(C77,IP!B$9:R$117,17,0)</f>
        <v>0</v>
      </c>
      <c r="X77" s="58"/>
      <c r="Y77" s="62">
        <f t="shared" si="16"/>
        <v>5000</v>
      </c>
      <c r="Z77" s="60">
        <f t="shared" si="17"/>
        <v>0</v>
      </c>
      <c r="AB77" s="62"/>
    </row>
    <row r="78" spans="1:28" s="60" customFormat="1" x14ac:dyDescent="0.2">
      <c r="A78" s="68" t="s">
        <v>483</v>
      </c>
      <c r="B78" s="70" t="s">
        <v>58</v>
      </c>
      <c r="C78" s="68" t="s">
        <v>484</v>
      </c>
      <c r="D78" s="115"/>
      <c r="E78" s="115">
        <f>VLOOKUP(C78,IP!$B$9:$V$117,21,0)</f>
        <v>3583.6</v>
      </c>
      <c r="F78" s="124"/>
      <c r="G78" s="62">
        <f>VLOOKUP(C78,SINDICATO!$C$36:$F$144,4,0)</f>
        <v>416.40000000000009</v>
      </c>
      <c r="H78" s="62">
        <f>VLOOKUP(C78,SINDICATO!$C$36:$G$144,5,0)</f>
        <v>1958.34</v>
      </c>
      <c r="I78" s="62">
        <f>VLOOKUP(C78,SINDICATO!$C$36:$H$132,6,0)</f>
        <v>0</v>
      </c>
      <c r="J78" s="58"/>
      <c r="K78" s="62">
        <f t="shared" si="15"/>
        <v>5958.34</v>
      </c>
      <c r="L78" s="62">
        <v>8000</v>
      </c>
      <c r="M78" s="62">
        <f t="shared" si="14"/>
        <v>4000</v>
      </c>
      <c r="N78" s="59"/>
      <c r="O78" s="60">
        <f>VLOOKUP(C78,IP!$B$9:$I$117,8,0)</f>
        <v>0</v>
      </c>
      <c r="P78" s="60">
        <f t="shared" si="10"/>
        <v>1958.34</v>
      </c>
      <c r="Q78" s="60">
        <f>VLOOKUP(C78,IP!$B$9:$N$117,13,0)</f>
        <v>0</v>
      </c>
      <c r="R78" s="60">
        <f>VLOOKUP(C78,IP!$B$9:$O$117,14,0)</f>
        <v>0</v>
      </c>
      <c r="T78" s="60">
        <f>VLOOKUP(C78,IP!$B$9:$P$117,15,0)</f>
        <v>0</v>
      </c>
      <c r="U78" s="60">
        <f>VLOOKUP(C78,IP!$B$9:$Q$117,16,0)</f>
        <v>0</v>
      </c>
      <c r="V78" s="60">
        <v>0</v>
      </c>
      <c r="W78" s="60">
        <f>VLOOKUP(C78,IP!B$9:R$117,17,0)</f>
        <v>0</v>
      </c>
      <c r="X78" s="58"/>
      <c r="Y78" s="62">
        <f t="shared" si="16"/>
        <v>4000</v>
      </c>
      <c r="Z78" s="60">
        <f t="shared" si="17"/>
        <v>0</v>
      </c>
      <c r="AB78" s="62"/>
    </row>
    <row r="79" spans="1:28" s="60" customFormat="1" x14ac:dyDescent="0.2">
      <c r="A79" s="68" t="s">
        <v>485</v>
      </c>
      <c r="B79" s="70" t="s">
        <v>58</v>
      </c>
      <c r="C79" s="68" t="s">
        <v>486</v>
      </c>
      <c r="D79" s="115"/>
      <c r="E79" s="115">
        <f>VLOOKUP(C79,IP!$B$9:$V$117,21,0)</f>
        <v>2692.4</v>
      </c>
      <c r="F79" s="124"/>
      <c r="G79" s="62">
        <f>VLOOKUP(C79,SINDICATO!$C$36:$F$144,4,0)</f>
        <v>549.96500000000015</v>
      </c>
      <c r="H79" s="62">
        <f>VLOOKUP(C79,SINDICATO!$C$36:$G$144,5,0)</f>
        <v>2858.57</v>
      </c>
      <c r="I79" s="62">
        <f>VLOOKUP(C79,SINDICATO!$C$36:$H$132,6,0)</f>
        <v>0</v>
      </c>
      <c r="J79" s="58"/>
      <c r="K79" s="62">
        <f t="shared" si="15"/>
        <v>6100.9350000000004</v>
      </c>
      <c r="L79" s="62">
        <v>9550.01</v>
      </c>
      <c r="M79" s="62">
        <f t="shared" si="14"/>
        <v>4775.0050000000001</v>
      </c>
      <c r="N79" s="59"/>
      <c r="O79" s="60">
        <f>VLOOKUP(C79,IP!$B$9:$I$117,8,0)</f>
        <v>0</v>
      </c>
      <c r="P79" s="60">
        <f t="shared" si="10"/>
        <v>2858.57</v>
      </c>
      <c r="Q79" s="60">
        <f>VLOOKUP(C79,IP!$B$9:$N$117,13,0)</f>
        <v>1532.64</v>
      </c>
      <c r="R79" s="60">
        <f>VLOOKUP(C79,IP!$B$9:$O$117,14,0)</f>
        <v>0</v>
      </c>
      <c r="T79" s="60">
        <f>VLOOKUP(C79,IP!$B$9:$P$117,15,0)</f>
        <v>0</v>
      </c>
      <c r="U79" s="60">
        <f>VLOOKUP(C79,IP!$B$9:$Q$117,16,0)</f>
        <v>0</v>
      </c>
      <c r="V79" s="60">
        <v>0</v>
      </c>
      <c r="W79" s="60">
        <f>VLOOKUP(C79,IP!B$9:R$117,17,0)</f>
        <v>0</v>
      </c>
      <c r="X79" s="58"/>
      <c r="Y79" s="62">
        <f t="shared" si="16"/>
        <v>4775.0050000000001</v>
      </c>
      <c r="Z79" s="60">
        <f t="shared" si="17"/>
        <v>0</v>
      </c>
      <c r="AB79" s="62"/>
    </row>
    <row r="80" spans="1:28" s="60" customFormat="1" x14ac:dyDescent="0.2">
      <c r="A80" s="68" t="s">
        <v>487</v>
      </c>
      <c r="B80" s="70" t="s">
        <v>58</v>
      </c>
      <c r="C80" s="68" t="s">
        <v>488</v>
      </c>
      <c r="D80" s="115"/>
      <c r="E80" s="115">
        <f>VLOOKUP(C80,IP!$B$9:$V$117,21,0)</f>
        <v>3121</v>
      </c>
      <c r="F80" s="124"/>
      <c r="G80" s="62">
        <f>VLOOKUP(C80,SINDICATO!$C$36:$F$144,4,0)</f>
        <v>384.79500000000007</v>
      </c>
      <c r="H80" s="62">
        <f>VLOOKUP(C80,SINDICATO!$C$36:$G$144,5,0)</f>
        <v>480</v>
      </c>
      <c r="I80" s="62">
        <f>VLOOKUP(C80,SINDICATO!$C$36:$H$132,6,0)</f>
        <v>0</v>
      </c>
      <c r="J80" s="58"/>
      <c r="K80" s="62">
        <f t="shared" si="15"/>
        <v>3985.7950000000001</v>
      </c>
      <c r="L80" s="62">
        <v>7505.99</v>
      </c>
      <c r="M80" s="62">
        <f t="shared" si="14"/>
        <v>3752.9949999999999</v>
      </c>
      <c r="N80" s="59"/>
      <c r="O80" s="60">
        <f>VLOOKUP(C80,IP!$B$9:$I$117,8,0)</f>
        <v>0</v>
      </c>
      <c r="P80" s="60">
        <f t="shared" si="10"/>
        <v>480</v>
      </c>
      <c r="Q80" s="60">
        <f>VLOOKUP(C80,IP!$B$9:$N$117,13,0)</f>
        <v>0</v>
      </c>
      <c r="R80" s="60">
        <f>VLOOKUP(C80,IP!$B$9:$O$117,14,0)</f>
        <v>0</v>
      </c>
      <c r="T80" s="60">
        <f>VLOOKUP(C80,IP!$B$9:$P$117,15,0)</f>
        <v>0</v>
      </c>
      <c r="U80" s="60">
        <f>VLOOKUP(C80,IP!$B$9:$Q$117,16,0)</f>
        <v>0</v>
      </c>
      <c r="V80" s="60">
        <v>0</v>
      </c>
      <c r="W80" s="60">
        <f>VLOOKUP(C80,IP!B$9:R$117,17,0)</f>
        <v>247.2</v>
      </c>
      <c r="X80" s="58"/>
      <c r="Y80" s="62">
        <f t="shared" si="16"/>
        <v>3752.9949999999999</v>
      </c>
      <c r="Z80" s="60">
        <f t="shared" si="17"/>
        <v>0</v>
      </c>
      <c r="AB80" s="62"/>
    </row>
    <row r="81" spans="1:28" s="60" customFormat="1" x14ac:dyDescent="0.2">
      <c r="A81" s="68" t="s">
        <v>489</v>
      </c>
      <c r="B81" s="70" t="s">
        <v>58</v>
      </c>
      <c r="C81" s="68" t="s">
        <v>490</v>
      </c>
      <c r="D81" s="115"/>
      <c r="E81" s="115">
        <f>VLOOKUP(C81,IP!$B$9:$V$117,21,0)</f>
        <v>4734</v>
      </c>
      <c r="F81" s="124"/>
      <c r="G81" s="62">
        <f>VLOOKUP(C81,SINDICATO!$C$36:$F$144,4,0)</f>
        <v>450.98500000000013</v>
      </c>
      <c r="H81" s="62">
        <f>VLOOKUP(C81,SINDICATO!$C$36:$G$144,5,0)</f>
        <v>1155</v>
      </c>
      <c r="I81" s="62">
        <f>VLOOKUP(C81,SINDICATO!$C$36:$H$132,6,0)</f>
        <v>2.1099999999933061E-2</v>
      </c>
      <c r="J81" s="58"/>
      <c r="K81" s="62">
        <f t="shared" si="15"/>
        <v>6340.0061000000005</v>
      </c>
      <c r="L81" s="62">
        <v>8500.01</v>
      </c>
      <c r="M81" s="62">
        <f t="shared" si="14"/>
        <v>4250.0050000000001</v>
      </c>
      <c r="N81" s="59"/>
      <c r="O81" s="60">
        <f>VLOOKUP(C81,IP!$B$9:$I$117,8,0)</f>
        <v>934.98</v>
      </c>
      <c r="P81" s="60">
        <f t="shared" si="10"/>
        <v>1155.0210999999999</v>
      </c>
      <c r="Q81" s="60">
        <f>VLOOKUP(C81,IP!$B$9:$N$117,13,0)</f>
        <v>0</v>
      </c>
      <c r="R81" s="60">
        <f>VLOOKUP(C81,IP!$B$9:$O$117,14,0)</f>
        <v>0</v>
      </c>
      <c r="T81" s="60">
        <f>VLOOKUP(C81,IP!$B$9:$P$117,15,0)</f>
        <v>0</v>
      </c>
      <c r="U81" s="60">
        <f>VLOOKUP(C81,IP!$B$9:$Q$117,16,0)</f>
        <v>0</v>
      </c>
      <c r="V81" s="60">
        <v>0</v>
      </c>
      <c r="W81" s="60">
        <f>VLOOKUP(C81,IP!B$9:R$117,17,0)</f>
        <v>0</v>
      </c>
      <c r="X81" s="58"/>
      <c r="Y81" s="62">
        <f t="shared" si="16"/>
        <v>4250.005000000001</v>
      </c>
      <c r="Z81" s="60">
        <f t="shared" si="17"/>
        <v>0</v>
      </c>
      <c r="AB81" s="62"/>
    </row>
    <row r="82" spans="1:28" s="60" customFormat="1" ht="16.5" customHeight="1" x14ac:dyDescent="0.2">
      <c r="A82" s="68" t="s">
        <v>574</v>
      </c>
      <c r="B82" s="70" t="s">
        <v>58</v>
      </c>
      <c r="C82" s="68" t="s">
        <v>575</v>
      </c>
      <c r="D82" s="115"/>
      <c r="E82" s="115">
        <f>VLOOKUP(C82,IP!$B$9:$V$117,21,0)</f>
        <v>3585.4</v>
      </c>
      <c r="F82" s="124"/>
      <c r="G82" s="62">
        <f>VLOOKUP(C82,SINDICATO!$C$36:$F$144,4,0)</f>
        <v>414.59999999999991</v>
      </c>
      <c r="H82" s="62">
        <f>VLOOKUP(C82,SINDICATO!$C$36:$G$144,5,0)</f>
        <v>146.25</v>
      </c>
      <c r="I82" s="62">
        <f>VLOOKUP(C82,SINDICATO!$C$36:$H$132,6,0)</f>
        <v>0</v>
      </c>
      <c r="J82" s="58"/>
      <c r="K82" s="62">
        <f t="shared" si="15"/>
        <v>4146.25</v>
      </c>
      <c r="L82" s="62">
        <v>8000</v>
      </c>
      <c r="M82" s="62">
        <f t="shared" si="14"/>
        <v>4000</v>
      </c>
      <c r="N82" s="59"/>
      <c r="O82" s="60">
        <f>VLOOKUP(C82,IP!$B$9:$I$117,8,0)</f>
        <v>0</v>
      </c>
      <c r="P82" s="60">
        <f t="shared" si="10"/>
        <v>146.25</v>
      </c>
      <c r="Q82" s="60">
        <f>VLOOKUP(C82,IP!$B$9:$N$117,13,0)</f>
        <v>0</v>
      </c>
      <c r="R82" s="60">
        <f>VLOOKUP(C82,IP!$B$9:$O$117,14,0)</f>
        <v>0</v>
      </c>
      <c r="T82" s="60">
        <f>VLOOKUP(C82,IP!$B$9:$P$117,15,0)</f>
        <v>0</v>
      </c>
      <c r="U82" s="60">
        <f>VLOOKUP(C82,IP!$B$9:$Q$117,16,0)</f>
        <v>0</v>
      </c>
      <c r="W82" s="60">
        <f>VLOOKUP(C82,IP!B$9:R$117,17,0)</f>
        <v>0</v>
      </c>
      <c r="X82" s="58"/>
      <c r="Y82" s="62">
        <f t="shared" si="16"/>
        <v>4000</v>
      </c>
      <c r="Z82" s="60">
        <f t="shared" si="17"/>
        <v>0</v>
      </c>
      <c r="AB82" s="62"/>
    </row>
    <row r="83" spans="1:28" s="60" customFormat="1" x14ac:dyDescent="0.2">
      <c r="A83" s="68" t="s">
        <v>493</v>
      </c>
      <c r="B83" s="70" t="s">
        <v>58</v>
      </c>
      <c r="C83" s="68" t="s">
        <v>494</v>
      </c>
      <c r="D83" s="115"/>
      <c r="E83" s="115">
        <f>VLOOKUP(C83,IP!$B$9:$V$117,21,0)</f>
        <v>2746</v>
      </c>
      <c r="F83" s="124"/>
      <c r="G83" s="62">
        <f>VLOOKUP(C83,SINDICATO!$C$36:$F$144,4,0)</f>
        <v>450.95500000000038</v>
      </c>
      <c r="H83" s="62">
        <f>VLOOKUP(C83,SINDICATO!$C$36:$G$144,5,0)</f>
        <v>1040.68</v>
      </c>
      <c r="I83" s="62">
        <f>VLOOKUP(C83,SINDICATO!$C$36:$H$132,6,0)</f>
        <v>84.99</v>
      </c>
      <c r="J83" s="58"/>
      <c r="K83" s="62">
        <f t="shared" si="15"/>
        <v>4322.625</v>
      </c>
      <c r="L83" s="62">
        <v>8500.01</v>
      </c>
      <c r="M83" s="62">
        <f t="shared" si="14"/>
        <v>4250.0050000000001</v>
      </c>
      <c r="N83" s="59"/>
      <c r="O83" s="60">
        <f>VLOOKUP(C83,IP!$B$9:$I$117,8,0)</f>
        <v>0</v>
      </c>
      <c r="P83" s="60">
        <f t="shared" si="10"/>
        <v>1125.67</v>
      </c>
      <c r="Q83" s="60">
        <f>VLOOKUP(C83,IP!$B$9:$N$117,13,0)</f>
        <v>0</v>
      </c>
      <c r="R83" s="60">
        <f>VLOOKUP(C83,IP!$B$9:$O$117,14,0)</f>
        <v>553.04999999999995</v>
      </c>
      <c r="T83" s="60">
        <f>VLOOKUP(C83,IP!$B$9:$P$117,15,0)</f>
        <v>0</v>
      </c>
      <c r="U83" s="60">
        <f>VLOOKUP(C83,IP!$B$9:$Q$117,16,0)</f>
        <v>0</v>
      </c>
      <c r="V83" s="60">
        <v>0</v>
      </c>
      <c r="W83" s="60">
        <f>VLOOKUP(C83,IP!B$9:R$117,17,0)</f>
        <v>500</v>
      </c>
      <c r="X83" s="58"/>
      <c r="Y83" s="62">
        <f t="shared" si="16"/>
        <v>4250.0050000000001</v>
      </c>
      <c r="Z83" s="60">
        <f t="shared" si="17"/>
        <v>0</v>
      </c>
      <c r="AB83" s="62"/>
    </row>
    <row r="84" spans="1:28" s="60" customFormat="1" x14ac:dyDescent="0.2">
      <c r="A84" s="68" t="s">
        <v>498</v>
      </c>
      <c r="B84" s="70" t="s">
        <v>58</v>
      </c>
      <c r="C84" s="68" t="s">
        <v>499</v>
      </c>
      <c r="D84" s="115"/>
      <c r="E84" s="115">
        <f>VLOOKUP(C84,IP!$B$9:$V$117,21,0)</f>
        <v>3583.6</v>
      </c>
      <c r="F84" s="124"/>
      <c r="G84" s="62">
        <f>VLOOKUP(C84,SINDICATO!$C$36:$F$144,4,0)</f>
        <v>416.40000000000009</v>
      </c>
      <c r="H84" s="62">
        <f>VLOOKUP(C84,SINDICATO!$C$36:$G$144,5,0)</f>
        <v>322.5</v>
      </c>
      <c r="I84" s="62">
        <f>VLOOKUP(C84,SINDICATO!$C$36:$H$132,6,0)</f>
        <v>0</v>
      </c>
      <c r="J84" s="58"/>
      <c r="K84" s="62">
        <f t="shared" si="15"/>
        <v>4322.5</v>
      </c>
      <c r="L84" s="62">
        <v>8000</v>
      </c>
      <c r="M84" s="62">
        <f t="shared" si="14"/>
        <v>4000</v>
      </c>
      <c r="N84" s="59"/>
      <c r="O84" s="60">
        <f>VLOOKUP(C84,IP!$B$9:$I$117,8,0)</f>
        <v>0</v>
      </c>
      <c r="P84" s="60">
        <f t="shared" si="10"/>
        <v>322.5</v>
      </c>
      <c r="Q84" s="60">
        <f>VLOOKUP(C84,IP!$B$9:$N$117,13,0)</f>
        <v>0</v>
      </c>
      <c r="R84" s="60">
        <f>VLOOKUP(C84,IP!$B$9:$O$117,14,0)</f>
        <v>0</v>
      </c>
      <c r="T84" s="60">
        <f>VLOOKUP(C84,IP!$B$9:$P$117,15,0)</f>
        <v>0</v>
      </c>
      <c r="U84" s="60">
        <f>VLOOKUP(C84,IP!$B$9:$Q$117,16,0)</f>
        <v>0</v>
      </c>
      <c r="W84" s="60">
        <f>VLOOKUP(C84,IP!B$9:R$117,17,0)</f>
        <v>0</v>
      </c>
      <c r="X84" s="58"/>
      <c r="Y84" s="62">
        <f t="shared" si="16"/>
        <v>4000</v>
      </c>
      <c r="Z84" s="60">
        <f t="shared" si="17"/>
        <v>0</v>
      </c>
      <c r="AB84" s="62"/>
    </row>
    <row r="85" spans="1:28" s="60" customFormat="1" x14ac:dyDescent="0.2">
      <c r="A85" s="68" t="s">
        <v>502</v>
      </c>
      <c r="B85" s="70" t="s">
        <v>58</v>
      </c>
      <c r="C85" s="68" t="s">
        <v>503</v>
      </c>
      <c r="D85" s="115"/>
      <c r="E85" s="115">
        <f>VLOOKUP(C85,IP!$B$9:$V$117,21,0)</f>
        <v>1729.6</v>
      </c>
      <c r="F85" s="124"/>
      <c r="G85" s="62">
        <f>VLOOKUP(C85,SINDICATO!$C$36:$F$144,4,0)</f>
        <v>416.27</v>
      </c>
      <c r="H85" s="62">
        <f>VLOOKUP(C85,SINDICATO!$C$36:$G$144,5,0)</f>
        <v>123.08</v>
      </c>
      <c r="I85" s="62">
        <f>VLOOKUP(C85,SINDICATO!$C$36:$H$132,6,0)</f>
        <v>0</v>
      </c>
      <c r="J85" s="58"/>
      <c r="K85" s="62">
        <f t="shared" si="15"/>
        <v>2268.9499999999998</v>
      </c>
      <c r="L85" s="62">
        <v>8000</v>
      </c>
      <c r="M85" s="62">
        <f t="shared" si="14"/>
        <v>4000</v>
      </c>
      <c r="N85" s="59"/>
      <c r="O85" s="60">
        <f>VLOOKUP(C85,IP!$B$9:$I$117,8,0)</f>
        <v>0</v>
      </c>
      <c r="P85" s="60">
        <f t="shared" si="10"/>
        <v>123.08</v>
      </c>
      <c r="Q85" s="60">
        <f>VLOOKUP(C85,IP!$B$9:$N$117,13,0)</f>
        <v>1854.13</v>
      </c>
      <c r="R85" s="60">
        <f>VLOOKUP(C85,IP!$B$9:$O$117,14,0)</f>
        <v>0</v>
      </c>
      <c r="T85" s="60">
        <f>VLOOKUP(C85,IP!$B$9:$P$117,15,0)</f>
        <v>0</v>
      </c>
      <c r="U85" s="60">
        <f>VLOOKUP(C85,IP!$B$9:$Q$117,16,0)</f>
        <v>0</v>
      </c>
      <c r="W85" s="60">
        <f>VLOOKUP(C85,IP!B$9:R$117,17,0)</f>
        <v>0</v>
      </c>
      <c r="X85" s="58"/>
      <c r="Y85" s="62">
        <f t="shared" si="16"/>
        <v>4000</v>
      </c>
      <c r="Z85" s="60">
        <f t="shared" si="17"/>
        <v>0</v>
      </c>
      <c r="AB85" s="62"/>
    </row>
    <row r="86" spans="1:28" s="60" customFormat="1" x14ac:dyDescent="0.2">
      <c r="A86" s="70" t="s">
        <v>504</v>
      </c>
      <c r="B86" s="70" t="s">
        <v>58</v>
      </c>
      <c r="C86" s="70" t="s">
        <v>594</v>
      </c>
      <c r="D86" s="115"/>
      <c r="E86" s="115">
        <f>VLOOKUP(C86,IP!$B$9:$V$117,21,0)</f>
        <v>3433</v>
      </c>
      <c r="F86" s="124"/>
      <c r="G86" s="62">
        <f>VLOOKUP(C86,SINDICATO!$C$36:$F$144,4,0)</f>
        <v>0</v>
      </c>
      <c r="H86" s="62">
        <f>VLOOKUP(C86,SINDICATO!$C$36:$G$144,5,0)</f>
        <v>0</v>
      </c>
      <c r="I86" s="62">
        <f>VLOOKUP(C86,SINDICATO!$C$36:$H$132,6,0)</f>
        <v>0</v>
      </c>
      <c r="J86" s="58"/>
      <c r="K86" s="62">
        <f t="shared" si="15"/>
        <v>3433</v>
      </c>
      <c r="L86" s="60">
        <v>7900</v>
      </c>
      <c r="M86" s="60">
        <f t="shared" si="14"/>
        <v>3950</v>
      </c>
      <c r="N86" s="59"/>
      <c r="O86" s="60">
        <f>VLOOKUP(C86,IP!$B$9:$I$117,8,0)</f>
        <v>0</v>
      </c>
      <c r="P86" s="60">
        <f t="shared" si="10"/>
        <v>0</v>
      </c>
      <c r="Q86" s="60">
        <f>VLOOKUP(C86,IP!$B$9:$N$117,13,0)</f>
        <v>571.83000000000004</v>
      </c>
      <c r="R86" s="60">
        <f>VLOOKUP(C86,IP!$B$9:$O$117,14,0)</f>
        <v>0</v>
      </c>
      <c r="T86" s="60">
        <f>VLOOKUP(C86,IP!$B$9:$P$117,15,0)</f>
        <v>0</v>
      </c>
      <c r="U86" s="60">
        <f>VLOOKUP(C86,IP!$B$9:$Q$117,16,0)</f>
        <v>0</v>
      </c>
      <c r="W86" s="60">
        <f>VLOOKUP(C86,IP!B$9:R$117,17,0)</f>
        <v>0</v>
      </c>
      <c r="X86" s="58"/>
      <c r="Y86" s="62">
        <f t="shared" si="16"/>
        <v>4004.83</v>
      </c>
      <c r="Z86" s="126">
        <f t="shared" si="17"/>
        <v>-54.829999999999927</v>
      </c>
      <c r="AA86" s="126" t="s">
        <v>497</v>
      </c>
    </row>
    <row r="87" spans="1:28" s="60" customFormat="1" x14ac:dyDescent="0.2">
      <c r="A87" s="68" t="s">
        <v>507</v>
      </c>
      <c r="B87" s="70" t="s">
        <v>58</v>
      </c>
      <c r="C87" s="68" t="s">
        <v>508</v>
      </c>
      <c r="D87" s="115"/>
      <c r="E87" s="115">
        <f>VLOOKUP(C87,IP!$B$9:$V$117,21,0)</f>
        <v>5952.2</v>
      </c>
      <c r="F87" s="124"/>
      <c r="G87" s="62">
        <f>VLOOKUP(C87,SINDICATO!$C$36:$F$144,4,0)</f>
        <v>1047.8000000000006</v>
      </c>
      <c r="H87" s="62">
        <f>VLOOKUP(C87,SINDICATO!$C$36:$G$144,5,0)</f>
        <v>178.57</v>
      </c>
      <c r="I87" s="62">
        <f>VLOOKUP(C87,SINDICATO!$C$36:$H$132,6,0)</f>
        <v>0</v>
      </c>
      <c r="J87" s="58"/>
      <c r="K87" s="62">
        <f t="shared" si="15"/>
        <v>7178.57</v>
      </c>
      <c r="L87" s="62">
        <v>14000</v>
      </c>
      <c r="M87" s="62">
        <f t="shared" si="14"/>
        <v>7000</v>
      </c>
      <c r="N87" s="59"/>
      <c r="O87" s="60">
        <f>VLOOKUP(C87,IP!$B$9:$I$117,8,0)</f>
        <v>0</v>
      </c>
      <c r="P87" s="60">
        <f t="shared" si="10"/>
        <v>178.57</v>
      </c>
      <c r="Q87" s="60">
        <f>VLOOKUP(C87,IP!$B$9:$N$117,13,0)</f>
        <v>0</v>
      </c>
      <c r="R87" s="60">
        <f>VLOOKUP(C87,IP!$B$9:$O$117,14,0)</f>
        <v>0</v>
      </c>
      <c r="T87" s="60">
        <f>VLOOKUP(C87,IP!$B$9:$P$117,15,0)</f>
        <v>0</v>
      </c>
      <c r="U87" s="60">
        <f>VLOOKUP(C87,IP!$B$9:$Q$117,16,0)</f>
        <v>0</v>
      </c>
      <c r="W87" s="60">
        <f>VLOOKUP(C87,IP!B$9:R$117,17,0)</f>
        <v>0</v>
      </c>
      <c r="X87" s="58"/>
      <c r="Y87" s="62">
        <f t="shared" si="16"/>
        <v>7000</v>
      </c>
      <c r="Z87" s="60">
        <f t="shared" ref="Z87:Z101" si="18">+M87-Y87</f>
        <v>0</v>
      </c>
      <c r="AB87" s="62"/>
    </row>
    <row r="88" spans="1:28" s="60" customFormat="1" x14ac:dyDescent="0.2">
      <c r="A88" s="68" t="s">
        <v>509</v>
      </c>
      <c r="B88" s="70" t="s">
        <v>58</v>
      </c>
      <c r="C88" s="68" t="s">
        <v>595</v>
      </c>
      <c r="D88" s="115"/>
      <c r="E88" s="115">
        <f>VLOOKUP(C88,IP!$B$9:$V$117,21,0)</f>
        <v>3270</v>
      </c>
      <c r="F88" s="124"/>
      <c r="G88" s="62">
        <f>VLOOKUP(C88,SINDICATO!$C$36:$F$144,4,0)</f>
        <v>416.19999999999982</v>
      </c>
      <c r="H88" s="62">
        <f>VLOOKUP(C88,SINDICATO!$C$36:$G$144,5,0)</f>
        <v>180</v>
      </c>
      <c r="I88" s="62">
        <f>VLOOKUP(C88,SINDICATO!$C$36:$H$132,6,0)</f>
        <v>0</v>
      </c>
      <c r="J88" s="58"/>
      <c r="K88" s="62">
        <f t="shared" si="15"/>
        <v>3866.2</v>
      </c>
      <c r="L88" s="62">
        <v>8000</v>
      </c>
      <c r="M88" s="62">
        <f t="shared" ref="M88:M99" si="19">+L88/2</f>
        <v>4000</v>
      </c>
      <c r="N88" s="59"/>
      <c r="O88" s="60">
        <f>VLOOKUP(C88,IP!$B$9:$I$117,8,0)</f>
        <v>0</v>
      </c>
      <c r="P88" s="60">
        <f t="shared" si="10"/>
        <v>180</v>
      </c>
      <c r="Q88" s="60">
        <f>VLOOKUP(C88,IP!$B$9:$N$117,13,0)</f>
        <v>0</v>
      </c>
      <c r="R88" s="60">
        <f>VLOOKUP(C88,IP!$B$9:$O$117,14,0)</f>
        <v>0</v>
      </c>
      <c r="T88" s="60">
        <f>VLOOKUP(C88,IP!$B$9:$P$117,15,0)</f>
        <v>0</v>
      </c>
      <c r="U88" s="60">
        <f>VLOOKUP(C88,IP!$B$9:$Q$117,16,0)</f>
        <v>0</v>
      </c>
      <c r="W88" s="60">
        <f>VLOOKUP(C88,IP!B$9:R$117,17,0)</f>
        <v>313.8</v>
      </c>
      <c r="X88" s="58"/>
      <c r="Y88" s="62">
        <f t="shared" si="16"/>
        <v>4000</v>
      </c>
      <c r="Z88" s="60">
        <f t="shared" si="18"/>
        <v>0</v>
      </c>
      <c r="AB88" s="62"/>
    </row>
    <row r="89" spans="1:28" s="60" customFormat="1" x14ac:dyDescent="0.2">
      <c r="A89" s="68" t="s">
        <v>519</v>
      </c>
      <c r="B89" s="70" t="s">
        <v>58</v>
      </c>
      <c r="C89" s="68" t="s">
        <v>520</v>
      </c>
      <c r="D89" s="115"/>
      <c r="E89" s="115">
        <f>VLOOKUP(C89,IP!$B$9:$V$117,21,0)</f>
        <v>3583.6</v>
      </c>
      <c r="F89" s="124"/>
      <c r="G89" s="62">
        <f>VLOOKUP(C89,SINDICATO!$C$36:$F$144,4,0)</f>
        <v>416.40000000000032</v>
      </c>
      <c r="H89" s="62">
        <f>VLOOKUP(C89,SINDICATO!$C$36:$G$144,5,0)</f>
        <v>770</v>
      </c>
      <c r="I89" s="62">
        <f>VLOOKUP(C89,SINDICATO!$C$36:$H$132,6,0)</f>
        <v>0</v>
      </c>
      <c r="J89" s="58"/>
      <c r="K89" s="62">
        <f t="shared" si="15"/>
        <v>4770</v>
      </c>
      <c r="L89" s="62">
        <v>8000</v>
      </c>
      <c r="M89" s="62">
        <f t="shared" si="19"/>
        <v>4000</v>
      </c>
      <c r="N89" s="59"/>
      <c r="O89" s="60">
        <f>VLOOKUP(C89,IP!$B$9:$I$117,8,0)</f>
        <v>0</v>
      </c>
      <c r="P89" s="60">
        <f t="shared" si="10"/>
        <v>770</v>
      </c>
      <c r="Q89" s="60">
        <f>VLOOKUP(C89,IP!$B$9:$N$117,13,0)</f>
        <v>0</v>
      </c>
      <c r="R89" s="60">
        <f>VLOOKUP(C89,IP!$B$9:$O$117,14,0)</f>
        <v>0</v>
      </c>
      <c r="T89" s="60">
        <f>VLOOKUP(C89,IP!$B$9:$P$117,15,0)</f>
        <v>0</v>
      </c>
      <c r="U89" s="60">
        <f>VLOOKUP(C89,IP!$B$9:$Q$117,16,0)</f>
        <v>0</v>
      </c>
      <c r="W89" s="60">
        <f>VLOOKUP(C89,IP!B$9:R$117,17,0)</f>
        <v>0</v>
      </c>
      <c r="X89" s="58"/>
      <c r="Y89" s="62">
        <f t="shared" si="16"/>
        <v>4000</v>
      </c>
      <c r="Z89" s="60">
        <f t="shared" si="18"/>
        <v>0</v>
      </c>
      <c r="AB89" s="62"/>
    </row>
    <row r="90" spans="1:28" s="60" customFormat="1" x14ac:dyDescent="0.2">
      <c r="A90" s="68" t="s">
        <v>521</v>
      </c>
      <c r="B90" s="70" t="s">
        <v>58</v>
      </c>
      <c r="C90" s="68" t="s">
        <v>522</v>
      </c>
      <c r="D90" s="115"/>
      <c r="E90" s="115">
        <f>VLOOKUP(C90,IP!$B$9:$V$117,21,0)</f>
        <v>2810.2</v>
      </c>
      <c r="F90" s="124"/>
      <c r="G90" s="62">
        <f>VLOOKUP(C90,SINDICATO!$C$36:$F$144,4,0)</f>
        <v>109.80000000000001</v>
      </c>
      <c r="H90" s="62">
        <f>VLOOKUP(C90,SINDICATO!$C$36:$G$144,5,0)</f>
        <v>422.5</v>
      </c>
      <c r="I90" s="62">
        <f>VLOOKUP(C90,SINDICATO!$C$36:$H$132,6,0)</f>
        <v>0</v>
      </c>
      <c r="J90" s="58"/>
      <c r="K90" s="62">
        <f t="shared" si="15"/>
        <v>3342.5</v>
      </c>
      <c r="L90" s="62">
        <v>6000</v>
      </c>
      <c r="M90" s="62">
        <f t="shared" si="19"/>
        <v>3000</v>
      </c>
      <c r="N90" s="59"/>
      <c r="O90" s="60">
        <f>VLOOKUP(C90,IP!$B$9:$I$117,8,0)</f>
        <v>120</v>
      </c>
      <c r="P90" s="60">
        <f t="shared" si="10"/>
        <v>422.5</v>
      </c>
      <c r="Q90" s="60">
        <f>VLOOKUP(C90,IP!$B$9:$N$117,13,0)</f>
        <v>0</v>
      </c>
      <c r="R90" s="60">
        <f>VLOOKUP(C90,IP!$B$9:$O$117,14,0)</f>
        <v>0</v>
      </c>
      <c r="T90" s="60">
        <f>VLOOKUP(C90,IP!$B$9:$P$117,15,0)</f>
        <v>0</v>
      </c>
      <c r="U90" s="60">
        <f>VLOOKUP(C90,IP!$B$9:$Q$117,16,0)</f>
        <v>0</v>
      </c>
      <c r="W90" s="60">
        <f>VLOOKUP(C90,IP!B$9:R$117,17,0)</f>
        <v>0</v>
      </c>
      <c r="X90" s="58"/>
      <c r="Y90" s="62">
        <f t="shared" si="16"/>
        <v>2800</v>
      </c>
      <c r="Z90" s="134">
        <f t="shared" si="18"/>
        <v>200</v>
      </c>
      <c r="AA90" s="134" t="s">
        <v>650</v>
      </c>
      <c r="AB90" s="62"/>
    </row>
    <row r="91" spans="1:28" s="60" customFormat="1" x14ac:dyDescent="0.2">
      <c r="A91" s="68" t="s">
        <v>523</v>
      </c>
      <c r="B91" s="70" t="s">
        <v>58</v>
      </c>
      <c r="C91" s="68" t="s">
        <v>524</v>
      </c>
      <c r="D91" s="115"/>
      <c r="E91" s="115">
        <f>VLOOKUP(C91,IP!$B$9:$V$117,21,0)</f>
        <v>3583.8</v>
      </c>
      <c r="F91" s="124"/>
      <c r="G91" s="62">
        <f>VLOOKUP(C91,SINDICATO!$C$36:$F$144,4,0)</f>
        <v>416.19999999999982</v>
      </c>
      <c r="H91" s="62">
        <f>VLOOKUP(C91,SINDICATO!$C$36:$G$144,5,0)</f>
        <v>187.5</v>
      </c>
      <c r="I91" s="62">
        <f>VLOOKUP(C91,SINDICATO!$C$36:$H$132,6,0)</f>
        <v>0</v>
      </c>
      <c r="J91" s="58"/>
      <c r="K91" s="62">
        <f t="shared" si="15"/>
        <v>4187.5</v>
      </c>
      <c r="L91" s="62">
        <v>8000</v>
      </c>
      <c r="M91" s="62">
        <f t="shared" si="19"/>
        <v>4000</v>
      </c>
      <c r="N91" s="59"/>
      <c r="O91" s="60">
        <f>VLOOKUP(C91,IP!$B$9:$I$117,8,0)</f>
        <v>0</v>
      </c>
      <c r="P91" s="60">
        <f t="shared" si="10"/>
        <v>187.5</v>
      </c>
      <c r="Q91" s="60">
        <f>VLOOKUP(C91,IP!$B$9:$N$117,13,0)</f>
        <v>0</v>
      </c>
      <c r="R91" s="60">
        <f>VLOOKUP(C91,IP!$B$9:$O$117,14,0)</f>
        <v>0</v>
      </c>
      <c r="T91" s="60">
        <f>VLOOKUP(C91,IP!$B$9:$P$117,15,0)</f>
        <v>0</v>
      </c>
      <c r="U91" s="60">
        <f>VLOOKUP(C91,IP!$B$9:$Q$117,16,0)</f>
        <v>0</v>
      </c>
      <c r="W91" s="60">
        <f>VLOOKUP(C91,IP!B$9:R$117,17,0)</f>
        <v>0</v>
      </c>
      <c r="X91" s="58"/>
      <c r="Y91" s="62">
        <f t="shared" si="16"/>
        <v>4000</v>
      </c>
      <c r="Z91" s="60">
        <f t="shared" si="18"/>
        <v>0</v>
      </c>
      <c r="AB91" s="62"/>
    </row>
    <row r="92" spans="1:28" s="60" customFormat="1" x14ac:dyDescent="0.2">
      <c r="A92" s="68" t="s">
        <v>525</v>
      </c>
      <c r="B92" s="70" t="s">
        <v>58</v>
      </c>
      <c r="C92" s="68" t="s">
        <v>526</v>
      </c>
      <c r="D92" s="115"/>
      <c r="E92" s="115">
        <f>VLOOKUP(C92,IP!$B$9:$V$117,21,0)</f>
        <v>3585.4</v>
      </c>
      <c r="F92" s="124"/>
      <c r="G92" s="62">
        <f>VLOOKUP(C92,SINDICATO!$C$36:$F$144,4,0)</f>
        <v>414.59999999999991</v>
      </c>
      <c r="H92" s="62">
        <f>VLOOKUP(C92,SINDICATO!$C$36:$G$144,5,0)</f>
        <v>1308.8</v>
      </c>
      <c r="I92" s="62">
        <f>VLOOKUP(C92,SINDICATO!$C$36:$H$132,6,0)</f>
        <v>0</v>
      </c>
      <c r="J92" s="58"/>
      <c r="K92" s="62">
        <f t="shared" si="15"/>
        <v>5308.8</v>
      </c>
      <c r="L92" s="62">
        <v>8000</v>
      </c>
      <c r="M92" s="62">
        <f t="shared" si="19"/>
        <v>4000</v>
      </c>
      <c r="N92" s="59"/>
      <c r="O92" s="60">
        <f>VLOOKUP(C92,IP!$B$9:$I$117,8,0)</f>
        <v>0</v>
      </c>
      <c r="P92" s="60">
        <f t="shared" ref="P92:P121" si="20">+H92+I92</f>
        <v>1308.8</v>
      </c>
      <c r="Q92" s="60">
        <f>VLOOKUP(C92,IP!$B$9:$N$117,13,0)</f>
        <v>0</v>
      </c>
      <c r="R92" s="60">
        <f>VLOOKUP(C92,IP!$B$9:$O$117,14,0)</f>
        <v>0</v>
      </c>
      <c r="T92" s="60">
        <f>VLOOKUP(C92,IP!$B$9:$P$117,15,0)</f>
        <v>0</v>
      </c>
      <c r="U92" s="60">
        <f>VLOOKUP(C92,IP!$B$9:$Q$117,16,0)</f>
        <v>0</v>
      </c>
      <c r="W92" s="60">
        <f>VLOOKUP(C92,IP!B$9:R$117,17,0)</f>
        <v>0</v>
      </c>
      <c r="X92" s="58"/>
      <c r="Y92" s="62">
        <f t="shared" si="16"/>
        <v>4000</v>
      </c>
      <c r="Z92" s="60">
        <f t="shared" si="18"/>
        <v>0</v>
      </c>
      <c r="AA92" s="128"/>
      <c r="AB92" s="62"/>
    </row>
    <row r="93" spans="1:28" s="60" customFormat="1" x14ac:dyDescent="0.2">
      <c r="A93" s="68" t="s">
        <v>529</v>
      </c>
      <c r="B93" s="70" t="s">
        <v>58</v>
      </c>
      <c r="C93" s="68" t="s">
        <v>530</v>
      </c>
      <c r="D93" s="115"/>
      <c r="E93" s="115">
        <f>VLOOKUP(C93,IP!$B$9:$V$117,21,0)</f>
        <v>3585.2</v>
      </c>
      <c r="F93" s="124"/>
      <c r="G93" s="62">
        <f>VLOOKUP(C93,SINDICATO!$C$36:$F$144,4,0)</f>
        <v>414.80000000000018</v>
      </c>
      <c r="H93" s="62">
        <f>VLOOKUP(C93,SINDICATO!$C$36:$G$144,5,0)</f>
        <v>270</v>
      </c>
      <c r="I93" s="62">
        <f>VLOOKUP(C93,SINDICATO!$C$36:$H$132,6,0)</f>
        <v>0</v>
      </c>
      <c r="J93" s="58"/>
      <c r="K93" s="62">
        <f t="shared" si="15"/>
        <v>4270</v>
      </c>
      <c r="L93" s="62">
        <v>8000</v>
      </c>
      <c r="M93" s="62">
        <f t="shared" si="19"/>
        <v>4000</v>
      </c>
      <c r="N93" s="59"/>
      <c r="O93" s="60">
        <f>VLOOKUP(C93,IP!$B$9:$I$117,8,0)</f>
        <v>0</v>
      </c>
      <c r="P93" s="60">
        <f t="shared" si="20"/>
        <v>270</v>
      </c>
      <c r="Q93" s="60">
        <f>VLOOKUP(C93,IP!$B$9:$N$117,13,0)</f>
        <v>0</v>
      </c>
      <c r="R93" s="60">
        <f>VLOOKUP(C93,IP!$B$9:$O$117,14,0)</f>
        <v>0</v>
      </c>
      <c r="T93" s="60">
        <f>VLOOKUP(C93,IP!$B$9:$P$117,15,0)</f>
        <v>0</v>
      </c>
      <c r="U93" s="60">
        <f>VLOOKUP(C93,IP!$B$9:$Q$117,16,0)</f>
        <v>0</v>
      </c>
      <c r="W93" s="60">
        <f>VLOOKUP(C93,IP!B$9:R$117,17,0)</f>
        <v>0</v>
      </c>
      <c r="X93" s="58"/>
      <c r="Y93" s="62">
        <f t="shared" si="16"/>
        <v>4000</v>
      </c>
      <c r="Z93" s="60">
        <f t="shared" si="18"/>
        <v>0</v>
      </c>
      <c r="AA93" s="137"/>
      <c r="AB93" s="62"/>
    </row>
    <row r="94" spans="1:28" s="60" customFormat="1" x14ac:dyDescent="0.2">
      <c r="A94" s="68" t="s">
        <v>533</v>
      </c>
      <c r="B94" s="70" t="s">
        <v>58</v>
      </c>
      <c r="C94" s="68" t="s">
        <v>531</v>
      </c>
      <c r="D94" s="115"/>
      <c r="E94" s="115">
        <f>VLOOKUP(C94,IP!$B$9:$V$117,21,0)</f>
        <v>1779</v>
      </c>
      <c r="F94" s="124"/>
      <c r="G94" s="62">
        <f>VLOOKUP(C94,SINDICATO!$C$36:$F$144,4,0)</f>
        <v>109.88999999999999</v>
      </c>
      <c r="H94" s="62">
        <f>VLOOKUP(C94,SINDICATO!$C$36:$G$144,5,0)</f>
        <v>1000</v>
      </c>
      <c r="I94" s="62">
        <f>VLOOKUP(C94,SINDICATO!$C$36:$H$132,6,0)</f>
        <v>0</v>
      </c>
      <c r="J94" s="58"/>
      <c r="K94" s="62">
        <f t="shared" si="15"/>
        <v>2888.89</v>
      </c>
      <c r="L94" s="62">
        <v>6000</v>
      </c>
      <c r="M94" s="62">
        <f t="shared" si="19"/>
        <v>3000</v>
      </c>
      <c r="N94" s="59"/>
      <c r="O94" s="60">
        <f>VLOOKUP(C94,IP!$B$9:$I$117,8,0)</f>
        <v>0</v>
      </c>
      <c r="P94" s="60">
        <f t="shared" si="20"/>
        <v>1000</v>
      </c>
      <c r="Q94" s="60">
        <f>VLOOKUP(C94,IP!$B$9:$N$117,13,0)</f>
        <v>911.11</v>
      </c>
      <c r="R94" s="60">
        <f>VLOOKUP(C94,IP!$B$9:$O$117,14,0)</f>
        <v>0</v>
      </c>
      <c r="T94" s="60">
        <f>VLOOKUP(C94,IP!$B$9:$P$117,15,0)</f>
        <v>0</v>
      </c>
      <c r="U94" s="60">
        <f>VLOOKUP(C94,IP!$B$9:$Q$117,16,0)</f>
        <v>0</v>
      </c>
      <c r="W94" s="60">
        <f>VLOOKUP(C94,IP!B$9:R$117,17,0)</f>
        <v>0</v>
      </c>
      <c r="X94" s="58"/>
      <c r="Y94" s="62">
        <f t="shared" si="16"/>
        <v>2800</v>
      </c>
      <c r="Z94" s="134">
        <f t="shared" si="18"/>
        <v>200</v>
      </c>
      <c r="AA94" s="138" t="s">
        <v>650</v>
      </c>
      <c r="AB94" s="62"/>
    </row>
    <row r="95" spans="1:28" s="60" customFormat="1" x14ac:dyDescent="0.2">
      <c r="A95" s="68" t="s">
        <v>534</v>
      </c>
      <c r="B95" s="70" t="s">
        <v>58</v>
      </c>
      <c r="C95" s="68" t="s">
        <v>532</v>
      </c>
      <c r="D95" s="115"/>
      <c r="E95" s="115">
        <f>VLOOKUP(C95,IP!$B$9:$V$117,21,0)</f>
        <v>3583.6</v>
      </c>
      <c r="F95" s="124"/>
      <c r="G95" s="62">
        <f>VLOOKUP(C95,SINDICATO!$C$36:$F$144,4,0)</f>
        <v>416.40000000000009</v>
      </c>
      <c r="H95" s="62">
        <f>VLOOKUP(C95,SINDICATO!$C$36:$G$144,5,0)</f>
        <v>300</v>
      </c>
      <c r="I95" s="62">
        <f>VLOOKUP(C95,SINDICATO!$C$36:$H$132,6,0)</f>
        <v>0</v>
      </c>
      <c r="J95" s="58"/>
      <c r="K95" s="62">
        <f t="shared" si="15"/>
        <v>4300</v>
      </c>
      <c r="L95" s="62">
        <v>8000</v>
      </c>
      <c r="M95" s="62">
        <f t="shared" si="19"/>
        <v>4000</v>
      </c>
      <c r="N95" s="59"/>
      <c r="O95" s="60">
        <f>VLOOKUP(C95,IP!$B$9:$I$117,8,0)</f>
        <v>0</v>
      </c>
      <c r="P95" s="60">
        <f t="shared" si="20"/>
        <v>300</v>
      </c>
      <c r="Q95" s="60">
        <f>VLOOKUP(C95,IP!$B$9:$N$117,13,0)</f>
        <v>0</v>
      </c>
      <c r="R95" s="60">
        <f>VLOOKUP(C95,IP!$B$9:$O$117,14,0)</f>
        <v>0</v>
      </c>
      <c r="T95" s="60">
        <f>VLOOKUP(C95,IP!$B$9:$P$117,15,0)</f>
        <v>0</v>
      </c>
      <c r="U95" s="60">
        <f>VLOOKUP(C95,IP!$B$9:$Q$117,16,0)</f>
        <v>0</v>
      </c>
      <c r="W95" s="60">
        <f>VLOOKUP(C95,IP!B$9:R$117,17,0)</f>
        <v>0</v>
      </c>
      <c r="X95" s="58"/>
      <c r="Y95" s="62">
        <f t="shared" si="16"/>
        <v>4000</v>
      </c>
      <c r="Z95" s="60">
        <f t="shared" si="18"/>
        <v>0</v>
      </c>
      <c r="AA95" s="128"/>
      <c r="AB95" s="62"/>
    </row>
    <row r="96" spans="1:28" s="60" customFormat="1" x14ac:dyDescent="0.2">
      <c r="A96" s="70" t="s">
        <v>406</v>
      </c>
      <c r="B96" s="70" t="s">
        <v>58</v>
      </c>
      <c r="C96" s="70" t="s">
        <v>409</v>
      </c>
      <c r="D96" s="115"/>
      <c r="E96" s="115">
        <f>VLOOKUP(C96,IP!$B$9:$V$117,21,0)</f>
        <v>2237.8000000000002</v>
      </c>
      <c r="F96" s="124"/>
      <c r="G96" s="62">
        <f>VLOOKUP(C96,SINDICATO!$C$36:$F$144,4,0)</f>
        <v>2262.1999999999994</v>
      </c>
      <c r="H96" s="62">
        <f>VLOOKUP(C96,SINDICATO!$C$36:$G$144,5,0)</f>
        <v>0</v>
      </c>
      <c r="I96" s="62">
        <f>VLOOKUP(C96,SINDICATO!$C$36:$H$132,6,0)</f>
        <v>0</v>
      </c>
      <c r="J96" s="58"/>
      <c r="K96" s="62">
        <f t="shared" si="15"/>
        <v>4500</v>
      </c>
      <c r="L96" s="60">
        <v>9000</v>
      </c>
      <c r="M96" s="60">
        <f t="shared" si="19"/>
        <v>4500</v>
      </c>
      <c r="N96" s="59"/>
      <c r="O96" s="60">
        <f>VLOOKUP(C96,IP!$B$9:$I$117,8,0)</f>
        <v>0</v>
      </c>
      <c r="P96" s="60">
        <f t="shared" si="20"/>
        <v>0</v>
      </c>
      <c r="Q96" s="60">
        <f>VLOOKUP(C96,IP!$B$9:$N$117,13,0)</f>
        <v>0</v>
      </c>
      <c r="R96" s="60">
        <f>VLOOKUP(C96,IP!$B$9:$O$117,14,0)</f>
        <v>0</v>
      </c>
      <c r="T96" s="60">
        <f>VLOOKUP(C96,IP!$B$9:$P$117,15,0)</f>
        <v>0</v>
      </c>
      <c r="U96" s="60">
        <f>VLOOKUP(C96,IP!$B$9:$Q$117,16,0)</f>
        <v>0</v>
      </c>
      <c r="V96" s="60">
        <v>0</v>
      </c>
      <c r="W96" s="60">
        <f>VLOOKUP(C96,IP!B$9:R$117,17,0)</f>
        <v>0</v>
      </c>
      <c r="X96" s="58"/>
      <c r="Y96" s="62">
        <f t="shared" si="16"/>
        <v>4500</v>
      </c>
      <c r="Z96" s="60">
        <f t="shared" si="18"/>
        <v>0</v>
      </c>
    </row>
    <row r="97" spans="1:27" s="62" customFormat="1" x14ac:dyDescent="0.2">
      <c r="A97" s="78" t="s">
        <v>190</v>
      </c>
      <c r="B97" s="70" t="s">
        <v>58</v>
      </c>
      <c r="C97" s="78" t="s">
        <v>367</v>
      </c>
      <c r="D97" s="113"/>
      <c r="E97" s="115">
        <f>VLOOKUP(C97,IP!$B$9:$V$117,21,0)</f>
        <v>1465.6</v>
      </c>
      <c r="F97" s="124"/>
      <c r="G97" s="62">
        <f>VLOOKUP(C97,SINDICATO!$C$36:$F$144,4,0)</f>
        <v>2262.25</v>
      </c>
      <c r="H97" s="62">
        <f>VLOOKUP(C97,SINDICATO!$C$36:$G$144,5,0)</f>
        <v>333.34</v>
      </c>
      <c r="I97" s="62">
        <f>VLOOKUP(C97,SINDICATO!$C$36:$H$132,6,0)</f>
        <v>0</v>
      </c>
      <c r="J97" s="58"/>
      <c r="K97" s="62">
        <f t="shared" si="15"/>
        <v>4061.19</v>
      </c>
      <c r="L97" s="62">
        <f>VLOOKUP(C97,ABC!$A$3:$B$88,2,0)</f>
        <v>9000</v>
      </c>
      <c r="M97" s="62">
        <f t="shared" si="19"/>
        <v>4500</v>
      </c>
      <c r="N97" s="59"/>
      <c r="O97" s="60">
        <f>VLOOKUP(C97,IP!$B$9:$I$117,8,0)</f>
        <v>0</v>
      </c>
      <c r="P97" s="60">
        <f t="shared" si="20"/>
        <v>333.34</v>
      </c>
      <c r="Q97" s="60">
        <f>VLOOKUP(C97,IP!$B$9:$N$117,13,0)</f>
        <v>0</v>
      </c>
      <c r="R97" s="60">
        <f>VLOOKUP(C97,IP!$B$9:$O$117,14,0)</f>
        <v>772.15</v>
      </c>
      <c r="S97" s="60"/>
      <c r="T97" s="60">
        <f>VLOOKUP(C97,IP!$B$9:$P$117,15,0)</f>
        <v>0</v>
      </c>
      <c r="U97" s="60">
        <f>VLOOKUP(C97,IP!$B$9:$Q$117,16,0)</f>
        <v>0</v>
      </c>
      <c r="V97" s="60">
        <v>0</v>
      </c>
      <c r="W97" s="60">
        <f>VLOOKUP(C97,IP!B$9:R$117,17,0)</f>
        <v>0</v>
      </c>
      <c r="X97" s="58"/>
      <c r="Y97" s="62">
        <f t="shared" si="16"/>
        <v>4500</v>
      </c>
      <c r="Z97" s="60">
        <f t="shared" si="18"/>
        <v>0</v>
      </c>
      <c r="AA97" s="139"/>
    </row>
    <row r="98" spans="1:27" s="62" customFormat="1" x14ac:dyDescent="0.2">
      <c r="A98" s="78" t="s">
        <v>229</v>
      </c>
      <c r="B98" s="70" t="s">
        <v>58</v>
      </c>
      <c r="C98" s="68" t="s">
        <v>372</v>
      </c>
      <c r="D98" s="113"/>
      <c r="E98" s="115">
        <f>VLOOKUP(C98,IP!$B$9:$V$117,21,0)</f>
        <v>1074</v>
      </c>
      <c r="F98" s="124"/>
      <c r="G98" s="62">
        <f>VLOOKUP(C98,SINDICATO!$C$36:$F$144,4,0)</f>
        <v>2884.99</v>
      </c>
      <c r="H98" s="62">
        <f>VLOOKUP(C98,SINDICATO!$C$36:$G$144,5,0)</f>
        <v>0</v>
      </c>
      <c r="I98" s="62">
        <f>VLOOKUP(C98,SINDICATO!$C$36:$H$132,6,0)</f>
        <v>0</v>
      </c>
      <c r="J98" s="58"/>
      <c r="K98" s="62">
        <f t="shared" si="15"/>
        <v>3958.99</v>
      </c>
      <c r="L98" s="62">
        <f>VLOOKUP(C98,ABC!$A$3:$B$88,2,0)</f>
        <v>12000</v>
      </c>
      <c r="M98" s="62">
        <f t="shared" si="19"/>
        <v>6000</v>
      </c>
      <c r="N98" s="59"/>
      <c r="O98" s="60">
        <f>VLOOKUP(C98,IP!$B$9:$I$117,8,0)</f>
        <v>0</v>
      </c>
      <c r="P98" s="60">
        <f t="shared" si="20"/>
        <v>0</v>
      </c>
      <c r="Q98" s="60">
        <f>VLOOKUP(C98,IP!$B$9:$N$117,13,0)</f>
        <v>2041.01</v>
      </c>
      <c r="R98" s="60">
        <f>VLOOKUP(C98,IP!$B$9:$O$117,14,0)</f>
        <v>0</v>
      </c>
      <c r="S98" s="60"/>
      <c r="T98" s="60">
        <f>VLOOKUP(C98,IP!$B$9:$P$117,15,0)</f>
        <v>0</v>
      </c>
      <c r="U98" s="60">
        <f>VLOOKUP(C98,IP!$B$9:$Q$117,16,0)</f>
        <v>0</v>
      </c>
      <c r="V98" s="60">
        <v>0</v>
      </c>
      <c r="W98" s="60">
        <f>VLOOKUP(C98,IP!B$9:R$117,17,0)</f>
        <v>0</v>
      </c>
      <c r="X98" s="58"/>
      <c r="Y98" s="62">
        <f t="shared" si="16"/>
        <v>6000</v>
      </c>
      <c r="Z98" s="60">
        <f t="shared" si="18"/>
        <v>0</v>
      </c>
      <c r="AA98" s="60"/>
    </row>
    <row r="99" spans="1:27" s="62" customFormat="1" x14ac:dyDescent="0.2">
      <c r="A99" s="78" t="s">
        <v>230</v>
      </c>
      <c r="B99" s="70" t="s">
        <v>58</v>
      </c>
      <c r="C99" s="68" t="s">
        <v>373</v>
      </c>
      <c r="D99" s="113"/>
      <c r="E99" s="115">
        <f>VLOOKUP(C99,IP!$B$9:$V$117,21,0)</f>
        <v>1721.4</v>
      </c>
      <c r="F99" s="124"/>
      <c r="G99" s="62">
        <f>VLOOKUP(C99,SINDICATO!$C$36:$F$144,4,0)</f>
        <v>2219.2799999999993</v>
      </c>
      <c r="H99" s="62">
        <f>VLOOKUP(C99,SINDICATO!$C$36:$G$144,5,0)</f>
        <v>1480</v>
      </c>
      <c r="I99" s="62">
        <f>VLOOKUP(C99,SINDICATO!$C$36:$H$132,6,0)</f>
        <v>295.7600000000001</v>
      </c>
      <c r="J99" s="58"/>
      <c r="K99" s="62">
        <f t="shared" si="15"/>
        <v>5716.44</v>
      </c>
      <c r="L99" s="62">
        <f>VLOOKUP(C99,ABC!$A$3:$B$88,2,0)</f>
        <v>9800</v>
      </c>
      <c r="M99" s="62">
        <f t="shared" si="19"/>
        <v>4900</v>
      </c>
      <c r="N99" s="59"/>
      <c r="O99" s="60">
        <f>VLOOKUP(C99,IP!$B$9:$I$117,8,0)</f>
        <v>390.24</v>
      </c>
      <c r="P99" s="60">
        <f t="shared" si="20"/>
        <v>1775.7600000000002</v>
      </c>
      <c r="Q99" s="60">
        <f>VLOOKUP(C99,IP!$B$9:$N$117,13,0)</f>
        <v>1349.52</v>
      </c>
      <c r="R99" s="60">
        <f>VLOOKUP(C99,IP!$B$9:$O$117,14,0)</f>
        <v>0</v>
      </c>
      <c r="S99" s="60"/>
      <c r="T99" s="60">
        <f>VLOOKUP(C99,IP!$B$9:$P$117,15,0)</f>
        <v>0</v>
      </c>
      <c r="U99" s="60">
        <f>VLOOKUP(C99,IP!$B$9:$Q$117,16,0)</f>
        <v>0</v>
      </c>
      <c r="V99" s="60">
        <v>0</v>
      </c>
      <c r="W99" s="60">
        <f>VLOOKUP(C99,IP!B$9:R$117,17,0)</f>
        <v>0</v>
      </c>
      <c r="X99" s="58"/>
      <c r="Y99" s="62">
        <f t="shared" si="16"/>
        <v>4899.9599999999991</v>
      </c>
      <c r="Z99" s="60">
        <f t="shared" si="18"/>
        <v>4.0000000000873115E-2</v>
      </c>
      <c r="AA99" s="60"/>
    </row>
    <row r="100" spans="1:27" s="62" customFormat="1" x14ac:dyDescent="0.2">
      <c r="A100" s="68" t="s">
        <v>351</v>
      </c>
      <c r="B100" s="70" t="s">
        <v>58</v>
      </c>
      <c r="C100" s="68" t="s">
        <v>414</v>
      </c>
      <c r="D100" s="113"/>
      <c r="E100" s="115">
        <f>VLOOKUP(C100,IP!$B$9:$V$117,21,0)</f>
        <v>3278.8</v>
      </c>
      <c r="F100" s="124"/>
      <c r="G100" s="62">
        <f>VLOOKUP(C100,SINDICATO!$C$36:$F$144,4,0)</f>
        <v>3721.2</v>
      </c>
      <c r="H100" s="62">
        <f>VLOOKUP(C100,SINDICATO!$C$36:$G$144,5,0)</f>
        <v>166.67</v>
      </c>
      <c r="I100" s="62">
        <f>VLOOKUP(C100,SINDICATO!$C$36:$H$132,6,0)</f>
        <v>0</v>
      </c>
      <c r="J100" s="58"/>
      <c r="K100" s="62">
        <f t="shared" si="15"/>
        <v>7166.67</v>
      </c>
      <c r="L100" s="62">
        <v>14000</v>
      </c>
      <c r="M100" s="62">
        <f t="shared" ref="M100:M119" si="21">+L100/2</f>
        <v>7000</v>
      </c>
      <c r="N100" s="59"/>
      <c r="O100" s="60">
        <f>VLOOKUP(C100,IP!$B$9:$I$117,8,0)</f>
        <v>0</v>
      </c>
      <c r="P100" s="60">
        <f t="shared" si="20"/>
        <v>166.67</v>
      </c>
      <c r="Q100" s="60">
        <f>VLOOKUP(C100,IP!$B$9:$N$117,13,0)</f>
        <v>0</v>
      </c>
      <c r="R100" s="60">
        <f>VLOOKUP(C100,IP!$B$9:$O$117,14,0)</f>
        <v>0</v>
      </c>
      <c r="S100" s="60"/>
      <c r="T100" s="60">
        <f>VLOOKUP(C100,IP!$B$9:$P$117,15,0)</f>
        <v>0</v>
      </c>
      <c r="U100" s="60">
        <f>VLOOKUP(C100,IP!$B$9:$Q$117,16,0)</f>
        <v>0</v>
      </c>
      <c r="V100" s="60">
        <v>0</v>
      </c>
      <c r="W100" s="60">
        <f>VLOOKUP(C100,IP!B$9:R$117,17,0)</f>
        <v>0</v>
      </c>
      <c r="X100" s="58"/>
      <c r="Y100" s="62">
        <f t="shared" si="16"/>
        <v>7000</v>
      </c>
      <c r="Z100" s="60">
        <f t="shared" si="18"/>
        <v>0</v>
      </c>
      <c r="AA100" s="60"/>
    </row>
    <row r="101" spans="1:27" s="62" customFormat="1" x14ac:dyDescent="0.2">
      <c r="A101" s="68" t="s">
        <v>407</v>
      </c>
      <c r="B101" s="70" t="s">
        <v>58</v>
      </c>
      <c r="C101" s="68" t="s">
        <v>415</v>
      </c>
      <c r="D101" s="113"/>
      <c r="E101" s="115">
        <f>VLOOKUP(C101,IP!$B$9:$V$117,21,0)</f>
        <v>2369.1999999999998</v>
      </c>
      <c r="F101" s="124"/>
      <c r="G101" s="62">
        <f>VLOOKUP(C101,SINDICATO!$C$36:$F$144,4,0)</f>
        <v>3721.2999999999997</v>
      </c>
      <c r="H101" s="62">
        <f>VLOOKUP(C101,SINDICATO!$C$36:$G$144,5,0)</f>
        <v>208.34</v>
      </c>
      <c r="I101" s="62">
        <f>VLOOKUP(C101,SINDICATO!$C$36:$H$132,6,0)</f>
        <v>0</v>
      </c>
      <c r="J101" s="58"/>
      <c r="K101" s="62">
        <f t="shared" si="15"/>
        <v>6298.84</v>
      </c>
      <c r="L101" s="62">
        <v>14000</v>
      </c>
      <c r="M101" s="62">
        <f t="shared" si="21"/>
        <v>7000</v>
      </c>
      <c r="N101" s="59"/>
      <c r="O101" s="60">
        <f>VLOOKUP(C101,IP!$B$9:$I$117,8,0)</f>
        <v>0</v>
      </c>
      <c r="P101" s="60">
        <f t="shared" si="20"/>
        <v>208.34</v>
      </c>
      <c r="Q101" s="60">
        <f>VLOOKUP(C101,IP!$B$9:$N$117,13,0)</f>
        <v>0</v>
      </c>
      <c r="R101" s="60">
        <f>VLOOKUP(C101,IP!$B$9:$O$117,14,0)</f>
        <v>0</v>
      </c>
      <c r="S101" s="60"/>
      <c r="T101" s="60">
        <f>VLOOKUP(C101,IP!$B$9:$P$117,15,0)</f>
        <v>0</v>
      </c>
      <c r="U101" s="60">
        <f>VLOOKUP(C101,IP!$B$9:$Q$117,16,0)</f>
        <v>0</v>
      </c>
      <c r="V101" s="60">
        <v>0</v>
      </c>
      <c r="W101" s="60">
        <f>VLOOKUP(C101,IP!B$9:R$117,17,0)</f>
        <v>909.5</v>
      </c>
      <c r="X101" s="58"/>
      <c r="Y101" s="62">
        <f t="shared" si="16"/>
        <v>7000</v>
      </c>
      <c r="Z101" s="60">
        <f t="shared" si="18"/>
        <v>0</v>
      </c>
      <c r="AA101" s="60"/>
    </row>
    <row r="102" spans="1:27" s="62" customFormat="1" x14ac:dyDescent="0.2">
      <c r="A102" s="68" t="s">
        <v>451</v>
      </c>
      <c r="B102" s="70" t="s">
        <v>58</v>
      </c>
      <c r="C102" s="68" t="s">
        <v>452</v>
      </c>
      <c r="D102" s="113"/>
      <c r="E102" s="115">
        <f>VLOOKUP(C102,IP!$B$9:$V$117,21,0)</f>
        <v>2273.4</v>
      </c>
      <c r="F102" s="124"/>
      <c r="G102" s="62">
        <f>VLOOKUP(C102,SINDICATO!$C$36:$F$144,4,0)</f>
        <v>3339.4400000000005</v>
      </c>
      <c r="H102" s="62">
        <f>VLOOKUP(C102,SINDICATO!$C$36:$G$144,5,0)</f>
        <v>168.75</v>
      </c>
      <c r="I102" s="62">
        <f>VLOOKUP(C102,SINDICATO!$C$36:$H$132,6,0)</f>
        <v>0</v>
      </c>
      <c r="J102" s="58"/>
      <c r="K102" s="62">
        <f t="shared" si="15"/>
        <v>5781.59</v>
      </c>
      <c r="L102" s="62">
        <v>15000</v>
      </c>
      <c r="M102" s="62">
        <f t="shared" si="21"/>
        <v>7500</v>
      </c>
      <c r="N102" s="59"/>
      <c r="O102" s="60">
        <f>VLOOKUP(C102,IP!$B$9:$I$117,8,0)</f>
        <v>0</v>
      </c>
      <c r="P102" s="60">
        <f t="shared" si="20"/>
        <v>168.75</v>
      </c>
      <c r="Q102" s="60">
        <f>VLOOKUP(C102,IP!$B$9:$N$117,13,0)</f>
        <v>1887.16</v>
      </c>
      <c r="R102" s="60">
        <f>VLOOKUP(C102,IP!$B$9:$O$117,14,0)</f>
        <v>0</v>
      </c>
      <c r="S102" s="60"/>
      <c r="T102" s="60">
        <f>VLOOKUP(C102,IP!$B$9:$P$117,15,0)</f>
        <v>0</v>
      </c>
      <c r="U102" s="60">
        <f>VLOOKUP(C102,IP!$B$9:$Q$117,16,0)</f>
        <v>0</v>
      </c>
      <c r="V102" s="60">
        <v>0</v>
      </c>
      <c r="W102" s="60">
        <f>VLOOKUP(C102,IP!B$9:R$117,17,0)</f>
        <v>0</v>
      </c>
      <c r="X102" s="58"/>
      <c r="Y102" s="62">
        <f t="shared" si="16"/>
        <v>7500</v>
      </c>
      <c r="Z102" s="60">
        <f t="shared" ref="Z102:Z113" si="22">+M102-Y102</f>
        <v>0</v>
      </c>
      <c r="AA102" s="60"/>
    </row>
    <row r="103" spans="1:27" s="62" customFormat="1" x14ac:dyDescent="0.2">
      <c r="A103" s="68" t="s">
        <v>408</v>
      </c>
      <c r="B103" s="70" t="s">
        <v>58</v>
      </c>
      <c r="C103" s="68" t="s">
        <v>453</v>
      </c>
      <c r="D103" s="113"/>
      <c r="E103" s="115">
        <f>VLOOKUP(C103,IP!$B$9:$V$117,21,0)</f>
        <v>1975.8</v>
      </c>
      <c r="F103" s="124"/>
      <c r="G103" s="62">
        <f>VLOOKUP(C103,SINDICATO!$C$36:$F$144,4,0)</f>
        <v>4339.38</v>
      </c>
      <c r="H103" s="62">
        <f>VLOOKUP(C103,SINDICATO!$C$36:$G$144,5,0)</f>
        <v>2195.86</v>
      </c>
      <c r="I103" s="62">
        <f>VLOOKUP(C103,SINDICATO!$C$36:$H$132,6,0)</f>
        <v>0</v>
      </c>
      <c r="J103" s="58"/>
      <c r="K103" s="62">
        <f t="shared" si="15"/>
        <v>8511.0400000000009</v>
      </c>
      <c r="L103" s="62">
        <v>17000</v>
      </c>
      <c r="M103" s="62">
        <f t="shared" si="21"/>
        <v>8500</v>
      </c>
      <c r="N103" s="59"/>
      <c r="O103" s="60">
        <f>VLOOKUP(C103,IP!$B$9:$I$117,8,0)</f>
        <v>0</v>
      </c>
      <c r="P103" s="60">
        <f t="shared" si="20"/>
        <v>2195.86</v>
      </c>
      <c r="Q103" s="60">
        <f>VLOOKUP(C103,IP!$B$9:$N$117,13,0)</f>
        <v>2184.8200000000002</v>
      </c>
      <c r="R103" s="60">
        <f>VLOOKUP(C103,IP!$B$9:$O$117,14,0)</f>
        <v>0</v>
      </c>
      <c r="S103" s="60"/>
      <c r="T103" s="60">
        <f>VLOOKUP(C103,IP!$B$9:$P$117,15,0)</f>
        <v>0</v>
      </c>
      <c r="U103" s="60">
        <f>VLOOKUP(C103,IP!$B$9:$Q$117,16,0)</f>
        <v>0</v>
      </c>
      <c r="V103" s="60">
        <v>0</v>
      </c>
      <c r="W103" s="60">
        <f>VLOOKUP(C103,IP!B$9:R$117,17,0)</f>
        <v>0</v>
      </c>
      <c r="X103" s="58"/>
      <c r="Y103" s="62">
        <f t="shared" si="16"/>
        <v>8500</v>
      </c>
      <c r="Z103" s="60">
        <f t="shared" si="22"/>
        <v>0</v>
      </c>
      <c r="AA103" s="60"/>
    </row>
    <row r="104" spans="1:27" s="62" customFormat="1" x14ac:dyDescent="0.2">
      <c r="A104" s="68" t="s">
        <v>417</v>
      </c>
      <c r="B104" s="70" t="s">
        <v>58</v>
      </c>
      <c r="C104" s="68" t="s">
        <v>454</v>
      </c>
      <c r="D104" s="113"/>
      <c r="E104" s="115">
        <f>VLOOKUP(C104,IP!$B$9:$V$117,21,0)</f>
        <v>3332.6</v>
      </c>
      <c r="F104" s="124"/>
      <c r="G104" s="62">
        <f>VLOOKUP(C104,SINDICATO!$C$36:$F$144,4,0)</f>
        <v>1917.4</v>
      </c>
      <c r="H104" s="62">
        <f>VLOOKUP(C104,SINDICATO!$C$36:$G$144,5,0)</f>
        <v>4859.43</v>
      </c>
      <c r="I104" s="62">
        <f>VLOOKUP(C104,SINDICATO!$C$36:$H$132,6,0)</f>
        <v>0</v>
      </c>
      <c r="J104" s="58"/>
      <c r="K104" s="62">
        <f t="shared" si="15"/>
        <v>10109.43</v>
      </c>
      <c r="L104" s="100">
        <v>10500</v>
      </c>
      <c r="M104" s="62">
        <f t="shared" si="21"/>
        <v>5250</v>
      </c>
      <c r="N104" s="59"/>
      <c r="O104" s="60">
        <f>VLOOKUP(C104,IP!$B$9:$I$117,8,0)</f>
        <v>0</v>
      </c>
      <c r="P104" s="60">
        <f t="shared" si="20"/>
        <v>4859.43</v>
      </c>
      <c r="Q104" s="60">
        <f>VLOOKUP(C104,IP!$B$9:$N$117,13,0)</f>
        <v>0</v>
      </c>
      <c r="R104" s="60">
        <f>VLOOKUP(C104,IP!$B$9:$O$117,14,0)</f>
        <v>0</v>
      </c>
      <c r="S104" s="60"/>
      <c r="T104" s="60">
        <f>VLOOKUP(C104,IP!$B$9:$P$117,15,0)</f>
        <v>0</v>
      </c>
      <c r="U104" s="60">
        <f>VLOOKUP(C104,IP!$B$9:$Q$117,16,0)</f>
        <v>0</v>
      </c>
      <c r="V104" s="60">
        <v>0</v>
      </c>
      <c r="W104" s="60">
        <f>VLOOKUP(C104,IP!B$9:R$117,17,0)</f>
        <v>0</v>
      </c>
      <c r="X104" s="58"/>
      <c r="Y104" s="62">
        <f t="shared" si="16"/>
        <v>5250</v>
      </c>
      <c r="Z104" s="60">
        <f t="shared" si="22"/>
        <v>0</v>
      </c>
      <c r="AA104" s="60"/>
    </row>
    <row r="105" spans="1:27" s="62" customFormat="1" x14ac:dyDescent="0.2">
      <c r="A105" s="68" t="s">
        <v>455</v>
      </c>
      <c r="B105" s="70" t="s">
        <v>58</v>
      </c>
      <c r="C105" s="68" t="s">
        <v>456</v>
      </c>
      <c r="D105" s="113"/>
      <c r="E105" s="115">
        <f>VLOOKUP(C105,IP!$B$9:$V$117,21,0)</f>
        <v>4160.6000000000004</v>
      </c>
      <c r="F105" s="124"/>
      <c r="G105" s="62">
        <f>VLOOKUP(C105,SINDICATO!$C$36:$F$144,4,0)</f>
        <v>3339.3999999999996</v>
      </c>
      <c r="H105" s="62">
        <f>VLOOKUP(C105,SINDICATO!$C$36:$G$144,5,0)</f>
        <v>0</v>
      </c>
      <c r="I105" s="62">
        <f>VLOOKUP(C105,SINDICATO!$C$36:$H$132,6,0)</f>
        <v>0</v>
      </c>
      <c r="J105" s="58"/>
      <c r="K105" s="62">
        <f t="shared" si="15"/>
        <v>7500</v>
      </c>
      <c r="L105" s="62">
        <v>15000</v>
      </c>
      <c r="M105" s="62">
        <f t="shared" si="21"/>
        <v>7500</v>
      </c>
      <c r="N105" s="59"/>
      <c r="O105" s="60">
        <f>VLOOKUP(C105,IP!$B$9:$I$117,8,0)</f>
        <v>0</v>
      </c>
      <c r="P105" s="60">
        <f t="shared" si="20"/>
        <v>0</v>
      </c>
      <c r="Q105" s="60">
        <f>VLOOKUP(C105,IP!$B$9:$N$117,13,0)</f>
        <v>0</v>
      </c>
      <c r="R105" s="60">
        <f>VLOOKUP(C105,IP!$B$9:$O$117,14,0)</f>
        <v>0</v>
      </c>
      <c r="S105" s="60"/>
      <c r="T105" s="60">
        <f>VLOOKUP(C105,IP!$B$9:$P$117,15,0)</f>
        <v>0</v>
      </c>
      <c r="U105" s="60">
        <f>VLOOKUP(C105,IP!$B$9:$Q$117,16,0)</f>
        <v>0</v>
      </c>
      <c r="V105" s="60">
        <v>0</v>
      </c>
      <c r="W105" s="60">
        <f>VLOOKUP(C105,IP!B$9:R$117,17,0)</f>
        <v>0</v>
      </c>
      <c r="X105" s="58"/>
      <c r="Y105" s="62">
        <f t="shared" si="16"/>
        <v>7500</v>
      </c>
      <c r="Z105" s="60">
        <f t="shared" si="22"/>
        <v>0</v>
      </c>
      <c r="AA105" s="60"/>
    </row>
    <row r="106" spans="1:27" s="62" customFormat="1" x14ac:dyDescent="0.2">
      <c r="A106" s="68" t="s">
        <v>422</v>
      </c>
      <c r="B106" s="70" t="s">
        <v>58</v>
      </c>
      <c r="C106" s="68" t="s">
        <v>457</v>
      </c>
      <c r="D106" s="113"/>
      <c r="E106" s="115">
        <f>VLOOKUP(C106,IP!$B$9:$V$117,21,0)</f>
        <v>2127.8000000000002</v>
      </c>
      <c r="F106" s="124"/>
      <c r="G106" s="62">
        <f>VLOOKUP(C106,SINDICATO!$C$36:$F$144,4,0)</f>
        <v>2667.33</v>
      </c>
      <c r="H106" s="62">
        <f>VLOOKUP(C106,SINDICATO!$C$36:$G$144,5,0)</f>
        <v>2060.4</v>
      </c>
      <c r="I106" s="62">
        <f>VLOOKUP(C106,SINDICATO!$C$36:$H$132,6,0)</f>
        <v>0</v>
      </c>
      <c r="J106" s="58"/>
      <c r="K106" s="62">
        <f t="shared" si="15"/>
        <v>6855.5300000000007</v>
      </c>
      <c r="L106" s="62">
        <v>12000</v>
      </c>
      <c r="M106" s="62">
        <f t="shared" si="21"/>
        <v>6000</v>
      </c>
      <c r="N106" s="59"/>
      <c r="O106" s="60">
        <f>VLOOKUP(C106,IP!$B$9:$I$117,8,0)</f>
        <v>0</v>
      </c>
      <c r="P106" s="60">
        <f t="shared" si="20"/>
        <v>2060.4</v>
      </c>
      <c r="Q106" s="60">
        <f>VLOOKUP(C106,IP!$B$9:$N$117,13,0)</f>
        <v>1204.8699999999999</v>
      </c>
      <c r="R106" s="60">
        <f>VLOOKUP(C106,IP!$B$9:$O$117,14,0)</f>
        <v>0</v>
      </c>
      <c r="S106" s="60"/>
      <c r="T106" s="60">
        <f>VLOOKUP(C106,IP!$B$9:$P$117,15,0)</f>
        <v>0</v>
      </c>
      <c r="U106" s="60">
        <f>VLOOKUP(C106,IP!$B$9:$Q$117,16,0)</f>
        <v>0</v>
      </c>
      <c r="V106" s="60">
        <v>0</v>
      </c>
      <c r="W106" s="60">
        <f>VLOOKUP(C106,IP!B$9:R$117,17,0)</f>
        <v>0</v>
      </c>
      <c r="X106" s="58"/>
      <c r="Y106" s="62">
        <f t="shared" si="16"/>
        <v>6000.0000000000009</v>
      </c>
      <c r="Z106" s="60">
        <f t="shared" si="22"/>
        <v>0</v>
      </c>
      <c r="AA106" s="60"/>
    </row>
    <row r="107" spans="1:27" s="62" customFormat="1" x14ac:dyDescent="0.2">
      <c r="A107" s="68" t="s">
        <v>42</v>
      </c>
      <c r="B107" s="70" t="s">
        <v>58</v>
      </c>
      <c r="C107" s="68" t="s">
        <v>458</v>
      </c>
      <c r="D107" s="113"/>
      <c r="E107" s="115">
        <f>VLOOKUP(C107,IP!$B$9:$V$117,21,0)</f>
        <v>2767.8</v>
      </c>
      <c r="F107" s="124"/>
      <c r="G107" s="62">
        <f>VLOOKUP(C107,SINDICATO!$C$36:$F$144,4,0)</f>
        <v>1667.5699999999997</v>
      </c>
      <c r="H107" s="62">
        <f>VLOOKUP(C107,SINDICATO!$C$36:$G$144,5,0)</f>
        <v>503.94</v>
      </c>
      <c r="I107" s="62">
        <f>VLOOKUP(C107,SINDICATO!$C$36:$H$132,6,0)</f>
        <v>226.78999999999985</v>
      </c>
      <c r="J107" s="58"/>
      <c r="K107" s="62">
        <f t="shared" si="15"/>
        <v>5166.0999999999995</v>
      </c>
      <c r="L107" s="62">
        <v>10000</v>
      </c>
      <c r="M107" s="62">
        <f t="shared" si="21"/>
        <v>5000</v>
      </c>
      <c r="N107" s="59"/>
      <c r="O107" s="60">
        <f>VLOOKUP(C107,IP!$B$9:$I$117,8,0)</f>
        <v>573.21</v>
      </c>
      <c r="P107" s="60">
        <f t="shared" si="20"/>
        <v>730.72999999999979</v>
      </c>
      <c r="Q107" s="60">
        <f>VLOOKUP(C107,IP!$B$9:$N$117,13,0)</f>
        <v>0</v>
      </c>
      <c r="R107" s="60">
        <f>VLOOKUP(C107,IP!$B$9:$O$117,14,0)</f>
        <v>1137.8399999999999</v>
      </c>
      <c r="S107" s="60"/>
      <c r="T107" s="60">
        <f>VLOOKUP(C107,IP!$B$9:$P$117,15,0)</f>
        <v>0</v>
      </c>
      <c r="U107" s="60">
        <f>VLOOKUP(C107,IP!$B$9:$Q$117,16,0)</f>
        <v>0</v>
      </c>
      <c r="V107" s="60">
        <v>0</v>
      </c>
      <c r="W107" s="60">
        <f>VLOOKUP(C107,IP!B$9:R$117,17,0)</f>
        <v>0</v>
      </c>
      <c r="X107" s="58"/>
      <c r="Y107" s="62">
        <f t="shared" si="16"/>
        <v>5000</v>
      </c>
      <c r="Z107" s="60">
        <f t="shared" si="22"/>
        <v>0</v>
      </c>
      <c r="AA107" s="60"/>
    </row>
    <row r="108" spans="1:27" s="62" customFormat="1" x14ac:dyDescent="0.2">
      <c r="A108" s="68" t="s">
        <v>459</v>
      </c>
      <c r="B108" s="70" t="s">
        <v>58</v>
      </c>
      <c r="C108" s="68" t="s">
        <v>460</v>
      </c>
      <c r="D108" s="113"/>
      <c r="E108" s="115">
        <f>VLOOKUP(C108,IP!$B$9:$V$117,21,0)</f>
        <v>3332.6</v>
      </c>
      <c r="F108" s="124"/>
      <c r="G108" s="62">
        <f>VLOOKUP(C108,SINDICATO!$C$36:$F$144,4,0)</f>
        <v>2667.3999999999996</v>
      </c>
      <c r="H108" s="62">
        <f>VLOOKUP(C108,SINDICATO!$C$36:$G$144,5,0)</f>
        <v>1054.3499999999999</v>
      </c>
      <c r="I108" s="62">
        <f>VLOOKUP(C108,SINDICATO!$C$36:$H$132,6,0)</f>
        <v>0</v>
      </c>
      <c r="J108" s="58"/>
      <c r="K108" s="62">
        <f t="shared" si="15"/>
        <v>7054.35</v>
      </c>
      <c r="L108" s="62">
        <v>12000</v>
      </c>
      <c r="M108" s="62">
        <f t="shared" si="21"/>
        <v>6000</v>
      </c>
      <c r="N108" s="59"/>
      <c r="O108" s="60">
        <f>VLOOKUP(C108,IP!$B$9:$I$117,8,0)</f>
        <v>0</v>
      </c>
      <c r="P108" s="60">
        <f t="shared" si="20"/>
        <v>1054.3499999999999</v>
      </c>
      <c r="Q108" s="60">
        <f>VLOOKUP(C108,IP!$B$9:$N$117,13,0)</f>
        <v>0</v>
      </c>
      <c r="R108" s="60">
        <f>VLOOKUP(C108,IP!$B$9:$O$117,14,0)</f>
        <v>0</v>
      </c>
      <c r="S108" s="60"/>
      <c r="T108" s="60">
        <f>VLOOKUP(C108,IP!$B$9:$P$117,15,0)</f>
        <v>0</v>
      </c>
      <c r="U108" s="60">
        <f>VLOOKUP(C108,IP!$B$9:$Q$117,16,0)</f>
        <v>0</v>
      </c>
      <c r="V108" s="60">
        <v>0</v>
      </c>
      <c r="W108" s="60">
        <f>VLOOKUP(C108,IP!B$9:R$117,17,0)</f>
        <v>0</v>
      </c>
      <c r="X108" s="58"/>
      <c r="Y108" s="62">
        <f t="shared" si="16"/>
        <v>6000</v>
      </c>
      <c r="Z108" s="60">
        <f t="shared" si="22"/>
        <v>0</v>
      </c>
      <c r="AA108" s="140"/>
    </row>
    <row r="109" spans="1:27" s="62" customFormat="1" x14ac:dyDescent="0.2">
      <c r="A109" s="68" t="s">
        <v>437</v>
      </c>
      <c r="B109" s="70" t="s">
        <v>58</v>
      </c>
      <c r="C109" s="68" t="s">
        <v>462</v>
      </c>
      <c r="D109" s="113"/>
      <c r="E109" s="115">
        <f>VLOOKUP(C109,IP!$B$9:$V$117,21,0)</f>
        <v>2089</v>
      </c>
      <c r="F109" s="124"/>
      <c r="G109" s="62">
        <f>VLOOKUP(C109,SINDICATO!$C$36:$F$144,4,0)</f>
        <v>1667.4299999999998</v>
      </c>
      <c r="H109" s="62">
        <f>VLOOKUP(C109,SINDICATO!$C$36:$G$144,5,0)</f>
        <v>309.43</v>
      </c>
      <c r="I109" s="62">
        <f>VLOOKUP(C109,SINDICATO!$C$36:$H$132,6,0)</f>
        <v>0</v>
      </c>
      <c r="J109" s="58"/>
      <c r="K109" s="62">
        <f t="shared" si="15"/>
        <v>4065.8599999999997</v>
      </c>
      <c r="L109" s="62">
        <v>10000</v>
      </c>
      <c r="M109" s="62">
        <f t="shared" si="21"/>
        <v>5000</v>
      </c>
      <c r="N109" s="59"/>
      <c r="O109" s="60">
        <f>VLOOKUP(C109,IP!$B$9:$I$117,8,0)</f>
        <v>0</v>
      </c>
      <c r="P109" s="60">
        <f t="shared" si="20"/>
        <v>309.43</v>
      </c>
      <c r="Q109" s="60">
        <f>VLOOKUP(C109,IP!$B$9:$N$117,13,0)</f>
        <v>692.74</v>
      </c>
      <c r="R109" s="60">
        <f>VLOOKUP(C109,IP!$B$9:$O$117,14,0)</f>
        <v>0</v>
      </c>
      <c r="S109" s="60"/>
      <c r="T109" s="60">
        <f>VLOOKUP(C109,IP!$B$9:$P$117,15,0)</f>
        <v>0</v>
      </c>
      <c r="U109" s="60">
        <f>VLOOKUP(C109,IP!$B$9:$Q$117,16,0)</f>
        <v>0</v>
      </c>
      <c r="V109" s="60">
        <v>0</v>
      </c>
      <c r="W109" s="60">
        <f>VLOOKUP(C109,IP!B$9:R$117,17,0)</f>
        <v>550.83000000000004</v>
      </c>
      <c r="X109" s="58"/>
      <c r="Y109" s="62">
        <f t="shared" si="16"/>
        <v>5000</v>
      </c>
      <c r="Z109" s="60">
        <f t="shared" si="22"/>
        <v>0</v>
      </c>
      <c r="AA109" s="60"/>
    </row>
    <row r="110" spans="1:27" s="62" customFormat="1" x14ac:dyDescent="0.2">
      <c r="A110" s="68" t="s">
        <v>424</v>
      </c>
      <c r="B110" s="70" t="s">
        <v>58</v>
      </c>
      <c r="C110" s="68" t="s">
        <v>463</v>
      </c>
      <c r="D110" s="113"/>
      <c r="E110" s="115">
        <f>VLOOKUP(C110,IP!$B$9:$V$117,21,0)</f>
        <v>2053.1999999999998</v>
      </c>
      <c r="F110" s="124"/>
      <c r="G110" s="62">
        <f>VLOOKUP(C110,SINDICATO!$C$36:$F$144,4,0)</f>
        <v>2667.4800000000005</v>
      </c>
      <c r="H110" s="62">
        <f>VLOOKUP(C110,SINDICATO!$C$36:$G$144,5,0)</f>
        <v>0</v>
      </c>
      <c r="I110" s="62">
        <f>VLOOKUP(C110,SINDICATO!$C$36:$H$132,6,0)</f>
        <v>0</v>
      </c>
      <c r="J110" s="58"/>
      <c r="K110" s="62">
        <f t="shared" si="15"/>
        <v>4720.68</v>
      </c>
      <c r="L110" s="62">
        <v>12000</v>
      </c>
      <c r="M110" s="62">
        <f t="shared" si="21"/>
        <v>6000</v>
      </c>
      <c r="N110" s="59"/>
      <c r="O110" s="60">
        <f>VLOOKUP(C110,IP!$B$9:$I$117,8,0)</f>
        <v>0</v>
      </c>
      <c r="P110" s="60">
        <f t="shared" si="20"/>
        <v>0</v>
      </c>
      <c r="Q110" s="60">
        <f>VLOOKUP(C110,IP!$B$9:$N$117,13,0)</f>
        <v>0</v>
      </c>
      <c r="R110" s="60">
        <f>VLOOKUP(C110,IP!$B$9:$O$117,14,0)</f>
        <v>996.12</v>
      </c>
      <c r="S110" s="60"/>
      <c r="T110" s="60">
        <f>VLOOKUP(C110,IP!$B$9:$P$117,15,0)</f>
        <v>0</v>
      </c>
      <c r="U110" s="60">
        <f>VLOOKUP(C110,IP!$B$9:$Q$117,16,0)</f>
        <v>0</v>
      </c>
      <c r="V110" s="60">
        <v>0</v>
      </c>
      <c r="W110" s="60">
        <f>VLOOKUP(C110,IP!B$9:R$117,17,0)</f>
        <v>283.2</v>
      </c>
      <c r="X110" s="58"/>
      <c r="Y110" s="62">
        <f t="shared" si="16"/>
        <v>6000</v>
      </c>
      <c r="Z110" s="60">
        <f t="shared" si="22"/>
        <v>0</v>
      </c>
      <c r="AA110" s="60"/>
    </row>
    <row r="111" spans="1:27" s="62" customFormat="1" x14ac:dyDescent="0.2">
      <c r="A111" s="68" t="s">
        <v>464</v>
      </c>
      <c r="B111" s="70" t="s">
        <v>58</v>
      </c>
      <c r="C111" s="68" t="s">
        <v>465</v>
      </c>
      <c r="D111" s="113"/>
      <c r="E111" s="115">
        <f>VLOOKUP(C111,IP!$B$9:$V$117,21,0)</f>
        <v>2447.6</v>
      </c>
      <c r="F111" s="124"/>
      <c r="G111" s="62">
        <f>VLOOKUP(C111,SINDICATO!$C$36:$F$144,4,0)</f>
        <v>2552.4</v>
      </c>
      <c r="H111" s="62">
        <f>VLOOKUP(C111,SINDICATO!$C$36:$G$144,5,0)</f>
        <v>250</v>
      </c>
      <c r="I111" s="62">
        <f>VLOOKUP(C111,SINDICATO!$C$36:$H$132,6,0)</f>
        <v>0</v>
      </c>
      <c r="J111" s="58"/>
      <c r="K111" s="62">
        <f t="shared" si="15"/>
        <v>5250</v>
      </c>
      <c r="L111" s="62">
        <v>10000</v>
      </c>
      <c r="M111" s="62">
        <f t="shared" si="21"/>
        <v>5000</v>
      </c>
      <c r="N111" s="59"/>
      <c r="O111" s="60">
        <f>VLOOKUP(C111,IP!$B$9:$I$117,8,0)</f>
        <v>0</v>
      </c>
      <c r="P111" s="60">
        <f t="shared" si="20"/>
        <v>250</v>
      </c>
      <c r="Q111" s="60">
        <f>VLOOKUP(C111,IP!$B$9:$N$117,13,0)</f>
        <v>0</v>
      </c>
      <c r="R111" s="60">
        <f>VLOOKUP(C111,IP!$B$9:$O$117,14,0)</f>
        <v>0</v>
      </c>
      <c r="S111" s="60"/>
      <c r="T111" s="60">
        <f>VLOOKUP(C111,IP!$B$9:$P$117,15,0)</f>
        <v>0</v>
      </c>
      <c r="U111" s="60">
        <f>VLOOKUP(C111,IP!$B$9:$Q$117,16,0)</f>
        <v>0</v>
      </c>
      <c r="V111" s="60">
        <v>0</v>
      </c>
      <c r="W111" s="60">
        <f>VLOOKUP(C111,IP!B$9:R$117,17,0)</f>
        <v>0</v>
      </c>
      <c r="X111" s="58"/>
      <c r="Y111" s="62">
        <f t="shared" si="16"/>
        <v>5000</v>
      </c>
      <c r="Z111" s="60">
        <f t="shared" si="22"/>
        <v>0</v>
      </c>
      <c r="AA111" s="60"/>
    </row>
    <row r="112" spans="1:27" s="62" customFormat="1" x14ac:dyDescent="0.2">
      <c r="A112" s="68" t="s">
        <v>426</v>
      </c>
      <c r="B112" s="70" t="s">
        <v>58</v>
      </c>
      <c r="C112" s="68" t="s">
        <v>466</v>
      </c>
      <c r="D112" s="113"/>
      <c r="E112" s="115">
        <f>VLOOKUP(C112,IP!$B$9:$V$117,21,0)</f>
        <v>1917.4</v>
      </c>
      <c r="F112" s="124"/>
      <c r="G112" s="62">
        <f>VLOOKUP(C112,SINDICATO!$C$36:$F$144,4,0)</f>
        <v>1694.21</v>
      </c>
      <c r="H112" s="62">
        <f>VLOOKUP(C112,SINDICATO!$C$36:$G$144,5,0)</f>
        <v>401.85</v>
      </c>
      <c r="I112" s="62">
        <f>VLOOKUP(C112,SINDICATO!$C$36:$H$132,6,0)</f>
        <v>0</v>
      </c>
      <c r="J112" s="58"/>
      <c r="K112" s="62">
        <f t="shared" si="15"/>
        <v>4013.46</v>
      </c>
      <c r="L112" s="62">
        <v>9000</v>
      </c>
      <c r="M112" s="62">
        <f t="shared" si="21"/>
        <v>4500</v>
      </c>
      <c r="N112" s="59"/>
      <c r="O112" s="60">
        <f>VLOOKUP(C112,IP!$B$9:$I$117,8,0)</f>
        <v>0</v>
      </c>
      <c r="P112" s="60">
        <f t="shared" si="20"/>
        <v>401.85</v>
      </c>
      <c r="Q112" s="60">
        <f>VLOOKUP(C112,IP!$B$9:$N$117,13,0)</f>
        <v>888.39</v>
      </c>
      <c r="R112" s="60">
        <f>VLOOKUP(C112,IP!$B$9:$O$117,14,0)</f>
        <v>0</v>
      </c>
      <c r="S112" s="60"/>
      <c r="T112" s="60">
        <f>VLOOKUP(C112,IP!$B$9:$P$117,15,0)</f>
        <v>0</v>
      </c>
      <c r="U112" s="60">
        <f>VLOOKUP(C112,IP!$B$9:$Q$117,16,0)</f>
        <v>0</v>
      </c>
      <c r="V112" s="60">
        <v>0</v>
      </c>
      <c r="W112" s="60">
        <f>VLOOKUP(C112,IP!B$9:R$117,17,0)</f>
        <v>0</v>
      </c>
      <c r="X112" s="58"/>
      <c r="Y112" s="62">
        <f t="shared" si="16"/>
        <v>4500</v>
      </c>
      <c r="Z112" s="60">
        <f t="shared" si="22"/>
        <v>0</v>
      </c>
      <c r="AA112" s="60"/>
    </row>
    <row r="113" spans="1:28" s="62" customFormat="1" x14ac:dyDescent="0.2">
      <c r="A113" s="68" t="s">
        <v>467</v>
      </c>
      <c r="B113" s="70" t="s">
        <v>58</v>
      </c>
      <c r="C113" s="68" t="s">
        <v>468</v>
      </c>
      <c r="D113" s="113"/>
      <c r="E113" s="115">
        <f>VLOOKUP(C113,IP!$B$9:$V$117,21,0)</f>
        <v>1543.6</v>
      </c>
      <c r="F113" s="124"/>
      <c r="G113" s="62">
        <f>VLOOKUP(C113,SINDICATO!$C$36:$F$144,4,0)</f>
        <v>2194.1900000000005</v>
      </c>
      <c r="H113" s="62">
        <f>VLOOKUP(C113,SINDICATO!$C$36:$G$144,5,0)</f>
        <v>44.22</v>
      </c>
      <c r="I113" s="62">
        <f>VLOOKUP(C113,SINDICATO!$C$36:$H$132,6,0)</f>
        <v>0</v>
      </c>
      <c r="J113" s="58"/>
      <c r="K113" s="62">
        <f t="shared" si="15"/>
        <v>3782.01</v>
      </c>
      <c r="L113" s="62">
        <v>10000</v>
      </c>
      <c r="M113" s="62">
        <f t="shared" si="21"/>
        <v>5000</v>
      </c>
      <c r="N113" s="59"/>
      <c r="O113" s="60">
        <f>VLOOKUP(C113,IP!$B$9:$I$117,8,0)</f>
        <v>0</v>
      </c>
      <c r="P113" s="60">
        <f t="shared" si="20"/>
        <v>44.22</v>
      </c>
      <c r="Q113" s="60">
        <f>VLOOKUP(C113,IP!$B$9:$N$117,13,0)</f>
        <v>910.13</v>
      </c>
      <c r="R113" s="60">
        <f>VLOOKUP(C113,IP!$B$9:$O$117,14,0)</f>
        <v>0</v>
      </c>
      <c r="S113" s="60"/>
      <c r="T113" s="60">
        <f>VLOOKUP(C113,IP!$B$9:$P$117,15,0)</f>
        <v>0</v>
      </c>
      <c r="U113" s="60">
        <f>VLOOKUP(C113,IP!$B$9:$Q$117,16,0)</f>
        <v>0</v>
      </c>
      <c r="V113" s="60">
        <v>0</v>
      </c>
      <c r="W113" s="60">
        <f>VLOOKUP(C113,IP!B$9:R$117,17,0)</f>
        <v>352.08</v>
      </c>
      <c r="X113" s="58"/>
      <c r="Y113" s="62">
        <f t="shared" si="16"/>
        <v>5000</v>
      </c>
      <c r="Z113" s="60">
        <f t="shared" si="22"/>
        <v>0</v>
      </c>
      <c r="AA113" s="60"/>
    </row>
    <row r="114" spans="1:28" s="62" customFormat="1" x14ac:dyDescent="0.2">
      <c r="A114" s="68" t="s">
        <v>433</v>
      </c>
      <c r="B114" s="70" t="s">
        <v>58</v>
      </c>
      <c r="C114" s="68" t="s">
        <v>506</v>
      </c>
      <c r="D114" s="113"/>
      <c r="E114" s="115">
        <f>VLOOKUP(C114,IP!$B$9:$V$117,21,0)</f>
        <v>2446.6</v>
      </c>
      <c r="F114" s="124"/>
      <c r="G114" s="62">
        <f>VLOOKUP(C114,SINDICATO!$C$36:$F$144,4,0)</f>
        <v>2553.4</v>
      </c>
      <c r="H114" s="62">
        <f>VLOOKUP(C114,SINDICATO!$C$36:$G$144,5,0)</f>
        <v>300</v>
      </c>
      <c r="I114" s="62">
        <f>VLOOKUP(C114,SINDICATO!$C$36:$H$132,6,0)</f>
        <v>0</v>
      </c>
      <c r="J114" s="58"/>
      <c r="K114" s="62">
        <f t="shared" si="15"/>
        <v>5300</v>
      </c>
      <c r="L114" s="62">
        <v>10000</v>
      </c>
      <c r="M114" s="62">
        <f t="shared" si="21"/>
        <v>5000</v>
      </c>
      <c r="N114" s="59"/>
      <c r="O114" s="60">
        <f>VLOOKUP(C114,IP!$B$9:$I$117,8,0)</f>
        <v>0</v>
      </c>
      <c r="P114" s="60">
        <f t="shared" si="20"/>
        <v>300</v>
      </c>
      <c r="Q114" s="60">
        <f>VLOOKUP(C114,IP!$B$9:$N$117,13,0)</f>
        <v>0</v>
      </c>
      <c r="R114" s="60">
        <f>VLOOKUP(C114,IP!$B$9:$O$117,14,0)</f>
        <v>0</v>
      </c>
      <c r="S114" s="60"/>
      <c r="T114" s="60">
        <f>VLOOKUP(C114,IP!$B$9:$P$117,15,0)</f>
        <v>0</v>
      </c>
      <c r="U114" s="60">
        <f>VLOOKUP(C114,IP!$B$9:$Q$117,16,0)</f>
        <v>0</v>
      </c>
      <c r="V114" s="60">
        <v>0</v>
      </c>
      <c r="W114" s="60">
        <f>VLOOKUP(C114,IP!B$9:R$117,17,0)</f>
        <v>0</v>
      </c>
      <c r="X114" s="58"/>
      <c r="Y114" s="62">
        <f t="shared" si="16"/>
        <v>5000</v>
      </c>
      <c r="Z114" s="60">
        <f t="shared" ref="Z114:Z119" si="23">+M114-Y114</f>
        <v>0</v>
      </c>
      <c r="AA114" s="60"/>
    </row>
    <row r="115" spans="1:28" s="62" customFormat="1" ht="16.5" customHeight="1" x14ac:dyDescent="0.2">
      <c r="A115" s="68" t="s">
        <v>568</v>
      </c>
      <c r="B115" s="70" t="s">
        <v>58</v>
      </c>
      <c r="C115" s="68" t="s">
        <v>567</v>
      </c>
      <c r="D115" s="113"/>
      <c r="E115" s="115">
        <f>VLOOKUP(C115,IP!$B$9:$V$117,21,0)</f>
        <v>2865.8</v>
      </c>
      <c r="F115" s="124"/>
      <c r="G115" s="62">
        <f>VLOOKUP(C115,SINDICATO!$C$36:$F$144,4,0)</f>
        <v>284.2</v>
      </c>
      <c r="H115" s="62">
        <f>VLOOKUP(C115,SINDICATO!$C$36:$G$144,5,0)</f>
        <v>529.94000000000005</v>
      </c>
      <c r="I115" s="62">
        <f>VLOOKUP(C115,SINDICATO!$C$36:$H$132,6,0)</f>
        <v>0</v>
      </c>
      <c r="J115" s="58"/>
      <c r="K115" s="62">
        <f t="shared" si="15"/>
        <v>3679.94</v>
      </c>
      <c r="L115" s="60">
        <v>6300</v>
      </c>
      <c r="M115" s="62">
        <f t="shared" si="21"/>
        <v>3150</v>
      </c>
      <c r="N115" s="59"/>
      <c r="O115" s="60">
        <f>VLOOKUP(C115,IP!$B$9:$I$117,8,0)</f>
        <v>0</v>
      </c>
      <c r="P115" s="60">
        <f t="shared" si="20"/>
        <v>529.94000000000005</v>
      </c>
      <c r="Q115" s="60">
        <f>VLOOKUP(C115,IP!$B$9:$N$117,13,0)</f>
        <v>0</v>
      </c>
      <c r="R115" s="60">
        <f>VLOOKUP(C115,IP!$B$9:$O$117,14,0)</f>
        <v>0</v>
      </c>
      <c r="S115" s="60"/>
      <c r="T115" s="60">
        <f>VLOOKUP(C115,IP!$B$9:$P$117,15,0)</f>
        <v>0</v>
      </c>
      <c r="U115" s="60">
        <f>VLOOKUP(C115,IP!$B$9:$Q$117,16,0)</f>
        <v>0</v>
      </c>
      <c r="V115" s="60"/>
      <c r="W115" s="60">
        <f>VLOOKUP(C115,IP!B$9:R$117,17,0)</f>
        <v>0</v>
      </c>
      <c r="X115" s="58"/>
      <c r="Y115" s="62">
        <f t="shared" si="16"/>
        <v>3150</v>
      </c>
      <c r="Z115" s="60">
        <f t="shared" si="23"/>
        <v>0</v>
      </c>
      <c r="AA115" s="60"/>
    </row>
    <row r="116" spans="1:28" s="62" customFormat="1" x14ac:dyDescent="0.2">
      <c r="A116" s="68" t="s">
        <v>44</v>
      </c>
      <c r="B116" s="70" t="s">
        <v>58</v>
      </c>
      <c r="C116" s="68" t="s">
        <v>501</v>
      </c>
      <c r="D116" s="113"/>
      <c r="E116" s="115">
        <f>VLOOKUP(C116,IP!$B$9:$V$117,21,0)</f>
        <v>2033.4</v>
      </c>
      <c r="F116" s="124"/>
      <c r="G116" s="62">
        <f>VLOOKUP(C116,SINDICATO!$C$36:$F$144,4,0)</f>
        <v>3553.3000000000011</v>
      </c>
      <c r="H116" s="62">
        <f>VLOOKUP(C116,SINDICATO!$C$36:$G$144,5,0)</f>
        <v>3</v>
      </c>
      <c r="I116" s="62">
        <f>VLOOKUP(C116,SINDICATO!$C$36:$H$132,6,0)</f>
        <v>0</v>
      </c>
      <c r="J116" s="58"/>
      <c r="K116" s="62">
        <f t="shared" si="15"/>
        <v>5589.7000000000007</v>
      </c>
      <c r="L116" s="62">
        <v>12000</v>
      </c>
      <c r="M116" s="62">
        <f t="shared" si="21"/>
        <v>6000</v>
      </c>
      <c r="N116" s="59"/>
      <c r="O116" s="60">
        <f>VLOOKUP(C116,IP!$B$9:$I$117,8,0)</f>
        <v>0</v>
      </c>
      <c r="P116" s="60">
        <f>+H116+I116</f>
        <v>3</v>
      </c>
      <c r="Q116" s="60">
        <f>VLOOKUP(C116,IP!$B$9:$N$117,13,0)</f>
        <v>0</v>
      </c>
      <c r="R116" s="60">
        <f>VLOOKUP(C116,IP!$B$9:$O$117,14,0)</f>
        <v>127.82</v>
      </c>
      <c r="S116" s="60"/>
      <c r="T116" s="60">
        <f>VLOOKUP(C116,IP!$B$9:$P$117,15,0)</f>
        <v>0</v>
      </c>
      <c r="U116" s="60">
        <f>VLOOKUP(C116,IP!$B$9:$Q$117,16,0)</f>
        <v>0</v>
      </c>
      <c r="V116" s="60"/>
      <c r="W116" s="60">
        <f>VLOOKUP(C116,IP!B$9:R$117,17,0)</f>
        <v>285.48</v>
      </c>
      <c r="X116" s="58"/>
      <c r="Y116" s="62">
        <f t="shared" si="16"/>
        <v>6000</v>
      </c>
      <c r="Z116" s="60">
        <f t="shared" si="23"/>
        <v>0</v>
      </c>
      <c r="AA116" s="60"/>
    </row>
    <row r="117" spans="1:28" s="62" customFormat="1" x14ac:dyDescent="0.2">
      <c r="A117" s="68" t="s">
        <v>572</v>
      </c>
      <c r="B117" s="70" t="s">
        <v>58</v>
      </c>
      <c r="C117" s="68" t="s">
        <v>573</v>
      </c>
      <c r="D117" s="113"/>
      <c r="E117" s="115">
        <f>VLOOKUP(C117,IP!$B$9:$V$117,21,0)</f>
        <v>2447</v>
      </c>
      <c r="F117" s="124"/>
      <c r="G117" s="62">
        <f>VLOOKUP(C117,SINDICATO!$C$36:$F$144,4,0)</f>
        <v>53</v>
      </c>
      <c r="H117" s="62">
        <f>VLOOKUP(C117,SINDICATO!$C$36:$G$144,5,0)</f>
        <v>284.67</v>
      </c>
      <c r="I117" s="62">
        <f>VLOOKUP(C117,SINDICATO!$C$36:$H$132,6,0)</f>
        <v>0</v>
      </c>
      <c r="J117" s="58"/>
      <c r="K117" s="62">
        <f t="shared" si="15"/>
        <v>2784.67</v>
      </c>
      <c r="L117" s="62">
        <v>5000</v>
      </c>
      <c r="M117" s="62">
        <f t="shared" si="21"/>
        <v>2500</v>
      </c>
      <c r="N117" s="59"/>
      <c r="O117" s="60">
        <f>VLOOKUP(C117,IP!$B$9:$I$117,8,0)</f>
        <v>0</v>
      </c>
      <c r="P117" s="60">
        <f t="shared" si="20"/>
        <v>284.67</v>
      </c>
      <c r="Q117" s="60">
        <f>VLOOKUP(C117,IP!$B$9:$N$117,13,0)</f>
        <v>0</v>
      </c>
      <c r="R117" s="60">
        <f>VLOOKUP(C117,IP!$B$9:$O$117,14,0)</f>
        <v>0</v>
      </c>
      <c r="S117" s="60"/>
      <c r="T117" s="60">
        <f>VLOOKUP(C117,IP!$B$9:$P$117,15,0)</f>
        <v>0</v>
      </c>
      <c r="U117" s="60">
        <f>VLOOKUP(C117,IP!$B$9:$Q$117,16,0)</f>
        <v>0</v>
      </c>
      <c r="V117" s="60"/>
      <c r="W117" s="60">
        <f>VLOOKUP(C117,IP!B$9:R$117,17,0)</f>
        <v>0</v>
      </c>
      <c r="X117" s="58"/>
      <c r="Y117" s="62">
        <f t="shared" si="16"/>
        <v>2500</v>
      </c>
      <c r="Z117" s="60">
        <f t="shared" si="23"/>
        <v>0</v>
      </c>
      <c r="AA117" s="60"/>
    </row>
    <row r="118" spans="1:28" s="62" customFormat="1" x14ac:dyDescent="0.2">
      <c r="A118" s="68" t="s">
        <v>596</v>
      </c>
      <c r="B118" s="70" t="s">
        <v>58</v>
      </c>
      <c r="C118" s="68" t="s">
        <v>597</v>
      </c>
      <c r="D118" s="113"/>
      <c r="E118" s="115">
        <f>VLOOKUP(C118,IP!$B$9:$V$117,21,0)</f>
        <v>4406.3999999999996</v>
      </c>
      <c r="F118" s="124"/>
      <c r="G118" s="62">
        <f>VLOOKUP(C118,SINDICATO!$C$36:$F$144,4,0)</f>
        <v>5593.6000000000013</v>
      </c>
      <c r="H118" s="62">
        <f>VLOOKUP(C118,SINDICATO!$C$36:$G$144,5,0)</f>
        <v>0</v>
      </c>
      <c r="I118" s="62">
        <f>VLOOKUP(C118,SINDICATO!$C$36:$H$132,6,0)</f>
        <v>0</v>
      </c>
      <c r="J118" s="58"/>
      <c r="K118" s="62">
        <f t="shared" si="15"/>
        <v>10000</v>
      </c>
      <c r="L118" s="62">
        <v>20000</v>
      </c>
      <c r="M118" s="62">
        <f t="shared" si="21"/>
        <v>10000</v>
      </c>
      <c r="N118" s="59"/>
      <c r="O118" s="60">
        <f>VLOOKUP(C118,IP!$B$9:$I$117,8,0)</f>
        <v>0</v>
      </c>
      <c r="P118" s="60">
        <f t="shared" si="20"/>
        <v>0</v>
      </c>
      <c r="Q118" s="60">
        <f>VLOOKUP(C118,IP!$B$9:$N$117,13,0)</f>
        <v>0</v>
      </c>
      <c r="R118" s="60">
        <f>VLOOKUP(C118,IP!$B$9:$O$117,14,0)</f>
        <v>0</v>
      </c>
      <c r="S118" s="60"/>
      <c r="T118" s="60">
        <f>VLOOKUP(C118,IP!$B$9:$P$117,15,0)</f>
        <v>0</v>
      </c>
      <c r="U118" s="60">
        <f>VLOOKUP(C118,IP!$B$9:$Q$117,16,0)</f>
        <v>0</v>
      </c>
      <c r="V118" s="60"/>
      <c r="W118" s="60">
        <f>VLOOKUP(C118,IP!B$9:R$117,17,0)</f>
        <v>0</v>
      </c>
      <c r="X118" s="58"/>
      <c r="Y118" s="62">
        <f t="shared" si="16"/>
        <v>10000</v>
      </c>
      <c r="Z118" s="60">
        <f t="shared" si="23"/>
        <v>0</v>
      </c>
      <c r="AA118" s="60"/>
    </row>
    <row r="119" spans="1:28" s="62" customFormat="1" x14ac:dyDescent="0.2">
      <c r="A119" s="68" t="s">
        <v>598</v>
      </c>
      <c r="B119" s="70" t="s">
        <v>58</v>
      </c>
      <c r="C119" s="68" t="s">
        <v>599</v>
      </c>
      <c r="D119" s="113"/>
      <c r="E119" s="115">
        <f>VLOOKUP(C119,IP!$B$9:$V$117,21,0)</f>
        <v>2035.2</v>
      </c>
      <c r="F119" s="124"/>
      <c r="G119" s="62">
        <f>VLOOKUP(C119,SINDICATO!$C$36:$F$144,4,0)</f>
        <v>52.379999999999654</v>
      </c>
      <c r="H119" s="62">
        <f>VLOOKUP(C119,SINDICATO!$C$36:$G$144,5,0)</f>
        <v>746.67000000000007</v>
      </c>
      <c r="I119" s="62">
        <f>VLOOKUP(C119,SINDICATO!$C$36:$H$132,6,0)</f>
        <v>0</v>
      </c>
      <c r="J119" s="58"/>
      <c r="K119" s="62">
        <f t="shared" si="15"/>
        <v>2834.25</v>
      </c>
      <c r="L119" s="125">
        <v>5000</v>
      </c>
      <c r="M119" s="62">
        <f t="shared" si="21"/>
        <v>2500</v>
      </c>
      <c r="N119" s="59"/>
      <c r="O119" s="60">
        <f>VLOOKUP(C119,IP!$B$9:$I$117,8,0)</f>
        <v>0</v>
      </c>
      <c r="P119" s="60">
        <f t="shared" si="20"/>
        <v>746.67000000000007</v>
      </c>
      <c r="Q119" s="60">
        <f>VLOOKUP(C119,IP!$B$9:$N$117,13,0)</f>
        <v>412.42</v>
      </c>
      <c r="R119" s="60">
        <f>VLOOKUP(C119,IP!$B$9:$O$117,14,0)</f>
        <v>0</v>
      </c>
      <c r="S119" s="60"/>
      <c r="T119" s="60">
        <f>VLOOKUP(C119,IP!$B$9:$P$117,15,0)</f>
        <v>0</v>
      </c>
      <c r="U119" s="60">
        <f>VLOOKUP(C119,IP!$B$9:$Q$117,16,0)</f>
        <v>0</v>
      </c>
      <c r="V119" s="60"/>
      <c r="W119" s="60">
        <f>VLOOKUP(C119,IP!B$9:R$117,17,0)</f>
        <v>0</v>
      </c>
      <c r="X119" s="58"/>
      <c r="Y119" s="62">
        <f t="shared" si="16"/>
        <v>2500</v>
      </c>
      <c r="Z119" s="60">
        <f t="shared" si="23"/>
        <v>0</v>
      </c>
      <c r="AA119" s="60"/>
    </row>
    <row r="120" spans="1:28" s="62" customFormat="1" x14ac:dyDescent="0.2">
      <c r="A120" s="68" t="s">
        <v>600</v>
      </c>
      <c r="B120" s="70" t="s">
        <v>58</v>
      </c>
      <c r="C120" s="68" t="s">
        <v>601</v>
      </c>
      <c r="D120" s="113"/>
      <c r="E120" s="115">
        <f>VLOOKUP(C120,IP!$B$9:$V$117,21,0)</f>
        <v>2865.8</v>
      </c>
      <c r="F120" s="124"/>
      <c r="G120" s="62">
        <f>VLOOKUP(C120,SINDICATO!$C$36:$F$144,4,0)</f>
        <v>0</v>
      </c>
      <c r="H120" s="62">
        <f>VLOOKUP(C120,SINDICATO!$C$36:$G$144,5,0)</f>
        <v>0</v>
      </c>
      <c r="I120" s="62">
        <f>VLOOKUP(C120,SINDICATO!$C$36:$H$132,6,0)</f>
        <v>0</v>
      </c>
      <c r="J120" s="58"/>
      <c r="K120" s="62">
        <f t="shared" si="15"/>
        <v>2865.8</v>
      </c>
      <c r="M120" s="62">
        <f>+L120/2</f>
        <v>0</v>
      </c>
      <c r="N120" s="59"/>
      <c r="O120" s="60">
        <f>VLOOKUP(C120,IP!$B$9:$I$117,8,0)</f>
        <v>0</v>
      </c>
      <c r="P120" s="60">
        <f t="shared" si="20"/>
        <v>0</v>
      </c>
      <c r="Q120" s="60">
        <f>VLOOKUP(C120,IP!$B$9:$N$117,13,0)</f>
        <v>0</v>
      </c>
      <c r="R120" s="60">
        <f>VLOOKUP(C120,IP!$B$9:$O$117,14,0)</f>
        <v>0</v>
      </c>
      <c r="S120" s="60"/>
      <c r="T120" s="60">
        <f>VLOOKUP(C120,IP!$B$9:$P$117,15,0)</f>
        <v>0</v>
      </c>
      <c r="U120" s="60">
        <f>VLOOKUP(C120,IP!$B$9:$Q$117,16,0)</f>
        <v>0</v>
      </c>
      <c r="V120" s="60"/>
      <c r="W120" s="60">
        <f>VLOOKUP(C120,IP!B$9:R$117,17,0)</f>
        <v>0</v>
      </c>
      <c r="X120" s="58"/>
      <c r="Y120" s="62">
        <f t="shared" ref="Y120:Y142" si="24">+K120-O120-P120+Q120+R120+S120+T120+U120+V120+W120</f>
        <v>2865.8</v>
      </c>
      <c r="Z120" s="60">
        <v>0</v>
      </c>
      <c r="AA120" s="60"/>
    </row>
    <row r="121" spans="1:28" s="62" customFormat="1" x14ac:dyDescent="0.2">
      <c r="A121" s="68" t="s">
        <v>604</v>
      </c>
      <c r="B121" s="70" t="s">
        <v>58</v>
      </c>
      <c r="C121" s="68" t="s">
        <v>605</v>
      </c>
      <c r="D121" s="113"/>
      <c r="E121" s="115">
        <f>VLOOKUP(C121,IP!$B$9:$V$117,21,0)</f>
        <v>2283</v>
      </c>
      <c r="F121" s="124"/>
      <c r="G121" s="62">
        <f>VLOOKUP(C121,SINDICATO!$C$36:$F$144,4,0)</f>
        <v>135.27000000000001</v>
      </c>
      <c r="H121" s="62">
        <f>VLOOKUP(C121,SINDICATO!$C$36:$G$144,5,0)</f>
        <v>450</v>
      </c>
      <c r="I121" s="62">
        <f>VLOOKUP(C121,SINDICATO!$C$36:$H$132,6,0)</f>
        <v>0</v>
      </c>
      <c r="J121" s="58"/>
      <c r="K121" s="62">
        <f t="shared" si="15"/>
        <v>2868.27</v>
      </c>
      <c r="L121" s="62">
        <v>6000</v>
      </c>
      <c r="M121" s="62">
        <f>+L121/2</f>
        <v>3000</v>
      </c>
      <c r="N121" s="59"/>
      <c r="O121" s="60">
        <f>VLOOKUP(C121,IP!$B$9:$I$117,8,0)</f>
        <v>0</v>
      </c>
      <c r="P121" s="60">
        <f t="shared" si="20"/>
        <v>450</v>
      </c>
      <c r="Q121" s="60">
        <f>VLOOKUP(C121,IP!$B$9:$N$117,13,0)</f>
        <v>0</v>
      </c>
      <c r="R121" s="60">
        <f>VLOOKUP(C121,IP!$B$9:$O$117,14,0)</f>
        <v>0</v>
      </c>
      <c r="S121" s="60"/>
      <c r="T121" s="60">
        <f>VLOOKUP(C121,IP!$B$9:$P$117,15,0)</f>
        <v>0</v>
      </c>
      <c r="U121" s="60">
        <f>VLOOKUP(C121,IP!$B$9:$Q$117,16,0)</f>
        <v>581.73</v>
      </c>
      <c r="V121" s="60"/>
      <c r="W121" s="60">
        <f>VLOOKUP(C121,IP!B$9:R$117,17,0)</f>
        <v>0</v>
      </c>
      <c r="X121" s="58"/>
      <c r="Y121" s="62">
        <f t="shared" si="24"/>
        <v>3000</v>
      </c>
      <c r="Z121" s="60">
        <f t="shared" ref="Z121:Z126" si="25">+M121-Y121</f>
        <v>0</v>
      </c>
      <c r="AA121" s="60"/>
    </row>
    <row r="122" spans="1:28" s="62" customFormat="1" x14ac:dyDescent="0.2">
      <c r="A122" s="68" t="s">
        <v>100</v>
      </c>
      <c r="B122" s="70" t="s">
        <v>58</v>
      </c>
      <c r="C122" s="78" t="s">
        <v>606</v>
      </c>
      <c r="D122" s="113"/>
      <c r="E122" s="115">
        <f>VLOOKUP(C122,IP!$B$9:$V$117,21,0)</f>
        <v>2864.8</v>
      </c>
      <c r="F122" s="124"/>
      <c r="G122" s="62">
        <f>VLOOKUP(C122,SINDICATO!$C$36:$F$144,4,0)</f>
        <v>585.19999999999982</v>
      </c>
      <c r="H122" s="62">
        <f>VLOOKUP(C122,SINDICATO!$C$36:$G$144,5,0)</f>
        <v>0</v>
      </c>
      <c r="I122" s="62">
        <f>VLOOKUP(C122,SINDICATO!$C$36:$H$132,6,0)</f>
        <v>0</v>
      </c>
      <c r="J122" s="58"/>
      <c r="K122" s="62">
        <f t="shared" ref="K122:K142" si="26">+D122+E122+G122+H122+I122</f>
        <v>3450</v>
      </c>
      <c r="L122" s="62">
        <v>6900</v>
      </c>
      <c r="M122" s="62">
        <f t="shared" ref="M122:M135" si="27">+L122/2</f>
        <v>3450</v>
      </c>
      <c r="N122" s="59">
        <v>0</v>
      </c>
      <c r="O122" s="60">
        <v>0</v>
      </c>
      <c r="P122" s="60">
        <f t="shared" ref="P122:P131" si="28">+H122+I122</f>
        <v>0</v>
      </c>
      <c r="Q122" s="60">
        <f>VLOOKUP(C122,IP!$B$9:$N$117,13,0)</f>
        <v>0</v>
      </c>
      <c r="R122" s="60">
        <f>VLOOKUP(C122,IP!$B$9:$O$117,14,0)</f>
        <v>0</v>
      </c>
      <c r="S122" s="60"/>
      <c r="T122" s="60">
        <f>VLOOKUP(C122,IP!$B$9:$P$117,15,0)</f>
        <v>0</v>
      </c>
      <c r="U122" s="60">
        <f>VLOOKUP(C122,IP!$B$9:$Q$117,16,0)</f>
        <v>0</v>
      </c>
      <c r="V122" s="60"/>
      <c r="W122" s="60">
        <v>0</v>
      </c>
      <c r="X122" s="58"/>
      <c r="Y122" s="62">
        <f t="shared" si="24"/>
        <v>3450</v>
      </c>
      <c r="Z122" s="60">
        <f t="shared" si="25"/>
        <v>0</v>
      </c>
      <c r="AA122" s="60"/>
      <c r="AB122" s="141"/>
    </row>
    <row r="123" spans="1:28" s="62" customFormat="1" x14ac:dyDescent="0.2">
      <c r="A123" s="68" t="s">
        <v>608</v>
      </c>
      <c r="B123" s="70" t="s">
        <v>58</v>
      </c>
      <c r="C123" s="68" t="s">
        <v>609</v>
      </c>
      <c r="D123" s="113"/>
      <c r="E123" s="115">
        <f>VLOOKUP(C123,IP!$B$9:$V$117,21,0)</f>
        <v>2837.6</v>
      </c>
      <c r="F123" s="124"/>
      <c r="G123" s="62">
        <f>VLOOKUP(C123,SINDICATO!$C$36:$F$144,4,0)</f>
        <v>6520.75</v>
      </c>
      <c r="H123" s="62">
        <f>VLOOKUP(C123,SINDICATO!$C$36:$G$144,5,0)</f>
        <v>498.75</v>
      </c>
      <c r="I123" s="62">
        <f>VLOOKUP(C123,SINDICATO!$C$36:$H$132,6,0)</f>
        <v>0</v>
      </c>
      <c r="J123" s="58"/>
      <c r="K123" s="62">
        <f t="shared" si="26"/>
        <v>9857.1</v>
      </c>
      <c r="L123" s="100">
        <v>19950</v>
      </c>
      <c r="M123" s="62">
        <f t="shared" si="27"/>
        <v>9975</v>
      </c>
      <c r="N123" s="59"/>
      <c r="O123" s="60">
        <f>VLOOKUP(C123,IP!$B$9:$I$117,8,0)</f>
        <v>0</v>
      </c>
      <c r="P123" s="60">
        <f t="shared" si="28"/>
        <v>498.75</v>
      </c>
      <c r="Q123" s="60">
        <f>VLOOKUP(C123,IP!$B$9:$N$117,13,0)</f>
        <v>0</v>
      </c>
      <c r="R123" s="60">
        <f>VLOOKUP(C123,IP!$B$9:$O$117,14,0)</f>
        <v>0</v>
      </c>
      <c r="S123" s="60"/>
      <c r="T123" s="60">
        <f>VLOOKUP(C123,IP!$B$9:$P$117,15,0)</f>
        <v>0</v>
      </c>
      <c r="U123" s="60">
        <f>VLOOKUP(C123,IP!$B$9:$Q$117,16,0)</f>
        <v>0</v>
      </c>
      <c r="V123" s="60"/>
      <c r="W123" s="60">
        <f>VLOOKUP(C123,IP!B$9:R$117,17,0)</f>
        <v>616.65</v>
      </c>
      <c r="X123" s="58"/>
      <c r="Y123" s="62">
        <f t="shared" si="24"/>
        <v>9975</v>
      </c>
      <c r="Z123" s="60">
        <f t="shared" si="25"/>
        <v>0</v>
      </c>
      <c r="AA123" s="60"/>
      <c r="AB123" s="141"/>
    </row>
    <row r="124" spans="1:28" s="62" customFormat="1" x14ac:dyDescent="0.2">
      <c r="A124" s="63" t="s">
        <v>610</v>
      </c>
      <c r="B124" s="70" t="s">
        <v>58</v>
      </c>
      <c r="C124" s="63" t="s">
        <v>611</v>
      </c>
      <c r="D124" s="113"/>
      <c r="E124" s="115">
        <f>VLOOKUP(C124,IP!$B$9:$V$117,21,0)</f>
        <v>3278.6</v>
      </c>
      <c r="F124" s="124"/>
      <c r="G124" s="62">
        <f>VLOOKUP(C124,SINDICATO!$C$36:$F$144,4,0)</f>
        <v>2721.4</v>
      </c>
      <c r="H124" s="62">
        <f>VLOOKUP(C124,SINDICATO!$C$36:$G$144,5,0)</f>
        <v>2307.5</v>
      </c>
      <c r="I124" s="62">
        <f>VLOOKUP(C124,SINDICATO!$C$36:$H$132,6,0)</f>
        <v>0</v>
      </c>
      <c r="J124" s="58"/>
      <c r="K124" s="62">
        <f t="shared" si="26"/>
        <v>8307.5</v>
      </c>
      <c r="L124" s="100">
        <v>12000</v>
      </c>
      <c r="M124" s="62">
        <f t="shared" si="27"/>
        <v>6000</v>
      </c>
      <c r="N124" s="59"/>
      <c r="O124" s="60">
        <f>VLOOKUP(C124,IP!$B$9:$I$117,8,0)</f>
        <v>0</v>
      </c>
      <c r="P124" s="60">
        <f t="shared" si="28"/>
        <v>2307.5</v>
      </c>
      <c r="Q124" s="60">
        <f>VLOOKUP(C124,IP!$B$9:$N$117,13,0)</f>
        <v>0</v>
      </c>
      <c r="R124" s="60">
        <f>VLOOKUP(C124,IP!$B$9:$O$117,14,0)</f>
        <v>0</v>
      </c>
      <c r="S124" s="60"/>
      <c r="T124" s="60">
        <f>VLOOKUP(C124,IP!$B$9:$P$117,15,0)</f>
        <v>0</v>
      </c>
      <c r="U124" s="60">
        <f>VLOOKUP(C124,IP!$B$9:$Q$117,16,0)</f>
        <v>0</v>
      </c>
      <c r="V124" s="60"/>
      <c r="W124" s="60">
        <f>VLOOKUP(C124,IP!B$9:R$117,17,0)</f>
        <v>0</v>
      </c>
      <c r="X124" s="58"/>
      <c r="Y124" s="62">
        <f t="shared" si="24"/>
        <v>6000</v>
      </c>
      <c r="Z124" s="60">
        <f t="shared" si="25"/>
        <v>0</v>
      </c>
      <c r="AA124" s="142"/>
      <c r="AB124" s="141"/>
    </row>
    <row r="125" spans="1:28" s="62" customFormat="1" x14ac:dyDescent="0.2">
      <c r="A125" s="63" t="s">
        <v>612</v>
      </c>
      <c r="B125" s="70" t="s">
        <v>58</v>
      </c>
      <c r="C125" s="63" t="s">
        <v>613</v>
      </c>
      <c r="D125" s="113"/>
      <c r="E125" s="115">
        <f>VLOOKUP(C125,IP!$B$9:$V$117,21,0)</f>
        <v>2447.6</v>
      </c>
      <c r="F125" s="124"/>
      <c r="G125" s="62">
        <f>VLOOKUP(C125,SINDICATO!$C$36:$F$144,4,0)</f>
        <v>52.400000000000091</v>
      </c>
      <c r="H125" s="62">
        <f>VLOOKUP(C125,SINDICATO!$C$36:$G$144,5,0)</f>
        <v>940</v>
      </c>
      <c r="I125" s="62">
        <f>VLOOKUP(C125,SINDICATO!$C$36:$H$132,6,0)</f>
        <v>0</v>
      </c>
      <c r="J125" s="58"/>
      <c r="K125" s="62">
        <f t="shared" si="26"/>
        <v>3440</v>
      </c>
      <c r="L125" s="62">
        <v>5000</v>
      </c>
      <c r="M125" s="62">
        <f t="shared" si="27"/>
        <v>2500</v>
      </c>
      <c r="N125" s="59"/>
      <c r="O125" s="60">
        <f>VLOOKUP(C125,IP!$B$9:$I$117,8,0)</f>
        <v>0</v>
      </c>
      <c r="P125" s="60">
        <f t="shared" si="28"/>
        <v>940</v>
      </c>
      <c r="Q125" s="60">
        <f>VLOOKUP(C125,IP!$B$9:$N$117,13,0)</f>
        <v>0</v>
      </c>
      <c r="R125" s="60">
        <f>VLOOKUP(C125,IP!$B$9:$O$117,14,0)</f>
        <v>0</v>
      </c>
      <c r="S125" s="60"/>
      <c r="T125" s="60">
        <f>VLOOKUP(C125,IP!$B$9:$P$117,15,0)</f>
        <v>0</v>
      </c>
      <c r="U125" s="60">
        <f>VLOOKUP(C125,IP!$B$9:$Q$117,16,0)</f>
        <v>0</v>
      </c>
      <c r="V125" s="60"/>
      <c r="W125" s="60">
        <f>VLOOKUP(C125,IP!B$9:R$117,17,0)</f>
        <v>0</v>
      </c>
      <c r="X125" s="58"/>
      <c r="Y125" s="62">
        <f t="shared" si="24"/>
        <v>2500</v>
      </c>
      <c r="Z125" s="60">
        <f t="shared" si="25"/>
        <v>0</v>
      </c>
      <c r="AA125" s="60"/>
      <c r="AB125" s="141"/>
    </row>
    <row r="126" spans="1:28" s="62" customFormat="1" x14ac:dyDescent="0.2">
      <c r="A126" s="63" t="s">
        <v>618</v>
      </c>
      <c r="B126" s="70" t="s">
        <v>58</v>
      </c>
      <c r="C126" s="63" t="s">
        <v>619</v>
      </c>
      <c r="D126" s="113"/>
      <c r="E126" s="115">
        <f>VLOOKUP(C126,IP!$B$9:$V$117,21,0)</f>
        <v>3278.8</v>
      </c>
      <c r="F126" s="124"/>
      <c r="G126" s="62">
        <f>VLOOKUP(C126,SINDICATO!$C$36:$F$144,4,0)</f>
        <v>221.19999999999982</v>
      </c>
      <c r="H126" s="62">
        <f>VLOOKUP(C126,SINDICATO!$C$36:$G$144,5,0)</f>
        <v>0</v>
      </c>
      <c r="I126" s="62">
        <f>VLOOKUP(C126,SINDICATO!$C$36:$H$132,6,0)</f>
        <v>0</v>
      </c>
      <c r="J126" s="58"/>
      <c r="K126" s="62">
        <f t="shared" si="26"/>
        <v>3500</v>
      </c>
      <c r="L126" s="62">
        <v>7000</v>
      </c>
      <c r="M126" s="62">
        <f t="shared" si="27"/>
        <v>3500</v>
      </c>
      <c r="N126" s="59"/>
      <c r="O126" s="60">
        <f>VLOOKUP(C126,IP!$B$9:$I$117,8,0)</f>
        <v>0</v>
      </c>
      <c r="P126" s="60">
        <f t="shared" si="28"/>
        <v>0</v>
      </c>
      <c r="Q126" s="60">
        <f>VLOOKUP(C126,IP!$B$9:$N$117,13,0)</f>
        <v>0</v>
      </c>
      <c r="R126" s="60">
        <f>VLOOKUP(C126,IP!$B$9:$O$117,14,0)</f>
        <v>0</v>
      </c>
      <c r="S126" s="60"/>
      <c r="T126" s="60">
        <f>VLOOKUP(C126,IP!$B$9:$P$117,15,0)</f>
        <v>0</v>
      </c>
      <c r="U126" s="60">
        <f>VLOOKUP(C126,IP!$B$9:$Q$117,16,0)</f>
        <v>0</v>
      </c>
      <c r="V126" s="60"/>
      <c r="W126" s="60">
        <f>VLOOKUP(C126,IP!B$9:R$117,17,0)</f>
        <v>0</v>
      </c>
      <c r="X126" s="58"/>
      <c r="Y126" s="62">
        <f t="shared" si="24"/>
        <v>3500</v>
      </c>
      <c r="Z126" s="60">
        <f t="shared" si="25"/>
        <v>0</v>
      </c>
      <c r="AA126" s="60"/>
    </row>
    <row r="127" spans="1:28" s="62" customFormat="1" x14ac:dyDescent="0.2">
      <c r="A127" s="63" t="s">
        <v>620</v>
      </c>
      <c r="B127" s="70" t="s">
        <v>58</v>
      </c>
      <c r="C127" s="63" t="s">
        <v>621</v>
      </c>
      <c r="D127" s="113"/>
      <c r="E127" s="115">
        <f>VLOOKUP(C127,IP!$B$9:$V$117,21,0)</f>
        <v>3234</v>
      </c>
      <c r="F127" s="124"/>
      <c r="G127" s="62">
        <f>VLOOKUP(C127,SINDICATO!$C$36:$F$144,4,0)</f>
        <v>216</v>
      </c>
      <c r="H127" s="62">
        <f>VLOOKUP(C127,SINDICATO!$C$36:$G$144,5,0)</f>
        <v>0</v>
      </c>
      <c r="I127" s="62">
        <f>VLOOKUP(C127,SINDICATO!$C$36:$H$132,6,0)</f>
        <v>0</v>
      </c>
      <c r="J127" s="58"/>
      <c r="K127" s="62">
        <f t="shared" si="26"/>
        <v>3450</v>
      </c>
      <c r="L127" s="62">
        <v>6900</v>
      </c>
      <c r="M127" s="62">
        <f t="shared" si="27"/>
        <v>3450</v>
      </c>
      <c r="N127" s="59"/>
      <c r="O127" s="60">
        <f>VLOOKUP(C127,IP!$B$9:$I$117,8,0)</f>
        <v>0</v>
      </c>
      <c r="P127" s="60">
        <f t="shared" si="28"/>
        <v>0</v>
      </c>
      <c r="Q127" s="60">
        <f>VLOOKUP(C127,IP!$B$9:$N$117,13,0)</f>
        <v>0</v>
      </c>
      <c r="R127" s="60">
        <f>VLOOKUP(C127,IP!$B$9:$O$117,14,0)</f>
        <v>0</v>
      </c>
      <c r="S127" s="60"/>
      <c r="T127" s="60">
        <f>VLOOKUP(C127,IP!$B$9:$P$117,15,0)</f>
        <v>0</v>
      </c>
      <c r="U127" s="60">
        <f>VLOOKUP(C127,IP!$B$9:$Q$117,16,0)</f>
        <v>0</v>
      </c>
      <c r="V127" s="60"/>
      <c r="W127" s="60">
        <f>VLOOKUP(C127,IP!B$9:R$117,17,0)</f>
        <v>0</v>
      </c>
      <c r="X127" s="58"/>
      <c r="Y127" s="62">
        <f t="shared" si="24"/>
        <v>3450</v>
      </c>
      <c r="Z127" s="60">
        <f t="shared" ref="Z127:Z133" si="29">+M127-Y127</f>
        <v>0</v>
      </c>
      <c r="AA127" s="60"/>
    </row>
    <row r="128" spans="1:28" s="62" customFormat="1" x14ac:dyDescent="0.2">
      <c r="A128" s="63" t="s">
        <v>622</v>
      </c>
      <c r="B128" s="70" t="s">
        <v>58</v>
      </c>
      <c r="C128" s="63" t="s">
        <v>623</v>
      </c>
      <c r="D128" s="113"/>
      <c r="E128" s="115">
        <f>VLOOKUP(C128,IP!$B$9:$V$117,21,0)</f>
        <v>1678.4</v>
      </c>
      <c r="F128" s="124"/>
      <c r="G128" s="62">
        <f>VLOOKUP(C128,SINDICATO!$C$36:$F$144,4,0)</f>
        <v>222.57999999999993</v>
      </c>
      <c r="H128" s="62">
        <f>VLOOKUP(C128,SINDICATO!$C$36:$G$144,5,0)</f>
        <v>1280</v>
      </c>
      <c r="I128" s="62">
        <f>VLOOKUP(C128,SINDICATO!$C$36:$H$132,6,0)</f>
        <v>0</v>
      </c>
      <c r="J128" s="58"/>
      <c r="K128" s="62">
        <f t="shared" si="26"/>
        <v>3180.98</v>
      </c>
      <c r="L128" s="62">
        <v>7000</v>
      </c>
      <c r="M128" s="62">
        <f t="shared" si="27"/>
        <v>3500</v>
      </c>
      <c r="N128" s="59"/>
      <c r="O128" s="60">
        <f>VLOOKUP(C128,IP!$B$9:$I$117,8,0)</f>
        <v>0</v>
      </c>
      <c r="P128" s="60">
        <f t="shared" si="28"/>
        <v>1280</v>
      </c>
      <c r="Q128" s="60">
        <f>VLOOKUP(C128,IP!$B$9:$N$117,13,0)</f>
        <v>1599.02</v>
      </c>
      <c r="R128" s="60">
        <f>VLOOKUP(C128,IP!$B$9:$O$117,14,0)</f>
        <v>0</v>
      </c>
      <c r="S128" s="60"/>
      <c r="T128" s="60">
        <f>VLOOKUP(C128,IP!$B$9:$P$117,15,0)</f>
        <v>0</v>
      </c>
      <c r="U128" s="60">
        <f>VLOOKUP(C128,IP!$B$9:$Q$117,16,0)</f>
        <v>0</v>
      </c>
      <c r="V128" s="60"/>
      <c r="W128" s="60">
        <f>VLOOKUP(C128,IP!B$9:R$117,17,0)</f>
        <v>0</v>
      </c>
      <c r="X128" s="58"/>
      <c r="Y128" s="62">
        <f t="shared" si="24"/>
        <v>3500</v>
      </c>
      <c r="Z128" s="60">
        <f t="shared" si="29"/>
        <v>0</v>
      </c>
      <c r="AA128" s="60"/>
    </row>
    <row r="129" spans="1:37" s="62" customFormat="1" x14ac:dyDescent="0.2">
      <c r="A129" s="63" t="s">
        <v>624</v>
      </c>
      <c r="B129" s="70" t="s">
        <v>58</v>
      </c>
      <c r="C129" s="63" t="s">
        <v>625</v>
      </c>
      <c r="D129" s="113"/>
      <c r="E129" s="115">
        <f>VLOOKUP(C129,IP!$B$9:$V$117,21,0)</f>
        <v>2974.4</v>
      </c>
      <c r="F129" s="124"/>
      <c r="G129" s="62">
        <f>VLOOKUP(C129,SINDICATO!$C$36:$F$144,4,0)</f>
        <v>175.59999999999991</v>
      </c>
      <c r="H129" s="62">
        <f>VLOOKUP(C129,SINDICATO!$C$36:$G$144,5,0)</f>
        <v>618.75</v>
      </c>
      <c r="I129" s="62">
        <f>VLOOKUP(C129,SINDICATO!$C$36:$H$132,6,0)</f>
        <v>0</v>
      </c>
      <c r="J129" s="58"/>
      <c r="K129" s="62">
        <f t="shared" si="26"/>
        <v>3768.75</v>
      </c>
      <c r="L129" s="62">
        <v>6300</v>
      </c>
      <c r="M129" s="62">
        <f t="shared" si="27"/>
        <v>3150</v>
      </c>
      <c r="N129" s="59"/>
      <c r="O129" s="60">
        <f>VLOOKUP(C129,IP!$B$9:$I$117,8,0)</f>
        <v>0</v>
      </c>
      <c r="P129" s="60">
        <f t="shared" si="28"/>
        <v>618.75</v>
      </c>
      <c r="Q129" s="60">
        <f>VLOOKUP(C129,IP!$B$9:$N$117,13,0)</f>
        <v>0</v>
      </c>
      <c r="R129" s="60">
        <f>VLOOKUP(C129,IP!$B$9:$O$117,14,0)</f>
        <v>0</v>
      </c>
      <c r="S129" s="60"/>
      <c r="T129" s="60">
        <f>VLOOKUP(C129,IP!$B$9:$P$117,15,0)</f>
        <v>0</v>
      </c>
      <c r="U129" s="60">
        <f>VLOOKUP(C129,IP!$B$9:$Q$117,16,0)</f>
        <v>0</v>
      </c>
      <c r="V129" s="60"/>
      <c r="W129" s="60">
        <f>VLOOKUP(C129,IP!B$9:R$117,17,0)</f>
        <v>0</v>
      </c>
      <c r="X129" s="58"/>
      <c r="Y129" s="62">
        <f t="shared" si="24"/>
        <v>3150</v>
      </c>
      <c r="Z129" s="60">
        <f t="shared" si="29"/>
        <v>0</v>
      </c>
      <c r="AA129" s="60"/>
    </row>
    <row r="130" spans="1:37" s="62" customFormat="1" x14ac:dyDescent="0.2">
      <c r="A130" s="63" t="s">
        <v>626</v>
      </c>
      <c r="B130" s="70" t="s">
        <v>58</v>
      </c>
      <c r="C130" s="63" t="s">
        <v>627</v>
      </c>
      <c r="D130" s="113"/>
      <c r="E130" s="115">
        <f>VLOOKUP(C130,IP!$B$9:$V$117,21,0)</f>
        <v>2660.6</v>
      </c>
      <c r="F130" s="124"/>
      <c r="G130" s="62">
        <f>VLOOKUP(C130,SINDICATO!$C$36:$F$144,4,0)</f>
        <v>175.57000000000016</v>
      </c>
      <c r="H130" s="62">
        <f>VLOOKUP(C130,SINDICATO!$C$36:$G$144,5,0)</f>
        <v>0</v>
      </c>
      <c r="I130" s="62">
        <f>VLOOKUP(C130,SINDICATO!$C$36:$H$132,6,0)</f>
        <v>0</v>
      </c>
      <c r="J130" s="58"/>
      <c r="K130" s="62">
        <f t="shared" si="26"/>
        <v>2836.17</v>
      </c>
      <c r="L130" s="62">
        <v>6300</v>
      </c>
      <c r="M130" s="62">
        <f t="shared" si="27"/>
        <v>3150</v>
      </c>
      <c r="N130" s="59"/>
      <c r="O130" s="60">
        <f>VLOOKUP(C130,IP!$B$9:$I$117,8,0)</f>
        <v>0</v>
      </c>
      <c r="P130" s="60">
        <f t="shared" si="28"/>
        <v>0</v>
      </c>
      <c r="Q130" s="60">
        <f>VLOOKUP(C130,IP!$B$9:$N$117,13,0)</f>
        <v>0</v>
      </c>
      <c r="R130" s="60">
        <f>VLOOKUP(C130,IP!$B$9:$O$117,14,0)</f>
        <v>313.83</v>
      </c>
      <c r="S130" s="60"/>
      <c r="T130" s="60">
        <f>VLOOKUP(C130,IP!$B$9:$P$117,15,0)</f>
        <v>0</v>
      </c>
      <c r="U130" s="60">
        <f>VLOOKUP(C130,IP!$B$9:$Q$117,16,0)</f>
        <v>0</v>
      </c>
      <c r="V130" s="60"/>
      <c r="W130" s="60">
        <f>VLOOKUP(C130,IP!B$9:R$117,17,0)</f>
        <v>0</v>
      </c>
      <c r="X130" s="58"/>
      <c r="Y130" s="62">
        <f t="shared" si="24"/>
        <v>3150</v>
      </c>
      <c r="Z130" s="60">
        <f t="shared" si="29"/>
        <v>0</v>
      </c>
      <c r="AA130" s="60"/>
    </row>
    <row r="131" spans="1:37" s="62" customFormat="1" x14ac:dyDescent="0.2">
      <c r="A131" s="63" t="s">
        <v>628</v>
      </c>
      <c r="B131" s="70" t="s">
        <v>58</v>
      </c>
      <c r="C131" s="63" t="s">
        <v>629</v>
      </c>
      <c r="D131" s="113"/>
      <c r="E131" s="115">
        <f>VLOOKUP(C131,IP!$B$9:$V$117,21,0)</f>
        <v>339.4</v>
      </c>
      <c r="F131" s="124"/>
      <c r="G131" s="62">
        <f>VLOOKUP(C131,SINDICATO!$C$36:$F$144,4,0)</f>
        <v>175.61000000000013</v>
      </c>
      <c r="H131" s="62">
        <f>VLOOKUP(C131,SINDICATO!$C$36:$G$144,5,0)</f>
        <v>468.75</v>
      </c>
      <c r="I131" s="62">
        <f>VLOOKUP(C131,SINDICATO!$C$36:$H$132,6,0)</f>
        <v>0</v>
      </c>
      <c r="J131" s="58"/>
      <c r="K131" s="62">
        <f t="shared" si="26"/>
        <v>983.7600000000001</v>
      </c>
      <c r="L131" s="62">
        <v>6300</v>
      </c>
      <c r="M131" s="62">
        <f t="shared" si="27"/>
        <v>3150</v>
      </c>
      <c r="N131" s="59"/>
      <c r="O131" s="60">
        <f>VLOOKUP(C131,IP!$B$9:$I$117,8,0)</f>
        <v>0</v>
      </c>
      <c r="P131" s="60">
        <f t="shared" si="28"/>
        <v>468.75</v>
      </c>
      <c r="Q131" s="60">
        <f>VLOOKUP(C131,IP!$B$9:$N$117,13,0)</f>
        <v>852.79</v>
      </c>
      <c r="R131" s="60">
        <f>VLOOKUP(C131,IP!$B$9:$O$117,14,0)</f>
        <v>0</v>
      </c>
      <c r="S131" s="60"/>
      <c r="T131" s="60">
        <f>VLOOKUP(C131,IP!$B$9:$P$117,15,0)</f>
        <v>0</v>
      </c>
      <c r="U131" s="60">
        <f>VLOOKUP(C131,IP!$B$9:$Q$117,16,0)</f>
        <v>1782.2</v>
      </c>
      <c r="V131" s="60"/>
      <c r="W131" s="60">
        <f>VLOOKUP(C131,IP!B$9:R$117,17,0)</f>
        <v>0</v>
      </c>
      <c r="X131" s="58"/>
      <c r="Y131" s="62">
        <f t="shared" si="24"/>
        <v>3150</v>
      </c>
      <c r="Z131" s="60">
        <f t="shared" si="29"/>
        <v>0</v>
      </c>
      <c r="AA131" s="60"/>
    </row>
    <row r="132" spans="1:37" s="62" customFormat="1" x14ac:dyDescent="0.2">
      <c r="A132" s="68" t="s">
        <v>630</v>
      </c>
      <c r="B132" s="70" t="s">
        <v>58</v>
      </c>
      <c r="C132" s="68" t="s">
        <v>631</v>
      </c>
      <c r="D132" s="113"/>
      <c r="E132" s="115">
        <f>VLOOKUP(C132,IP!$B$9:$V$117,21,0)</f>
        <v>2974.4</v>
      </c>
      <c r="F132" s="124"/>
      <c r="G132" s="62">
        <f>VLOOKUP(C132,SINDICATO!$C$36:$F$144,4,0)</f>
        <v>175.59999999999991</v>
      </c>
      <c r="H132" s="62">
        <f>VLOOKUP(C132,SINDICATO!$C$36:$G$144,5,0)</f>
        <v>281.25</v>
      </c>
      <c r="I132" s="62">
        <f>VLOOKUP(C132,SINDICATO!$C$133:$H$134,6,0)</f>
        <v>0</v>
      </c>
      <c r="J132" s="58"/>
      <c r="K132" s="62">
        <f t="shared" si="26"/>
        <v>3431.25</v>
      </c>
      <c r="L132" s="62">
        <v>6300</v>
      </c>
      <c r="M132" s="62">
        <f t="shared" si="27"/>
        <v>3150</v>
      </c>
      <c r="N132" s="59"/>
      <c r="O132" s="60">
        <f>VLOOKUP(C132,IP!$B$9:$I$117,8,0)</f>
        <v>0</v>
      </c>
      <c r="P132" s="60">
        <f t="shared" ref="P132:P141" si="30">+H132+I132</f>
        <v>281.25</v>
      </c>
      <c r="Q132" s="60">
        <f>VLOOKUP(C132,IP!$B$9:$N$117,13,0)</f>
        <v>0</v>
      </c>
      <c r="R132" s="60">
        <f>VLOOKUP(C132,IP!$B$9:$O$117,14,0)</f>
        <v>0</v>
      </c>
      <c r="S132" s="60"/>
      <c r="T132" s="60">
        <f>VLOOKUP(C132,IP!$B$9:$P$117,15,0)</f>
        <v>0</v>
      </c>
      <c r="U132" s="60">
        <f>VLOOKUP(C132,IP!$B$9:$Q$117,16,0)</f>
        <v>0</v>
      </c>
      <c r="V132" s="60"/>
      <c r="W132" s="60">
        <f>VLOOKUP(C132,IP!B$9:R$117,17,0)</f>
        <v>0</v>
      </c>
      <c r="X132" s="58"/>
      <c r="Y132" s="62">
        <f t="shared" si="24"/>
        <v>3150</v>
      </c>
      <c r="Z132" s="60">
        <f t="shared" si="29"/>
        <v>0</v>
      </c>
      <c r="AA132" s="128"/>
    </row>
    <row r="133" spans="1:37" s="62" customFormat="1" x14ac:dyDescent="0.2">
      <c r="A133" s="68" t="s">
        <v>632</v>
      </c>
      <c r="B133" s="70" t="s">
        <v>58</v>
      </c>
      <c r="C133" s="68" t="s">
        <v>633</v>
      </c>
      <c r="D133" s="113"/>
      <c r="E133" s="115">
        <f>VLOOKUP(C133,IP!$B$9:$V$117,21,0)</f>
        <v>1900.2</v>
      </c>
      <c r="F133" s="124"/>
      <c r="G133" s="62">
        <f>VLOOKUP(C133,SINDICATO!$C$36:$F$144,4,0)</f>
        <v>175.52000000000044</v>
      </c>
      <c r="H133" s="62">
        <f>VLOOKUP(C133,SINDICATO!$C$36:$G$144,5,0)</f>
        <v>0</v>
      </c>
      <c r="I133" s="62">
        <f>VLOOKUP(C133,SINDICATO!$C$133:$H$134,6,0)</f>
        <v>0</v>
      </c>
      <c r="J133" s="58"/>
      <c r="K133" s="62">
        <f t="shared" si="26"/>
        <v>2075.7200000000003</v>
      </c>
      <c r="L133" s="62">
        <v>6300</v>
      </c>
      <c r="M133" s="62">
        <f t="shared" si="27"/>
        <v>3150</v>
      </c>
      <c r="N133" s="59"/>
      <c r="O133" s="60">
        <f>VLOOKUP(C133,IP!$B$9:$I$117,8,0)</f>
        <v>0</v>
      </c>
      <c r="P133" s="60">
        <f t="shared" si="30"/>
        <v>0</v>
      </c>
      <c r="Q133" s="60">
        <f>VLOOKUP(C133,IP!$B$9:$N$117,13,0)</f>
        <v>0</v>
      </c>
      <c r="R133" s="60">
        <f>VLOOKUP(C133,IP!$B$9:$O$117,14,0)</f>
        <v>1074.28</v>
      </c>
      <c r="S133" s="60"/>
      <c r="T133" s="60">
        <f>VLOOKUP(C133,IP!$B$9:$P$117,15,0)</f>
        <v>0</v>
      </c>
      <c r="U133" s="60">
        <f>VLOOKUP(C133,IP!$B$9:$Q$117,16,0)</f>
        <v>0</v>
      </c>
      <c r="V133" s="60"/>
      <c r="W133" s="60">
        <f>VLOOKUP(C133,IP!B$9:R$117,17,0)</f>
        <v>0</v>
      </c>
      <c r="X133" s="58"/>
      <c r="Y133" s="62">
        <f t="shared" si="24"/>
        <v>3150</v>
      </c>
      <c r="Z133" s="60">
        <f t="shared" si="29"/>
        <v>0</v>
      </c>
      <c r="AA133" s="128"/>
    </row>
    <row r="134" spans="1:37" s="62" customFormat="1" x14ac:dyDescent="0.2">
      <c r="A134" s="68" t="s">
        <v>636</v>
      </c>
      <c r="B134" s="70" t="s">
        <v>58</v>
      </c>
      <c r="C134" s="68" t="s">
        <v>637</v>
      </c>
      <c r="D134" s="113"/>
      <c r="E134" s="115">
        <f>VLOOKUP(C134,IP!$B$9:$V$117,21,0)</f>
        <v>1147.4000000000001</v>
      </c>
      <c r="F134" s="124"/>
      <c r="G134" s="62">
        <f>VLOOKUP(C134,SINDICATO!$C$36:$F$144,4,0)</f>
        <v>134.15999999999985</v>
      </c>
      <c r="H134" s="62">
        <f>VLOOKUP(C134,SINDICATO!$C$36:$G$144,5,0)</f>
        <v>0</v>
      </c>
      <c r="I134" s="62">
        <v>0</v>
      </c>
      <c r="J134" s="58"/>
      <c r="K134" s="62">
        <f t="shared" si="26"/>
        <v>1281.56</v>
      </c>
      <c r="L134" s="62">
        <v>6000</v>
      </c>
      <c r="M134" s="62">
        <f t="shared" si="27"/>
        <v>3000</v>
      </c>
      <c r="N134" s="59"/>
      <c r="O134" s="60">
        <f>VLOOKUP(C134,IP!$B$9:$I$117,8,0)</f>
        <v>0</v>
      </c>
      <c r="P134" s="60">
        <f t="shared" si="30"/>
        <v>0</v>
      </c>
      <c r="Q134" s="60">
        <f>VLOOKUP(C134,IP!$B$9:$N$117,13,0)</f>
        <v>0</v>
      </c>
      <c r="R134" s="60">
        <f>VLOOKUP(C134,IP!$B$9:$O$117,14,0)</f>
        <v>1718.44</v>
      </c>
      <c r="S134" s="60"/>
      <c r="T134" s="60">
        <f>VLOOKUP(C134,IP!$B$9:$P$117,15,0)</f>
        <v>0</v>
      </c>
      <c r="U134" s="60">
        <f>VLOOKUP(C134,IP!$B$9:$Q$117,16,0)</f>
        <v>0</v>
      </c>
      <c r="V134" s="60"/>
      <c r="W134" s="60">
        <f>VLOOKUP(C134,IP!B$9:R$117,17,0)</f>
        <v>0</v>
      </c>
      <c r="X134" s="58"/>
      <c r="Y134" s="62">
        <f t="shared" si="24"/>
        <v>3000</v>
      </c>
      <c r="Z134" s="60">
        <f t="shared" ref="Z134:Z143" si="31">+M134-Y134</f>
        <v>0</v>
      </c>
      <c r="AA134" s="128"/>
    </row>
    <row r="135" spans="1:37" s="62" customFormat="1" x14ac:dyDescent="0.2">
      <c r="A135" s="68" t="s">
        <v>638</v>
      </c>
      <c r="B135" s="70" t="s">
        <v>58</v>
      </c>
      <c r="C135" s="68" t="s">
        <v>639</v>
      </c>
      <c r="D135" s="113"/>
      <c r="E135" s="115">
        <f>VLOOKUP(C135,IP!$B$9:$V$117,21,0)</f>
        <v>2865.8</v>
      </c>
      <c r="F135" s="124"/>
      <c r="G135" s="62">
        <f>VLOOKUP(C135,SINDICATO!$C$36:$F$144,4,0)</f>
        <v>134.19999999999999</v>
      </c>
      <c r="H135" s="62">
        <f>VLOOKUP(C135,SINDICATO!$C$36:$G$144,5,0)</f>
        <v>0</v>
      </c>
      <c r="I135" s="62">
        <v>0</v>
      </c>
      <c r="J135" s="58"/>
      <c r="K135" s="62">
        <f t="shared" si="26"/>
        <v>3000</v>
      </c>
      <c r="L135" s="62">
        <v>6000</v>
      </c>
      <c r="M135" s="62">
        <f t="shared" si="27"/>
        <v>3000</v>
      </c>
      <c r="N135" s="59"/>
      <c r="O135" s="60">
        <f>VLOOKUP(C135,IP!$B$9:$I$117,8,0)</f>
        <v>0</v>
      </c>
      <c r="P135" s="60">
        <f t="shared" si="30"/>
        <v>0</v>
      </c>
      <c r="Q135" s="60">
        <f>VLOOKUP(C135,IP!$B$9:$N$117,13,0)</f>
        <v>0</v>
      </c>
      <c r="R135" s="60">
        <f>VLOOKUP(C135,IP!$B$9:$O$117,14,0)</f>
        <v>0</v>
      </c>
      <c r="S135" s="60"/>
      <c r="T135" s="60">
        <f>VLOOKUP(C135,IP!$B$9:$P$117,15,0)</f>
        <v>0</v>
      </c>
      <c r="U135" s="60">
        <f>VLOOKUP(C135,IP!$B$9:$Q$117,16,0)</f>
        <v>0</v>
      </c>
      <c r="V135" s="60"/>
      <c r="W135" s="60">
        <f>VLOOKUP(C135,IP!B$9:R$117,17,0)</f>
        <v>0</v>
      </c>
      <c r="X135" s="58"/>
      <c r="Y135" s="62">
        <f t="shared" si="24"/>
        <v>3000</v>
      </c>
      <c r="Z135" s="60">
        <f t="shared" si="31"/>
        <v>0</v>
      </c>
      <c r="AA135" s="128"/>
    </row>
    <row r="136" spans="1:37" s="62" customFormat="1" x14ac:dyDescent="0.2">
      <c r="A136" s="68" t="s">
        <v>640</v>
      </c>
      <c r="B136" s="70" t="s">
        <v>58</v>
      </c>
      <c r="C136" s="68" t="s">
        <v>641</v>
      </c>
      <c r="D136" s="113"/>
      <c r="E136" s="115">
        <f>VLOOKUP(C136,IP!$B$9:$V$117,21,0)</f>
        <v>2865.8</v>
      </c>
      <c r="F136" s="124"/>
      <c r="G136" s="62">
        <f>VLOOKUP(C136,SINDICATO!$C$36:$F$144,4,0)</f>
        <v>134.19999999999982</v>
      </c>
      <c r="H136" s="62">
        <f>VLOOKUP(C136,SINDICATO!$C$36:$G$144,5,0)</f>
        <v>1000</v>
      </c>
      <c r="I136" s="62">
        <v>0</v>
      </c>
      <c r="J136" s="58"/>
      <c r="K136" s="62">
        <f t="shared" si="26"/>
        <v>4000</v>
      </c>
      <c r="L136" s="62">
        <v>6000</v>
      </c>
      <c r="M136" s="62">
        <f>+L136/2</f>
        <v>3000</v>
      </c>
      <c r="N136" s="59"/>
      <c r="O136" s="60">
        <f>VLOOKUP(C136,IP!$B$9:$I$117,8,0)</f>
        <v>0</v>
      </c>
      <c r="P136" s="60">
        <f t="shared" si="30"/>
        <v>1000</v>
      </c>
      <c r="Q136" s="60">
        <f>VLOOKUP(C136,IP!$B$9:$N$117,13,0)</f>
        <v>0</v>
      </c>
      <c r="R136" s="60">
        <f>VLOOKUP(C136,IP!$B$9:$O$117,14,0)</f>
        <v>0</v>
      </c>
      <c r="S136" s="60"/>
      <c r="T136" s="60">
        <f>VLOOKUP(C136,IP!$B$9:$P$117,15,0)</f>
        <v>0</v>
      </c>
      <c r="U136" s="60">
        <f>VLOOKUP(C136,IP!$B$9:$Q$117,16,0)</f>
        <v>0</v>
      </c>
      <c r="V136" s="60"/>
      <c r="W136" s="60">
        <f>VLOOKUP(C136,IP!B$9:R$117,17,0)</f>
        <v>0</v>
      </c>
      <c r="X136" s="58"/>
      <c r="Y136" s="62">
        <f t="shared" si="24"/>
        <v>3000</v>
      </c>
      <c r="Z136" s="60">
        <f t="shared" si="31"/>
        <v>0</v>
      </c>
      <c r="AA136" s="128"/>
    </row>
    <row r="137" spans="1:37" s="62" customFormat="1" x14ac:dyDescent="0.2">
      <c r="A137" s="68" t="s">
        <v>642</v>
      </c>
      <c r="B137" s="70" t="s">
        <v>58</v>
      </c>
      <c r="C137" s="68" t="s">
        <v>643</v>
      </c>
      <c r="D137" s="113"/>
      <c r="E137" s="115">
        <f>VLOOKUP(C137,IP!$B$9:$V$117,21,0)</f>
        <v>2865.8</v>
      </c>
      <c r="F137" s="124"/>
      <c r="G137" s="62">
        <f>VLOOKUP(C137,SINDICATO!$C$36:$F$144,4,0)</f>
        <v>134.19999999999965</v>
      </c>
      <c r="H137" s="62">
        <f>VLOOKUP(C137,SINDICATO!$C$36:$G$144,5,0)</f>
        <v>292.5</v>
      </c>
      <c r="I137" s="62">
        <v>0</v>
      </c>
      <c r="J137" s="58"/>
      <c r="K137" s="62">
        <f t="shared" si="26"/>
        <v>3292.5</v>
      </c>
      <c r="L137" s="62">
        <v>6000</v>
      </c>
      <c r="M137" s="62">
        <f>+L137/2</f>
        <v>3000</v>
      </c>
      <c r="N137" s="59"/>
      <c r="O137" s="60">
        <f>VLOOKUP(C137,IP!$B$9:$I$117,8,0)</f>
        <v>0</v>
      </c>
      <c r="P137" s="60">
        <f t="shared" si="30"/>
        <v>292.5</v>
      </c>
      <c r="Q137" s="60">
        <f>VLOOKUP(C137,IP!$B$9:$N$117,13,0)</f>
        <v>0</v>
      </c>
      <c r="R137" s="60">
        <f>VLOOKUP(C137,IP!$B$9:$O$117,14,0)</f>
        <v>0</v>
      </c>
      <c r="S137" s="60"/>
      <c r="T137" s="60">
        <f>VLOOKUP(C137,IP!$B$9:$P$117,15,0)</f>
        <v>0</v>
      </c>
      <c r="U137" s="60">
        <f>VLOOKUP(C137,IP!$B$9:$Q$117,16,0)</f>
        <v>0</v>
      </c>
      <c r="V137" s="60"/>
      <c r="W137" s="60">
        <f>VLOOKUP(C137,IP!B$9:R$117,17,0)</f>
        <v>0</v>
      </c>
      <c r="X137" s="58"/>
      <c r="Y137" s="62">
        <f t="shared" si="24"/>
        <v>3000</v>
      </c>
      <c r="Z137" s="60">
        <f t="shared" si="31"/>
        <v>0</v>
      </c>
      <c r="AA137" s="128"/>
    </row>
    <row r="138" spans="1:37" s="62" customFormat="1" x14ac:dyDescent="0.2">
      <c r="A138" s="68" t="s">
        <v>558</v>
      </c>
      <c r="B138" s="70" t="s">
        <v>58</v>
      </c>
      <c r="C138" s="68" t="s">
        <v>461</v>
      </c>
      <c r="D138" s="113"/>
      <c r="E138" s="115">
        <f>VLOOKUP(C138,IP!$B$9:$V$117,21,0)</f>
        <v>2864.6</v>
      </c>
      <c r="F138" s="124"/>
      <c r="G138" s="62">
        <f>VLOOKUP(C138,SINDICATO!$C$36:$F$144,4,0)</f>
        <v>3135.4000000000005</v>
      </c>
      <c r="H138" s="62">
        <f>VLOOKUP(C138,SINDICATO!$C$36:$G$144,5,0)</f>
        <v>902.07</v>
      </c>
      <c r="I138" s="62">
        <v>0</v>
      </c>
      <c r="J138" s="58"/>
      <c r="K138" s="62">
        <f t="shared" si="26"/>
        <v>6902.07</v>
      </c>
      <c r="L138" s="62">
        <v>12000</v>
      </c>
      <c r="M138" s="62">
        <f>+L138/2</f>
        <v>6000</v>
      </c>
      <c r="N138" s="59"/>
      <c r="O138" s="60">
        <f>VLOOKUP(C138,IP!$B$9:$I$117,8,0)</f>
        <v>0</v>
      </c>
      <c r="P138" s="60">
        <f t="shared" si="30"/>
        <v>902.07</v>
      </c>
      <c r="Q138" s="60">
        <f>VLOOKUP(C138,IP!$B$9:$N$117,13,0)</f>
        <v>0</v>
      </c>
      <c r="R138" s="60">
        <f>VLOOKUP(C138,IP!$B$9:$O$117,14,0)</f>
        <v>0</v>
      </c>
      <c r="S138" s="60"/>
      <c r="T138" s="60">
        <f>VLOOKUP(C138,IP!$B$9:$P$117,15,0)</f>
        <v>0</v>
      </c>
      <c r="U138" s="60">
        <f>VLOOKUP(C138,IP!$B$9:$Q$117,16,0)</f>
        <v>0</v>
      </c>
      <c r="V138" s="60"/>
      <c r="W138" s="60">
        <f>VLOOKUP(C138,IP!B$9:R$117,17,0)</f>
        <v>0</v>
      </c>
      <c r="X138" s="58"/>
      <c r="Y138" s="62">
        <f t="shared" si="24"/>
        <v>6000</v>
      </c>
      <c r="Z138" s="60">
        <f t="shared" si="31"/>
        <v>0</v>
      </c>
      <c r="AA138" s="128"/>
    </row>
    <row r="139" spans="1:37" s="62" customFormat="1" x14ac:dyDescent="0.2">
      <c r="A139" s="68" t="s">
        <v>648</v>
      </c>
      <c r="B139" s="70" t="s">
        <v>58</v>
      </c>
      <c r="C139" s="68" t="s">
        <v>649</v>
      </c>
      <c r="D139" s="113"/>
      <c r="E139" s="115">
        <f>VLOOKUP(C139,IP!$B$9:$V$117,21,0)</f>
        <v>2382.6</v>
      </c>
      <c r="F139" s="124"/>
      <c r="G139" s="62">
        <f>VLOOKUP(C139,SINDICATO!$C$36:$F$144,4,0)</f>
        <v>3135.3100000000004</v>
      </c>
      <c r="H139" s="62">
        <f>VLOOKUP(C139,SINDICATO!$C$36:$G$144,5,0)</f>
        <v>892.38599999999997</v>
      </c>
      <c r="I139" s="62">
        <v>0</v>
      </c>
      <c r="J139" s="58"/>
      <c r="K139" s="62">
        <f t="shared" si="26"/>
        <v>6410.2960000000003</v>
      </c>
      <c r="L139" s="62">
        <v>12000</v>
      </c>
      <c r="M139" s="62">
        <f>+L139/2</f>
        <v>6000</v>
      </c>
      <c r="N139" s="59"/>
      <c r="O139" s="60">
        <f>VLOOKUP(C139,IP!$B$9:$I$117,8,0)</f>
        <v>0</v>
      </c>
      <c r="P139" s="60">
        <f t="shared" si="30"/>
        <v>892.38599999999997</v>
      </c>
      <c r="Q139" s="60">
        <f>VLOOKUP(C139,IP!$B$9:$N$117,13,0)</f>
        <v>0</v>
      </c>
      <c r="R139" s="60">
        <f>VLOOKUP(C139,IP!$B$9:$O$117,14,0)</f>
        <v>482.09</v>
      </c>
      <c r="S139" s="60"/>
      <c r="T139" s="60">
        <f>VLOOKUP(C139,IP!$B$9:$P$117,15,0)</f>
        <v>0</v>
      </c>
      <c r="U139" s="60">
        <f>VLOOKUP(C139,IP!$B$9:$Q$117,16,0)</f>
        <v>0</v>
      </c>
      <c r="V139" s="60"/>
      <c r="W139" s="60">
        <f>VLOOKUP(C139,IP!B$9:R$117,17,0)</f>
        <v>0</v>
      </c>
      <c r="X139" s="58"/>
      <c r="Y139" s="62">
        <f t="shared" si="24"/>
        <v>6000</v>
      </c>
      <c r="Z139" s="60">
        <f t="shared" si="31"/>
        <v>0</v>
      </c>
      <c r="AA139" s="128"/>
    </row>
    <row r="140" spans="1:37" s="62" customFormat="1" x14ac:dyDescent="0.2">
      <c r="A140" s="68" t="s">
        <v>656</v>
      </c>
      <c r="B140" s="70" t="s">
        <v>58</v>
      </c>
      <c r="C140" s="68" t="s">
        <v>657</v>
      </c>
      <c r="D140" s="113"/>
      <c r="E140" s="115">
        <f>VLOOKUP(C140,IP!$B$9:$V$117,21,0)</f>
        <v>928.6</v>
      </c>
      <c r="F140" s="124"/>
      <c r="G140" s="62">
        <f>VLOOKUP(C140,SINDICATO!$C$36:$F$144,4,0)</f>
        <v>1704.55</v>
      </c>
      <c r="H140" s="62">
        <f>VLOOKUP(C140,SINDICATO!$C$36:$G$144,5,0)</f>
        <v>0</v>
      </c>
      <c r="I140" s="62">
        <v>0</v>
      </c>
      <c r="J140" s="58"/>
      <c r="K140" s="62">
        <f t="shared" si="26"/>
        <v>2633.15</v>
      </c>
      <c r="L140" s="62">
        <v>7000</v>
      </c>
      <c r="M140" s="62">
        <f t="shared" ref="M140:M143" si="32">+L140/2</f>
        <v>3500</v>
      </c>
      <c r="N140" s="59"/>
      <c r="O140" s="60">
        <f>VLOOKUP(C140,IP!$B$9:$I$117,8,0)</f>
        <v>0</v>
      </c>
      <c r="P140" s="60">
        <f t="shared" si="30"/>
        <v>0</v>
      </c>
      <c r="Q140" s="60">
        <f>VLOOKUP(C140,IP!$B$9:$N$117,13,0)</f>
        <v>0</v>
      </c>
      <c r="R140" s="60">
        <f>VLOOKUP(C140,IP!$B$9:$O$117,14,0)</f>
        <v>866.85</v>
      </c>
      <c r="S140" s="60"/>
      <c r="T140" s="60">
        <f>VLOOKUP(C140,IP!$B$9:$P$117,15,0)</f>
        <v>0</v>
      </c>
      <c r="U140" s="60">
        <f>VLOOKUP(C140,IP!$B$9:$Q$117,16,0)</f>
        <v>0</v>
      </c>
      <c r="V140" s="60"/>
      <c r="W140" s="60">
        <f>VLOOKUP(C140,IP!B$9:R$117,17,0)</f>
        <v>0</v>
      </c>
      <c r="X140" s="58"/>
      <c r="Y140" s="62">
        <f t="shared" si="24"/>
        <v>3500</v>
      </c>
      <c r="Z140" s="60">
        <f t="shared" si="31"/>
        <v>0</v>
      </c>
      <c r="AA140" s="128"/>
    </row>
    <row r="141" spans="1:37" s="62" customFormat="1" x14ac:dyDescent="0.2">
      <c r="A141" s="68" t="s">
        <v>658</v>
      </c>
      <c r="B141" s="70" t="s">
        <v>58</v>
      </c>
      <c r="C141" s="68" t="s">
        <v>659</v>
      </c>
      <c r="D141" s="113"/>
      <c r="E141" s="115">
        <f>VLOOKUP(C141,IP!$B$9:$V$117,21,0)</f>
        <v>1049.5999999999999</v>
      </c>
      <c r="F141" s="124"/>
      <c r="G141" s="62">
        <f>VLOOKUP(C141,SINDICATO!$C$36:$F$144,4,0)</f>
        <v>1704.4199999999998</v>
      </c>
      <c r="H141" s="62">
        <f>VLOOKUP(C141,SINDICATO!$C$36:$G$144,5,0)</f>
        <v>0</v>
      </c>
      <c r="I141" s="62">
        <v>0</v>
      </c>
      <c r="J141" s="58"/>
      <c r="K141" s="62">
        <f t="shared" si="26"/>
        <v>2754.0199999999995</v>
      </c>
      <c r="L141" s="62">
        <v>7000</v>
      </c>
      <c r="M141" s="62">
        <f t="shared" si="32"/>
        <v>3500</v>
      </c>
      <c r="N141" s="59"/>
      <c r="O141" s="60">
        <f>VLOOKUP(C141,IP!$B$9:$I$117,8,0)</f>
        <v>0</v>
      </c>
      <c r="P141" s="60">
        <f t="shared" si="30"/>
        <v>0</v>
      </c>
      <c r="Q141" s="60">
        <f>VLOOKUP(C141,IP!$B$9:$N$117,13,0)</f>
        <v>745.98</v>
      </c>
      <c r="R141" s="60">
        <f>VLOOKUP(C141,IP!$B$9:$O$117,14,0)</f>
        <v>0</v>
      </c>
      <c r="S141" s="60"/>
      <c r="T141" s="60">
        <f>VLOOKUP(C141,IP!$B$9:$P$117,15,0)</f>
        <v>0</v>
      </c>
      <c r="U141" s="60">
        <f>VLOOKUP(C141,IP!$B$9:$Q$117,16,0)</f>
        <v>0</v>
      </c>
      <c r="V141" s="60"/>
      <c r="W141" s="60">
        <f>VLOOKUP(C141,IP!B$9:R$117,17,0)</f>
        <v>0</v>
      </c>
      <c r="X141" s="58"/>
      <c r="Y141" s="62">
        <f t="shared" si="24"/>
        <v>3499.9999999999995</v>
      </c>
      <c r="Z141" s="60">
        <f t="shared" si="31"/>
        <v>0</v>
      </c>
      <c r="AA141" s="128"/>
    </row>
    <row r="142" spans="1:37" s="62" customFormat="1" x14ac:dyDescent="0.2">
      <c r="A142" s="68" t="s">
        <v>662</v>
      </c>
      <c r="B142" s="70" t="s">
        <v>58</v>
      </c>
      <c r="C142" s="68" t="s">
        <v>663</v>
      </c>
      <c r="D142" s="113"/>
      <c r="E142" s="115">
        <f>VLOOKUP(C142,IP!$B$9:$V$117,21,0)</f>
        <v>691.8</v>
      </c>
      <c r="F142" s="124"/>
      <c r="G142" s="62">
        <f>VLOOKUP(C142,SINDICATO!$C$36:$F$144,4,0)</f>
        <v>358.2</v>
      </c>
      <c r="H142" s="62">
        <f>VLOOKUP(C142,SINDICATO!$C$36:$G$144,5,0)</f>
        <v>0</v>
      </c>
      <c r="I142" s="62">
        <v>0</v>
      </c>
      <c r="J142" s="58"/>
      <c r="K142" s="62">
        <f t="shared" si="26"/>
        <v>1050</v>
      </c>
      <c r="L142" s="62">
        <v>6300</v>
      </c>
      <c r="M142" s="62">
        <f t="shared" si="32"/>
        <v>3150</v>
      </c>
      <c r="N142" s="59"/>
      <c r="O142" s="60">
        <f>VLOOKUP(C142,IP!$B$9:$I$117,8,0)</f>
        <v>0</v>
      </c>
      <c r="P142" s="60">
        <f t="shared" ref="P142" si="33">+H142+I142</f>
        <v>0</v>
      </c>
      <c r="Q142" s="60">
        <f>VLOOKUP(C142,IP!$B$9:$N$117,13,0)</f>
        <v>0</v>
      </c>
      <c r="R142" s="60">
        <f>VLOOKUP(C142,IP!$B$9:$O$117,14,0)</f>
        <v>0</v>
      </c>
      <c r="S142" s="60"/>
      <c r="T142" s="60">
        <f>VLOOKUP(C142,IP!$B$9:$P$117,15,0)</f>
        <v>0</v>
      </c>
      <c r="U142" s="60">
        <f>VLOOKUP(C142,IP!$B$9:$Q$117,16,0)</f>
        <v>0</v>
      </c>
      <c r="V142" s="60"/>
      <c r="W142" s="60">
        <f>VLOOKUP(C142,IP!B$9:R$117,17,0)</f>
        <v>0</v>
      </c>
      <c r="X142" s="58"/>
      <c r="Y142" s="62">
        <f t="shared" si="24"/>
        <v>1050</v>
      </c>
      <c r="Z142" s="134">
        <f t="shared" si="31"/>
        <v>2100</v>
      </c>
      <c r="AA142" s="143" t="s">
        <v>665</v>
      </c>
    </row>
    <row r="143" spans="1:37" s="62" customFormat="1" x14ac:dyDescent="0.2">
      <c r="A143" s="68" t="s">
        <v>78</v>
      </c>
      <c r="B143" s="70" t="s">
        <v>58</v>
      </c>
      <c r="C143" s="68" t="s">
        <v>664</v>
      </c>
      <c r="D143" s="113"/>
      <c r="E143" s="115">
        <f>VLOOKUP(C143,IP!$B$9:$V$117,21,0)</f>
        <v>2865.8</v>
      </c>
      <c r="F143" s="124"/>
      <c r="G143" s="62">
        <f>VLOOKUP(C143,SINDICATO!$C$36:$F$144,4,0)</f>
        <v>134.19999999999982</v>
      </c>
      <c r="H143" s="62">
        <f>VLOOKUP(C143,SINDICATO!$C$36:$G$144,5,0)</f>
        <v>840.39</v>
      </c>
      <c r="I143" s="62">
        <v>0</v>
      </c>
      <c r="J143" s="58"/>
      <c r="K143" s="62">
        <f t="shared" ref="K143" si="34">+D143+E143+G143+H143+I143</f>
        <v>3840.39</v>
      </c>
      <c r="L143" s="62">
        <v>6000</v>
      </c>
      <c r="M143" s="62">
        <f t="shared" si="32"/>
        <v>3000</v>
      </c>
      <c r="N143" s="59"/>
      <c r="O143" s="60">
        <f>VLOOKUP(C143,IP!$B$9:$I$117,8,0)</f>
        <v>0</v>
      </c>
      <c r="P143" s="60">
        <f t="shared" ref="P143" si="35">+H143+I143</f>
        <v>840.39</v>
      </c>
      <c r="Q143" s="60">
        <f>VLOOKUP(C143,IP!$B$9:$N$117,13,0)</f>
        <v>0</v>
      </c>
      <c r="R143" s="60">
        <f>VLOOKUP(C143,IP!$B$9:$O$117,14,0)</f>
        <v>0</v>
      </c>
      <c r="S143" s="60"/>
      <c r="T143" s="60">
        <f>VLOOKUP(C143,IP!$B$9:$P$117,15,0)</f>
        <v>0</v>
      </c>
      <c r="U143" s="60">
        <f>VLOOKUP(C143,IP!$B$9:$Q$117,16,0)</f>
        <v>0</v>
      </c>
      <c r="V143" s="60"/>
      <c r="W143" s="60">
        <f>VLOOKUP(C143,IP!B$9:R$117,17,0)</f>
        <v>0</v>
      </c>
      <c r="X143" s="58"/>
      <c r="Y143" s="62">
        <f t="shared" ref="Y143" si="36">+K143-O143-P143+Q143+R143+S143+T143+U143+V143+W143</f>
        <v>3000</v>
      </c>
      <c r="Z143" s="60">
        <f t="shared" si="31"/>
        <v>0</v>
      </c>
      <c r="AA143" s="128"/>
    </row>
    <row r="144" spans="1:37" s="129" customFormat="1" ht="24.75" customHeight="1" x14ac:dyDescent="0.25">
      <c r="C144" s="129" t="s">
        <v>603</v>
      </c>
      <c r="E144" s="129">
        <f>SUM(E35:E143)</f>
        <v>319330.1999999999</v>
      </c>
      <c r="F144" s="129">
        <f t="shared" ref="F144:AA144" si="37">SUM(F35:F143)</f>
        <v>0</v>
      </c>
      <c r="G144" s="129">
        <f t="shared" si="37"/>
        <v>119300.71999999999</v>
      </c>
      <c r="H144" s="129">
        <f t="shared" si="37"/>
        <v>99361.566000000006</v>
      </c>
      <c r="I144" s="129">
        <f t="shared" si="37"/>
        <v>752.56109999999978</v>
      </c>
      <c r="J144" s="129">
        <f t="shared" si="37"/>
        <v>0</v>
      </c>
      <c r="K144" s="129">
        <f t="shared" si="37"/>
        <v>538745.04709999997</v>
      </c>
      <c r="L144" s="129">
        <f t="shared" si="37"/>
        <v>973926.02</v>
      </c>
      <c r="M144" s="129">
        <f t="shared" si="37"/>
        <v>486963.01</v>
      </c>
      <c r="N144" s="129">
        <f t="shared" si="37"/>
        <v>0</v>
      </c>
      <c r="O144" s="129">
        <f t="shared" si="37"/>
        <v>3178.4300000000003</v>
      </c>
      <c r="P144" s="129">
        <f t="shared" si="37"/>
        <v>100114.12710000001</v>
      </c>
      <c r="Q144" s="129">
        <f t="shared" si="37"/>
        <v>28322.400000000001</v>
      </c>
      <c r="R144" s="129">
        <f t="shared" si="37"/>
        <v>10873.199999999999</v>
      </c>
      <c r="S144" s="129">
        <f t="shared" si="37"/>
        <v>0</v>
      </c>
      <c r="T144" s="129">
        <f t="shared" si="37"/>
        <v>0</v>
      </c>
      <c r="U144" s="129">
        <f t="shared" si="37"/>
        <v>4763.93</v>
      </c>
      <c r="V144" s="129">
        <f t="shared" si="37"/>
        <v>500</v>
      </c>
      <c r="W144" s="129">
        <f t="shared" si="37"/>
        <v>7146.1799999999985</v>
      </c>
      <c r="X144" s="129">
        <f t="shared" si="37"/>
        <v>0</v>
      </c>
      <c r="Y144" s="129">
        <f t="shared" si="37"/>
        <v>487058.2</v>
      </c>
      <c r="Z144" s="129">
        <f t="shared" si="37"/>
        <v>2771.2100000000009</v>
      </c>
      <c r="AA144" s="129">
        <f t="shared" si="37"/>
        <v>0</v>
      </c>
      <c r="AB144" s="129">
        <f t="shared" ref="AB144:AE144" si="38">SUM(AB35:AB141)</f>
        <v>0</v>
      </c>
      <c r="AC144" s="129">
        <f t="shared" si="38"/>
        <v>0</v>
      </c>
      <c r="AD144" s="129">
        <f t="shared" si="38"/>
        <v>0</v>
      </c>
      <c r="AE144" s="129">
        <f t="shared" si="38"/>
        <v>0</v>
      </c>
      <c r="AF144" s="129">
        <f>SUM(AF35:AF135)</f>
        <v>0</v>
      </c>
      <c r="AG144" s="129">
        <f>SUM(AG35:AG135)</f>
        <v>0</v>
      </c>
      <c r="AH144" s="129">
        <f>SUM(AH4:AH101)</f>
        <v>0</v>
      </c>
      <c r="AI144" s="129">
        <f>SUM(AI4:AI101)</f>
        <v>0</v>
      </c>
      <c r="AJ144" s="129">
        <f>SUM(AJ4:AJ101)</f>
        <v>0</v>
      </c>
      <c r="AK144" s="129">
        <f>SUM(AK4:AK101)</f>
        <v>0</v>
      </c>
    </row>
    <row r="145" spans="3:249" s="87" customFormat="1" x14ac:dyDescent="0.2">
      <c r="C145" s="144"/>
      <c r="F145" s="124"/>
      <c r="J145" s="58"/>
      <c r="N145" s="145"/>
      <c r="X145" s="124"/>
      <c r="Z145" s="140"/>
      <c r="AA145" s="140"/>
      <c r="AB145" s="140"/>
      <c r="AC145" s="125"/>
      <c r="AD145" s="125"/>
      <c r="AE145" s="125"/>
      <c r="AF145" s="125"/>
      <c r="AG145" s="125"/>
      <c r="AH145" s="125"/>
      <c r="AI145" s="125"/>
      <c r="AJ145" s="125"/>
      <c r="AK145" s="125"/>
      <c r="AL145" s="125"/>
      <c r="AM145" s="125"/>
      <c r="AN145" s="125"/>
      <c r="AO145" s="125"/>
      <c r="AP145" s="125"/>
      <c r="AQ145" s="125"/>
      <c r="AR145" s="125"/>
      <c r="AS145" s="125"/>
      <c r="AT145" s="125"/>
      <c r="AU145" s="125"/>
      <c r="AV145" s="125"/>
      <c r="AW145" s="125"/>
      <c r="AX145" s="125"/>
      <c r="AY145" s="125"/>
      <c r="AZ145" s="125"/>
      <c r="BA145" s="125"/>
      <c r="BB145" s="125"/>
      <c r="BC145" s="125"/>
      <c r="BD145" s="125"/>
      <c r="BE145" s="125"/>
      <c r="BF145" s="125"/>
      <c r="BG145" s="125"/>
      <c r="BH145" s="125"/>
      <c r="BI145" s="125"/>
      <c r="BJ145" s="125"/>
      <c r="BK145" s="125"/>
      <c r="BL145" s="125"/>
      <c r="BM145" s="125"/>
      <c r="BN145" s="125"/>
      <c r="BO145" s="125"/>
      <c r="BP145" s="125"/>
      <c r="BQ145" s="125"/>
      <c r="BR145" s="125"/>
      <c r="BS145" s="125"/>
      <c r="BT145" s="125"/>
      <c r="BU145" s="125"/>
      <c r="BV145" s="125"/>
      <c r="BW145" s="125"/>
      <c r="BX145" s="125"/>
      <c r="BY145" s="125"/>
      <c r="BZ145" s="125"/>
      <c r="CA145" s="125"/>
      <c r="CB145" s="125"/>
      <c r="CC145" s="125"/>
      <c r="CD145" s="125"/>
      <c r="CE145" s="125"/>
      <c r="CF145" s="125"/>
      <c r="CG145" s="125"/>
      <c r="CH145" s="125"/>
      <c r="CI145" s="125"/>
      <c r="CJ145" s="125"/>
      <c r="CK145" s="125"/>
      <c r="CL145" s="125"/>
      <c r="CM145" s="125"/>
      <c r="CN145" s="125"/>
      <c r="CO145" s="125"/>
      <c r="CP145" s="125"/>
      <c r="CQ145" s="125"/>
      <c r="CR145" s="125"/>
      <c r="CS145" s="125"/>
      <c r="CT145" s="125"/>
      <c r="CU145" s="125"/>
      <c r="CV145" s="125"/>
      <c r="CW145" s="125"/>
      <c r="CX145" s="125"/>
      <c r="CY145" s="125"/>
      <c r="CZ145" s="125"/>
      <c r="DA145" s="125"/>
      <c r="DB145" s="125"/>
      <c r="DC145" s="125"/>
      <c r="DD145" s="125"/>
      <c r="DE145" s="125"/>
      <c r="DF145" s="125"/>
      <c r="DG145" s="125"/>
      <c r="DH145" s="125"/>
      <c r="DI145" s="125"/>
      <c r="DJ145" s="125"/>
      <c r="DK145" s="125"/>
      <c r="DL145" s="125"/>
      <c r="DM145" s="125"/>
      <c r="DN145" s="125"/>
      <c r="DO145" s="125"/>
      <c r="DP145" s="125"/>
      <c r="DQ145" s="125"/>
      <c r="DR145" s="125"/>
      <c r="DS145" s="125"/>
      <c r="DT145" s="125"/>
      <c r="DU145" s="125"/>
      <c r="DV145" s="125"/>
      <c r="DW145" s="125"/>
      <c r="DX145" s="125"/>
      <c r="DY145" s="125"/>
      <c r="DZ145" s="125"/>
      <c r="EA145" s="125"/>
      <c r="EB145" s="125"/>
      <c r="EC145" s="125"/>
      <c r="ED145" s="125"/>
      <c r="EE145" s="125"/>
      <c r="EF145" s="125"/>
      <c r="EG145" s="125"/>
      <c r="EH145" s="125"/>
      <c r="EI145" s="125"/>
      <c r="EJ145" s="125"/>
      <c r="EK145" s="125"/>
      <c r="EL145" s="125"/>
      <c r="EM145" s="125"/>
      <c r="EN145" s="125"/>
      <c r="EO145" s="125"/>
      <c r="EP145" s="125"/>
      <c r="EQ145" s="125"/>
      <c r="ER145" s="125"/>
      <c r="ES145" s="125"/>
      <c r="ET145" s="125"/>
      <c r="EU145" s="125"/>
      <c r="EV145" s="125"/>
      <c r="EW145" s="125"/>
      <c r="EX145" s="125"/>
      <c r="EY145" s="125"/>
      <c r="EZ145" s="125"/>
      <c r="FA145" s="125"/>
      <c r="FB145" s="125"/>
      <c r="FC145" s="125"/>
      <c r="FD145" s="125"/>
      <c r="FE145" s="125"/>
      <c r="FF145" s="125"/>
      <c r="FG145" s="125"/>
      <c r="FH145" s="125"/>
      <c r="FI145" s="125"/>
      <c r="FJ145" s="125"/>
      <c r="FK145" s="125"/>
      <c r="FL145" s="125"/>
      <c r="FM145" s="125"/>
      <c r="FN145" s="125"/>
      <c r="FO145" s="125"/>
      <c r="FP145" s="125"/>
      <c r="FQ145" s="125"/>
      <c r="FR145" s="125"/>
      <c r="FS145" s="125"/>
      <c r="FT145" s="125"/>
      <c r="FU145" s="125"/>
      <c r="FV145" s="125"/>
      <c r="FW145" s="125"/>
      <c r="FX145" s="125"/>
      <c r="FY145" s="125"/>
      <c r="FZ145" s="125"/>
      <c r="GA145" s="125"/>
      <c r="GB145" s="125"/>
      <c r="GC145" s="125"/>
      <c r="GD145" s="125"/>
      <c r="GE145" s="125"/>
      <c r="GF145" s="125"/>
      <c r="GG145" s="125"/>
      <c r="GH145" s="125"/>
      <c r="GI145" s="125"/>
      <c r="GJ145" s="125"/>
      <c r="GK145" s="125"/>
      <c r="GL145" s="125"/>
      <c r="GM145" s="125"/>
      <c r="GN145" s="125"/>
      <c r="GO145" s="125"/>
      <c r="GP145" s="125"/>
      <c r="GQ145" s="125"/>
      <c r="GR145" s="125"/>
      <c r="GS145" s="125"/>
      <c r="GT145" s="125"/>
      <c r="GU145" s="125"/>
      <c r="GV145" s="125"/>
      <c r="GW145" s="125"/>
      <c r="GX145" s="125"/>
      <c r="GY145" s="125"/>
      <c r="GZ145" s="125"/>
      <c r="HA145" s="125"/>
      <c r="HB145" s="125"/>
      <c r="HC145" s="125"/>
      <c r="HD145" s="125"/>
      <c r="HE145" s="125"/>
      <c r="HF145" s="125"/>
      <c r="HG145" s="125"/>
      <c r="HH145" s="125"/>
      <c r="HI145" s="125"/>
      <c r="HJ145" s="125"/>
      <c r="HK145" s="125"/>
      <c r="HL145" s="125"/>
      <c r="HM145" s="125"/>
      <c r="HN145" s="125"/>
      <c r="HO145" s="125"/>
      <c r="HP145" s="125"/>
      <c r="HQ145" s="125"/>
      <c r="HR145" s="125"/>
      <c r="HS145" s="125"/>
      <c r="HT145" s="125"/>
      <c r="HU145" s="125"/>
      <c r="HV145" s="125"/>
      <c r="HW145" s="125"/>
      <c r="HX145" s="125"/>
      <c r="HY145" s="125"/>
      <c r="HZ145" s="125"/>
      <c r="IA145" s="125"/>
      <c r="IB145" s="125"/>
      <c r="IC145" s="125"/>
      <c r="ID145" s="125"/>
      <c r="IE145" s="125"/>
      <c r="IF145" s="125"/>
      <c r="IG145" s="125"/>
      <c r="IH145" s="125"/>
      <c r="II145" s="125"/>
      <c r="IJ145" s="125"/>
      <c r="IK145" s="125"/>
      <c r="IL145" s="125"/>
      <c r="IM145" s="125"/>
      <c r="IN145" s="125"/>
      <c r="IO145" s="125"/>
    </row>
    <row r="146" spans="3:249" s="87" customFormat="1" x14ac:dyDescent="0.2">
      <c r="C146" s="144"/>
      <c r="F146" s="124"/>
      <c r="J146" s="124"/>
      <c r="N146" s="145"/>
      <c r="X146" s="124"/>
      <c r="Z146" s="140"/>
      <c r="AA146" s="140"/>
      <c r="AB146" s="140"/>
      <c r="AC146" s="125"/>
      <c r="AD146" s="125"/>
      <c r="AE146" s="125"/>
      <c r="AF146" s="125"/>
      <c r="AG146" s="125"/>
      <c r="AH146" s="125"/>
      <c r="AI146" s="125"/>
      <c r="AJ146" s="125"/>
      <c r="AK146" s="125"/>
      <c r="AL146" s="125"/>
      <c r="AM146" s="125"/>
      <c r="AN146" s="125"/>
      <c r="AO146" s="125"/>
      <c r="AP146" s="125"/>
      <c r="AQ146" s="125"/>
      <c r="AR146" s="125"/>
      <c r="AS146" s="125"/>
      <c r="AT146" s="125"/>
      <c r="AU146" s="125"/>
      <c r="AV146" s="125"/>
      <c r="AW146" s="125"/>
      <c r="AX146" s="125"/>
      <c r="AY146" s="125"/>
      <c r="AZ146" s="125"/>
      <c r="BA146" s="125"/>
      <c r="BB146" s="125"/>
      <c r="BC146" s="125"/>
      <c r="BD146" s="125"/>
      <c r="BE146" s="125"/>
      <c r="BF146" s="125"/>
      <c r="BG146" s="125"/>
      <c r="BH146" s="125"/>
      <c r="BI146" s="125"/>
      <c r="BJ146" s="125"/>
      <c r="BK146" s="125"/>
      <c r="BL146" s="125"/>
      <c r="BM146" s="125"/>
      <c r="BN146" s="125"/>
      <c r="BO146" s="125"/>
      <c r="BP146" s="125"/>
      <c r="BQ146" s="125"/>
      <c r="BR146" s="125"/>
      <c r="BS146" s="125"/>
      <c r="BT146" s="125"/>
      <c r="BU146" s="125"/>
      <c r="BV146" s="125"/>
      <c r="BW146" s="125"/>
      <c r="BX146" s="125"/>
      <c r="BY146" s="125"/>
      <c r="BZ146" s="125"/>
      <c r="CA146" s="125"/>
      <c r="CB146" s="125"/>
      <c r="CC146" s="125"/>
      <c r="CD146" s="125"/>
      <c r="CE146" s="125"/>
      <c r="CF146" s="125"/>
      <c r="CG146" s="125"/>
      <c r="CH146" s="125"/>
      <c r="CI146" s="125"/>
      <c r="CJ146" s="125"/>
      <c r="CK146" s="125"/>
      <c r="CL146" s="125"/>
      <c r="CM146" s="125"/>
      <c r="CN146" s="125"/>
      <c r="CO146" s="125"/>
      <c r="CP146" s="125"/>
      <c r="CQ146" s="125"/>
      <c r="CR146" s="125"/>
      <c r="CS146" s="125"/>
      <c r="CT146" s="125"/>
      <c r="CU146" s="125"/>
      <c r="CV146" s="125"/>
      <c r="CW146" s="125"/>
      <c r="CX146" s="125"/>
      <c r="CY146" s="125"/>
      <c r="CZ146" s="125"/>
      <c r="DA146" s="125"/>
      <c r="DB146" s="125"/>
      <c r="DC146" s="125"/>
      <c r="DD146" s="125"/>
      <c r="DE146" s="125"/>
      <c r="DF146" s="125"/>
      <c r="DG146" s="125"/>
      <c r="DH146" s="125"/>
      <c r="DI146" s="125"/>
      <c r="DJ146" s="125"/>
      <c r="DK146" s="125"/>
      <c r="DL146" s="125"/>
      <c r="DM146" s="125"/>
      <c r="DN146" s="125"/>
      <c r="DO146" s="125"/>
      <c r="DP146" s="125"/>
      <c r="DQ146" s="125"/>
      <c r="DR146" s="125"/>
      <c r="DS146" s="125"/>
      <c r="DT146" s="125"/>
      <c r="DU146" s="125"/>
      <c r="DV146" s="125"/>
      <c r="DW146" s="125"/>
      <c r="DX146" s="125"/>
      <c r="DY146" s="125"/>
      <c r="DZ146" s="125"/>
      <c r="EA146" s="125"/>
      <c r="EB146" s="125"/>
      <c r="EC146" s="125"/>
      <c r="ED146" s="125"/>
      <c r="EE146" s="125"/>
      <c r="EF146" s="125"/>
      <c r="EG146" s="125"/>
      <c r="EH146" s="125"/>
      <c r="EI146" s="125"/>
      <c r="EJ146" s="125"/>
      <c r="EK146" s="125"/>
      <c r="EL146" s="125"/>
      <c r="EM146" s="125"/>
      <c r="EN146" s="125"/>
      <c r="EO146" s="125"/>
      <c r="EP146" s="125"/>
      <c r="EQ146" s="125"/>
      <c r="ER146" s="125"/>
      <c r="ES146" s="125"/>
      <c r="ET146" s="125"/>
      <c r="EU146" s="125"/>
      <c r="EV146" s="125"/>
      <c r="EW146" s="125"/>
      <c r="EX146" s="125"/>
      <c r="EY146" s="125"/>
      <c r="EZ146" s="125"/>
      <c r="FA146" s="125"/>
      <c r="FB146" s="125"/>
      <c r="FC146" s="125"/>
      <c r="FD146" s="125"/>
      <c r="FE146" s="125"/>
      <c r="FF146" s="125"/>
      <c r="FG146" s="125"/>
      <c r="FH146" s="125"/>
      <c r="FI146" s="125"/>
      <c r="FJ146" s="125"/>
      <c r="FK146" s="125"/>
      <c r="FL146" s="125"/>
      <c r="FM146" s="125"/>
      <c r="FN146" s="125"/>
      <c r="FO146" s="125"/>
      <c r="FP146" s="125"/>
      <c r="FQ146" s="125"/>
      <c r="FR146" s="125"/>
      <c r="FS146" s="125"/>
      <c r="FT146" s="125"/>
      <c r="FU146" s="125"/>
      <c r="FV146" s="125"/>
      <c r="FW146" s="125"/>
      <c r="FX146" s="125"/>
      <c r="FY146" s="125"/>
      <c r="FZ146" s="125"/>
      <c r="GA146" s="125"/>
      <c r="GB146" s="125"/>
      <c r="GC146" s="125"/>
      <c r="GD146" s="125"/>
      <c r="GE146" s="125"/>
      <c r="GF146" s="125"/>
      <c r="GG146" s="125"/>
      <c r="GH146" s="125"/>
      <c r="GI146" s="125"/>
      <c r="GJ146" s="125"/>
      <c r="GK146" s="125"/>
      <c r="GL146" s="125"/>
      <c r="GM146" s="125"/>
      <c r="GN146" s="125"/>
      <c r="GO146" s="125"/>
      <c r="GP146" s="125"/>
      <c r="GQ146" s="125"/>
      <c r="GR146" s="125"/>
      <c r="GS146" s="125"/>
      <c r="GT146" s="125"/>
      <c r="GU146" s="125"/>
      <c r="GV146" s="125"/>
      <c r="GW146" s="125"/>
      <c r="GX146" s="125"/>
      <c r="GY146" s="125"/>
      <c r="GZ146" s="125"/>
      <c r="HA146" s="125"/>
      <c r="HB146" s="125"/>
      <c r="HC146" s="125"/>
      <c r="HD146" s="125"/>
      <c r="HE146" s="125"/>
      <c r="HF146" s="125"/>
      <c r="HG146" s="125"/>
      <c r="HH146" s="125"/>
      <c r="HI146" s="125"/>
      <c r="HJ146" s="125"/>
      <c r="HK146" s="125"/>
      <c r="HL146" s="125"/>
      <c r="HM146" s="125"/>
      <c r="HN146" s="125"/>
      <c r="HO146" s="125"/>
      <c r="HP146" s="125"/>
      <c r="HQ146" s="125"/>
      <c r="HR146" s="125"/>
      <c r="HS146" s="125"/>
      <c r="HT146" s="125"/>
      <c r="HU146" s="125"/>
      <c r="HV146" s="125"/>
      <c r="HW146" s="125"/>
      <c r="HX146" s="125"/>
      <c r="HY146" s="125"/>
      <c r="HZ146" s="125"/>
      <c r="IA146" s="125"/>
      <c r="IB146" s="125"/>
      <c r="IC146" s="125"/>
      <c r="ID146" s="125"/>
      <c r="IE146" s="125"/>
      <c r="IF146" s="125"/>
      <c r="IG146" s="125"/>
      <c r="IH146" s="125"/>
      <c r="II146" s="125"/>
      <c r="IJ146" s="125"/>
      <c r="IK146" s="125"/>
      <c r="IL146" s="125"/>
      <c r="IM146" s="125"/>
      <c r="IN146" s="125"/>
      <c r="IO146" s="125"/>
    </row>
  </sheetData>
  <autoFilter ref="A3:AA146"/>
  <mergeCells count="4">
    <mergeCell ref="A2:E2"/>
    <mergeCell ref="K2:M2"/>
    <mergeCell ref="O2:W2"/>
    <mergeCell ref="G2:I2"/>
  </mergeCells>
  <pageMargins left="0.70866141732283472" right="0.70866141732283472" top="0.74803149606299213" bottom="0.74803149606299213" header="0.31496062992125984" footer="0.31496062992125984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5:G56"/>
  <sheetViews>
    <sheetView workbookViewId="0">
      <selection activeCell="C28" sqref="C28"/>
    </sheetView>
  </sheetViews>
  <sheetFormatPr baseColWidth="10" defaultColWidth="11.42578125" defaultRowHeight="15" x14ac:dyDescent="0.25"/>
  <cols>
    <col min="1" max="1" width="18.42578125" style="4" customWidth="1"/>
    <col min="2" max="2" width="29.140625" style="4" customWidth="1"/>
    <col min="3" max="3" width="57" style="4" customWidth="1"/>
    <col min="4" max="5" width="27.5703125" style="4" customWidth="1"/>
    <col min="6" max="6" width="23.85546875" style="4" customWidth="1"/>
    <col min="7" max="7" width="20.5703125" style="4" customWidth="1"/>
    <col min="8" max="16384" width="11.42578125" style="4"/>
  </cols>
  <sheetData>
    <row r="5" spans="1:7" ht="39.75" customHeight="1" thickBot="1" x14ac:dyDescent="0.3">
      <c r="A5" s="1" t="s">
        <v>2</v>
      </c>
      <c r="B5" s="1" t="s">
        <v>3</v>
      </c>
      <c r="C5" s="1" t="s">
        <v>4</v>
      </c>
      <c r="D5" s="1" t="s">
        <v>120</v>
      </c>
      <c r="E5" s="1" t="s">
        <v>121</v>
      </c>
      <c r="F5" s="1" t="s">
        <v>122</v>
      </c>
      <c r="G5" s="1" t="s">
        <v>123</v>
      </c>
    </row>
    <row r="6" spans="1:7" ht="15" customHeight="1" thickTop="1" x14ac:dyDescent="0.25">
      <c r="A6" s="5"/>
      <c r="B6" s="5"/>
      <c r="C6" s="3" t="s">
        <v>124</v>
      </c>
      <c r="D6" s="3">
        <v>2847.47</v>
      </c>
      <c r="E6" s="3"/>
      <c r="F6" s="3">
        <v>152.53</v>
      </c>
      <c r="G6" s="3">
        <f>+F6+D6+E6</f>
        <v>3000</v>
      </c>
    </row>
    <row r="7" spans="1:7" x14ac:dyDescent="0.25">
      <c r="A7" s="3" t="s">
        <v>60</v>
      </c>
      <c r="B7" s="3" t="s">
        <v>58</v>
      </c>
      <c r="C7" s="3" t="s">
        <v>61</v>
      </c>
      <c r="D7" s="3">
        <v>3215.903308547945</v>
      </c>
      <c r="E7" s="3">
        <v>0</v>
      </c>
      <c r="F7" s="3">
        <v>234.1</v>
      </c>
      <c r="G7" s="3">
        <f>+F7+D7+E7</f>
        <v>3450.0033085479449</v>
      </c>
    </row>
    <row r="8" spans="1:7" x14ac:dyDescent="0.25">
      <c r="A8" s="3" t="s">
        <v>18</v>
      </c>
      <c r="B8" s="3" t="s">
        <v>6</v>
      </c>
      <c r="C8" s="3" t="s">
        <v>19</v>
      </c>
      <c r="D8" s="3">
        <v>2105.5100000000002</v>
      </c>
      <c r="E8" s="3">
        <v>1394.18</v>
      </c>
      <c r="F8" s="3">
        <v>1000.31</v>
      </c>
      <c r="G8" s="3">
        <f>+F8+D8+E8</f>
        <v>4500</v>
      </c>
    </row>
    <row r="9" spans="1:7" x14ac:dyDescent="0.25">
      <c r="A9" s="3" t="s">
        <v>28</v>
      </c>
      <c r="B9" s="3" t="s">
        <v>6</v>
      </c>
      <c r="C9" s="3" t="s">
        <v>29</v>
      </c>
      <c r="D9" s="3">
        <v>3109.74</v>
      </c>
      <c r="E9" s="3">
        <v>1268.6500000000001</v>
      </c>
      <c r="F9" s="3">
        <v>1121.5999999999999</v>
      </c>
      <c r="G9" s="3">
        <f t="shared" ref="G9:G54" si="0">+F9+D9+E9</f>
        <v>5499.99</v>
      </c>
    </row>
    <row r="10" spans="1:7" x14ac:dyDescent="0.25">
      <c r="A10" s="3" t="s">
        <v>22</v>
      </c>
      <c r="B10" s="3" t="s">
        <v>6</v>
      </c>
      <c r="C10" s="3" t="s">
        <v>23</v>
      </c>
      <c r="D10" s="3">
        <v>1882.39</v>
      </c>
      <c r="E10" s="3">
        <v>1617.3</v>
      </c>
      <c r="F10" s="3">
        <v>1000.31</v>
      </c>
      <c r="G10" s="3">
        <f t="shared" si="0"/>
        <v>4500</v>
      </c>
    </row>
    <row r="11" spans="1:7" x14ac:dyDescent="0.25">
      <c r="A11" s="3" t="s">
        <v>42</v>
      </c>
      <c r="B11" s="3" t="s">
        <v>6</v>
      </c>
      <c r="C11" s="3" t="s">
        <v>43</v>
      </c>
      <c r="D11" s="3">
        <v>2165.48</v>
      </c>
      <c r="E11" s="3">
        <v>1334.21</v>
      </c>
      <c r="F11" s="3">
        <v>725.31</v>
      </c>
      <c r="G11" s="3">
        <f t="shared" si="0"/>
        <v>4225</v>
      </c>
    </row>
    <row r="12" spans="1:7" x14ac:dyDescent="0.25">
      <c r="A12" s="3" t="s">
        <v>24</v>
      </c>
      <c r="B12" s="3" t="s">
        <v>6</v>
      </c>
      <c r="C12" s="3" t="s">
        <v>25</v>
      </c>
      <c r="D12" s="3">
        <v>3156.22</v>
      </c>
      <c r="E12" s="3">
        <v>934.91</v>
      </c>
      <c r="F12" s="3">
        <v>907.87</v>
      </c>
      <c r="G12" s="3">
        <f t="shared" si="0"/>
        <v>4999</v>
      </c>
    </row>
    <row r="13" spans="1:7" x14ac:dyDescent="0.25">
      <c r="A13" s="3" t="s">
        <v>74</v>
      </c>
      <c r="B13" s="3" t="s">
        <v>58</v>
      </c>
      <c r="C13" s="3" t="s">
        <v>75</v>
      </c>
      <c r="D13" s="3">
        <v>3947.3665304931505</v>
      </c>
      <c r="E13" s="3">
        <v>0</v>
      </c>
      <c r="F13" s="3">
        <v>552.72</v>
      </c>
      <c r="G13" s="3">
        <f t="shared" si="0"/>
        <v>4500.0865304931503</v>
      </c>
    </row>
    <row r="14" spans="1:7" x14ac:dyDescent="0.25">
      <c r="A14" s="3" t="s">
        <v>108</v>
      </c>
      <c r="B14" s="3" t="s">
        <v>58</v>
      </c>
      <c r="C14" s="3" t="s">
        <v>109</v>
      </c>
      <c r="D14" s="3">
        <v>2143.6576129506129</v>
      </c>
      <c r="E14" s="3">
        <v>1403.1213651315788</v>
      </c>
      <c r="F14" s="3">
        <v>453.22102191780868</v>
      </c>
      <c r="G14" s="3">
        <f t="shared" si="0"/>
        <v>4000.0000000000005</v>
      </c>
    </row>
    <row r="15" spans="1:7" x14ac:dyDescent="0.25">
      <c r="A15" s="3" t="s">
        <v>78</v>
      </c>
      <c r="B15" s="3" t="s">
        <v>58</v>
      </c>
      <c r="C15" s="3" t="s">
        <v>79</v>
      </c>
      <c r="D15" s="3">
        <v>2847.1469578630135</v>
      </c>
      <c r="E15" s="3">
        <v>0</v>
      </c>
      <c r="F15" s="3">
        <v>152.9</v>
      </c>
      <c r="G15" s="3">
        <f t="shared" si="0"/>
        <v>3000.0469578630136</v>
      </c>
    </row>
    <row r="16" spans="1:7" x14ac:dyDescent="0.25">
      <c r="A16" s="3" t="s">
        <v>40</v>
      </c>
      <c r="B16" s="3" t="s">
        <v>6</v>
      </c>
      <c r="C16" s="3" t="s">
        <v>41</v>
      </c>
      <c r="D16" s="3">
        <v>3499.69</v>
      </c>
      <c r="E16" s="3"/>
      <c r="F16" s="3">
        <v>1000.31</v>
      </c>
      <c r="G16" s="3">
        <f t="shared" si="0"/>
        <v>4500</v>
      </c>
    </row>
    <row r="17" spans="1:7" x14ac:dyDescent="0.25">
      <c r="A17" s="3" t="s">
        <v>34</v>
      </c>
      <c r="B17" s="3" t="s">
        <v>6</v>
      </c>
      <c r="C17" s="3" t="s">
        <v>35</v>
      </c>
      <c r="D17" s="3">
        <v>1791.88</v>
      </c>
      <c r="E17" s="3">
        <v>1707.81</v>
      </c>
      <c r="F17" s="3">
        <v>1000.31</v>
      </c>
      <c r="G17" s="3">
        <f t="shared" si="0"/>
        <v>4500</v>
      </c>
    </row>
    <row r="18" spans="1:7" x14ac:dyDescent="0.25">
      <c r="A18" s="3" t="s">
        <v>84</v>
      </c>
      <c r="B18" s="3" t="s">
        <v>58</v>
      </c>
      <c r="C18" s="3" t="s">
        <v>85</v>
      </c>
      <c r="D18" s="3">
        <v>3946.5112222739726</v>
      </c>
      <c r="E18" s="3">
        <v>0</v>
      </c>
      <c r="F18" s="3">
        <v>553.57000000000005</v>
      </c>
      <c r="G18" s="3">
        <f t="shared" si="0"/>
        <v>4500.0812222739723</v>
      </c>
    </row>
    <row r="19" spans="1:7" x14ac:dyDescent="0.25">
      <c r="A19" s="3" t="s">
        <v>66</v>
      </c>
      <c r="B19" s="3" t="s">
        <v>58</v>
      </c>
      <c r="C19" s="3" t="s">
        <v>67</v>
      </c>
      <c r="D19" s="3">
        <v>3947.2809996712331</v>
      </c>
      <c r="E19" s="3">
        <v>0</v>
      </c>
      <c r="F19" s="3">
        <v>552.72</v>
      </c>
      <c r="G19" s="3">
        <f t="shared" si="0"/>
        <v>4500.0009996712333</v>
      </c>
    </row>
    <row r="20" spans="1:7" x14ac:dyDescent="0.25">
      <c r="A20" s="3" t="s">
        <v>8</v>
      </c>
      <c r="B20" s="3" t="s">
        <v>6</v>
      </c>
      <c r="C20" s="3" t="s">
        <v>9</v>
      </c>
      <c r="D20" s="3">
        <v>2932.8376972050487</v>
      </c>
      <c r="E20" s="3">
        <v>0</v>
      </c>
      <c r="F20" s="3">
        <v>1567.16</v>
      </c>
      <c r="G20" s="3">
        <f t="shared" si="0"/>
        <v>4499.997697205049</v>
      </c>
    </row>
    <row r="21" spans="1:7" x14ac:dyDescent="0.25">
      <c r="A21" s="3" t="s">
        <v>20</v>
      </c>
      <c r="B21" s="3" t="s">
        <v>6</v>
      </c>
      <c r="C21" s="3" t="s">
        <v>21</v>
      </c>
      <c r="D21" s="3">
        <v>4857.84</v>
      </c>
      <c r="E21" s="3"/>
      <c r="F21" s="3">
        <v>1392.16</v>
      </c>
      <c r="G21" s="3">
        <f t="shared" si="0"/>
        <v>6250</v>
      </c>
    </row>
    <row r="22" spans="1:7" x14ac:dyDescent="0.25">
      <c r="A22" s="3" t="s">
        <v>64</v>
      </c>
      <c r="B22" s="3" t="s">
        <v>58</v>
      </c>
      <c r="C22" s="3" t="s">
        <v>65</v>
      </c>
      <c r="D22" s="3">
        <v>3546.8093890410964</v>
      </c>
      <c r="E22" s="3">
        <v>0</v>
      </c>
      <c r="F22" s="3">
        <v>453.19</v>
      </c>
      <c r="G22" s="3">
        <f t="shared" si="0"/>
        <v>3999.9993890410965</v>
      </c>
    </row>
    <row r="23" spans="1:7" x14ac:dyDescent="0.25">
      <c r="A23" s="3" t="s">
        <v>70</v>
      </c>
      <c r="B23" s="3" t="s">
        <v>58</v>
      </c>
      <c r="C23" s="3" t="s">
        <v>71</v>
      </c>
      <c r="D23" s="3">
        <v>6823.3498032260286</v>
      </c>
      <c r="E23" s="3">
        <v>0</v>
      </c>
      <c r="F23" s="3">
        <v>1451.81</v>
      </c>
      <c r="G23" s="3">
        <f t="shared" si="0"/>
        <v>8275.1598032260281</v>
      </c>
    </row>
    <row r="24" spans="1:7" x14ac:dyDescent="0.25">
      <c r="A24" s="3" t="s">
        <v>86</v>
      </c>
      <c r="B24" s="3" t="s">
        <v>58</v>
      </c>
      <c r="C24" s="3" t="s">
        <v>87</v>
      </c>
      <c r="D24" s="3">
        <v>3747.3421633424659</v>
      </c>
      <c r="F24" s="3">
        <v>2252.66</v>
      </c>
      <c r="G24" s="3">
        <f t="shared" si="0"/>
        <v>6000.0021633424658</v>
      </c>
    </row>
    <row r="25" spans="1:7" x14ac:dyDescent="0.25">
      <c r="A25" s="3" t="s">
        <v>10</v>
      </c>
      <c r="B25" s="3" t="s">
        <v>6</v>
      </c>
      <c r="C25" s="3" t="s">
        <v>11</v>
      </c>
      <c r="D25" s="3">
        <v>2770.6069535821916</v>
      </c>
      <c r="E25" s="3">
        <v>0</v>
      </c>
      <c r="F25" s="3">
        <v>1479.43</v>
      </c>
      <c r="G25" s="3">
        <f t="shared" si="0"/>
        <v>4250.0369535821919</v>
      </c>
    </row>
    <row r="26" spans="1:7" x14ac:dyDescent="0.25">
      <c r="A26" s="3" t="s">
        <v>32</v>
      </c>
      <c r="B26" s="3" t="s">
        <v>6</v>
      </c>
      <c r="C26" s="3" t="s">
        <v>33</v>
      </c>
      <c r="D26" s="3">
        <v>4857.84</v>
      </c>
      <c r="E26" s="3"/>
      <c r="F26" s="3">
        <v>1392.16</v>
      </c>
      <c r="G26" s="3">
        <f t="shared" si="0"/>
        <v>6250</v>
      </c>
    </row>
    <row r="27" spans="1:7" x14ac:dyDescent="0.25">
      <c r="A27" s="3" t="s">
        <v>72</v>
      </c>
      <c r="B27" s="3" t="s">
        <v>58</v>
      </c>
      <c r="C27" s="3" t="s">
        <v>73</v>
      </c>
      <c r="D27" s="3">
        <v>3946.5112222739726</v>
      </c>
      <c r="E27" s="3">
        <v>0</v>
      </c>
      <c r="F27" s="3">
        <v>553.57000000000005</v>
      </c>
      <c r="G27" s="3">
        <f t="shared" si="0"/>
        <v>4500.0812222739723</v>
      </c>
    </row>
    <row r="28" spans="1:7" x14ac:dyDescent="0.25">
      <c r="A28" s="3" t="s">
        <v>100</v>
      </c>
      <c r="B28" s="3" t="s">
        <v>58</v>
      </c>
      <c r="C28" s="3" t="s">
        <v>101</v>
      </c>
      <c r="D28" s="3">
        <v>2847.5373688219179</v>
      </c>
      <c r="E28" s="3">
        <v>0</v>
      </c>
      <c r="F28" s="3">
        <v>152.46</v>
      </c>
      <c r="G28" s="3">
        <f t="shared" si="0"/>
        <v>2999.9973688219179</v>
      </c>
    </row>
    <row r="29" spans="1:7" x14ac:dyDescent="0.25">
      <c r="A29" s="3" t="s">
        <v>30</v>
      </c>
      <c r="B29" s="3" t="s">
        <v>6</v>
      </c>
      <c r="C29" s="3" t="s">
        <v>31</v>
      </c>
      <c r="D29" s="3">
        <v>5720.15</v>
      </c>
      <c r="E29" s="3"/>
      <c r="F29" s="3">
        <v>3054.85</v>
      </c>
      <c r="G29" s="3">
        <f t="shared" si="0"/>
        <v>8775</v>
      </c>
    </row>
    <row r="30" spans="1:7" x14ac:dyDescent="0.25">
      <c r="A30" s="3" t="s">
        <v>88</v>
      </c>
      <c r="B30" s="3" t="s">
        <v>58</v>
      </c>
      <c r="C30" s="3" t="s">
        <v>89</v>
      </c>
      <c r="D30" s="3">
        <v>3546.5813068493148</v>
      </c>
      <c r="E30" s="3"/>
      <c r="F30" s="3">
        <v>453.42</v>
      </c>
      <c r="G30" s="3">
        <f t="shared" si="0"/>
        <v>4000.0013068493149</v>
      </c>
    </row>
    <row r="31" spans="1:7" x14ac:dyDescent="0.25">
      <c r="A31" s="3" t="s">
        <v>26</v>
      </c>
      <c r="B31" s="3" t="s">
        <v>6</v>
      </c>
      <c r="C31" s="3" t="s">
        <v>27</v>
      </c>
      <c r="D31" s="3">
        <v>4469.1400000000003</v>
      </c>
      <c r="E31" s="3"/>
      <c r="F31" s="3">
        <v>530.86</v>
      </c>
      <c r="G31" s="3">
        <f t="shared" si="0"/>
        <v>5000</v>
      </c>
    </row>
    <row r="32" spans="1:7" x14ac:dyDescent="0.25">
      <c r="A32" s="3" t="s">
        <v>116</v>
      </c>
      <c r="B32" s="3" t="s">
        <v>58</v>
      </c>
      <c r="C32" s="3" t="s">
        <v>117</v>
      </c>
      <c r="D32" s="3">
        <v>2612.241922161139</v>
      </c>
      <c r="E32" s="3">
        <v>934.53705592105268</v>
      </c>
      <c r="F32" s="3">
        <v>453.22102191780868</v>
      </c>
      <c r="G32" s="3">
        <f t="shared" si="0"/>
        <v>4000.0000000000005</v>
      </c>
    </row>
    <row r="33" spans="1:7" x14ac:dyDescent="0.25">
      <c r="A33" s="3"/>
      <c r="B33" s="3"/>
      <c r="C33" s="3" t="s">
        <v>125</v>
      </c>
      <c r="D33" s="3">
        <v>3546.7789780821922</v>
      </c>
      <c r="F33" s="3">
        <v>453.22</v>
      </c>
      <c r="G33" s="3">
        <f t="shared" si="0"/>
        <v>3999.9989780821925</v>
      </c>
    </row>
    <row r="34" spans="1:7" x14ac:dyDescent="0.25">
      <c r="A34" s="3" t="s">
        <v>38</v>
      </c>
      <c r="B34" s="3" t="s">
        <v>6</v>
      </c>
      <c r="C34" s="3" t="s">
        <v>39</v>
      </c>
      <c r="D34" s="3">
        <v>4357.49</v>
      </c>
      <c r="E34" s="3">
        <v>354.58</v>
      </c>
      <c r="F34" s="3">
        <v>1537.93</v>
      </c>
      <c r="G34" s="3">
        <f t="shared" si="0"/>
        <v>6250</v>
      </c>
    </row>
    <row r="35" spans="1:7" x14ac:dyDescent="0.25">
      <c r="A35" s="3" t="s">
        <v>96</v>
      </c>
      <c r="B35" s="3" t="s">
        <v>58</v>
      </c>
      <c r="C35" s="3" t="s">
        <v>97</v>
      </c>
      <c r="D35" s="3">
        <v>1475.8895890093727</v>
      </c>
      <c r="E35" s="3">
        <v>1371.5794578947368</v>
      </c>
      <c r="F35" s="3">
        <v>152.53</v>
      </c>
      <c r="G35" s="3">
        <f t="shared" si="0"/>
        <v>2999.9990469041095</v>
      </c>
    </row>
    <row r="36" spans="1:7" x14ac:dyDescent="0.25">
      <c r="A36" s="3" t="s">
        <v>76</v>
      </c>
      <c r="B36" s="3" t="s">
        <v>58</v>
      </c>
      <c r="C36" s="3" t="s">
        <v>77</v>
      </c>
      <c r="D36" s="3">
        <v>3546.1251424657539</v>
      </c>
      <c r="E36" s="3">
        <v>0</v>
      </c>
      <c r="F36" s="3">
        <v>453.95</v>
      </c>
      <c r="G36" s="3">
        <f t="shared" si="0"/>
        <v>4000.0751424657537</v>
      </c>
    </row>
    <row r="37" spans="1:7" x14ac:dyDescent="0.25">
      <c r="A37" s="3" t="s">
        <v>16</v>
      </c>
      <c r="B37" s="3" t="s">
        <v>6</v>
      </c>
      <c r="C37" s="3" t="s">
        <v>17</v>
      </c>
      <c r="D37" s="3">
        <v>4857.84</v>
      </c>
      <c r="E37" s="3"/>
      <c r="F37" s="3">
        <v>1392.16</v>
      </c>
      <c r="G37" s="3">
        <f t="shared" si="0"/>
        <v>6250</v>
      </c>
    </row>
    <row r="38" spans="1:7" x14ac:dyDescent="0.25">
      <c r="A38" s="3" t="s">
        <v>44</v>
      </c>
      <c r="B38" s="3" t="s">
        <v>6</v>
      </c>
      <c r="C38" s="3" t="s">
        <v>45</v>
      </c>
      <c r="D38" s="3">
        <v>5433.67</v>
      </c>
      <c r="E38" s="3"/>
      <c r="F38" s="3">
        <v>2566.33</v>
      </c>
      <c r="G38" s="3">
        <f t="shared" si="0"/>
        <v>8000</v>
      </c>
    </row>
    <row r="39" spans="1:7" x14ac:dyDescent="0.25">
      <c r="A39" s="3" t="s">
        <v>82</v>
      </c>
      <c r="B39" s="3" t="s">
        <v>58</v>
      </c>
      <c r="C39" s="3" t="s">
        <v>83</v>
      </c>
      <c r="D39" s="3">
        <v>3546.1251424657539</v>
      </c>
      <c r="E39" s="3">
        <v>0</v>
      </c>
      <c r="F39" s="3">
        <v>453.95</v>
      </c>
      <c r="G39" s="3">
        <f t="shared" si="0"/>
        <v>4000.0751424657537</v>
      </c>
    </row>
    <row r="40" spans="1:7" x14ac:dyDescent="0.25">
      <c r="A40" s="3" t="s">
        <v>92</v>
      </c>
      <c r="B40" s="3" t="s">
        <v>58</v>
      </c>
      <c r="C40" s="3" t="s">
        <v>93</v>
      </c>
      <c r="D40" s="3"/>
      <c r="E40" s="3"/>
      <c r="F40" s="3"/>
      <c r="G40" s="3">
        <f t="shared" si="0"/>
        <v>0</v>
      </c>
    </row>
    <row r="41" spans="1:7" x14ac:dyDescent="0.25">
      <c r="A41" s="3" t="s">
        <v>80</v>
      </c>
      <c r="B41" s="3" t="s">
        <v>58</v>
      </c>
      <c r="C41" s="3" t="s">
        <v>81</v>
      </c>
      <c r="D41" s="3">
        <v>2278.9976136849314</v>
      </c>
      <c r="E41" s="3">
        <v>0</v>
      </c>
      <c r="F41" s="3">
        <v>31.04</v>
      </c>
      <c r="G41" s="3">
        <f t="shared" si="0"/>
        <v>2310.0376136849313</v>
      </c>
    </row>
    <row r="42" spans="1:7" x14ac:dyDescent="0.25">
      <c r="A42" s="3" t="s">
        <v>36</v>
      </c>
      <c r="B42" s="3" t="s">
        <v>6</v>
      </c>
      <c r="C42" s="3" t="s">
        <v>37</v>
      </c>
      <c r="D42" s="3">
        <v>1578.82</v>
      </c>
      <c r="E42" s="3">
        <v>1920.87</v>
      </c>
      <c r="F42" s="3">
        <v>1000.31</v>
      </c>
      <c r="G42" s="3">
        <f t="shared" si="0"/>
        <v>4500</v>
      </c>
    </row>
    <row r="43" spans="1:7" x14ac:dyDescent="0.25">
      <c r="A43" s="3" t="s">
        <v>12</v>
      </c>
      <c r="B43" s="3" t="s">
        <v>6</v>
      </c>
      <c r="C43" s="3" t="s">
        <v>13</v>
      </c>
      <c r="D43" s="3">
        <v>2902.3600571780821</v>
      </c>
      <c r="E43" s="3">
        <v>0</v>
      </c>
      <c r="F43" s="3">
        <v>1597.64</v>
      </c>
      <c r="G43" s="3">
        <f t="shared" si="0"/>
        <v>4500.000057178082</v>
      </c>
    </row>
    <row r="44" spans="1:7" x14ac:dyDescent="0.25">
      <c r="A44" s="3" t="s">
        <v>112</v>
      </c>
      <c r="B44" s="3" t="s">
        <v>58</v>
      </c>
      <c r="C44" s="3" t="s">
        <v>113</v>
      </c>
      <c r="D44" s="3"/>
      <c r="E44" s="3">
        <v>1414.95</v>
      </c>
      <c r="F44" s="3">
        <v>453.22102191780778</v>
      </c>
      <c r="G44" s="3">
        <f t="shared" si="0"/>
        <v>1868.1710219178078</v>
      </c>
    </row>
    <row r="45" spans="1:7" x14ac:dyDescent="0.25">
      <c r="A45" s="3" t="s">
        <v>94</v>
      </c>
      <c r="B45" s="3" t="s">
        <v>58</v>
      </c>
      <c r="C45" s="3" t="s">
        <v>95</v>
      </c>
      <c r="D45" s="3"/>
      <c r="E45" s="3"/>
      <c r="F45" s="3"/>
      <c r="G45" s="3">
        <f t="shared" si="0"/>
        <v>0</v>
      </c>
    </row>
    <row r="46" spans="1:7" x14ac:dyDescent="0.25">
      <c r="A46" s="3" t="s">
        <v>114</v>
      </c>
      <c r="B46" s="3" t="s">
        <v>58</v>
      </c>
      <c r="C46" s="3" t="s">
        <v>115</v>
      </c>
      <c r="D46" s="3">
        <v>3039.1080734769284</v>
      </c>
      <c r="E46" s="3">
        <v>507.67090460526316</v>
      </c>
      <c r="F46" s="3">
        <v>453.22102191780868</v>
      </c>
      <c r="G46" s="3">
        <f t="shared" si="0"/>
        <v>4000.0000000000005</v>
      </c>
    </row>
    <row r="47" spans="1:7" x14ac:dyDescent="0.25">
      <c r="A47" s="3" t="s">
        <v>62</v>
      </c>
      <c r="B47" s="3" t="s">
        <v>58</v>
      </c>
      <c r="C47" s="3" t="s">
        <v>63</v>
      </c>
      <c r="D47" s="3">
        <v>2847.4885674520542</v>
      </c>
      <c r="E47" s="3">
        <v>0</v>
      </c>
      <c r="F47" s="3">
        <v>152.51</v>
      </c>
      <c r="G47" s="3">
        <f t="shared" si="0"/>
        <v>2999.998567452054</v>
      </c>
    </row>
    <row r="48" spans="1:7" x14ac:dyDescent="0.25">
      <c r="A48" s="3" t="s">
        <v>5</v>
      </c>
      <c r="B48" s="3" t="s">
        <v>6</v>
      </c>
      <c r="C48" s="3" t="s">
        <v>7</v>
      </c>
      <c r="D48" s="3">
        <v>3274.429274783749</v>
      </c>
      <c r="E48" s="3">
        <v>0</v>
      </c>
      <c r="F48" s="3">
        <v>1725.57</v>
      </c>
      <c r="G48" s="3">
        <f t="shared" si="0"/>
        <v>4999.9992747837487</v>
      </c>
    </row>
    <row r="49" spans="1:7" x14ac:dyDescent="0.25">
      <c r="A49" s="3" t="s">
        <v>110</v>
      </c>
      <c r="B49" s="3" t="s">
        <v>58</v>
      </c>
      <c r="C49" s="3" t="s">
        <v>111</v>
      </c>
      <c r="D49" s="3">
        <v>5392.9098316146356</v>
      </c>
      <c r="E49" s="3">
        <v>845.1410032894737</v>
      </c>
      <c r="F49" s="3">
        <v>1261.9491650958907</v>
      </c>
      <c r="G49" s="3">
        <f t="shared" si="0"/>
        <v>7500</v>
      </c>
    </row>
    <row r="50" spans="1:7" x14ac:dyDescent="0.25">
      <c r="A50" s="3" t="s">
        <v>14</v>
      </c>
      <c r="B50" s="3" t="s">
        <v>6</v>
      </c>
      <c r="C50" s="3" t="s">
        <v>15</v>
      </c>
      <c r="D50" s="3">
        <v>3179.5199886849314</v>
      </c>
      <c r="E50" s="3">
        <v>0</v>
      </c>
      <c r="F50" s="3">
        <v>1820.48</v>
      </c>
      <c r="G50" s="3">
        <f t="shared" si="0"/>
        <v>4999.9999886849309</v>
      </c>
    </row>
    <row r="51" spans="1:7" x14ac:dyDescent="0.25">
      <c r="A51" s="3" t="s">
        <v>68</v>
      </c>
      <c r="B51" s="3" t="s">
        <v>58</v>
      </c>
      <c r="C51" s="3" t="s">
        <v>69</v>
      </c>
      <c r="D51" s="3">
        <v>3546.2771972602745</v>
      </c>
      <c r="E51" s="3">
        <v>0</v>
      </c>
      <c r="F51" s="3">
        <v>453.8</v>
      </c>
      <c r="G51" s="3">
        <f t="shared" si="0"/>
        <v>4000.0771972602747</v>
      </c>
    </row>
    <row r="52" spans="1:7" x14ac:dyDescent="0.25">
      <c r="A52" s="3" t="s">
        <v>57</v>
      </c>
      <c r="B52" s="3" t="s">
        <v>58</v>
      </c>
      <c r="C52" s="3" t="s">
        <v>59</v>
      </c>
      <c r="D52" s="3">
        <v>3258.9921784109583</v>
      </c>
      <c r="E52" s="3">
        <v>0</v>
      </c>
      <c r="F52" s="3">
        <v>241.01</v>
      </c>
      <c r="G52" s="3">
        <f t="shared" si="0"/>
        <v>3500.0021784109585</v>
      </c>
    </row>
    <row r="53" spans="1:7" x14ac:dyDescent="0.25">
      <c r="A53" s="3" t="s">
        <v>98</v>
      </c>
      <c r="B53" s="3" t="s">
        <v>58</v>
      </c>
      <c r="C53" s="3" t="s">
        <v>99</v>
      </c>
      <c r="D53" s="3">
        <v>3546.7789780821922</v>
      </c>
      <c r="E53" s="3"/>
      <c r="F53" s="3">
        <v>453.22</v>
      </c>
      <c r="G53" s="3">
        <f t="shared" si="0"/>
        <v>3999.9989780821925</v>
      </c>
    </row>
    <row r="54" spans="1:7" x14ac:dyDescent="0.25">
      <c r="A54" s="3" t="s">
        <v>90</v>
      </c>
      <c r="B54" s="3" t="s">
        <v>58</v>
      </c>
      <c r="C54" s="3" t="s">
        <v>91</v>
      </c>
      <c r="D54" s="3"/>
      <c r="E54" s="3"/>
      <c r="F54" s="3"/>
      <c r="G54" s="3">
        <f t="shared" si="0"/>
        <v>0</v>
      </c>
    </row>
    <row r="56" spans="1:7" x14ac:dyDescent="0.25">
      <c r="D56" s="6">
        <f>SUM(D7:D55)</f>
        <v>152047.16507095491</v>
      </c>
      <c r="E56" s="6">
        <f>SUM(E7:E55)</f>
        <v>17009.509786842107</v>
      </c>
      <c r="F56" s="6">
        <f>SUM(F7:F55)</f>
        <v>41096.243252767134</v>
      </c>
      <c r="G56" s="6">
        <f>SUM(G7:G55)</f>
        <v>210152.91811056412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135"/>
  <sheetViews>
    <sheetView topLeftCell="A32" workbookViewId="0">
      <selection activeCell="B51" sqref="B51"/>
    </sheetView>
  </sheetViews>
  <sheetFormatPr baseColWidth="10" defaultColWidth="11.42578125" defaultRowHeight="15" x14ac:dyDescent="0.25"/>
  <cols>
    <col min="1" max="1" width="46.5703125" style="12" customWidth="1"/>
    <col min="2" max="2" width="14.42578125" style="15" customWidth="1"/>
    <col min="3" max="3" width="11.42578125" style="15"/>
    <col min="4" max="16384" width="11.42578125" style="12"/>
  </cols>
  <sheetData>
    <row r="1" spans="1:5" x14ac:dyDescent="0.25">
      <c r="A1" s="16" t="s">
        <v>129</v>
      </c>
      <c r="B1" s="16"/>
      <c r="C1" s="16"/>
    </row>
    <row r="2" spans="1:5" x14ac:dyDescent="0.25">
      <c r="A2" s="13" t="s">
        <v>130</v>
      </c>
      <c r="B2" s="14"/>
      <c r="C2" s="14"/>
    </row>
    <row r="3" spans="1:5" x14ac:dyDescent="0.25">
      <c r="A3" s="19" t="s">
        <v>9</v>
      </c>
      <c r="B3" s="15">
        <v>9000</v>
      </c>
    </row>
    <row r="4" spans="1:5" x14ac:dyDescent="0.25">
      <c r="A4" s="19" t="s">
        <v>7</v>
      </c>
      <c r="B4" s="15">
        <v>10000</v>
      </c>
    </row>
    <row r="5" spans="1:5" x14ac:dyDescent="0.25">
      <c r="A5" s="19" t="s">
        <v>11</v>
      </c>
      <c r="B5" s="15">
        <v>8500</v>
      </c>
    </row>
    <row r="6" spans="1:5" x14ac:dyDescent="0.25">
      <c r="A6" s="19" t="s">
        <v>13</v>
      </c>
      <c r="B6" s="15">
        <v>9000</v>
      </c>
    </row>
    <row r="7" spans="1:5" x14ac:dyDescent="0.25">
      <c r="A7" s="19" t="s">
        <v>131</v>
      </c>
      <c r="B7" s="15">
        <v>11150</v>
      </c>
    </row>
    <row r="8" spans="1:5" x14ac:dyDescent="0.25">
      <c r="A8" s="19" t="s">
        <v>31</v>
      </c>
      <c r="B8" s="15">
        <v>22000</v>
      </c>
    </row>
    <row r="9" spans="1:5" x14ac:dyDescent="0.25">
      <c r="A9" s="19" t="s">
        <v>145</v>
      </c>
      <c r="B9" s="15">
        <v>22000</v>
      </c>
    </row>
    <row r="10" spans="1:5" x14ac:dyDescent="0.25">
      <c r="A10" s="19" t="s">
        <v>144</v>
      </c>
      <c r="B10" s="15">
        <v>10250</v>
      </c>
    </row>
    <row r="11" spans="1:5" x14ac:dyDescent="0.25">
      <c r="A11" s="19" t="s">
        <v>19</v>
      </c>
      <c r="B11" s="15">
        <v>10150</v>
      </c>
      <c r="E11" s="24"/>
    </row>
    <row r="12" spans="1:5" x14ac:dyDescent="0.25">
      <c r="A12" s="19" t="s">
        <v>17</v>
      </c>
      <c r="B12" s="15">
        <v>15000</v>
      </c>
    </row>
    <row r="13" spans="1:5" x14ac:dyDescent="0.25">
      <c r="A13" s="19" t="s">
        <v>23</v>
      </c>
      <c r="B13" s="15">
        <v>10150</v>
      </c>
      <c r="C13" s="15">
        <f>+B13/30</f>
        <v>338.33333333333331</v>
      </c>
      <c r="D13" s="15">
        <f>+C13*2</f>
        <v>676.66666666666663</v>
      </c>
      <c r="E13" s="12">
        <f>+D13*0.3</f>
        <v>202.99999999999997</v>
      </c>
    </row>
    <row r="14" spans="1:5" x14ac:dyDescent="0.25">
      <c r="A14" s="19" t="s">
        <v>25</v>
      </c>
      <c r="B14" s="15">
        <v>12000</v>
      </c>
    </row>
    <row r="15" spans="1:5" x14ac:dyDescent="0.25">
      <c r="A15" s="19" t="s">
        <v>175</v>
      </c>
      <c r="B15" s="15">
        <v>15000</v>
      </c>
    </row>
    <row r="16" spans="1:5" x14ac:dyDescent="0.25">
      <c r="A16" s="19" t="s">
        <v>29</v>
      </c>
      <c r="B16" s="15">
        <v>13000</v>
      </c>
    </row>
    <row r="17" spans="1:5" x14ac:dyDescent="0.25">
      <c r="A17" s="19" t="s">
        <v>35</v>
      </c>
      <c r="B17" s="15">
        <v>9000</v>
      </c>
    </row>
    <row r="18" spans="1:5" x14ac:dyDescent="0.25">
      <c r="A18" s="19" t="s">
        <v>143</v>
      </c>
      <c r="B18" s="15">
        <v>15000</v>
      </c>
    </row>
    <row r="19" spans="1:5" x14ac:dyDescent="0.25">
      <c r="A19" s="19" t="s">
        <v>39</v>
      </c>
      <c r="B19" s="15">
        <v>10000</v>
      </c>
    </row>
    <row r="20" spans="1:5" x14ac:dyDescent="0.25">
      <c r="A20" s="19" t="s">
        <v>27</v>
      </c>
      <c r="B20" s="15">
        <v>14500</v>
      </c>
      <c r="E20" s="24"/>
    </row>
    <row r="21" spans="1:5" x14ac:dyDescent="0.25">
      <c r="A21" s="19" t="s">
        <v>37</v>
      </c>
      <c r="B21" s="15">
        <v>10000</v>
      </c>
    </row>
    <row r="22" spans="1:5" ht="15.75" customHeight="1" x14ac:dyDescent="0.25">
      <c r="A22" s="19" t="s">
        <v>41</v>
      </c>
      <c r="B22" s="15">
        <v>10150</v>
      </c>
    </row>
    <row r="23" spans="1:5" x14ac:dyDescent="0.25">
      <c r="A23" s="19" t="s">
        <v>59</v>
      </c>
      <c r="B23" s="15">
        <v>7000</v>
      </c>
    </row>
    <row r="24" spans="1:5" x14ac:dyDescent="0.25">
      <c r="A24" s="19" t="s">
        <v>61</v>
      </c>
      <c r="B24" s="15">
        <v>6900</v>
      </c>
    </row>
    <row r="25" spans="1:5" x14ac:dyDescent="0.25">
      <c r="A25" s="19" t="s">
        <v>63</v>
      </c>
      <c r="B25" s="15">
        <v>6000</v>
      </c>
    </row>
    <row r="26" spans="1:5" x14ac:dyDescent="0.25">
      <c r="A26" s="19" t="s">
        <v>65</v>
      </c>
      <c r="B26" s="15">
        <v>8000</v>
      </c>
    </row>
    <row r="27" spans="1:5" x14ac:dyDescent="0.25">
      <c r="A27" s="19" t="s">
        <v>67</v>
      </c>
      <c r="B27" s="15">
        <v>9000</v>
      </c>
    </row>
    <row r="28" spans="1:5" x14ac:dyDescent="0.25">
      <c r="A28" s="19" t="s">
        <v>95</v>
      </c>
      <c r="B28" s="15">
        <v>7000</v>
      </c>
    </row>
    <row r="29" spans="1:5" x14ac:dyDescent="0.25">
      <c r="A29" s="19" t="s">
        <v>93</v>
      </c>
      <c r="B29" s="15">
        <v>10000</v>
      </c>
    </row>
    <row r="30" spans="1:5" x14ac:dyDescent="0.25">
      <c r="A30" s="19" t="s">
        <v>91</v>
      </c>
      <c r="B30" s="15">
        <v>6000</v>
      </c>
    </row>
    <row r="31" spans="1:5" x14ac:dyDescent="0.25">
      <c r="A31" s="19" t="s">
        <v>75</v>
      </c>
      <c r="B31" s="25">
        <v>11000</v>
      </c>
    </row>
    <row r="32" spans="1:5" x14ac:dyDescent="0.25">
      <c r="A32" s="19" t="s">
        <v>79</v>
      </c>
      <c r="B32" s="15">
        <v>6000</v>
      </c>
    </row>
    <row r="33" spans="1:2" x14ac:dyDescent="0.25">
      <c r="A33" s="19" t="s">
        <v>77</v>
      </c>
      <c r="B33" s="15">
        <v>8000</v>
      </c>
    </row>
    <row r="34" spans="1:2" x14ac:dyDescent="0.25">
      <c r="A34" s="19" t="s">
        <v>69</v>
      </c>
      <c r="B34" s="15">
        <v>8000</v>
      </c>
    </row>
    <row r="35" spans="1:2" x14ac:dyDescent="0.25">
      <c r="A35" s="19" t="s">
        <v>89</v>
      </c>
      <c r="B35" s="15">
        <v>8000</v>
      </c>
    </row>
    <row r="36" spans="1:2" x14ac:dyDescent="0.25">
      <c r="A36" s="19" t="s">
        <v>83</v>
      </c>
      <c r="B36" s="15">
        <v>8000</v>
      </c>
    </row>
    <row r="37" spans="1:2" x14ac:dyDescent="0.25">
      <c r="A37" s="17" t="s">
        <v>385</v>
      </c>
      <c r="B37" s="15">
        <v>9000</v>
      </c>
    </row>
    <row r="38" spans="1:2" x14ac:dyDescent="0.25">
      <c r="A38" s="19" t="s">
        <v>81</v>
      </c>
      <c r="B38" s="15">
        <v>4620</v>
      </c>
    </row>
    <row r="39" spans="1:2" x14ac:dyDescent="0.25">
      <c r="A39" s="19" t="s">
        <v>71</v>
      </c>
      <c r="B39" s="15">
        <v>16550</v>
      </c>
    </row>
    <row r="40" spans="1:2" x14ac:dyDescent="0.25">
      <c r="A40" s="19" t="s">
        <v>85</v>
      </c>
      <c r="B40" s="15">
        <v>9000</v>
      </c>
    </row>
    <row r="41" spans="1:2" x14ac:dyDescent="0.25">
      <c r="A41" s="19" t="s">
        <v>87</v>
      </c>
      <c r="B41" s="15">
        <v>12000</v>
      </c>
    </row>
    <row r="42" spans="1:2" x14ac:dyDescent="0.25">
      <c r="A42" s="19" t="s">
        <v>97</v>
      </c>
      <c r="B42" s="15">
        <v>6000</v>
      </c>
    </row>
    <row r="43" spans="1:2" x14ac:dyDescent="0.25">
      <c r="A43" s="19" t="s">
        <v>187</v>
      </c>
      <c r="B43" s="15">
        <v>8000</v>
      </c>
    </row>
    <row r="44" spans="1:2" x14ac:dyDescent="0.25">
      <c r="A44" s="19" t="s">
        <v>103</v>
      </c>
      <c r="B44" s="15">
        <v>6000</v>
      </c>
    </row>
    <row r="45" spans="1:2" x14ac:dyDescent="0.25">
      <c r="A45" s="19" t="s">
        <v>101</v>
      </c>
      <c r="B45" s="15">
        <v>6000</v>
      </c>
    </row>
    <row r="46" spans="1:2" x14ac:dyDescent="0.25">
      <c r="A46" s="19" t="s">
        <v>115</v>
      </c>
      <c r="B46" s="15">
        <v>8500</v>
      </c>
    </row>
    <row r="47" spans="1:2" x14ac:dyDescent="0.25">
      <c r="A47" s="19" t="s">
        <v>117</v>
      </c>
      <c r="B47" s="15">
        <v>8500</v>
      </c>
    </row>
    <row r="48" spans="1:2" x14ac:dyDescent="0.25">
      <c r="A48" s="19" t="s">
        <v>111</v>
      </c>
      <c r="B48" s="15">
        <v>15000</v>
      </c>
    </row>
    <row r="49" spans="1:2" x14ac:dyDescent="0.25">
      <c r="A49" s="19" t="s">
        <v>109</v>
      </c>
      <c r="B49" s="15">
        <v>9050</v>
      </c>
    </row>
    <row r="50" spans="1:2" x14ac:dyDescent="0.25">
      <c r="A50" s="19" t="s">
        <v>113</v>
      </c>
      <c r="B50" s="15">
        <v>8000</v>
      </c>
    </row>
    <row r="51" spans="1:2" x14ac:dyDescent="0.25">
      <c r="A51" s="19" t="s">
        <v>105</v>
      </c>
      <c r="B51" s="15">
        <v>8000</v>
      </c>
    </row>
    <row r="52" spans="1:2" x14ac:dyDescent="0.25">
      <c r="A52" s="19" t="s">
        <v>107</v>
      </c>
      <c r="B52" s="15">
        <v>6900</v>
      </c>
    </row>
    <row r="53" spans="1:2" x14ac:dyDescent="0.25">
      <c r="A53" s="19" t="s">
        <v>139</v>
      </c>
      <c r="B53" s="15">
        <v>10000</v>
      </c>
    </row>
    <row r="54" spans="1:2" x14ac:dyDescent="0.25">
      <c r="A54" s="19" t="s">
        <v>140</v>
      </c>
      <c r="B54" s="15">
        <v>9000</v>
      </c>
    </row>
    <row r="55" spans="1:2" x14ac:dyDescent="0.25">
      <c r="A55" s="19" t="s">
        <v>141</v>
      </c>
      <c r="B55" s="15">
        <v>9000</v>
      </c>
    </row>
    <row r="56" spans="1:2" x14ac:dyDescent="0.25">
      <c r="A56" s="19" t="s">
        <v>142</v>
      </c>
      <c r="B56" s="15">
        <v>17000</v>
      </c>
    </row>
    <row r="57" spans="1:2" x14ac:dyDescent="0.25">
      <c r="A57" s="19" t="s">
        <v>176</v>
      </c>
      <c r="B57" s="15">
        <v>12000</v>
      </c>
    </row>
    <row r="58" spans="1:2" x14ac:dyDescent="0.25">
      <c r="A58" s="19" t="s">
        <v>191</v>
      </c>
      <c r="B58" s="15">
        <v>8000</v>
      </c>
    </row>
    <row r="59" spans="1:2" x14ac:dyDescent="0.25">
      <c r="A59" s="19" t="s">
        <v>221</v>
      </c>
      <c r="B59" s="15">
        <v>2521.1999999999998</v>
      </c>
    </row>
    <row r="60" spans="1:2" x14ac:dyDescent="0.25">
      <c r="A60" s="19" t="s">
        <v>192</v>
      </c>
      <c r="B60" s="15">
        <v>7900</v>
      </c>
    </row>
    <row r="61" spans="1:2" x14ac:dyDescent="0.25">
      <c r="A61" s="19" t="s">
        <v>193</v>
      </c>
      <c r="B61" s="15">
        <v>18500</v>
      </c>
    </row>
    <row r="62" spans="1:2" x14ac:dyDescent="0.25">
      <c r="A62" s="19" t="s">
        <v>334</v>
      </c>
      <c r="B62" s="15">
        <v>40000</v>
      </c>
    </row>
    <row r="63" spans="1:2" x14ac:dyDescent="0.25">
      <c r="A63" s="17" t="s">
        <v>386</v>
      </c>
      <c r="B63" s="15">
        <v>10000</v>
      </c>
    </row>
    <row r="64" spans="1:2" x14ac:dyDescent="0.25">
      <c r="A64" s="17" t="s">
        <v>379</v>
      </c>
      <c r="B64" s="15">
        <v>10000</v>
      </c>
    </row>
    <row r="65" spans="1:2" x14ac:dyDescent="0.25">
      <c r="A65" s="19" t="s">
        <v>194</v>
      </c>
      <c r="B65" s="15">
        <v>9800</v>
      </c>
    </row>
    <row r="66" spans="1:2" x14ac:dyDescent="0.25">
      <c r="A66" s="19" t="s">
        <v>195</v>
      </c>
      <c r="B66" s="15">
        <v>17000</v>
      </c>
    </row>
    <row r="67" spans="1:2" x14ac:dyDescent="0.25">
      <c r="A67" s="19" t="s">
        <v>196</v>
      </c>
      <c r="B67" s="15">
        <v>13000</v>
      </c>
    </row>
    <row r="68" spans="1:2" x14ac:dyDescent="0.25">
      <c r="A68" s="19" t="s">
        <v>197</v>
      </c>
      <c r="B68" s="15">
        <v>10000</v>
      </c>
    </row>
    <row r="69" spans="1:2" x14ac:dyDescent="0.25">
      <c r="A69" s="19" t="s">
        <v>198</v>
      </c>
      <c r="B69" s="15">
        <v>6900</v>
      </c>
    </row>
    <row r="70" spans="1:2" x14ac:dyDescent="0.25">
      <c r="A70" s="19" t="s">
        <v>199</v>
      </c>
      <c r="B70" s="15">
        <v>8500</v>
      </c>
    </row>
    <row r="71" spans="1:2" x14ac:dyDescent="0.25">
      <c r="A71" s="19" t="s">
        <v>200</v>
      </c>
      <c r="B71" s="15">
        <v>12000</v>
      </c>
    </row>
    <row r="72" spans="1:2" x14ac:dyDescent="0.25">
      <c r="A72" s="19" t="s">
        <v>201</v>
      </c>
      <c r="B72" s="15">
        <v>9500</v>
      </c>
    </row>
    <row r="73" spans="1:2" x14ac:dyDescent="0.25">
      <c r="A73" s="19" t="s">
        <v>202</v>
      </c>
      <c r="B73" s="15">
        <v>10000</v>
      </c>
    </row>
    <row r="74" spans="1:2" x14ac:dyDescent="0.25">
      <c r="A74" s="19" t="s">
        <v>203</v>
      </c>
      <c r="B74" s="15">
        <v>16000</v>
      </c>
    </row>
    <row r="75" spans="1:2" x14ac:dyDescent="0.25">
      <c r="A75" s="19" t="s">
        <v>204</v>
      </c>
      <c r="B75" s="15">
        <v>12000</v>
      </c>
    </row>
    <row r="76" spans="1:2" x14ac:dyDescent="0.25">
      <c r="A76" s="19" t="s">
        <v>205</v>
      </c>
      <c r="B76" s="15">
        <v>9800</v>
      </c>
    </row>
    <row r="77" spans="1:2" x14ac:dyDescent="0.25">
      <c r="A77" s="19" t="s">
        <v>206</v>
      </c>
      <c r="B77" s="15">
        <v>43000</v>
      </c>
    </row>
    <row r="78" spans="1:2" x14ac:dyDescent="0.25">
      <c r="A78" s="19" t="s">
        <v>207</v>
      </c>
      <c r="B78" s="15">
        <v>10000</v>
      </c>
    </row>
    <row r="79" spans="1:2" x14ac:dyDescent="0.25">
      <c r="A79" s="19" t="s">
        <v>208</v>
      </c>
      <c r="B79" s="15">
        <v>10000</v>
      </c>
    </row>
    <row r="80" spans="1:2" x14ac:dyDescent="0.25">
      <c r="A80" s="19" t="s">
        <v>209</v>
      </c>
      <c r="B80" s="15">
        <v>2521.1999999999998</v>
      </c>
    </row>
    <row r="81" spans="1:5" x14ac:dyDescent="0.25">
      <c r="A81" s="19" t="s">
        <v>210</v>
      </c>
      <c r="B81" s="15">
        <v>53500</v>
      </c>
    </row>
    <row r="82" spans="1:5" x14ac:dyDescent="0.25">
      <c r="A82" s="19" t="s">
        <v>211</v>
      </c>
      <c r="B82" s="15">
        <v>7500</v>
      </c>
    </row>
    <row r="83" spans="1:5" x14ac:dyDescent="0.25">
      <c r="A83" s="19" t="s">
        <v>212</v>
      </c>
      <c r="B83" s="15">
        <v>11500</v>
      </c>
    </row>
    <row r="84" spans="1:5" x14ac:dyDescent="0.25">
      <c r="A84" s="19" t="s">
        <v>213</v>
      </c>
      <c r="B84" s="15">
        <v>11000</v>
      </c>
    </row>
    <row r="85" spans="1:5" x14ac:dyDescent="0.25">
      <c r="A85" s="19" t="s">
        <v>214</v>
      </c>
      <c r="B85" s="15">
        <v>12000</v>
      </c>
      <c r="C85" s="15">
        <f>+B85/15</f>
        <v>800</v>
      </c>
      <c r="D85" s="12">
        <f>+C85*5</f>
        <v>4000</v>
      </c>
      <c r="E85" s="12">
        <f>+D85*0.3</f>
        <v>1200</v>
      </c>
    </row>
    <row r="86" spans="1:5" x14ac:dyDescent="0.25">
      <c r="A86" s="19" t="s">
        <v>336</v>
      </c>
      <c r="B86" s="15">
        <v>18500</v>
      </c>
    </row>
    <row r="87" spans="1:5" x14ac:dyDescent="0.25">
      <c r="A87" s="18" t="s">
        <v>324</v>
      </c>
      <c r="B87" s="15">
        <v>18000</v>
      </c>
    </row>
    <row r="88" spans="1:5" x14ac:dyDescent="0.25">
      <c r="A88" s="18" t="s">
        <v>330</v>
      </c>
      <c r="B88" s="15">
        <v>22000</v>
      </c>
    </row>
    <row r="89" spans="1:5" x14ac:dyDescent="0.25">
      <c r="A89" s="18" t="s">
        <v>387</v>
      </c>
      <c r="B89" s="15">
        <v>2610.48</v>
      </c>
    </row>
    <row r="90" spans="1:5" x14ac:dyDescent="0.25">
      <c r="A90" s="18" t="s">
        <v>398</v>
      </c>
      <c r="B90" s="15">
        <v>10000</v>
      </c>
    </row>
    <row r="91" spans="1:5" x14ac:dyDescent="0.25">
      <c r="A91" s="21" t="s">
        <v>397</v>
      </c>
      <c r="B91" s="15">
        <v>5000</v>
      </c>
    </row>
    <row r="92" spans="1:5" x14ac:dyDescent="0.25">
      <c r="A92" s="23" t="s">
        <v>400</v>
      </c>
    </row>
    <row r="93" spans="1:5" x14ac:dyDescent="0.25">
      <c r="A93" s="23" t="s">
        <v>401</v>
      </c>
    </row>
    <row r="94" spans="1:5" x14ac:dyDescent="0.25">
      <c r="A94" s="23" t="s">
        <v>402</v>
      </c>
    </row>
    <row r="95" spans="1:5" x14ac:dyDescent="0.25">
      <c r="A95" s="23" t="s">
        <v>403</v>
      </c>
    </row>
    <row r="96" spans="1:5" x14ac:dyDescent="0.25">
      <c r="A96" s="23" t="s">
        <v>404</v>
      </c>
      <c r="B96" s="25"/>
    </row>
    <row r="97" spans="1:2" x14ac:dyDescent="0.25">
      <c r="A97" s="23" t="s">
        <v>405</v>
      </c>
      <c r="B97" s="15">
        <v>8800</v>
      </c>
    </row>
    <row r="98" spans="1:2" x14ac:dyDescent="0.25">
      <c r="A98" s="18"/>
    </row>
    <row r="99" spans="1:2" x14ac:dyDescent="0.25">
      <c r="A99" s="18"/>
    </row>
    <row r="100" spans="1:2" x14ac:dyDescent="0.25">
      <c r="A100" s="18"/>
    </row>
    <row r="101" spans="1:2" x14ac:dyDescent="0.25">
      <c r="A101" s="18"/>
    </row>
    <row r="102" spans="1:2" x14ac:dyDescent="0.25">
      <c r="A102" s="18"/>
    </row>
    <row r="103" spans="1:2" x14ac:dyDescent="0.25">
      <c r="A103" s="18"/>
    </row>
    <row r="104" spans="1:2" x14ac:dyDescent="0.25">
      <c r="A104" s="18"/>
    </row>
    <row r="105" spans="1:2" x14ac:dyDescent="0.25">
      <c r="A105" s="18"/>
    </row>
    <row r="106" spans="1:2" x14ac:dyDescent="0.25">
      <c r="A106" s="18"/>
    </row>
    <row r="107" spans="1:2" x14ac:dyDescent="0.25">
      <c r="A107" s="18"/>
    </row>
    <row r="108" spans="1:2" x14ac:dyDescent="0.25">
      <c r="A108" s="18"/>
    </row>
    <row r="109" spans="1:2" x14ac:dyDescent="0.25">
      <c r="A109" s="18"/>
    </row>
    <row r="110" spans="1:2" x14ac:dyDescent="0.25">
      <c r="A110" s="18"/>
    </row>
    <row r="111" spans="1:2" x14ac:dyDescent="0.25">
      <c r="A111" s="18"/>
    </row>
    <row r="112" spans="1:2" x14ac:dyDescent="0.25">
      <c r="A112" s="18"/>
    </row>
    <row r="113" spans="1:1" x14ac:dyDescent="0.25">
      <c r="A113" s="18"/>
    </row>
    <row r="114" spans="1:1" x14ac:dyDescent="0.25">
      <c r="A114" s="18"/>
    </row>
    <row r="115" spans="1:1" x14ac:dyDescent="0.25">
      <c r="A115" s="18"/>
    </row>
    <row r="116" spans="1:1" x14ac:dyDescent="0.25">
      <c r="A116" s="18"/>
    </row>
    <row r="117" spans="1:1" x14ac:dyDescent="0.25">
      <c r="A117" s="18"/>
    </row>
    <row r="118" spans="1:1" x14ac:dyDescent="0.25">
      <c r="A118" s="18"/>
    </row>
    <row r="119" spans="1:1" x14ac:dyDescent="0.25">
      <c r="A119" s="18"/>
    </row>
    <row r="120" spans="1:1" x14ac:dyDescent="0.25">
      <c r="A120" s="18"/>
    </row>
    <row r="121" spans="1:1" x14ac:dyDescent="0.25">
      <c r="A121" s="18"/>
    </row>
    <row r="122" spans="1:1" x14ac:dyDescent="0.25">
      <c r="A122" s="18"/>
    </row>
    <row r="123" spans="1:1" x14ac:dyDescent="0.25">
      <c r="A123" s="18"/>
    </row>
    <row r="124" spans="1:1" x14ac:dyDescent="0.25">
      <c r="A124" s="18"/>
    </row>
    <row r="125" spans="1:1" x14ac:dyDescent="0.25">
      <c r="A125" s="18"/>
    </row>
    <row r="126" spans="1:1" x14ac:dyDescent="0.25">
      <c r="A126" s="18"/>
    </row>
    <row r="127" spans="1:1" x14ac:dyDescent="0.25">
      <c r="A127" s="18"/>
    </row>
    <row r="128" spans="1:1" x14ac:dyDescent="0.25">
      <c r="A128" s="18"/>
    </row>
    <row r="129" spans="1:1" x14ac:dyDescent="0.25">
      <c r="A129" s="18"/>
    </row>
    <row r="130" spans="1:1" x14ac:dyDescent="0.25">
      <c r="A130" s="18"/>
    </row>
    <row r="131" spans="1:1" x14ac:dyDescent="0.25">
      <c r="A131" s="18"/>
    </row>
    <row r="132" spans="1:1" x14ac:dyDescent="0.25">
      <c r="A132" s="18"/>
    </row>
    <row r="133" spans="1:1" x14ac:dyDescent="0.25">
      <c r="A133" s="18"/>
    </row>
    <row r="134" spans="1:1" x14ac:dyDescent="0.25">
      <c r="A134" s="18"/>
    </row>
    <row r="135" spans="1:1" x14ac:dyDescent="0.25">
      <c r="A135" s="18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B85"/>
  <sheetViews>
    <sheetView topLeftCell="A12" workbookViewId="0">
      <selection activeCell="B31" sqref="B31"/>
    </sheetView>
  </sheetViews>
  <sheetFormatPr baseColWidth="10" defaultRowHeight="15" x14ac:dyDescent="0.25"/>
  <cols>
    <col min="1" max="1" width="40.28515625" bestFit="1" customWidth="1"/>
  </cols>
  <sheetData>
    <row r="1" spans="1:2" x14ac:dyDescent="0.25">
      <c r="A1" s="19" t="s">
        <v>245</v>
      </c>
      <c r="B1">
        <v>9000</v>
      </c>
    </row>
    <row r="2" spans="1:2" x14ac:dyDescent="0.25">
      <c r="A2" s="19" t="s">
        <v>318</v>
      </c>
      <c r="B2">
        <v>10000</v>
      </c>
    </row>
    <row r="3" spans="1:2" x14ac:dyDescent="0.25">
      <c r="A3" s="19" t="s">
        <v>276</v>
      </c>
      <c r="B3">
        <v>8500</v>
      </c>
    </row>
    <row r="4" spans="1:2" x14ac:dyDescent="0.25">
      <c r="A4" s="19" t="s">
        <v>299</v>
      </c>
      <c r="B4">
        <v>9000</v>
      </c>
    </row>
    <row r="5" spans="1:2" x14ac:dyDescent="0.25">
      <c r="A5" s="19" t="s">
        <v>319</v>
      </c>
      <c r="B5">
        <v>10000</v>
      </c>
    </row>
    <row r="6" spans="1:2" x14ac:dyDescent="0.25">
      <c r="A6" s="19" t="s">
        <v>281</v>
      </c>
      <c r="B6">
        <v>19500</v>
      </c>
    </row>
    <row r="7" spans="1:2" x14ac:dyDescent="0.25">
      <c r="A7" s="19" t="s">
        <v>218</v>
      </c>
      <c r="B7">
        <v>18500</v>
      </c>
    </row>
    <row r="8" spans="1:2" x14ac:dyDescent="0.25">
      <c r="A8" s="19" t="s">
        <v>217</v>
      </c>
      <c r="B8">
        <v>10250</v>
      </c>
    </row>
    <row r="9" spans="1:2" x14ac:dyDescent="0.25">
      <c r="A9" s="19" t="s">
        <v>251</v>
      </c>
      <c r="B9">
        <v>10150</v>
      </c>
    </row>
    <row r="10" spans="1:2" x14ac:dyDescent="0.25">
      <c r="A10" s="19" t="s">
        <v>291</v>
      </c>
      <c r="B10">
        <v>15000</v>
      </c>
    </row>
    <row r="11" spans="1:2" x14ac:dyDescent="0.25">
      <c r="A11" s="19" t="s">
        <v>255</v>
      </c>
      <c r="B11">
        <v>10150</v>
      </c>
    </row>
    <row r="12" spans="1:2" x14ac:dyDescent="0.25">
      <c r="A12" s="19" t="s">
        <v>258</v>
      </c>
      <c r="B12">
        <v>12000</v>
      </c>
    </row>
    <row r="13" spans="1:2" x14ac:dyDescent="0.25">
      <c r="A13" s="19" t="s">
        <v>317</v>
      </c>
      <c r="B13">
        <v>15000</v>
      </c>
    </row>
    <row r="14" spans="1:2" x14ac:dyDescent="0.25">
      <c r="A14" s="19" t="s">
        <v>252</v>
      </c>
      <c r="B14">
        <v>13000</v>
      </c>
    </row>
    <row r="15" spans="1:2" x14ac:dyDescent="0.25">
      <c r="A15" s="19" t="s">
        <v>264</v>
      </c>
      <c r="B15">
        <v>9000</v>
      </c>
    </row>
    <row r="16" spans="1:2" x14ac:dyDescent="0.25">
      <c r="A16" s="19" t="s">
        <v>216</v>
      </c>
      <c r="B16">
        <v>15000</v>
      </c>
    </row>
    <row r="17" spans="1:2" x14ac:dyDescent="0.25">
      <c r="A17" s="19" t="s">
        <v>286</v>
      </c>
      <c r="B17">
        <v>10000</v>
      </c>
    </row>
    <row r="18" spans="1:2" x14ac:dyDescent="0.25">
      <c r="A18" s="19" t="s">
        <v>283</v>
      </c>
      <c r="B18">
        <v>14500</v>
      </c>
    </row>
    <row r="19" spans="1:2" x14ac:dyDescent="0.25">
      <c r="A19" s="19" t="s">
        <v>298</v>
      </c>
      <c r="B19">
        <v>9000</v>
      </c>
    </row>
    <row r="20" spans="1:2" x14ac:dyDescent="0.25">
      <c r="A20" s="19" t="s">
        <v>263</v>
      </c>
      <c r="B20">
        <v>10150</v>
      </c>
    </row>
    <row r="21" spans="1:2" x14ac:dyDescent="0.25">
      <c r="A21" s="19" t="s">
        <v>314</v>
      </c>
      <c r="B21">
        <v>7000</v>
      </c>
    </row>
    <row r="22" spans="1:2" x14ac:dyDescent="0.25">
      <c r="A22" s="19" t="s">
        <v>250</v>
      </c>
      <c r="B22">
        <v>6900</v>
      </c>
    </row>
    <row r="23" spans="1:2" x14ac:dyDescent="0.25">
      <c r="A23" s="19" t="s">
        <v>308</v>
      </c>
      <c r="B23">
        <v>6000</v>
      </c>
    </row>
    <row r="24" spans="1:2" x14ac:dyDescent="0.25">
      <c r="A24" s="19" t="s">
        <v>270</v>
      </c>
      <c r="B24">
        <v>8000</v>
      </c>
    </row>
    <row r="25" spans="1:2" x14ac:dyDescent="0.25">
      <c r="A25" s="19" t="s">
        <v>269</v>
      </c>
      <c r="B25">
        <v>9000</v>
      </c>
    </row>
    <row r="26" spans="1:2" x14ac:dyDescent="0.25">
      <c r="A26" s="19" t="s">
        <v>301</v>
      </c>
      <c r="B26">
        <v>7000</v>
      </c>
    </row>
    <row r="27" spans="1:2" x14ac:dyDescent="0.25">
      <c r="A27" s="19" t="s">
        <v>293</v>
      </c>
      <c r="B27">
        <v>10000</v>
      </c>
    </row>
    <row r="28" spans="1:2" x14ac:dyDescent="0.25">
      <c r="A28" s="19" t="s">
        <v>316</v>
      </c>
      <c r="B28">
        <v>6000</v>
      </c>
    </row>
    <row r="29" spans="1:2" x14ac:dyDescent="0.25">
      <c r="A29" s="19" t="s">
        <v>259</v>
      </c>
      <c r="B29">
        <v>9000</v>
      </c>
    </row>
    <row r="30" spans="1:2" x14ac:dyDescent="0.25">
      <c r="A30" s="19" t="s">
        <v>262</v>
      </c>
      <c r="B30">
        <v>6000</v>
      </c>
    </row>
    <row r="31" spans="1:2" x14ac:dyDescent="0.25">
      <c r="A31" s="19" t="s">
        <v>289</v>
      </c>
      <c r="B31">
        <v>8000</v>
      </c>
    </row>
    <row r="32" spans="1:2" x14ac:dyDescent="0.25">
      <c r="A32" s="19" t="s">
        <v>313</v>
      </c>
      <c r="B32">
        <v>8000</v>
      </c>
    </row>
    <row r="33" spans="1:2" x14ac:dyDescent="0.25">
      <c r="A33" s="19" t="s">
        <v>282</v>
      </c>
      <c r="B33">
        <v>8000</v>
      </c>
    </row>
    <row r="34" spans="1:2" x14ac:dyDescent="0.25">
      <c r="A34" s="19" t="s">
        <v>292</v>
      </c>
      <c r="B34">
        <v>8000</v>
      </c>
    </row>
    <row r="35" spans="1:2" x14ac:dyDescent="0.25">
      <c r="A35" s="19" t="s">
        <v>219</v>
      </c>
      <c r="B35">
        <v>9000</v>
      </c>
    </row>
    <row r="36" spans="1:2" x14ac:dyDescent="0.25">
      <c r="A36" s="19" t="s">
        <v>295</v>
      </c>
      <c r="B36">
        <v>4620</v>
      </c>
    </row>
    <row r="37" spans="1:2" x14ac:dyDescent="0.25">
      <c r="A37" s="19" t="s">
        <v>271</v>
      </c>
      <c r="B37">
        <v>16550</v>
      </c>
    </row>
    <row r="38" spans="1:2" x14ac:dyDescent="0.25">
      <c r="A38" s="19" t="s">
        <v>268</v>
      </c>
      <c r="B38">
        <v>9000</v>
      </c>
    </row>
    <row r="39" spans="1:2" x14ac:dyDescent="0.25">
      <c r="A39" s="19" t="s">
        <v>273</v>
      </c>
      <c r="B39">
        <v>12000</v>
      </c>
    </row>
    <row r="40" spans="1:2" x14ac:dyDescent="0.25">
      <c r="A40" s="19" t="s">
        <v>320</v>
      </c>
      <c r="B40">
        <v>6000</v>
      </c>
    </row>
    <row r="41" spans="1:2" x14ac:dyDescent="0.25">
      <c r="A41" s="19" t="s">
        <v>220</v>
      </c>
      <c r="B41">
        <v>8000</v>
      </c>
    </row>
    <row r="42" spans="1:2" x14ac:dyDescent="0.25">
      <c r="A42" s="19" t="s">
        <v>249</v>
      </c>
      <c r="B42">
        <v>6000</v>
      </c>
    </row>
    <row r="43" spans="1:2" x14ac:dyDescent="0.25">
      <c r="A43" s="19" t="s">
        <v>278</v>
      </c>
      <c r="B43">
        <v>6000</v>
      </c>
    </row>
    <row r="44" spans="1:2" x14ac:dyDescent="0.25">
      <c r="A44" s="19" t="s">
        <v>304</v>
      </c>
      <c r="B44">
        <v>8000</v>
      </c>
    </row>
    <row r="45" spans="1:2" x14ac:dyDescent="0.25">
      <c r="A45" s="19" t="s">
        <v>284</v>
      </c>
      <c r="B45">
        <v>8000</v>
      </c>
    </row>
    <row r="46" spans="1:2" x14ac:dyDescent="0.25">
      <c r="A46" s="19" t="s">
        <v>310</v>
      </c>
      <c r="B46">
        <v>15000</v>
      </c>
    </row>
    <row r="47" spans="1:2" x14ac:dyDescent="0.25">
      <c r="A47" s="19" t="s">
        <v>260</v>
      </c>
      <c r="B47">
        <v>9050</v>
      </c>
    </row>
    <row r="48" spans="1:2" x14ac:dyDescent="0.25">
      <c r="A48" s="19" t="s">
        <v>300</v>
      </c>
      <c r="B48">
        <v>8000</v>
      </c>
    </row>
    <row r="49" spans="1:2" x14ac:dyDescent="0.25">
      <c r="A49" s="19" t="s">
        <v>285</v>
      </c>
      <c r="B49">
        <v>8000</v>
      </c>
    </row>
    <row r="50" spans="1:2" x14ac:dyDescent="0.25">
      <c r="A50" s="19" t="s">
        <v>261</v>
      </c>
      <c r="B50">
        <v>6900</v>
      </c>
    </row>
    <row r="51" spans="1:2" x14ac:dyDescent="0.25">
      <c r="A51" s="19" t="s">
        <v>309</v>
      </c>
      <c r="B51">
        <v>10000</v>
      </c>
    </row>
    <row r="52" spans="1:2" x14ac:dyDescent="0.25">
      <c r="A52" s="19" t="s">
        <v>256</v>
      </c>
      <c r="B52">
        <v>9000</v>
      </c>
    </row>
    <row r="53" spans="1:2" x14ac:dyDescent="0.25">
      <c r="A53" s="19" t="s">
        <v>288</v>
      </c>
      <c r="B53">
        <v>9000</v>
      </c>
    </row>
    <row r="54" spans="1:2" x14ac:dyDescent="0.25">
      <c r="A54" s="19" t="s">
        <v>294</v>
      </c>
      <c r="B54">
        <v>17000</v>
      </c>
    </row>
    <row r="55" spans="1:2" x14ac:dyDescent="0.25">
      <c r="A55" s="19" t="s">
        <v>274</v>
      </c>
      <c r="B55">
        <v>12000</v>
      </c>
    </row>
    <row r="56" spans="1:2" x14ac:dyDescent="0.25">
      <c r="A56" s="19" t="s">
        <v>246</v>
      </c>
      <c r="B56">
        <v>8000</v>
      </c>
    </row>
    <row r="57" spans="1:2" x14ac:dyDescent="0.25">
      <c r="A57" s="19" t="s">
        <v>321</v>
      </c>
      <c r="B57">
        <v>2521.1999999999998</v>
      </c>
    </row>
    <row r="58" spans="1:2" x14ac:dyDescent="0.25">
      <c r="A58" s="19" t="s">
        <v>247</v>
      </c>
      <c r="B58">
        <v>6900</v>
      </c>
    </row>
    <row r="59" spans="1:2" x14ac:dyDescent="0.25">
      <c r="A59" s="19" t="s">
        <v>248</v>
      </c>
      <c r="B59">
        <v>17000</v>
      </c>
    </row>
    <row r="60" spans="1:2" x14ac:dyDescent="0.25">
      <c r="A60" s="19" t="s">
        <v>253</v>
      </c>
      <c r="B60">
        <v>25000</v>
      </c>
    </row>
    <row r="61" spans="1:2" x14ac:dyDescent="0.25">
      <c r="A61" s="19" t="s">
        <v>322</v>
      </c>
      <c r="B61">
        <v>10000</v>
      </c>
    </row>
    <row r="62" spans="1:2" x14ac:dyDescent="0.25">
      <c r="A62" s="19" t="s">
        <v>254</v>
      </c>
      <c r="B62">
        <v>8000</v>
      </c>
    </row>
    <row r="63" spans="1:2" x14ac:dyDescent="0.25">
      <c r="A63" s="19" t="s">
        <v>257</v>
      </c>
      <c r="B63">
        <v>8450</v>
      </c>
    </row>
    <row r="64" spans="1:2" x14ac:dyDescent="0.25">
      <c r="A64" s="19" t="s">
        <v>265</v>
      </c>
      <c r="B64">
        <v>15000</v>
      </c>
    </row>
    <row r="65" spans="1:2" x14ac:dyDescent="0.25">
      <c r="A65" s="19" t="s">
        <v>266</v>
      </c>
      <c r="B65">
        <v>11000</v>
      </c>
    </row>
    <row r="66" spans="1:2" x14ac:dyDescent="0.25">
      <c r="A66" s="19" t="s">
        <v>267</v>
      </c>
      <c r="B66">
        <v>8000</v>
      </c>
    </row>
    <row r="67" spans="1:2" x14ac:dyDescent="0.25">
      <c r="A67" s="19" t="s">
        <v>272</v>
      </c>
      <c r="B67">
        <v>6900</v>
      </c>
    </row>
    <row r="68" spans="1:2" x14ac:dyDescent="0.25">
      <c r="A68" s="19" t="s">
        <v>275</v>
      </c>
      <c r="B68">
        <v>8000</v>
      </c>
    </row>
    <row r="69" spans="1:2" x14ac:dyDescent="0.25">
      <c r="A69" s="19" t="s">
        <v>277</v>
      </c>
      <c r="B69">
        <v>9000</v>
      </c>
    </row>
    <row r="70" spans="1:2" x14ac:dyDescent="0.25">
      <c r="A70" s="19" t="s">
        <v>279</v>
      </c>
      <c r="B70">
        <v>8000</v>
      </c>
    </row>
    <row r="71" spans="1:2" x14ac:dyDescent="0.25">
      <c r="A71" s="19" t="s">
        <v>280</v>
      </c>
      <c r="B71">
        <v>8000</v>
      </c>
    </row>
    <row r="72" spans="1:2" x14ac:dyDescent="0.25">
      <c r="A72" s="19" t="s">
        <v>287</v>
      </c>
      <c r="B72">
        <v>16000</v>
      </c>
    </row>
    <row r="73" spans="1:2" x14ac:dyDescent="0.25">
      <c r="A73" s="19" t="s">
        <v>290</v>
      </c>
      <c r="B73">
        <v>12000</v>
      </c>
    </row>
    <row r="74" spans="1:2" x14ac:dyDescent="0.25">
      <c r="A74" s="19" t="s">
        <v>296</v>
      </c>
      <c r="B74">
        <v>8450</v>
      </c>
    </row>
    <row r="75" spans="1:2" x14ac:dyDescent="0.25">
      <c r="A75" s="19" t="s">
        <v>297</v>
      </c>
      <c r="B75">
        <v>43000</v>
      </c>
    </row>
    <row r="76" spans="1:2" x14ac:dyDescent="0.25">
      <c r="A76" s="19" t="s">
        <v>302</v>
      </c>
      <c r="B76">
        <v>10000</v>
      </c>
    </row>
    <row r="77" spans="1:2" x14ac:dyDescent="0.25">
      <c r="A77" s="19" t="s">
        <v>303</v>
      </c>
      <c r="B77">
        <v>8000</v>
      </c>
    </row>
    <row r="78" spans="1:2" x14ac:dyDescent="0.25">
      <c r="A78" s="19" t="s">
        <v>323</v>
      </c>
      <c r="B78">
        <v>2521.1999999999998</v>
      </c>
    </row>
    <row r="79" spans="1:2" x14ac:dyDescent="0.25">
      <c r="A79" s="19" t="s">
        <v>305</v>
      </c>
      <c r="B79">
        <v>53500</v>
      </c>
    </row>
    <row r="80" spans="1:2" x14ac:dyDescent="0.25">
      <c r="A80" s="19" t="s">
        <v>306</v>
      </c>
      <c r="B80">
        <v>6900</v>
      </c>
    </row>
    <row r="81" spans="1:2" x14ac:dyDescent="0.25">
      <c r="A81" s="19" t="s">
        <v>307</v>
      </c>
      <c r="B81">
        <v>8000</v>
      </c>
    </row>
    <row r="82" spans="1:2" x14ac:dyDescent="0.25">
      <c r="A82" s="19" t="s">
        <v>311</v>
      </c>
      <c r="B82">
        <v>10000</v>
      </c>
    </row>
    <row r="83" spans="1:2" x14ac:dyDescent="0.25">
      <c r="A83" s="19" t="s">
        <v>312</v>
      </c>
      <c r="B83">
        <v>12000</v>
      </c>
    </row>
    <row r="84" spans="1:2" x14ac:dyDescent="0.25">
      <c r="A84" s="19" t="s">
        <v>315</v>
      </c>
      <c r="B84">
        <v>17000</v>
      </c>
    </row>
    <row r="85" spans="1:2" x14ac:dyDescent="0.25">
      <c r="A85" s="19" t="s">
        <v>325</v>
      </c>
      <c r="B85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FACTURACION SINDICATO</vt:lpstr>
      <vt:lpstr>CPD</vt:lpstr>
      <vt:lpstr>FAC-CPD</vt:lpstr>
      <vt:lpstr>IP</vt:lpstr>
      <vt:lpstr>FAC-IP</vt:lpstr>
      <vt:lpstr>SINDICATO</vt:lpstr>
      <vt:lpstr>FAC-SINDICATO</vt:lpstr>
      <vt:lpstr>RESUMEN</vt:lpstr>
      <vt:lpstr>NETOS</vt:lpstr>
      <vt:lpstr>ABC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HG-5-V2</dc:creator>
  <cp:lastModifiedBy>HG-LAP-04</cp:lastModifiedBy>
  <cp:lastPrinted>2018-01-25T19:35:42Z</cp:lastPrinted>
  <dcterms:created xsi:type="dcterms:W3CDTF">2017-04-26T15:20:15Z</dcterms:created>
  <dcterms:modified xsi:type="dcterms:W3CDTF">2019-02-13T18:46:06Z</dcterms:modified>
</cp:coreProperties>
</file>